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<sst xmlns="http://schemas.openxmlformats.org/spreadsheetml/2006/main" count="621" uniqueCount="445">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</sst>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Bordereaux'!$D$5:$D$828,"Bound*",'UW Bordereaux'!$AD$5:$AD$828))*$D24</f>
      </c>
      <c r="F24" s="15">
        <f>(SUMIF('UW Bordereaux'!$D$5:$D$828,"Bound*",'UW Bordereaux'!$AB$5:$AB$828))*$D24</f>
      </c>
      <c r="G24" s="15">
        <f>(SUMIF('UW Bordereaux'!$D$5:$D$828,"Bound*",'UW Bordereaux'!$AQ$5:$AQ$828))*$D24</f>
      </c>
    </row>
    <row r="25" spans="2:7" ht="15" customHeight="1" x14ac:dyDescent="0.25">
      <c r="B25" s="16" t="s">
        <v>77</v>
      </c>
      <c r="C25" s="17" t="s">
        <v>78</v>
      </c>
      <c r="D25" s="18">
        <v>0.1</v>
      </c>
      <c r="E25" s="19">
        <f>(SUMIF('UW Bordereaux'!$D$5:$D$828,"Bound*",'UW Bordereaux'!$AD$5:$AD$828))*$D25</f>
      </c>
      <c r="F25" s="19">
        <f>(SUMIF('UW Bordereaux'!$D$5:$D$828,"Bound*",'UW Bordereaux'!$AB$5:$AB$828))*$D25</f>
      </c>
      <c r="G25" s="19">
        <f>(SUMIF('UW Bordereaux'!$D$5:$D$828,"Bound*",'UW Bordereaux'!$AQ$5:$AQ$828))*$D25</f>
      </c>
    </row>
    <row r="26" spans="2:7" ht="15" customHeight="1" x14ac:dyDescent="0.25">
      <c r="B26" s="13" t="s">
        <v>79</v>
      </c>
      <c r="C26" s="14" t="s">
        <v>80</v>
      </c>
      <c r="D26" s="6">
        <v>0.1</v>
      </c>
      <c r="E26" s="15">
        <f>(SUMIF('UW Bordereaux'!$D$5:$D$828,"Bound*",'UW Bordereaux'!$AD$5:$AD$828))*$D26</f>
      </c>
      <c r="F26" s="15">
        <f>(SUMIF('UW Bordereaux'!$D$5:$D$828,"Bound*",'UW Bordereaux'!$AB$5:$AB$828))*$D26</f>
      </c>
      <c r="G26" s="15">
        <f>(SUMIF('UW Bordereaux'!$D$5:$D$828,"Bound*",'UW Bordereaux'!$AQ$5:$AQ$828))*$D26</f>
      </c>
    </row>
    <row r="27" spans="2:7" ht="15" customHeight="1" x14ac:dyDescent="0.25">
      <c r="B27" s="16" t="s">
        <v>81</v>
      </c>
      <c r="C27" s="17" t="s">
        <v>82</v>
      </c>
      <c r="D27" s="18">
        <v>0.1</v>
      </c>
      <c r="E27" s="19">
        <f>(SUMIF('UW Bordereaux'!$D$5:$D$828,"Bound*",'UW Bordereaux'!$AD$5:$AD$828))*$D27</f>
      </c>
      <c r="F27" s="19">
        <f>(SUMIF('UW Bordereaux'!$D$5:$D$828,"Bound*",'UW Bordereaux'!$AB$5:$AB$828))*$D27</f>
      </c>
      <c r="G27" s="19">
        <f>(SUMIF('UW Bordereaux'!$D$5:$D$828,"Bound*",'UW Bordereaux'!$AQ$5:$AQ$828))*$D27</f>
      </c>
    </row>
    <row r="28" spans="2:7" ht="15" customHeight="1" x14ac:dyDescent="0.25">
      <c r="B28" s="13" t="s">
        <v>83</v>
      </c>
      <c r="C28" s="14" t="s">
        <v>84</v>
      </c>
      <c r="D28" s="6">
        <v>0.1</v>
      </c>
      <c r="E28" s="15">
        <f>(SUMIF('UW Bordereaux'!$D$5:$D$828,"Bound*",'UW Bordereaux'!$AD$5:$AD$828))*$D28</f>
      </c>
      <c r="F28" s="15">
        <f>(SUMIF('UW Bordereaux'!$D$5:$D$828,"Bound*",'UW Bordereaux'!$AB$5:$AB$828))*$D28</f>
      </c>
      <c r="G28" s="15">
        <f>(SUMIF('UW Bordereaux'!$D$5:$D$828,"Bound*",'UW Bordereaux'!$AQ$5:$AQ$828))*$D28</f>
      </c>
    </row>
    <row r="29" spans="2:7" ht="15" customHeight="1" x14ac:dyDescent="0.25">
      <c r="B29" s="16" t="s">
        <v>85</v>
      </c>
      <c r="C29" s="17" t="s">
        <v>86</v>
      </c>
      <c r="D29" s="18">
        <v>0.1</v>
      </c>
      <c r="E29" s="19">
        <f>(SUMIF('UW Bordereaux'!$D$5:$D$828,"Bound*",'UW Bordereaux'!$AD$5:$AD$828))*$D29</f>
      </c>
      <c r="F29" s="19">
        <f>(SUMIF('UW Bordereaux'!$D$5:$D$828,"Bound*",'UW Bordereaux'!$AB$5:$AB$828))*$D29</f>
      </c>
      <c r="G29" s="19">
        <f>(SUMIF('UW Bordereaux'!$D$5:$D$828,"Bound*",'UW Bordereaux'!$AQ$5:$AQ$828))*$D29</f>
      </c>
    </row>
    <row r="30" spans="2:7" ht="15" customHeight="1" x14ac:dyDescent="0.25">
      <c r="B30" s="13" t="s">
        <v>87</v>
      </c>
      <c r="C30" s="14" t="s">
        <v>88</v>
      </c>
      <c r="D30" s="6">
        <v>0.1</v>
      </c>
      <c r="E30" s="15">
        <f>(SUMIF('UW Bordereaux'!$D$5:$D$828,"Bound*",'UW Bordereaux'!$AD$5:$AD$828))*$D30</f>
      </c>
      <c r="F30" s="15">
        <f>(SUMIF('UW Bordereaux'!$D$5:$D$828,"Bound*",'UW Bordereaux'!$AB$5:$AB$828))*$D30</f>
      </c>
      <c r="G30" s="15">
        <f>(SUMIF('UW Bordereaux'!$D$5:$D$828,"Bound*",'UW Bordereaux'!$AQ$5:$AQ$828))*$D30</f>
      </c>
    </row>
    <row r="31" spans="2:7" ht="15" customHeight="1" x14ac:dyDescent="0.25">
      <c r="B31" s="16" t="s">
        <v>89</v>
      </c>
      <c r="C31" s="17" t="s">
        <v>90</v>
      </c>
      <c r="D31" s="18">
        <v>0.1</v>
      </c>
      <c r="E31" s="19">
        <f>(SUMIF('UW Bordereaux'!$D$5:$D$828,"Bound*",'UW Bordereaux'!$AD$5:$AD$828))*$D31</f>
      </c>
      <c r="F31" s="19">
        <f>(SUMIF('UW Bordereaux'!$D$5:$D$828,"Bound*",'UW Bordereaux'!$AB$5:$AB$828))*$D31</f>
      </c>
      <c r="G31" s="19">
        <f>(SUMIF('UW Bordereaux'!$D$5:$D$828,"Bound*",'UW Bordereaux'!$AQ$5:$AQ$828))*$D31</f>
      </c>
    </row>
    <row r="32" spans="2:7" ht="15" customHeight="1" x14ac:dyDescent="0.25">
      <c r="B32" s="13" t="s">
        <v>91</v>
      </c>
      <c r="C32" s="14" t="s">
        <v>92</v>
      </c>
      <c r="D32" s="6">
        <v>0.1</v>
      </c>
      <c r="E32" s="15">
        <f>(SUMIF('UW Bordereaux'!$D$5:$D$828,"Bound*",'UW Bordereaux'!$AD$5:$AD$828))*$D32</f>
      </c>
      <c r="F32" s="15">
        <f>(SUMIF('UW Bordereaux'!$D$5:$D$828,"Bound*",'UW Bordereaux'!$AB$5:$AB$828))*$D32</f>
      </c>
      <c r="G32" s="15">
        <f>(SUMIF('UW Bordereaux'!$D$5:$D$828,"Bound*",'UW Bordereaux'!$AQ$5:$AQ$828))*$D32</f>
      </c>
    </row>
    <row r="33" spans="2:7" ht="15" customHeight="1" x14ac:dyDescent="0.25">
      <c r="B33" s="16" t="s">
        <v>93</v>
      </c>
      <c r="C33" s="17" t="s">
        <v>94</v>
      </c>
      <c r="D33" s="18">
        <v>0.1</v>
      </c>
      <c r="E33" s="19">
        <f>(SUMIF('UW Bordereaux'!$D$5:$D$828,"Bound*",'UW Bordereaux'!$AD$5:$AD$828))*$D33</f>
      </c>
      <c r="F33" s="19">
        <f>(SUMIF('UW Bordereaux'!$D$5:$D$828,"Bound*",'UW Bordereaux'!$AB$5:$AB$828))*$D33</f>
      </c>
      <c r="G33" s="19">
        <f>(SUMIF('UW Bordereaux'!$D$5:$D$828,"Bound*",'UW Bordereaux'!$AQ$5:$AQ$828))*$D33</f>
      </c>
    </row>
    <row r="34" spans="2:7" ht="15" customHeight="1" x14ac:dyDescent="0.25">
      <c r="C34" s="20" t="s">
        <v>95</v>
      </c>
      <c r="D34" s="21">
        <f>SUM(D24:D33)</f>
      </c>
      <c r="E34" s="22">
        <f>SUMIF('UW Bordereaux'!$D$5:$D$828,"Bound*",'UW Bordereaux'!$AD$5:$AD$828)</f>
      </c>
      <c r="F34" s="22">
        <f>SUMIF('UW Bordereaux'!$D$5:$D$828,"Bound*",'UW Bordereaux'!$AB$5:$AB$828)</f>
      </c>
      <c r="G34" s="22">
        <f>SUMIF('UW Bordereaux'!$D$5:$D$828,"Bound*",'UW Bordereaux'!$AQ$5:$AQ$828)</f>
      </c>
    </row>
    <row r="35" spans="2:7" ht="15" customHeight="1" x14ac:dyDescent="0.25">
      <c r="D35" s="67" t="str">
        <f>IF(ROUND(D34,6)=1,"Panel signs 100% — OK","ERROR: panel signs "&amp;TEXT(D34,"0.00%"))</f>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Bordereaux'!$A$5:$A$828)</f>
      </c>
    </row>
    <row r="39" spans="2:7" ht="15" customHeight="1" x14ac:dyDescent="0.25">
      <c r="B39" s="23" t="s">
        <v>98</v>
      </c>
      <c r="C39" s="24">
        <f>COUNTIF('UW Bordereaux'!$D$5:$D$828,"Bound*")</f>
      </c>
    </row>
    <row r="40" spans="2:7" ht="15" customHeight="1" x14ac:dyDescent="0.25">
      <c r="B40" s="23" t="s">
        <v>99</v>
      </c>
      <c r="C40" s="24">
        <f>COUNTIF('UW Bordereaux'!$D$5:$D$828,"Declined")+COUNTIF('UW Bordereaux'!$D$5:$D$828,"Cancelled")+COUNTIF('UW Bordereaux'!$D$5:$D$828,"Lapsed")</f>
      </c>
    </row>
    <row r="41" spans="2:7" ht="15" customHeight="1" x14ac:dyDescent="0.25">
      <c r="B41" s="25" t="s">
        <v>100</v>
      </c>
      <c r="C41" s="26">
        <f>SUMIF('UW Bordereaux'!$D$5:$D$828,"Bound*",'UW Bordereaux'!$AD$5:$AD$828)</f>
      </c>
    </row>
    <row r="42" spans="2:7" ht="15" customHeight="1" x14ac:dyDescent="0.25">
      <c r="B42" s="25" t="s">
        <v>101</v>
      </c>
      <c r="C42" s="26">
        <f>SUMIF('UW Bordereaux'!$D$5:$D$828,"Bound*",'UW Bordereaux'!$AB$5:$AB$828)</f>
      </c>
    </row>
    <row r="43" spans="2:7" ht="15" customHeight="1" x14ac:dyDescent="0.25">
      <c r="B43" s="25" t="s">
        <v>102</v>
      </c>
      <c r="C43" s="27">
        <f>IFERROR((SUMIF('UW Bordereaux'!$D$5:$D$828,"Bound*",'UW Bordereaux'!$AD$5:$AD$828))/(SUMIF('UW Bordereaux'!$D$5:$D$828,"Bound*",'UW Bordereaux'!$AB$5:$AB$828)),0)</f>
      </c>
    </row>
    <row r="44" spans="2:7" ht="15" customHeight="1" x14ac:dyDescent="0.25">
      <c r="B44" s="23" t="s">
        <v>103</v>
      </c>
      <c r="C44" s="28">
        <f>SUMIF('UW Bordereaux'!$D$5:$D$828,"Bound*",'UW Bordereaux'!$AQ$5:$AQ$828)</f>
      </c>
    </row>
    <row r="45" spans="2:7" ht="15" customHeight="1" x14ac:dyDescent="0.25">
      <c r="B45" s="23" t="s">
        <v>104</v>
      </c>
      <c r="C45" s="28">
        <f>SUMIF('UW Bordereaux'!$D$5:$D$828,"Bound*",'UW Bordereaux'!$AE$5:$AE$828)</f>
      </c>
    </row>
    <row r="46" spans="2:7" ht="15" customHeight="1" x14ac:dyDescent="0.25">
      <c r="B46" s="23" t="s">
        <v>105</v>
      </c>
      <c r="C46" s="28">
        <f>SUMIF('UW Bordereaux'!$D$5:$D$828,"Bound*",'UW Bordereaux'!$AH$5:$AH$828)</f>
      </c>
    </row>
    <row r="47" spans="2:7" ht="15" customHeight="1" x14ac:dyDescent="0.25">
      <c r="B47" s="23" t="s">
        <v>106</v>
      </c>
      <c r="C47" s="24">
        <f>COUNTIFS('UW Bordereaux'!$AD$5:$AD$828,"&gt;="&amp;Header!$C$18,'UW Bordereaux'!$D$5:$D$828,"Bound*")</f>
      </c>
    </row>
    <row r="48" spans="2:7" ht="15" customHeight="1" x14ac:dyDescent="0.25">
      <c r="B48" s="23" t="s">
        <v>107</v>
      </c>
      <c r="C48" s="24">
        <f>COUNTIF('UW Bordereaux'!$AL$5:$AL$828,"BEYOND AUTHORITY")</f>
      </c>
    </row>
    <row r="49" spans="2:3" ht="15" customHeight="1" x14ac:dyDescent="0.25">
      <c r="B49" s="23" t="s">
        <v>108</v>
      </c>
      <c r="C49" s="24">
        <f>COUNTA('UW Bordereaux'!$A$5:$A$828)-COUNTIF('UW Bordereaux'!$D$5:$D$828,"Bound*")-COUNTIF('UW Bordereaux'!$D$5:$D$828,"Declined")-COUNTIF('UW Bordereaux'!$D$5:$D$828,"Cancelled")-COUNTIF('UW Bordereaux'!$D$5:$D$828,"Lapsed")-COUNTIF('UW Bordereaux'!$D$5:$D$828,"Quoted*")-COUNTIF('UW Bordereaux'!$D$5:$D$828,"Void")-COUNTIF('UW Bordereaux'!$D$5:$D$828,"Reinstatement")</f>
      </c>
    </row>
    <row r="50" spans="2:3" ht="15" customHeight="1" x14ac:dyDescent="0.25">
      <c r="B50" s="23" t="s">
        <v>109</v>
      </c>
      <c r="C50" s="24">
        <f>COUNTIF('UW Bordereaux'!$AX$5:$AX$828,"FAIL*")</f>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828"/>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inlineStr">
        <is>
          <t xml:space="preserve">CANON-202606-008404</t>
        </is>
      </c>
      <c r="B5" s="30" t="inlineStr">
        <is>
          <t xml:space="preserve">Noor Nakashima</t>
        </is>
      </c>
      <c r="C5" s="31">
        <v>46179</v>
      </c>
      <c r="D5" s="32" t="inlineStr">
        <is>
          <t xml:space="preserve">Bound - within authority</t>
        </is>
      </c>
      <c r="E5" s="32" t="inlineStr">
        <is>
          <t xml:space="preserve">New business</t>
        </is>
      </c>
      <c r="F5" s="30" t="inlineStr">
        <is>
          <t xml:space="preserve">B1234EXOTIC26</t>
        </is>
      </c>
      <c r="G5" s="33">
        <f>IF($A5="","",IF($C5="","",YEAR($C5)))</f>
      </c>
      <c r="H5" s="34">
        <v>1994</v>
      </c>
      <c r="I5" s="30" t="inlineStr">
        <is>
          <t xml:space="preserve">Mercedes-Benz</t>
        </is>
      </c>
      <c r="J5" s="30" t="inlineStr">
        <is>
          <t xml:space="preserve">AMG GT</t>
        </is>
      </c>
      <c r="K5" s="30" t="inlineStr">
        <is>
          <t xml:space="preserve">P8MLW1RP3VABU67YF</t>
        </is>
      </c>
      <c r="L5" s="32" t="inlineStr">
        <is>
          <t xml:space="preserve">02 - Sports / GT</t>
        </is>
      </c>
      <c r="M5" s="35">
        <v>605000</v>
      </c>
      <c r="N5" s="32" t="inlineStr">
        <is>
          <t xml:space="preserve">Personal</t>
        </is>
      </c>
      <c r="O5" s="30" t="inlineStr">
        <is>
          <t xml:space="preserve">Personal - regular use</t>
        </is>
      </c>
      <c r="P5" s="30" t="inlineStr">
        <is>
          <t xml:space="preserve">Under 1,000</t>
        </is>
      </c>
      <c r="Q5" s="30" t="inlineStr">
        <is>
          <t xml:space="preserve">Iowa</t>
        </is>
      </c>
      <c r="R5" s="30" t="inlineStr">
        <is>
          <t xml:space="preserve">50309</t>
        </is>
      </c>
      <c r="S5" s="32" t="inlineStr">
        <is>
          <t xml:space="preserve">Severe convective - hail alley (high)</t>
        </is>
      </c>
      <c r="T5" s="36">
        <f>IF($A5="","",IF($S5="","",IFERROR(INDEX('[1]natural catastrophe'!$D$6:$D$17,MATCH($S5,'[1]natural catastrophe'!$B$6:$B$17,0)),"?")))</f>
      </c>
      <c r="U5" s="30" t="inlineStr">
        <is>
          <t xml:space="preserve">$5,000</t>
        </is>
      </c>
      <c r="V5" s="32" t="inlineStr">
        <is>
          <t xml:space="preserve">Agreed Value</t>
        </is>
      </c>
      <c r="W5" s="30" t="inlineStr">
        <is>
          <t xml:space="preserve">$1,000</t>
        </is>
      </c>
      <c r="X5" s="32" t="inlineStr">
        <is>
          <t xml:space="preserve">$1,000,000 CSL</t>
        </is>
      </c>
      <c r="Y5" s="30"/>
      <c r="Z5" s="30"/>
      <c r="AA5" s="32" t="inlineStr">
        <is>
          <t xml:space="preserve">Surplus Lines</t>
        </is>
      </c>
      <c r="AB5" s="35">
        <v>6242.14</v>
      </c>
      <c r="AC5" s="37">
        <v>0</v>
      </c>
      <c r="AD5" s="38">
        <f>IF(ISNUMBER($AB5),$AB5*(1+N($AC5)),"")</f>
      </c>
      <c r="AE5" s="35">
        <v>350</v>
      </c>
      <c r="AF5" s="35">
        <v>0</v>
      </c>
      <c r="AG5" s="37"/>
      <c r="AH5" s="39">
        <f>IF(ISNUMBER($AD5),($AD5+$AE5+$AF5)*$AG5,"")</f>
      </c>
      <c r="AI5" s="35"/>
      <c r="AJ5" s="38">
        <f>IF(ISNUMBER($AD5),SUM($AD5:$AH5),"")</f>
      </c>
      <c r="AK5" s="40">
        <f>IF(AND(ISNUMBER($AB5),ISNUMBER($AD5)),IF($AB5&gt;0,$AD5/$AB5,""),"")</f>
      </c>
      <c r="AL5" s="32" t="inlineStr">
        <is>
          <t xml:space="preserve">At technical</t>
        </is>
      </c>
      <c r="AM5" s="41">
        <f>IF(ISNUMBER($AD5),Header!$I$3,"")</f>
      </c>
      <c r="AN5" s="39">
        <f>IF(ISNUMBER($AD5),$AO5+$AP5,"")</f>
      </c>
      <c r="AO5" s="39">
        <f>IF(ISNUMBER($AD5),ROUND($AD5*Header!$K$3,2),"")</f>
      </c>
      <c r="AP5" s="39">
        <f>IF(ISNUMBER($AD5),ROUND($AD5*Header!$M$3,2),"")</f>
      </c>
      <c r="AQ5" s="38">
        <f>IF(ISNUMBER($AD5),ROUND($AD5,2)-$AO5-$AP5,"")</f>
      </c>
      <c r="AR5" s="39">
        <f>IF(ISNUMBER($AD5),IF(Header!$D$34="","?",$AD5*Header!$D$34),"")</f>
      </c>
      <c r="AS5" s="39">
        <f>IF(ISNUMBER($AB5),IF(Header!$D$34="","?",$AB5*Header!$D$34),"")</f>
      </c>
      <c r="AT5" s="42">
        <f>IF(AND(ISNUMBER($AB5),$M5&gt;0),$AB5/$M5*100,"")</f>
      </c>
      <c r="AU5" s="42">
        <f>IF(AND(ISNUMBER($AD5),$M5&gt;0),$AD5/$M5*100,"")</f>
      </c>
      <c r="AV5" s="40">
        <f>IF(AND(ISNUMBER($AB5),ISNUMBER($AD5),ABS($AB5)&gt;0),$AD5/$AB5,"")</f>
      </c>
      <c r="AW5" s="39">
        <f>IF(ISNUMBER($AD5),MAX(0,(1-0.55-Header!$O$3)*Header!$Q$3*$AQ5),"")</f>
      </c>
      <c r="AX5" s="43">
        <f>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c>
      <c r="AY5" s="44">
        <f>IF($M5="","",IF(ISNUMBER($M5),IF($M5&gt;=Header!$C$18,"YES — refer","No"),""))</f>
      </c>
      <c r="AZ5" s="44">
        <f>IF($AD5="","",IF(ISNUMBER($AD5),IF($AD5&lt;Header!$C$20,"BELOW MIN PREMIUM","OK"),""))</f>
      </c>
      <c r="BA5" s="32" t="inlineStr">
        <is>
          <t xml:space="preserve">Yes</t>
        </is>
      </c>
      <c r="BB5" s="32" t="inlineStr">
        <is>
          <t xml:space="preserve">Yes</t>
        </is>
      </c>
      <c r="BC5" s="30" t="inlineStr">
        <is>
          <t xml:space="preserve">Synthetic demo data</t>
        </is>
      </c>
      <c r="BE5" s="45">
        <f>IF(OR($A5="",$L5="",$H5=""),"",IF(AND(LEFT($L5,2)="06",$H5&gt;1945),"FAIL - pre-war class, year "&amp;$H5,IF(AND(LEFT($L5,2)="07",OR($H5&lt;1946,$H5&gt;1972)),"FAIL - 1946-72 class, year "&amp;$H5,IF(AND(LEFT($L5,2)="08",OR($H5&lt;1973,$H5&gt;1999)),"FAIL - 1973-99 class, year "&amp;$H5,IF(AND(LEFT($L5,2)="09",OR($H5&lt;2000,$H5&gt;2010)),"FAIL - 2000-10 class, year "&amp;$H5,"OK")))))</f>
      </c>
      <c r="BF5" s="45">
        <f>IF($AD5="","",IF(ROUND($AO5+$AP5+$AQ5-$AD5,2)=0,"OK","FAIL - out by "&amp;TEXT($AO5+$AP5+$AQ5-$AD5,"$0.00")))</f>
      </c>
    </row>
    <row r="6" spans="1:58" ht="18.75" customHeight="1" x14ac:dyDescent="0.25">
      <c r="A6" s="46" t="inlineStr">
        <is>
          <t xml:space="preserve">CANON-202606-008405</t>
        </is>
      </c>
      <c r="B6" s="46" t="inlineStr">
        <is>
          <t xml:space="preserve">Fenwick Castellanos</t>
        </is>
      </c>
      <c r="C6" s="47">
        <v>46199</v>
      </c>
      <c r="D6" s="48" t="inlineStr">
        <is>
          <t xml:space="preserve">Bound - within authority</t>
        </is>
      </c>
      <c r="E6" s="48" t="inlineStr">
        <is>
          <t xml:space="preserve">New business</t>
        </is>
      </c>
      <c r="F6" s="46" t="inlineStr">
        <is>
          <t xml:space="preserve">B1234EXOTIC26</t>
        </is>
      </c>
      <c r="G6" s="33">
        <f>IF($A6="","",IF($C6="","",YEAR($C6)))</f>
      </c>
      <c r="H6" s="49">
        <v>2011</v>
      </c>
      <c r="I6" s="46" t="inlineStr">
        <is>
          <t xml:space="preserve">Porsche</t>
        </is>
      </c>
      <c r="J6" s="46" t="inlineStr">
        <is>
          <t xml:space="preserve">911 Turbo S</t>
        </is>
      </c>
      <c r="K6" s="46" t="inlineStr">
        <is>
          <t xml:space="preserve">NRKP22E59HY0HU94V</t>
        </is>
      </c>
      <c r="L6" s="48" t="inlineStr">
        <is>
          <t xml:space="preserve">02 - Sports / GT</t>
        </is>
      </c>
      <c r="M6" s="50">
        <v>450000</v>
      </c>
      <c r="N6" s="48" t="inlineStr">
        <is>
          <t xml:space="preserve">Personal</t>
        </is>
      </c>
      <c r="O6" s="46" t="inlineStr">
        <is>
          <t xml:space="preserve">Personal - regular use</t>
        </is>
      </c>
      <c r="P6" s="46" t="inlineStr">
        <is>
          <t xml:space="preserve">2,500 - 5,000</t>
        </is>
      </c>
      <c r="Q6" s="46" t="inlineStr">
        <is>
          <t xml:space="preserve">Nevada</t>
        </is>
      </c>
      <c r="R6" s="46" t="inlineStr">
        <is>
          <t xml:space="preserve">89101</t>
        </is>
      </c>
      <c r="S6" s="48" t="inlineStr">
        <is>
          <t xml:space="preserve">Wildfire - WUI high hazard</t>
        </is>
      </c>
      <c r="T6" s="36">
        <f>IF($A6="","",IF($S6="","",IFERROR(INDEX('[1]natural catastrophe'!$D$6:$D$17,MATCH($S6,'[1]natural catastrophe'!$B$6:$B$17,0)),"?")))</f>
      </c>
      <c r="U6" s="46" t="inlineStr">
        <is>
          <t xml:space="preserve">$5,000</t>
        </is>
      </c>
      <c r="V6" s="48" t="inlineStr">
        <is>
          <t xml:space="preserve">Agreed Value</t>
        </is>
      </c>
      <c r="W6" s="46" t="inlineStr">
        <is>
          <t xml:space="preserve">$1,000</t>
        </is>
      </c>
      <c r="X6" s="48" t="inlineStr">
        <is>
          <t xml:space="preserve">$1,000,000 CSL</t>
        </is>
      </c>
      <c r="Y6" s="46"/>
      <c r="Z6" s="46"/>
      <c r="AA6" s="48" t="inlineStr">
        <is>
          <t xml:space="preserve">Surplus Lines</t>
        </is>
      </c>
      <c r="AB6" s="50">
        <v>5698.12</v>
      </c>
      <c r="AC6" s="51">
        <v>0</v>
      </c>
      <c r="AD6" s="38">
        <f>IF(ISNUMBER($AB6),$AB6*(1+N($AC6)),"")</f>
      </c>
      <c r="AE6" s="50">
        <v>350</v>
      </c>
      <c r="AF6" s="50">
        <v>0</v>
      </c>
      <c r="AG6" s="51"/>
      <c r="AH6" s="39">
        <f>IF(ISNUMBER($AD6),($AD6+$AE6+$AF6)*$AG6,"")</f>
      </c>
      <c r="AI6" s="50"/>
      <c r="AJ6" s="38">
        <f>IF(ISNUMBER($AD6),SUM($AD6:$AH6),"")</f>
      </c>
      <c r="AK6" s="40">
        <f>IF(AND(ISNUMBER($AB6),ISNUMBER($AD6)),IF($AB6&gt;0,$AD6/$AB6,""),"")</f>
      </c>
      <c r="AL6" s="48" t="inlineStr">
        <is>
          <t xml:space="preserve">At technical</t>
        </is>
      </c>
      <c r="AM6" s="41">
        <f>IF(ISNUMBER($AD6),Header!$I$3,"")</f>
      </c>
      <c r="AN6" s="39">
        <f>IF(ISNUMBER($AD6),$AO6+$AP6,"")</f>
      </c>
      <c r="AO6" s="39">
        <f>IF(ISNUMBER($AD6),ROUND($AD6*Header!$K$3,2),"")</f>
      </c>
      <c r="AP6" s="39">
        <f>IF(ISNUMBER($AD6),ROUND($AD6*Header!$M$3,2),"")</f>
      </c>
      <c r="AQ6" s="38">
        <f>IF(ISNUMBER($AD6),ROUND($AD6,2)-$AO6-$AP6,"")</f>
      </c>
      <c r="AR6" s="39">
        <f>IF(ISNUMBER($AD6),IF(Header!$D$34="","?",$AD6*Header!$D$34),"")</f>
      </c>
      <c r="AS6" s="39">
        <f>IF(ISNUMBER($AB6),IF(Header!$D$34="","?",$AB6*Header!$D$34),"")</f>
      </c>
      <c r="AT6" s="42">
        <f>IF(AND(ISNUMBER($AB6),$M6&gt;0),$AB6/$M6*100,"")</f>
      </c>
      <c r="AU6" s="42">
        <f>IF(AND(ISNUMBER($AD6),$M6&gt;0),$AD6/$M6*100,"")</f>
      </c>
      <c r="AV6" s="40">
        <f>IF(AND(ISNUMBER($AB6),ISNUMBER($AD6),ABS($AB6)&gt;0),$AD6/$AB6,"")</f>
      </c>
      <c r="AW6" s="39">
        <f>IF(ISNUMBER($AD6),MAX(0,(1-0.55-Header!$O$3)*Header!$Q$3*$AQ6),"")</f>
      </c>
      <c r="AX6" s="43">
        <f>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c>
      <c r="AY6" s="44">
        <f>IF($M6="","",IF(ISNUMBER($M6),IF($M6&gt;=Header!$C$18,"YES — refer","No"),""))</f>
      </c>
      <c r="AZ6" s="44">
        <f>IF($AD6="","",IF(ISNUMBER($AD6),IF($AD6&lt;Header!$C$20,"BELOW MIN PREMIUM","OK"),""))</f>
      </c>
      <c r="BA6" s="48" t="inlineStr">
        <is>
          <t xml:space="preserve">Yes</t>
        </is>
      </c>
      <c r="BB6" s="48" t="inlineStr">
        <is>
          <t xml:space="preserve">Yes</t>
        </is>
      </c>
      <c r="BC6" s="46" t="inlineStr">
        <is>
          <t xml:space="preserve">Synthetic demo data</t>
        </is>
      </c>
      <c r="BE6" s="45">
        <f>IF(OR($A6="",$L6="",$H6=""),"",IF(AND(LEFT($L6,2)="06",$H6&gt;1945),"FAIL - pre-war class, year "&amp;$H6,IF(AND(LEFT($L6,2)="07",OR($H6&lt;1946,$H6&gt;1972)),"FAIL - 1946-72 class, year "&amp;$H6,IF(AND(LEFT($L6,2)="08",OR($H6&lt;1973,$H6&gt;1999)),"FAIL - 1973-99 class, year "&amp;$H6,IF(AND(LEFT($L6,2)="09",OR($H6&lt;2000,$H6&gt;2010)),"FAIL - 2000-10 class, year "&amp;$H6,"OK")))))</f>
      </c>
      <c r="BF6" s="45">
        <f>IF($AD6="","",IF(ROUND($AO6+$AP6+$AQ6-$AD6,2)=0,"OK","FAIL - out by "&amp;TEXT($AO6+$AP6+$AQ6-$AD6,"$0.00")))</f>
      </c>
    </row>
    <row r="7" spans="1:58" ht="18.75" customHeight="1" x14ac:dyDescent="0.25">
      <c r="A7" s="30" t="inlineStr">
        <is>
          <t xml:space="preserve">CANON-202606-008406</t>
        </is>
      </c>
      <c r="B7" s="30" t="inlineStr">
        <is>
          <t xml:space="preserve">Callum Fairweather</t>
        </is>
      </c>
      <c r="C7" s="31">
        <v>46191</v>
      </c>
      <c r="D7" s="32" t="inlineStr">
        <is>
          <t xml:space="preserve">Bound - within authority</t>
        </is>
      </c>
      <c r="E7" s="32" t="inlineStr">
        <is>
          <t xml:space="preserve">New business</t>
        </is>
      </c>
      <c r="F7" s="30" t="inlineStr">
        <is>
          <t xml:space="preserve">B1234EXOTIC26</t>
        </is>
      </c>
      <c r="G7" s="33">
        <f>IF($A7="","",IF($C7="","",YEAR($C7)))</f>
      </c>
      <c r="H7" s="34">
        <v>1976</v>
      </c>
      <c r="I7" s="30" t="inlineStr">
        <is>
          <t xml:space="preserve">Bentley</t>
        </is>
      </c>
      <c r="J7" s="30" t="inlineStr">
        <is>
          <t xml:space="preserve">Continental GT</t>
        </is>
      </c>
      <c r="K7" s="30" t="inlineStr">
        <is>
          <t xml:space="preserve">S2GXZU265Y9PXX3FW</t>
        </is>
      </c>
      <c r="L7" s="32" t="inlineStr">
        <is>
          <t xml:space="preserve">02 - Sports / GT</t>
        </is>
      </c>
      <c r="M7" s="35">
        <v>205000</v>
      </c>
      <c r="N7" s="32" t="inlineStr">
        <is>
          <t xml:space="preserve">Personal</t>
        </is>
      </c>
      <c r="O7" s="30" t="inlineStr">
        <is>
          <t xml:space="preserve">Personal - regular use</t>
        </is>
      </c>
      <c r="P7" s="30" t="inlineStr">
        <is>
          <t xml:space="preserve">1,000 - 2,500</t>
        </is>
      </c>
      <c r="Q7" s="30" t="inlineStr">
        <is>
          <t xml:space="preserve">Texas</t>
        </is>
      </c>
      <c r="R7" s="30" t="inlineStr">
        <is>
          <t xml:space="preserve">75201</t>
        </is>
      </c>
      <c r="S7" s="32" t="inlineStr">
        <is>
          <t xml:space="preserve">Tier 2 - Coastal wind (1-25 miles)</t>
        </is>
      </c>
      <c r="T7" s="36">
        <f>IF($A7="","",IF($S7="","",IFERROR(INDEX('[1]natural catastrophe'!$D$6:$D$17,MATCH($S7,'[1]natural catastrophe'!$B$6:$B$17,0)),"?")))</f>
      </c>
      <c r="U7" s="30" t="inlineStr">
        <is>
          <t xml:space="preserve">2% of agreed value, minimum $10,000</t>
        </is>
      </c>
      <c r="V7" s="32" t="inlineStr">
        <is>
          <t xml:space="preserve">Agreed Value</t>
        </is>
      </c>
      <c r="W7" s="30" t="inlineStr">
        <is>
          <t xml:space="preserve">$1,000</t>
        </is>
      </c>
      <c r="X7" s="32" t="inlineStr">
        <is>
          <t xml:space="preserve">$1,000,000 CSL</t>
        </is>
      </c>
      <c r="Y7" s="30"/>
      <c r="Z7" s="30"/>
      <c r="AA7" s="32" t="inlineStr">
        <is>
          <t xml:space="preserve">Surplus Lines</t>
        </is>
      </c>
      <c r="AB7" s="35">
        <v>3129.76</v>
      </c>
      <c r="AC7" s="37">
        <v>0</v>
      </c>
      <c r="AD7" s="38">
        <f>IF(ISNUMBER($AB7),$AB7*(1+N($AC7)),"")</f>
      </c>
      <c r="AE7" s="35">
        <v>350</v>
      </c>
      <c r="AF7" s="35">
        <v>0</v>
      </c>
      <c r="AG7" s="37"/>
      <c r="AH7" s="39">
        <f>IF(ISNUMBER($AD7),($AD7+$AE7+$AF7)*$AG7,"")</f>
      </c>
      <c r="AI7" s="35"/>
      <c r="AJ7" s="38">
        <f>IF(ISNUMBER($AD7),SUM($AD7:$AH7),"")</f>
      </c>
      <c r="AK7" s="40">
        <f>IF(AND(ISNUMBER($AB7),ISNUMBER($AD7)),IF($AB7&gt;0,$AD7/$AB7,""),"")</f>
      </c>
      <c r="AL7" s="32" t="inlineStr">
        <is>
          <t xml:space="preserve">At technical</t>
        </is>
      </c>
      <c r="AM7" s="41">
        <f>IF(ISNUMBER($AD7),Header!$I$3,"")</f>
      </c>
      <c r="AN7" s="39">
        <f>IF(ISNUMBER($AD7),$AO7+$AP7,"")</f>
      </c>
      <c r="AO7" s="39">
        <f>IF(ISNUMBER($AD7),ROUND($AD7*Header!$K$3,2),"")</f>
      </c>
      <c r="AP7" s="39">
        <f>IF(ISNUMBER($AD7),ROUND($AD7*Header!$M$3,2),"")</f>
      </c>
      <c r="AQ7" s="38">
        <f>IF(ISNUMBER($AD7),ROUND($AD7,2)-$AO7-$AP7,"")</f>
      </c>
      <c r="AR7" s="39">
        <f>IF(ISNUMBER($AD7),IF(Header!$D$34="","?",$AD7*Header!$D$34),"")</f>
      </c>
      <c r="AS7" s="39">
        <f>IF(ISNUMBER($AB7),IF(Header!$D$34="","?",$AB7*Header!$D$34),"")</f>
      </c>
      <c r="AT7" s="42">
        <f>IF(AND(ISNUMBER($AB7),$M7&gt;0),$AB7/$M7*100,"")</f>
      </c>
      <c r="AU7" s="42">
        <f>IF(AND(ISNUMBER($AD7),$M7&gt;0),$AD7/$M7*100,"")</f>
      </c>
      <c r="AV7" s="40">
        <f>IF(AND(ISNUMBER($AB7),ISNUMBER($AD7),ABS($AB7)&gt;0),$AD7/$AB7,"")</f>
      </c>
      <c r="AW7" s="39">
        <f>IF(ISNUMBER($AD7),MAX(0,(1-0.55-Header!$O$3)*Header!$Q$3*$AQ7),"")</f>
      </c>
      <c r="AX7" s="43">
        <f>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c>
      <c r="AY7" s="44">
        <f>IF($M7="","",IF(ISNUMBER($M7),IF($M7&gt;=Header!$C$18,"YES — refer","No"),""))</f>
      </c>
      <c r="AZ7" s="44">
        <f>IF($AD7="","",IF(ISNUMBER($AD7),IF($AD7&lt;Header!$C$20,"BELOW MIN PREMIUM","OK"),""))</f>
      </c>
      <c r="BA7" s="32" t="inlineStr">
        <is>
          <t xml:space="preserve">Yes</t>
        </is>
      </c>
      <c r="BB7" s="32" t="inlineStr">
        <is>
          <t xml:space="preserve">Yes</t>
        </is>
      </c>
      <c r="BC7" s="30" t="inlineStr">
        <is>
          <t xml:space="preserve">Synthetic demo data</t>
        </is>
      </c>
      <c r="BE7" s="45">
        <f>IF(OR($A7="",$L7="",$H7=""),"",IF(AND(LEFT($L7,2)="06",$H7&gt;1945),"FAIL - pre-war class, year "&amp;$H7,IF(AND(LEFT($L7,2)="07",OR($H7&lt;1946,$H7&gt;1972)),"FAIL - 1946-72 class, year "&amp;$H7,IF(AND(LEFT($L7,2)="08",OR($H7&lt;1973,$H7&gt;1999)),"FAIL - 1973-99 class, year "&amp;$H7,IF(AND(LEFT($L7,2)="09",OR($H7&lt;2000,$H7&gt;2010)),"FAIL - 2000-10 class, year "&amp;$H7,"OK")))))</f>
      </c>
      <c r="BF7" s="45">
        <f>IF($AD7="","",IF(ROUND($AO7+$AP7+$AQ7-$AD7,2)=0,"OK","FAIL - out by "&amp;TEXT($AO7+$AP7+$AQ7-$AD7,"$0.00")))</f>
      </c>
    </row>
    <row r="8" spans="1:58" ht="18.75" customHeight="1" x14ac:dyDescent="0.25">
      <c r="A8" s="46" t="inlineStr">
        <is>
          <t xml:space="preserve">CANON-202606-008408</t>
        </is>
      </c>
      <c r="B8" s="46" t="inlineStr">
        <is>
          <t xml:space="preserve">Aurelio Pennington</t>
        </is>
      </c>
      <c r="C8" s="47">
        <v>46194</v>
      </c>
      <c r="D8" s="48" t="inlineStr">
        <is>
          <t xml:space="preserve">Bound - within authority</t>
        </is>
      </c>
      <c r="E8" s="48" t="inlineStr">
        <is>
          <t xml:space="preserve">New business</t>
        </is>
      </c>
      <c r="F8" s="46" t="inlineStr">
        <is>
          <t xml:space="preserve">B1234EXOTIC26</t>
        </is>
      </c>
      <c r="G8" s="33">
        <f>IF($A8="","",IF($C8="","",YEAR($C8)))</f>
      </c>
      <c r="H8" s="49">
        <v>1980</v>
      </c>
      <c r="I8" s="46" t="inlineStr">
        <is>
          <t xml:space="preserve">Ferrari</t>
        </is>
      </c>
      <c r="J8" s="46" t="inlineStr">
        <is>
          <t xml:space="preserve">SF90 Stradale</t>
        </is>
      </c>
      <c r="K8" s="46" t="inlineStr">
        <is>
          <t xml:space="preserve">6F7B6VH3LVJUPCL25</t>
        </is>
      </c>
      <c r="L8" s="48" t="inlineStr">
        <is>
          <t xml:space="preserve">03 - Supercar</t>
        </is>
      </c>
      <c r="M8" s="50">
        <v>490000</v>
      </c>
      <c r="N8" s="48" t="inlineStr">
        <is>
          <t xml:space="preserve">Personal</t>
        </is>
      </c>
      <c r="O8" s="46" t="inlineStr">
        <is>
          <t xml:space="preserve">Personal - regular use</t>
        </is>
      </c>
      <c r="P8" s="46" t="inlineStr">
        <is>
          <t xml:space="preserve">Under 1,000</t>
        </is>
      </c>
      <c r="Q8" s="46" t="inlineStr">
        <is>
          <t xml:space="preserve">Connecticut</t>
        </is>
      </c>
      <c r="R8" s="46" t="inlineStr">
        <is>
          <t xml:space="preserve">06103</t>
        </is>
      </c>
      <c r="S8" s="48" t="inlineStr">
        <is>
          <t xml:space="preserve">Tier 3 - Coastal wind (25-100 miles)</t>
        </is>
      </c>
      <c r="T8" s="36">
        <f>IF($A8="","",IF($S8="","",IFERROR(INDEX('[1]natural catastrophe'!$D$6:$D$17,MATCH($S8,'[1]natural catastrophe'!$B$6:$B$17,0)),"?")))</f>
      </c>
      <c r="U8" s="46" t="inlineStr">
        <is>
          <t xml:space="preserve">2% of agreed value, minimum $10,000</t>
        </is>
      </c>
      <c r="V8" s="48" t="inlineStr">
        <is>
          <t xml:space="preserve">Agreed Value</t>
        </is>
      </c>
      <c r="W8" s="46" t="inlineStr">
        <is>
          <t xml:space="preserve">$1,000</t>
        </is>
      </c>
      <c r="X8" s="48" t="inlineStr">
        <is>
          <t xml:space="preserve">$1,000,000 CSL</t>
        </is>
      </c>
      <c r="Y8" s="46"/>
      <c r="Z8" s="46"/>
      <c r="AA8" s="48" t="inlineStr">
        <is>
          <t xml:space="preserve">Surplus Lines</t>
        </is>
      </c>
      <c r="AB8" s="50">
        <v>9107.18</v>
      </c>
      <c r="AC8" s="51">
        <v>0</v>
      </c>
      <c r="AD8" s="38">
        <f>IF(ISNUMBER($AB8),$AB8*(1+N($AC8)),"")</f>
      </c>
      <c r="AE8" s="50">
        <v>350</v>
      </c>
      <c r="AF8" s="50">
        <v>0</v>
      </c>
      <c r="AG8" s="51"/>
      <c r="AH8" s="39">
        <f>IF(ISNUMBER($AD8),($AD8+$AE8+$AF8)*$AG8,"")</f>
      </c>
      <c r="AI8" s="50"/>
      <c r="AJ8" s="38">
        <f>IF(ISNUMBER($AD8),SUM($AD8:$AH8),"")</f>
      </c>
      <c r="AK8" s="40">
        <f>IF(AND(ISNUMBER($AB8),ISNUMBER($AD8)),IF($AB8&gt;0,$AD8/$AB8,""),"")</f>
      </c>
      <c r="AL8" s="48" t="inlineStr">
        <is>
          <t xml:space="preserve">At technical</t>
        </is>
      </c>
      <c r="AM8" s="41">
        <f>IF(ISNUMBER($AD8),Header!$I$3,"")</f>
      </c>
      <c r="AN8" s="39">
        <f>IF(ISNUMBER($AD8),$AO8+$AP8,"")</f>
      </c>
      <c r="AO8" s="39">
        <f>IF(ISNUMBER($AD8),ROUND($AD8*Header!$K$3,2),"")</f>
      </c>
      <c r="AP8" s="39">
        <f>IF(ISNUMBER($AD8),ROUND($AD8*Header!$M$3,2),"")</f>
      </c>
      <c r="AQ8" s="38">
        <f>IF(ISNUMBER($AD8),ROUND($AD8,2)-$AO8-$AP8,"")</f>
      </c>
      <c r="AR8" s="39">
        <f>IF(ISNUMBER($AD8),IF(Header!$D$34="","?",$AD8*Header!$D$34),"")</f>
      </c>
      <c r="AS8" s="39">
        <f>IF(ISNUMBER($AB8),IF(Header!$D$34="","?",$AB8*Header!$D$34),"")</f>
      </c>
      <c r="AT8" s="42">
        <f>IF(AND(ISNUMBER($AB8),$M8&gt;0),$AB8/$M8*100,"")</f>
      </c>
      <c r="AU8" s="42">
        <f>IF(AND(ISNUMBER($AD8),$M8&gt;0),$AD8/$M8*100,"")</f>
      </c>
      <c r="AV8" s="40">
        <f>IF(AND(ISNUMBER($AB8),ISNUMBER($AD8),ABS($AB8)&gt;0),$AD8/$AB8,"")</f>
      </c>
      <c r="AW8" s="39">
        <f>IF(ISNUMBER($AD8),MAX(0,(1-0.55-Header!$O$3)*Header!$Q$3*$AQ8),"")</f>
      </c>
      <c r="AX8" s="43">
        <f>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c>
      <c r="AY8" s="44">
        <f>IF($M8="","",IF(ISNUMBER($M8),IF($M8&gt;=Header!$C$18,"YES — refer","No"),""))</f>
      </c>
      <c r="AZ8" s="44">
        <f>IF($AD8="","",IF(ISNUMBER($AD8),IF($AD8&lt;Header!$C$20,"BELOW MIN PREMIUM","OK"),""))</f>
      </c>
      <c r="BA8" s="48" t="inlineStr">
        <is>
          <t xml:space="preserve">Yes</t>
        </is>
      </c>
      <c r="BB8" s="48" t="inlineStr">
        <is>
          <t xml:space="preserve">Yes</t>
        </is>
      </c>
      <c r="BC8" s="46" t="inlineStr">
        <is>
          <t xml:space="preserve">Synthetic demo data</t>
        </is>
      </c>
      <c r="BE8" s="45">
        <f>IF(OR($A8="",$L8="",$H8=""),"",IF(AND(LEFT($L8,2)="06",$H8&gt;1945),"FAIL - pre-war class, year "&amp;$H8,IF(AND(LEFT($L8,2)="07",OR($H8&lt;1946,$H8&gt;1972)),"FAIL - 1946-72 class, year "&amp;$H8,IF(AND(LEFT($L8,2)="08",OR($H8&lt;1973,$H8&gt;1999)),"FAIL - 1973-99 class, year "&amp;$H8,IF(AND(LEFT($L8,2)="09",OR($H8&lt;2000,$H8&gt;2010)),"FAIL - 2000-10 class, year "&amp;$H8,"OK")))))</f>
      </c>
      <c r="BF8" s="45">
        <f>IF($AD8="","",IF(ROUND($AO8+$AP8+$AQ8-$AD8,2)=0,"OK","FAIL - out by "&amp;TEXT($AO8+$AP8+$AQ8-$AD8,"$0.00")))</f>
      </c>
    </row>
    <row r="9" spans="1:58" ht="18.75" customHeight="1" x14ac:dyDescent="0.25">
      <c r="A9" s="30" t="inlineStr">
        <is>
          <t xml:space="preserve">CANON-202606-008409</t>
        </is>
      </c>
      <c r="B9" s="30" t="inlineStr">
        <is>
          <t xml:space="preserve">Thaddeus Harrington</t>
        </is>
      </c>
      <c r="C9" s="31">
        <v>46188</v>
      </c>
      <c r="D9" s="32" t="inlineStr">
        <is>
          <t xml:space="preserve">Bound - within authority</t>
        </is>
      </c>
      <c r="E9" s="32" t="inlineStr">
        <is>
          <t xml:space="preserve">New business</t>
        </is>
      </c>
      <c r="F9" s="30" t="inlineStr">
        <is>
          <t xml:space="preserve">B1234EXOTIC26</t>
        </is>
      </c>
      <c r="G9" s="33">
        <f>IF($A9="","",IF($C9="","",YEAR($C9)))</f>
      </c>
      <c r="H9" s="34">
        <v>1989</v>
      </c>
      <c r="I9" s="30" t="inlineStr">
        <is>
          <t xml:space="preserve">Lamborghini</t>
        </is>
      </c>
      <c r="J9" s="30" t="inlineStr">
        <is>
          <t xml:space="preserve">Huracan EVO</t>
        </is>
      </c>
      <c r="K9" s="30" t="inlineStr">
        <is>
          <t xml:space="preserve">0V8KXRP38LY33L48L</t>
        </is>
      </c>
      <c r="L9" s="32" t="inlineStr">
        <is>
          <t xml:space="preserve">03 - Supercar</t>
        </is>
      </c>
      <c r="M9" s="35">
        <v>845000</v>
      </c>
      <c r="N9" s="32" t="inlineStr">
        <is>
          <t xml:space="preserve">Personal</t>
        </is>
      </c>
      <c r="O9" s="30" t="inlineStr">
        <is>
          <t xml:space="preserve">Personal - regular use</t>
        </is>
      </c>
      <c r="P9" s="30" t="inlineStr">
        <is>
          <t xml:space="preserve">2,500 - 5,000</t>
        </is>
      </c>
      <c r="Q9" s="30" t="inlineStr">
        <is>
          <t xml:space="preserve">Maryland</t>
        </is>
      </c>
      <c r="R9" s="30" t="inlineStr">
        <is>
          <t xml:space="preserve">21201</t>
        </is>
      </c>
      <c r="S9" s="32" t="inlineStr">
        <is>
          <t xml:space="preserve">Tier 3 - Coastal wind (25-100 miles)</t>
        </is>
      </c>
      <c r="T9" s="36">
        <f>IF($A9="","",IF($S9="","",IFERROR(INDEX('[1]natural catastrophe'!$D$6:$D$17,MATCH($S9,'[1]natural catastrophe'!$B$6:$B$17,0)),"?")))</f>
      </c>
      <c r="U9" s="30" t="inlineStr">
        <is>
          <t xml:space="preserve">2% of agreed value, minimum $10,000</t>
        </is>
      </c>
      <c r="V9" s="32" t="inlineStr">
        <is>
          <t xml:space="preserve">Agreed Value</t>
        </is>
      </c>
      <c r="W9" s="30" t="inlineStr">
        <is>
          <t xml:space="preserve">$1,000</t>
        </is>
      </c>
      <c r="X9" s="32" t="inlineStr">
        <is>
          <t xml:space="preserve">$1,000,000 CSL</t>
        </is>
      </c>
      <c r="Y9" s="30"/>
      <c r="Z9" s="30"/>
      <c r="AA9" s="32" t="inlineStr">
        <is>
          <t xml:space="preserve">Surplus Lines</t>
        </is>
      </c>
      <c r="AB9" s="35">
        <v>11004.65</v>
      </c>
      <c r="AC9" s="37">
        <v>0</v>
      </c>
      <c r="AD9" s="38">
        <f>IF(ISNUMBER($AB9),$AB9*(1+N($AC9)),"")</f>
      </c>
      <c r="AE9" s="35">
        <v>350</v>
      </c>
      <c r="AF9" s="35">
        <v>0</v>
      </c>
      <c r="AG9" s="37"/>
      <c r="AH9" s="39">
        <f>IF(ISNUMBER($AD9),($AD9+$AE9+$AF9)*$AG9,"")</f>
      </c>
      <c r="AI9" s="35"/>
      <c r="AJ9" s="38">
        <f>IF(ISNUMBER($AD9),SUM($AD9:$AH9),"")</f>
      </c>
      <c r="AK9" s="40">
        <f>IF(AND(ISNUMBER($AB9),ISNUMBER($AD9)),IF($AB9&gt;0,$AD9/$AB9,""),"")</f>
      </c>
      <c r="AL9" s="32" t="inlineStr">
        <is>
          <t xml:space="preserve">At technical</t>
        </is>
      </c>
      <c r="AM9" s="41">
        <f>IF(ISNUMBER($AD9),Header!$I$3,"")</f>
      </c>
      <c r="AN9" s="39">
        <f>IF(ISNUMBER($AD9),$AO9+$AP9,"")</f>
      </c>
      <c r="AO9" s="39">
        <f>IF(ISNUMBER($AD9),ROUND($AD9*Header!$K$3,2),"")</f>
      </c>
      <c r="AP9" s="39">
        <f>IF(ISNUMBER($AD9),ROUND($AD9*Header!$M$3,2),"")</f>
      </c>
      <c r="AQ9" s="38">
        <f>IF(ISNUMBER($AD9),ROUND($AD9,2)-$AO9-$AP9,"")</f>
      </c>
      <c r="AR9" s="39">
        <f>IF(ISNUMBER($AD9),IF(Header!$D$34="","?",$AD9*Header!$D$34),"")</f>
      </c>
      <c r="AS9" s="39">
        <f>IF(ISNUMBER($AB9),IF(Header!$D$34="","?",$AB9*Header!$D$34),"")</f>
      </c>
      <c r="AT9" s="42">
        <f>IF(AND(ISNUMBER($AB9),$M9&gt;0),$AB9/$M9*100,"")</f>
      </c>
      <c r="AU9" s="42">
        <f>IF(AND(ISNUMBER($AD9),$M9&gt;0),$AD9/$M9*100,"")</f>
      </c>
      <c r="AV9" s="40">
        <f>IF(AND(ISNUMBER($AB9),ISNUMBER($AD9),ABS($AB9)&gt;0),$AD9/$AB9,"")</f>
      </c>
      <c r="AW9" s="39">
        <f>IF(ISNUMBER($AD9),MAX(0,(1-0.55-Header!$O$3)*Header!$Q$3*$AQ9),"")</f>
      </c>
      <c r="AX9" s="43">
        <f>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c>
      <c r="AY9" s="44">
        <f>IF($M9="","",IF(ISNUMBER($M9),IF($M9&gt;=Header!$C$18,"YES — refer","No"),""))</f>
      </c>
      <c r="AZ9" s="44">
        <f>IF($AD9="","",IF(ISNUMBER($AD9),IF($AD9&lt;Header!$C$20,"BELOW MIN PREMIUM","OK"),""))</f>
      </c>
      <c r="BA9" s="32" t="inlineStr">
        <is>
          <t xml:space="preserve">Yes</t>
        </is>
      </c>
      <c r="BB9" s="32" t="inlineStr">
        <is>
          <t xml:space="preserve">Yes</t>
        </is>
      </c>
      <c r="BC9" s="30" t="inlineStr">
        <is>
          <t xml:space="preserve">Synthetic demo data</t>
        </is>
      </c>
      <c r="BE9" s="45">
        <f>IF(OR($A9="",$L9="",$H9=""),"",IF(AND(LEFT($L9,2)="06",$H9&gt;1945),"FAIL - pre-war class, year "&amp;$H9,IF(AND(LEFT($L9,2)="07",OR($H9&lt;1946,$H9&gt;1972)),"FAIL - 1946-72 class, year "&amp;$H9,IF(AND(LEFT($L9,2)="08",OR($H9&lt;1973,$H9&gt;1999)),"FAIL - 1973-99 class, year "&amp;$H9,IF(AND(LEFT($L9,2)="09",OR($H9&lt;2000,$H9&gt;2010)),"FAIL - 2000-10 class, year "&amp;$H9,"OK")))))</f>
      </c>
      <c r="BF9" s="45">
        <f>IF($AD9="","",IF(ROUND($AO9+$AP9+$AQ9-$AD9,2)=0,"OK","FAIL - out by "&amp;TEXT($AO9+$AP9+$AQ9-$AD9,"$0.00")))</f>
      </c>
    </row>
    <row r="10" spans="1:58" ht="18.75" customHeight="1" x14ac:dyDescent="0.25">
      <c r="A10" s="46" t="inlineStr">
        <is>
          <t xml:space="preserve">CANON-202606-008410</t>
        </is>
      </c>
      <c r="B10" s="46" t="inlineStr">
        <is>
          <t xml:space="preserve">Mireille Nakashima</t>
        </is>
      </c>
      <c r="C10" s="47">
        <v>46185</v>
      </c>
      <c r="D10" s="48" t="inlineStr">
        <is>
          <t xml:space="preserve">Bound - within authority</t>
        </is>
      </c>
      <c r="E10" s="48" t="inlineStr">
        <is>
          <t xml:space="preserve">New business</t>
        </is>
      </c>
      <c r="F10" s="46" t="inlineStr">
        <is>
          <t xml:space="preserve">B1234EXOTIC26</t>
        </is>
      </c>
      <c r="G10" s="33">
        <f>IF($A10="","",IF($C10="","",YEAR($C10)))</f>
      </c>
      <c r="H10" s="49">
        <v>1995</v>
      </c>
      <c r="I10" s="46" t="inlineStr">
        <is>
          <t xml:space="preserve">Ferrari</t>
        </is>
      </c>
      <c r="J10" s="46" t="inlineStr">
        <is>
          <t xml:space="preserve">296 GTB</t>
        </is>
      </c>
      <c r="K10" s="46" t="inlineStr">
        <is>
          <t xml:space="preserve">JXZE5AMB42XXJTHP2</t>
        </is>
      </c>
      <c r="L10" s="48" t="inlineStr">
        <is>
          <t xml:space="preserve">03 - Supercar</t>
        </is>
      </c>
      <c r="M10" s="50">
        <v>625000</v>
      </c>
      <c r="N10" s="48" t="inlineStr">
        <is>
          <t xml:space="preserve">Personal</t>
        </is>
      </c>
      <c r="O10" s="46" t="inlineStr">
        <is>
          <t xml:space="preserve">Personal - regular use</t>
        </is>
      </c>
      <c r="P10" s="46" t="inlineStr">
        <is>
          <t xml:space="preserve">1,000 - 2,500</t>
        </is>
      </c>
      <c r="Q10" s="46" t="inlineStr">
        <is>
          <t xml:space="preserve">Washington</t>
        </is>
      </c>
      <c r="R10" s="46" t="inlineStr">
        <is>
          <t xml:space="preserve">98101</t>
        </is>
      </c>
      <c r="S10" s="48" t="inlineStr">
        <is>
          <t xml:space="preserve">Earthquake - high (CA, Cascadia, New Madrid)</t>
        </is>
      </c>
      <c r="T10" s="36">
        <f>IF($A10="","",IF($S10="","",IFERROR(INDEX('[1]natural catastrophe'!$D$6:$D$17,MATCH($S10,'[1]natural catastrophe'!$B$6:$B$17,0)),"?")))</f>
      </c>
      <c r="U10" s="46" t="inlineStr">
        <is>
          <t xml:space="preserve">$5,000</t>
        </is>
      </c>
      <c r="V10" s="48" t="inlineStr">
        <is>
          <t xml:space="preserve">Agreed Value</t>
        </is>
      </c>
      <c r="W10" s="46" t="inlineStr">
        <is>
          <t xml:space="preserve">$1,000</t>
        </is>
      </c>
      <c r="X10" s="48" t="inlineStr">
        <is>
          <t xml:space="preserve">$1,000,000 CSL</t>
        </is>
      </c>
      <c r="Y10" s="46"/>
      <c r="Z10" s="46"/>
      <c r="AA10" s="48" t="inlineStr">
        <is>
          <t xml:space="preserve">Surplus Lines</t>
        </is>
      </c>
      <c r="AB10" s="50">
        <v>8225.21</v>
      </c>
      <c r="AC10" s="51">
        <v>0</v>
      </c>
      <c r="AD10" s="38">
        <f>IF(ISNUMBER($AB10),$AB10*(1+N($AC10)),"")</f>
      </c>
      <c r="AE10" s="50">
        <v>350</v>
      </c>
      <c r="AF10" s="50">
        <v>0</v>
      </c>
      <c r="AG10" s="51"/>
      <c r="AH10" s="39">
        <f>IF(ISNUMBER($AD10),($AD10+$AE10+$AF10)*$AG10,"")</f>
      </c>
      <c r="AI10" s="50"/>
      <c r="AJ10" s="38">
        <f>IF(ISNUMBER($AD10),SUM($AD10:$AH10),"")</f>
      </c>
      <c r="AK10" s="40">
        <f>IF(AND(ISNUMBER($AB10),ISNUMBER($AD10)),IF($AB10&gt;0,$AD10/$AB10,""),"")</f>
      </c>
      <c r="AL10" s="48" t="inlineStr">
        <is>
          <t xml:space="preserve">At technical</t>
        </is>
      </c>
      <c r="AM10" s="41">
        <f>IF(ISNUMBER($AD10),Header!$I$3,"")</f>
      </c>
      <c r="AN10" s="39">
        <f>IF(ISNUMBER($AD10),$AO10+$AP10,"")</f>
      </c>
      <c r="AO10" s="39">
        <f>IF(ISNUMBER($AD10),ROUND($AD10*Header!$K$3,2),"")</f>
      </c>
      <c r="AP10" s="39">
        <f>IF(ISNUMBER($AD10),ROUND($AD10*Header!$M$3,2),"")</f>
      </c>
      <c r="AQ10" s="38">
        <f>IF(ISNUMBER($AD10),ROUND($AD10,2)-$AO10-$AP10,"")</f>
      </c>
      <c r="AR10" s="39">
        <f>IF(ISNUMBER($AD10),IF(Header!$D$34="","?",$AD10*Header!$D$34),"")</f>
      </c>
      <c r="AS10" s="39">
        <f>IF(ISNUMBER($AB10),IF(Header!$D$34="","?",$AB10*Header!$D$34),"")</f>
      </c>
      <c r="AT10" s="42">
        <f>IF(AND(ISNUMBER($AB10),$M10&gt;0),$AB10/$M10*100,"")</f>
      </c>
      <c r="AU10" s="42">
        <f>IF(AND(ISNUMBER($AD10),$M10&gt;0),$AD10/$M10*100,"")</f>
      </c>
      <c r="AV10" s="40">
        <f>IF(AND(ISNUMBER($AB10),ISNUMBER($AD10),ABS($AB10)&gt;0),$AD10/$AB10,"")</f>
      </c>
      <c r="AW10" s="39">
        <f>IF(ISNUMBER($AD10),MAX(0,(1-0.55-Header!$O$3)*Header!$Q$3*$AQ10),"")</f>
      </c>
      <c r="AX10" s="43">
        <f>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c>
      <c r="AY10" s="44">
        <f>IF($M10="","",IF(ISNUMBER($M10),IF($M10&gt;=Header!$C$18,"YES — refer","No"),""))</f>
      </c>
      <c r="AZ10" s="44">
        <f>IF($AD10="","",IF(ISNUMBER($AD10),IF($AD10&lt;Header!$C$20,"BELOW MIN PREMIUM","OK"),""))</f>
      </c>
      <c r="BA10" s="48" t="inlineStr">
        <is>
          <t xml:space="preserve">Yes</t>
        </is>
      </c>
      <c r="BB10" s="48" t="inlineStr">
        <is>
          <t xml:space="preserve">Yes</t>
        </is>
      </c>
      <c r="BC10" s="46" t="inlineStr">
        <is>
          <t xml:space="preserve">Synthetic demo data</t>
        </is>
      </c>
      <c r="BE10" s="45">
        <f>IF(OR($A10="",$L10="",$H10=""),"",IF(AND(LEFT($L10,2)="06",$H10&gt;1945),"FAIL - pre-war class, year "&amp;$H10,IF(AND(LEFT($L10,2)="07",OR($H10&lt;1946,$H10&gt;1972)),"FAIL - 1946-72 class, year "&amp;$H10,IF(AND(LEFT($L10,2)="08",OR($H10&lt;1973,$H10&gt;1999)),"FAIL - 1973-99 class, year "&amp;$H10,IF(AND(LEFT($L10,2)="09",OR($H10&lt;2000,$H10&gt;2010)),"FAIL - 2000-10 class, year "&amp;$H10,"OK")))))</f>
      </c>
      <c r="BF10" s="45">
        <f>IF($AD10="","",IF(ROUND($AO10+$AP10+$AQ10-$AD10,2)=0,"OK","FAIL - out by "&amp;TEXT($AO10+$AP10+$AQ10-$AD10,"$0.00")))</f>
      </c>
    </row>
    <row r="11" spans="1:58" ht="18.75" customHeight="1" x14ac:dyDescent="0.25">
      <c r="A11" s="30" t="inlineStr">
        <is>
          <t xml:space="preserve">CANON-202606-008411</t>
        </is>
      </c>
      <c r="B11" s="30" t="inlineStr">
        <is>
          <t xml:space="preserve">Desmond Blackwood</t>
        </is>
      </c>
      <c r="C11" s="31">
        <v>46179</v>
      </c>
      <c r="D11" s="32" t="inlineStr">
        <is>
          <t xml:space="preserve">Bound - within authority</t>
        </is>
      </c>
      <c r="E11" s="32" t="inlineStr">
        <is>
          <t xml:space="preserve">New business</t>
        </is>
      </c>
      <c r="F11" s="30" t="inlineStr">
        <is>
          <t xml:space="preserve">B1234EXOTIC26</t>
        </is>
      </c>
      <c r="G11" s="33">
        <f>IF($A11="","",IF($C11="","",YEAR($C11)))</f>
      </c>
      <c r="H11" s="34">
        <v>1955</v>
      </c>
      <c r="I11" s="30" t="inlineStr">
        <is>
          <t xml:space="preserve">BMW</t>
        </is>
      </c>
      <c r="J11" s="30" t="inlineStr">
        <is>
          <t xml:space="preserve">M8 Competition</t>
        </is>
      </c>
      <c r="K11" s="30" t="inlineStr">
        <is>
          <t xml:space="preserve">RKEJ9CCD39WYUBUXK</t>
        </is>
      </c>
      <c r="L11" s="32" t="inlineStr">
        <is>
          <t xml:space="preserve">02 - Sports / GT</t>
        </is>
      </c>
      <c r="M11" s="35">
        <v>320000</v>
      </c>
      <c r="N11" s="32" t="inlineStr">
        <is>
          <t xml:space="preserve">Personal</t>
        </is>
      </c>
      <c r="O11" s="30" t="inlineStr">
        <is>
          <t xml:space="preserve">Personal - regular use</t>
        </is>
      </c>
      <c r="P11" s="30" t="inlineStr">
        <is>
          <t xml:space="preserve">Under 1,000</t>
        </is>
      </c>
      <c r="Q11" s="30" t="inlineStr">
        <is>
          <t xml:space="preserve">South Carolina</t>
        </is>
      </c>
      <c r="R11" s="30" t="inlineStr">
        <is>
          <t xml:space="preserve">29401</t>
        </is>
      </c>
      <c r="S11" s="32" t="inlineStr">
        <is>
          <t xml:space="preserve">Tier 2 - Coastal wind (1-25 miles)</t>
        </is>
      </c>
      <c r="T11" s="36">
        <f>IF($A11="","",IF($S11="","",IFERROR(INDEX('[1]natural catastrophe'!$D$6:$D$17,MATCH($S11,'[1]natural catastrophe'!$B$6:$B$17,0)),"?")))</f>
      </c>
      <c r="U11" s="30" t="inlineStr">
        <is>
          <t xml:space="preserve">2% of agreed value, minimum $10,000</t>
        </is>
      </c>
      <c r="V11" s="32" t="inlineStr">
        <is>
          <t xml:space="preserve">Agreed Value</t>
        </is>
      </c>
      <c r="W11" s="30" t="inlineStr">
        <is>
          <t xml:space="preserve">$1,000</t>
        </is>
      </c>
      <c r="X11" s="32" t="inlineStr">
        <is>
          <t xml:space="preserve">$1,000,000 CSL</t>
        </is>
      </c>
      <c r="Y11" s="30"/>
      <c r="Z11" s="30"/>
      <c r="AA11" s="32" t="inlineStr">
        <is>
          <t xml:space="preserve">Surplus Lines</t>
        </is>
      </c>
      <c r="AB11" s="35">
        <v>4294.42</v>
      </c>
      <c r="AC11" s="37">
        <v>0</v>
      </c>
      <c r="AD11" s="38">
        <f>IF(ISNUMBER($AB11),$AB11*(1+N($AC11)),"")</f>
      </c>
      <c r="AE11" s="35">
        <v>350</v>
      </c>
      <c r="AF11" s="35">
        <v>0</v>
      </c>
      <c r="AG11" s="37"/>
      <c r="AH11" s="39">
        <f>IF(ISNUMBER($AD11),($AD11+$AE11+$AF11)*$AG11,"")</f>
      </c>
      <c r="AI11" s="35"/>
      <c r="AJ11" s="38">
        <f>IF(ISNUMBER($AD11),SUM($AD11:$AH11),"")</f>
      </c>
      <c r="AK11" s="40">
        <f>IF(AND(ISNUMBER($AB11),ISNUMBER($AD11)),IF($AB11&gt;0,$AD11/$AB11,""),"")</f>
      </c>
      <c r="AL11" s="32" t="inlineStr">
        <is>
          <t xml:space="preserve">At technical</t>
        </is>
      </c>
      <c r="AM11" s="41">
        <f>IF(ISNUMBER($AD11),Header!$I$3,"")</f>
      </c>
      <c r="AN11" s="39">
        <f>IF(ISNUMBER($AD11),$AO11+$AP11,"")</f>
      </c>
      <c r="AO11" s="39">
        <f>IF(ISNUMBER($AD11),ROUND($AD11*Header!$K$3,2),"")</f>
      </c>
      <c r="AP11" s="39">
        <f>IF(ISNUMBER($AD11),ROUND($AD11*Header!$M$3,2),"")</f>
      </c>
      <c r="AQ11" s="38">
        <f>IF(ISNUMBER($AD11),ROUND($AD11,2)-$AO11-$AP11,"")</f>
      </c>
      <c r="AR11" s="39">
        <f>IF(ISNUMBER($AD11),IF(Header!$D$34="","?",$AD11*Header!$D$34),"")</f>
      </c>
      <c r="AS11" s="39">
        <f>IF(ISNUMBER($AB11),IF(Header!$D$34="","?",$AB11*Header!$D$34),"")</f>
      </c>
      <c r="AT11" s="42">
        <f>IF(AND(ISNUMBER($AB11),$M11&gt;0),$AB11/$M11*100,"")</f>
      </c>
      <c r="AU11" s="42">
        <f>IF(AND(ISNUMBER($AD11),$M11&gt;0),$AD11/$M11*100,"")</f>
      </c>
      <c r="AV11" s="40">
        <f>IF(AND(ISNUMBER($AB11),ISNUMBER($AD11),ABS($AB11)&gt;0),$AD11/$AB11,"")</f>
      </c>
      <c r="AW11" s="39">
        <f>IF(ISNUMBER($AD11),MAX(0,(1-0.55-Header!$O$3)*Header!$Q$3*$AQ11),"")</f>
      </c>
      <c r="AX11" s="43">
        <f>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c>
      <c r="AY11" s="44">
        <f>IF($M11="","",IF(ISNUMBER($M11),IF($M11&gt;=Header!$C$18,"YES — refer","No"),""))</f>
      </c>
      <c r="AZ11" s="44">
        <f>IF($AD11="","",IF(ISNUMBER($AD11),IF($AD11&lt;Header!$C$20,"BELOW MIN PREMIUM","OK"),""))</f>
      </c>
      <c r="BA11" s="32" t="inlineStr">
        <is>
          <t xml:space="preserve">Yes</t>
        </is>
      </c>
      <c r="BB11" s="32" t="inlineStr">
        <is>
          <t xml:space="preserve">Yes</t>
        </is>
      </c>
      <c r="BC11" s="30" t="inlineStr">
        <is>
          <t xml:space="preserve">Synthetic demo data</t>
        </is>
      </c>
      <c r="BE11" s="45">
        <f>IF(OR($A11="",$L11="",$H11=""),"",IF(AND(LEFT($L11,2)="06",$H11&gt;1945),"FAIL - pre-war class, year "&amp;$H11,IF(AND(LEFT($L11,2)="07",OR($H11&lt;1946,$H11&gt;1972)),"FAIL - 1946-72 class, year "&amp;$H11,IF(AND(LEFT($L11,2)="08",OR($H11&lt;1973,$H11&gt;1999)),"FAIL - 1973-99 class, year "&amp;$H11,IF(AND(LEFT($L11,2)="09",OR($H11&lt;2000,$H11&gt;2010)),"FAIL - 2000-10 class, year "&amp;$H11,"OK")))))</f>
      </c>
      <c r="BF11" s="45">
        <f>IF($AD11="","",IF(ROUND($AO11+$AP11+$AQ11-$AD11,2)=0,"OK","FAIL - out by "&amp;TEXT($AO11+$AP11+$AQ11-$AD11,"$0.00")))</f>
      </c>
    </row>
    <row r="12" spans="1:58" ht="18.75" customHeight="1" x14ac:dyDescent="0.25">
      <c r="A12" s="46" t="inlineStr">
        <is>
          <t xml:space="preserve">CANON-202606-008414</t>
        </is>
      </c>
      <c r="B12" s="46" t="inlineStr">
        <is>
          <t xml:space="preserve">Delphine Bellandi</t>
        </is>
      </c>
      <c r="C12" s="47">
        <v>46184</v>
      </c>
      <c r="D12" s="48" t="inlineStr">
        <is>
          <t xml:space="preserve">Bound - within authority</t>
        </is>
      </c>
      <c r="E12" s="48" t="inlineStr">
        <is>
          <t xml:space="preserve">New business</t>
        </is>
      </c>
      <c r="F12" s="46" t="inlineStr">
        <is>
          <t xml:space="preserve">B1234EXOTIC26</t>
        </is>
      </c>
      <c r="G12" s="33">
        <f>IF($A12="","",IF($C12="","",YEAR($C12)))</f>
      </c>
      <c r="H12" s="49">
        <v>2005</v>
      </c>
      <c r="I12" s="46" t="inlineStr">
        <is>
          <t xml:space="preserve">Bentley</t>
        </is>
      </c>
      <c r="J12" s="46" t="inlineStr">
        <is>
          <t xml:space="preserve">Continental GT</t>
        </is>
      </c>
      <c r="K12" s="46" t="inlineStr">
        <is>
          <t xml:space="preserve">TSV8DDXJ5HJP5JEFM</t>
        </is>
      </c>
      <c r="L12" s="48" t="inlineStr">
        <is>
          <t xml:space="preserve">02 - Sports / GT</t>
        </is>
      </c>
      <c r="M12" s="50">
        <v>330000</v>
      </c>
      <c r="N12" s="48" t="inlineStr">
        <is>
          <t xml:space="preserve">Personal</t>
        </is>
      </c>
      <c r="O12" s="46" t="inlineStr">
        <is>
          <t xml:space="preserve">Personal - regular use</t>
        </is>
      </c>
      <c r="P12" s="46" t="inlineStr">
        <is>
          <t xml:space="preserve">2,500 - 5,000</t>
        </is>
      </c>
      <c r="Q12" s="46" t="inlineStr">
        <is>
          <t xml:space="preserve">Pennsylvania</t>
        </is>
      </c>
      <c r="R12" s="46" t="inlineStr">
        <is>
          <t xml:space="preserve">19103</t>
        </is>
      </c>
      <c r="S12" s="48" t="inlineStr">
        <is>
          <t xml:space="preserve">Low hazard - inland benign</t>
        </is>
      </c>
      <c r="T12" s="36">
        <f>IF($A12="","",IF($S12="","",IFERROR(INDEX('[1]natural catastrophe'!$D$6:$D$17,MATCH($S12,'[1]natural catastrophe'!$B$6:$B$17,0)),"?")))</f>
      </c>
      <c r="U12" s="46" t="inlineStr">
        <is>
          <t xml:space="preserve">$5,000</t>
        </is>
      </c>
      <c r="V12" s="48" t="inlineStr">
        <is>
          <t xml:space="preserve">Agreed Value</t>
        </is>
      </c>
      <c r="W12" s="46" t="inlineStr">
        <is>
          <t xml:space="preserve">$1,000</t>
        </is>
      </c>
      <c r="X12" s="48" t="inlineStr">
        <is>
          <t xml:space="preserve">$1,000,000 CSL</t>
        </is>
      </c>
      <c r="Y12" s="46"/>
      <c r="Z12" s="46"/>
      <c r="AA12" s="48" t="inlineStr">
        <is>
          <t xml:space="preserve">Surplus Lines</t>
        </is>
      </c>
      <c r="AB12" s="50">
        <v>3571.47</v>
      </c>
      <c r="AC12" s="51">
        <v>0</v>
      </c>
      <c r="AD12" s="38">
        <f>IF(ISNUMBER($AB12),$AB12*(1+N($AC12)),"")</f>
      </c>
      <c r="AE12" s="50">
        <v>350</v>
      </c>
      <c r="AF12" s="50">
        <v>0</v>
      </c>
      <c r="AG12" s="51"/>
      <c r="AH12" s="39">
        <f>IF(ISNUMBER($AD12),($AD12+$AE12+$AF12)*$AG12,"")</f>
      </c>
      <c r="AI12" s="50"/>
      <c r="AJ12" s="38">
        <f>IF(ISNUMBER($AD12),SUM($AD12:$AH12),"")</f>
      </c>
      <c r="AK12" s="40">
        <f>IF(AND(ISNUMBER($AB12),ISNUMBER($AD12)),IF($AB12&gt;0,$AD12/$AB12,""),"")</f>
      </c>
      <c r="AL12" s="48" t="inlineStr">
        <is>
          <t xml:space="preserve">At technical</t>
        </is>
      </c>
      <c r="AM12" s="41">
        <f>IF(ISNUMBER($AD12),Header!$I$3,"")</f>
      </c>
      <c r="AN12" s="39">
        <f>IF(ISNUMBER($AD12),$AO12+$AP12,"")</f>
      </c>
      <c r="AO12" s="39">
        <f>IF(ISNUMBER($AD12),ROUND($AD12*Header!$K$3,2),"")</f>
      </c>
      <c r="AP12" s="39">
        <f>IF(ISNUMBER($AD12),ROUND($AD12*Header!$M$3,2),"")</f>
      </c>
      <c r="AQ12" s="38">
        <f>IF(ISNUMBER($AD12),ROUND($AD12,2)-$AO12-$AP12,"")</f>
      </c>
      <c r="AR12" s="39">
        <f>IF(ISNUMBER($AD12),IF(Header!$D$34="","?",$AD12*Header!$D$34),"")</f>
      </c>
      <c r="AS12" s="39">
        <f>IF(ISNUMBER($AB12),IF(Header!$D$34="","?",$AB12*Header!$D$34),"")</f>
      </c>
      <c r="AT12" s="42">
        <f>IF(AND(ISNUMBER($AB12),$M12&gt;0),$AB12/$M12*100,"")</f>
      </c>
      <c r="AU12" s="42">
        <f>IF(AND(ISNUMBER($AD12),$M12&gt;0),$AD12/$M12*100,"")</f>
      </c>
      <c r="AV12" s="40">
        <f>IF(AND(ISNUMBER($AB12),ISNUMBER($AD12),ABS($AB12)&gt;0),$AD12/$AB12,"")</f>
      </c>
      <c r="AW12" s="39">
        <f>IF(ISNUMBER($AD12),MAX(0,(1-0.55-Header!$O$3)*Header!$Q$3*$AQ12),"")</f>
      </c>
      <c r="AX12" s="43">
        <f>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c>
      <c r="AY12" s="44">
        <f>IF($M12="","",IF(ISNUMBER($M12),IF($M12&gt;=Header!$C$18,"YES — refer","No"),""))</f>
      </c>
      <c r="AZ12" s="44">
        <f>IF($AD12="","",IF(ISNUMBER($AD12),IF($AD12&lt;Header!$C$20,"BELOW MIN PREMIUM","OK"),""))</f>
      </c>
      <c r="BA12" s="48" t="inlineStr">
        <is>
          <t xml:space="preserve">Yes</t>
        </is>
      </c>
      <c r="BB12" s="48" t="inlineStr">
        <is>
          <t xml:space="preserve">Yes</t>
        </is>
      </c>
      <c r="BC12" s="46" t="inlineStr">
        <is>
          <t xml:space="preserve">Synthetic demo data</t>
        </is>
      </c>
      <c r="BE12" s="45">
        <f>IF(OR($A12="",$L12="",$H12=""),"",IF(AND(LEFT($L12,2)="06",$H12&gt;1945),"FAIL - pre-war class, year "&amp;$H12,IF(AND(LEFT($L12,2)="07",OR($H12&lt;1946,$H12&gt;1972)),"FAIL - 1946-72 class, year "&amp;$H12,IF(AND(LEFT($L12,2)="08",OR($H12&lt;1973,$H12&gt;1999)),"FAIL - 1973-99 class, year "&amp;$H12,IF(AND(LEFT($L12,2)="09",OR($H12&lt;2000,$H12&gt;2010)),"FAIL - 2000-10 class, year "&amp;$H12,"OK")))))</f>
      </c>
      <c r="BF12" s="45">
        <f>IF($AD12="","",IF(ROUND($AO12+$AP12+$AQ12-$AD12,2)=0,"OK","FAIL - out by "&amp;TEXT($AO12+$AP12+$AQ12-$AD12,"$0.00")))</f>
      </c>
    </row>
    <row r="13" spans="1:58" ht="18.75" customHeight="1" x14ac:dyDescent="0.25">
      <c r="A13" s="30" t="inlineStr">
        <is>
          <t xml:space="preserve">CANON-202606-008415</t>
        </is>
      </c>
      <c r="B13" s="30" t="inlineStr">
        <is>
          <t xml:space="preserve">Everett Farkas</t>
        </is>
      </c>
      <c r="C13" s="31">
        <v>46178</v>
      </c>
      <c r="D13" s="32" t="inlineStr">
        <is>
          <t xml:space="preserve">Bound - within authority</t>
        </is>
      </c>
      <c r="E13" s="32" t="inlineStr">
        <is>
          <t xml:space="preserve">New business</t>
        </is>
      </c>
      <c r="F13" s="30" t="inlineStr">
        <is>
          <t xml:space="preserve">B1234EXOTIC26</t>
        </is>
      </c>
      <c r="G13" s="33">
        <f>IF($A13="","",IF($C13="","",YEAR($C13)))</f>
      </c>
      <c r="H13" s="34">
        <v>1996</v>
      </c>
      <c r="I13" s="30" t="inlineStr">
        <is>
          <t xml:space="preserve">Bentley</t>
        </is>
      </c>
      <c r="J13" s="30" t="inlineStr">
        <is>
          <t xml:space="preserve">Continental GT</t>
        </is>
      </c>
      <c r="K13" s="30" t="inlineStr">
        <is>
          <t xml:space="preserve">SMDJBLHWJ0S5T453R</t>
        </is>
      </c>
      <c r="L13" s="32" t="inlineStr">
        <is>
          <t xml:space="preserve">02 - Sports / GT</t>
        </is>
      </c>
      <c r="M13" s="35">
        <v>450000</v>
      </c>
      <c r="N13" s="32" t="inlineStr">
        <is>
          <t xml:space="preserve">Personal</t>
        </is>
      </c>
      <c r="O13" s="30" t="inlineStr">
        <is>
          <t xml:space="preserve">Personal - regular use</t>
        </is>
      </c>
      <c r="P13" s="30" t="inlineStr">
        <is>
          <t xml:space="preserve">Under 1,000</t>
        </is>
      </c>
      <c r="Q13" s="30" t="inlineStr">
        <is>
          <t xml:space="preserve">Illinois</t>
        </is>
      </c>
      <c r="R13" s="30" t="inlineStr">
        <is>
          <t xml:space="preserve">60601</t>
        </is>
      </c>
      <c r="S13" s="32" t="inlineStr">
        <is>
          <t xml:space="preserve">Severe convective - hail / tornado (moderate)</t>
        </is>
      </c>
      <c r="T13" s="36">
        <f>IF($A13="","",IF($S13="","",IFERROR(INDEX('[1]natural catastrophe'!$D$6:$D$17,MATCH($S13,'[1]natural catastrophe'!$B$6:$B$17,0)),"?")))</f>
      </c>
      <c r="U13" s="30" t="inlineStr">
        <is>
          <t xml:space="preserve">$5,000</t>
        </is>
      </c>
      <c r="V13" s="32" t="inlineStr">
        <is>
          <t xml:space="preserve">Agreed Value</t>
        </is>
      </c>
      <c r="W13" s="30" t="inlineStr">
        <is>
          <t xml:space="preserve">$1,000</t>
        </is>
      </c>
      <c r="X13" s="32" t="inlineStr">
        <is>
          <t xml:space="preserve">$1,000,000 CSL</t>
        </is>
      </c>
      <c r="Y13" s="30"/>
      <c r="Z13" s="30"/>
      <c r="AA13" s="32" t="inlineStr">
        <is>
          <t xml:space="preserve">Surplus Lines</t>
        </is>
      </c>
      <c r="AB13" s="35">
        <v>6623.46</v>
      </c>
      <c r="AC13" s="37">
        <v>0</v>
      </c>
      <c r="AD13" s="38">
        <f>IF(ISNUMBER($AB13),$AB13*(1+N($AC13)),"")</f>
      </c>
      <c r="AE13" s="35">
        <v>350</v>
      </c>
      <c r="AF13" s="35">
        <v>0</v>
      </c>
      <c r="AG13" s="37"/>
      <c r="AH13" s="39">
        <f>IF(ISNUMBER($AD13),($AD13+$AE13+$AF13)*$AG13,"")</f>
      </c>
      <c r="AI13" s="35"/>
      <c r="AJ13" s="38">
        <f>IF(ISNUMBER($AD13),SUM($AD13:$AH13),"")</f>
      </c>
      <c r="AK13" s="40">
        <f>IF(AND(ISNUMBER($AB13),ISNUMBER($AD13)),IF($AB13&gt;0,$AD13/$AB13,""),"")</f>
      </c>
      <c r="AL13" s="32" t="inlineStr">
        <is>
          <t xml:space="preserve">At technical</t>
        </is>
      </c>
      <c r="AM13" s="41">
        <f>IF(ISNUMBER($AD13),Header!$I$3,"")</f>
      </c>
      <c r="AN13" s="39">
        <f>IF(ISNUMBER($AD13),$AO13+$AP13,"")</f>
      </c>
      <c r="AO13" s="39">
        <f>IF(ISNUMBER($AD13),ROUND($AD13*Header!$K$3,2),"")</f>
      </c>
      <c r="AP13" s="39">
        <f>IF(ISNUMBER($AD13),ROUND($AD13*Header!$M$3,2),"")</f>
      </c>
      <c r="AQ13" s="38">
        <f>IF(ISNUMBER($AD13),ROUND($AD13,2)-$AO13-$AP13,"")</f>
      </c>
      <c r="AR13" s="39">
        <f>IF(ISNUMBER($AD13),IF(Header!$D$34="","?",$AD13*Header!$D$34),"")</f>
      </c>
      <c r="AS13" s="39">
        <f>IF(ISNUMBER($AB13),IF(Header!$D$34="","?",$AB13*Header!$D$34),"")</f>
      </c>
      <c r="AT13" s="42">
        <f>IF(AND(ISNUMBER($AB13),$M13&gt;0),$AB13/$M13*100,"")</f>
      </c>
      <c r="AU13" s="42">
        <f>IF(AND(ISNUMBER($AD13),$M13&gt;0),$AD13/$M13*100,"")</f>
      </c>
      <c r="AV13" s="40">
        <f>IF(AND(ISNUMBER($AB13),ISNUMBER($AD13),ABS($AB13)&gt;0),$AD13/$AB13,"")</f>
      </c>
      <c r="AW13" s="39">
        <f>IF(ISNUMBER($AD13),MAX(0,(1-0.55-Header!$O$3)*Header!$Q$3*$AQ13),"")</f>
      </c>
      <c r="AX13" s="43">
        <f>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c>
      <c r="AY13" s="44">
        <f>IF($M13="","",IF(ISNUMBER($M13),IF($M13&gt;=Header!$C$18,"YES — refer","No"),""))</f>
      </c>
      <c r="AZ13" s="44">
        <f>IF($AD13="","",IF(ISNUMBER($AD13),IF($AD13&lt;Header!$C$20,"BELOW MIN PREMIUM","OK"),""))</f>
      </c>
      <c r="BA13" s="32" t="inlineStr">
        <is>
          <t xml:space="preserve">Yes</t>
        </is>
      </c>
      <c r="BB13" s="32" t="inlineStr">
        <is>
          <t xml:space="preserve">Yes</t>
        </is>
      </c>
      <c r="BC13" s="30" t="inlineStr">
        <is>
          <t xml:space="preserve">Synthetic demo data</t>
        </is>
      </c>
      <c r="BE13" s="45">
        <f>IF(OR($A13="",$L13="",$H13=""),"",IF(AND(LEFT($L13,2)="06",$H13&gt;1945),"FAIL - pre-war class, year "&amp;$H13,IF(AND(LEFT($L13,2)="07",OR($H13&lt;1946,$H13&gt;1972)),"FAIL - 1946-72 class, year "&amp;$H13,IF(AND(LEFT($L13,2)="08",OR($H13&lt;1973,$H13&gt;1999)),"FAIL - 1973-99 class, year "&amp;$H13,IF(AND(LEFT($L13,2)="09",OR($H13&lt;2000,$H13&gt;2010)),"FAIL - 2000-10 class, year "&amp;$H13,"OK")))))</f>
      </c>
      <c r="BF13" s="45">
        <f>IF($AD13="","",IF(ROUND($AO13+$AP13+$AQ13-$AD13,2)=0,"OK","FAIL - out by "&amp;TEXT($AO13+$AP13+$AQ13-$AD13,"$0.00")))</f>
      </c>
    </row>
    <row r="14" spans="1:58" ht="18.75" customHeight="1" x14ac:dyDescent="0.25">
      <c r="A14" s="46" t="inlineStr">
        <is>
          <t xml:space="preserve">CANON-202606-008416</t>
        </is>
      </c>
      <c r="B14" s="46" t="inlineStr">
        <is>
          <t xml:space="preserve">Priya Ashcombe</t>
        </is>
      </c>
      <c r="C14" s="47">
        <v>46184</v>
      </c>
      <c r="D14" s="48" t="inlineStr">
        <is>
          <t xml:space="preserve">Bound - within authority</t>
        </is>
      </c>
      <c r="E14" s="48" t="inlineStr">
        <is>
          <t xml:space="preserve">New business</t>
        </is>
      </c>
      <c r="F14" s="46" t="inlineStr">
        <is>
          <t xml:space="preserve">B1234EXOTIC26</t>
        </is>
      </c>
      <c r="G14" s="33">
        <f>IF($A14="","",IF($C14="","",YEAR($C14)))</f>
      </c>
      <c r="H14" s="49">
        <v>1973</v>
      </c>
      <c r="I14" s="46" t="inlineStr">
        <is>
          <t xml:space="preserve">Bentley</t>
        </is>
      </c>
      <c r="J14" s="46" t="inlineStr">
        <is>
          <t xml:space="preserve">Continental GT</t>
        </is>
      </c>
      <c r="K14" s="46" t="inlineStr">
        <is>
          <t xml:space="preserve">1FB9RT4S7VAFZTDZX</t>
        </is>
      </c>
      <c r="L14" s="48" t="inlineStr">
        <is>
          <t xml:space="preserve">02 - Sports / GT</t>
        </is>
      </c>
      <c r="M14" s="50">
        <v>840000</v>
      </c>
      <c r="N14" s="48" t="inlineStr">
        <is>
          <t xml:space="preserve">Personal</t>
        </is>
      </c>
      <c r="O14" s="46" t="inlineStr">
        <is>
          <t xml:space="preserve">Personal - regular use</t>
        </is>
      </c>
      <c r="P14" s="46" t="inlineStr">
        <is>
          <t xml:space="preserve">2,500 - 5,000</t>
        </is>
      </c>
      <c r="Q14" s="46" t="inlineStr">
        <is>
          <t xml:space="preserve">California</t>
        </is>
      </c>
      <c r="R14" s="46" t="inlineStr">
        <is>
          <t xml:space="preserve">90012</t>
        </is>
      </c>
      <c r="S14" s="48" t="inlineStr">
        <is>
          <t xml:space="preserve">Earthquake - high (CA, Cascadia, New Madrid)</t>
        </is>
      </c>
      <c r="T14" s="36">
        <f>IF($A14="","",IF($S14="","",IFERROR(INDEX('[1]natural catastrophe'!$D$6:$D$17,MATCH($S14,'[1]natural catastrophe'!$B$6:$B$17,0)),"?")))</f>
      </c>
      <c r="U14" s="46" t="inlineStr">
        <is>
          <t xml:space="preserve">$5,000</t>
        </is>
      </c>
      <c r="V14" s="48" t="inlineStr">
        <is>
          <t xml:space="preserve">Agreed Value</t>
        </is>
      </c>
      <c r="W14" s="46" t="inlineStr">
        <is>
          <t xml:space="preserve">$1,000</t>
        </is>
      </c>
      <c r="X14" s="48" t="inlineStr">
        <is>
          <t xml:space="preserve">$1,000,000 CSL</t>
        </is>
      </c>
      <c r="Y14" s="46"/>
      <c r="Z14" s="46"/>
      <c r="AA14" s="48" t="inlineStr">
        <is>
          <t xml:space="preserve">Surplus Lines</t>
        </is>
      </c>
      <c r="AB14" s="50">
        <v>10636.49</v>
      </c>
      <c r="AC14" s="51">
        <v>0</v>
      </c>
      <c r="AD14" s="38">
        <f>IF(ISNUMBER($AB14),$AB14*(1+N($AC14)),"")</f>
      </c>
      <c r="AE14" s="50">
        <v>350</v>
      </c>
      <c r="AF14" s="50">
        <v>0</v>
      </c>
      <c r="AG14" s="51"/>
      <c r="AH14" s="39">
        <f>IF(ISNUMBER($AD14),($AD14+$AE14+$AF14)*$AG14,"")</f>
      </c>
      <c r="AI14" s="50"/>
      <c r="AJ14" s="38">
        <f>IF(ISNUMBER($AD14),SUM($AD14:$AH14),"")</f>
      </c>
      <c r="AK14" s="40">
        <f>IF(AND(ISNUMBER($AB14),ISNUMBER($AD14)),IF($AB14&gt;0,$AD14/$AB14,""),"")</f>
      </c>
      <c r="AL14" s="48" t="inlineStr">
        <is>
          <t xml:space="preserve">At technical</t>
        </is>
      </c>
      <c r="AM14" s="41">
        <f>IF(ISNUMBER($AD14),Header!$I$3,"")</f>
      </c>
      <c r="AN14" s="39">
        <f>IF(ISNUMBER($AD14),$AO14+$AP14,"")</f>
      </c>
      <c r="AO14" s="39">
        <f>IF(ISNUMBER($AD14),ROUND($AD14*Header!$K$3,2),"")</f>
      </c>
      <c r="AP14" s="39">
        <f>IF(ISNUMBER($AD14),ROUND($AD14*Header!$M$3,2),"")</f>
      </c>
      <c r="AQ14" s="38">
        <f>IF(ISNUMBER($AD14),ROUND($AD14,2)-$AO14-$AP14,"")</f>
      </c>
      <c r="AR14" s="39">
        <f>IF(ISNUMBER($AD14),IF(Header!$D$34="","?",$AD14*Header!$D$34),"")</f>
      </c>
      <c r="AS14" s="39">
        <f>IF(ISNUMBER($AB14),IF(Header!$D$34="","?",$AB14*Header!$D$34),"")</f>
      </c>
      <c r="AT14" s="42">
        <f>IF(AND(ISNUMBER($AB14),$M14&gt;0),$AB14/$M14*100,"")</f>
      </c>
      <c r="AU14" s="42">
        <f>IF(AND(ISNUMBER($AD14),$M14&gt;0),$AD14/$M14*100,"")</f>
      </c>
      <c r="AV14" s="40">
        <f>IF(AND(ISNUMBER($AB14),ISNUMBER($AD14),ABS($AB14)&gt;0),$AD14/$AB14,"")</f>
      </c>
      <c r="AW14" s="39">
        <f>IF(ISNUMBER($AD14),MAX(0,(1-0.55-Header!$O$3)*Header!$Q$3*$AQ14),"")</f>
      </c>
      <c r="AX14" s="43">
        <f>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c>
      <c r="AY14" s="44">
        <f>IF($M14="","",IF(ISNUMBER($M14),IF($M14&gt;=Header!$C$18,"YES — refer","No"),""))</f>
      </c>
      <c r="AZ14" s="44">
        <f>IF($AD14="","",IF(ISNUMBER($AD14),IF($AD14&lt;Header!$C$20,"BELOW MIN PREMIUM","OK"),""))</f>
      </c>
      <c r="BA14" s="48" t="inlineStr">
        <is>
          <t xml:space="preserve">Yes</t>
        </is>
      </c>
      <c r="BB14" s="48" t="inlineStr">
        <is>
          <t xml:space="preserve">Yes</t>
        </is>
      </c>
      <c r="BC14" s="46" t="inlineStr">
        <is>
          <t xml:space="preserve">Synthetic demo data</t>
        </is>
      </c>
      <c r="BE14" s="45">
        <f>IF(OR($A14="",$L14="",$H14=""),"",IF(AND(LEFT($L14,2)="06",$H14&gt;1945),"FAIL - pre-war class, year "&amp;$H14,IF(AND(LEFT($L14,2)="07",OR($H14&lt;1946,$H14&gt;1972)),"FAIL - 1946-72 class, year "&amp;$H14,IF(AND(LEFT($L14,2)="08",OR($H14&lt;1973,$H14&gt;1999)),"FAIL - 1973-99 class, year "&amp;$H14,IF(AND(LEFT($L14,2)="09",OR($H14&lt;2000,$H14&gt;2010)),"FAIL - 2000-10 class, year "&amp;$H14,"OK")))))</f>
      </c>
      <c r="BF14" s="45">
        <f>IF($AD14="","",IF(ROUND($AO14+$AP14+$AQ14-$AD14,2)=0,"OK","FAIL - out by "&amp;TEXT($AO14+$AP14+$AQ14-$AD14,"$0.00")))</f>
      </c>
    </row>
    <row r="15" spans="1:58" ht="18.75" customHeight="1" x14ac:dyDescent="0.25">
      <c r="A15" s="30" t="inlineStr">
        <is>
          <t xml:space="preserve">CANON-202606-008417</t>
        </is>
      </c>
      <c r="B15" s="30" t="inlineStr">
        <is>
          <t xml:space="preserve">Lorenzo Okonkwo</t>
        </is>
      </c>
      <c r="C15" s="31">
        <v>46203</v>
      </c>
      <c r="D15" s="32" t="inlineStr">
        <is>
          <t xml:space="preserve">Bound - within authority</t>
        </is>
      </c>
      <c r="E15" s="32" t="inlineStr">
        <is>
          <t xml:space="preserve">New business</t>
        </is>
      </c>
      <c r="F15" s="30" t="inlineStr">
        <is>
          <t xml:space="preserve">B1234EXOTIC26</t>
        </is>
      </c>
      <c r="G15" s="33">
        <f>IF($A15="","",IF($C15="","",YEAR($C15)))</f>
      </c>
      <c r="H15" s="34">
        <v>2007</v>
      </c>
      <c r="I15" s="30" t="inlineStr">
        <is>
          <t xml:space="preserve">Mercedes-Benz</t>
        </is>
      </c>
      <c r="J15" s="30" t="inlineStr">
        <is>
          <t xml:space="preserve">AMG GT</t>
        </is>
      </c>
      <c r="K15" s="30" t="inlineStr">
        <is>
          <t xml:space="preserve">CD7DSWWRS5A6DY29W</t>
        </is>
      </c>
      <c r="L15" s="32" t="inlineStr">
        <is>
          <t xml:space="preserve">02 - Sports / GT</t>
        </is>
      </c>
      <c r="M15" s="35">
        <v>350000</v>
      </c>
      <c r="N15" s="32" t="inlineStr">
        <is>
          <t xml:space="preserve">Personal</t>
        </is>
      </c>
      <c r="O15" s="30" t="inlineStr">
        <is>
          <t xml:space="preserve">Personal - regular use</t>
        </is>
      </c>
      <c r="P15" s="30" t="inlineStr">
        <is>
          <t xml:space="preserve">Under 1,000</t>
        </is>
      </c>
      <c r="Q15" s="30" t="inlineStr">
        <is>
          <t xml:space="preserve">Massachusetts</t>
        </is>
      </c>
      <c r="R15" s="30" t="inlineStr">
        <is>
          <t xml:space="preserve">02108</t>
        </is>
      </c>
      <c r="S15" s="32" t="inlineStr">
        <is>
          <t xml:space="preserve">Tier 3 - Coastal wind (25-100 miles)</t>
        </is>
      </c>
      <c r="T15" s="36">
        <f>IF($A15="","",IF($S15="","",IFERROR(INDEX('[1]natural catastrophe'!$D$6:$D$17,MATCH($S15,'[1]natural catastrophe'!$B$6:$B$17,0)),"?")))</f>
      </c>
      <c r="U15" s="30" t="inlineStr">
        <is>
          <t xml:space="preserve">2% of agreed value, minimum $10,000</t>
        </is>
      </c>
      <c r="V15" s="32" t="inlineStr">
        <is>
          <t xml:space="preserve">Agreed Value</t>
        </is>
      </c>
      <c r="W15" s="30" t="inlineStr">
        <is>
          <t xml:space="preserve">$1,000</t>
        </is>
      </c>
      <c r="X15" s="32" t="inlineStr">
        <is>
          <t xml:space="preserve">$1,000,000 CSL</t>
        </is>
      </c>
      <c r="Y15" s="30"/>
      <c r="Z15" s="30"/>
      <c r="AA15" s="32" t="inlineStr">
        <is>
          <t xml:space="preserve">Surplus Lines</t>
        </is>
      </c>
      <c r="AB15" s="35">
        <v>4734.91</v>
      </c>
      <c r="AC15" s="37">
        <v>0</v>
      </c>
      <c r="AD15" s="38">
        <f>IF(ISNUMBER($AB15),$AB15*(1+N($AC15)),"")</f>
      </c>
      <c r="AE15" s="35">
        <v>350</v>
      </c>
      <c r="AF15" s="35">
        <v>0</v>
      </c>
      <c r="AG15" s="37"/>
      <c r="AH15" s="39">
        <f>IF(ISNUMBER($AD15),($AD15+$AE15+$AF15)*$AG15,"")</f>
      </c>
      <c r="AI15" s="35"/>
      <c r="AJ15" s="38">
        <f>IF(ISNUMBER($AD15),SUM($AD15:$AH15),"")</f>
      </c>
      <c r="AK15" s="40">
        <f>IF(AND(ISNUMBER($AB15),ISNUMBER($AD15)),IF($AB15&gt;0,$AD15/$AB15,""),"")</f>
      </c>
      <c r="AL15" s="32" t="inlineStr">
        <is>
          <t xml:space="preserve">At technical</t>
        </is>
      </c>
      <c r="AM15" s="41">
        <f>IF(ISNUMBER($AD15),Header!$I$3,"")</f>
      </c>
      <c r="AN15" s="39">
        <f>IF(ISNUMBER($AD15),$AO15+$AP15,"")</f>
      </c>
      <c r="AO15" s="39">
        <f>IF(ISNUMBER($AD15),ROUND($AD15*Header!$K$3,2),"")</f>
      </c>
      <c r="AP15" s="39">
        <f>IF(ISNUMBER($AD15),ROUND($AD15*Header!$M$3,2),"")</f>
      </c>
      <c r="AQ15" s="38">
        <f>IF(ISNUMBER($AD15),ROUND($AD15,2)-$AO15-$AP15,"")</f>
      </c>
      <c r="AR15" s="39">
        <f>IF(ISNUMBER($AD15),IF(Header!$D$34="","?",$AD15*Header!$D$34),"")</f>
      </c>
      <c r="AS15" s="39">
        <f>IF(ISNUMBER($AB15),IF(Header!$D$34="","?",$AB15*Header!$D$34),"")</f>
      </c>
      <c r="AT15" s="42">
        <f>IF(AND(ISNUMBER($AB15),$M15&gt;0),$AB15/$M15*100,"")</f>
      </c>
      <c r="AU15" s="42">
        <f>IF(AND(ISNUMBER($AD15),$M15&gt;0),$AD15/$M15*100,"")</f>
      </c>
      <c r="AV15" s="40">
        <f>IF(AND(ISNUMBER($AB15),ISNUMBER($AD15),ABS($AB15)&gt;0),$AD15/$AB15,"")</f>
      </c>
      <c r="AW15" s="39">
        <f>IF(ISNUMBER($AD15),MAX(0,(1-0.55-Header!$O$3)*Header!$Q$3*$AQ15),"")</f>
      </c>
      <c r="AX15" s="43">
        <f>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c>
      <c r="AY15" s="44">
        <f>IF($M15="","",IF(ISNUMBER($M15),IF($M15&gt;=Header!$C$18,"YES — refer","No"),""))</f>
      </c>
      <c r="AZ15" s="44">
        <f>IF($AD15="","",IF(ISNUMBER($AD15),IF($AD15&lt;Header!$C$20,"BELOW MIN PREMIUM","OK"),""))</f>
      </c>
      <c r="BA15" s="32" t="inlineStr">
        <is>
          <t xml:space="preserve">Yes</t>
        </is>
      </c>
      <c r="BB15" s="32" t="inlineStr">
        <is>
          <t xml:space="preserve">Yes</t>
        </is>
      </c>
      <c r="BC15" s="30" t="inlineStr">
        <is>
          <t xml:space="preserve">Synthetic demo data</t>
        </is>
      </c>
      <c r="BE15" s="45">
        <f>IF(OR($A15="",$L15="",$H15=""),"",IF(AND(LEFT($L15,2)="06",$H15&gt;1945),"FAIL - pre-war class, year "&amp;$H15,IF(AND(LEFT($L15,2)="07",OR($H15&lt;1946,$H15&gt;1972)),"FAIL - 1946-72 class, year "&amp;$H15,IF(AND(LEFT($L15,2)="08",OR($H15&lt;1973,$H15&gt;1999)),"FAIL - 1973-99 class, year "&amp;$H15,IF(AND(LEFT($L15,2)="09",OR($H15&lt;2000,$H15&gt;2010)),"FAIL - 2000-10 class, year "&amp;$H15,"OK")))))</f>
      </c>
      <c r="BF15" s="45">
        <f>IF($AD15="","",IF(ROUND($AO15+$AP15+$AQ15-$AD15,2)=0,"OK","FAIL - out by "&amp;TEXT($AO15+$AP15+$AQ15-$AD15,"$0.00")))</f>
      </c>
    </row>
    <row r="16" spans="1:58" ht="18.75" customHeight="1" x14ac:dyDescent="0.25">
      <c r="A16" s="46" t="inlineStr">
        <is>
          <t xml:space="preserve">CANON-202606-008418</t>
        </is>
      </c>
      <c r="B16" s="46" t="inlineStr">
        <is>
          <t xml:space="preserve">Cassius Merriweather</t>
        </is>
      </c>
      <c r="C16" s="47">
        <v>46178</v>
      </c>
      <c r="D16" s="48" t="inlineStr">
        <is>
          <t xml:space="preserve">Bound - within authority</t>
        </is>
      </c>
      <c r="E16" s="48" t="inlineStr">
        <is>
          <t xml:space="preserve">New business</t>
        </is>
      </c>
      <c r="F16" s="46" t="inlineStr">
        <is>
          <t xml:space="preserve">B1234EXOTIC26</t>
        </is>
      </c>
      <c r="G16" s="33">
        <f>IF($A16="","",IF($C16="","",YEAR($C16)))</f>
      </c>
      <c r="H16" s="49">
        <v>1959</v>
      </c>
      <c r="I16" s="46" t="inlineStr">
        <is>
          <t xml:space="preserve">Aston Martin</t>
        </is>
      </c>
      <c r="J16" s="46" t="inlineStr">
        <is>
          <t xml:space="preserve">DB5</t>
        </is>
      </c>
      <c r="K16" s="46" t="inlineStr">
        <is>
          <t xml:space="preserve">7C6H8YN7JD378DTMB</t>
        </is>
      </c>
      <c r="L16" s="48" t="inlineStr">
        <is>
          <t xml:space="preserve">07 - Post-War Classic (1946-1972)</t>
        </is>
      </c>
      <c r="M16" s="50">
        <v>1950000</v>
      </c>
      <c r="N16" s="48" t="inlineStr">
        <is>
          <t xml:space="preserve">Personal</t>
        </is>
      </c>
      <c r="O16" s="46" t="inlineStr">
        <is>
          <t xml:space="preserve">Personal - regular use</t>
        </is>
      </c>
      <c r="P16" s="46" t="inlineStr">
        <is>
          <t xml:space="preserve">1,000 - 2,500</t>
        </is>
      </c>
      <c r="Q16" s="46" t="inlineStr">
        <is>
          <t xml:space="preserve">Oklahoma</t>
        </is>
      </c>
      <c r="R16" s="46" t="inlineStr">
        <is>
          <t xml:space="preserve">73102</t>
        </is>
      </c>
      <c r="S16" s="48" t="inlineStr">
        <is>
          <t xml:space="preserve">Severe convective - hail alley (high)</t>
        </is>
      </c>
      <c r="T16" s="36">
        <f>IF($A16="","",IF($S16="","",IFERROR(INDEX('[1]natural catastrophe'!$D$6:$D$17,MATCH($S16,'[1]natural catastrophe'!$B$6:$B$17,0)),"?")))</f>
      </c>
      <c r="U16" s="46" t="inlineStr">
        <is>
          <t xml:space="preserve">$5,000</t>
        </is>
      </c>
      <c r="V16" s="48" t="inlineStr">
        <is>
          <t xml:space="preserve">Agreed Value</t>
        </is>
      </c>
      <c r="W16" s="46" t="inlineStr">
        <is>
          <t xml:space="preserve">$1,000</t>
        </is>
      </c>
      <c r="X16" s="48" t="inlineStr">
        <is>
          <t xml:space="preserve">$1,000,000 CSL</t>
        </is>
      </c>
      <c r="Y16" s="46"/>
      <c r="Z16" s="46"/>
      <c r="AA16" s="48" t="inlineStr">
        <is>
          <t xml:space="preserve">Surplus Lines</t>
        </is>
      </c>
      <c r="AB16" s="50">
        <v>13472.89</v>
      </c>
      <c r="AC16" s="51">
        <v>0</v>
      </c>
      <c r="AD16" s="38">
        <f>IF(ISNUMBER($AB16),$AB16*(1+N($AC16)),"")</f>
      </c>
      <c r="AE16" s="50">
        <v>350</v>
      </c>
      <c r="AF16" s="50">
        <v>250</v>
      </c>
      <c r="AG16" s="51"/>
      <c r="AH16" s="39">
        <f>IF(ISNUMBER($AD16),($AD16+$AE16+$AF16)*$AG16,"")</f>
      </c>
      <c r="AI16" s="50"/>
      <c r="AJ16" s="38">
        <f>IF(ISNUMBER($AD16),SUM($AD16:$AH16),"")</f>
      </c>
      <c r="AK16" s="40">
        <f>IF(AND(ISNUMBER($AB16),ISNUMBER($AD16)),IF($AB16&gt;0,$AD16/$AB16,""),"")</f>
      </c>
      <c r="AL16" s="48" t="inlineStr">
        <is>
          <t xml:space="preserve">At technical</t>
        </is>
      </c>
      <c r="AM16" s="41">
        <f>IF(ISNUMBER($AD16),Header!$I$3,"")</f>
      </c>
      <c r="AN16" s="39">
        <f>IF(ISNUMBER($AD16),$AO16+$AP16,"")</f>
      </c>
      <c r="AO16" s="39">
        <f>IF(ISNUMBER($AD16),ROUND($AD16*Header!$K$3,2),"")</f>
      </c>
      <c r="AP16" s="39">
        <f>IF(ISNUMBER($AD16),ROUND($AD16*Header!$M$3,2),"")</f>
      </c>
      <c r="AQ16" s="38">
        <f>IF(ISNUMBER($AD16),ROUND($AD16,2)-$AO16-$AP16,"")</f>
      </c>
      <c r="AR16" s="39">
        <f>IF(ISNUMBER($AD16),IF(Header!$D$34="","?",$AD16*Header!$D$34),"")</f>
      </c>
      <c r="AS16" s="39">
        <f>IF(ISNUMBER($AB16),IF(Header!$D$34="","?",$AB16*Header!$D$34),"")</f>
      </c>
      <c r="AT16" s="42">
        <f>IF(AND(ISNUMBER($AB16),$M16&gt;0),$AB16/$M16*100,"")</f>
      </c>
      <c r="AU16" s="42">
        <f>IF(AND(ISNUMBER($AD16),$M16&gt;0),$AD16/$M16*100,"")</f>
      </c>
      <c r="AV16" s="40">
        <f>IF(AND(ISNUMBER($AB16),ISNUMBER($AD16),ABS($AB16)&gt;0),$AD16/$AB16,"")</f>
      </c>
      <c r="AW16" s="39">
        <f>IF(ISNUMBER($AD16),MAX(0,(1-0.55-Header!$O$3)*Header!$Q$3*$AQ16),"")</f>
      </c>
      <c r="AX16" s="43">
        <f>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c>
      <c r="AY16" s="44">
        <f>IF($M16="","",IF(ISNUMBER($M16),IF($M16&gt;=Header!$C$18,"YES — refer","No"),""))</f>
      </c>
      <c r="AZ16" s="44">
        <f>IF($AD16="","",IF(ISNUMBER($AD16),IF($AD16&lt;Header!$C$20,"BELOW MIN PREMIUM","OK"),""))</f>
      </c>
      <c r="BA16" s="48" t="inlineStr">
        <is>
          <t xml:space="preserve">Yes</t>
        </is>
      </c>
      <c r="BB16" s="48" t="inlineStr">
        <is>
          <t xml:space="preserve">Yes</t>
        </is>
      </c>
      <c r="BC16" s="46" t="inlineStr">
        <is>
          <t xml:space="preserve">Synthetic demo data</t>
        </is>
      </c>
      <c r="BE16" s="45">
        <f>IF(OR($A16="",$L16="",$H16=""),"",IF(AND(LEFT($L16,2)="06",$H16&gt;1945),"FAIL - pre-war class, year "&amp;$H16,IF(AND(LEFT($L16,2)="07",OR($H16&lt;1946,$H16&gt;1972)),"FAIL - 1946-72 class, year "&amp;$H16,IF(AND(LEFT($L16,2)="08",OR($H16&lt;1973,$H16&gt;1999)),"FAIL - 1973-99 class, year "&amp;$H16,IF(AND(LEFT($L16,2)="09",OR($H16&lt;2000,$H16&gt;2010)),"FAIL - 2000-10 class, year "&amp;$H16,"OK")))))</f>
      </c>
      <c r="BF16" s="45">
        <f>IF($AD16="","",IF(ROUND($AO16+$AP16+$AQ16-$AD16,2)=0,"OK","FAIL - out by "&amp;TEXT($AO16+$AP16+$AQ16-$AD16,"$0.00")))</f>
      </c>
    </row>
    <row r="17" spans="1:58" ht="18.75" customHeight="1" x14ac:dyDescent="0.25">
      <c r="A17" s="30" t="inlineStr">
        <is>
          <t xml:space="preserve">CANON-202606-008420</t>
        </is>
      </c>
      <c r="B17" s="30" t="inlineStr">
        <is>
          <t xml:space="preserve">Aurelio Vasquez</t>
        </is>
      </c>
      <c r="C17" s="31">
        <v>46178</v>
      </c>
      <c r="D17" s="32" t="inlineStr">
        <is>
          <t xml:space="preserve">Bound - within authority</t>
        </is>
      </c>
      <c r="E17" s="32" t="inlineStr">
        <is>
          <t xml:space="preserve">New business</t>
        </is>
      </c>
      <c r="F17" s="30" t="inlineStr">
        <is>
          <t xml:space="preserve">B1234EXOTIC26</t>
        </is>
      </c>
      <c r="G17" s="33">
        <f>IF($A17="","",IF($C17="","",YEAR($C17)))</f>
      </c>
      <c r="H17" s="34">
        <v>1964</v>
      </c>
      <c r="I17" s="30" t="inlineStr">
        <is>
          <t xml:space="preserve">Porsche</t>
        </is>
      </c>
      <c r="J17" s="30" t="inlineStr">
        <is>
          <t xml:space="preserve">911 Turbo S</t>
        </is>
      </c>
      <c r="K17" s="30" t="inlineStr">
        <is>
          <t xml:space="preserve">ZM7PXAULHVP6LXG3N</t>
        </is>
      </c>
      <c r="L17" s="32" t="inlineStr">
        <is>
          <t xml:space="preserve">02 - Sports / GT</t>
        </is>
      </c>
      <c r="M17" s="35">
        <v>950000</v>
      </c>
      <c r="N17" s="32" t="inlineStr">
        <is>
          <t xml:space="preserve">Personal</t>
        </is>
      </c>
      <c r="O17" s="30" t="inlineStr">
        <is>
          <t xml:space="preserve">Personal - regular use</t>
        </is>
      </c>
      <c r="P17" s="30" t="inlineStr">
        <is>
          <t xml:space="preserve">1,000 - 2,500</t>
        </is>
      </c>
      <c r="Q17" s="30" t="inlineStr">
        <is>
          <t xml:space="preserve">Idaho</t>
        </is>
      </c>
      <c r="R17" s="30" t="inlineStr">
        <is>
          <t xml:space="preserve">83702</t>
        </is>
      </c>
      <c r="S17" s="32" t="inlineStr">
        <is>
          <t xml:space="preserve">Wildfire - WUI high hazard</t>
        </is>
      </c>
      <c r="T17" s="36">
        <f>IF($A17="","",IF($S17="","",IFERROR(INDEX('[1]natural catastrophe'!$D$6:$D$17,MATCH($S17,'[1]natural catastrophe'!$B$6:$B$17,0)),"?")))</f>
      </c>
      <c r="U17" s="30" t="inlineStr">
        <is>
          <t xml:space="preserve">$5,000</t>
        </is>
      </c>
      <c r="V17" s="32" t="inlineStr">
        <is>
          <t xml:space="preserve">Agreed Value</t>
        </is>
      </c>
      <c r="W17" s="30" t="inlineStr">
        <is>
          <t xml:space="preserve">$1,000</t>
        </is>
      </c>
      <c r="X17" s="32" t="inlineStr">
        <is>
          <t xml:space="preserve">$1,000,000 CSL</t>
        </is>
      </c>
      <c r="Y17" s="30"/>
      <c r="Z17" s="30"/>
      <c r="AA17" s="32" t="inlineStr">
        <is>
          <t xml:space="preserve">Surplus Lines</t>
        </is>
      </c>
      <c r="AB17" s="35">
        <v>8821.53</v>
      </c>
      <c r="AC17" s="37">
        <v>0</v>
      </c>
      <c r="AD17" s="38">
        <f>IF(ISNUMBER($AB17),$AB17*(1+N($AC17)),"")</f>
      </c>
      <c r="AE17" s="35">
        <v>350</v>
      </c>
      <c r="AF17" s="35">
        <v>0</v>
      </c>
      <c r="AG17" s="37"/>
      <c r="AH17" s="39">
        <f>IF(ISNUMBER($AD17),($AD17+$AE17+$AF17)*$AG17,"")</f>
      </c>
      <c r="AI17" s="35"/>
      <c r="AJ17" s="38">
        <f>IF(ISNUMBER($AD17),SUM($AD17:$AH17),"")</f>
      </c>
      <c r="AK17" s="40">
        <f>IF(AND(ISNUMBER($AB17),ISNUMBER($AD17)),IF($AB17&gt;0,$AD17/$AB17,""),"")</f>
      </c>
      <c r="AL17" s="32" t="inlineStr">
        <is>
          <t xml:space="preserve">At technical</t>
        </is>
      </c>
      <c r="AM17" s="41">
        <f>IF(ISNUMBER($AD17),Header!$I$3,"")</f>
      </c>
      <c r="AN17" s="39">
        <f>IF(ISNUMBER($AD17),$AO17+$AP17,"")</f>
      </c>
      <c r="AO17" s="39">
        <f>IF(ISNUMBER($AD17),ROUND($AD17*Header!$K$3,2),"")</f>
      </c>
      <c r="AP17" s="39">
        <f>IF(ISNUMBER($AD17),ROUND($AD17*Header!$M$3,2),"")</f>
      </c>
      <c r="AQ17" s="38">
        <f>IF(ISNUMBER($AD17),ROUND($AD17,2)-$AO17-$AP17,"")</f>
      </c>
      <c r="AR17" s="39">
        <f>IF(ISNUMBER($AD17),IF(Header!$D$34="","?",$AD17*Header!$D$34),"")</f>
      </c>
      <c r="AS17" s="39">
        <f>IF(ISNUMBER($AB17),IF(Header!$D$34="","?",$AB17*Header!$D$34),"")</f>
      </c>
      <c r="AT17" s="42">
        <f>IF(AND(ISNUMBER($AB17),$M17&gt;0),$AB17/$M17*100,"")</f>
      </c>
      <c r="AU17" s="42">
        <f>IF(AND(ISNUMBER($AD17),$M17&gt;0),$AD17/$M17*100,"")</f>
      </c>
      <c r="AV17" s="40">
        <f>IF(AND(ISNUMBER($AB17),ISNUMBER($AD17),ABS($AB17)&gt;0),$AD17/$AB17,"")</f>
      </c>
      <c r="AW17" s="39">
        <f>IF(ISNUMBER($AD17),MAX(0,(1-0.55-Header!$O$3)*Header!$Q$3*$AQ17),"")</f>
      </c>
      <c r="AX17" s="43">
        <f>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c>
      <c r="AY17" s="44">
        <f>IF($M17="","",IF(ISNUMBER($M17),IF($M17&gt;=Header!$C$18,"YES — refer","No"),""))</f>
      </c>
      <c r="AZ17" s="44">
        <f>IF($AD17="","",IF(ISNUMBER($AD17),IF($AD17&lt;Header!$C$20,"BELOW MIN PREMIUM","OK"),""))</f>
      </c>
      <c r="BA17" s="32" t="inlineStr">
        <is>
          <t xml:space="preserve">Yes</t>
        </is>
      </c>
      <c r="BB17" s="32" t="inlineStr">
        <is>
          <t xml:space="preserve">Yes</t>
        </is>
      </c>
      <c r="BC17" s="30" t="inlineStr">
        <is>
          <t xml:space="preserve">Synthetic demo data</t>
        </is>
      </c>
      <c r="BE17" s="45">
        <f>IF(OR($A17="",$L17="",$H17=""),"",IF(AND(LEFT($L17,2)="06",$H17&gt;1945),"FAIL - pre-war class, year "&amp;$H17,IF(AND(LEFT($L17,2)="07",OR($H17&lt;1946,$H17&gt;1972)),"FAIL - 1946-72 class, year "&amp;$H17,IF(AND(LEFT($L17,2)="08",OR($H17&lt;1973,$H17&gt;1999)),"FAIL - 1973-99 class, year "&amp;$H17,IF(AND(LEFT($L17,2)="09",OR($H17&lt;2000,$H17&gt;2010)),"FAIL - 2000-10 class, year "&amp;$H17,"OK")))))</f>
      </c>
      <c r="BF17" s="45">
        <f>IF($AD17="","",IF(ROUND($AO17+$AP17+$AQ17-$AD17,2)=0,"OK","FAIL - out by "&amp;TEXT($AO17+$AP17+$AQ17-$AD17,"$0.00")))</f>
      </c>
    </row>
    <row r="18" spans="1:58" ht="18.75" customHeight="1" x14ac:dyDescent="0.25">
      <c r="A18" s="46" t="inlineStr">
        <is>
          <t xml:space="preserve">CANON-202606-008421</t>
        </is>
      </c>
      <c r="B18" s="46" t="inlineStr">
        <is>
          <t xml:space="preserve">Mireille Merriweather</t>
        </is>
      </c>
      <c r="C18" s="47">
        <v>46192</v>
      </c>
      <c r="D18" s="48" t="inlineStr">
        <is>
          <t xml:space="preserve">Bound - within authority</t>
        </is>
      </c>
      <c r="E18" s="48" t="inlineStr">
        <is>
          <t xml:space="preserve">New business</t>
        </is>
      </c>
      <c r="F18" s="46" t="inlineStr">
        <is>
          <t xml:space="preserve">B1234EXOTIC26</t>
        </is>
      </c>
      <c r="G18" s="33">
        <f>IF($A18="","",IF($C18="","",YEAR($C18)))</f>
      </c>
      <c r="H18" s="49">
        <v>2019</v>
      </c>
      <c r="I18" s="46" t="inlineStr">
        <is>
          <t xml:space="preserve">Mercedes-Benz</t>
        </is>
      </c>
      <c r="J18" s="46" t="inlineStr">
        <is>
          <t xml:space="preserve">AMG GT</t>
        </is>
      </c>
      <c r="K18" s="46" t="inlineStr">
        <is>
          <t xml:space="preserve">WCUVBHGP5WLT9P216</t>
        </is>
      </c>
      <c r="L18" s="48" t="inlineStr">
        <is>
          <t xml:space="preserve">02 - Sports / GT</t>
        </is>
      </c>
      <c r="M18" s="50">
        <v>1085000</v>
      </c>
      <c r="N18" s="48" t="inlineStr">
        <is>
          <t xml:space="preserve">Personal</t>
        </is>
      </c>
      <c r="O18" s="46" t="inlineStr">
        <is>
          <t xml:space="preserve">Personal - regular use</t>
        </is>
      </c>
      <c r="P18" s="46" t="inlineStr">
        <is>
          <t xml:space="preserve">2,500 - 5,000</t>
        </is>
      </c>
      <c r="Q18" s="46" t="inlineStr">
        <is>
          <t xml:space="preserve">Illinois</t>
        </is>
      </c>
      <c r="R18" s="46" t="inlineStr">
        <is>
          <t xml:space="preserve">60601</t>
        </is>
      </c>
      <c r="S18" s="48" t="inlineStr">
        <is>
          <t xml:space="preserve">Severe convective - hail / tornado (moderate)</t>
        </is>
      </c>
      <c r="T18" s="36">
        <f>IF($A18="","",IF($S18="","",IFERROR(INDEX('[1]natural catastrophe'!$D$6:$D$17,MATCH($S18,'[1]natural catastrophe'!$B$6:$B$17,0)),"?")))</f>
      </c>
      <c r="U18" s="46" t="inlineStr">
        <is>
          <t xml:space="preserve">$5,000</t>
        </is>
      </c>
      <c r="V18" s="48" t="inlineStr">
        <is>
          <t xml:space="preserve">Agreed Value</t>
        </is>
      </c>
      <c r="W18" s="46" t="inlineStr">
        <is>
          <t xml:space="preserve">$1,000</t>
        </is>
      </c>
      <c r="X18" s="48" t="inlineStr">
        <is>
          <t xml:space="preserve">$1,000,000 CSL</t>
        </is>
      </c>
      <c r="Y18" s="46"/>
      <c r="Z18" s="46"/>
      <c r="AA18" s="48" t="inlineStr">
        <is>
          <t xml:space="preserve">Surplus Lines</t>
        </is>
      </c>
      <c r="AB18" s="50">
        <v>11711.25</v>
      </c>
      <c r="AC18" s="51">
        <v>0</v>
      </c>
      <c r="AD18" s="38">
        <f>IF(ISNUMBER($AB18),$AB18*(1+N($AC18)),"")</f>
      </c>
      <c r="AE18" s="50">
        <v>350</v>
      </c>
      <c r="AF18" s="50">
        <v>250</v>
      </c>
      <c r="AG18" s="51"/>
      <c r="AH18" s="39">
        <f>IF(ISNUMBER($AD18),($AD18+$AE18+$AF18)*$AG18,"")</f>
      </c>
      <c r="AI18" s="50"/>
      <c r="AJ18" s="38">
        <f>IF(ISNUMBER($AD18),SUM($AD18:$AH18),"")</f>
      </c>
      <c r="AK18" s="40">
        <f>IF(AND(ISNUMBER($AB18),ISNUMBER($AD18)),IF($AB18&gt;0,$AD18/$AB18,""),"")</f>
      </c>
      <c r="AL18" s="48" t="inlineStr">
        <is>
          <t xml:space="preserve">At technical</t>
        </is>
      </c>
      <c r="AM18" s="41">
        <f>IF(ISNUMBER($AD18),Header!$I$3,"")</f>
      </c>
      <c r="AN18" s="39">
        <f>IF(ISNUMBER($AD18),$AO18+$AP18,"")</f>
      </c>
      <c r="AO18" s="39">
        <f>IF(ISNUMBER($AD18),ROUND($AD18*Header!$K$3,2),"")</f>
      </c>
      <c r="AP18" s="39">
        <f>IF(ISNUMBER($AD18),ROUND($AD18*Header!$M$3,2),"")</f>
      </c>
      <c r="AQ18" s="38">
        <f>IF(ISNUMBER($AD18),ROUND($AD18,2)-$AO18-$AP18,"")</f>
      </c>
      <c r="AR18" s="39">
        <f>IF(ISNUMBER($AD18),IF(Header!$D$34="","?",$AD18*Header!$D$34),"")</f>
      </c>
      <c r="AS18" s="39">
        <f>IF(ISNUMBER($AB18),IF(Header!$D$34="","?",$AB18*Header!$D$34),"")</f>
      </c>
      <c r="AT18" s="42">
        <f>IF(AND(ISNUMBER($AB18),$M18&gt;0),$AB18/$M18*100,"")</f>
      </c>
      <c r="AU18" s="42">
        <f>IF(AND(ISNUMBER($AD18),$M18&gt;0),$AD18/$M18*100,"")</f>
      </c>
      <c r="AV18" s="40">
        <f>IF(AND(ISNUMBER($AB18),ISNUMBER($AD18),ABS($AB18)&gt;0),$AD18/$AB18,"")</f>
      </c>
      <c r="AW18" s="39">
        <f>IF(ISNUMBER($AD18),MAX(0,(1-0.55-Header!$O$3)*Header!$Q$3*$AQ18),"")</f>
      </c>
      <c r="AX18" s="43">
        <f>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c>
      <c r="AY18" s="44">
        <f>IF($M18="","",IF(ISNUMBER($M18),IF($M18&gt;=Header!$C$18,"YES — refer","No"),""))</f>
      </c>
      <c r="AZ18" s="44">
        <f>IF($AD18="","",IF(ISNUMBER($AD18),IF($AD18&lt;Header!$C$20,"BELOW MIN PREMIUM","OK"),""))</f>
      </c>
      <c r="BA18" s="48" t="inlineStr">
        <is>
          <t xml:space="preserve">Yes</t>
        </is>
      </c>
      <c r="BB18" s="48" t="inlineStr">
        <is>
          <t xml:space="preserve">Yes</t>
        </is>
      </c>
      <c r="BC18" s="46" t="inlineStr">
        <is>
          <t xml:space="preserve">Synthetic demo data</t>
        </is>
      </c>
      <c r="BE18" s="45">
        <f>IF(OR($A18="",$L18="",$H18=""),"",IF(AND(LEFT($L18,2)="06",$H18&gt;1945),"FAIL - pre-war class, year "&amp;$H18,IF(AND(LEFT($L18,2)="07",OR($H18&lt;1946,$H18&gt;1972)),"FAIL - 1946-72 class, year "&amp;$H18,IF(AND(LEFT($L18,2)="08",OR($H18&lt;1973,$H18&gt;1999)),"FAIL - 1973-99 class, year "&amp;$H18,IF(AND(LEFT($L18,2)="09",OR($H18&lt;2000,$H18&gt;2010)),"FAIL - 2000-10 class, year "&amp;$H18,"OK")))))</f>
      </c>
      <c r="BF18" s="45">
        <f>IF($AD18="","",IF(ROUND($AO18+$AP18+$AQ18-$AD18,2)=0,"OK","FAIL - out by "&amp;TEXT($AO18+$AP18+$AQ18-$AD18,"$0.00")))</f>
      </c>
    </row>
    <row r="19" spans="1:58" ht="18.75" customHeight="1" x14ac:dyDescent="0.25">
      <c r="A19" s="30" t="inlineStr">
        <is>
          <t xml:space="preserve">CANON-202606-008422</t>
        </is>
      </c>
      <c r="B19" s="30" t="inlineStr">
        <is>
          <t xml:space="preserve">Lorenzo Vasquez</t>
        </is>
      </c>
      <c r="C19" s="31">
        <v>46192</v>
      </c>
      <c r="D19" s="32" t="inlineStr">
        <is>
          <t xml:space="preserve">Bound - within authority</t>
        </is>
      </c>
      <c r="E19" s="32" t="inlineStr">
        <is>
          <t xml:space="preserve">New business</t>
        </is>
      </c>
      <c r="F19" s="30" t="inlineStr">
        <is>
          <t xml:space="preserve">B1234EXOTIC26</t>
        </is>
      </c>
      <c r="G19" s="33">
        <f>IF($A19="","",IF($C19="","",YEAR($C19)))</f>
      </c>
      <c r="H19" s="34">
        <v>1961</v>
      </c>
      <c r="I19" s="30" t="inlineStr">
        <is>
          <t xml:space="preserve">BMW</t>
        </is>
      </c>
      <c r="J19" s="30" t="inlineStr">
        <is>
          <t xml:space="preserve">M8 Competition</t>
        </is>
      </c>
      <c r="K19" s="30" t="inlineStr">
        <is>
          <t xml:space="preserve">LA8F3ZVR9ZX5K0B5P</t>
        </is>
      </c>
      <c r="L19" s="32" t="inlineStr">
        <is>
          <t xml:space="preserve">02 - Sports / GT</t>
        </is>
      </c>
      <c r="M19" s="35">
        <v>415000</v>
      </c>
      <c r="N19" s="32" t="inlineStr">
        <is>
          <t xml:space="preserve">Personal</t>
        </is>
      </c>
      <c r="O19" s="30" t="inlineStr">
        <is>
          <t xml:space="preserve">Personal - regular use</t>
        </is>
      </c>
      <c r="P19" s="30" t="inlineStr">
        <is>
          <t xml:space="preserve">2,500 - 5,000</t>
        </is>
      </c>
      <c r="Q19" s="30" t="inlineStr">
        <is>
          <t xml:space="preserve">West Virginia</t>
        </is>
      </c>
      <c r="R19" s="30" t="inlineStr">
        <is>
          <t xml:space="preserve">25301</t>
        </is>
      </c>
      <c r="S19" s="32" t="inlineStr">
        <is>
          <t xml:space="preserve">Low hazard - inland benign</t>
        </is>
      </c>
      <c r="T19" s="36">
        <f>IF($A19="","",IF($S19="","",IFERROR(INDEX('[1]natural catastrophe'!$D$6:$D$17,MATCH($S19,'[1]natural catastrophe'!$B$6:$B$17,0)),"?")))</f>
      </c>
      <c r="U19" s="30" t="inlineStr">
        <is>
          <t xml:space="preserve">$5,000</t>
        </is>
      </c>
      <c r="V19" s="32" t="inlineStr">
        <is>
          <t xml:space="preserve">Agreed Value</t>
        </is>
      </c>
      <c r="W19" s="30" t="inlineStr">
        <is>
          <t xml:space="preserve">$1,000</t>
        </is>
      </c>
      <c r="X19" s="32" t="inlineStr">
        <is>
          <t xml:space="preserve">$1,000,000 CSL</t>
        </is>
      </c>
      <c r="Y19" s="30"/>
      <c r="Z19" s="30"/>
      <c r="AA19" s="32" t="inlineStr">
        <is>
          <t xml:space="preserve">Surplus Lines</t>
        </is>
      </c>
      <c r="AB19" s="35">
        <v>5973.55</v>
      </c>
      <c r="AC19" s="37">
        <v>0</v>
      </c>
      <c r="AD19" s="38">
        <f>IF(ISNUMBER($AB19),$AB19*(1+N($AC19)),"")</f>
      </c>
      <c r="AE19" s="35">
        <v>350</v>
      </c>
      <c r="AF19" s="35">
        <v>0</v>
      </c>
      <c r="AG19" s="37"/>
      <c r="AH19" s="39">
        <f>IF(ISNUMBER($AD19),($AD19+$AE19+$AF19)*$AG19,"")</f>
      </c>
      <c r="AI19" s="35"/>
      <c r="AJ19" s="38">
        <f>IF(ISNUMBER($AD19),SUM($AD19:$AH19),"")</f>
      </c>
      <c r="AK19" s="40">
        <f>IF(AND(ISNUMBER($AB19),ISNUMBER($AD19)),IF($AB19&gt;0,$AD19/$AB19,""),"")</f>
      </c>
      <c r="AL19" s="32" t="inlineStr">
        <is>
          <t xml:space="preserve">At technical</t>
        </is>
      </c>
      <c r="AM19" s="41">
        <f>IF(ISNUMBER($AD19),Header!$I$3,"")</f>
      </c>
      <c r="AN19" s="39">
        <f>IF(ISNUMBER($AD19),$AO19+$AP19,"")</f>
      </c>
      <c r="AO19" s="39">
        <f>IF(ISNUMBER($AD19),ROUND($AD19*Header!$K$3,2),"")</f>
      </c>
      <c r="AP19" s="39">
        <f>IF(ISNUMBER($AD19),ROUND($AD19*Header!$M$3,2),"")</f>
      </c>
      <c r="AQ19" s="38">
        <f>IF(ISNUMBER($AD19),ROUND($AD19,2)-$AO19-$AP19,"")</f>
      </c>
      <c r="AR19" s="39">
        <f>IF(ISNUMBER($AD19),IF(Header!$D$34="","?",$AD19*Header!$D$34),"")</f>
      </c>
      <c r="AS19" s="39">
        <f>IF(ISNUMBER($AB19),IF(Header!$D$34="","?",$AB19*Header!$D$34),"")</f>
      </c>
      <c r="AT19" s="42">
        <f>IF(AND(ISNUMBER($AB19),$M19&gt;0),$AB19/$M19*100,"")</f>
      </c>
      <c r="AU19" s="42">
        <f>IF(AND(ISNUMBER($AD19),$M19&gt;0),$AD19/$M19*100,"")</f>
      </c>
      <c r="AV19" s="40">
        <f>IF(AND(ISNUMBER($AB19),ISNUMBER($AD19),ABS($AB19)&gt;0),$AD19/$AB19,"")</f>
      </c>
      <c r="AW19" s="39">
        <f>IF(ISNUMBER($AD19),MAX(0,(1-0.55-Header!$O$3)*Header!$Q$3*$AQ19),"")</f>
      </c>
      <c r="AX19" s="43">
        <f>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c>
      <c r="AY19" s="44">
        <f>IF($M19="","",IF(ISNUMBER($M19),IF($M19&gt;=Header!$C$18,"YES — refer","No"),""))</f>
      </c>
      <c r="AZ19" s="44">
        <f>IF($AD19="","",IF(ISNUMBER($AD19),IF($AD19&lt;Header!$C$20,"BELOW MIN PREMIUM","OK"),""))</f>
      </c>
      <c r="BA19" s="32" t="inlineStr">
        <is>
          <t xml:space="preserve">Yes</t>
        </is>
      </c>
      <c r="BB19" s="32" t="inlineStr">
        <is>
          <t xml:space="preserve">Yes</t>
        </is>
      </c>
      <c r="BC19" s="30" t="inlineStr">
        <is>
          <t xml:space="preserve">Synthetic demo data</t>
        </is>
      </c>
      <c r="BE19" s="45">
        <f>IF(OR($A19="",$L19="",$H19=""),"",IF(AND(LEFT($L19,2)="06",$H19&gt;1945),"FAIL - pre-war class, year "&amp;$H19,IF(AND(LEFT($L19,2)="07",OR($H19&lt;1946,$H19&gt;1972)),"FAIL - 1946-72 class, year "&amp;$H19,IF(AND(LEFT($L19,2)="08",OR($H19&lt;1973,$H19&gt;1999)),"FAIL - 1973-99 class, year "&amp;$H19,IF(AND(LEFT($L19,2)="09",OR($H19&lt;2000,$H19&gt;2010)),"FAIL - 2000-10 class, year "&amp;$H19,"OK")))))</f>
      </c>
      <c r="BF19" s="45">
        <f>IF($AD19="","",IF(ROUND($AO19+$AP19+$AQ19-$AD19,2)=0,"OK","FAIL - out by "&amp;TEXT($AO19+$AP19+$AQ19-$AD19,"$0.00")))</f>
      </c>
    </row>
    <row r="20" spans="1:58" ht="18.75" customHeight="1" x14ac:dyDescent="0.25">
      <c r="A20" s="46" t="inlineStr">
        <is>
          <t xml:space="preserve">CANON-202606-008424</t>
        </is>
      </c>
      <c r="B20" s="46" t="inlineStr">
        <is>
          <t xml:space="preserve">Leopold Farkas</t>
        </is>
      </c>
      <c r="C20" s="47">
        <v>46179</v>
      </c>
      <c r="D20" s="48" t="inlineStr">
        <is>
          <t xml:space="preserve">Bound - within authority</t>
        </is>
      </c>
      <c r="E20" s="48" t="inlineStr">
        <is>
          <t xml:space="preserve">New business</t>
        </is>
      </c>
      <c r="F20" s="46" t="inlineStr">
        <is>
          <t xml:space="preserve">B1234EXOTIC26</t>
        </is>
      </c>
      <c r="G20" s="33">
        <f>IF($A20="","",IF($C20="","",YEAR($C20)))</f>
      </c>
      <c r="H20" s="49">
        <v>1977</v>
      </c>
      <c r="I20" s="46" t="inlineStr">
        <is>
          <t xml:space="preserve">Porsche</t>
        </is>
      </c>
      <c r="J20" s="46" t="inlineStr">
        <is>
          <t xml:space="preserve">911 Turbo S</t>
        </is>
      </c>
      <c r="K20" s="46" t="inlineStr">
        <is>
          <t xml:space="preserve">DPWCT0RW5WWBRUUAU</t>
        </is>
      </c>
      <c r="L20" s="48" t="inlineStr">
        <is>
          <t xml:space="preserve">02 - Sports / GT</t>
        </is>
      </c>
      <c r="M20" s="50">
        <v>430000</v>
      </c>
      <c r="N20" s="48" t="inlineStr">
        <is>
          <t xml:space="preserve">Personal</t>
        </is>
      </c>
      <c r="O20" s="46" t="inlineStr">
        <is>
          <t xml:space="preserve">Personal - regular use</t>
        </is>
      </c>
      <c r="P20" s="46" t="inlineStr">
        <is>
          <t xml:space="preserve">1,000 - 2,500</t>
        </is>
      </c>
      <c r="Q20" s="46" t="inlineStr">
        <is>
          <t xml:space="preserve">Maryland</t>
        </is>
      </c>
      <c r="R20" s="46" t="inlineStr">
        <is>
          <t xml:space="preserve">21201</t>
        </is>
      </c>
      <c r="S20" s="48" t="inlineStr">
        <is>
          <t xml:space="preserve">Tier 3 - Coastal wind (25-100 miles)</t>
        </is>
      </c>
      <c r="T20" s="36">
        <f>IF($A20="","",IF($S20="","",IFERROR(INDEX('[1]natural catastrophe'!$D$6:$D$17,MATCH($S20,'[1]natural catastrophe'!$B$6:$B$17,0)),"?")))</f>
      </c>
      <c r="U20" s="46" t="inlineStr">
        <is>
          <t xml:space="preserve">2% of agreed value, minimum $10,000</t>
        </is>
      </c>
      <c r="V20" s="48" t="inlineStr">
        <is>
          <t xml:space="preserve">Agreed Value</t>
        </is>
      </c>
      <c r="W20" s="46" t="inlineStr">
        <is>
          <t xml:space="preserve">$1,000</t>
        </is>
      </c>
      <c r="X20" s="48" t="inlineStr">
        <is>
          <t xml:space="preserve">$1,000,000 CSL</t>
        </is>
      </c>
      <c r="Y20" s="46"/>
      <c r="Z20" s="46"/>
      <c r="AA20" s="48" t="inlineStr">
        <is>
          <t xml:space="preserve">Surplus Lines</t>
        </is>
      </c>
      <c r="AB20" s="50">
        <v>4421.05</v>
      </c>
      <c r="AC20" s="51">
        <v>0</v>
      </c>
      <c r="AD20" s="38">
        <f>IF(ISNUMBER($AB20),$AB20*(1+N($AC20)),"")</f>
      </c>
      <c r="AE20" s="50">
        <v>350</v>
      </c>
      <c r="AF20" s="50">
        <v>0</v>
      </c>
      <c r="AG20" s="51"/>
      <c r="AH20" s="39">
        <f>IF(ISNUMBER($AD20),($AD20+$AE20+$AF20)*$AG20,"")</f>
      </c>
      <c r="AI20" s="50"/>
      <c r="AJ20" s="38">
        <f>IF(ISNUMBER($AD20),SUM($AD20:$AH20),"")</f>
      </c>
      <c r="AK20" s="40">
        <f>IF(AND(ISNUMBER($AB20),ISNUMBER($AD20)),IF($AB20&gt;0,$AD20/$AB20,""),"")</f>
      </c>
      <c r="AL20" s="48" t="inlineStr">
        <is>
          <t xml:space="preserve">At technical</t>
        </is>
      </c>
      <c r="AM20" s="41">
        <f>IF(ISNUMBER($AD20),Header!$I$3,"")</f>
      </c>
      <c r="AN20" s="39">
        <f>IF(ISNUMBER($AD20),$AO20+$AP20,"")</f>
      </c>
      <c r="AO20" s="39">
        <f>IF(ISNUMBER($AD20),ROUND($AD20*Header!$K$3,2),"")</f>
      </c>
      <c r="AP20" s="39">
        <f>IF(ISNUMBER($AD20),ROUND($AD20*Header!$M$3,2),"")</f>
      </c>
      <c r="AQ20" s="38">
        <f>IF(ISNUMBER($AD20),ROUND($AD20,2)-$AO20-$AP20,"")</f>
      </c>
      <c r="AR20" s="39">
        <f>IF(ISNUMBER($AD20),IF(Header!$D$34="","?",$AD20*Header!$D$34),"")</f>
      </c>
      <c r="AS20" s="39">
        <f>IF(ISNUMBER($AB20),IF(Header!$D$34="","?",$AB20*Header!$D$34),"")</f>
      </c>
      <c r="AT20" s="42">
        <f>IF(AND(ISNUMBER($AB20),$M20&gt;0),$AB20/$M20*100,"")</f>
      </c>
      <c r="AU20" s="42">
        <f>IF(AND(ISNUMBER($AD20),$M20&gt;0),$AD20/$M20*100,"")</f>
      </c>
      <c r="AV20" s="40">
        <f>IF(AND(ISNUMBER($AB20),ISNUMBER($AD20),ABS($AB20)&gt;0),$AD20/$AB20,"")</f>
      </c>
      <c r="AW20" s="39">
        <f>IF(ISNUMBER($AD20),MAX(0,(1-0.55-Header!$O$3)*Header!$Q$3*$AQ20),"")</f>
      </c>
      <c r="AX20" s="43">
        <f>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c>
      <c r="AY20" s="44">
        <f>IF($M20="","",IF(ISNUMBER($M20),IF($M20&gt;=Header!$C$18,"YES — refer","No"),""))</f>
      </c>
      <c r="AZ20" s="44">
        <f>IF($AD20="","",IF(ISNUMBER($AD20),IF($AD20&lt;Header!$C$20,"BELOW MIN PREMIUM","OK"),""))</f>
      </c>
      <c r="BA20" s="48" t="inlineStr">
        <is>
          <t xml:space="preserve">Yes</t>
        </is>
      </c>
      <c r="BB20" s="48" t="inlineStr">
        <is>
          <t xml:space="preserve">Yes</t>
        </is>
      </c>
      <c r="BC20" s="46" t="inlineStr">
        <is>
          <t xml:space="preserve">Synthetic demo data</t>
        </is>
      </c>
      <c r="BE20" s="45">
        <f>IF(OR($A20="",$L20="",$H20=""),"",IF(AND(LEFT($L20,2)="06",$H20&gt;1945),"FAIL - pre-war class, year "&amp;$H20,IF(AND(LEFT($L20,2)="07",OR($H20&lt;1946,$H20&gt;1972)),"FAIL - 1946-72 class, year "&amp;$H20,IF(AND(LEFT($L20,2)="08",OR($H20&lt;1973,$H20&gt;1999)),"FAIL - 1973-99 class, year "&amp;$H20,IF(AND(LEFT($L20,2)="09",OR($H20&lt;2000,$H20&gt;2010)),"FAIL - 2000-10 class, year "&amp;$H20,"OK")))))</f>
      </c>
      <c r="BF20" s="45">
        <f>IF($AD20="","",IF(ROUND($AO20+$AP20+$AQ20-$AD20,2)=0,"OK","FAIL - out by "&amp;TEXT($AO20+$AP20+$AQ20-$AD20,"$0.00")))</f>
      </c>
    </row>
    <row r="21" spans="1:58" ht="18.75" customHeight="1" x14ac:dyDescent="0.25">
      <c r="A21" s="30" t="inlineStr">
        <is>
          <t xml:space="preserve">CANON-202606-008425</t>
        </is>
      </c>
      <c r="B21" s="30" t="inlineStr">
        <is>
          <t xml:space="preserve">Anouk Delacroix</t>
        </is>
      </c>
      <c r="C21" s="31">
        <v>46186</v>
      </c>
      <c r="D21" s="32" t="inlineStr">
        <is>
          <t xml:space="preserve">Bound - within authority</t>
        </is>
      </c>
      <c r="E21" s="32" t="inlineStr">
        <is>
          <t xml:space="preserve">New business</t>
        </is>
      </c>
      <c r="F21" s="30" t="inlineStr">
        <is>
          <t xml:space="preserve">B1234EXOTIC26</t>
        </is>
      </c>
      <c r="G21" s="33">
        <f>IF($A21="","",IF($C21="","",YEAR($C21)))</f>
      </c>
      <c r="H21" s="34">
        <v>2010</v>
      </c>
      <c r="I21" s="30" t="inlineStr">
        <is>
          <t xml:space="preserve">Jaguar</t>
        </is>
      </c>
      <c r="J21" s="30" t="inlineStr">
        <is>
          <t xml:space="preserve">E-Type Series 1</t>
        </is>
      </c>
      <c r="K21" s="30" t="inlineStr">
        <is>
          <t xml:space="preserve">3S30CLSYYYN7UNS1Z</t>
        </is>
      </c>
      <c r="L21" s="32" t="inlineStr">
        <is>
          <t xml:space="preserve">09 - Youngtimer / Collectible (2000-2010)</t>
        </is>
      </c>
      <c r="M21" s="35">
        <v>335000</v>
      </c>
      <c r="N21" s="32" t="inlineStr">
        <is>
          <t xml:space="preserve">Personal</t>
        </is>
      </c>
      <c r="O21" s="30" t="inlineStr">
        <is>
          <t xml:space="preserve">Personal - regular use</t>
        </is>
      </c>
      <c r="P21" s="30" t="inlineStr">
        <is>
          <t xml:space="preserve">1,000 - 2,500</t>
        </is>
      </c>
      <c r="Q21" s="30" t="inlineStr">
        <is>
          <t xml:space="preserve">Illinois</t>
        </is>
      </c>
      <c r="R21" s="30" t="inlineStr">
        <is>
          <t xml:space="preserve">60601</t>
        </is>
      </c>
      <c r="S21" s="32" t="inlineStr">
        <is>
          <t xml:space="preserve">Severe convective - hail / tornado (moderate)</t>
        </is>
      </c>
      <c r="T21" s="36">
        <f>IF($A21="","",IF($S21="","",IFERROR(INDEX('[1]natural catastrophe'!$D$6:$D$17,MATCH($S21,'[1]natural catastrophe'!$B$6:$B$17,0)),"?")))</f>
      </c>
      <c r="U21" s="30" t="inlineStr">
        <is>
          <t xml:space="preserve">$5,000</t>
        </is>
      </c>
      <c r="V21" s="32" t="inlineStr">
        <is>
          <t xml:space="preserve">Agreed Value</t>
        </is>
      </c>
      <c r="W21" s="30" t="inlineStr">
        <is>
          <t xml:space="preserve">$1,000</t>
        </is>
      </c>
      <c r="X21" s="32" t="inlineStr">
        <is>
          <t xml:space="preserve">$1,000,000 CSL</t>
        </is>
      </c>
      <c r="Y21" s="30"/>
      <c r="Z21" s="30"/>
      <c r="AA21" s="32" t="inlineStr">
        <is>
          <t xml:space="preserve">Surplus Lines</t>
        </is>
      </c>
      <c r="AB21" s="35">
        <v>3155.71</v>
      </c>
      <c r="AC21" s="37">
        <v>0</v>
      </c>
      <c r="AD21" s="38">
        <f>IF(ISNUMBER($AB21),$AB21*(1+N($AC21)),"")</f>
      </c>
      <c r="AE21" s="35">
        <v>350</v>
      </c>
      <c r="AF21" s="35">
        <v>0</v>
      </c>
      <c r="AG21" s="37"/>
      <c r="AH21" s="39">
        <f>IF(ISNUMBER($AD21),($AD21+$AE21+$AF21)*$AG21,"")</f>
      </c>
      <c r="AI21" s="35"/>
      <c r="AJ21" s="38">
        <f>IF(ISNUMBER($AD21),SUM($AD21:$AH21),"")</f>
      </c>
      <c r="AK21" s="40">
        <f>IF(AND(ISNUMBER($AB21),ISNUMBER($AD21)),IF($AB21&gt;0,$AD21/$AB21,""),"")</f>
      </c>
      <c r="AL21" s="32" t="inlineStr">
        <is>
          <t xml:space="preserve">At technical</t>
        </is>
      </c>
      <c r="AM21" s="41">
        <f>IF(ISNUMBER($AD21),Header!$I$3,"")</f>
      </c>
      <c r="AN21" s="39">
        <f>IF(ISNUMBER($AD21),$AO21+$AP21,"")</f>
      </c>
      <c r="AO21" s="39">
        <f>IF(ISNUMBER($AD21),ROUND($AD21*Header!$K$3,2),"")</f>
      </c>
      <c r="AP21" s="39">
        <f>IF(ISNUMBER($AD21),ROUND($AD21*Header!$M$3,2),"")</f>
      </c>
      <c r="AQ21" s="38">
        <f>IF(ISNUMBER($AD21),ROUND($AD21,2)-$AO21-$AP21,"")</f>
      </c>
      <c r="AR21" s="39">
        <f>IF(ISNUMBER($AD21),IF(Header!$D$34="","?",$AD21*Header!$D$34),"")</f>
      </c>
      <c r="AS21" s="39">
        <f>IF(ISNUMBER($AB21),IF(Header!$D$34="","?",$AB21*Header!$D$34),"")</f>
      </c>
      <c r="AT21" s="42">
        <f>IF(AND(ISNUMBER($AB21),$M21&gt;0),$AB21/$M21*100,"")</f>
      </c>
      <c r="AU21" s="42">
        <f>IF(AND(ISNUMBER($AD21),$M21&gt;0),$AD21/$M21*100,"")</f>
      </c>
      <c r="AV21" s="40">
        <f>IF(AND(ISNUMBER($AB21),ISNUMBER($AD21),ABS($AB21)&gt;0),$AD21/$AB21,"")</f>
      </c>
      <c r="AW21" s="39">
        <f>IF(ISNUMBER($AD21),MAX(0,(1-0.55-Header!$O$3)*Header!$Q$3*$AQ21),"")</f>
      </c>
      <c r="AX21" s="43">
        <f>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c>
      <c r="AY21" s="44">
        <f>IF($M21="","",IF(ISNUMBER($M21),IF($M21&gt;=Header!$C$18,"YES — refer","No"),""))</f>
      </c>
      <c r="AZ21" s="44">
        <f>IF($AD21="","",IF(ISNUMBER($AD21),IF($AD21&lt;Header!$C$20,"BELOW MIN PREMIUM","OK"),""))</f>
      </c>
      <c r="BA21" s="32" t="inlineStr">
        <is>
          <t xml:space="preserve">Yes</t>
        </is>
      </c>
      <c r="BB21" s="32" t="inlineStr">
        <is>
          <t xml:space="preserve">Yes</t>
        </is>
      </c>
      <c r="BC21" s="30" t="inlineStr">
        <is>
          <t xml:space="preserve">Synthetic demo data</t>
        </is>
      </c>
      <c r="BE21" s="45">
        <f>IF(OR($A21="",$L21="",$H21=""),"",IF(AND(LEFT($L21,2)="06",$H21&gt;1945),"FAIL - pre-war class, year "&amp;$H21,IF(AND(LEFT($L21,2)="07",OR($H21&lt;1946,$H21&gt;1972)),"FAIL - 1946-72 class, year "&amp;$H21,IF(AND(LEFT($L21,2)="08",OR($H21&lt;1973,$H21&gt;1999)),"FAIL - 1973-99 class, year "&amp;$H21,IF(AND(LEFT($L21,2)="09",OR($H21&lt;2000,$H21&gt;2010)),"FAIL - 2000-10 class, year "&amp;$H21,"OK")))))</f>
      </c>
      <c r="BF21" s="45">
        <f>IF($AD21="","",IF(ROUND($AO21+$AP21+$AQ21-$AD21,2)=0,"OK","FAIL - out by "&amp;TEXT($AO21+$AP21+$AQ21-$AD21,"$0.00")))</f>
      </c>
    </row>
    <row r="22" spans="1:58" ht="18.75" customHeight="1" x14ac:dyDescent="0.25">
      <c r="A22" s="46" t="inlineStr">
        <is>
          <t xml:space="preserve">CANON-202606-008426</t>
        </is>
      </c>
      <c r="B22" s="46" t="inlineStr">
        <is>
          <t xml:space="preserve">Ingrid Harrington</t>
        </is>
      </c>
      <c r="C22" s="47">
        <v>46202</v>
      </c>
      <c r="D22" s="48" t="inlineStr">
        <is>
          <t xml:space="preserve">Bound - within authority</t>
        </is>
      </c>
      <c r="E22" s="48" t="inlineStr">
        <is>
          <t xml:space="preserve">New business</t>
        </is>
      </c>
      <c r="F22" s="46" t="inlineStr">
        <is>
          <t xml:space="preserve">B1234EXOTIC26</t>
        </is>
      </c>
      <c r="G22" s="33">
        <f>IF($A22="","",IF($C22="","",YEAR($C22)))</f>
      </c>
      <c r="H22" s="49">
        <v>1981</v>
      </c>
      <c r="I22" s="46" t="inlineStr">
        <is>
          <t xml:space="preserve">McLaren</t>
        </is>
      </c>
      <c r="J22" s="46" t="inlineStr">
        <is>
          <t xml:space="preserve">750S</t>
        </is>
      </c>
      <c r="K22" s="46" t="inlineStr">
        <is>
          <t xml:space="preserve">WJ6RKACSC2NS5DNRK</t>
        </is>
      </c>
      <c r="L22" s="48" t="inlineStr">
        <is>
          <t xml:space="preserve">03 - Supercar</t>
        </is>
      </c>
      <c r="M22" s="50">
        <v>870000</v>
      </c>
      <c r="N22" s="48" t="inlineStr">
        <is>
          <t xml:space="preserve">Personal</t>
        </is>
      </c>
      <c r="O22" s="46" t="inlineStr">
        <is>
          <t xml:space="preserve">Personal - regular use</t>
        </is>
      </c>
      <c r="P22" s="46" t="inlineStr">
        <is>
          <t xml:space="preserve">Under 1,000</t>
        </is>
      </c>
      <c r="Q22" s="46" t="inlineStr">
        <is>
          <t xml:space="preserve">Alaska</t>
        </is>
      </c>
      <c r="R22" s="46" t="inlineStr">
        <is>
          <t xml:space="preserve">99501</t>
        </is>
      </c>
      <c r="S22" s="48" t="inlineStr">
        <is>
          <t xml:space="preserve">Earthquake - high (CA, Cascadia, New Madrid)</t>
        </is>
      </c>
      <c r="T22" s="36">
        <f>IF($A22="","",IF($S22="","",IFERROR(INDEX('[1]natural catastrophe'!$D$6:$D$17,MATCH($S22,'[1]natural catastrophe'!$B$6:$B$17,0)),"?")))</f>
      </c>
      <c r="U22" s="46" t="inlineStr">
        <is>
          <t xml:space="preserve">$5,000</t>
        </is>
      </c>
      <c r="V22" s="48" t="inlineStr">
        <is>
          <t xml:space="preserve">Agreed Value</t>
        </is>
      </c>
      <c r="W22" s="46" t="inlineStr">
        <is>
          <t xml:space="preserve">$1,000</t>
        </is>
      </c>
      <c r="X22" s="48" t="inlineStr">
        <is>
          <t xml:space="preserve">$1,000,000 CSL</t>
        </is>
      </c>
      <c r="Y22" s="46"/>
      <c r="Z22" s="46"/>
      <c r="AA22" s="48" t="inlineStr">
        <is>
          <t xml:space="preserve">Surplus Lines</t>
        </is>
      </c>
      <c r="AB22" s="50">
        <v>13596.27</v>
      </c>
      <c r="AC22" s="51">
        <v>0</v>
      </c>
      <c r="AD22" s="38">
        <f>IF(ISNUMBER($AB22),$AB22*(1+N($AC22)),"")</f>
      </c>
      <c r="AE22" s="50">
        <v>350</v>
      </c>
      <c r="AF22" s="50">
        <v>0</v>
      </c>
      <c r="AG22" s="51"/>
      <c r="AH22" s="39">
        <f>IF(ISNUMBER($AD22),($AD22+$AE22+$AF22)*$AG22,"")</f>
      </c>
      <c r="AI22" s="50"/>
      <c r="AJ22" s="38">
        <f>IF(ISNUMBER($AD22),SUM($AD22:$AH22),"")</f>
      </c>
      <c r="AK22" s="40">
        <f>IF(AND(ISNUMBER($AB22),ISNUMBER($AD22)),IF($AB22&gt;0,$AD22/$AB22,""),"")</f>
      </c>
      <c r="AL22" s="48" t="inlineStr">
        <is>
          <t xml:space="preserve">At technical</t>
        </is>
      </c>
      <c r="AM22" s="41">
        <f>IF(ISNUMBER($AD22),Header!$I$3,"")</f>
      </c>
      <c r="AN22" s="39">
        <f>IF(ISNUMBER($AD22),$AO22+$AP22,"")</f>
      </c>
      <c r="AO22" s="39">
        <f>IF(ISNUMBER($AD22),ROUND($AD22*Header!$K$3,2),"")</f>
      </c>
      <c r="AP22" s="39">
        <f>IF(ISNUMBER($AD22),ROUND($AD22*Header!$M$3,2),"")</f>
      </c>
      <c r="AQ22" s="38">
        <f>IF(ISNUMBER($AD22),ROUND($AD22,2)-$AO22-$AP22,"")</f>
      </c>
      <c r="AR22" s="39">
        <f>IF(ISNUMBER($AD22),IF(Header!$D$34="","?",$AD22*Header!$D$34),"")</f>
      </c>
      <c r="AS22" s="39">
        <f>IF(ISNUMBER($AB22),IF(Header!$D$34="","?",$AB22*Header!$D$34),"")</f>
      </c>
      <c r="AT22" s="42">
        <f>IF(AND(ISNUMBER($AB22),$M22&gt;0),$AB22/$M22*100,"")</f>
      </c>
      <c r="AU22" s="42">
        <f>IF(AND(ISNUMBER($AD22),$M22&gt;0),$AD22/$M22*100,"")</f>
      </c>
      <c r="AV22" s="40">
        <f>IF(AND(ISNUMBER($AB22),ISNUMBER($AD22),ABS($AB22)&gt;0),$AD22/$AB22,"")</f>
      </c>
      <c r="AW22" s="39">
        <f>IF(ISNUMBER($AD22),MAX(0,(1-0.55-Header!$O$3)*Header!$Q$3*$AQ22),"")</f>
      </c>
      <c r="AX22" s="43">
        <f>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c>
      <c r="AY22" s="44">
        <f>IF($M22="","",IF(ISNUMBER($M22),IF($M22&gt;=Header!$C$18,"YES — refer","No"),""))</f>
      </c>
      <c r="AZ22" s="44">
        <f>IF($AD22="","",IF(ISNUMBER($AD22),IF($AD22&lt;Header!$C$20,"BELOW MIN PREMIUM","OK"),""))</f>
      </c>
      <c r="BA22" s="48" t="inlineStr">
        <is>
          <t xml:space="preserve">Yes</t>
        </is>
      </c>
      <c r="BB22" s="48" t="inlineStr">
        <is>
          <t xml:space="preserve">Yes</t>
        </is>
      </c>
      <c r="BC22" s="46" t="inlineStr">
        <is>
          <t xml:space="preserve">Synthetic demo data</t>
        </is>
      </c>
      <c r="BE22" s="45">
        <f>IF(OR($A22="",$L22="",$H22=""),"",IF(AND(LEFT($L22,2)="06",$H22&gt;1945),"FAIL - pre-war class, year "&amp;$H22,IF(AND(LEFT($L22,2)="07",OR($H22&lt;1946,$H22&gt;1972)),"FAIL - 1946-72 class, year "&amp;$H22,IF(AND(LEFT($L22,2)="08",OR($H22&lt;1973,$H22&gt;1999)),"FAIL - 1973-99 class, year "&amp;$H22,IF(AND(LEFT($L22,2)="09",OR($H22&lt;2000,$H22&gt;2010)),"FAIL - 2000-10 class, year "&amp;$H22,"OK")))))</f>
      </c>
      <c r="BF22" s="45">
        <f>IF($AD22="","",IF(ROUND($AO22+$AP22+$AQ22-$AD22,2)=0,"OK","FAIL - out by "&amp;TEXT($AO22+$AP22+$AQ22-$AD22,"$0.00")))</f>
      </c>
    </row>
    <row r="23" spans="1:58" ht="18.75" customHeight="1" x14ac:dyDescent="0.25">
      <c r="A23" s="30" t="inlineStr">
        <is>
          <t xml:space="preserve">CANON-202606-008428</t>
        </is>
      </c>
      <c r="B23" s="30" t="inlineStr">
        <is>
          <t xml:space="preserve">Sunniva Montoya</t>
        </is>
      </c>
      <c r="C23" s="31">
        <v>46202</v>
      </c>
      <c r="D23" s="32" t="inlineStr">
        <is>
          <t xml:space="preserve">Bound - within authority</t>
        </is>
      </c>
      <c r="E23" s="32" t="inlineStr">
        <is>
          <t xml:space="preserve">New business</t>
        </is>
      </c>
      <c r="F23" s="30" t="inlineStr">
        <is>
          <t xml:space="preserve">B1234EXOTIC26</t>
        </is>
      </c>
      <c r="G23" s="33">
        <f>IF($A23="","",IF($C23="","",YEAR($C23)))</f>
      </c>
      <c r="H23" s="34">
        <v>1956</v>
      </c>
      <c r="I23" s="30" t="inlineStr">
        <is>
          <t xml:space="preserve">Aston Martin</t>
        </is>
      </c>
      <c r="J23" s="30" t="inlineStr">
        <is>
          <t xml:space="preserve">DB12</t>
        </is>
      </c>
      <c r="K23" s="30" t="inlineStr">
        <is>
          <t xml:space="preserve">YC6LJKR9W192JHN2V</t>
        </is>
      </c>
      <c r="L23" s="32" t="inlineStr">
        <is>
          <t xml:space="preserve">02 - Sports / GT</t>
        </is>
      </c>
      <c r="M23" s="35">
        <v>955000</v>
      </c>
      <c r="N23" s="32" t="inlineStr">
        <is>
          <t xml:space="preserve">Personal</t>
        </is>
      </c>
      <c r="O23" s="30" t="inlineStr">
        <is>
          <t xml:space="preserve">Personal - regular use</t>
        </is>
      </c>
      <c r="P23" s="30" t="inlineStr">
        <is>
          <t xml:space="preserve">Under 1,000</t>
        </is>
      </c>
      <c r="Q23" s="30" t="inlineStr">
        <is>
          <t xml:space="preserve">California</t>
        </is>
      </c>
      <c r="R23" s="30" t="inlineStr">
        <is>
          <t xml:space="preserve">90012</t>
        </is>
      </c>
      <c r="S23" s="32" t="inlineStr">
        <is>
          <t xml:space="preserve">Earthquake - high (CA, Cascadia, New Madrid)</t>
        </is>
      </c>
      <c r="T23" s="36">
        <f>IF($A23="","",IF($S23="","",IFERROR(INDEX('[1]natural catastrophe'!$D$6:$D$17,MATCH($S23,'[1]natural catastrophe'!$B$6:$B$17,0)),"?")))</f>
      </c>
      <c r="U23" s="30" t="inlineStr">
        <is>
          <t xml:space="preserve">$5,000</t>
        </is>
      </c>
      <c r="V23" s="32" t="inlineStr">
        <is>
          <t xml:space="preserve">Agreed Value</t>
        </is>
      </c>
      <c r="W23" s="30" t="inlineStr">
        <is>
          <t xml:space="preserve">$1,000</t>
        </is>
      </c>
      <c r="X23" s="32" t="inlineStr">
        <is>
          <t xml:space="preserve">$1,000,000 CSL</t>
        </is>
      </c>
      <c r="Y23" s="30"/>
      <c r="Z23" s="30"/>
      <c r="AA23" s="32" t="inlineStr">
        <is>
          <t xml:space="preserve">Surplus Lines</t>
        </is>
      </c>
      <c r="AB23" s="35">
        <v>12092.68</v>
      </c>
      <c r="AC23" s="37">
        <v>0</v>
      </c>
      <c r="AD23" s="38">
        <f>IF(ISNUMBER($AB23),$AB23*(1+N($AC23)),"")</f>
      </c>
      <c r="AE23" s="35">
        <v>350</v>
      </c>
      <c r="AF23" s="35">
        <v>0</v>
      </c>
      <c r="AG23" s="37"/>
      <c r="AH23" s="39">
        <f>IF(ISNUMBER($AD23),($AD23+$AE23+$AF23)*$AG23,"")</f>
      </c>
      <c r="AI23" s="35"/>
      <c r="AJ23" s="38">
        <f>IF(ISNUMBER($AD23),SUM($AD23:$AH23),"")</f>
      </c>
      <c r="AK23" s="40">
        <f>IF(AND(ISNUMBER($AB23),ISNUMBER($AD23)),IF($AB23&gt;0,$AD23/$AB23,""),"")</f>
      </c>
      <c r="AL23" s="32" t="inlineStr">
        <is>
          <t xml:space="preserve">At technical</t>
        </is>
      </c>
      <c r="AM23" s="41">
        <f>IF(ISNUMBER($AD23),Header!$I$3,"")</f>
      </c>
      <c r="AN23" s="39">
        <f>IF(ISNUMBER($AD23),$AO23+$AP23,"")</f>
      </c>
      <c r="AO23" s="39">
        <f>IF(ISNUMBER($AD23),ROUND($AD23*Header!$K$3,2),"")</f>
      </c>
      <c r="AP23" s="39">
        <f>IF(ISNUMBER($AD23),ROUND($AD23*Header!$M$3,2),"")</f>
      </c>
      <c r="AQ23" s="38">
        <f>IF(ISNUMBER($AD23),ROUND($AD23,2)-$AO23-$AP23,"")</f>
      </c>
      <c r="AR23" s="39">
        <f>IF(ISNUMBER($AD23),IF(Header!$D$34="","?",$AD23*Header!$D$34),"")</f>
      </c>
      <c r="AS23" s="39">
        <f>IF(ISNUMBER($AB23),IF(Header!$D$34="","?",$AB23*Header!$D$34),"")</f>
      </c>
      <c r="AT23" s="42">
        <f>IF(AND(ISNUMBER($AB23),$M23&gt;0),$AB23/$M23*100,"")</f>
      </c>
      <c r="AU23" s="42">
        <f>IF(AND(ISNUMBER($AD23),$M23&gt;0),$AD23/$M23*100,"")</f>
      </c>
      <c r="AV23" s="40">
        <f>IF(AND(ISNUMBER($AB23),ISNUMBER($AD23),ABS($AB23)&gt;0),$AD23/$AB23,"")</f>
      </c>
      <c r="AW23" s="39">
        <f>IF(ISNUMBER($AD23),MAX(0,(1-0.55-Header!$O$3)*Header!$Q$3*$AQ23),"")</f>
      </c>
      <c r="AX23" s="43">
        <f>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c>
      <c r="AY23" s="44">
        <f>IF($M23="","",IF(ISNUMBER($M23),IF($M23&gt;=Header!$C$18,"YES — refer","No"),""))</f>
      </c>
      <c r="AZ23" s="44">
        <f>IF($AD23="","",IF(ISNUMBER($AD23),IF($AD23&lt;Header!$C$20,"BELOW MIN PREMIUM","OK"),""))</f>
      </c>
      <c r="BA23" s="32" t="inlineStr">
        <is>
          <t xml:space="preserve">Yes</t>
        </is>
      </c>
      <c r="BB23" s="32" t="inlineStr">
        <is>
          <t xml:space="preserve">Yes</t>
        </is>
      </c>
      <c r="BC23" s="30" t="inlineStr">
        <is>
          <t xml:space="preserve">Synthetic demo data</t>
        </is>
      </c>
      <c r="BE23" s="45">
        <f>IF(OR($A23="",$L23="",$H23=""),"",IF(AND(LEFT($L23,2)="06",$H23&gt;1945),"FAIL - pre-war class, year "&amp;$H23,IF(AND(LEFT($L23,2)="07",OR($H23&lt;1946,$H23&gt;1972)),"FAIL - 1946-72 class, year "&amp;$H23,IF(AND(LEFT($L23,2)="08",OR($H23&lt;1973,$H23&gt;1999)),"FAIL - 1973-99 class, year "&amp;$H23,IF(AND(LEFT($L23,2)="09",OR($H23&lt;2000,$H23&gt;2010)),"FAIL - 2000-10 class, year "&amp;$H23,"OK")))))</f>
      </c>
      <c r="BF23" s="45">
        <f>IF($AD23="","",IF(ROUND($AO23+$AP23+$AQ23-$AD23,2)=0,"OK","FAIL - out by "&amp;TEXT($AO23+$AP23+$AQ23-$AD23,"$0.00")))</f>
      </c>
    </row>
    <row r="24" spans="1:58" ht="18.75" customHeight="1" x14ac:dyDescent="0.25">
      <c r="A24" s="46" t="inlineStr">
        <is>
          <t xml:space="preserve">CANON-202606-008429</t>
        </is>
      </c>
      <c r="B24" s="46" t="inlineStr">
        <is>
          <t xml:space="preserve">Ingrid Vasquez</t>
        </is>
      </c>
      <c r="C24" s="47">
        <v>46178</v>
      </c>
      <c r="D24" s="48" t="inlineStr">
        <is>
          <t xml:space="preserve">Bound - within authority</t>
        </is>
      </c>
      <c r="E24" s="48" t="inlineStr">
        <is>
          <t xml:space="preserve">New business</t>
        </is>
      </c>
      <c r="F24" s="46" t="inlineStr">
        <is>
          <t xml:space="preserve">B1234EXOTIC26</t>
        </is>
      </c>
      <c r="G24" s="33">
        <f>IF($A24="","",IF($C24="","",YEAR($C24)))</f>
      </c>
      <c r="H24" s="49">
        <v>1973</v>
      </c>
      <c r="I24" s="46" t="inlineStr">
        <is>
          <t xml:space="preserve">Singer</t>
        </is>
      </c>
      <c r="J24" s="46" t="inlineStr">
        <is>
          <t xml:space="preserve">911 Reimagined</t>
        </is>
      </c>
      <c r="K24" s="46" t="inlineStr">
        <is>
          <t xml:space="preserve">45UEZZWA3Y1453889</t>
        </is>
      </c>
      <c r="L24" s="48" t="inlineStr">
        <is>
          <t xml:space="preserve">11 - Restomod / Coachbuilt / Bespoke</t>
        </is>
      </c>
      <c r="M24" s="50">
        <v>905000</v>
      </c>
      <c r="N24" s="48" t="inlineStr">
        <is>
          <t xml:space="preserve">Personal</t>
        </is>
      </c>
      <c r="O24" s="46" t="inlineStr">
        <is>
          <t xml:space="preserve">Personal - regular use</t>
        </is>
      </c>
      <c r="P24" s="46" t="inlineStr">
        <is>
          <t xml:space="preserve">Under 1,000</t>
        </is>
      </c>
      <c r="Q24" s="46" t="inlineStr">
        <is>
          <t xml:space="preserve">North Dakota</t>
        </is>
      </c>
      <c r="R24" s="46" t="inlineStr">
        <is>
          <t xml:space="preserve">58501</t>
        </is>
      </c>
      <c r="S24" s="48" t="inlineStr">
        <is>
          <t xml:space="preserve">Severe convective - hail alley (high)</t>
        </is>
      </c>
      <c r="T24" s="36">
        <f>IF($A24="","",IF($S24="","",IFERROR(INDEX('[1]natural catastrophe'!$D$6:$D$17,MATCH($S24,'[1]natural catastrophe'!$B$6:$B$17,0)),"?")))</f>
      </c>
      <c r="U24" s="46" t="inlineStr">
        <is>
          <t xml:space="preserve">$5,000</t>
        </is>
      </c>
      <c r="V24" s="48" t="inlineStr">
        <is>
          <t xml:space="preserve">Agreed Value</t>
        </is>
      </c>
      <c r="W24" s="46" t="inlineStr">
        <is>
          <t xml:space="preserve">$1,000</t>
        </is>
      </c>
      <c r="X24" s="48" t="inlineStr">
        <is>
          <t xml:space="preserve">$1,000,000 CSL</t>
        </is>
      </c>
      <c r="Y24" s="46"/>
      <c r="Z24" s="46"/>
      <c r="AA24" s="48" t="inlineStr">
        <is>
          <t xml:space="preserve">Surplus Lines</t>
        </is>
      </c>
      <c r="AB24" s="50">
        <v>10390</v>
      </c>
      <c r="AC24" s="51">
        <v>0</v>
      </c>
      <c r="AD24" s="38">
        <f>IF(ISNUMBER($AB24),$AB24*(1+N($AC24)),"")</f>
      </c>
      <c r="AE24" s="50">
        <v>350</v>
      </c>
      <c r="AF24" s="50">
        <v>0</v>
      </c>
      <c r="AG24" s="51"/>
      <c r="AH24" s="39">
        <f>IF(ISNUMBER($AD24),($AD24+$AE24+$AF24)*$AG24,"")</f>
      </c>
      <c r="AI24" s="50"/>
      <c r="AJ24" s="38">
        <f>IF(ISNUMBER($AD24),SUM($AD24:$AH24),"")</f>
      </c>
      <c r="AK24" s="40">
        <f>IF(AND(ISNUMBER($AB24),ISNUMBER($AD24)),IF($AB24&gt;0,$AD24/$AB24,""),"")</f>
      </c>
      <c r="AL24" s="48" t="inlineStr">
        <is>
          <t xml:space="preserve">At technical</t>
        </is>
      </c>
      <c r="AM24" s="41">
        <f>IF(ISNUMBER($AD24),Header!$I$3,"")</f>
      </c>
      <c r="AN24" s="39">
        <f>IF(ISNUMBER($AD24),$AO24+$AP24,"")</f>
      </c>
      <c r="AO24" s="39">
        <f>IF(ISNUMBER($AD24),ROUND($AD24*Header!$K$3,2),"")</f>
      </c>
      <c r="AP24" s="39">
        <f>IF(ISNUMBER($AD24),ROUND($AD24*Header!$M$3,2),"")</f>
      </c>
      <c r="AQ24" s="38">
        <f>IF(ISNUMBER($AD24),ROUND($AD24,2)-$AO24-$AP24,"")</f>
      </c>
      <c r="AR24" s="39">
        <f>IF(ISNUMBER($AD24),IF(Header!$D$34="","?",$AD24*Header!$D$34),"")</f>
      </c>
      <c r="AS24" s="39">
        <f>IF(ISNUMBER($AB24),IF(Header!$D$34="","?",$AB24*Header!$D$34),"")</f>
      </c>
      <c r="AT24" s="42">
        <f>IF(AND(ISNUMBER($AB24),$M24&gt;0),$AB24/$M24*100,"")</f>
      </c>
      <c r="AU24" s="42">
        <f>IF(AND(ISNUMBER($AD24),$M24&gt;0),$AD24/$M24*100,"")</f>
      </c>
      <c r="AV24" s="40">
        <f>IF(AND(ISNUMBER($AB24),ISNUMBER($AD24),ABS($AB24)&gt;0),$AD24/$AB24,"")</f>
      </c>
      <c r="AW24" s="39">
        <f>IF(ISNUMBER($AD24),MAX(0,(1-0.55-Header!$O$3)*Header!$Q$3*$AQ24),"")</f>
      </c>
      <c r="AX24" s="43">
        <f>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c>
      <c r="AY24" s="44">
        <f>IF($M24="","",IF(ISNUMBER($M24),IF($M24&gt;=Header!$C$18,"YES — refer","No"),""))</f>
      </c>
      <c r="AZ24" s="44">
        <f>IF($AD24="","",IF(ISNUMBER($AD24),IF($AD24&lt;Header!$C$20,"BELOW MIN PREMIUM","OK"),""))</f>
      </c>
      <c r="BA24" s="48" t="inlineStr">
        <is>
          <t xml:space="preserve">Yes</t>
        </is>
      </c>
      <c r="BB24" s="48" t="inlineStr">
        <is>
          <t xml:space="preserve">Yes</t>
        </is>
      </c>
      <c r="BC24" s="46" t="inlineStr">
        <is>
          <t xml:space="preserve">Synthetic demo data</t>
        </is>
      </c>
      <c r="BE24" s="45">
        <f>IF(OR($A24="",$L24="",$H24=""),"",IF(AND(LEFT($L24,2)="06",$H24&gt;1945),"FAIL - pre-war class, year "&amp;$H24,IF(AND(LEFT($L24,2)="07",OR($H24&lt;1946,$H24&gt;1972)),"FAIL - 1946-72 class, year "&amp;$H24,IF(AND(LEFT($L24,2)="08",OR($H24&lt;1973,$H24&gt;1999)),"FAIL - 1973-99 class, year "&amp;$H24,IF(AND(LEFT($L24,2)="09",OR($H24&lt;2000,$H24&gt;2010)),"FAIL - 2000-10 class, year "&amp;$H24,"OK")))))</f>
      </c>
      <c r="BF24" s="45">
        <f>IF($AD24="","",IF(ROUND($AO24+$AP24+$AQ24-$AD24,2)=0,"OK","FAIL - out by "&amp;TEXT($AO24+$AP24+$AQ24-$AD24,"$0.00")))</f>
      </c>
    </row>
    <row r="25" spans="1:58" ht="18.75" customHeight="1" x14ac:dyDescent="0.25">
      <c r="A25" s="30" t="inlineStr">
        <is>
          <t xml:space="preserve">CANON-202606-008430</t>
        </is>
      </c>
      <c r="B25" s="30" t="inlineStr">
        <is>
          <t xml:space="preserve">Thaddeus Okonkwo</t>
        </is>
      </c>
      <c r="C25" s="31">
        <v>46177</v>
      </c>
      <c r="D25" s="32" t="inlineStr">
        <is>
          <t xml:space="preserve">Bound - within authority</t>
        </is>
      </c>
      <c r="E25" s="32" t="inlineStr">
        <is>
          <t xml:space="preserve">New business</t>
        </is>
      </c>
      <c r="F25" s="30" t="inlineStr">
        <is>
          <t xml:space="preserve">B1234EXOTIC26</t>
        </is>
      </c>
      <c r="G25" s="33">
        <f>IF($A25="","",IF($C25="","",YEAR($C25)))</f>
      </c>
      <c r="H25" s="34">
        <v>2022</v>
      </c>
      <c r="I25" s="30" t="inlineStr">
        <is>
          <t xml:space="preserve">Bentley</t>
        </is>
      </c>
      <c r="J25" s="30" t="inlineStr">
        <is>
          <t xml:space="preserve">Continental GT</t>
        </is>
      </c>
      <c r="K25" s="30" t="inlineStr">
        <is>
          <t xml:space="preserve">NH5MLVUZ0Z3YZKXVR</t>
        </is>
      </c>
      <c r="L25" s="32" t="inlineStr">
        <is>
          <t xml:space="preserve">02 - Sports / GT</t>
        </is>
      </c>
      <c r="M25" s="35">
        <v>350000</v>
      </c>
      <c r="N25" s="32" t="inlineStr">
        <is>
          <t xml:space="preserve">Personal</t>
        </is>
      </c>
      <c r="O25" s="30" t="inlineStr">
        <is>
          <t xml:space="preserve">Personal - regular use</t>
        </is>
      </c>
      <c r="P25" s="30" t="inlineStr">
        <is>
          <t xml:space="preserve">1,000 - 2,500</t>
        </is>
      </c>
      <c r="Q25" s="30" t="inlineStr">
        <is>
          <t xml:space="preserve">Louisiana</t>
        </is>
      </c>
      <c r="R25" s="30" t="inlineStr">
        <is>
          <t xml:space="preserve">70112</t>
        </is>
      </c>
      <c r="S25" s="32" t="inlineStr">
        <is>
          <t xml:space="preserve">Tier 2 - Coastal wind (1-25 miles)</t>
        </is>
      </c>
      <c r="T25" s="36">
        <f>IF($A25="","",IF($S25="","",IFERROR(INDEX('[1]natural catastrophe'!$D$6:$D$17,MATCH($S25,'[1]natural catastrophe'!$B$6:$B$17,0)),"?")))</f>
      </c>
      <c r="U25" s="30" t="inlineStr">
        <is>
          <t xml:space="preserve">2% of agreed value, minimum $10,000</t>
        </is>
      </c>
      <c r="V25" s="32" t="inlineStr">
        <is>
          <t xml:space="preserve">Agreed Value</t>
        </is>
      </c>
      <c r="W25" s="30" t="inlineStr">
        <is>
          <t xml:space="preserve">$1,000</t>
        </is>
      </c>
      <c r="X25" s="32" t="inlineStr">
        <is>
          <t xml:space="preserve">$1,000,000 CSL</t>
        </is>
      </c>
      <c r="Y25" s="30"/>
      <c r="Z25" s="30"/>
      <c r="AA25" s="32" t="inlineStr">
        <is>
          <t xml:space="preserve">Surplus Lines</t>
        </is>
      </c>
      <c r="AB25" s="35">
        <v>4583.39</v>
      </c>
      <c r="AC25" s="37">
        <v>0</v>
      </c>
      <c r="AD25" s="38">
        <f>IF(ISNUMBER($AB25),$AB25*(1+N($AC25)),"")</f>
      </c>
      <c r="AE25" s="35">
        <v>350</v>
      </c>
      <c r="AF25" s="35">
        <v>0</v>
      </c>
      <c r="AG25" s="37"/>
      <c r="AH25" s="39">
        <f>IF(ISNUMBER($AD25),($AD25+$AE25+$AF25)*$AG25,"")</f>
      </c>
      <c r="AI25" s="35"/>
      <c r="AJ25" s="38">
        <f>IF(ISNUMBER($AD25),SUM($AD25:$AH25),"")</f>
      </c>
      <c r="AK25" s="40">
        <f>IF(AND(ISNUMBER($AB25),ISNUMBER($AD25)),IF($AB25&gt;0,$AD25/$AB25,""),"")</f>
      </c>
      <c r="AL25" s="32" t="inlineStr">
        <is>
          <t xml:space="preserve">At technical</t>
        </is>
      </c>
      <c r="AM25" s="41">
        <f>IF(ISNUMBER($AD25),Header!$I$3,"")</f>
      </c>
      <c r="AN25" s="39">
        <f>IF(ISNUMBER($AD25),$AO25+$AP25,"")</f>
      </c>
      <c r="AO25" s="39">
        <f>IF(ISNUMBER($AD25),ROUND($AD25*Header!$K$3,2),"")</f>
      </c>
      <c r="AP25" s="39">
        <f>IF(ISNUMBER($AD25),ROUND($AD25*Header!$M$3,2),"")</f>
      </c>
      <c r="AQ25" s="38">
        <f>IF(ISNUMBER($AD25),ROUND($AD25,2)-$AO25-$AP25,"")</f>
      </c>
      <c r="AR25" s="39">
        <f>IF(ISNUMBER($AD25),IF(Header!$D$34="","?",$AD25*Header!$D$34),"")</f>
      </c>
      <c r="AS25" s="39">
        <f>IF(ISNUMBER($AB25),IF(Header!$D$34="","?",$AB25*Header!$D$34),"")</f>
      </c>
      <c r="AT25" s="42">
        <f>IF(AND(ISNUMBER($AB25),$M25&gt;0),$AB25/$M25*100,"")</f>
      </c>
      <c r="AU25" s="42">
        <f>IF(AND(ISNUMBER($AD25),$M25&gt;0),$AD25/$M25*100,"")</f>
      </c>
      <c r="AV25" s="40">
        <f>IF(AND(ISNUMBER($AB25),ISNUMBER($AD25),ABS($AB25)&gt;0),$AD25/$AB25,"")</f>
      </c>
      <c r="AW25" s="39">
        <f>IF(ISNUMBER($AD25),MAX(0,(1-0.55-Header!$O$3)*Header!$Q$3*$AQ25),"")</f>
      </c>
      <c r="AX25" s="43">
        <f>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c>
      <c r="AY25" s="44">
        <f>IF($M25="","",IF(ISNUMBER($M25),IF($M25&gt;=Header!$C$18,"YES — refer","No"),""))</f>
      </c>
      <c r="AZ25" s="44">
        <f>IF($AD25="","",IF(ISNUMBER($AD25),IF($AD25&lt;Header!$C$20,"BELOW MIN PREMIUM","OK"),""))</f>
      </c>
      <c r="BA25" s="32" t="inlineStr">
        <is>
          <t xml:space="preserve">Yes</t>
        </is>
      </c>
      <c r="BB25" s="32" t="inlineStr">
        <is>
          <t xml:space="preserve">Yes</t>
        </is>
      </c>
      <c r="BC25" s="30" t="inlineStr">
        <is>
          <t xml:space="preserve">Synthetic demo data</t>
        </is>
      </c>
      <c r="BE25" s="45">
        <f>IF(OR($A25="",$L25="",$H25=""),"",IF(AND(LEFT($L25,2)="06",$H25&gt;1945),"FAIL - pre-war class, year "&amp;$H25,IF(AND(LEFT($L25,2)="07",OR($H25&lt;1946,$H25&gt;1972)),"FAIL - 1946-72 class, year "&amp;$H25,IF(AND(LEFT($L25,2)="08",OR($H25&lt;1973,$H25&gt;1999)),"FAIL - 1973-99 class, year "&amp;$H25,IF(AND(LEFT($L25,2)="09",OR($H25&lt;2000,$H25&gt;2010)),"FAIL - 2000-10 class, year "&amp;$H25,"OK")))))</f>
      </c>
      <c r="BF25" s="45">
        <f>IF($AD25="","",IF(ROUND($AO25+$AP25+$AQ25-$AD25,2)=0,"OK","FAIL - out by "&amp;TEXT($AO25+$AP25+$AQ25-$AD25,"$0.00")))</f>
      </c>
    </row>
    <row r="26" spans="1:58" ht="18.75" customHeight="1" x14ac:dyDescent="0.25">
      <c r="A26" s="46" t="inlineStr">
        <is>
          <t xml:space="preserve">CANON-202606-008431</t>
        </is>
      </c>
      <c r="B26" s="46" t="inlineStr">
        <is>
          <t xml:space="preserve">Marisol Montoya</t>
        </is>
      </c>
      <c r="C26" s="47">
        <v>46187</v>
      </c>
      <c r="D26" s="48" t="inlineStr">
        <is>
          <t xml:space="preserve">Bound - within authority</t>
        </is>
      </c>
      <c r="E26" s="48" t="inlineStr">
        <is>
          <t xml:space="preserve">New business</t>
        </is>
      </c>
      <c r="F26" s="46" t="inlineStr">
        <is>
          <t xml:space="preserve">B1234EXOTIC26</t>
        </is>
      </c>
      <c r="G26" s="33">
        <f>IF($A26="","",IF($C26="","",YEAR($C26)))</f>
      </c>
      <c r="H26" s="49">
        <v>1973</v>
      </c>
      <c r="I26" s="46" t="inlineStr">
        <is>
          <t xml:space="preserve">Ferrari</t>
        </is>
      </c>
      <c r="J26" s="46" t="inlineStr">
        <is>
          <t xml:space="preserve">296 GTB</t>
        </is>
      </c>
      <c r="K26" s="46" t="inlineStr">
        <is>
          <t xml:space="preserve">SUU9GV1DV34YEWBTW</t>
        </is>
      </c>
      <c r="L26" s="48" t="inlineStr">
        <is>
          <t xml:space="preserve">03 - Supercar</t>
        </is>
      </c>
      <c r="M26" s="50">
        <v>665000</v>
      </c>
      <c r="N26" s="48" t="inlineStr">
        <is>
          <t xml:space="preserve">Personal</t>
        </is>
      </c>
      <c r="O26" s="46" t="inlineStr">
        <is>
          <t xml:space="preserve">Personal - regular use</t>
        </is>
      </c>
      <c r="P26" s="46" t="inlineStr">
        <is>
          <t xml:space="preserve">1,000 - 2,500</t>
        </is>
      </c>
      <c r="Q26" s="46" t="inlineStr">
        <is>
          <t xml:space="preserve">New Jersey</t>
        </is>
      </c>
      <c r="R26" s="46" t="inlineStr">
        <is>
          <t xml:space="preserve">07102</t>
        </is>
      </c>
      <c r="S26" s="48" t="inlineStr">
        <is>
          <t xml:space="preserve">Tier 3 - Coastal wind (25-100 miles)</t>
        </is>
      </c>
      <c r="T26" s="36">
        <f>IF($A26="","",IF($S26="","",IFERROR(INDEX('[1]natural catastrophe'!$D$6:$D$17,MATCH($S26,'[1]natural catastrophe'!$B$6:$B$17,0)),"?")))</f>
      </c>
      <c r="U26" s="46" t="inlineStr">
        <is>
          <t xml:space="preserve">2% of agreed value, minimum $10,000</t>
        </is>
      </c>
      <c r="V26" s="48" t="inlineStr">
        <is>
          <t xml:space="preserve">Agreed Value</t>
        </is>
      </c>
      <c r="W26" s="46" t="inlineStr">
        <is>
          <t xml:space="preserve">$1,000</t>
        </is>
      </c>
      <c r="X26" s="48" t="inlineStr">
        <is>
          <t xml:space="preserve">$1,000,000 CSL</t>
        </is>
      </c>
      <c r="Y26" s="46"/>
      <c r="Z26" s="46"/>
      <c r="AA26" s="48" t="inlineStr">
        <is>
          <t xml:space="preserve">Surplus Lines</t>
        </is>
      </c>
      <c r="AB26" s="50">
        <v>8295.81</v>
      </c>
      <c r="AC26" s="51">
        <v>0</v>
      </c>
      <c r="AD26" s="38">
        <f>IF(ISNUMBER($AB26),$AB26*(1+N($AC26)),"")</f>
      </c>
      <c r="AE26" s="50">
        <v>350</v>
      </c>
      <c r="AF26" s="50">
        <v>0</v>
      </c>
      <c r="AG26" s="51"/>
      <c r="AH26" s="39">
        <f>IF(ISNUMBER($AD26),($AD26+$AE26+$AF26)*$AG26,"")</f>
      </c>
      <c r="AI26" s="50"/>
      <c r="AJ26" s="38">
        <f>IF(ISNUMBER($AD26),SUM($AD26:$AH26),"")</f>
      </c>
      <c r="AK26" s="40">
        <f>IF(AND(ISNUMBER($AB26),ISNUMBER($AD26)),IF($AB26&gt;0,$AD26/$AB26,""),"")</f>
      </c>
      <c r="AL26" s="48" t="inlineStr">
        <is>
          <t xml:space="preserve">At technical</t>
        </is>
      </c>
      <c r="AM26" s="41">
        <f>IF(ISNUMBER($AD26),Header!$I$3,"")</f>
      </c>
      <c r="AN26" s="39">
        <f>IF(ISNUMBER($AD26),$AO26+$AP26,"")</f>
      </c>
      <c r="AO26" s="39">
        <f>IF(ISNUMBER($AD26),ROUND($AD26*Header!$K$3,2),"")</f>
      </c>
      <c r="AP26" s="39">
        <f>IF(ISNUMBER($AD26),ROUND($AD26*Header!$M$3,2),"")</f>
      </c>
      <c r="AQ26" s="38">
        <f>IF(ISNUMBER($AD26),ROUND($AD26,2)-$AO26-$AP26,"")</f>
      </c>
      <c r="AR26" s="39">
        <f>IF(ISNUMBER($AD26),IF(Header!$D$34="","?",$AD26*Header!$D$34),"")</f>
      </c>
      <c r="AS26" s="39">
        <f>IF(ISNUMBER($AB26),IF(Header!$D$34="","?",$AB26*Header!$D$34),"")</f>
      </c>
      <c r="AT26" s="42">
        <f>IF(AND(ISNUMBER($AB26),$M26&gt;0),$AB26/$M26*100,"")</f>
      </c>
      <c r="AU26" s="42">
        <f>IF(AND(ISNUMBER($AD26),$M26&gt;0),$AD26/$M26*100,"")</f>
      </c>
      <c r="AV26" s="40">
        <f>IF(AND(ISNUMBER($AB26),ISNUMBER($AD26),ABS($AB26)&gt;0),$AD26/$AB26,"")</f>
      </c>
      <c r="AW26" s="39">
        <f>IF(ISNUMBER($AD26),MAX(0,(1-0.55-Header!$O$3)*Header!$Q$3*$AQ26),"")</f>
      </c>
      <c r="AX26" s="43">
        <f>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c>
      <c r="AY26" s="44">
        <f>IF($M26="","",IF(ISNUMBER($M26),IF($M26&gt;=Header!$C$18,"YES — refer","No"),""))</f>
      </c>
      <c r="AZ26" s="44">
        <f>IF($AD26="","",IF(ISNUMBER($AD26),IF($AD26&lt;Header!$C$20,"BELOW MIN PREMIUM","OK"),""))</f>
      </c>
      <c r="BA26" s="48" t="inlineStr">
        <is>
          <t xml:space="preserve">Yes</t>
        </is>
      </c>
      <c r="BB26" s="48" t="inlineStr">
        <is>
          <t xml:space="preserve">Yes</t>
        </is>
      </c>
      <c r="BC26" s="46" t="inlineStr">
        <is>
          <t xml:space="preserve">Synthetic demo data</t>
        </is>
      </c>
      <c r="BE26" s="45">
        <f>IF(OR($A26="",$L26="",$H26=""),"",IF(AND(LEFT($L26,2)="06",$H26&gt;1945),"FAIL - pre-war class, year "&amp;$H26,IF(AND(LEFT($L26,2)="07",OR($H26&lt;1946,$H26&gt;1972)),"FAIL - 1946-72 class, year "&amp;$H26,IF(AND(LEFT($L26,2)="08",OR($H26&lt;1973,$H26&gt;1999)),"FAIL - 1973-99 class, year "&amp;$H26,IF(AND(LEFT($L26,2)="09",OR($H26&lt;2000,$H26&gt;2010)),"FAIL - 2000-10 class, year "&amp;$H26,"OK")))))</f>
      </c>
      <c r="BF26" s="45">
        <f>IF($AD26="","",IF(ROUND($AO26+$AP26+$AQ26-$AD26,2)=0,"OK","FAIL - out by "&amp;TEXT($AO26+$AP26+$AQ26-$AD26,"$0.00")))</f>
      </c>
    </row>
    <row r="27" spans="1:58" ht="18.75" customHeight="1" x14ac:dyDescent="0.25">
      <c r="A27" s="30" t="inlineStr">
        <is>
          <t xml:space="preserve">CANON-202606-008432</t>
        </is>
      </c>
      <c r="B27" s="30" t="inlineStr">
        <is>
          <t xml:space="preserve">Ramona Fairweather</t>
        </is>
      </c>
      <c r="C27" s="31">
        <v>46178</v>
      </c>
      <c r="D27" s="32" t="inlineStr">
        <is>
          <t xml:space="preserve">Bound - within authority</t>
        </is>
      </c>
      <c r="E27" s="32" t="inlineStr">
        <is>
          <t xml:space="preserve">New business</t>
        </is>
      </c>
      <c r="F27" s="30" t="inlineStr">
        <is>
          <t xml:space="preserve">B1234EXOTIC26</t>
        </is>
      </c>
      <c r="G27" s="33">
        <f>IF($A27="","",IF($C27="","",YEAR($C27)))</f>
      </c>
      <c r="H27" s="34">
        <v>2017</v>
      </c>
      <c r="I27" s="30" t="inlineStr">
        <is>
          <t xml:space="preserve">Alfa Romeo</t>
        </is>
      </c>
      <c r="J27" s="30" t="inlineStr">
        <is>
          <t xml:space="preserve">8C 2900</t>
        </is>
      </c>
      <c r="K27" s="30" t="inlineStr">
        <is>
          <t xml:space="preserve">RCLCEMJ6YHJ9WN2YN</t>
        </is>
      </c>
      <c r="L27" s="32" t="inlineStr">
        <is>
          <t xml:space="preserve">02 - Sports / GT</t>
        </is>
      </c>
      <c r="M27" s="35">
        <v>1020000</v>
      </c>
      <c r="N27" s="32" t="inlineStr">
        <is>
          <t xml:space="preserve">Personal</t>
        </is>
      </c>
      <c r="O27" s="30" t="inlineStr">
        <is>
          <t xml:space="preserve">Personal - regular use</t>
        </is>
      </c>
      <c r="P27" s="30" t="inlineStr">
        <is>
          <t xml:space="preserve">Under 1,000</t>
        </is>
      </c>
      <c r="Q27" s="30" t="inlineStr">
        <is>
          <t xml:space="preserve">Washington</t>
        </is>
      </c>
      <c r="R27" s="30" t="inlineStr">
        <is>
          <t xml:space="preserve">98101</t>
        </is>
      </c>
      <c r="S27" s="32" t="inlineStr">
        <is>
          <t xml:space="preserve">Earthquake - high (CA, Cascadia, New Madrid)</t>
        </is>
      </c>
      <c r="T27" s="36">
        <f>IF($A27="","",IF($S27="","",IFERROR(INDEX('[1]natural catastrophe'!$D$6:$D$17,MATCH($S27,'[1]natural catastrophe'!$B$6:$B$17,0)),"?")))</f>
      </c>
      <c r="U27" s="30" t="inlineStr">
        <is>
          <t xml:space="preserve">$5,000</t>
        </is>
      </c>
      <c r="V27" s="32" t="inlineStr">
        <is>
          <t xml:space="preserve">Agreed Value</t>
        </is>
      </c>
      <c r="W27" s="30" t="inlineStr">
        <is>
          <t xml:space="preserve">$1,000</t>
        </is>
      </c>
      <c r="X27" s="32" t="inlineStr">
        <is>
          <t xml:space="preserve">$1,000,000 CSL</t>
        </is>
      </c>
      <c r="Y27" s="30"/>
      <c r="Z27" s="30"/>
      <c r="AA27" s="32" t="inlineStr">
        <is>
          <t xml:space="preserve">Surplus Lines</t>
        </is>
      </c>
      <c r="AB27" s="35">
        <v>4804.21</v>
      </c>
      <c r="AC27" s="37">
        <v>0</v>
      </c>
      <c r="AD27" s="38">
        <f>IF(ISNUMBER($AB27),$AB27*(1+N($AC27)),"")</f>
      </c>
      <c r="AE27" s="35">
        <v>350</v>
      </c>
      <c r="AF27" s="35">
        <v>250</v>
      </c>
      <c r="AG27" s="37"/>
      <c r="AH27" s="39">
        <f>IF(ISNUMBER($AD27),($AD27+$AE27+$AF27)*$AG27,"")</f>
      </c>
      <c r="AI27" s="35"/>
      <c r="AJ27" s="38">
        <f>IF(ISNUMBER($AD27),SUM($AD27:$AH27),"")</f>
      </c>
      <c r="AK27" s="40">
        <f>IF(AND(ISNUMBER($AB27),ISNUMBER($AD27)),IF($AB27&gt;0,$AD27/$AB27,""),"")</f>
      </c>
      <c r="AL27" s="32" t="inlineStr">
        <is>
          <t xml:space="preserve">At technical</t>
        </is>
      </c>
      <c r="AM27" s="41">
        <f>IF(ISNUMBER($AD27),Header!$I$3,"")</f>
      </c>
      <c r="AN27" s="39">
        <f>IF(ISNUMBER($AD27),$AO27+$AP27,"")</f>
      </c>
      <c r="AO27" s="39">
        <f>IF(ISNUMBER($AD27),ROUND($AD27*Header!$K$3,2),"")</f>
      </c>
      <c r="AP27" s="39">
        <f>IF(ISNUMBER($AD27),ROUND($AD27*Header!$M$3,2),"")</f>
      </c>
      <c r="AQ27" s="38">
        <f>IF(ISNUMBER($AD27),ROUND($AD27,2)-$AO27-$AP27,"")</f>
      </c>
      <c r="AR27" s="39">
        <f>IF(ISNUMBER($AD27),IF(Header!$D$34="","?",$AD27*Header!$D$34),"")</f>
      </c>
      <c r="AS27" s="39">
        <f>IF(ISNUMBER($AB27),IF(Header!$D$34="","?",$AB27*Header!$D$34),"")</f>
      </c>
      <c r="AT27" s="42">
        <f>IF(AND(ISNUMBER($AB27),$M27&gt;0),$AB27/$M27*100,"")</f>
      </c>
      <c r="AU27" s="42">
        <f>IF(AND(ISNUMBER($AD27),$M27&gt;0),$AD27/$M27*100,"")</f>
      </c>
      <c r="AV27" s="40">
        <f>IF(AND(ISNUMBER($AB27),ISNUMBER($AD27),ABS($AB27)&gt;0),$AD27/$AB27,"")</f>
      </c>
      <c r="AW27" s="39">
        <f>IF(ISNUMBER($AD27),MAX(0,(1-0.55-Header!$O$3)*Header!$Q$3*$AQ27),"")</f>
      </c>
      <c r="AX27" s="43">
        <f>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c>
      <c r="AY27" s="44">
        <f>IF($M27="","",IF(ISNUMBER($M27),IF($M27&gt;=Header!$C$18,"YES — refer","No"),""))</f>
      </c>
      <c r="AZ27" s="44">
        <f>IF($AD27="","",IF(ISNUMBER($AD27),IF($AD27&lt;Header!$C$20,"BELOW MIN PREMIUM","OK"),""))</f>
      </c>
      <c r="BA27" s="32" t="inlineStr">
        <is>
          <t xml:space="preserve">Yes</t>
        </is>
      </c>
      <c r="BB27" s="32" t="inlineStr">
        <is>
          <t xml:space="preserve">Yes</t>
        </is>
      </c>
      <c r="BC27" s="30" t="inlineStr">
        <is>
          <t xml:space="preserve">Synthetic demo data</t>
        </is>
      </c>
      <c r="BE27" s="45">
        <f>IF(OR($A27="",$L27="",$H27=""),"",IF(AND(LEFT($L27,2)="06",$H27&gt;1945),"FAIL - pre-war class, year "&amp;$H27,IF(AND(LEFT($L27,2)="07",OR($H27&lt;1946,$H27&gt;1972)),"FAIL - 1946-72 class, year "&amp;$H27,IF(AND(LEFT($L27,2)="08",OR($H27&lt;1973,$H27&gt;1999)),"FAIL - 1973-99 class, year "&amp;$H27,IF(AND(LEFT($L27,2)="09",OR($H27&lt;2000,$H27&gt;2010)),"FAIL - 2000-10 class, year "&amp;$H27,"OK")))))</f>
      </c>
      <c r="BF27" s="45">
        <f>IF($AD27="","",IF(ROUND($AO27+$AP27+$AQ27-$AD27,2)=0,"OK","FAIL - out by "&amp;TEXT($AO27+$AP27+$AQ27-$AD27,"$0.00")))</f>
      </c>
    </row>
    <row r="28" spans="1:58" ht="18.75" customHeight="1" x14ac:dyDescent="0.25">
      <c r="A28" s="46" t="inlineStr">
        <is>
          <t xml:space="preserve">CANON-202606-008434</t>
        </is>
      </c>
      <c r="B28" s="46" t="inlineStr">
        <is>
          <t xml:space="preserve">Anouk Underwood</t>
        </is>
      </c>
      <c r="C28" s="47">
        <v>46186</v>
      </c>
      <c r="D28" s="48" t="inlineStr">
        <is>
          <t xml:space="preserve">Bound - within authority</t>
        </is>
      </c>
      <c r="E28" s="48" t="inlineStr">
        <is>
          <t xml:space="preserve">New business</t>
        </is>
      </c>
      <c r="F28" s="46" t="inlineStr">
        <is>
          <t xml:space="preserve">B1234EXOTIC26</t>
        </is>
      </c>
      <c r="G28" s="33">
        <f>IF($A28="","",IF($C28="","",YEAR($C28)))</f>
      </c>
      <c r="H28" s="49">
        <v>1969</v>
      </c>
      <c r="I28" s="46" t="inlineStr">
        <is>
          <t xml:space="preserve">Porsche</t>
        </is>
      </c>
      <c r="J28" s="46" t="inlineStr">
        <is>
          <t xml:space="preserve">911 Turbo S</t>
        </is>
      </c>
      <c r="K28" s="46" t="inlineStr">
        <is>
          <t xml:space="preserve">ZVWJCX9LEVP65WA0M</t>
        </is>
      </c>
      <c r="L28" s="48" t="inlineStr">
        <is>
          <t xml:space="preserve">02 - Sports / GT</t>
        </is>
      </c>
      <c r="M28" s="50">
        <v>420000</v>
      </c>
      <c r="N28" s="48" t="inlineStr">
        <is>
          <t xml:space="preserve">Personal</t>
        </is>
      </c>
      <c r="O28" s="46" t="inlineStr">
        <is>
          <t xml:space="preserve">Personal - regular use</t>
        </is>
      </c>
      <c r="P28" s="46" t="inlineStr">
        <is>
          <t xml:space="preserve">1,000 - 2,500</t>
        </is>
      </c>
      <c r="Q28" s="46" t="inlineStr">
        <is>
          <t xml:space="preserve">Alabama</t>
        </is>
      </c>
      <c r="R28" s="46" t="inlineStr">
        <is>
          <t xml:space="preserve">35203</t>
        </is>
      </c>
      <c r="S28" s="48" t="inlineStr">
        <is>
          <t xml:space="preserve">Tier 2 - Coastal wind (1-25 miles)</t>
        </is>
      </c>
      <c r="T28" s="36">
        <f>IF($A28="","",IF($S28="","",IFERROR(INDEX('[1]natural catastrophe'!$D$6:$D$17,MATCH($S28,'[1]natural catastrophe'!$B$6:$B$17,0)),"?")))</f>
      </c>
      <c r="U28" s="46" t="inlineStr">
        <is>
          <t xml:space="preserve">2% of agreed value, minimum $10,000</t>
        </is>
      </c>
      <c r="V28" s="48" t="inlineStr">
        <is>
          <t xml:space="preserve">Agreed Value</t>
        </is>
      </c>
      <c r="W28" s="46" t="inlineStr">
        <is>
          <t xml:space="preserve">$1,000</t>
        </is>
      </c>
      <c r="X28" s="48" t="inlineStr">
        <is>
          <t xml:space="preserve">$1,000,000 CSL</t>
        </is>
      </c>
      <c r="Y28" s="46"/>
      <c r="Z28" s="46"/>
      <c r="AA28" s="48" t="inlineStr">
        <is>
          <t xml:space="preserve">Surplus Lines</t>
        </is>
      </c>
      <c r="AB28" s="50">
        <v>5772.79</v>
      </c>
      <c r="AC28" s="51">
        <v>0</v>
      </c>
      <c r="AD28" s="38">
        <f>IF(ISNUMBER($AB28),$AB28*(1+N($AC28)),"")</f>
      </c>
      <c r="AE28" s="50">
        <v>350</v>
      </c>
      <c r="AF28" s="50">
        <v>0</v>
      </c>
      <c r="AG28" s="51"/>
      <c r="AH28" s="39">
        <f>IF(ISNUMBER($AD28),($AD28+$AE28+$AF28)*$AG28,"")</f>
      </c>
      <c r="AI28" s="50"/>
      <c r="AJ28" s="38">
        <f>IF(ISNUMBER($AD28),SUM($AD28:$AH28),"")</f>
      </c>
      <c r="AK28" s="40">
        <f>IF(AND(ISNUMBER($AB28),ISNUMBER($AD28)),IF($AB28&gt;0,$AD28/$AB28,""),"")</f>
      </c>
      <c r="AL28" s="48" t="inlineStr">
        <is>
          <t xml:space="preserve">At technical</t>
        </is>
      </c>
      <c r="AM28" s="41">
        <f>IF(ISNUMBER($AD28),Header!$I$3,"")</f>
      </c>
      <c r="AN28" s="39">
        <f>IF(ISNUMBER($AD28),$AO28+$AP28,"")</f>
      </c>
      <c r="AO28" s="39">
        <f>IF(ISNUMBER($AD28),ROUND($AD28*Header!$K$3,2),"")</f>
      </c>
      <c r="AP28" s="39">
        <f>IF(ISNUMBER($AD28),ROUND($AD28*Header!$M$3,2),"")</f>
      </c>
      <c r="AQ28" s="38">
        <f>IF(ISNUMBER($AD28),ROUND($AD28,2)-$AO28-$AP28,"")</f>
      </c>
      <c r="AR28" s="39">
        <f>IF(ISNUMBER($AD28),IF(Header!$D$34="","?",$AD28*Header!$D$34),"")</f>
      </c>
      <c r="AS28" s="39">
        <f>IF(ISNUMBER($AB28),IF(Header!$D$34="","?",$AB28*Header!$D$34),"")</f>
      </c>
      <c r="AT28" s="42">
        <f>IF(AND(ISNUMBER($AB28),$M28&gt;0),$AB28/$M28*100,"")</f>
      </c>
      <c r="AU28" s="42">
        <f>IF(AND(ISNUMBER($AD28),$M28&gt;0),$AD28/$M28*100,"")</f>
      </c>
      <c r="AV28" s="40">
        <f>IF(AND(ISNUMBER($AB28),ISNUMBER($AD28),ABS($AB28)&gt;0),$AD28/$AB28,"")</f>
      </c>
      <c r="AW28" s="39">
        <f>IF(ISNUMBER($AD28),MAX(0,(1-0.55-Header!$O$3)*Header!$Q$3*$AQ28),"")</f>
      </c>
      <c r="AX28" s="43">
        <f>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c>
      <c r="AY28" s="44">
        <f>IF($M28="","",IF(ISNUMBER($M28),IF($M28&gt;=Header!$C$18,"YES — refer","No"),""))</f>
      </c>
      <c r="AZ28" s="44">
        <f>IF($AD28="","",IF(ISNUMBER($AD28),IF($AD28&lt;Header!$C$20,"BELOW MIN PREMIUM","OK"),""))</f>
      </c>
      <c r="BA28" s="48" t="inlineStr">
        <is>
          <t xml:space="preserve">Yes</t>
        </is>
      </c>
      <c r="BB28" s="48" t="inlineStr">
        <is>
          <t xml:space="preserve">Yes</t>
        </is>
      </c>
      <c r="BC28" s="46" t="inlineStr">
        <is>
          <t xml:space="preserve">Synthetic demo data</t>
        </is>
      </c>
      <c r="BE28" s="45">
        <f>IF(OR($A28="",$L28="",$H28=""),"",IF(AND(LEFT($L28,2)="06",$H28&gt;1945),"FAIL - pre-war class, year "&amp;$H28,IF(AND(LEFT($L28,2)="07",OR($H28&lt;1946,$H28&gt;1972)),"FAIL - 1946-72 class, year "&amp;$H28,IF(AND(LEFT($L28,2)="08",OR($H28&lt;1973,$H28&gt;1999)),"FAIL - 1973-99 class, year "&amp;$H28,IF(AND(LEFT($L28,2)="09",OR($H28&lt;2000,$H28&gt;2010)),"FAIL - 2000-10 class, year "&amp;$H28,"OK")))))</f>
      </c>
      <c r="BF28" s="45">
        <f>IF($AD28="","",IF(ROUND($AO28+$AP28+$AQ28-$AD28,2)=0,"OK","FAIL - out by "&amp;TEXT($AO28+$AP28+$AQ28-$AD28,"$0.00")))</f>
      </c>
    </row>
    <row r="29" spans="1:58" ht="18.75" customHeight="1" x14ac:dyDescent="0.25">
      <c r="A29" s="30" t="inlineStr">
        <is>
          <t xml:space="preserve">CANON-202606-008435</t>
        </is>
      </c>
      <c r="B29" s="30" t="inlineStr">
        <is>
          <t xml:space="preserve">Saoirse Pennington</t>
        </is>
      </c>
      <c r="C29" s="31">
        <v>46193</v>
      </c>
      <c r="D29" s="32" t="inlineStr">
        <is>
          <t xml:space="preserve">Bound - within authority</t>
        </is>
      </c>
      <c r="E29" s="32" t="inlineStr">
        <is>
          <t xml:space="preserve">New business</t>
        </is>
      </c>
      <c r="F29" s="30" t="inlineStr">
        <is>
          <t xml:space="preserve">B1234EXOTIC26</t>
        </is>
      </c>
      <c r="G29" s="33">
        <f>IF($A29="","",IF($C29="","",YEAR($C29)))</f>
      </c>
      <c r="H29" s="34">
        <v>1996</v>
      </c>
      <c r="I29" s="30" t="inlineStr">
        <is>
          <t xml:space="preserve">Ferrari</t>
        </is>
      </c>
      <c r="J29" s="30" t="inlineStr">
        <is>
          <t xml:space="preserve">275 GTB/4</t>
        </is>
      </c>
      <c r="K29" s="30" t="inlineStr">
        <is>
          <t xml:space="preserve">RNNCW8JS04WNPNH2A</t>
        </is>
      </c>
      <c r="L29" s="32" t="inlineStr">
        <is>
          <t xml:space="preserve">08 - Modern Classic (1973-1999)</t>
        </is>
      </c>
      <c r="M29" s="35">
        <v>405000</v>
      </c>
      <c r="N29" s="32" t="inlineStr">
        <is>
          <t xml:space="preserve">Personal</t>
        </is>
      </c>
      <c r="O29" s="30" t="inlineStr">
        <is>
          <t xml:space="preserve">Personal - regular use</t>
        </is>
      </c>
      <c r="P29" s="30" t="inlineStr">
        <is>
          <t xml:space="preserve">1,000 - 2,500</t>
        </is>
      </c>
      <c r="Q29" s="30" t="inlineStr">
        <is>
          <t xml:space="preserve">Texas</t>
        </is>
      </c>
      <c r="R29" s="30" t="inlineStr">
        <is>
          <t xml:space="preserve">75201</t>
        </is>
      </c>
      <c r="S29" s="32" t="inlineStr">
        <is>
          <t xml:space="preserve">Tier 2 - Coastal wind (1-25 miles)</t>
        </is>
      </c>
      <c r="T29" s="36">
        <f>IF($A29="","",IF($S29="","",IFERROR(INDEX('[1]natural catastrophe'!$D$6:$D$17,MATCH($S29,'[1]natural catastrophe'!$B$6:$B$17,0)),"?")))</f>
      </c>
      <c r="U29" s="30" t="inlineStr">
        <is>
          <t xml:space="preserve">2% of agreed value, minimum $10,000</t>
        </is>
      </c>
      <c r="V29" s="32" t="inlineStr">
        <is>
          <t xml:space="preserve">Agreed Value</t>
        </is>
      </c>
      <c r="W29" s="30" t="inlineStr">
        <is>
          <t xml:space="preserve">$1,000</t>
        </is>
      </c>
      <c r="X29" s="32" t="inlineStr">
        <is>
          <t xml:space="preserve">$1,000,000 CSL</t>
        </is>
      </c>
      <c r="Y29" s="30"/>
      <c r="Z29" s="30"/>
      <c r="AA29" s="32" t="inlineStr">
        <is>
          <t xml:space="preserve">Surplus Lines</t>
        </is>
      </c>
      <c r="AB29" s="35">
        <v>3226.01</v>
      </c>
      <c r="AC29" s="37">
        <v>0</v>
      </c>
      <c r="AD29" s="38">
        <f>IF(ISNUMBER($AB29),$AB29*(1+N($AC29)),"")</f>
      </c>
      <c r="AE29" s="35">
        <v>350</v>
      </c>
      <c r="AF29" s="35">
        <v>0</v>
      </c>
      <c r="AG29" s="37"/>
      <c r="AH29" s="39">
        <f>IF(ISNUMBER($AD29),($AD29+$AE29+$AF29)*$AG29,"")</f>
      </c>
      <c r="AI29" s="35"/>
      <c r="AJ29" s="38">
        <f>IF(ISNUMBER($AD29),SUM($AD29:$AH29),"")</f>
      </c>
      <c r="AK29" s="40">
        <f>IF(AND(ISNUMBER($AB29),ISNUMBER($AD29)),IF($AB29&gt;0,$AD29/$AB29,""),"")</f>
      </c>
      <c r="AL29" s="32" t="inlineStr">
        <is>
          <t xml:space="preserve">At technical</t>
        </is>
      </c>
      <c r="AM29" s="41">
        <f>IF(ISNUMBER($AD29),Header!$I$3,"")</f>
      </c>
      <c r="AN29" s="39">
        <f>IF(ISNUMBER($AD29),$AO29+$AP29,"")</f>
      </c>
      <c r="AO29" s="39">
        <f>IF(ISNUMBER($AD29),ROUND($AD29*Header!$K$3,2),"")</f>
      </c>
      <c r="AP29" s="39">
        <f>IF(ISNUMBER($AD29),ROUND($AD29*Header!$M$3,2),"")</f>
      </c>
      <c r="AQ29" s="38">
        <f>IF(ISNUMBER($AD29),ROUND($AD29,2)-$AO29-$AP29,"")</f>
      </c>
      <c r="AR29" s="39">
        <f>IF(ISNUMBER($AD29),IF(Header!$D$34="","?",$AD29*Header!$D$34),"")</f>
      </c>
      <c r="AS29" s="39">
        <f>IF(ISNUMBER($AB29),IF(Header!$D$34="","?",$AB29*Header!$D$34),"")</f>
      </c>
      <c r="AT29" s="42">
        <f>IF(AND(ISNUMBER($AB29),$M29&gt;0),$AB29/$M29*100,"")</f>
      </c>
      <c r="AU29" s="42">
        <f>IF(AND(ISNUMBER($AD29),$M29&gt;0),$AD29/$M29*100,"")</f>
      </c>
      <c r="AV29" s="40">
        <f>IF(AND(ISNUMBER($AB29),ISNUMBER($AD29),ABS($AB29)&gt;0),$AD29/$AB29,"")</f>
      </c>
      <c r="AW29" s="39">
        <f>IF(ISNUMBER($AD29),MAX(0,(1-0.55-Header!$O$3)*Header!$Q$3*$AQ29),"")</f>
      </c>
      <c r="AX29" s="43">
        <f>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c>
      <c r="AY29" s="44">
        <f>IF($M29="","",IF(ISNUMBER($M29),IF($M29&gt;=Header!$C$18,"YES — refer","No"),""))</f>
      </c>
      <c r="AZ29" s="44">
        <f>IF($AD29="","",IF(ISNUMBER($AD29),IF($AD29&lt;Header!$C$20,"BELOW MIN PREMIUM","OK"),""))</f>
      </c>
      <c r="BA29" s="32" t="inlineStr">
        <is>
          <t xml:space="preserve">Yes</t>
        </is>
      </c>
      <c r="BB29" s="32" t="inlineStr">
        <is>
          <t xml:space="preserve">Yes</t>
        </is>
      </c>
      <c r="BC29" s="30" t="inlineStr">
        <is>
          <t xml:space="preserve">Synthetic demo data</t>
        </is>
      </c>
      <c r="BE29" s="45">
        <f>IF(OR($A29="",$L29="",$H29=""),"",IF(AND(LEFT($L29,2)="06",$H29&gt;1945),"FAIL - pre-war class, year "&amp;$H29,IF(AND(LEFT($L29,2)="07",OR($H29&lt;1946,$H29&gt;1972)),"FAIL - 1946-72 class, year "&amp;$H29,IF(AND(LEFT($L29,2)="08",OR($H29&lt;1973,$H29&gt;1999)),"FAIL - 1973-99 class, year "&amp;$H29,IF(AND(LEFT($L29,2)="09",OR($H29&lt;2000,$H29&gt;2010)),"FAIL - 2000-10 class, year "&amp;$H29,"OK")))))</f>
      </c>
      <c r="BF29" s="45">
        <f>IF($AD29="","",IF(ROUND($AO29+$AP29+$AQ29-$AD29,2)=0,"OK","FAIL - out by "&amp;TEXT($AO29+$AP29+$AQ29-$AD29,"$0.00")))</f>
      </c>
    </row>
    <row r="30" spans="1:58" ht="18.75" customHeight="1" x14ac:dyDescent="0.25">
      <c r="A30" s="46" t="inlineStr">
        <is>
          <t xml:space="preserve">CANON-202606-008436</t>
        </is>
      </c>
      <c r="B30" s="46" t="inlineStr">
        <is>
          <t xml:space="preserve">Wilhelmina Vasquez</t>
        </is>
      </c>
      <c r="C30" s="47">
        <v>46195</v>
      </c>
      <c r="D30" s="48" t="inlineStr">
        <is>
          <t xml:space="preserve">Bound - within authority</t>
        </is>
      </c>
      <c r="E30" s="48" t="inlineStr">
        <is>
          <t xml:space="preserve">New business</t>
        </is>
      </c>
      <c r="F30" s="46" t="inlineStr">
        <is>
          <t xml:space="preserve">B1234EXOTIC26</t>
        </is>
      </c>
      <c r="G30" s="33">
        <f>IF($A30="","",IF($C30="","",YEAR($C30)))</f>
      </c>
      <c r="H30" s="49">
        <v>1965</v>
      </c>
      <c r="I30" s="46" t="inlineStr">
        <is>
          <t xml:space="preserve">McLaren</t>
        </is>
      </c>
      <c r="J30" s="46" t="inlineStr">
        <is>
          <t xml:space="preserve">750S</t>
        </is>
      </c>
      <c r="K30" s="46" t="inlineStr">
        <is>
          <t xml:space="preserve">PGW5JRF76XJF0BNGS</t>
        </is>
      </c>
      <c r="L30" s="48" t="inlineStr">
        <is>
          <t xml:space="preserve">03 - Supercar</t>
        </is>
      </c>
      <c r="M30" s="50">
        <v>1245000</v>
      </c>
      <c r="N30" s="48" t="inlineStr">
        <is>
          <t xml:space="preserve">Personal</t>
        </is>
      </c>
      <c r="O30" s="46" t="inlineStr">
        <is>
          <t xml:space="preserve">Personal - regular use</t>
        </is>
      </c>
      <c r="P30" s="46" t="inlineStr">
        <is>
          <t xml:space="preserve">1,000 - 2,500</t>
        </is>
      </c>
      <c r="Q30" s="46" t="inlineStr">
        <is>
          <t xml:space="preserve">West Virginia</t>
        </is>
      </c>
      <c r="R30" s="46" t="inlineStr">
        <is>
          <t xml:space="preserve">25301</t>
        </is>
      </c>
      <c r="S30" s="48" t="inlineStr">
        <is>
          <t xml:space="preserve">Low hazard - inland benign</t>
        </is>
      </c>
      <c r="T30" s="36">
        <f>IF($A30="","",IF($S30="","",IFERROR(INDEX('[1]natural catastrophe'!$D$6:$D$17,MATCH($S30,'[1]natural catastrophe'!$B$6:$B$17,0)),"?")))</f>
      </c>
      <c r="U30" s="46" t="inlineStr">
        <is>
          <t xml:space="preserve">$5,000</t>
        </is>
      </c>
      <c r="V30" s="48" t="inlineStr">
        <is>
          <t xml:space="preserve">Agreed Value</t>
        </is>
      </c>
      <c r="W30" s="46" t="inlineStr">
        <is>
          <t xml:space="preserve">$1,000</t>
        </is>
      </c>
      <c r="X30" s="48" t="inlineStr">
        <is>
          <t xml:space="preserve">$1,000,000 CSL</t>
        </is>
      </c>
      <c r="Y30" s="46"/>
      <c r="Z30" s="46"/>
      <c r="AA30" s="48" t="inlineStr">
        <is>
          <t xml:space="preserve">Surplus Lines</t>
        </is>
      </c>
      <c r="AB30" s="50">
        <v>19115.38</v>
      </c>
      <c r="AC30" s="51">
        <v>0</v>
      </c>
      <c r="AD30" s="38">
        <f>IF(ISNUMBER($AB30),$AB30*(1+N($AC30)),"")</f>
      </c>
      <c r="AE30" s="50">
        <v>350</v>
      </c>
      <c r="AF30" s="50">
        <v>250</v>
      </c>
      <c r="AG30" s="51"/>
      <c r="AH30" s="39">
        <f>IF(ISNUMBER($AD30),($AD30+$AE30+$AF30)*$AG30,"")</f>
      </c>
      <c r="AI30" s="50"/>
      <c r="AJ30" s="38">
        <f>IF(ISNUMBER($AD30),SUM($AD30:$AH30),"")</f>
      </c>
      <c r="AK30" s="40">
        <f>IF(AND(ISNUMBER($AB30),ISNUMBER($AD30)),IF($AB30&gt;0,$AD30/$AB30,""),"")</f>
      </c>
      <c r="AL30" s="48" t="inlineStr">
        <is>
          <t xml:space="preserve">At technical</t>
        </is>
      </c>
      <c r="AM30" s="41">
        <f>IF(ISNUMBER($AD30),Header!$I$3,"")</f>
      </c>
      <c r="AN30" s="39">
        <f>IF(ISNUMBER($AD30),$AO30+$AP30,"")</f>
      </c>
      <c r="AO30" s="39">
        <f>IF(ISNUMBER($AD30),ROUND($AD30*Header!$K$3,2),"")</f>
      </c>
      <c r="AP30" s="39">
        <f>IF(ISNUMBER($AD30),ROUND($AD30*Header!$M$3,2),"")</f>
      </c>
      <c r="AQ30" s="38">
        <f>IF(ISNUMBER($AD30),ROUND($AD30,2)-$AO30-$AP30,"")</f>
      </c>
      <c r="AR30" s="39">
        <f>IF(ISNUMBER($AD30),IF(Header!$D$34="","?",$AD30*Header!$D$34),"")</f>
      </c>
      <c r="AS30" s="39">
        <f>IF(ISNUMBER($AB30),IF(Header!$D$34="","?",$AB30*Header!$D$34),"")</f>
      </c>
      <c r="AT30" s="42">
        <f>IF(AND(ISNUMBER($AB30),$M30&gt;0),$AB30/$M30*100,"")</f>
      </c>
      <c r="AU30" s="42">
        <f>IF(AND(ISNUMBER($AD30),$M30&gt;0),$AD30/$M30*100,"")</f>
      </c>
      <c r="AV30" s="40">
        <f>IF(AND(ISNUMBER($AB30),ISNUMBER($AD30),ABS($AB30)&gt;0),$AD30/$AB30,"")</f>
      </c>
      <c r="AW30" s="39">
        <f>IF(ISNUMBER($AD30),MAX(0,(1-0.55-Header!$O$3)*Header!$Q$3*$AQ30),"")</f>
      </c>
      <c r="AX30" s="43">
        <f>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c>
      <c r="AY30" s="44">
        <f>IF($M30="","",IF(ISNUMBER($M30),IF($M30&gt;=Header!$C$18,"YES — refer","No"),""))</f>
      </c>
      <c r="AZ30" s="44">
        <f>IF($AD30="","",IF(ISNUMBER($AD30),IF($AD30&lt;Header!$C$20,"BELOW MIN PREMIUM","OK"),""))</f>
      </c>
      <c r="BA30" s="48" t="inlineStr">
        <is>
          <t xml:space="preserve">Yes</t>
        </is>
      </c>
      <c r="BB30" s="48" t="inlineStr">
        <is>
          <t xml:space="preserve">Yes</t>
        </is>
      </c>
      <c r="BC30" s="46" t="inlineStr">
        <is>
          <t xml:space="preserve">Synthetic demo data</t>
        </is>
      </c>
      <c r="BE30" s="45">
        <f>IF(OR($A30="",$L30="",$H30=""),"",IF(AND(LEFT($L30,2)="06",$H30&gt;1945),"FAIL - pre-war class, year "&amp;$H30,IF(AND(LEFT($L30,2)="07",OR($H30&lt;1946,$H30&gt;1972)),"FAIL - 1946-72 class, year "&amp;$H30,IF(AND(LEFT($L30,2)="08",OR($H30&lt;1973,$H30&gt;1999)),"FAIL - 1973-99 class, year "&amp;$H30,IF(AND(LEFT($L30,2)="09",OR($H30&lt;2000,$H30&gt;2010)),"FAIL - 2000-10 class, year "&amp;$H30,"OK")))))</f>
      </c>
      <c r="BF30" s="45">
        <f>IF($AD30="","",IF(ROUND($AO30+$AP30+$AQ30-$AD30,2)=0,"OK","FAIL - out by "&amp;TEXT($AO30+$AP30+$AQ30-$AD30,"$0.00")))</f>
      </c>
    </row>
    <row r="31" spans="1:58" ht="18.75" customHeight="1" x14ac:dyDescent="0.25">
      <c r="A31" s="30" t="inlineStr">
        <is>
          <t xml:space="preserve">CANON-202606-008439</t>
        </is>
      </c>
      <c r="B31" s="30" t="inlineStr">
        <is>
          <t xml:space="preserve">Aurelio Vandermeer</t>
        </is>
      </c>
      <c r="C31" s="31">
        <v>46177</v>
      </c>
      <c r="D31" s="32" t="inlineStr">
        <is>
          <t xml:space="preserve">Bound - within authority</t>
        </is>
      </c>
      <c r="E31" s="32" t="inlineStr">
        <is>
          <t xml:space="preserve">New business</t>
        </is>
      </c>
      <c r="F31" s="30" t="inlineStr">
        <is>
          <t xml:space="preserve">B1234EXOTIC26</t>
        </is>
      </c>
      <c r="G31" s="33">
        <f>IF($A31="","",IF($C31="","",YEAR($C31)))</f>
      </c>
      <c r="H31" s="34">
        <v>1991</v>
      </c>
      <c r="I31" s="30" t="inlineStr">
        <is>
          <t xml:space="preserve">Aston Martin</t>
        </is>
      </c>
      <c r="J31" s="30" t="inlineStr">
        <is>
          <t xml:space="preserve">DB12</t>
        </is>
      </c>
      <c r="K31" s="30" t="inlineStr">
        <is>
          <t xml:space="preserve">33TJDSKVX266L8G8G</t>
        </is>
      </c>
      <c r="L31" s="32" t="inlineStr">
        <is>
          <t xml:space="preserve">02 - Sports / GT</t>
        </is>
      </c>
      <c r="M31" s="35">
        <v>1950000</v>
      </c>
      <c r="N31" s="32" t="inlineStr">
        <is>
          <t xml:space="preserve">Personal</t>
        </is>
      </c>
      <c r="O31" s="30" t="inlineStr">
        <is>
          <t xml:space="preserve">Personal - regular use</t>
        </is>
      </c>
      <c r="P31" s="30" t="inlineStr">
        <is>
          <t xml:space="preserve">1,000 - 2,500</t>
        </is>
      </c>
      <c r="Q31" s="30" t="inlineStr">
        <is>
          <t xml:space="preserve">Utah</t>
        </is>
      </c>
      <c r="R31" s="30" t="inlineStr">
        <is>
          <t xml:space="preserve">84101</t>
        </is>
      </c>
      <c r="S31" s="32" t="inlineStr">
        <is>
          <t xml:space="preserve">Wildfire - WUI high hazard</t>
        </is>
      </c>
      <c r="T31" s="36">
        <f>IF($A31="","",IF($S31="","",IFERROR(INDEX('[1]natural catastrophe'!$D$6:$D$17,MATCH($S31,'[1]natural catastrophe'!$B$6:$B$17,0)),"?")))</f>
      </c>
      <c r="U31" s="30" t="inlineStr">
        <is>
          <t xml:space="preserve">$5,000</t>
        </is>
      </c>
      <c r="V31" s="32" t="inlineStr">
        <is>
          <t xml:space="preserve">Agreed Value</t>
        </is>
      </c>
      <c r="W31" s="30" t="inlineStr">
        <is>
          <t xml:space="preserve">$1,000</t>
        </is>
      </c>
      <c r="X31" s="32" t="inlineStr">
        <is>
          <t xml:space="preserve">$1,000,000 CSL</t>
        </is>
      </c>
      <c r="Y31" s="30"/>
      <c r="Z31" s="30"/>
      <c r="AA31" s="32" t="inlineStr">
        <is>
          <t xml:space="preserve">Surplus Lines</t>
        </is>
      </c>
      <c r="AB31" s="35">
        <v>20893.11</v>
      </c>
      <c r="AC31" s="37">
        <v>0</v>
      </c>
      <c r="AD31" s="38">
        <f>IF(ISNUMBER($AB31),$AB31*(1+N($AC31)),"")</f>
      </c>
      <c r="AE31" s="35">
        <v>350</v>
      </c>
      <c r="AF31" s="35">
        <v>250</v>
      </c>
      <c r="AG31" s="37"/>
      <c r="AH31" s="39">
        <f>IF(ISNUMBER($AD31),($AD31+$AE31+$AF31)*$AG31,"")</f>
      </c>
      <c r="AI31" s="35"/>
      <c r="AJ31" s="38">
        <f>IF(ISNUMBER($AD31),SUM($AD31:$AH31),"")</f>
      </c>
      <c r="AK31" s="40">
        <f>IF(AND(ISNUMBER($AB31),ISNUMBER($AD31)),IF($AB31&gt;0,$AD31/$AB31,""),"")</f>
      </c>
      <c r="AL31" s="32" t="inlineStr">
        <is>
          <t xml:space="preserve">At technical</t>
        </is>
      </c>
      <c r="AM31" s="41">
        <f>IF(ISNUMBER($AD31),Header!$I$3,"")</f>
      </c>
      <c r="AN31" s="39">
        <f>IF(ISNUMBER($AD31),$AO31+$AP31,"")</f>
      </c>
      <c r="AO31" s="39">
        <f>IF(ISNUMBER($AD31),ROUND($AD31*Header!$K$3,2),"")</f>
      </c>
      <c r="AP31" s="39">
        <f>IF(ISNUMBER($AD31),ROUND($AD31*Header!$M$3,2),"")</f>
      </c>
      <c r="AQ31" s="38">
        <f>IF(ISNUMBER($AD31),ROUND($AD31,2)-$AO31-$AP31,"")</f>
      </c>
      <c r="AR31" s="39">
        <f>IF(ISNUMBER($AD31),IF(Header!$D$34="","?",$AD31*Header!$D$34),"")</f>
      </c>
      <c r="AS31" s="39">
        <f>IF(ISNUMBER($AB31),IF(Header!$D$34="","?",$AB31*Header!$D$34),"")</f>
      </c>
      <c r="AT31" s="42">
        <f>IF(AND(ISNUMBER($AB31),$M31&gt;0),$AB31/$M31*100,"")</f>
      </c>
      <c r="AU31" s="42">
        <f>IF(AND(ISNUMBER($AD31),$M31&gt;0),$AD31/$M31*100,"")</f>
      </c>
      <c r="AV31" s="40">
        <f>IF(AND(ISNUMBER($AB31),ISNUMBER($AD31),ABS($AB31)&gt;0),$AD31/$AB31,"")</f>
      </c>
      <c r="AW31" s="39">
        <f>IF(ISNUMBER($AD31),MAX(0,(1-0.55-Header!$O$3)*Header!$Q$3*$AQ31),"")</f>
      </c>
      <c r="AX31" s="43">
        <f>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c>
      <c r="AY31" s="44">
        <f>IF($M31="","",IF(ISNUMBER($M31),IF($M31&gt;=Header!$C$18,"YES — refer","No"),""))</f>
      </c>
      <c r="AZ31" s="44">
        <f>IF($AD31="","",IF(ISNUMBER($AD31),IF($AD31&lt;Header!$C$20,"BELOW MIN PREMIUM","OK"),""))</f>
      </c>
      <c r="BA31" s="32" t="inlineStr">
        <is>
          <t xml:space="preserve">Yes</t>
        </is>
      </c>
      <c r="BB31" s="32" t="inlineStr">
        <is>
          <t xml:space="preserve">Yes</t>
        </is>
      </c>
      <c r="BC31" s="30" t="inlineStr">
        <is>
          <t xml:space="preserve">Synthetic demo data</t>
        </is>
      </c>
      <c r="BE31" s="45">
        <f>IF(OR($A31="",$L31="",$H31=""),"",IF(AND(LEFT($L31,2)="06",$H31&gt;1945),"FAIL - pre-war class, year "&amp;$H31,IF(AND(LEFT($L31,2)="07",OR($H31&lt;1946,$H31&gt;1972)),"FAIL - 1946-72 class, year "&amp;$H31,IF(AND(LEFT($L31,2)="08",OR($H31&lt;1973,$H31&gt;1999)),"FAIL - 1973-99 class, year "&amp;$H31,IF(AND(LEFT($L31,2)="09",OR($H31&lt;2000,$H31&gt;2010)),"FAIL - 2000-10 class, year "&amp;$H31,"OK")))))</f>
      </c>
      <c r="BF31" s="45">
        <f>IF($AD31="","",IF(ROUND($AO31+$AP31+$AQ31-$AD31,2)=0,"OK","FAIL - out by "&amp;TEXT($AO31+$AP31+$AQ31-$AD31,"$0.00")))</f>
      </c>
    </row>
    <row r="32" spans="1:58" ht="18.75" customHeight="1" x14ac:dyDescent="0.25">
      <c r="A32" s="46" t="inlineStr">
        <is>
          <t xml:space="preserve">CANON-202606-008441</t>
        </is>
      </c>
      <c r="B32" s="46" t="inlineStr">
        <is>
          <t xml:space="preserve">Emiliano Vandermeer</t>
        </is>
      </c>
      <c r="C32" s="47">
        <v>46195</v>
      </c>
      <c r="D32" s="48" t="inlineStr">
        <is>
          <t xml:space="preserve">Bound - within authority</t>
        </is>
      </c>
      <c r="E32" s="48" t="inlineStr">
        <is>
          <t xml:space="preserve">New business</t>
        </is>
      </c>
      <c r="F32" s="46" t="inlineStr">
        <is>
          <t xml:space="preserve">B1234EXOTIC26</t>
        </is>
      </c>
      <c r="G32" s="33">
        <f>IF($A32="","",IF($C32="","",YEAR($C32)))</f>
      </c>
      <c r="H32" s="49">
        <v>1994</v>
      </c>
      <c r="I32" s="46" t="inlineStr">
        <is>
          <t xml:space="preserve">Bentley</t>
        </is>
      </c>
      <c r="J32" s="46" t="inlineStr">
        <is>
          <t xml:space="preserve">Continental GT</t>
        </is>
      </c>
      <c r="K32" s="46" t="inlineStr">
        <is>
          <t xml:space="preserve">9SXXY1JKUXJZBL52Z</t>
        </is>
      </c>
      <c r="L32" s="48" t="inlineStr">
        <is>
          <t xml:space="preserve">02 - Sports / GT</t>
        </is>
      </c>
      <c r="M32" s="50">
        <v>710000</v>
      </c>
      <c r="N32" s="48" t="inlineStr">
        <is>
          <t xml:space="preserve">Personal</t>
        </is>
      </c>
      <c r="O32" s="46" t="inlineStr">
        <is>
          <t xml:space="preserve">Personal - regular use</t>
        </is>
      </c>
      <c r="P32" s="46" t="inlineStr">
        <is>
          <t xml:space="preserve">Under 1,000</t>
        </is>
      </c>
      <c r="Q32" s="46" t="inlineStr">
        <is>
          <t xml:space="preserve">California</t>
        </is>
      </c>
      <c r="R32" s="46" t="inlineStr">
        <is>
          <t xml:space="preserve">90012</t>
        </is>
      </c>
      <c r="S32" s="48" t="inlineStr">
        <is>
          <t xml:space="preserve">Earthquake - high (CA, Cascadia, New Madrid)</t>
        </is>
      </c>
      <c r="T32" s="36">
        <f>IF($A32="","",IF($S32="","",IFERROR(INDEX('[1]natural catastrophe'!$D$6:$D$17,MATCH($S32,'[1]natural catastrophe'!$B$6:$B$17,0)),"?")))</f>
      </c>
      <c r="U32" s="46" t="inlineStr">
        <is>
          <t xml:space="preserve">$5,000</t>
        </is>
      </c>
      <c r="V32" s="48" t="inlineStr">
        <is>
          <t xml:space="preserve">Agreed Value</t>
        </is>
      </c>
      <c r="W32" s="46" t="inlineStr">
        <is>
          <t xml:space="preserve">$1,000</t>
        </is>
      </c>
      <c r="X32" s="48" t="inlineStr">
        <is>
          <t xml:space="preserve">$1,000,000 CSL</t>
        </is>
      </c>
      <c r="Y32" s="46"/>
      <c r="Z32" s="46"/>
      <c r="AA32" s="48" t="inlineStr">
        <is>
          <t xml:space="preserve">Surplus Lines</t>
        </is>
      </c>
      <c r="AB32" s="50">
        <v>8990.37</v>
      </c>
      <c r="AC32" s="51">
        <v>0</v>
      </c>
      <c r="AD32" s="38">
        <f>IF(ISNUMBER($AB32),$AB32*(1+N($AC32)),"")</f>
      </c>
      <c r="AE32" s="50">
        <v>350</v>
      </c>
      <c r="AF32" s="50">
        <v>0</v>
      </c>
      <c r="AG32" s="51"/>
      <c r="AH32" s="39">
        <f>IF(ISNUMBER($AD32),($AD32+$AE32+$AF32)*$AG32,"")</f>
      </c>
      <c r="AI32" s="50"/>
      <c r="AJ32" s="38">
        <f>IF(ISNUMBER($AD32),SUM($AD32:$AH32),"")</f>
      </c>
      <c r="AK32" s="40">
        <f>IF(AND(ISNUMBER($AB32),ISNUMBER($AD32)),IF($AB32&gt;0,$AD32/$AB32,""),"")</f>
      </c>
      <c r="AL32" s="48" t="inlineStr">
        <is>
          <t xml:space="preserve">At technical</t>
        </is>
      </c>
      <c r="AM32" s="41">
        <f>IF(ISNUMBER($AD32),Header!$I$3,"")</f>
      </c>
      <c r="AN32" s="39">
        <f>IF(ISNUMBER($AD32),$AO32+$AP32,"")</f>
      </c>
      <c r="AO32" s="39">
        <f>IF(ISNUMBER($AD32),ROUND($AD32*Header!$K$3,2),"")</f>
      </c>
      <c r="AP32" s="39">
        <f>IF(ISNUMBER($AD32),ROUND($AD32*Header!$M$3,2),"")</f>
      </c>
      <c r="AQ32" s="38">
        <f>IF(ISNUMBER($AD32),ROUND($AD32,2)-$AO32-$AP32,"")</f>
      </c>
      <c r="AR32" s="39">
        <f>IF(ISNUMBER($AD32),IF(Header!$D$34="","?",$AD32*Header!$D$34),"")</f>
      </c>
      <c r="AS32" s="39">
        <f>IF(ISNUMBER($AB32),IF(Header!$D$34="","?",$AB32*Header!$D$34),"")</f>
      </c>
      <c r="AT32" s="42">
        <f>IF(AND(ISNUMBER($AB32),$M32&gt;0),$AB32/$M32*100,"")</f>
      </c>
      <c r="AU32" s="42">
        <f>IF(AND(ISNUMBER($AD32),$M32&gt;0),$AD32/$M32*100,"")</f>
      </c>
      <c r="AV32" s="40">
        <f>IF(AND(ISNUMBER($AB32),ISNUMBER($AD32),ABS($AB32)&gt;0),$AD32/$AB32,"")</f>
      </c>
      <c r="AW32" s="39">
        <f>IF(ISNUMBER($AD32),MAX(0,(1-0.55-Header!$O$3)*Header!$Q$3*$AQ32),"")</f>
      </c>
      <c r="AX32" s="43">
        <f>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c>
      <c r="AY32" s="44">
        <f>IF($M32="","",IF(ISNUMBER($M32),IF($M32&gt;=Header!$C$18,"YES — refer","No"),""))</f>
      </c>
      <c r="AZ32" s="44">
        <f>IF($AD32="","",IF(ISNUMBER($AD32),IF($AD32&lt;Header!$C$20,"BELOW MIN PREMIUM","OK"),""))</f>
      </c>
      <c r="BA32" s="48" t="inlineStr">
        <is>
          <t xml:space="preserve">Yes</t>
        </is>
      </c>
      <c r="BB32" s="48" t="inlineStr">
        <is>
          <t xml:space="preserve">Yes</t>
        </is>
      </c>
      <c r="BC32" s="46" t="inlineStr">
        <is>
          <t xml:space="preserve">Synthetic demo data</t>
        </is>
      </c>
      <c r="BE32" s="45">
        <f>IF(OR($A32="",$L32="",$H32=""),"",IF(AND(LEFT($L32,2)="06",$H32&gt;1945),"FAIL - pre-war class, year "&amp;$H32,IF(AND(LEFT($L32,2)="07",OR($H32&lt;1946,$H32&gt;1972)),"FAIL - 1946-72 class, year "&amp;$H32,IF(AND(LEFT($L32,2)="08",OR($H32&lt;1973,$H32&gt;1999)),"FAIL - 1973-99 class, year "&amp;$H32,IF(AND(LEFT($L32,2)="09",OR($H32&lt;2000,$H32&gt;2010)),"FAIL - 2000-10 class, year "&amp;$H32,"OK")))))</f>
      </c>
      <c r="BF32" s="45">
        <f>IF($AD32="","",IF(ROUND($AO32+$AP32+$AQ32-$AD32,2)=0,"OK","FAIL - out by "&amp;TEXT($AO32+$AP32+$AQ32-$AD32,"$0.00")))</f>
      </c>
    </row>
    <row r="33" spans="1:58" ht="18.75" customHeight="1" x14ac:dyDescent="0.25">
      <c r="A33" s="30" t="inlineStr">
        <is>
          <t xml:space="preserve">CANON-202606-008444</t>
        </is>
      </c>
      <c r="B33" s="30" t="inlineStr">
        <is>
          <t xml:space="preserve">Desmond Delacroix</t>
        </is>
      </c>
      <c r="C33" s="31">
        <v>46201</v>
      </c>
      <c r="D33" s="32" t="inlineStr">
        <is>
          <t xml:space="preserve">Bound - within authority</t>
        </is>
      </c>
      <c r="E33" s="32" t="inlineStr">
        <is>
          <t xml:space="preserve">New business</t>
        </is>
      </c>
      <c r="F33" s="30" t="inlineStr">
        <is>
          <t xml:space="preserve">B1234EXOTIC26</t>
        </is>
      </c>
      <c r="G33" s="33">
        <f>IF($A33="","",IF($C33="","",YEAR($C33)))</f>
      </c>
      <c r="H33" s="34">
        <v>2005</v>
      </c>
      <c r="I33" s="30" t="inlineStr">
        <is>
          <t xml:space="preserve">McLaren</t>
        </is>
      </c>
      <c r="J33" s="30" t="inlineStr">
        <is>
          <t xml:space="preserve">750S</t>
        </is>
      </c>
      <c r="K33" s="30" t="inlineStr">
        <is>
          <t xml:space="preserve">7SP52X179JBN51GS5</t>
        </is>
      </c>
      <c r="L33" s="32" t="inlineStr">
        <is>
          <t xml:space="preserve">03 - Supercar</t>
        </is>
      </c>
      <c r="M33" s="35">
        <v>1570000</v>
      </c>
      <c r="N33" s="32" t="inlineStr">
        <is>
          <t xml:space="preserve">Personal</t>
        </is>
      </c>
      <c r="O33" s="30" t="inlineStr">
        <is>
          <t xml:space="preserve">Personal - regular use</t>
        </is>
      </c>
      <c r="P33" s="30" t="inlineStr">
        <is>
          <t xml:space="preserve">1,000 - 2,500</t>
        </is>
      </c>
      <c r="Q33" s="30" t="inlineStr">
        <is>
          <t xml:space="preserve">Connecticut</t>
        </is>
      </c>
      <c r="R33" s="30" t="inlineStr">
        <is>
          <t xml:space="preserve">06103</t>
        </is>
      </c>
      <c r="S33" s="32" t="inlineStr">
        <is>
          <t xml:space="preserve">Tier 3 - Coastal wind (25-100 miles)</t>
        </is>
      </c>
      <c r="T33" s="36">
        <f>IF($A33="","",IF($S33="","",IFERROR(INDEX('[1]natural catastrophe'!$D$6:$D$17,MATCH($S33,'[1]natural catastrophe'!$B$6:$B$17,0)),"?")))</f>
      </c>
      <c r="U33" s="30" t="inlineStr">
        <is>
          <t xml:space="preserve">2% of agreed value, minimum $10,000</t>
        </is>
      </c>
      <c r="V33" s="32" t="inlineStr">
        <is>
          <t xml:space="preserve">Agreed Value</t>
        </is>
      </c>
      <c r="W33" s="30" t="inlineStr">
        <is>
          <t xml:space="preserve">$1,000</t>
        </is>
      </c>
      <c r="X33" s="32" t="inlineStr">
        <is>
          <t xml:space="preserve">$1,000,000 CSL</t>
        </is>
      </c>
      <c r="Y33" s="30"/>
      <c r="Z33" s="30"/>
      <c r="AA33" s="32" t="inlineStr">
        <is>
          <t xml:space="preserve">Surplus Lines</t>
        </is>
      </c>
      <c r="AB33" s="35">
        <v>20299.24</v>
      </c>
      <c r="AC33" s="37">
        <v>0</v>
      </c>
      <c r="AD33" s="38">
        <f>IF(ISNUMBER($AB33),$AB33*(1+N($AC33)),"")</f>
      </c>
      <c r="AE33" s="35">
        <v>350</v>
      </c>
      <c r="AF33" s="35">
        <v>250</v>
      </c>
      <c r="AG33" s="37"/>
      <c r="AH33" s="39">
        <f>IF(ISNUMBER($AD33),($AD33+$AE33+$AF33)*$AG33,"")</f>
      </c>
      <c r="AI33" s="35"/>
      <c r="AJ33" s="38">
        <f>IF(ISNUMBER($AD33),SUM($AD33:$AH33),"")</f>
      </c>
      <c r="AK33" s="40">
        <f>IF(AND(ISNUMBER($AB33),ISNUMBER($AD33)),IF($AB33&gt;0,$AD33/$AB33,""),"")</f>
      </c>
      <c r="AL33" s="32" t="inlineStr">
        <is>
          <t xml:space="preserve">At technical</t>
        </is>
      </c>
      <c r="AM33" s="41">
        <f>IF(ISNUMBER($AD33),Header!$I$3,"")</f>
      </c>
      <c r="AN33" s="39">
        <f>IF(ISNUMBER($AD33),$AO33+$AP33,"")</f>
      </c>
      <c r="AO33" s="39">
        <f>IF(ISNUMBER($AD33),ROUND($AD33*Header!$K$3,2),"")</f>
      </c>
      <c r="AP33" s="39">
        <f>IF(ISNUMBER($AD33),ROUND($AD33*Header!$M$3,2),"")</f>
      </c>
      <c r="AQ33" s="38">
        <f>IF(ISNUMBER($AD33),ROUND($AD33,2)-$AO33-$AP33,"")</f>
      </c>
      <c r="AR33" s="39">
        <f>IF(ISNUMBER($AD33),IF(Header!$D$34="","?",$AD33*Header!$D$34),"")</f>
      </c>
      <c r="AS33" s="39">
        <f>IF(ISNUMBER($AB33),IF(Header!$D$34="","?",$AB33*Header!$D$34),"")</f>
      </c>
      <c r="AT33" s="42">
        <f>IF(AND(ISNUMBER($AB33),$M33&gt;0),$AB33/$M33*100,"")</f>
      </c>
      <c r="AU33" s="42">
        <f>IF(AND(ISNUMBER($AD33),$M33&gt;0),$AD33/$M33*100,"")</f>
      </c>
      <c r="AV33" s="40">
        <f>IF(AND(ISNUMBER($AB33),ISNUMBER($AD33),ABS($AB33)&gt;0),$AD33/$AB33,"")</f>
      </c>
      <c r="AW33" s="39">
        <f>IF(ISNUMBER($AD33),MAX(0,(1-0.55-Header!$O$3)*Header!$Q$3*$AQ33),"")</f>
      </c>
      <c r="AX33" s="43">
        <f>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c>
      <c r="AY33" s="44">
        <f>IF($M33="","",IF(ISNUMBER($M33),IF($M33&gt;=Header!$C$18,"YES — refer","No"),""))</f>
      </c>
      <c r="AZ33" s="44">
        <f>IF($AD33="","",IF(ISNUMBER($AD33),IF($AD33&lt;Header!$C$20,"BELOW MIN PREMIUM","OK"),""))</f>
      </c>
      <c r="BA33" s="32" t="inlineStr">
        <is>
          <t xml:space="preserve">Yes</t>
        </is>
      </c>
      <c r="BB33" s="32" t="inlineStr">
        <is>
          <t xml:space="preserve">Yes</t>
        </is>
      </c>
      <c r="BC33" s="30" t="inlineStr">
        <is>
          <t xml:space="preserve">Synthetic demo data</t>
        </is>
      </c>
      <c r="BE33" s="45">
        <f>IF(OR($A33="",$L33="",$H33=""),"",IF(AND(LEFT($L33,2)="06",$H33&gt;1945),"FAIL - pre-war class, year "&amp;$H33,IF(AND(LEFT($L33,2)="07",OR($H33&lt;1946,$H33&gt;1972)),"FAIL - 1946-72 class, year "&amp;$H33,IF(AND(LEFT($L33,2)="08",OR($H33&lt;1973,$H33&gt;1999)),"FAIL - 1973-99 class, year "&amp;$H33,IF(AND(LEFT($L33,2)="09",OR($H33&lt;2000,$H33&gt;2010)),"FAIL - 2000-10 class, year "&amp;$H33,"OK")))))</f>
      </c>
      <c r="BF33" s="45">
        <f>IF($AD33="","",IF(ROUND($AO33+$AP33+$AQ33-$AD33,2)=0,"OK","FAIL - out by "&amp;TEXT($AO33+$AP33+$AQ33-$AD33,"$0.00")))</f>
      </c>
    </row>
    <row r="34" spans="1:58" ht="18.75" customHeight="1" x14ac:dyDescent="0.25">
      <c r="A34" s="46" t="inlineStr">
        <is>
          <t xml:space="preserve">CANON-202606-008445</t>
        </is>
      </c>
      <c r="B34" s="46" t="inlineStr">
        <is>
          <t xml:space="preserve">Mireille Montoya</t>
        </is>
      </c>
      <c r="C34" s="47">
        <v>46181</v>
      </c>
      <c r="D34" s="48" t="inlineStr">
        <is>
          <t xml:space="preserve">Bound - within authority</t>
        </is>
      </c>
      <c r="E34" s="48" t="inlineStr">
        <is>
          <t xml:space="preserve">New business</t>
        </is>
      </c>
      <c r="F34" s="46" t="inlineStr">
        <is>
          <t xml:space="preserve">B1234EXOTIC26</t>
        </is>
      </c>
      <c r="G34" s="33">
        <f>IF($A34="","",IF($C34="","",YEAR($C34)))</f>
      </c>
      <c r="H34" s="49">
        <v>1996</v>
      </c>
      <c r="I34" s="46" t="inlineStr">
        <is>
          <t xml:space="preserve">Mercedes-Benz</t>
        </is>
      </c>
      <c r="J34" s="46" t="inlineStr">
        <is>
          <t xml:space="preserve">AMG GT</t>
        </is>
      </c>
      <c r="K34" s="46" t="inlineStr">
        <is>
          <t xml:space="preserve">6ZZ5SAN655BRE64S9</t>
        </is>
      </c>
      <c r="L34" s="48" t="inlineStr">
        <is>
          <t xml:space="preserve">02 - Sports / GT</t>
        </is>
      </c>
      <c r="M34" s="50">
        <v>515000</v>
      </c>
      <c r="N34" s="48" t="inlineStr">
        <is>
          <t xml:space="preserve">Personal</t>
        </is>
      </c>
      <c r="O34" s="46" t="inlineStr">
        <is>
          <t xml:space="preserve">Personal - regular use</t>
        </is>
      </c>
      <c r="P34" s="46" t="inlineStr">
        <is>
          <t xml:space="preserve">2,500 - 5,000</t>
        </is>
      </c>
      <c r="Q34" s="46" t="inlineStr">
        <is>
          <t xml:space="preserve">Illinois</t>
        </is>
      </c>
      <c r="R34" s="46" t="inlineStr">
        <is>
          <t xml:space="preserve">60601</t>
        </is>
      </c>
      <c r="S34" s="48" t="inlineStr">
        <is>
          <t xml:space="preserve">Severe convective - hail / tornado (moderate)</t>
        </is>
      </c>
      <c r="T34" s="36">
        <f>IF($A34="","",IF($S34="","",IFERROR(INDEX('[1]natural catastrophe'!$D$6:$D$17,MATCH($S34,'[1]natural catastrophe'!$B$6:$B$17,0)),"?")))</f>
      </c>
      <c r="U34" s="46" t="inlineStr">
        <is>
          <t xml:space="preserve">$5,000</t>
        </is>
      </c>
      <c r="V34" s="48" t="inlineStr">
        <is>
          <t xml:space="preserve">Agreed Value</t>
        </is>
      </c>
      <c r="W34" s="46" t="inlineStr">
        <is>
          <t xml:space="preserve">$1,000</t>
        </is>
      </c>
      <c r="X34" s="48" t="inlineStr">
        <is>
          <t xml:space="preserve">$1,000,000 CSL</t>
        </is>
      </c>
      <c r="Y34" s="46"/>
      <c r="Z34" s="46"/>
      <c r="AA34" s="48" t="inlineStr">
        <is>
          <t xml:space="preserve">Surplus Lines</t>
        </is>
      </c>
      <c r="AB34" s="50">
        <v>6569.49</v>
      </c>
      <c r="AC34" s="51">
        <v>0</v>
      </c>
      <c r="AD34" s="38">
        <f>IF(ISNUMBER($AB34),$AB34*(1+N($AC34)),"")</f>
      </c>
      <c r="AE34" s="50">
        <v>350</v>
      </c>
      <c r="AF34" s="50">
        <v>0</v>
      </c>
      <c r="AG34" s="51"/>
      <c r="AH34" s="39">
        <f>IF(ISNUMBER($AD34),($AD34+$AE34+$AF34)*$AG34,"")</f>
      </c>
      <c r="AI34" s="50"/>
      <c r="AJ34" s="38">
        <f>IF(ISNUMBER($AD34),SUM($AD34:$AH34),"")</f>
      </c>
      <c r="AK34" s="40">
        <f>IF(AND(ISNUMBER($AB34),ISNUMBER($AD34)),IF($AB34&gt;0,$AD34/$AB34,""),"")</f>
      </c>
      <c r="AL34" s="48" t="inlineStr">
        <is>
          <t xml:space="preserve">At technical</t>
        </is>
      </c>
      <c r="AM34" s="41">
        <f>IF(ISNUMBER($AD34),Header!$I$3,"")</f>
      </c>
      <c r="AN34" s="39">
        <f>IF(ISNUMBER($AD34),$AO34+$AP34,"")</f>
      </c>
      <c r="AO34" s="39">
        <f>IF(ISNUMBER($AD34),ROUND($AD34*Header!$K$3,2),"")</f>
      </c>
      <c r="AP34" s="39">
        <f>IF(ISNUMBER($AD34),ROUND($AD34*Header!$M$3,2),"")</f>
      </c>
      <c r="AQ34" s="38">
        <f>IF(ISNUMBER($AD34),ROUND($AD34,2)-$AO34-$AP34,"")</f>
      </c>
      <c r="AR34" s="39">
        <f>IF(ISNUMBER($AD34),IF(Header!$D$34="","?",$AD34*Header!$D$34),"")</f>
      </c>
      <c r="AS34" s="39">
        <f>IF(ISNUMBER($AB34),IF(Header!$D$34="","?",$AB34*Header!$D$34),"")</f>
      </c>
      <c r="AT34" s="42">
        <f>IF(AND(ISNUMBER($AB34),$M34&gt;0),$AB34/$M34*100,"")</f>
      </c>
      <c r="AU34" s="42">
        <f>IF(AND(ISNUMBER($AD34),$M34&gt;0),$AD34/$M34*100,"")</f>
      </c>
      <c r="AV34" s="40">
        <f>IF(AND(ISNUMBER($AB34),ISNUMBER($AD34),ABS($AB34)&gt;0),$AD34/$AB34,"")</f>
      </c>
      <c r="AW34" s="39">
        <f>IF(ISNUMBER($AD34),MAX(0,(1-0.55-Header!$O$3)*Header!$Q$3*$AQ34),"")</f>
      </c>
      <c r="AX34" s="43">
        <f>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c>
      <c r="AY34" s="44">
        <f>IF($M34="","",IF(ISNUMBER($M34),IF($M34&gt;=Header!$C$18,"YES — refer","No"),""))</f>
      </c>
      <c r="AZ34" s="44">
        <f>IF($AD34="","",IF(ISNUMBER($AD34),IF($AD34&lt;Header!$C$20,"BELOW MIN PREMIUM","OK"),""))</f>
      </c>
      <c r="BA34" s="48" t="inlineStr">
        <is>
          <t xml:space="preserve">Yes</t>
        </is>
      </c>
      <c r="BB34" s="48" t="inlineStr">
        <is>
          <t xml:space="preserve">Yes</t>
        </is>
      </c>
      <c r="BC34" s="46" t="inlineStr">
        <is>
          <t xml:space="preserve">Synthetic demo data</t>
        </is>
      </c>
      <c r="BE34" s="45">
        <f>IF(OR($A34="",$L34="",$H34=""),"",IF(AND(LEFT($L34,2)="06",$H34&gt;1945),"FAIL - pre-war class, year "&amp;$H34,IF(AND(LEFT($L34,2)="07",OR($H34&lt;1946,$H34&gt;1972)),"FAIL - 1946-72 class, year "&amp;$H34,IF(AND(LEFT($L34,2)="08",OR($H34&lt;1973,$H34&gt;1999)),"FAIL - 1973-99 class, year "&amp;$H34,IF(AND(LEFT($L34,2)="09",OR($H34&lt;2000,$H34&gt;2010)),"FAIL - 2000-10 class, year "&amp;$H34,"OK")))))</f>
      </c>
      <c r="BF34" s="45">
        <f>IF($AD34="","",IF(ROUND($AO34+$AP34+$AQ34-$AD34,2)=0,"OK","FAIL - out by "&amp;TEXT($AO34+$AP34+$AQ34-$AD34,"$0.00")))</f>
      </c>
    </row>
    <row r="35" spans="1:58" ht="18.75" customHeight="1" x14ac:dyDescent="0.25">
      <c r="A35" s="30" t="inlineStr">
        <is>
          <t xml:space="preserve">CANON-202606-008448</t>
        </is>
      </c>
      <c r="B35" s="30" t="inlineStr">
        <is>
          <t xml:space="preserve">Ramona Fairweather</t>
        </is>
      </c>
      <c r="C35" s="31">
        <v>46174</v>
      </c>
      <c r="D35" s="32" t="inlineStr">
        <is>
          <t xml:space="preserve">Bound - within authority</t>
        </is>
      </c>
      <c r="E35" s="32" t="inlineStr">
        <is>
          <t xml:space="preserve">New business</t>
        </is>
      </c>
      <c r="F35" s="30" t="inlineStr">
        <is>
          <t xml:space="preserve">B1234EXOTIC26</t>
        </is>
      </c>
      <c r="G35" s="33">
        <f>IF($A35="","",IF($C35="","",YEAR($C35)))</f>
      </c>
      <c r="H35" s="34">
        <v>2018</v>
      </c>
      <c r="I35" s="30" t="inlineStr">
        <is>
          <t xml:space="preserve">Ferrari</t>
        </is>
      </c>
      <c r="J35" s="30" t="inlineStr">
        <is>
          <t xml:space="preserve">296 GTB</t>
        </is>
      </c>
      <c r="K35" s="30" t="inlineStr">
        <is>
          <t xml:space="preserve">30YYDZFY5V5P4LRFD</t>
        </is>
      </c>
      <c r="L35" s="32" t="inlineStr">
        <is>
          <t xml:space="preserve">03 - Supercar</t>
        </is>
      </c>
      <c r="M35" s="35">
        <v>450000</v>
      </c>
      <c r="N35" s="32" t="inlineStr">
        <is>
          <t xml:space="preserve">Personal</t>
        </is>
      </c>
      <c r="O35" s="30" t="inlineStr">
        <is>
          <t xml:space="preserve">Personal - regular use</t>
        </is>
      </c>
      <c r="P35" s="30" t="inlineStr">
        <is>
          <t xml:space="preserve">Under 1,000</t>
        </is>
      </c>
      <c r="Q35" s="30" t="inlineStr">
        <is>
          <t xml:space="preserve">Utah</t>
        </is>
      </c>
      <c r="R35" s="30" t="inlineStr">
        <is>
          <t xml:space="preserve">84101</t>
        </is>
      </c>
      <c r="S35" s="32" t="inlineStr">
        <is>
          <t xml:space="preserve">Wildfire - WUI high hazard</t>
        </is>
      </c>
      <c r="T35" s="36">
        <f>IF($A35="","",IF($S35="","",IFERROR(INDEX('[1]natural catastrophe'!$D$6:$D$17,MATCH($S35,'[1]natural catastrophe'!$B$6:$B$17,0)),"?")))</f>
      </c>
      <c r="U35" s="30" t="inlineStr">
        <is>
          <t xml:space="preserve">$5,000</t>
        </is>
      </c>
      <c r="V35" s="32" t="inlineStr">
        <is>
          <t xml:space="preserve">Agreed Value</t>
        </is>
      </c>
      <c r="W35" s="30" t="inlineStr">
        <is>
          <t xml:space="preserve">$1,000</t>
        </is>
      </c>
      <c r="X35" s="32" t="inlineStr">
        <is>
          <t xml:space="preserve">$1,000,000 CSL</t>
        </is>
      </c>
      <c r="Y35" s="30"/>
      <c r="Z35" s="30"/>
      <c r="AA35" s="32" t="inlineStr">
        <is>
          <t xml:space="preserve">Surplus Lines</t>
        </is>
      </c>
      <c r="AB35" s="35">
        <v>10081.29</v>
      </c>
      <c r="AC35" s="37">
        <v>0</v>
      </c>
      <c r="AD35" s="38">
        <f>IF(ISNUMBER($AB35),$AB35*(1+N($AC35)),"")</f>
      </c>
      <c r="AE35" s="35">
        <v>350</v>
      </c>
      <c r="AF35" s="35">
        <v>0</v>
      </c>
      <c r="AG35" s="37"/>
      <c r="AH35" s="39">
        <f>IF(ISNUMBER($AD35),($AD35+$AE35+$AF35)*$AG35,"")</f>
      </c>
      <c r="AI35" s="35"/>
      <c r="AJ35" s="38">
        <f>IF(ISNUMBER($AD35),SUM($AD35:$AH35),"")</f>
      </c>
      <c r="AK35" s="40">
        <f>IF(AND(ISNUMBER($AB35),ISNUMBER($AD35)),IF($AB35&gt;0,$AD35/$AB35,""),"")</f>
      </c>
      <c r="AL35" s="32" t="inlineStr">
        <is>
          <t xml:space="preserve">At technical</t>
        </is>
      </c>
      <c r="AM35" s="41">
        <f>IF(ISNUMBER($AD35),Header!$I$3,"")</f>
      </c>
      <c r="AN35" s="39">
        <f>IF(ISNUMBER($AD35),$AO35+$AP35,"")</f>
      </c>
      <c r="AO35" s="39">
        <f>IF(ISNUMBER($AD35),ROUND($AD35*Header!$K$3,2),"")</f>
      </c>
      <c r="AP35" s="39">
        <f>IF(ISNUMBER($AD35),ROUND($AD35*Header!$M$3,2),"")</f>
      </c>
      <c r="AQ35" s="38">
        <f>IF(ISNUMBER($AD35),ROUND($AD35,2)-$AO35-$AP35,"")</f>
      </c>
      <c r="AR35" s="39">
        <f>IF(ISNUMBER($AD35),IF(Header!$D$34="","?",$AD35*Header!$D$34),"")</f>
      </c>
      <c r="AS35" s="39">
        <f>IF(ISNUMBER($AB35),IF(Header!$D$34="","?",$AB35*Header!$D$34),"")</f>
      </c>
      <c r="AT35" s="42">
        <f>IF(AND(ISNUMBER($AB35),$M35&gt;0),$AB35/$M35*100,"")</f>
      </c>
      <c r="AU35" s="42">
        <f>IF(AND(ISNUMBER($AD35),$M35&gt;0),$AD35/$M35*100,"")</f>
      </c>
      <c r="AV35" s="40">
        <f>IF(AND(ISNUMBER($AB35),ISNUMBER($AD35),ABS($AB35)&gt;0),$AD35/$AB35,"")</f>
      </c>
      <c r="AW35" s="39">
        <f>IF(ISNUMBER($AD35),MAX(0,(1-0.55-Header!$O$3)*Header!$Q$3*$AQ35),"")</f>
      </c>
      <c r="AX35" s="43">
        <f>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c>
      <c r="AY35" s="44">
        <f>IF($M35="","",IF(ISNUMBER($M35),IF($M35&gt;=Header!$C$18,"YES — refer","No"),""))</f>
      </c>
      <c r="AZ35" s="44">
        <f>IF($AD35="","",IF(ISNUMBER($AD35),IF($AD35&lt;Header!$C$20,"BELOW MIN PREMIUM","OK"),""))</f>
      </c>
      <c r="BA35" s="32" t="inlineStr">
        <is>
          <t xml:space="preserve">Yes</t>
        </is>
      </c>
      <c r="BB35" s="32" t="inlineStr">
        <is>
          <t xml:space="preserve">Yes</t>
        </is>
      </c>
      <c r="BC35" s="30" t="inlineStr">
        <is>
          <t xml:space="preserve">Synthetic demo data</t>
        </is>
      </c>
      <c r="BE35" s="45">
        <f>IF(OR($A35="",$L35="",$H35=""),"",IF(AND(LEFT($L35,2)="06",$H35&gt;1945),"FAIL - pre-war class, year "&amp;$H35,IF(AND(LEFT($L35,2)="07",OR($H35&lt;1946,$H35&gt;1972)),"FAIL - 1946-72 class, year "&amp;$H35,IF(AND(LEFT($L35,2)="08",OR($H35&lt;1973,$H35&gt;1999)),"FAIL - 1973-99 class, year "&amp;$H35,IF(AND(LEFT($L35,2)="09",OR($H35&lt;2000,$H35&gt;2010)),"FAIL - 2000-10 class, year "&amp;$H35,"OK")))))</f>
      </c>
      <c r="BF35" s="45">
        <f>IF($AD35="","",IF(ROUND($AO35+$AP35+$AQ35-$AD35,2)=0,"OK","FAIL - out by "&amp;TEXT($AO35+$AP35+$AQ35-$AD35,"$0.00")))</f>
      </c>
    </row>
    <row r="36" spans="1:58" ht="18.75" customHeight="1" x14ac:dyDescent="0.25">
      <c r="A36" s="46" t="inlineStr">
        <is>
          <t xml:space="preserve">CANON-202606-008449</t>
        </is>
      </c>
      <c r="B36" s="46" t="inlineStr">
        <is>
          <t xml:space="preserve">Delphine Larsson</t>
        </is>
      </c>
      <c r="C36" s="47">
        <v>46185</v>
      </c>
      <c r="D36" s="48" t="inlineStr">
        <is>
          <t xml:space="preserve">Bound - within authority</t>
        </is>
      </c>
      <c r="E36" s="48" t="inlineStr">
        <is>
          <t xml:space="preserve">New business</t>
        </is>
      </c>
      <c r="F36" s="46" t="inlineStr">
        <is>
          <t xml:space="preserve">B1234EXOTIC26</t>
        </is>
      </c>
      <c r="G36" s="33">
        <f>IF($A36="","",IF($C36="","",YEAR($C36)))</f>
      </c>
      <c r="H36" s="49">
        <v>2016</v>
      </c>
      <c r="I36" s="46" t="inlineStr">
        <is>
          <t xml:space="preserve">Aston Martin</t>
        </is>
      </c>
      <c r="J36" s="46" t="inlineStr">
        <is>
          <t xml:space="preserve">DB12</t>
        </is>
      </c>
      <c r="K36" s="46" t="inlineStr">
        <is>
          <t xml:space="preserve">TG9YPA7T2CJCHU3FJ</t>
        </is>
      </c>
      <c r="L36" s="48" t="inlineStr">
        <is>
          <t xml:space="preserve">02 - Sports / GT</t>
        </is>
      </c>
      <c r="M36" s="50">
        <v>1095000</v>
      </c>
      <c r="N36" s="48" t="inlineStr">
        <is>
          <t xml:space="preserve">Personal</t>
        </is>
      </c>
      <c r="O36" s="46" t="inlineStr">
        <is>
          <t xml:space="preserve">Personal - regular use</t>
        </is>
      </c>
      <c r="P36" s="46" t="inlineStr">
        <is>
          <t xml:space="preserve">2,500 - 5,000</t>
        </is>
      </c>
      <c r="Q36" s="46" t="inlineStr">
        <is>
          <t xml:space="preserve">New Jersey</t>
        </is>
      </c>
      <c r="R36" s="46" t="inlineStr">
        <is>
          <t xml:space="preserve">07102</t>
        </is>
      </c>
      <c r="S36" s="48" t="inlineStr">
        <is>
          <t xml:space="preserve">Tier 3 - Coastal wind (25-100 miles)</t>
        </is>
      </c>
      <c r="T36" s="36">
        <f>IF($A36="","",IF($S36="","",IFERROR(INDEX('[1]natural catastrophe'!$D$6:$D$17,MATCH($S36,'[1]natural catastrophe'!$B$6:$B$17,0)),"?")))</f>
      </c>
      <c r="U36" s="46" t="inlineStr">
        <is>
          <t xml:space="preserve">2% of agreed value, minimum $10,000</t>
        </is>
      </c>
      <c r="V36" s="48" t="inlineStr">
        <is>
          <t xml:space="preserve">Agreed Value</t>
        </is>
      </c>
      <c r="W36" s="46" t="inlineStr">
        <is>
          <t xml:space="preserve">$1,000</t>
        </is>
      </c>
      <c r="X36" s="48" t="inlineStr">
        <is>
          <t xml:space="preserve">$1,000,000 CSL</t>
        </is>
      </c>
      <c r="Y36" s="46"/>
      <c r="Z36" s="46"/>
      <c r="AA36" s="48" t="inlineStr">
        <is>
          <t xml:space="preserve">Surplus Lines</t>
        </is>
      </c>
      <c r="AB36" s="50">
        <v>7908.43</v>
      </c>
      <c r="AC36" s="51">
        <v>0</v>
      </c>
      <c r="AD36" s="38">
        <f>IF(ISNUMBER($AB36),$AB36*(1+N($AC36)),"")</f>
      </c>
      <c r="AE36" s="50">
        <v>350</v>
      </c>
      <c r="AF36" s="50">
        <v>250</v>
      </c>
      <c r="AG36" s="51"/>
      <c r="AH36" s="39">
        <f>IF(ISNUMBER($AD36),($AD36+$AE36+$AF36)*$AG36,"")</f>
      </c>
      <c r="AI36" s="50"/>
      <c r="AJ36" s="38">
        <f>IF(ISNUMBER($AD36),SUM($AD36:$AH36),"")</f>
      </c>
      <c r="AK36" s="40">
        <f>IF(AND(ISNUMBER($AB36),ISNUMBER($AD36)),IF($AB36&gt;0,$AD36/$AB36,""),"")</f>
      </c>
      <c r="AL36" s="48" t="inlineStr">
        <is>
          <t xml:space="preserve">At technical</t>
        </is>
      </c>
      <c r="AM36" s="41">
        <f>IF(ISNUMBER($AD36),Header!$I$3,"")</f>
      </c>
      <c r="AN36" s="39">
        <f>IF(ISNUMBER($AD36),$AO36+$AP36,"")</f>
      </c>
      <c r="AO36" s="39">
        <f>IF(ISNUMBER($AD36),ROUND($AD36*Header!$K$3,2),"")</f>
      </c>
      <c r="AP36" s="39">
        <f>IF(ISNUMBER($AD36),ROUND($AD36*Header!$M$3,2),"")</f>
      </c>
      <c r="AQ36" s="38">
        <f>IF(ISNUMBER($AD36),ROUND($AD36,2)-$AO36-$AP36,"")</f>
      </c>
      <c r="AR36" s="39">
        <f>IF(ISNUMBER($AD36),IF(Header!$D$34="","?",$AD36*Header!$D$34),"")</f>
      </c>
      <c r="AS36" s="39">
        <f>IF(ISNUMBER($AB36),IF(Header!$D$34="","?",$AB36*Header!$D$34),"")</f>
      </c>
      <c r="AT36" s="42">
        <f>IF(AND(ISNUMBER($AB36),$M36&gt;0),$AB36/$M36*100,"")</f>
      </c>
      <c r="AU36" s="42">
        <f>IF(AND(ISNUMBER($AD36),$M36&gt;0),$AD36/$M36*100,"")</f>
      </c>
      <c r="AV36" s="40">
        <f>IF(AND(ISNUMBER($AB36),ISNUMBER($AD36),ABS($AB36)&gt;0),$AD36/$AB36,"")</f>
      </c>
      <c r="AW36" s="39">
        <f>IF(ISNUMBER($AD36),MAX(0,(1-0.55-Header!$O$3)*Header!$Q$3*$AQ36),"")</f>
      </c>
      <c r="AX36" s="43">
        <f>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c>
      <c r="AY36" s="44">
        <f>IF($M36="","",IF(ISNUMBER($M36),IF($M36&gt;=Header!$C$18,"YES — refer","No"),""))</f>
      </c>
      <c r="AZ36" s="44">
        <f>IF($AD36="","",IF(ISNUMBER($AD36),IF($AD36&lt;Header!$C$20,"BELOW MIN PREMIUM","OK"),""))</f>
      </c>
      <c r="BA36" s="48" t="inlineStr">
        <is>
          <t xml:space="preserve">Yes</t>
        </is>
      </c>
      <c r="BB36" s="48" t="inlineStr">
        <is>
          <t xml:space="preserve">Yes</t>
        </is>
      </c>
      <c r="BC36" s="46" t="inlineStr">
        <is>
          <t xml:space="preserve">Synthetic demo data</t>
        </is>
      </c>
      <c r="BE36" s="45">
        <f>IF(OR($A36="",$L36="",$H36=""),"",IF(AND(LEFT($L36,2)="06",$H36&gt;1945),"FAIL - pre-war class, year "&amp;$H36,IF(AND(LEFT($L36,2)="07",OR($H36&lt;1946,$H36&gt;1972)),"FAIL - 1946-72 class, year "&amp;$H36,IF(AND(LEFT($L36,2)="08",OR($H36&lt;1973,$H36&gt;1999)),"FAIL - 1973-99 class, year "&amp;$H36,IF(AND(LEFT($L36,2)="09",OR($H36&lt;2000,$H36&gt;2010)),"FAIL - 2000-10 class, year "&amp;$H36,"OK")))))</f>
      </c>
      <c r="BF36" s="45">
        <f>IF($AD36="","",IF(ROUND($AO36+$AP36+$AQ36-$AD36,2)=0,"OK","FAIL - out by "&amp;TEXT($AO36+$AP36+$AQ36-$AD36,"$0.00")))</f>
      </c>
    </row>
    <row r="37" spans="1:58" ht="18.75" customHeight="1" x14ac:dyDescent="0.25">
      <c r="A37" s="30" t="inlineStr">
        <is>
          <t xml:space="preserve">CANON-202606-008450</t>
        </is>
      </c>
      <c r="B37" s="30" t="inlineStr">
        <is>
          <t xml:space="preserve">Priya Thistlewood</t>
        </is>
      </c>
      <c r="C37" s="31">
        <v>46187</v>
      </c>
      <c r="D37" s="32" t="inlineStr">
        <is>
          <t xml:space="preserve">Bound - within authority</t>
        </is>
      </c>
      <c r="E37" s="32" t="inlineStr">
        <is>
          <t xml:space="preserve">New business</t>
        </is>
      </c>
      <c r="F37" s="30" t="inlineStr">
        <is>
          <t xml:space="preserve">B1234EXOTIC26</t>
        </is>
      </c>
      <c r="G37" s="33">
        <f>IF($A37="","",IF($C37="","",YEAR($C37)))</f>
      </c>
      <c r="H37" s="34">
        <v>2006</v>
      </c>
      <c r="I37" s="30" t="inlineStr">
        <is>
          <t xml:space="preserve">Singer</t>
        </is>
      </c>
      <c r="J37" s="30" t="inlineStr">
        <is>
          <t xml:space="preserve">911 Reimagined</t>
        </is>
      </c>
      <c r="K37" s="30" t="inlineStr">
        <is>
          <t xml:space="preserve">TFWF892WCET8LKZDV</t>
        </is>
      </c>
      <c r="L37" s="32" t="inlineStr">
        <is>
          <t xml:space="preserve">11 - Restomod / Coachbuilt / Bespoke</t>
        </is>
      </c>
      <c r="M37" s="35">
        <v>1400000</v>
      </c>
      <c r="N37" s="32" t="inlineStr">
        <is>
          <t xml:space="preserve">Personal</t>
        </is>
      </c>
      <c r="O37" s="30" t="inlineStr">
        <is>
          <t xml:space="preserve">Personal - regular use</t>
        </is>
      </c>
      <c r="P37" s="30" t="inlineStr">
        <is>
          <t xml:space="preserve">2,500 - 5,000</t>
        </is>
      </c>
      <c r="Q37" s="30" t="inlineStr">
        <is>
          <t xml:space="preserve">Nevada</t>
        </is>
      </c>
      <c r="R37" s="30" t="inlineStr">
        <is>
          <t xml:space="preserve">89101</t>
        </is>
      </c>
      <c r="S37" s="32" t="inlineStr">
        <is>
          <t xml:space="preserve">Wildfire - WUI high hazard</t>
        </is>
      </c>
      <c r="T37" s="36">
        <f>IF($A37="","",IF($S37="","",IFERROR(INDEX('[1]natural catastrophe'!$D$6:$D$17,MATCH($S37,'[1]natural catastrophe'!$B$6:$B$17,0)),"?")))</f>
      </c>
      <c r="U37" s="30" t="inlineStr">
        <is>
          <t xml:space="preserve">$5,000</t>
        </is>
      </c>
      <c r="V37" s="32" t="inlineStr">
        <is>
          <t xml:space="preserve">Agreed Value</t>
        </is>
      </c>
      <c r="W37" s="30" t="inlineStr">
        <is>
          <t xml:space="preserve">$1,000</t>
        </is>
      </c>
      <c r="X37" s="32" t="inlineStr">
        <is>
          <t xml:space="preserve">$1,000,000 CSL</t>
        </is>
      </c>
      <c r="Y37" s="30"/>
      <c r="Z37" s="30"/>
      <c r="AA37" s="32" t="inlineStr">
        <is>
          <t xml:space="preserve">Surplus Lines</t>
        </is>
      </c>
      <c r="AB37" s="35">
        <v>16072.92</v>
      </c>
      <c r="AC37" s="37">
        <v>0</v>
      </c>
      <c r="AD37" s="38">
        <f>IF(ISNUMBER($AB37),$AB37*(1+N($AC37)),"")</f>
      </c>
      <c r="AE37" s="35">
        <v>350</v>
      </c>
      <c r="AF37" s="35">
        <v>250</v>
      </c>
      <c r="AG37" s="37"/>
      <c r="AH37" s="39">
        <f>IF(ISNUMBER($AD37),($AD37+$AE37+$AF37)*$AG37,"")</f>
      </c>
      <c r="AI37" s="35"/>
      <c r="AJ37" s="38">
        <f>IF(ISNUMBER($AD37),SUM($AD37:$AH37),"")</f>
      </c>
      <c r="AK37" s="40">
        <f>IF(AND(ISNUMBER($AB37),ISNUMBER($AD37)),IF($AB37&gt;0,$AD37/$AB37,""),"")</f>
      </c>
      <c r="AL37" s="32" t="inlineStr">
        <is>
          <t xml:space="preserve">At technical</t>
        </is>
      </c>
      <c r="AM37" s="41">
        <f>IF(ISNUMBER($AD37),Header!$I$3,"")</f>
      </c>
      <c r="AN37" s="39">
        <f>IF(ISNUMBER($AD37),$AO37+$AP37,"")</f>
      </c>
      <c r="AO37" s="39">
        <f>IF(ISNUMBER($AD37),ROUND($AD37*Header!$K$3,2),"")</f>
      </c>
      <c r="AP37" s="39">
        <f>IF(ISNUMBER($AD37),ROUND($AD37*Header!$M$3,2),"")</f>
      </c>
      <c r="AQ37" s="38">
        <f>IF(ISNUMBER($AD37),ROUND($AD37,2)-$AO37-$AP37,"")</f>
      </c>
      <c r="AR37" s="39">
        <f>IF(ISNUMBER($AD37),IF(Header!$D$34="","?",$AD37*Header!$D$34),"")</f>
      </c>
      <c r="AS37" s="39">
        <f>IF(ISNUMBER($AB37),IF(Header!$D$34="","?",$AB37*Header!$D$34),"")</f>
      </c>
      <c r="AT37" s="42">
        <f>IF(AND(ISNUMBER($AB37),$M37&gt;0),$AB37/$M37*100,"")</f>
      </c>
      <c r="AU37" s="42">
        <f>IF(AND(ISNUMBER($AD37),$M37&gt;0),$AD37/$M37*100,"")</f>
      </c>
      <c r="AV37" s="40">
        <f>IF(AND(ISNUMBER($AB37),ISNUMBER($AD37),ABS($AB37)&gt;0),$AD37/$AB37,"")</f>
      </c>
      <c r="AW37" s="39">
        <f>IF(ISNUMBER($AD37),MAX(0,(1-0.55-Header!$O$3)*Header!$Q$3*$AQ37),"")</f>
      </c>
      <c r="AX37" s="43">
        <f>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c>
      <c r="AY37" s="44">
        <f>IF($M37="","",IF(ISNUMBER($M37),IF($M37&gt;=Header!$C$18,"YES — refer","No"),""))</f>
      </c>
      <c r="AZ37" s="44">
        <f>IF($AD37="","",IF(ISNUMBER($AD37),IF($AD37&lt;Header!$C$20,"BELOW MIN PREMIUM","OK"),""))</f>
      </c>
      <c r="BA37" s="32" t="inlineStr">
        <is>
          <t xml:space="preserve">Yes</t>
        </is>
      </c>
      <c r="BB37" s="32" t="inlineStr">
        <is>
          <t xml:space="preserve">Yes</t>
        </is>
      </c>
      <c r="BC37" s="30" t="inlineStr">
        <is>
          <t xml:space="preserve">Synthetic demo data</t>
        </is>
      </c>
      <c r="BE37" s="45">
        <f>IF(OR($A37="",$L37="",$H37=""),"",IF(AND(LEFT($L37,2)="06",$H37&gt;1945),"FAIL - pre-war class, year "&amp;$H37,IF(AND(LEFT($L37,2)="07",OR($H37&lt;1946,$H37&gt;1972)),"FAIL - 1946-72 class, year "&amp;$H37,IF(AND(LEFT($L37,2)="08",OR($H37&lt;1973,$H37&gt;1999)),"FAIL - 1973-99 class, year "&amp;$H37,IF(AND(LEFT($L37,2)="09",OR($H37&lt;2000,$H37&gt;2010)),"FAIL - 2000-10 class, year "&amp;$H37,"OK")))))</f>
      </c>
      <c r="BF37" s="45">
        <f>IF($AD37="","",IF(ROUND($AO37+$AP37+$AQ37-$AD37,2)=0,"OK","FAIL - out by "&amp;TEXT($AO37+$AP37+$AQ37-$AD37,"$0.00")))</f>
      </c>
    </row>
    <row r="38" spans="1:58" ht="18.75" customHeight="1" x14ac:dyDescent="0.25">
      <c r="A38" s="46" t="inlineStr">
        <is>
          <t xml:space="preserve">CANON-202606-008451</t>
        </is>
      </c>
      <c r="B38" s="46" t="inlineStr">
        <is>
          <t xml:space="preserve">Ramona Rourke</t>
        </is>
      </c>
      <c r="C38" s="47">
        <v>46185</v>
      </c>
      <c r="D38" s="48" t="inlineStr">
        <is>
          <t xml:space="preserve">Bound - within authority</t>
        </is>
      </c>
      <c r="E38" s="48" t="inlineStr">
        <is>
          <t xml:space="preserve">New business</t>
        </is>
      </c>
      <c r="F38" s="46" t="inlineStr">
        <is>
          <t xml:space="preserve">B1234EXOTIC26</t>
        </is>
      </c>
      <c r="G38" s="33">
        <f>IF($A38="","",IF($C38="","",YEAR($C38)))</f>
      </c>
      <c r="H38" s="49">
        <v>1984</v>
      </c>
      <c r="I38" s="46" t="inlineStr">
        <is>
          <t xml:space="preserve">Aston Martin</t>
        </is>
      </c>
      <c r="J38" s="46" t="inlineStr">
        <is>
          <t xml:space="preserve">DB12</t>
        </is>
      </c>
      <c r="K38" s="46" t="inlineStr">
        <is>
          <t xml:space="preserve">ZLSHWKSXXSSFZGJKR</t>
        </is>
      </c>
      <c r="L38" s="48" t="inlineStr">
        <is>
          <t xml:space="preserve">02 - Sports / GT</t>
        </is>
      </c>
      <c r="M38" s="50">
        <v>345000</v>
      </c>
      <c r="N38" s="48" t="inlineStr">
        <is>
          <t xml:space="preserve">Personal</t>
        </is>
      </c>
      <c r="O38" s="46" t="inlineStr">
        <is>
          <t xml:space="preserve">Personal - regular use</t>
        </is>
      </c>
      <c r="P38" s="46" t="inlineStr">
        <is>
          <t xml:space="preserve">Under 1,000</t>
        </is>
      </c>
      <c r="Q38" s="46" t="inlineStr">
        <is>
          <t xml:space="preserve">Colorado</t>
        </is>
      </c>
      <c r="R38" s="46" t="inlineStr">
        <is>
          <t xml:space="preserve">80202</t>
        </is>
      </c>
      <c r="S38" s="48" t="inlineStr">
        <is>
          <t xml:space="preserve">Severe convective - hail alley (high)</t>
        </is>
      </c>
      <c r="T38" s="36">
        <f>IF($A38="","",IF($S38="","",IFERROR(INDEX('[1]natural catastrophe'!$D$6:$D$17,MATCH($S38,'[1]natural catastrophe'!$B$6:$B$17,0)),"?")))</f>
      </c>
      <c r="U38" s="46" t="inlineStr">
        <is>
          <t xml:space="preserve">$5,000</t>
        </is>
      </c>
      <c r="V38" s="48" t="inlineStr">
        <is>
          <t xml:space="preserve">Agreed Value</t>
        </is>
      </c>
      <c r="W38" s="46" t="inlineStr">
        <is>
          <t xml:space="preserve">$1,000</t>
        </is>
      </c>
      <c r="X38" s="48" t="inlineStr">
        <is>
          <t xml:space="preserve">$1,000,000 CSL</t>
        </is>
      </c>
      <c r="Y38" s="46"/>
      <c r="Z38" s="46"/>
      <c r="AA38" s="48" t="inlineStr">
        <is>
          <t xml:space="preserve">Surplus Lines</t>
        </is>
      </c>
      <c r="AB38" s="50">
        <v>4107.19</v>
      </c>
      <c r="AC38" s="51">
        <v>0</v>
      </c>
      <c r="AD38" s="38">
        <f>IF(ISNUMBER($AB38),$AB38*(1+N($AC38)),"")</f>
      </c>
      <c r="AE38" s="50">
        <v>350</v>
      </c>
      <c r="AF38" s="50">
        <v>0</v>
      </c>
      <c r="AG38" s="51"/>
      <c r="AH38" s="39">
        <f>IF(ISNUMBER($AD38),($AD38+$AE38+$AF38)*$AG38,"")</f>
      </c>
      <c r="AI38" s="50"/>
      <c r="AJ38" s="38">
        <f>IF(ISNUMBER($AD38),SUM($AD38:$AH38),"")</f>
      </c>
      <c r="AK38" s="40">
        <f>IF(AND(ISNUMBER($AB38),ISNUMBER($AD38)),IF($AB38&gt;0,$AD38/$AB38,""),"")</f>
      </c>
      <c r="AL38" s="48" t="inlineStr">
        <is>
          <t xml:space="preserve">At technical</t>
        </is>
      </c>
      <c r="AM38" s="41">
        <f>IF(ISNUMBER($AD38),Header!$I$3,"")</f>
      </c>
      <c r="AN38" s="39">
        <f>IF(ISNUMBER($AD38),$AO38+$AP38,"")</f>
      </c>
      <c r="AO38" s="39">
        <f>IF(ISNUMBER($AD38),ROUND($AD38*Header!$K$3,2),"")</f>
      </c>
      <c r="AP38" s="39">
        <f>IF(ISNUMBER($AD38),ROUND($AD38*Header!$M$3,2),"")</f>
      </c>
      <c r="AQ38" s="38">
        <f>IF(ISNUMBER($AD38),ROUND($AD38,2)-$AO38-$AP38,"")</f>
      </c>
      <c r="AR38" s="39">
        <f>IF(ISNUMBER($AD38),IF(Header!$D$34="","?",$AD38*Header!$D$34),"")</f>
      </c>
      <c r="AS38" s="39">
        <f>IF(ISNUMBER($AB38),IF(Header!$D$34="","?",$AB38*Header!$D$34),"")</f>
      </c>
      <c r="AT38" s="42">
        <f>IF(AND(ISNUMBER($AB38),$M38&gt;0),$AB38/$M38*100,"")</f>
      </c>
      <c r="AU38" s="42">
        <f>IF(AND(ISNUMBER($AD38),$M38&gt;0),$AD38/$M38*100,"")</f>
      </c>
      <c r="AV38" s="40">
        <f>IF(AND(ISNUMBER($AB38),ISNUMBER($AD38),ABS($AB38)&gt;0),$AD38/$AB38,"")</f>
      </c>
      <c r="AW38" s="39">
        <f>IF(ISNUMBER($AD38),MAX(0,(1-0.55-Header!$O$3)*Header!$Q$3*$AQ38),"")</f>
      </c>
      <c r="AX38" s="43">
        <f>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c>
      <c r="AY38" s="44">
        <f>IF($M38="","",IF(ISNUMBER($M38),IF($M38&gt;=Header!$C$18,"YES — refer","No"),""))</f>
      </c>
      <c r="AZ38" s="44">
        <f>IF($AD38="","",IF(ISNUMBER($AD38),IF($AD38&lt;Header!$C$20,"BELOW MIN PREMIUM","OK"),""))</f>
      </c>
      <c r="BA38" s="48" t="inlineStr">
        <is>
          <t xml:space="preserve">Yes</t>
        </is>
      </c>
      <c r="BB38" s="48" t="inlineStr">
        <is>
          <t xml:space="preserve">Yes</t>
        </is>
      </c>
      <c r="BC38" s="46" t="inlineStr">
        <is>
          <t xml:space="preserve">Synthetic demo data</t>
        </is>
      </c>
      <c r="BE38" s="45">
        <f>IF(OR($A38="",$L38="",$H38=""),"",IF(AND(LEFT($L38,2)="06",$H38&gt;1945),"FAIL - pre-war class, year "&amp;$H38,IF(AND(LEFT($L38,2)="07",OR($H38&lt;1946,$H38&gt;1972)),"FAIL - 1946-72 class, year "&amp;$H38,IF(AND(LEFT($L38,2)="08",OR($H38&lt;1973,$H38&gt;1999)),"FAIL - 1973-99 class, year "&amp;$H38,IF(AND(LEFT($L38,2)="09",OR($H38&lt;2000,$H38&gt;2010)),"FAIL - 2000-10 class, year "&amp;$H38,"OK")))))</f>
      </c>
      <c r="BF38" s="45">
        <f>IF($AD38="","",IF(ROUND($AO38+$AP38+$AQ38-$AD38,2)=0,"OK","FAIL - out by "&amp;TEXT($AO38+$AP38+$AQ38-$AD38,"$0.00")))</f>
      </c>
    </row>
    <row r="39" spans="1:58" ht="18.75" customHeight="1" x14ac:dyDescent="0.25">
      <c r="A39" s="30" t="inlineStr">
        <is>
          <t xml:space="preserve">CANON-202606-008453</t>
        </is>
      </c>
      <c r="B39" s="30" t="inlineStr">
        <is>
          <t xml:space="preserve">Ottilie Montoya</t>
        </is>
      </c>
      <c r="C39" s="31">
        <v>46183</v>
      </c>
      <c r="D39" s="32" t="inlineStr">
        <is>
          <t xml:space="preserve">Bound - within authority</t>
        </is>
      </c>
      <c r="E39" s="32" t="inlineStr">
        <is>
          <t xml:space="preserve">New business</t>
        </is>
      </c>
      <c r="F39" s="30" t="inlineStr">
        <is>
          <t xml:space="preserve">B1234EXOTIC26</t>
        </is>
      </c>
      <c r="G39" s="33">
        <f>IF($A39="","",IF($C39="","",YEAR($C39)))</f>
      </c>
      <c r="H39" s="34">
        <v>1975</v>
      </c>
      <c r="I39" s="30" t="inlineStr">
        <is>
          <t xml:space="preserve">Ferrari</t>
        </is>
      </c>
      <c r="J39" s="30" t="inlineStr">
        <is>
          <t xml:space="preserve">296 GTB</t>
        </is>
      </c>
      <c r="K39" s="30" t="inlineStr">
        <is>
          <t xml:space="preserve">7BDSRPN0EPWMWM1JY</t>
        </is>
      </c>
      <c r="L39" s="32" t="inlineStr">
        <is>
          <t xml:space="preserve">03 - Supercar</t>
        </is>
      </c>
      <c r="M39" s="35">
        <v>1950000</v>
      </c>
      <c r="N39" s="32" t="inlineStr">
        <is>
          <t xml:space="preserve">Personal</t>
        </is>
      </c>
      <c r="O39" s="30" t="inlineStr">
        <is>
          <t xml:space="preserve">Personal - regular use</t>
        </is>
      </c>
      <c r="P39" s="30" t="inlineStr">
        <is>
          <t xml:space="preserve">1,000 - 2,500</t>
        </is>
      </c>
      <c r="Q39" s="30" t="inlineStr">
        <is>
          <t xml:space="preserve">Pennsylvania</t>
        </is>
      </c>
      <c r="R39" s="30" t="inlineStr">
        <is>
          <t xml:space="preserve">19103</t>
        </is>
      </c>
      <c r="S39" s="32" t="inlineStr">
        <is>
          <t xml:space="preserve">Low hazard - inland benign</t>
        </is>
      </c>
      <c r="T39" s="36">
        <f>IF($A39="","",IF($S39="","",IFERROR(INDEX('[1]natural catastrophe'!$D$6:$D$17,MATCH($S39,'[1]natural catastrophe'!$B$6:$B$17,0)),"?")))</f>
      </c>
      <c r="U39" s="30" t="inlineStr">
        <is>
          <t xml:space="preserve">$5,000</t>
        </is>
      </c>
      <c r="V39" s="32" t="inlineStr">
        <is>
          <t xml:space="preserve">Agreed Value</t>
        </is>
      </c>
      <c r="W39" s="30" t="inlineStr">
        <is>
          <t xml:space="preserve">$1,000</t>
        </is>
      </c>
      <c r="X39" s="32" t="inlineStr">
        <is>
          <t xml:space="preserve">$1,000,000 CSL</t>
        </is>
      </c>
      <c r="Y39" s="30"/>
      <c r="Z39" s="30"/>
      <c r="AA39" s="32" t="inlineStr">
        <is>
          <t xml:space="preserve">Surplus Lines</t>
        </is>
      </c>
      <c r="AB39" s="35">
        <v>22511.09</v>
      </c>
      <c r="AC39" s="37">
        <v>0</v>
      </c>
      <c r="AD39" s="38">
        <f>IF(ISNUMBER($AB39),$AB39*(1+N($AC39)),"")</f>
      </c>
      <c r="AE39" s="35">
        <v>350</v>
      </c>
      <c r="AF39" s="35">
        <v>250</v>
      </c>
      <c r="AG39" s="37"/>
      <c r="AH39" s="39">
        <f>IF(ISNUMBER($AD39),($AD39+$AE39+$AF39)*$AG39,"")</f>
      </c>
      <c r="AI39" s="35"/>
      <c r="AJ39" s="38">
        <f>IF(ISNUMBER($AD39),SUM($AD39:$AH39),"")</f>
      </c>
      <c r="AK39" s="40">
        <f>IF(AND(ISNUMBER($AB39),ISNUMBER($AD39)),IF($AB39&gt;0,$AD39/$AB39,""),"")</f>
      </c>
      <c r="AL39" s="32" t="inlineStr">
        <is>
          <t xml:space="preserve">At technical</t>
        </is>
      </c>
      <c r="AM39" s="41">
        <f>IF(ISNUMBER($AD39),Header!$I$3,"")</f>
      </c>
      <c r="AN39" s="39">
        <f>IF(ISNUMBER($AD39),$AO39+$AP39,"")</f>
      </c>
      <c r="AO39" s="39">
        <f>IF(ISNUMBER($AD39),ROUND($AD39*Header!$K$3,2),"")</f>
      </c>
      <c r="AP39" s="39">
        <f>IF(ISNUMBER($AD39),ROUND($AD39*Header!$M$3,2),"")</f>
      </c>
      <c r="AQ39" s="38">
        <f>IF(ISNUMBER($AD39),ROUND($AD39,2)-$AO39-$AP39,"")</f>
      </c>
      <c r="AR39" s="39">
        <f>IF(ISNUMBER($AD39),IF(Header!$D$34="","?",$AD39*Header!$D$34),"")</f>
      </c>
      <c r="AS39" s="39">
        <f>IF(ISNUMBER($AB39),IF(Header!$D$34="","?",$AB39*Header!$D$34),"")</f>
      </c>
      <c r="AT39" s="42">
        <f>IF(AND(ISNUMBER($AB39),$M39&gt;0),$AB39/$M39*100,"")</f>
      </c>
      <c r="AU39" s="42">
        <f>IF(AND(ISNUMBER($AD39),$M39&gt;0),$AD39/$M39*100,"")</f>
      </c>
      <c r="AV39" s="40">
        <f>IF(AND(ISNUMBER($AB39),ISNUMBER($AD39),ABS($AB39)&gt;0),$AD39/$AB39,"")</f>
      </c>
      <c r="AW39" s="39">
        <f>IF(ISNUMBER($AD39),MAX(0,(1-0.55-Header!$O$3)*Header!$Q$3*$AQ39),"")</f>
      </c>
      <c r="AX39" s="43">
        <f>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c>
      <c r="AY39" s="44">
        <f>IF($M39="","",IF(ISNUMBER($M39),IF($M39&gt;=Header!$C$18,"YES — refer","No"),""))</f>
      </c>
      <c r="AZ39" s="44">
        <f>IF($AD39="","",IF(ISNUMBER($AD39),IF($AD39&lt;Header!$C$20,"BELOW MIN PREMIUM","OK"),""))</f>
      </c>
      <c r="BA39" s="32" t="inlineStr">
        <is>
          <t xml:space="preserve">Yes</t>
        </is>
      </c>
      <c r="BB39" s="32" t="inlineStr">
        <is>
          <t xml:space="preserve">Yes</t>
        </is>
      </c>
      <c r="BC39" s="30" t="inlineStr">
        <is>
          <t xml:space="preserve">Synthetic demo data</t>
        </is>
      </c>
      <c r="BE39" s="45">
        <f>IF(OR($A39="",$L39="",$H39=""),"",IF(AND(LEFT($L39,2)="06",$H39&gt;1945),"FAIL - pre-war class, year "&amp;$H39,IF(AND(LEFT($L39,2)="07",OR($H39&lt;1946,$H39&gt;1972)),"FAIL - 1946-72 class, year "&amp;$H39,IF(AND(LEFT($L39,2)="08",OR($H39&lt;1973,$H39&gt;1999)),"FAIL - 1973-99 class, year "&amp;$H39,IF(AND(LEFT($L39,2)="09",OR($H39&lt;2000,$H39&gt;2010)),"FAIL - 2000-10 class, year "&amp;$H39,"OK")))))</f>
      </c>
      <c r="BF39" s="45">
        <f>IF($AD39="","",IF(ROUND($AO39+$AP39+$AQ39-$AD39,2)=0,"OK","FAIL - out by "&amp;TEXT($AO39+$AP39+$AQ39-$AD39,"$0.00")))</f>
      </c>
    </row>
    <row r="40" spans="1:58" ht="18.75" customHeight="1" x14ac:dyDescent="0.25">
      <c r="A40" s="46" t="inlineStr">
        <is>
          <t xml:space="preserve">CANON-202606-008454</t>
        </is>
      </c>
      <c r="B40" s="46" t="inlineStr">
        <is>
          <t xml:space="preserve">Marisol Castellanos</t>
        </is>
      </c>
      <c r="C40" s="47">
        <v>46180</v>
      </c>
      <c r="D40" s="48" t="inlineStr">
        <is>
          <t xml:space="preserve">Bound - within authority</t>
        </is>
      </c>
      <c r="E40" s="48" t="inlineStr">
        <is>
          <t xml:space="preserve">New business</t>
        </is>
      </c>
      <c r="F40" s="46" t="inlineStr">
        <is>
          <t xml:space="preserve">B1234EXOTIC26</t>
        </is>
      </c>
      <c r="G40" s="33">
        <f>IF($A40="","",IF($C40="","",YEAR($C40)))</f>
      </c>
      <c r="H40" s="49">
        <v>1986</v>
      </c>
      <c r="I40" s="46" t="inlineStr">
        <is>
          <t xml:space="preserve">Aston Martin</t>
        </is>
      </c>
      <c r="J40" s="46" t="inlineStr">
        <is>
          <t xml:space="preserve">DB12</t>
        </is>
      </c>
      <c r="K40" s="46" t="inlineStr">
        <is>
          <t xml:space="preserve">EXTC3CJU36GGW6U60</t>
        </is>
      </c>
      <c r="L40" s="48" t="inlineStr">
        <is>
          <t xml:space="preserve">02 - Sports / GT</t>
        </is>
      </c>
      <c r="M40" s="50">
        <v>865000</v>
      </c>
      <c r="N40" s="48" t="inlineStr">
        <is>
          <t xml:space="preserve">Personal</t>
        </is>
      </c>
      <c r="O40" s="46" t="inlineStr">
        <is>
          <t xml:space="preserve">Personal - regular use</t>
        </is>
      </c>
      <c r="P40" s="46" t="inlineStr">
        <is>
          <t xml:space="preserve">2,500 - 5,000</t>
        </is>
      </c>
      <c r="Q40" s="46" t="inlineStr">
        <is>
          <t xml:space="preserve">Missouri</t>
        </is>
      </c>
      <c r="R40" s="46" t="inlineStr">
        <is>
          <t xml:space="preserve">63101</t>
        </is>
      </c>
      <c r="S40" s="48" t="inlineStr">
        <is>
          <t xml:space="preserve">Severe convective - hail / tornado (moderate)</t>
        </is>
      </c>
      <c r="T40" s="36">
        <f>IF($A40="","",IF($S40="","",IFERROR(INDEX('[1]natural catastrophe'!$D$6:$D$17,MATCH($S40,'[1]natural catastrophe'!$B$6:$B$17,0)),"?")))</f>
      </c>
      <c r="U40" s="46" t="inlineStr">
        <is>
          <t xml:space="preserve">$5,000</t>
        </is>
      </c>
      <c r="V40" s="48" t="inlineStr">
        <is>
          <t xml:space="preserve">Agreed Value</t>
        </is>
      </c>
      <c r="W40" s="46" t="inlineStr">
        <is>
          <t xml:space="preserve">$1,000</t>
        </is>
      </c>
      <c r="X40" s="48" t="inlineStr">
        <is>
          <t xml:space="preserve">$1,000,000 CSL</t>
        </is>
      </c>
      <c r="Y40" s="46"/>
      <c r="Z40" s="46"/>
      <c r="AA40" s="48" t="inlineStr">
        <is>
          <t xml:space="preserve">Surplus Lines</t>
        </is>
      </c>
      <c r="AB40" s="50">
        <v>8600.18</v>
      </c>
      <c r="AC40" s="51">
        <v>0</v>
      </c>
      <c r="AD40" s="38">
        <f>IF(ISNUMBER($AB40),$AB40*(1+N($AC40)),"")</f>
      </c>
      <c r="AE40" s="50">
        <v>350</v>
      </c>
      <c r="AF40" s="50">
        <v>0</v>
      </c>
      <c r="AG40" s="51"/>
      <c r="AH40" s="39">
        <f>IF(ISNUMBER($AD40),($AD40+$AE40+$AF40)*$AG40,"")</f>
      </c>
      <c r="AI40" s="50"/>
      <c r="AJ40" s="38">
        <f>IF(ISNUMBER($AD40),SUM($AD40:$AH40),"")</f>
      </c>
      <c r="AK40" s="40">
        <f>IF(AND(ISNUMBER($AB40),ISNUMBER($AD40)),IF($AB40&gt;0,$AD40/$AB40,""),"")</f>
      </c>
      <c r="AL40" s="48" t="inlineStr">
        <is>
          <t xml:space="preserve">At technical</t>
        </is>
      </c>
      <c r="AM40" s="41">
        <f>IF(ISNUMBER($AD40),Header!$I$3,"")</f>
      </c>
      <c r="AN40" s="39">
        <f>IF(ISNUMBER($AD40),$AO40+$AP40,"")</f>
      </c>
      <c r="AO40" s="39">
        <f>IF(ISNUMBER($AD40),ROUND($AD40*Header!$K$3,2),"")</f>
      </c>
      <c r="AP40" s="39">
        <f>IF(ISNUMBER($AD40),ROUND($AD40*Header!$M$3,2),"")</f>
      </c>
      <c r="AQ40" s="38">
        <f>IF(ISNUMBER($AD40),ROUND($AD40,2)-$AO40-$AP40,"")</f>
      </c>
      <c r="AR40" s="39">
        <f>IF(ISNUMBER($AD40),IF(Header!$D$34="","?",$AD40*Header!$D$34),"")</f>
      </c>
      <c r="AS40" s="39">
        <f>IF(ISNUMBER($AB40),IF(Header!$D$34="","?",$AB40*Header!$D$34),"")</f>
      </c>
      <c r="AT40" s="42">
        <f>IF(AND(ISNUMBER($AB40),$M40&gt;0),$AB40/$M40*100,"")</f>
      </c>
      <c r="AU40" s="42">
        <f>IF(AND(ISNUMBER($AD40),$M40&gt;0),$AD40/$M40*100,"")</f>
      </c>
      <c r="AV40" s="40">
        <f>IF(AND(ISNUMBER($AB40),ISNUMBER($AD40),ABS($AB40)&gt;0),$AD40/$AB40,"")</f>
      </c>
      <c r="AW40" s="39">
        <f>IF(ISNUMBER($AD40),MAX(0,(1-0.55-Header!$O$3)*Header!$Q$3*$AQ40),"")</f>
      </c>
      <c r="AX40" s="43">
        <f>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c>
      <c r="AY40" s="44">
        <f>IF($M40="","",IF(ISNUMBER($M40),IF($M40&gt;=Header!$C$18,"YES — refer","No"),""))</f>
      </c>
      <c r="AZ40" s="44">
        <f>IF($AD40="","",IF(ISNUMBER($AD40),IF($AD40&lt;Header!$C$20,"BELOW MIN PREMIUM","OK"),""))</f>
      </c>
      <c r="BA40" s="48" t="inlineStr">
        <is>
          <t xml:space="preserve">Yes</t>
        </is>
      </c>
      <c r="BB40" s="48" t="inlineStr">
        <is>
          <t xml:space="preserve">Yes</t>
        </is>
      </c>
      <c r="BC40" s="46" t="inlineStr">
        <is>
          <t xml:space="preserve">Synthetic demo data</t>
        </is>
      </c>
      <c r="BE40" s="45">
        <f>IF(OR($A40="",$L40="",$H40=""),"",IF(AND(LEFT($L40,2)="06",$H40&gt;1945),"FAIL - pre-war class, year "&amp;$H40,IF(AND(LEFT($L40,2)="07",OR($H40&lt;1946,$H40&gt;1972)),"FAIL - 1946-72 class, year "&amp;$H40,IF(AND(LEFT($L40,2)="08",OR($H40&lt;1973,$H40&gt;1999)),"FAIL - 1973-99 class, year "&amp;$H40,IF(AND(LEFT($L40,2)="09",OR($H40&lt;2000,$H40&gt;2010)),"FAIL - 2000-10 class, year "&amp;$H40,"OK")))))</f>
      </c>
      <c r="BF40" s="45">
        <f>IF($AD40="","",IF(ROUND($AO40+$AP40+$AQ40-$AD40,2)=0,"OK","FAIL - out by "&amp;TEXT($AO40+$AP40+$AQ40-$AD40,"$0.00")))</f>
      </c>
    </row>
    <row r="41" spans="1:58" ht="18.75" customHeight="1" x14ac:dyDescent="0.25">
      <c r="A41" s="30" t="inlineStr">
        <is>
          <t xml:space="preserve">CANON-202606-008455</t>
        </is>
      </c>
      <c r="B41" s="30" t="inlineStr">
        <is>
          <t xml:space="preserve">Anouk Castellanos</t>
        </is>
      </c>
      <c r="C41" s="31">
        <v>46200</v>
      </c>
      <c r="D41" s="32" t="inlineStr">
        <is>
          <t xml:space="preserve">Bound - within authority</t>
        </is>
      </c>
      <c r="E41" s="32" t="inlineStr">
        <is>
          <t xml:space="preserve">New business</t>
        </is>
      </c>
      <c r="F41" s="30" t="inlineStr">
        <is>
          <t xml:space="preserve">B1234EXOTIC26</t>
        </is>
      </c>
      <c r="G41" s="33">
        <f>IF($A41="","",IF($C41="","",YEAR($C41)))</f>
      </c>
      <c r="H41" s="34">
        <v>1977</v>
      </c>
      <c r="I41" s="30" t="inlineStr">
        <is>
          <t xml:space="preserve">Porsche</t>
        </is>
      </c>
      <c r="J41" s="30" t="inlineStr">
        <is>
          <t xml:space="preserve">911 Turbo S</t>
        </is>
      </c>
      <c r="K41" s="30" t="inlineStr">
        <is>
          <t xml:space="preserve">TZDHN3PR43NS97R7W</t>
        </is>
      </c>
      <c r="L41" s="32" t="inlineStr">
        <is>
          <t xml:space="preserve">02 - Sports / GT</t>
        </is>
      </c>
      <c r="M41" s="35">
        <v>350000</v>
      </c>
      <c r="N41" s="32" t="inlineStr">
        <is>
          <t xml:space="preserve">Personal</t>
        </is>
      </c>
      <c r="O41" s="30" t="inlineStr">
        <is>
          <t xml:space="preserve">Personal - regular use</t>
        </is>
      </c>
      <c r="P41" s="30" t="inlineStr">
        <is>
          <t xml:space="preserve">2,500 - 5,000</t>
        </is>
      </c>
      <c r="Q41" s="30" t="inlineStr">
        <is>
          <t xml:space="preserve">Mississippi</t>
        </is>
      </c>
      <c r="R41" s="30" t="inlineStr">
        <is>
          <t xml:space="preserve">39201</t>
        </is>
      </c>
      <c r="S41" s="32" t="inlineStr">
        <is>
          <t xml:space="preserve">Tier 2 - Coastal wind (1-25 miles)</t>
        </is>
      </c>
      <c r="T41" s="36">
        <f>IF($A41="","",IF($S41="","",IFERROR(INDEX('[1]natural catastrophe'!$D$6:$D$17,MATCH($S41,'[1]natural catastrophe'!$B$6:$B$17,0)),"?")))</f>
      </c>
      <c r="U41" s="30" t="inlineStr">
        <is>
          <t xml:space="preserve">2% of agreed value, minimum $10,000</t>
        </is>
      </c>
      <c r="V41" s="32" t="inlineStr">
        <is>
          <t xml:space="preserve">Agreed Value</t>
        </is>
      </c>
      <c r="W41" s="30" t="inlineStr">
        <is>
          <t xml:space="preserve">$1,000</t>
        </is>
      </c>
      <c r="X41" s="32" t="inlineStr">
        <is>
          <t xml:space="preserve">$1,000,000 CSL</t>
        </is>
      </c>
      <c r="Y41" s="30"/>
      <c r="Z41" s="30"/>
      <c r="AA41" s="32" t="inlineStr">
        <is>
          <t xml:space="preserve">Surplus Lines</t>
        </is>
      </c>
      <c r="AB41" s="35">
        <v>4507.63</v>
      </c>
      <c r="AC41" s="37">
        <v>0</v>
      </c>
      <c r="AD41" s="38">
        <f>IF(ISNUMBER($AB41),$AB41*(1+N($AC41)),"")</f>
      </c>
      <c r="AE41" s="35">
        <v>350</v>
      </c>
      <c r="AF41" s="35">
        <v>0</v>
      </c>
      <c r="AG41" s="37"/>
      <c r="AH41" s="39">
        <f>IF(ISNUMBER($AD41),($AD41+$AE41+$AF41)*$AG41,"")</f>
      </c>
      <c r="AI41" s="35"/>
      <c r="AJ41" s="38">
        <f>IF(ISNUMBER($AD41),SUM($AD41:$AH41),"")</f>
      </c>
      <c r="AK41" s="40">
        <f>IF(AND(ISNUMBER($AB41),ISNUMBER($AD41)),IF($AB41&gt;0,$AD41/$AB41,""),"")</f>
      </c>
      <c r="AL41" s="32" t="inlineStr">
        <is>
          <t xml:space="preserve">At technical</t>
        </is>
      </c>
      <c r="AM41" s="41">
        <f>IF(ISNUMBER($AD41),Header!$I$3,"")</f>
      </c>
      <c r="AN41" s="39">
        <f>IF(ISNUMBER($AD41),$AO41+$AP41,"")</f>
      </c>
      <c r="AO41" s="39">
        <f>IF(ISNUMBER($AD41),ROUND($AD41*Header!$K$3,2),"")</f>
      </c>
      <c r="AP41" s="39">
        <f>IF(ISNUMBER($AD41),ROUND($AD41*Header!$M$3,2),"")</f>
      </c>
      <c r="AQ41" s="38">
        <f>IF(ISNUMBER($AD41),ROUND($AD41,2)-$AO41-$AP41,"")</f>
      </c>
      <c r="AR41" s="39">
        <f>IF(ISNUMBER($AD41),IF(Header!$D$34="","?",$AD41*Header!$D$34),"")</f>
      </c>
      <c r="AS41" s="39">
        <f>IF(ISNUMBER($AB41),IF(Header!$D$34="","?",$AB41*Header!$D$34),"")</f>
      </c>
      <c r="AT41" s="42">
        <f>IF(AND(ISNUMBER($AB41),$M41&gt;0),$AB41/$M41*100,"")</f>
      </c>
      <c r="AU41" s="42">
        <f>IF(AND(ISNUMBER($AD41),$M41&gt;0),$AD41/$M41*100,"")</f>
      </c>
      <c r="AV41" s="40">
        <f>IF(AND(ISNUMBER($AB41),ISNUMBER($AD41),ABS($AB41)&gt;0),$AD41/$AB41,"")</f>
      </c>
      <c r="AW41" s="39">
        <f>IF(ISNUMBER($AD41),MAX(0,(1-0.55-Header!$O$3)*Header!$Q$3*$AQ41),"")</f>
      </c>
      <c r="AX41" s="43">
        <f>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c>
      <c r="AY41" s="44">
        <f>IF($M41="","",IF(ISNUMBER($M41),IF($M41&gt;=Header!$C$18,"YES — refer","No"),""))</f>
      </c>
      <c r="AZ41" s="44">
        <f>IF($AD41="","",IF(ISNUMBER($AD41),IF($AD41&lt;Header!$C$20,"BELOW MIN PREMIUM","OK"),""))</f>
      </c>
      <c r="BA41" s="32" t="inlineStr">
        <is>
          <t xml:space="preserve">Yes</t>
        </is>
      </c>
      <c r="BB41" s="32" t="inlineStr">
        <is>
          <t xml:space="preserve">Yes</t>
        </is>
      </c>
      <c r="BC41" s="30" t="inlineStr">
        <is>
          <t xml:space="preserve">Synthetic demo data</t>
        </is>
      </c>
      <c r="BE41" s="45">
        <f>IF(OR($A41="",$L41="",$H41=""),"",IF(AND(LEFT($L41,2)="06",$H41&gt;1945),"FAIL - pre-war class, year "&amp;$H41,IF(AND(LEFT($L41,2)="07",OR($H41&lt;1946,$H41&gt;1972)),"FAIL - 1946-72 class, year "&amp;$H41,IF(AND(LEFT($L41,2)="08",OR($H41&lt;1973,$H41&gt;1999)),"FAIL - 1973-99 class, year "&amp;$H41,IF(AND(LEFT($L41,2)="09",OR($H41&lt;2000,$H41&gt;2010)),"FAIL - 2000-10 class, year "&amp;$H41,"OK")))))</f>
      </c>
      <c r="BF41" s="45">
        <f>IF($AD41="","",IF(ROUND($AO41+$AP41+$AQ41-$AD41,2)=0,"OK","FAIL - out by "&amp;TEXT($AO41+$AP41+$AQ41-$AD41,"$0.00")))</f>
      </c>
    </row>
    <row r="42" spans="1:58" ht="18.75" customHeight="1" x14ac:dyDescent="0.25">
      <c r="A42" s="46" t="inlineStr">
        <is>
          <t xml:space="preserve">CANON-202606-008456</t>
        </is>
      </c>
      <c r="B42" s="46" t="inlineStr">
        <is>
          <t xml:space="preserve">Mireille Underwood</t>
        </is>
      </c>
      <c r="C42" s="47">
        <v>46200</v>
      </c>
      <c r="D42" s="48" t="inlineStr">
        <is>
          <t xml:space="preserve">Bound - within authority</t>
        </is>
      </c>
      <c r="E42" s="48" t="inlineStr">
        <is>
          <t xml:space="preserve">New business</t>
        </is>
      </c>
      <c r="F42" s="46" t="inlineStr">
        <is>
          <t xml:space="preserve">B1234EXOTIC26</t>
        </is>
      </c>
      <c r="G42" s="33">
        <f>IF($A42="","",IF($C42="","",YEAR($C42)))</f>
      </c>
      <c r="H42" s="49">
        <v>1969</v>
      </c>
      <c r="I42" s="46" t="inlineStr">
        <is>
          <t xml:space="preserve">Porsche</t>
        </is>
      </c>
      <c r="J42" s="46" t="inlineStr">
        <is>
          <t xml:space="preserve">911 Turbo S</t>
        </is>
      </c>
      <c r="K42" s="46" t="inlineStr">
        <is>
          <t xml:space="preserve">79RGN0PBVHFZ32BC3</t>
        </is>
      </c>
      <c r="L42" s="48" t="inlineStr">
        <is>
          <t xml:space="preserve">02 - Sports / GT</t>
        </is>
      </c>
      <c r="M42" s="50">
        <v>795000</v>
      </c>
      <c r="N42" s="48" t="inlineStr">
        <is>
          <t xml:space="preserve">Personal</t>
        </is>
      </c>
      <c r="O42" s="46" t="inlineStr">
        <is>
          <t xml:space="preserve">Personal - regular use</t>
        </is>
      </c>
      <c r="P42" s="46" t="inlineStr">
        <is>
          <t xml:space="preserve">Under 1,000</t>
        </is>
      </c>
      <c r="Q42" s="46" t="inlineStr">
        <is>
          <t xml:space="preserve">Michigan</t>
        </is>
      </c>
      <c r="R42" s="46" t="inlineStr">
        <is>
          <t xml:space="preserve">48226</t>
        </is>
      </c>
      <c r="S42" s="48" t="inlineStr">
        <is>
          <t xml:space="preserve">Severe convective - hail / tornado (moderate)</t>
        </is>
      </c>
      <c r="T42" s="36">
        <f>IF($A42="","",IF($S42="","",IFERROR(INDEX('[1]natural catastrophe'!$D$6:$D$17,MATCH($S42,'[1]natural catastrophe'!$B$6:$B$17,0)),"?")))</f>
      </c>
      <c r="U42" s="46" t="inlineStr">
        <is>
          <t xml:space="preserve">$5,000</t>
        </is>
      </c>
      <c r="V42" s="48" t="inlineStr">
        <is>
          <t xml:space="preserve">Agreed Value</t>
        </is>
      </c>
      <c r="W42" s="46" t="inlineStr">
        <is>
          <t xml:space="preserve">$1,000</t>
        </is>
      </c>
      <c r="X42" s="48" t="inlineStr">
        <is>
          <t xml:space="preserve">$1,000,000 CSL</t>
        </is>
      </c>
      <c r="Y42" s="46"/>
      <c r="Z42" s="46"/>
      <c r="AA42" s="48" t="inlineStr">
        <is>
          <t xml:space="preserve">Surplus Lines</t>
        </is>
      </c>
      <c r="AB42" s="50">
        <v>11558.04</v>
      </c>
      <c r="AC42" s="51">
        <v>0</v>
      </c>
      <c r="AD42" s="38">
        <f>IF(ISNUMBER($AB42),$AB42*(1+N($AC42)),"")</f>
      </c>
      <c r="AE42" s="50">
        <v>350</v>
      </c>
      <c r="AF42" s="50">
        <v>0</v>
      </c>
      <c r="AG42" s="51"/>
      <c r="AH42" s="39">
        <f>IF(ISNUMBER($AD42),($AD42+$AE42+$AF42)*$AG42,"")</f>
      </c>
      <c r="AI42" s="50"/>
      <c r="AJ42" s="38">
        <f>IF(ISNUMBER($AD42),SUM($AD42:$AH42),"")</f>
      </c>
      <c r="AK42" s="40">
        <f>IF(AND(ISNUMBER($AB42),ISNUMBER($AD42)),IF($AB42&gt;0,$AD42/$AB42,""),"")</f>
      </c>
      <c r="AL42" s="48" t="inlineStr">
        <is>
          <t xml:space="preserve">At technical</t>
        </is>
      </c>
      <c r="AM42" s="41">
        <f>IF(ISNUMBER($AD42),Header!$I$3,"")</f>
      </c>
      <c r="AN42" s="39">
        <f>IF(ISNUMBER($AD42),$AO42+$AP42,"")</f>
      </c>
      <c r="AO42" s="39">
        <f>IF(ISNUMBER($AD42),ROUND($AD42*Header!$K$3,2),"")</f>
      </c>
      <c r="AP42" s="39">
        <f>IF(ISNUMBER($AD42),ROUND($AD42*Header!$M$3,2),"")</f>
      </c>
      <c r="AQ42" s="38">
        <f>IF(ISNUMBER($AD42),ROUND($AD42,2)-$AO42-$AP42,"")</f>
      </c>
      <c r="AR42" s="39">
        <f>IF(ISNUMBER($AD42),IF(Header!$D$34="","?",$AD42*Header!$D$34),"")</f>
      </c>
      <c r="AS42" s="39">
        <f>IF(ISNUMBER($AB42),IF(Header!$D$34="","?",$AB42*Header!$D$34),"")</f>
      </c>
      <c r="AT42" s="42">
        <f>IF(AND(ISNUMBER($AB42),$M42&gt;0),$AB42/$M42*100,"")</f>
      </c>
      <c r="AU42" s="42">
        <f>IF(AND(ISNUMBER($AD42),$M42&gt;0),$AD42/$M42*100,"")</f>
      </c>
      <c r="AV42" s="40">
        <f>IF(AND(ISNUMBER($AB42),ISNUMBER($AD42),ABS($AB42)&gt;0),$AD42/$AB42,"")</f>
      </c>
      <c r="AW42" s="39">
        <f>IF(ISNUMBER($AD42),MAX(0,(1-0.55-Header!$O$3)*Header!$Q$3*$AQ42),"")</f>
      </c>
      <c r="AX42" s="43">
        <f>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c>
      <c r="AY42" s="44">
        <f>IF($M42="","",IF(ISNUMBER($M42),IF($M42&gt;=Header!$C$18,"YES — refer","No"),""))</f>
      </c>
      <c r="AZ42" s="44">
        <f>IF($AD42="","",IF(ISNUMBER($AD42),IF($AD42&lt;Header!$C$20,"BELOW MIN PREMIUM","OK"),""))</f>
      </c>
      <c r="BA42" s="48" t="inlineStr">
        <is>
          <t xml:space="preserve">Yes</t>
        </is>
      </c>
      <c r="BB42" s="48" t="inlineStr">
        <is>
          <t xml:space="preserve">Yes</t>
        </is>
      </c>
      <c r="BC42" s="46" t="inlineStr">
        <is>
          <t xml:space="preserve">Synthetic demo data</t>
        </is>
      </c>
      <c r="BE42" s="45">
        <f>IF(OR($A42="",$L42="",$H42=""),"",IF(AND(LEFT($L42,2)="06",$H42&gt;1945),"FAIL - pre-war class, year "&amp;$H42,IF(AND(LEFT($L42,2)="07",OR($H42&lt;1946,$H42&gt;1972)),"FAIL - 1946-72 class, year "&amp;$H42,IF(AND(LEFT($L42,2)="08",OR($H42&lt;1973,$H42&gt;1999)),"FAIL - 1973-99 class, year "&amp;$H42,IF(AND(LEFT($L42,2)="09",OR($H42&lt;2000,$H42&gt;2010)),"FAIL - 2000-10 class, year "&amp;$H42,"OK")))))</f>
      </c>
      <c r="BF42" s="45">
        <f>IF($AD42="","",IF(ROUND($AO42+$AP42+$AQ42-$AD42,2)=0,"OK","FAIL - out by "&amp;TEXT($AO42+$AP42+$AQ42-$AD42,"$0.00")))</f>
      </c>
    </row>
    <row r="43" spans="1:58" ht="18.75" customHeight="1" x14ac:dyDescent="0.25">
      <c r="A43" s="30" t="inlineStr">
        <is>
          <t xml:space="preserve">CANON-202606-008458</t>
        </is>
      </c>
      <c r="B43" s="30" t="inlineStr">
        <is>
          <t xml:space="preserve">Marisol Bellandi</t>
        </is>
      </c>
      <c r="C43" s="31">
        <v>46187</v>
      </c>
      <c r="D43" s="32" t="inlineStr">
        <is>
          <t xml:space="preserve">Bound - within authority</t>
        </is>
      </c>
      <c r="E43" s="32" t="inlineStr">
        <is>
          <t xml:space="preserve">New business</t>
        </is>
      </c>
      <c r="F43" s="30" t="inlineStr">
        <is>
          <t xml:space="preserve">B1234EXOTIC26</t>
        </is>
      </c>
      <c r="G43" s="33">
        <f>IF($A43="","",IF($C43="","",YEAR($C43)))</f>
      </c>
      <c r="H43" s="34">
        <v>1978</v>
      </c>
      <c r="I43" s="30" t="inlineStr">
        <is>
          <t xml:space="preserve">Bentley</t>
        </is>
      </c>
      <c r="J43" s="30" t="inlineStr">
        <is>
          <t xml:space="preserve">Continental GT</t>
        </is>
      </c>
      <c r="K43" s="30" t="inlineStr">
        <is>
          <t xml:space="preserve">UC0YVTC2BZ1M5PP9K</t>
        </is>
      </c>
      <c r="L43" s="32" t="inlineStr">
        <is>
          <t xml:space="preserve">02 - Sports / GT</t>
        </is>
      </c>
      <c r="M43" s="35">
        <v>755000</v>
      </c>
      <c r="N43" s="32" t="inlineStr">
        <is>
          <t xml:space="preserve">Personal</t>
        </is>
      </c>
      <c r="O43" s="30" t="inlineStr">
        <is>
          <t xml:space="preserve">Personal - regular use</t>
        </is>
      </c>
      <c r="P43" s="30" t="inlineStr">
        <is>
          <t xml:space="preserve">2,500 - 5,000</t>
        </is>
      </c>
      <c r="Q43" s="30" t="inlineStr">
        <is>
          <t xml:space="preserve">Utah</t>
        </is>
      </c>
      <c r="R43" s="30" t="inlineStr">
        <is>
          <t xml:space="preserve">84101</t>
        </is>
      </c>
      <c r="S43" s="32" t="inlineStr">
        <is>
          <t xml:space="preserve">Wildfire - WUI high hazard</t>
        </is>
      </c>
      <c r="T43" s="36">
        <f>IF($A43="","",IF($S43="","",IFERROR(INDEX('[1]natural catastrophe'!$D$6:$D$17,MATCH($S43,'[1]natural catastrophe'!$B$6:$B$17,0)),"?")))</f>
      </c>
      <c r="U43" s="30" t="inlineStr">
        <is>
          <t xml:space="preserve">$5,000</t>
        </is>
      </c>
      <c r="V43" s="32" t="inlineStr">
        <is>
          <t xml:space="preserve">Agreed Value</t>
        </is>
      </c>
      <c r="W43" s="30" t="inlineStr">
        <is>
          <t xml:space="preserve">$1,000</t>
        </is>
      </c>
      <c r="X43" s="32" t="inlineStr">
        <is>
          <t xml:space="preserve">$1,000,000 CSL</t>
        </is>
      </c>
      <c r="Y43" s="30"/>
      <c r="Z43" s="30"/>
      <c r="AA43" s="32" t="inlineStr">
        <is>
          <t xml:space="preserve">Surplus Lines</t>
        </is>
      </c>
      <c r="AB43" s="35">
        <v>9560.18</v>
      </c>
      <c r="AC43" s="37">
        <v>0</v>
      </c>
      <c r="AD43" s="38">
        <f>IF(ISNUMBER($AB43),$AB43*(1+N($AC43)),"")</f>
      </c>
      <c r="AE43" s="35">
        <v>350</v>
      </c>
      <c r="AF43" s="35">
        <v>0</v>
      </c>
      <c r="AG43" s="37"/>
      <c r="AH43" s="39">
        <f>IF(ISNUMBER($AD43),($AD43+$AE43+$AF43)*$AG43,"")</f>
      </c>
      <c r="AI43" s="35"/>
      <c r="AJ43" s="38">
        <f>IF(ISNUMBER($AD43),SUM($AD43:$AH43),"")</f>
      </c>
      <c r="AK43" s="40">
        <f>IF(AND(ISNUMBER($AB43),ISNUMBER($AD43)),IF($AB43&gt;0,$AD43/$AB43,""),"")</f>
      </c>
      <c r="AL43" s="32" t="inlineStr">
        <is>
          <t xml:space="preserve">At technical</t>
        </is>
      </c>
      <c r="AM43" s="41">
        <f>IF(ISNUMBER($AD43),Header!$I$3,"")</f>
      </c>
      <c r="AN43" s="39">
        <f>IF(ISNUMBER($AD43),$AO43+$AP43,"")</f>
      </c>
      <c r="AO43" s="39">
        <f>IF(ISNUMBER($AD43),ROUND($AD43*Header!$K$3,2),"")</f>
      </c>
      <c r="AP43" s="39">
        <f>IF(ISNUMBER($AD43),ROUND($AD43*Header!$M$3,2),"")</f>
      </c>
      <c r="AQ43" s="38">
        <f>IF(ISNUMBER($AD43),ROUND($AD43,2)-$AO43-$AP43,"")</f>
      </c>
      <c r="AR43" s="39">
        <f>IF(ISNUMBER($AD43),IF(Header!$D$34="","?",$AD43*Header!$D$34),"")</f>
      </c>
      <c r="AS43" s="39">
        <f>IF(ISNUMBER($AB43),IF(Header!$D$34="","?",$AB43*Header!$D$34),"")</f>
      </c>
      <c r="AT43" s="42">
        <f>IF(AND(ISNUMBER($AB43),$M43&gt;0),$AB43/$M43*100,"")</f>
      </c>
      <c r="AU43" s="42">
        <f>IF(AND(ISNUMBER($AD43),$M43&gt;0),$AD43/$M43*100,"")</f>
      </c>
      <c r="AV43" s="40">
        <f>IF(AND(ISNUMBER($AB43),ISNUMBER($AD43),ABS($AB43)&gt;0),$AD43/$AB43,"")</f>
      </c>
      <c r="AW43" s="39">
        <f>IF(ISNUMBER($AD43),MAX(0,(1-0.55-Header!$O$3)*Header!$Q$3*$AQ43),"")</f>
      </c>
      <c r="AX43" s="43">
        <f>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c>
      <c r="AY43" s="44">
        <f>IF($M43="","",IF(ISNUMBER($M43),IF($M43&gt;=Header!$C$18,"YES — refer","No"),""))</f>
      </c>
      <c r="AZ43" s="44">
        <f>IF($AD43="","",IF(ISNUMBER($AD43),IF($AD43&lt;Header!$C$20,"BELOW MIN PREMIUM","OK"),""))</f>
      </c>
      <c r="BA43" s="32" t="inlineStr">
        <is>
          <t xml:space="preserve">Yes</t>
        </is>
      </c>
      <c r="BB43" s="32" t="inlineStr">
        <is>
          <t xml:space="preserve">Yes</t>
        </is>
      </c>
      <c r="BC43" s="30" t="inlineStr">
        <is>
          <t xml:space="preserve">Synthetic demo data</t>
        </is>
      </c>
      <c r="BE43" s="45">
        <f>IF(OR($A43="",$L43="",$H43=""),"",IF(AND(LEFT($L43,2)="06",$H43&gt;1945),"FAIL - pre-war class, year "&amp;$H43,IF(AND(LEFT($L43,2)="07",OR($H43&lt;1946,$H43&gt;1972)),"FAIL - 1946-72 class, year "&amp;$H43,IF(AND(LEFT($L43,2)="08",OR($H43&lt;1973,$H43&gt;1999)),"FAIL - 1973-99 class, year "&amp;$H43,IF(AND(LEFT($L43,2)="09",OR($H43&lt;2000,$H43&gt;2010)),"FAIL - 2000-10 class, year "&amp;$H43,"OK")))))</f>
      </c>
      <c r="BF43" s="45">
        <f>IF($AD43="","",IF(ROUND($AO43+$AP43+$AQ43-$AD43,2)=0,"OK","FAIL - out by "&amp;TEXT($AO43+$AP43+$AQ43-$AD43,"$0.00")))</f>
      </c>
    </row>
    <row r="44" spans="1:58" ht="18.75" customHeight="1" x14ac:dyDescent="0.25">
      <c r="A44" s="46" t="inlineStr">
        <is>
          <t xml:space="preserve">CANON-202606-008459</t>
        </is>
      </c>
      <c r="B44" s="46" t="inlineStr">
        <is>
          <t xml:space="preserve">Delphine Delacroix</t>
        </is>
      </c>
      <c r="C44" s="47">
        <v>46183</v>
      </c>
      <c r="D44" s="48" t="inlineStr">
        <is>
          <t xml:space="preserve">Bound - within authority</t>
        </is>
      </c>
      <c r="E44" s="48" t="inlineStr">
        <is>
          <t xml:space="preserve">New business</t>
        </is>
      </c>
      <c r="F44" s="46" t="inlineStr">
        <is>
          <t xml:space="preserve">B1234EXOTIC26</t>
        </is>
      </c>
      <c r="G44" s="33">
        <f>IF($A44="","",IF($C44="","",YEAR($C44)))</f>
      </c>
      <c r="H44" s="49">
        <v>2005</v>
      </c>
      <c r="I44" s="46" t="inlineStr">
        <is>
          <t xml:space="preserve">Maserati</t>
        </is>
      </c>
      <c r="J44" s="46" t="inlineStr">
        <is>
          <t xml:space="preserve">GranTurismo</t>
        </is>
      </c>
      <c r="K44" s="46" t="inlineStr">
        <is>
          <t xml:space="preserve">S8C4SZ89SSDPSWP4J</t>
        </is>
      </c>
      <c r="L44" s="48" t="inlineStr">
        <is>
          <t xml:space="preserve">02 - Sports / GT</t>
        </is>
      </c>
      <c r="M44" s="50">
        <v>540000</v>
      </c>
      <c r="N44" s="48" t="inlineStr">
        <is>
          <t xml:space="preserve">Personal</t>
        </is>
      </c>
      <c r="O44" s="46" t="inlineStr">
        <is>
          <t xml:space="preserve">Personal - regular use</t>
        </is>
      </c>
      <c r="P44" s="46" t="inlineStr">
        <is>
          <t xml:space="preserve">1,000 - 2,500</t>
        </is>
      </c>
      <c r="Q44" s="46" t="inlineStr">
        <is>
          <t xml:space="preserve">Nevada</t>
        </is>
      </c>
      <c r="R44" s="46" t="inlineStr">
        <is>
          <t xml:space="preserve">89101</t>
        </is>
      </c>
      <c r="S44" s="48" t="inlineStr">
        <is>
          <t xml:space="preserve">Wildfire - WUI high hazard</t>
        </is>
      </c>
      <c r="T44" s="36">
        <f>IF($A44="","",IF($S44="","",IFERROR(INDEX('[1]natural catastrophe'!$D$6:$D$17,MATCH($S44,'[1]natural catastrophe'!$B$6:$B$17,0)),"?")))</f>
      </c>
      <c r="U44" s="46" t="inlineStr">
        <is>
          <t xml:space="preserve">$5,000</t>
        </is>
      </c>
      <c r="V44" s="48" t="inlineStr">
        <is>
          <t xml:space="preserve">Agreed Value</t>
        </is>
      </c>
      <c r="W44" s="46" t="inlineStr">
        <is>
          <t xml:space="preserve">$1,000</t>
        </is>
      </c>
      <c r="X44" s="48" t="inlineStr">
        <is>
          <t xml:space="preserve">$1,000,000 CSL</t>
        </is>
      </c>
      <c r="Y44" s="46"/>
      <c r="Z44" s="46"/>
      <c r="AA44" s="48" t="inlineStr">
        <is>
          <t xml:space="preserve">Surplus Lines</t>
        </is>
      </c>
      <c r="AB44" s="50">
        <v>5926.05</v>
      </c>
      <c r="AC44" s="51">
        <v>0</v>
      </c>
      <c r="AD44" s="38">
        <f>IF(ISNUMBER($AB44),$AB44*(1+N($AC44)),"")</f>
      </c>
      <c r="AE44" s="50">
        <v>350</v>
      </c>
      <c r="AF44" s="50">
        <v>0</v>
      </c>
      <c r="AG44" s="51"/>
      <c r="AH44" s="39">
        <f>IF(ISNUMBER($AD44),($AD44+$AE44+$AF44)*$AG44,"")</f>
      </c>
      <c r="AI44" s="50"/>
      <c r="AJ44" s="38">
        <f>IF(ISNUMBER($AD44),SUM($AD44:$AH44),"")</f>
      </c>
      <c r="AK44" s="40">
        <f>IF(AND(ISNUMBER($AB44),ISNUMBER($AD44)),IF($AB44&gt;0,$AD44/$AB44,""),"")</f>
      </c>
      <c r="AL44" s="48" t="inlineStr">
        <is>
          <t xml:space="preserve">At technical</t>
        </is>
      </c>
      <c r="AM44" s="41">
        <f>IF(ISNUMBER($AD44),Header!$I$3,"")</f>
      </c>
      <c r="AN44" s="39">
        <f>IF(ISNUMBER($AD44),$AO44+$AP44,"")</f>
      </c>
      <c r="AO44" s="39">
        <f>IF(ISNUMBER($AD44),ROUND($AD44*Header!$K$3,2),"")</f>
      </c>
      <c r="AP44" s="39">
        <f>IF(ISNUMBER($AD44),ROUND($AD44*Header!$M$3,2),"")</f>
      </c>
      <c r="AQ44" s="38">
        <f>IF(ISNUMBER($AD44),ROUND($AD44,2)-$AO44-$AP44,"")</f>
      </c>
      <c r="AR44" s="39">
        <f>IF(ISNUMBER($AD44),IF(Header!$D$34="","?",$AD44*Header!$D$34),"")</f>
      </c>
      <c r="AS44" s="39">
        <f>IF(ISNUMBER($AB44),IF(Header!$D$34="","?",$AB44*Header!$D$34),"")</f>
      </c>
      <c r="AT44" s="42">
        <f>IF(AND(ISNUMBER($AB44),$M44&gt;0),$AB44/$M44*100,"")</f>
      </c>
      <c r="AU44" s="42">
        <f>IF(AND(ISNUMBER($AD44),$M44&gt;0),$AD44/$M44*100,"")</f>
      </c>
      <c r="AV44" s="40">
        <f>IF(AND(ISNUMBER($AB44),ISNUMBER($AD44),ABS($AB44)&gt;0),$AD44/$AB44,"")</f>
      </c>
      <c r="AW44" s="39">
        <f>IF(ISNUMBER($AD44),MAX(0,(1-0.55-Header!$O$3)*Header!$Q$3*$AQ44),"")</f>
      </c>
      <c r="AX44" s="43">
        <f>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c>
      <c r="AY44" s="44">
        <f>IF($M44="","",IF(ISNUMBER($M44),IF($M44&gt;=Header!$C$18,"YES — refer","No"),""))</f>
      </c>
      <c r="AZ44" s="44">
        <f>IF($AD44="","",IF(ISNUMBER($AD44),IF($AD44&lt;Header!$C$20,"BELOW MIN PREMIUM","OK"),""))</f>
      </c>
      <c r="BA44" s="48" t="inlineStr">
        <is>
          <t xml:space="preserve">Yes</t>
        </is>
      </c>
      <c r="BB44" s="48" t="inlineStr">
        <is>
          <t xml:space="preserve">Yes</t>
        </is>
      </c>
      <c r="BC44" s="46" t="inlineStr">
        <is>
          <t xml:space="preserve">Synthetic demo data</t>
        </is>
      </c>
      <c r="BE44" s="45">
        <f>IF(OR($A44="",$L44="",$H44=""),"",IF(AND(LEFT($L44,2)="06",$H44&gt;1945),"FAIL - pre-war class, year "&amp;$H44,IF(AND(LEFT($L44,2)="07",OR($H44&lt;1946,$H44&gt;1972)),"FAIL - 1946-72 class, year "&amp;$H44,IF(AND(LEFT($L44,2)="08",OR($H44&lt;1973,$H44&gt;1999)),"FAIL - 1973-99 class, year "&amp;$H44,IF(AND(LEFT($L44,2)="09",OR($H44&lt;2000,$H44&gt;2010)),"FAIL - 2000-10 class, year "&amp;$H44,"OK")))))</f>
      </c>
      <c r="BF44" s="45">
        <f>IF($AD44="","",IF(ROUND($AO44+$AP44+$AQ44-$AD44,2)=0,"OK","FAIL - out by "&amp;TEXT($AO44+$AP44+$AQ44-$AD44,"$0.00")))</f>
      </c>
    </row>
    <row r="45" spans="1:58" ht="18.75" customHeight="1" x14ac:dyDescent="0.25">
      <c r="A45" s="30" t="inlineStr">
        <is>
          <t xml:space="preserve">CANON-202606-008460</t>
        </is>
      </c>
      <c r="B45" s="30" t="inlineStr">
        <is>
          <t xml:space="preserve">Thaddeus Farkas</t>
        </is>
      </c>
      <c r="C45" s="31">
        <v>46181</v>
      </c>
      <c r="D45" s="32" t="inlineStr">
        <is>
          <t xml:space="preserve">Bound - within authority</t>
        </is>
      </c>
      <c r="E45" s="32" t="inlineStr">
        <is>
          <t xml:space="preserve">New business</t>
        </is>
      </c>
      <c r="F45" s="30" t="inlineStr">
        <is>
          <t xml:space="preserve">B1234EXOTIC26</t>
        </is>
      </c>
      <c r="G45" s="33">
        <f>IF($A45="","",IF($C45="","",YEAR($C45)))</f>
      </c>
      <c r="H45" s="34">
        <v>2012</v>
      </c>
      <c r="I45" s="30" t="inlineStr">
        <is>
          <t xml:space="preserve">Ferrari</t>
        </is>
      </c>
      <c r="J45" s="30" t="inlineStr">
        <is>
          <t xml:space="preserve">296 GTB</t>
        </is>
      </c>
      <c r="K45" s="30" t="inlineStr">
        <is>
          <t xml:space="preserve">HKNZWUWLS2BZ1RL38</t>
        </is>
      </c>
      <c r="L45" s="32" t="inlineStr">
        <is>
          <t xml:space="preserve">03 - Supercar</t>
        </is>
      </c>
      <c r="M45" s="35">
        <v>645000</v>
      </c>
      <c r="N45" s="32" t="inlineStr">
        <is>
          <t xml:space="preserve">Personal</t>
        </is>
      </c>
      <c r="O45" s="30" t="inlineStr">
        <is>
          <t xml:space="preserve">Personal - regular use</t>
        </is>
      </c>
      <c r="P45" s="30" t="inlineStr">
        <is>
          <t xml:space="preserve">Under 1,000</t>
        </is>
      </c>
      <c r="Q45" s="30" t="inlineStr">
        <is>
          <t xml:space="preserve">Florida</t>
        </is>
      </c>
      <c r="R45" s="30" t="inlineStr">
        <is>
          <t xml:space="preserve">33139</t>
        </is>
      </c>
      <c r="S45" s="32" t="inlineStr">
        <is>
          <t xml:space="preserve">Tier 2 - Coastal wind (1-25 miles)</t>
        </is>
      </c>
      <c r="T45" s="36">
        <f>IF($A45="","",IF($S45="","",IFERROR(INDEX('[1]natural catastrophe'!$D$6:$D$17,MATCH($S45,'[1]natural catastrophe'!$B$6:$B$17,0)),"?")))</f>
      </c>
      <c r="U45" s="30" t="inlineStr">
        <is>
          <t xml:space="preserve">2% of agreed value, minimum $10,000</t>
        </is>
      </c>
      <c r="V45" s="32" t="inlineStr">
        <is>
          <t xml:space="preserve">Agreed Value</t>
        </is>
      </c>
      <c r="W45" s="30" t="inlineStr">
        <is>
          <t xml:space="preserve">$1,000</t>
        </is>
      </c>
      <c r="X45" s="32" t="inlineStr">
        <is>
          <t xml:space="preserve">$1,000,000 CSL</t>
        </is>
      </c>
      <c r="Y45" s="30"/>
      <c r="Z45" s="30"/>
      <c r="AA45" s="32" t="inlineStr">
        <is>
          <t xml:space="preserve">Surplus Lines</t>
        </is>
      </c>
      <c r="AB45" s="35">
        <v>12555.78</v>
      </c>
      <c r="AC45" s="37">
        <v>0</v>
      </c>
      <c r="AD45" s="38">
        <f>IF(ISNUMBER($AB45),$AB45*(1+N($AC45)),"")</f>
      </c>
      <c r="AE45" s="35">
        <v>350</v>
      </c>
      <c r="AF45" s="35">
        <v>0</v>
      </c>
      <c r="AG45" s="37"/>
      <c r="AH45" s="39">
        <f>IF(ISNUMBER($AD45),($AD45+$AE45+$AF45)*$AG45,"")</f>
      </c>
      <c r="AI45" s="35"/>
      <c r="AJ45" s="38">
        <f>IF(ISNUMBER($AD45),SUM($AD45:$AH45),"")</f>
      </c>
      <c r="AK45" s="40">
        <f>IF(AND(ISNUMBER($AB45),ISNUMBER($AD45)),IF($AB45&gt;0,$AD45/$AB45,""),"")</f>
      </c>
      <c r="AL45" s="32" t="inlineStr">
        <is>
          <t xml:space="preserve">At technical</t>
        </is>
      </c>
      <c r="AM45" s="41">
        <f>IF(ISNUMBER($AD45),Header!$I$3,"")</f>
      </c>
      <c r="AN45" s="39">
        <f>IF(ISNUMBER($AD45),$AO45+$AP45,"")</f>
      </c>
      <c r="AO45" s="39">
        <f>IF(ISNUMBER($AD45),ROUND($AD45*Header!$K$3,2),"")</f>
      </c>
      <c r="AP45" s="39">
        <f>IF(ISNUMBER($AD45),ROUND($AD45*Header!$M$3,2),"")</f>
      </c>
      <c r="AQ45" s="38">
        <f>IF(ISNUMBER($AD45),ROUND($AD45,2)-$AO45-$AP45,"")</f>
      </c>
      <c r="AR45" s="39">
        <f>IF(ISNUMBER($AD45),IF(Header!$D$34="","?",$AD45*Header!$D$34),"")</f>
      </c>
      <c r="AS45" s="39">
        <f>IF(ISNUMBER($AB45),IF(Header!$D$34="","?",$AB45*Header!$D$34),"")</f>
      </c>
      <c r="AT45" s="42">
        <f>IF(AND(ISNUMBER($AB45),$M45&gt;0),$AB45/$M45*100,"")</f>
      </c>
      <c r="AU45" s="42">
        <f>IF(AND(ISNUMBER($AD45),$M45&gt;0),$AD45/$M45*100,"")</f>
      </c>
      <c r="AV45" s="40">
        <f>IF(AND(ISNUMBER($AB45),ISNUMBER($AD45),ABS($AB45)&gt;0),$AD45/$AB45,"")</f>
      </c>
      <c r="AW45" s="39">
        <f>IF(ISNUMBER($AD45),MAX(0,(1-0.55-Header!$O$3)*Header!$Q$3*$AQ45),"")</f>
      </c>
      <c r="AX45" s="43">
        <f>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c>
      <c r="AY45" s="44">
        <f>IF($M45="","",IF(ISNUMBER($M45),IF($M45&gt;=Header!$C$18,"YES — refer","No"),""))</f>
      </c>
      <c r="AZ45" s="44">
        <f>IF($AD45="","",IF(ISNUMBER($AD45),IF($AD45&lt;Header!$C$20,"BELOW MIN PREMIUM","OK"),""))</f>
      </c>
      <c r="BA45" s="32" t="inlineStr">
        <is>
          <t xml:space="preserve">Yes</t>
        </is>
      </c>
      <c r="BB45" s="32" t="inlineStr">
        <is>
          <t xml:space="preserve">Yes</t>
        </is>
      </c>
      <c r="BC45" s="30" t="inlineStr">
        <is>
          <t xml:space="preserve">Synthetic demo data</t>
        </is>
      </c>
      <c r="BE45" s="45">
        <f>IF(OR($A45="",$L45="",$H45=""),"",IF(AND(LEFT($L45,2)="06",$H45&gt;1945),"FAIL - pre-war class, year "&amp;$H45,IF(AND(LEFT($L45,2)="07",OR($H45&lt;1946,$H45&gt;1972)),"FAIL - 1946-72 class, year "&amp;$H45,IF(AND(LEFT($L45,2)="08",OR($H45&lt;1973,$H45&gt;1999)),"FAIL - 1973-99 class, year "&amp;$H45,IF(AND(LEFT($L45,2)="09",OR($H45&lt;2000,$H45&gt;2010)),"FAIL - 2000-10 class, year "&amp;$H45,"OK")))))</f>
      </c>
      <c r="BF45" s="45">
        <f>IF($AD45="","",IF(ROUND($AO45+$AP45+$AQ45-$AD45,2)=0,"OK","FAIL - out by "&amp;TEXT($AO45+$AP45+$AQ45-$AD45,"$0.00")))</f>
      </c>
    </row>
    <row r="46" spans="1:58" ht="18.75" customHeight="1" x14ac:dyDescent="0.25">
      <c r="A46" s="46" t="inlineStr">
        <is>
          <t xml:space="preserve">CANON-202606-008461</t>
        </is>
      </c>
      <c r="B46" s="46" t="inlineStr">
        <is>
          <t xml:space="preserve">Marisol Rourke</t>
        </is>
      </c>
      <c r="C46" s="47">
        <v>46191</v>
      </c>
      <c r="D46" s="48" t="inlineStr">
        <is>
          <t xml:space="preserve">Bound - within authority</t>
        </is>
      </c>
      <c r="E46" s="48" t="inlineStr">
        <is>
          <t xml:space="preserve">New business</t>
        </is>
      </c>
      <c r="F46" s="46" t="inlineStr">
        <is>
          <t xml:space="preserve">B1234EXOTIC26</t>
        </is>
      </c>
      <c r="G46" s="33">
        <f>IF($A46="","",IF($C46="","",YEAR($C46)))</f>
      </c>
      <c r="H46" s="49">
        <v>1970</v>
      </c>
      <c r="I46" s="46" t="inlineStr">
        <is>
          <t xml:space="preserve">Maserati</t>
        </is>
      </c>
      <c r="J46" s="46" t="inlineStr">
        <is>
          <t xml:space="preserve">GranTurismo</t>
        </is>
      </c>
      <c r="K46" s="46" t="inlineStr">
        <is>
          <t xml:space="preserve">FUB0KWY8BZDZNZR60</t>
        </is>
      </c>
      <c r="L46" s="48" t="inlineStr">
        <is>
          <t xml:space="preserve">02 - Sports / GT</t>
        </is>
      </c>
      <c r="M46" s="50">
        <v>585000</v>
      </c>
      <c r="N46" s="48" t="inlineStr">
        <is>
          <t xml:space="preserve">Personal</t>
        </is>
      </c>
      <c r="O46" s="46" t="inlineStr">
        <is>
          <t xml:space="preserve">Personal - regular use</t>
        </is>
      </c>
      <c r="P46" s="46" t="inlineStr">
        <is>
          <t xml:space="preserve">2,500 - 5,000</t>
        </is>
      </c>
      <c r="Q46" s="46" t="inlineStr">
        <is>
          <t xml:space="preserve">Arkansas</t>
        </is>
      </c>
      <c r="R46" s="46" t="inlineStr">
        <is>
          <t xml:space="preserve">72201</t>
        </is>
      </c>
      <c r="S46" s="48" t="inlineStr">
        <is>
          <t xml:space="preserve">Severe convective - hail / tornado (moderate)</t>
        </is>
      </c>
      <c r="T46" s="36">
        <f>IF($A46="","",IF($S46="","",IFERROR(INDEX('[1]natural catastrophe'!$D$6:$D$17,MATCH($S46,'[1]natural catastrophe'!$B$6:$B$17,0)),"?")))</f>
      </c>
      <c r="U46" s="46" t="inlineStr">
        <is>
          <t xml:space="preserve">$5,000</t>
        </is>
      </c>
      <c r="V46" s="48" t="inlineStr">
        <is>
          <t xml:space="preserve">Agreed Value</t>
        </is>
      </c>
      <c r="W46" s="46" t="inlineStr">
        <is>
          <t xml:space="preserve">$1,000</t>
        </is>
      </c>
      <c r="X46" s="48" t="inlineStr">
        <is>
          <t xml:space="preserve">$1,000,000 CSL</t>
        </is>
      </c>
      <c r="Y46" s="46"/>
      <c r="Z46" s="46"/>
      <c r="AA46" s="48" t="inlineStr">
        <is>
          <t xml:space="preserve">Surplus Lines</t>
        </is>
      </c>
      <c r="AB46" s="50">
        <v>7572.17</v>
      </c>
      <c r="AC46" s="51">
        <v>0</v>
      </c>
      <c r="AD46" s="38">
        <f>IF(ISNUMBER($AB46),$AB46*(1+N($AC46)),"")</f>
      </c>
      <c r="AE46" s="50">
        <v>350</v>
      </c>
      <c r="AF46" s="50">
        <v>0</v>
      </c>
      <c r="AG46" s="51"/>
      <c r="AH46" s="39">
        <f>IF(ISNUMBER($AD46),($AD46+$AE46+$AF46)*$AG46,"")</f>
      </c>
      <c r="AI46" s="50"/>
      <c r="AJ46" s="38">
        <f>IF(ISNUMBER($AD46),SUM($AD46:$AH46),"")</f>
      </c>
      <c r="AK46" s="40">
        <f>IF(AND(ISNUMBER($AB46),ISNUMBER($AD46)),IF($AB46&gt;0,$AD46/$AB46,""),"")</f>
      </c>
      <c r="AL46" s="48" t="inlineStr">
        <is>
          <t xml:space="preserve">At technical</t>
        </is>
      </c>
      <c r="AM46" s="41">
        <f>IF(ISNUMBER($AD46),Header!$I$3,"")</f>
      </c>
      <c r="AN46" s="39">
        <f>IF(ISNUMBER($AD46),$AO46+$AP46,"")</f>
      </c>
      <c r="AO46" s="39">
        <f>IF(ISNUMBER($AD46),ROUND($AD46*Header!$K$3,2),"")</f>
      </c>
      <c r="AP46" s="39">
        <f>IF(ISNUMBER($AD46),ROUND($AD46*Header!$M$3,2),"")</f>
      </c>
      <c r="AQ46" s="38">
        <f>IF(ISNUMBER($AD46),ROUND($AD46,2)-$AO46-$AP46,"")</f>
      </c>
      <c r="AR46" s="39">
        <f>IF(ISNUMBER($AD46),IF(Header!$D$34="","?",$AD46*Header!$D$34),"")</f>
      </c>
      <c r="AS46" s="39">
        <f>IF(ISNUMBER($AB46),IF(Header!$D$34="","?",$AB46*Header!$D$34),"")</f>
      </c>
      <c r="AT46" s="42">
        <f>IF(AND(ISNUMBER($AB46),$M46&gt;0),$AB46/$M46*100,"")</f>
      </c>
      <c r="AU46" s="42">
        <f>IF(AND(ISNUMBER($AD46),$M46&gt;0),$AD46/$M46*100,"")</f>
      </c>
      <c r="AV46" s="40">
        <f>IF(AND(ISNUMBER($AB46),ISNUMBER($AD46),ABS($AB46)&gt;0),$AD46/$AB46,"")</f>
      </c>
      <c r="AW46" s="39">
        <f>IF(ISNUMBER($AD46),MAX(0,(1-0.55-Header!$O$3)*Header!$Q$3*$AQ46),"")</f>
      </c>
      <c r="AX46" s="43">
        <f>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c>
      <c r="AY46" s="44">
        <f>IF($M46="","",IF(ISNUMBER($M46),IF($M46&gt;=Header!$C$18,"YES — refer","No"),""))</f>
      </c>
      <c r="AZ46" s="44">
        <f>IF($AD46="","",IF(ISNUMBER($AD46),IF($AD46&lt;Header!$C$20,"BELOW MIN PREMIUM","OK"),""))</f>
      </c>
      <c r="BA46" s="48" t="inlineStr">
        <is>
          <t xml:space="preserve">Yes</t>
        </is>
      </c>
      <c r="BB46" s="48" t="inlineStr">
        <is>
          <t xml:space="preserve">Yes</t>
        </is>
      </c>
      <c r="BC46" s="46" t="inlineStr">
        <is>
          <t xml:space="preserve">Synthetic demo data</t>
        </is>
      </c>
      <c r="BE46" s="45">
        <f>IF(OR($A46="",$L46="",$H46=""),"",IF(AND(LEFT($L46,2)="06",$H46&gt;1945),"FAIL - pre-war class, year "&amp;$H46,IF(AND(LEFT($L46,2)="07",OR($H46&lt;1946,$H46&gt;1972)),"FAIL - 1946-72 class, year "&amp;$H46,IF(AND(LEFT($L46,2)="08",OR($H46&lt;1973,$H46&gt;1999)),"FAIL - 1973-99 class, year "&amp;$H46,IF(AND(LEFT($L46,2)="09",OR($H46&lt;2000,$H46&gt;2010)),"FAIL - 2000-10 class, year "&amp;$H46,"OK")))))</f>
      </c>
      <c r="BF46" s="45">
        <f>IF($AD46="","",IF(ROUND($AO46+$AP46+$AQ46-$AD46,2)=0,"OK","FAIL - out by "&amp;TEXT($AO46+$AP46+$AQ46-$AD46,"$0.00")))</f>
      </c>
    </row>
    <row r="47" spans="1:58" ht="18.75" customHeight="1" x14ac:dyDescent="0.25">
      <c r="A47" s="30" t="inlineStr">
        <is>
          <t xml:space="preserve">CANON-202606-008462</t>
        </is>
      </c>
      <c r="B47" s="30" t="inlineStr">
        <is>
          <t xml:space="preserve">Noor Montoya</t>
        </is>
      </c>
      <c r="C47" s="31">
        <v>46181</v>
      </c>
      <c r="D47" s="32" t="inlineStr">
        <is>
          <t xml:space="preserve">Bound - within authority</t>
        </is>
      </c>
      <c r="E47" s="32" t="inlineStr">
        <is>
          <t xml:space="preserve">New business</t>
        </is>
      </c>
      <c r="F47" s="30" t="inlineStr">
        <is>
          <t xml:space="preserve">B1234EXOTIC26</t>
        </is>
      </c>
      <c r="G47" s="33">
        <f>IF($A47="","",IF($C47="","",YEAR($C47)))</f>
      </c>
      <c r="H47" s="34">
        <v>2010</v>
      </c>
      <c r="I47" s="30" t="inlineStr">
        <is>
          <t xml:space="preserve">Porsche</t>
        </is>
      </c>
      <c r="J47" s="30" t="inlineStr">
        <is>
          <t xml:space="preserve">911 Turbo S</t>
        </is>
      </c>
      <c r="K47" s="30" t="inlineStr">
        <is>
          <t xml:space="preserve">D4G2J53N46GVT0S67</t>
        </is>
      </c>
      <c r="L47" s="32" t="inlineStr">
        <is>
          <t xml:space="preserve">02 - Sports / GT</t>
        </is>
      </c>
      <c r="M47" s="35">
        <v>425000</v>
      </c>
      <c r="N47" s="32" t="inlineStr">
        <is>
          <t xml:space="preserve">Personal</t>
        </is>
      </c>
      <c r="O47" s="30" t="inlineStr">
        <is>
          <t xml:space="preserve">Personal - regular use</t>
        </is>
      </c>
      <c r="P47" s="30" t="inlineStr">
        <is>
          <t xml:space="preserve">Under 1,000</t>
        </is>
      </c>
      <c r="Q47" s="30" t="inlineStr">
        <is>
          <t xml:space="preserve">New Jersey</t>
        </is>
      </c>
      <c r="R47" s="30" t="inlineStr">
        <is>
          <t xml:space="preserve">07102</t>
        </is>
      </c>
      <c r="S47" s="32" t="inlineStr">
        <is>
          <t xml:space="preserve">Tier 3 - Coastal wind (25-100 miles)</t>
        </is>
      </c>
      <c r="T47" s="36">
        <f>IF($A47="","",IF($S47="","",IFERROR(INDEX('[1]natural catastrophe'!$D$6:$D$17,MATCH($S47,'[1]natural catastrophe'!$B$6:$B$17,0)),"?")))</f>
      </c>
      <c r="U47" s="30" t="inlineStr">
        <is>
          <t xml:space="preserve">2% of agreed value, minimum $10,000</t>
        </is>
      </c>
      <c r="V47" s="32" t="inlineStr">
        <is>
          <t xml:space="preserve">Agreed Value</t>
        </is>
      </c>
      <c r="W47" s="30" t="inlineStr">
        <is>
          <t xml:space="preserve">$1,000</t>
        </is>
      </c>
      <c r="X47" s="32" t="inlineStr">
        <is>
          <t xml:space="preserve">$1,000,000 CSL</t>
        </is>
      </c>
      <c r="Y47" s="30"/>
      <c r="Z47" s="30"/>
      <c r="AA47" s="32" t="inlineStr">
        <is>
          <t xml:space="preserve">Surplus Lines</t>
        </is>
      </c>
      <c r="AB47" s="35">
        <v>4185.66</v>
      </c>
      <c r="AC47" s="37">
        <v>0</v>
      </c>
      <c r="AD47" s="38">
        <f>IF(ISNUMBER($AB47),$AB47*(1+N($AC47)),"")</f>
      </c>
      <c r="AE47" s="35">
        <v>350</v>
      </c>
      <c r="AF47" s="35">
        <v>0</v>
      </c>
      <c r="AG47" s="37"/>
      <c r="AH47" s="39">
        <f>IF(ISNUMBER($AD47),($AD47+$AE47+$AF47)*$AG47,"")</f>
      </c>
      <c r="AI47" s="35"/>
      <c r="AJ47" s="38">
        <f>IF(ISNUMBER($AD47),SUM($AD47:$AH47),"")</f>
      </c>
      <c r="AK47" s="40">
        <f>IF(AND(ISNUMBER($AB47),ISNUMBER($AD47)),IF($AB47&gt;0,$AD47/$AB47,""),"")</f>
      </c>
      <c r="AL47" s="32" t="inlineStr">
        <is>
          <t xml:space="preserve">At technical</t>
        </is>
      </c>
      <c r="AM47" s="41">
        <f>IF(ISNUMBER($AD47),Header!$I$3,"")</f>
      </c>
      <c r="AN47" s="39">
        <f>IF(ISNUMBER($AD47),$AO47+$AP47,"")</f>
      </c>
      <c r="AO47" s="39">
        <f>IF(ISNUMBER($AD47),ROUND($AD47*Header!$K$3,2),"")</f>
      </c>
      <c r="AP47" s="39">
        <f>IF(ISNUMBER($AD47),ROUND($AD47*Header!$M$3,2),"")</f>
      </c>
      <c r="AQ47" s="38">
        <f>IF(ISNUMBER($AD47),ROUND($AD47,2)-$AO47-$AP47,"")</f>
      </c>
      <c r="AR47" s="39">
        <f>IF(ISNUMBER($AD47),IF(Header!$D$34="","?",$AD47*Header!$D$34),"")</f>
      </c>
      <c r="AS47" s="39">
        <f>IF(ISNUMBER($AB47),IF(Header!$D$34="","?",$AB47*Header!$D$34),"")</f>
      </c>
      <c r="AT47" s="42">
        <f>IF(AND(ISNUMBER($AB47),$M47&gt;0),$AB47/$M47*100,"")</f>
      </c>
      <c r="AU47" s="42">
        <f>IF(AND(ISNUMBER($AD47),$M47&gt;0),$AD47/$M47*100,"")</f>
      </c>
      <c r="AV47" s="40">
        <f>IF(AND(ISNUMBER($AB47),ISNUMBER($AD47),ABS($AB47)&gt;0),$AD47/$AB47,"")</f>
      </c>
      <c r="AW47" s="39">
        <f>IF(ISNUMBER($AD47),MAX(0,(1-0.55-Header!$O$3)*Header!$Q$3*$AQ47),"")</f>
      </c>
      <c r="AX47" s="43">
        <f>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c>
      <c r="AY47" s="44">
        <f>IF($M47="","",IF(ISNUMBER($M47),IF($M47&gt;=Header!$C$18,"YES — refer","No"),""))</f>
      </c>
      <c r="AZ47" s="44">
        <f>IF($AD47="","",IF(ISNUMBER($AD47),IF($AD47&lt;Header!$C$20,"BELOW MIN PREMIUM","OK"),""))</f>
      </c>
      <c r="BA47" s="32" t="inlineStr">
        <is>
          <t xml:space="preserve">Yes</t>
        </is>
      </c>
      <c r="BB47" s="32" t="inlineStr">
        <is>
          <t xml:space="preserve">Yes</t>
        </is>
      </c>
      <c r="BC47" s="30" t="inlineStr">
        <is>
          <t xml:space="preserve">Synthetic demo data</t>
        </is>
      </c>
      <c r="BE47" s="45">
        <f>IF(OR($A47="",$L47="",$H47=""),"",IF(AND(LEFT($L47,2)="06",$H47&gt;1945),"FAIL - pre-war class, year "&amp;$H47,IF(AND(LEFT($L47,2)="07",OR($H47&lt;1946,$H47&gt;1972)),"FAIL - 1946-72 class, year "&amp;$H47,IF(AND(LEFT($L47,2)="08",OR($H47&lt;1973,$H47&gt;1999)),"FAIL - 1973-99 class, year "&amp;$H47,IF(AND(LEFT($L47,2)="09",OR($H47&lt;2000,$H47&gt;2010)),"FAIL - 2000-10 class, year "&amp;$H47,"OK")))))</f>
      </c>
      <c r="BF47" s="45">
        <f>IF($AD47="","",IF(ROUND($AO47+$AP47+$AQ47-$AD47,2)=0,"OK","FAIL - out by "&amp;TEXT($AO47+$AP47+$AQ47-$AD47,"$0.00")))</f>
      </c>
    </row>
    <row r="48" spans="1:58" ht="18.75" customHeight="1" x14ac:dyDescent="0.25">
      <c r="A48" s="46" t="inlineStr">
        <is>
          <t xml:space="preserve">CANON-202606-008464</t>
        </is>
      </c>
      <c r="B48" s="46" t="inlineStr">
        <is>
          <t xml:space="preserve">Delphine Montoya</t>
        </is>
      </c>
      <c r="C48" s="47">
        <v>46182</v>
      </c>
      <c r="D48" s="48" t="inlineStr">
        <is>
          <t xml:space="preserve">Bound - within authority</t>
        </is>
      </c>
      <c r="E48" s="48" t="inlineStr">
        <is>
          <t xml:space="preserve">New business</t>
        </is>
      </c>
      <c r="F48" s="46" t="inlineStr">
        <is>
          <t xml:space="preserve">B1234EXOTIC26</t>
        </is>
      </c>
      <c r="G48" s="33">
        <f>IF($A48="","",IF($C48="","",YEAR($C48)))</f>
      </c>
      <c r="H48" s="49">
        <v>1958</v>
      </c>
      <c r="I48" s="46" t="inlineStr">
        <is>
          <t xml:space="preserve">Bentley</t>
        </is>
      </c>
      <c r="J48" s="46" t="inlineStr">
        <is>
          <t xml:space="preserve">Continental GT</t>
        </is>
      </c>
      <c r="K48" s="46" t="inlineStr">
        <is>
          <t xml:space="preserve">9HVG1PK8ABFZK36NF</t>
        </is>
      </c>
      <c r="L48" s="48" t="inlineStr">
        <is>
          <t xml:space="preserve">02 - Sports / GT</t>
        </is>
      </c>
      <c r="M48" s="50">
        <v>745000</v>
      </c>
      <c r="N48" s="48" t="inlineStr">
        <is>
          <t xml:space="preserve">Personal</t>
        </is>
      </c>
      <c r="O48" s="46" t="inlineStr">
        <is>
          <t xml:space="preserve">Personal - regular use</t>
        </is>
      </c>
      <c r="P48" s="46" t="inlineStr">
        <is>
          <t xml:space="preserve">2,500 - 5,000</t>
        </is>
      </c>
      <c r="Q48" s="46" t="inlineStr">
        <is>
          <t xml:space="preserve">Rhode Island</t>
        </is>
      </c>
      <c r="R48" s="46" t="inlineStr">
        <is>
          <t xml:space="preserve">02903</t>
        </is>
      </c>
      <c r="S48" s="48" t="inlineStr">
        <is>
          <t xml:space="preserve">Tier 3 - Coastal wind (25-100 miles)</t>
        </is>
      </c>
      <c r="T48" s="36">
        <f>IF($A48="","",IF($S48="","",IFERROR(INDEX('[1]natural catastrophe'!$D$6:$D$17,MATCH($S48,'[1]natural catastrophe'!$B$6:$B$17,0)),"?")))</f>
      </c>
      <c r="U48" s="46" t="inlineStr">
        <is>
          <t xml:space="preserve">2% of agreed value, minimum $10,000</t>
        </is>
      </c>
      <c r="V48" s="48" t="inlineStr">
        <is>
          <t xml:space="preserve">Agreed Value</t>
        </is>
      </c>
      <c r="W48" s="46" t="inlineStr">
        <is>
          <t xml:space="preserve">$1,000</t>
        </is>
      </c>
      <c r="X48" s="48" t="inlineStr">
        <is>
          <t xml:space="preserve">$1,000,000 CSL</t>
        </is>
      </c>
      <c r="Y48" s="46"/>
      <c r="Z48" s="46"/>
      <c r="AA48" s="48" t="inlineStr">
        <is>
          <t xml:space="preserve">Surplus Lines</t>
        </is>
      </c>
      <c r="AB48" s="50">
        <v>9573.32</v>
      </c>
      <c r="AC48" s="51">
        <v>0</v>
      </c>
      <c r="AD48" s="38">
        <f>IF(ISNUMBER($AB48),$AB48*(1+N($AC48)),"")</f>
      </c>
      <c r="AE48" s="50">
        <v>350</v>
      </c>
      <c r="AF48" s="50">
        <v>0</v>
      </c>
      <c r="AG48" s="51"/>
      <c r="AH48" s="39">
        <f>IF(ISNUMBER($AD48),($AD48+$AE48+$AF48)*$AG48,"")</f>
      </c>
      <c r="AI48" s="50"/>
      <c r="AJ48" s="38">
        <f>IF(ISNUMBER($AD48),SUM($AD48:$AH48),"")</f>
      </c>
      <c r="AK48" s="40">
        <f>IF(AND(ISNUMBER($AB48),ISNUMBER($AD48)),IF($AB48&gt;0,$AD48/$AB48,""),"")</f>
      </c>
      <c r="AL48" s="48" t="inlineStr">
        <is>
          <t xml:space="preserve">At technical</t>
        </is>
      </c>
      <c r="AM48" s="41">
        <f>IF(ISNUMBER($AD48),Header!$I$3,"")</f>
      </c>
      <c r="AN48" s="39">
        <f>IF(ISNUMBER($AD48),$AO48+$AP48,"")</f>
      </c>
      <c r="AO48" s="39">
        <f>IF(ISNUMBER($AD48),ROUND($AD48*Header!$K$3,2),"")</f>
      </c>
      <c r="AP48" s="39">
        <f>IF(ISNUMBER($AD48),ROUND($AD48*Header!$M$3,2),"")</f>
      </c>
      <c r="AQ48" s="38">
        <f>IF(ISNUMBER($AD48),ROUND($AD48,2)-$AO48-$AP48,"")</f>
      </c>
      <c r="AR48" s="39">
        <f>IF(ISNUMBER($AD48),IF(Header!$D$34="","?",$AD48*Header!$D$34),"")</f>
      </c>
      <c r="AS48" s="39">
        <f>IF(ISNUMBER($AB48),IF(Header!$D$34="","?",$AB48*Header!$D$34),"")</f>
      </c>
      <c r="AT48" s="42">
        <f>IF(AND(ISNUMBER($AB48),$M48&gt;0),$AB48/$M48*100,"")</f>
      </c>
      <c r="AU48" s="42">
        <f>IF(AND(ISNUMBER($AD48),$M48&gt;0),$AD48/$M48*100,"")</f>
      </c>
      <c r="AV48" s="40">
        <f>IF(AND(ISNUMBER($AB48),ISNUMBER($AD48),ABS($AB48)&gt;0),$AD48/$AB48,"")</f>
      </c>
      <c r="AW48" s="39">
        <f>IF(ISNUMBER($AD48),MAX(0,(1-0.55-Header!$O$3)*Header!$Q$3*$AQ48),"")</f>
      </c>
      <c r="AX48" s="43">
        <f>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c>
      <c r="AY48" s="44">
        <f>IF($M48="","",IF(ISNUMBER($M48),IF($M48&gt;=Header!$C$18,"YES — refer","No"),""))</f>
      </c>
      <c r="AZ48" s="44">
        <f>IF($AD48="","",IF(ISNUMBER($AD48),IF($AD48&lt;Header!$C$20,"BELOW MIN PREMIUM","OK"),""))</f>
      </c>
      <c r="BA48" s="48" t="inlineStr">
        <is>
          <t xml:space="preserve">Yes</t>
        </is>
      </c>
      <c r="BB48" s="48" t="inlineStr">
        <is>
          <t xml:space="preserve">Yes</t>
        </is>
      </c>
      <c r="BC48" s="46" t="inlineStr">
        <is>
          <t xml:space="preserve">Synthetic demo data</t>
        </is>
      </c>
      <c r="BE48" s="45">
        <f>IF(OR($A48="",$L48="",$H48=""),"",IF(AND(LEFT($L48,2)="06",$H48&gt;1945),"FAIL - pre-war class, year "&amp;$H48,IF(AND(LEFT($L48,2)="07",OR($H48&lt;1946,$H48&gt;1972)),"FAIL - 1946-72 class, year "&amp;$H48,IF(AND(LEFT($L48,2)="08",OR($H48&lt;1973,$H48&gt;1999)),"FAIL - 1973-99 class, year "&amp;$H48,IF(AND(LEFT($L48,2)="09",OR($H48&lt;2000,$H48&gt;2010)),"FAIL - 2000-10 class, year "&amp;$H48,"OK")))))</f>
      </c>
      <c r="BF48" s="45">
        <f>IF($AD48="","",IF(ROUND($AO48+$AP48+$AQ48-$AD48,2)=0,"OK","FAIL - out by "&amp;TEXT($AO48+$AP48+$AQ48-$AD48,"$0.00")))</f>
      </c>
    </row>
    <row r="49" spans="1:58" ht="18.75" customHeight="1" x14ac:dyDescent="0.25">
      <c r="A49" s="30" t="inlineStr">
        <is>
          <t xml:space="preserve">CANON-202606-008465</t>
        </is>
      </c>
      <c r="B49" s="30" t="inlineStr">
        <is>
          <t xml:space="preserve">Horace Whitlock</t>
        </is>
      </c>
      <c r="C49" s="31">
        <v>46190</v>
      </c>
      <c r="D49" s="32" t="inlineStr">
        <is>
          <t xml:space="preserve">Bound - within authority</t>
        </is>
      </c>
      <c r="E49" s="32" t="inlineStr">
        <is>
          <t xml:space="preserve">New business</t>
        </is>
      </c>
      <c r="F49" s="30" t="inlineStr">
        <is>
          <t xml:space="preserve">B1234EXOTIC26</t>
        </is>
      </c>
      <c r="G49" s="33">
        <f>IF($A49="","",IF($C49="","",YEAR($C49)))</f>
      </c>
      <c r="H49" s="34">
        <v>2012</v>
      </c>
      <c r="I49" s="30" t="inlineStr">
        <is>
          <t xml:space="preserve">Maserati</t>
        </is>
      </c>
      <c r="J49" s="30" t="inlineStr">
        <is>
          <t xml:space="preserve">GranTurismo</t>
        </is>
      </c>
      <c r="K49" s="30" t="inlineStr">
        <is>
          <t xml:space="preserve">R6RH2AKHR5TER7UJP</t>
        </is>
      </c>
      <c r="L49" s="32" t="inlineStr">
        <is>
          <t xml:space="preserve">02 - Sports / GT</t>
        </is>
      </c>
      <c r="M49" s="35">
        <v>555000</v>
      </c>
      <c r="N49" s="32" t="inlineStr">
        <is>
          <t xml:space="preserve">Personal</t>
        </is>
      </c>
      <c r="O49" s="30" t="inlineStr">
        <is>
          <t xml:space="preserve">Personal - regular use</t>
        </is>
      </c>
      <c r="P49" s="30" t="inlineStr">
        <is>
          <t xml:space="preserve">1,000 - 2,500</t>
        </is>
      </c>
      <c r="Q49" s="30" t="inlineStr">
        <is>
          <t xml:space="preserve">Colorado</t>
        </is>
      </c>
      <c r="R49" s="30" t="inlineStr">
        <is>
          <t xml:space="preserve">80202</t>
        </is>
      </c>
      <c r="S49" s="32" t="inlineStr">
        <is>
          <t xml:space="preserve">Severe convective - hail alley (high)</t>
        </is>
      </c>
      <c r="T49" s="36">
        <f>IF($A49="","",IF($S49="","",IFERROR(INDEX('[1]natural catastrophe'!$D$6:$D$17,MATCH($S49,'[1]natural catastrophe'!$B$6:$B$17,0)),"?")))</f>
      </c>
      <c r="U49" s="30" t="inlineStr">
        <is>
          <t xml:space="preserve">$5,000</t>
        </is>
      </c>
      <c r="V49" s="32" t="inlineStr">
        <is>
          <t xml:space="preserve">Agreed Value</t>
        </is>
      </c>
      <c r="W49" s="30" t="inlineStr">
        <is>
          <t xml:space="preserve">$1,000</t>
        </is>
      </c>
      <c r="X49" s="32" t="inlineStr">
        <is>
          <t xml:space="preserve">$1,000,000 CSL</t>
        </is>
      </c>
      <c r="Y49" s="30"/>
      <c r="Z49" s="30"/>
      <c r="AA49" s="32" t="inlineStr">
        <is>
          <t xml:space="preserve">Surplus Lines</t>
        </is>
      </c>
      <c r="AB49" s="35">
        <v>5726.26</v>
      </c>
      <c r="AC49" s="37">
        <v>0</v>
      </c>
      <c r="AD49" s="38">
        <f>IF(ISNUMBER($AB49),$AB49*(1+N($AC49)),"")</f>
      </c>
      <c r="AE49" s="35">
        <v>350</v>
      </c>
      <c r="AF49" s="35">
        <v>0</v>
      </c>
      <c r="AG49" s="37"/>
      <c r="AH49" s="39">
        <f>IF(ISNUMBER($AD49),($AD49+$AE49+$AF49)*$AG49,"")</f>
      </c>
      <c r="AI49" s="35"/>
      <c r="AJ49" s="38">
        <f>IF(ISNUMBER($AD49),SUM($AD49:$AH49),"")</f>
      </c>
      <c r="AK49" s="40">
        <f>IF(AND(ISNUMBER($AB49),ISNUMBER($AD49)),IF($AB49&gt;0,$AD49/$AB49,""),"")</f>
      </c>
      <c r="AL49" s="32" t="inlineStr">
        <is>
          <t xml:space="preserve">At technical</t>
        </is>
      </c>
      <c r="AM49" s="41">
        <f>IF(ISNUMBER($AD49),Header!$I$3,"")</f>
      </c>
      <c r="AN49" s="39">
        <f>IF(ISNUMBER($AD49),$AO49+$AP49,"")</f>
      </c>
      <c r="AO49" s="39">
        <f>IF(ISNUMBER($AD49),ROUND($AD49*Header!$K$3,2),"")</f>
      </c>
      <c r="AP49" s="39">
        <f>IF(ISNUMBER($AD49),ROUND($AD49*Header!$M$3,2),"")</f>
      </c>
      <c r="AQ49" s="38">
        <f>IF(ISNUMBER($AD49),ROUND($AD49,2)-$AO49-$AP49,"")</f>
      </c>
      <c r="AR49" s="39">
        <f>IF(ISNUMBER($AD49),IF(Header!$D$34="","?",$AD49*Header!$D$34),"")</f>
      </c>
      <c r="AS49" s="39">
        <f>IF(ISNUMBER($AB49),IF(Header!$D$34="","?",$AB49*Header!$D$34),"")</f>
      </c>
      <c r="AT49" s="42">
        <f>IF(AND(ISNUMBER($AB49),$M49&gt;0),$AB49/$M49*100,"")</f>
      </c>
      <c r="AU49" s="42">
        <f>IF(AND(ISNUMBER($AD49),$M49&gt;0),$AD49/$M49*100,"")</f>
      </c>
      <c r="AV49" s="40">
        <f>IF(AND(ISNUMBER($AB49),ISNUMBER($AD49),ABS($AB49)&gt;0),$AD49/$AB49,"")</f>
      </c>
      <c r="AW49" s="39">
        <f>IF(ISNUMBER($AD49),MAX(0,(1-0.55-Header!$O$3)*Header!$Q$3*$AQ49),"")</f>
      </c>
      <c r="AX49" s="43">
        <f>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c>
      <c r="AY49" s="44">
        <f>IF($M49="","",IF(ISNUMBER($M49),IF($M49&gt;=Header!$C$18,"YES — refer","No"),""))</f>
      </c>
      <c r="AZ49" s="44">
        <f>IF($AD49="","",IF(ISNUMBER($AD49),IF($AD49&lt;Header!$C$20,"BELOW MIN PREMIUM","OK"),""))</f>
      </c>
      <c r="BA49" s="32" t="inlineStr">
        <is>
          <t xml:space="preserve">Yes</t>
        </is>
      </c>
      <c r="BB49" s="32" t="inlineStr">
        <is>
          <t xml:space="preserve">Yes</t>
        </is>
      </c>
      <c r="BC49" s="30" t="inlineStr">
        <is>
          <t xml:space="preserve">Synthetic demo data</t>
        </is>
      </c>
      <c r="BE49" s="45">
        <f>IF(OR($A49="",$L49="",$H49=""),"",IF(AND(LEFT($L49,2)="06",$H49&gt;1945),"FAIL - pre-war class, year "&amp;$H49,IF(AND(LEFT($L49,2)="07",OR($H49&lt;1946,$H49&gt;1972)),"FAIL - 1946-72 class, year "&amp;$H49,IF(AND(LEFT($L49,2)="08",OR($H49&lt;1973,$H49&gt;1999)),"FAIL - 1973-99 class, year "&amp;$H49,IF(AND(LEFT($L49,2)="09",OR($H49&lt;2000,$H49&gt;2010)),"FAIL - 2000-10 class, year "&amp;$H49,"OK")))))</f>
      </c>
      <c r="BF49" s="45">
        <f>IF($AD49="","",IF(ROUND($AO49+$AP49+$AQ49-$AD49,2)=0,"OK","FAIL - out by "&amp;TEXT($AO49+$AP49+$AQ49-$AD49,"$0.00")))</f>
      </c>
    </row>
    <row r="50" spans="1:58" ht="18.75" customHeight="1" x14ac:dyDescent="0.25">
      <c r="A50" s="46" t="inlineStr">
        <is>
          <t xml:space="preserve">CANON-202606-008466</t>
        </is>
      </c>
      <c r="B50" s="46" t="inlineStr">
        <is>
          <t xml:space="preserve">Leopold Castellanos</t>
        </is>
      </c>
      <c r="C50" s="47">
        <v>46179</v>
      </c>
      <c r="D50" s="48" t="inlineStr">
        <is>
          <t xml:space="preserve">Bound - within authority</t>
        </is>
      </c>
      <c r="E50" s="48" t="inlineStr">
        <is>
          <t xml:space="preserve">New business</t>
        </is>
      </c>
      <c r="F50" s="46" t="inlineStr">
        <is>
          <t xml:space="preserve">B1234EXOTIC26</t>
        </is>
      </c>
      <c r="G50" s="33">
        <f>IF($A50="","",IF($C50="","",YEAR($C50)))</f>
      </c>
      <c r="H50" s="49">
        <v>1968</v>
      </c>
      <c r="I50" s="46" t="inlineStr">
        <is>
          <t xml:space="preserve">BMW</t>
        </is>
      </c>
      <c r="J50" s="46" t="inlineStr">
        <is>
          <t xml:space="preserve">M8 Competition</t>
        </is>
      </c>
      <c r="K50" s="46" t="inlineStr">
        <is>
          <t xml:space="preserve">L15T3L4GMAHZJMG0P</t>
        </is>
      </c>
      <c r="L50" s="48" t="inlineStr">
        <is>
          <t xml:space="preserve">02 - Sports / GT</t>
        </is>
      </c>
      <c r="M50" s="50">
        <v>935000</v>
      </c>
      <c r="N50" s="48" t="inlineStr">
        <is>
          <t xml:space="preserve">Personal</t>
        </is>
      </c>
      <c r="O50" s="46" t="inlineStr">
        <is>
          <t xml:space="preserve">Personal - regular use</t>
        </is>
      </c>
      <c r="P50" s="46" t="inlineStr">
        <is>
          <t xml:space="preserve">1,000 - 2,500</t>
        </is>
      </c>
      <c r="Q50" s="46" t="inlineStr">
        <is>
          <t xml:space="preserve">Maine</t>
        </is>
      </c>
      <c r="R50" s="46" t="inlineStr">
        <is>
          <t xml:space="preserve">04101</t>
        </is>
      </c>
      <c r="S50" s="48" t="inlineStr">
        <is>
          <t xml:space="preserve">Tier 3 - Coastal wind (25-100 miles)</t>
        </is>
      </c>
      <c r="T50" s="36">
        <f>IF($A50="","",IF($S50="","",IFERROR(INDEX('[1]natural catastrophe'!$D$6:$D$17,MATCH($S50,'[1]natural catastrophe'!$B$6:$B$17,0)),"?")))</f>
      </c>
      <c r="U50" s="46" t="inlineStr">
        <is>
          <t xml:space="preserve">2% of agreed value, minimum $10,000</t>
        </is>
      </c>
      <c r="V50" s="48" t="inlineStr">
        <is>
          <t xml:space="preserve">Agreed Value</t>
        </is>
      </c>
      <c r="W50" s="46" t="inlineStr">
        <is>
          <t xml:space="preserve">$1,000</t>
        </is>
      </c>
      <c r="X50" s="48" t="inlineStr">
        <is>
          <t xml:space="preserve">$1,000,000 CSL</t>
        </is>
      </c>
      <c r="Y50" s="46"/>
      <c r="Z50" s="46"/>
      <c r="AA50" s="48" t="inlineStr">
        <is>
          <t xml:space="preserve">Surplus Lines</t>
        </is>
      </c>
      <c r="AB50" s="50">
        <v>9471.54</v>
      </c>
      <c r="AC50" s="51">
        <v>0</v>
      </c>
      <c r="AD50" s="38">
        <f>IF(ISNUMBER($AB50),$AB50*(1+N($AC50)),"")</f>
      </c>
      <c r="AE50" s="50">
        <v>350</v>
      </c>
      <c r="AF50" s="50">
        <v>0</v>
      </c>
      <c r="AG50" s="51"/>
      <c r="AH50" s="39">
        <f>IF(ISNUMBER($AD50),($AD50+$AE50+$AF50)*$AG50,"")</f>
      </c>
      <c r="AI50" s="50"/>
      <c r="AJ50" s="38">
        <f>IF(ISNUMBER($AD50),SUM($AD50:$AH50),"")</f>
      </c>
      <c r="AK50" s="40">
        <f>IF(AND(ISNUMBER($AB50),ISNUMBER($AD50)),IF($AB50&gt;0,$AD50/$AB50,""),"")</f>
      </c>
      <c r="AL50" s="48" t="inlineStr">
        <is>
          <t xml:space="preserve">At technical</t>
        </is>
      </c>
      <c r="AM50" s="41">
        <f>IF(ISNUMBER($AD50),Header!$I$3,"")</f>
      </c>
      <c r="AN50" s="39">
        <f>IF(ISNUMBER($AD50),$AO50+$AP50,"")</f>
      </c>
      <c r="AO50" s="39">
        <f>IF(ISNUMBER($AD50),ROUND($AD50*Header!$K$3,2),"")</f>
      </c>
      <c r="AP50" s="39">
        <f>IF(ISNUMBER($AD50),ROUND($AD50*Header!$M$3,2),"")</f>
      </c>
      <c r="AQ50" s="38">
        <f>IF(ISNUMBER($AD50),ROUND($AD50,2)-$AO50-$AP50,"")</f>
      </c>
      <c r="AR50" s="39">
        <f>IF(ISNUMBER($AD50),IF(Header!$D$34="","?",$AD50*Header!$D$34),"")</f>
      </c>
      <c r="AS50" s="39">
        <f>IF(ISNUMBER($AB50),IF(Header!$D$34="","?",$AB50*Header!$D$34),"")</f>
      </c>
      <c r="AT50" s="42">
        <f>IF(AND(ISNUMBER($AB50),$M50&gt;0),$AB50/$M50*100,"")</f>
      </c>
      <c r="AU50" s="42">
        <f>IF(AND(ISNUMBER($AD50),$M50&gt;0),$AD50/$M50*100,"")</f>
      </c>
      <c r="AV50" s="40">
        <f>IF(AND(ISNUMBER($AB50),ISNUMBER($AD50),ABS($AB50)&gt;0),$AD50/$AB50,"")</f>
      </c>
      <c r="AW50" s="39">
        <f>IF(ISNUMBER($AD50),MAX(0,(1-0.55-Header!$O$3)*Header!$Q$3*$AQ50),"")</f>
      </c>
      <c r="AX50" s="43">
        <f>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c>
      <c r="AY50" s="44">
        <f>IF($M50="","",IF(ISNUMBER($M50),IF($M50&gt;=Header!$C$18,"YES — refer","No"),""))</f>
      </c>
      <c r="AZ50" s="44">
        <f>IF($AD50="","",IF(ISNUMBER($AD50),IF($AD50&lt;Header!$C$20,"BELOW MIN PREMIUM","OK"),""))</f>
      </c>
      <c r="BA50" s="48" t="inlineStr">
        <is>
          <t xml:space="preserve">Yes</t>
        </is>
      </c>
      <c r="BB50" s="48" t="inlineStr">
        <is>
          <t xml:space="preserve">Yes</t>
        </is>
      </c>
      <c r="BC50" s="46" t="inlineStr">
        <is>
          <t xml:space="preserve">Synthetic demo data</t>
        </is>
      </c>
      <c r="BE50" s="45">
        <f>IF(OR($A50="",$L50="",$H50=""),"",IF(AND(LEFT($L50,2)="06",$H50&gt;1945),"FAIL - pre-war class, year "&amp;$H50,IF(AND(LEFT($L50,2)="07",OR($H50&lt;1946,$H50&gt;1972)),"FAIL - 1946-72 class, year "&amp;$H50,IF(AND(LEFT($L50,2)="08",OR($H50&lt;1973,$H50&gt;1999)),"FAIL - 1973-99 class, year "&amp;$H50,IF(AND(LEFT($L50,2)="09",OR($H50&lt;2000,$H50&gt;2010)),"FAIL - 2000-10 class, year "&amp;$H50,"OK")))))</f>
      </c>
      <c r="BF50" s="45">
        <f>IF($AD50="","",IF(ROUND($AO50+$AP50+$AQ50-$AD50,2)=0,"OK","FAIL - out by "&amp;TEXT($AO50+$AP50+$AQ50-$AD50,"$0.00")))</f>
      </c>
    </row>
    <row r="51" spans="1:58" ht="18.75" customHeight="1" x14ac:dyDescent="0.25">
      <c r="A51" s="30" t="inlineStr">
        <is>
          <t xml:space="preserve">CANON-202606-008467</t>
        </is>
      </c>
      <c r="B51" s="30" t="inlineStr">
        <is>
          <t xml:space="preserve">Ramona Montoya</t>
        </is>
      </c>
      <c r="C51" s="31">
        <v>46190</v>
      </c>
      <c r="D51" s="32" t="inlineStr">
        <is>
          <t xml:space="preserve">Bound - within authority</t>
        </is>
      </c>
      <c r="E51" s="32" t="inlineStr">
        <is>
          <t xml:space="preserve">New business</t>
        </is>
      </c>
      <c r="F51" s="30" t="inlineStr">
        <is>
          <t xml:space="preserve">B1234EXOTIC26</t>
        </is>
      </c>
      <c r="G51" s="33">
        <f>IF($A51="","",IF($C51="","",YEAR($C51)))</f>
      </c>
      <c r="H51" s="34">
        <v>1967</v>
      </c>
      <c r="I51" s="30" t="inlineStr">
        <is>
          <t xml:space="preserve">BMW</t>
        </is>
      </c>
      <c r="J51" s="30" t="inlineStr">
        <is>
          <t xml:space="preserve">M8 Competition</t>
        </is>
      </c>
      <c r="K51" s="30" t="inlineStr">
        <is>
          <t xml:space="preserve">SRJT25M2YXWVRDJ05</t>
        </is>
      </c>
      <c r="L51" s="32" t="inlineStr">
        <is>
          <t xml:space="preserve">02 - Sports / GT</t>
        </is>
      </c>
      <c r="M51" s="35">
        <v>370000</v>
      </c>
      <c r="N51" s="32" t="inlineStr">
        <is>
          <t xml:space="preserve">Personal</t>
        </is>
      </c>
      <c r="O51" s="30" t="inlineStr">
        <is>
          <t xml:space="preserve">Personal - regular use</t>
        </is>
      </c>
      <c r="P51" s="30" t="inlineStr">
        <is>
          <t xml:space="preserve">1,000 - 2,500</t>
        </is>
      </c>
      <c r="Q51" s="30" t="inlineStr">
        <is>
          <t xml:space="preserve">Michigan</t>
        </is>
      </c>
      <c r="R51" s="30" t="inlineStr">
        <is>
          <t xml:space="preserve">48226</t>
        </is>
      </c>
      <c r="S51" s="32" t="inlineStr">
        <is>
          <t xml:space="preserve">Severe convective - hail / tornado (moderate)</t>
        </is>
      </c>
      <c r="T51" s="36">
        <f>IF($A51="","",IF($S51="","",IFERROR(INDEX('[1]natural catastrophe'!$D$6:$D$17,MATCH($S51,'[1]natural catastrophe'!$B$6:$B$17,0)),"?")))</f>
      </c>
      <c r="U51" s="30" t="inlineStr">
        <is>
          <t xml:space="preserve">$5,000</t>
        </is>
      </c>
      <c r="V51" s="32" t="inlineStr">
        <is>
          <t xml:space="preserve">Agreed Value</t>
        </is>
      </c>
      <c r="W51" s="30" t="inlineStr">
        <is>
          <t xml:space="preserve">$1,000</t>
        </is>
      </c>
      <c r="X51" s="32" t="inlineStr">
        <is>
          <t xml:space="preserve">$1,000,000 CSL</t>
        </is>
      </c>
      <c r="Y51" s="30"/>
      <c r="Z51" s="30"/>
      <c r="AA51" s="32" t="inlineStr">
        <is>
          <t xml:space="preserve">Surplus Lines</t>
        </is>
      </c>
      <c r="AB51" s="35">
        <v>6206.79</v>
      </c>
      <c r="AC51" s="37">
        <v>0</v>
      </c>
      <c r="AD51" s="38">
        <f>IF(ISNUMBER($AB51),$AB51*(1+N($AC51)),"")</f>
      </c>
      <c r="AE51" s="35">
        <v>350</v>
      </c>
      <c r="AF51" s="35">
        <v>0</v>
      </c>
      <c r="AG51" s="37"/>
      <c r="AH51" s="39">
        <f>IF(ISNUMBER($AD51),($AD51+$AE51+$AF51)*$AG51,"")</f>
      </c>
      <c r="AI51" s="35"/>
      <c r="AJ51" s="38">
        <f>IF(ISNUMBER($AD51),SUM($AD51:$AH51),"")</f>
      </c>
      <c r="AK51" s="40">
        <f>IF(AND(ISNUMBER($AB51),ISNUMBER($AD51)),IF($AB51&gt;0,$AD51/$AB51,""),"")</f>
      </c>
      <c r="AL51" s="32" t="inlineStr">
        <is>
          <t xml:space="preserve">At technical</t>
        </is>
      </c>
      <c r="AM51" s="41">
        <f>IF(ISNUMBER($AD51),Header!$I$3,"")</f>
      </c>
      <c r="AN51" s="39">
        <f>IF(ISNUMBER($AD51),$AO51+$AP51,"")</f>
      </c>
      <c r="AO51" s="39">
        <f>IF(ISNUMBER($AD51),ROUND($AD51*Header!$K$3,2),"")</f>
      </c>
      <c r="AP51" s="39">
        <f>IF(ISNUMBER($AD51),ROUND($AD51*Header!$M$3,2),"")</f>
      </c>
      <c r="AQ51" s="38">
        <f>IF(ISNUMBER($AD51),ROUND($AD51,2)-$AO51-$AP51,"")</f>
      </c>
      <c r="AR51" s="39">
        <f>IF(ISNUMBER($AD51),IF(Header!$D$34="","?",$AD51*Header!$D$34),"")</f>
      </c>
      <c r="AS51" s="39">
        <f>IF(ISNUMBER($AB51),IF(Header!$D$34="","?",$AB51*Header!$D$34),"")</f>
      </c>
      <c r="AT51" s="42">
        <f>IF(AND(ISNUMBER($AB51),$M51&gt;0),$AB51/$M51*100,"")</f>
      </c>
      <c r="AU51" s="42">
        <f>IF(AND(ISNUMBER($AD51),$M51&gt;0),$AD51/$M51*100,"")</f>
      </c>
      <c r="AV51" s="40">
        <f>IF(AND(ISNUMBER($AB51),ISNUMBER($AD51),ABS($AB51)&gt;0),$AD51/$AB51,"")</f>
      </c>
      <c r="AW51" s="39">
        <f>IF(ISNUMBER($AD51),MAX(0,(1-0.55-Header!$O$3)*Header!$Q$3*$AQ51),"")</f>
      </c>
      <c r="AX51" s="43">
        <f>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c>
      <c r="AY51" s="44">
        <f>IF($M51="","",IF(ISNUMBER($M51),IF($M51&gt;=Header!$C$18,"YES — refer","No"),""))</f>
      </c>
      <c r="AZ51" s="44">
        <f>IF($AD51="","",IF(ISNUMBER($AD51),IF($AD51&lt;Header!$C$20,"BELOW MIN PREMIUM","OK"),""))</f>
      </c>
      <c r="BA51" s="32" t="inlineStr">
        <is>
          <t xml:space="preserve">Yes</t>
        </is>
      </c>
      <c r="BB51" s="32" t="inlineStr">
        <is>
          <t xml:space="preserve">Yes</t>
        </is>
      </c>
      <c r="BC51" s="30" t="inlineStr">
        <is>
          <t xml:space="preserve">Synthetic demo data</t>
        </is>
      </c>
      <c r="BE51" s="45">
        <f>IF(OR($A51="",$L51="",$H51=""),"",IF(AND(LEFT($L51,2)="06",$H51&gt;1945),"FAIL - pre-war class, year "&amp;$H51,IF(AND(LEFT($L51,2)="07",OR($H51&lt;1946,$H51&gt;1972)),"FAIL - 1946-72 class, year "&amp;$H51,IF(AND(LEFT($L51,2)="08",OR($H51&lt;1973,$H51&gt;1999)),"FAIL - 1973-99 class, year "&amp;$H51,IF(AND(LEFT($L51,2)="09",OR($H51&lt;2000,$H51&gt;2010)),"FAIL - 2000-10 class, year "&amp;$H51,"OK")))))</f>
      </c>
      <c r="BF51" s="45">
        <f>IF($AD51="","",IF(ROUND($AO51+$AP51+$AQ51-$AD51,2)=0,"OK","FAIL - out by "&amp;TEXT($AO51+$AP51+$AQ51-$AD51,"$0.00")))</f>
      </c>
    </row>
    <row r="52" spans="1:58" ht="18.75" customHeight="1" x14ac:dyDescent="0.25">
      <c r="A52" s="46" t="inlineStr">
        <is>
          <t xml:space="preserve">CANON-202606-008469</t>
        </is>
      </c>
      <c r="B52" s="46" t="inlineStr">
        <is>
          <t xml:space="preserve">Leopold Blackwood</t>
        </is>
      </c>
      <c r="C52" s="47">
        <v>46195</v>
      </c>
      <c r="D52" s="48" t="inlineStr">
        <is>
          <t xml:space="preserve">Bound - within authority</t>
        </is>
      </c>
      <c r="E52" s="48" t="inlineStr">
        <is>
          <t xml:space="preserve">New business</t>
        </is>
      </c>
      <c r="F52" s="46" t="inlineStr">
        <is>
          <t xml:space="preserve">B1234EXOTIC26</t>
        </is>
      </c>
      <c r="G52" s="33">
        <f>IF($A52="","",IF($C52="","",YEAR($C52)))</f>
      </c>
      <c r="H52" s="49">
        <v>1960</v>
      </c>
      <c r="I52" s="46" t="inlineStr">
        <is>
          <t xml:space="preserve">Mercedes-Benz</t>
        </is>
      </c>
      <c r="J52" s="46" t="inlineStr">
        <is>
          <t xml:space="preserve">AMG GT</t>
        </is>
      </c>
      <c r="K52" s="46" t="inlineStr">
        <is>
          <t xml:space="preserve">SLB8A5DE2WWV367T2</t>
        </is>
      </c>
      <c r="L52" s="48" t="inlineStr">
        <is>
          <t xml:space="preserve">02 - Sports / GT</t>
        </is>
      </c>
      <c r="M52" s="50">
        <v>665000</v>
      </c>
      <c r="N52" s="48" t="inlineStr">
        <is>
          <t xml:space="preserve">Personal</t>
        </is>
      </c>
      <c r="O52" s="46" t="inlineStr">
        <is>
          <t xml:space="preserve">Personal - regular use</t>
        </is>
      </c>
      <c r="P52" s="46" t="inlineStr">
        <is>
          <t xml:space="preserve">Under 1,000</t>
        </is>
      </c>
      <c r="Q52" s="46" t="inlineStr">
        <is>
          <t xml:space="preserve">Florida</t>
        </is>
      </c>
      <c r="R52" s="46" t="inlineStr">
        <is>
          <t xml:space="preserve">33139</t>
        </is>
      </c>
      <c r="S52" s="48" t="inlineStr">
        <is>
          <t xml:space="preserve">Tier 2 - Coastal wind (1-25 miles)</t>
        </is>
      </c>
      <c r="T52" s="36">
        <f>IF($A52="","",IF($S52="","",IFERROR(INDEX('[1]natural catastrophe'!$D$6:$D$17,MATCH($S52,'[1]natural catastrophe'!$B$6:$B$17,0)),"?")))</f>
      </c>
      <c r="U52" s="46" t="inlineStr">
        <is>
          <t xml:space="preserve">2% of agreed value, minimum $10,000</t>
        </is>
      </c>
      <c r="V52" s="48" t="inlineStr">
        <is>
          <t xml:space="preserve">Agreed Value</t>
        </is>
      </c>
      <c r="W52" s="46" t="inlineStr">
        <is>
          <t xml:space="preserve">$1,000</t>
        </is>
      </c>
      <c r="X52" s="48" t="inlineStr">
        <is>
          <t xml:space="preserve">$1,000,000 CSL</t>
        </is>
      </c>
      <c r="Y52" s="46"/>
      <c r="Z52" s="46"/>
      <c r="AA52" s="48" t="inlineStr">
        <is>
          <t xml:space="preserve">Surplus Lines</t>
        </is>
      </c>
      <c r="AB52" s="50">
        <v>8857.18</v>
      </c>
      <c r="AC52" s="51">
        <v>0</v>
      </c>
      <c r="AD52" s="38">
        <f>IF(ISNUMBER($AB52),$AB52*(1+N($AC52)),"")</f>
      </c>
      <c r="AE52" s="50">
        <v>350</v>
      </c>
      <c r="AF52" s="50">
        <v>0</v>
      </c>
      <c r="AG52" s="51"/>
      <c r="AH52" s="39">
        <f>IF(ISNUMBER($AD52),($AD52+$AE52+$AF52)*$AG52,"")</f>
      </c>
      <c r="AI52" s="50"/>
      <c r="AJ52" s="38">
        <f>IF(ISNUMBER($AD52),SUM($AD52:$AH52),"")</f>
      </c>
      <c r="AK52" s="40">
        <f>IF(AND(ISNUMBER($AB52),ISNUMBER($AD52)),IF($AB52&gt;0,$AD52/$AB52,""),"")</f>
      </c>
      <c r="AL52" s="48" t="inlineStr">
        <is>
          <t xml:space="preserve">At technical</t>
        </is>
      </c>
      <c r="AM52" s="41">
        <f>IF(ISNUMBER($AD52),Header!$I$3,"")</f>
      </c>
      <c r="AN52" s="39">
        <f>IF(ISNUMBER($AD52),$AO52+$AP52,"")</f>
      </c>
      <c r="AO52" s="39">
        <f>IF(ISNUMBER($AD52),ROUND($AD52*Header!$K$3,2),"")</f>
      </c>
      <c r="AP52" s="39">
        <f>IF(ISNUMBER($AD52),ROUND($AD52*Header!$M$3,2),"")</f>
      </c>
      <c r="AQ52" s="38">
        <f>IF(ISNUMBER($AD52),ROUND($AD52,2)-$AO52-$AP52,"")</f>
      </c>
      <c r="AR52" s="39">
        <f>IF(ISNUMBER($AD52),IF(Header!$D$34="","?",$AD52*Header!$D$34),"")</f>
      </c>
      <c r="AS52" s="39">
        <f>IF(ISNUMBER($AB52),IF(Header!$D$34="","?",$AB52*Header!$D$34),"")</f>
      </c>
      <c r="AT52" s="42">
        <f>IF(AND(ISNUMBER($AB52),$M52&gt;0),$AB52/$M52*100,"")</f>
      </c>
      <c r="AU52" s="42">
        <f>IF(AND(ISNUMBER($AD52),$M52&gt;0),$AD52/$M52*100,"")</f>
      </c>
      <c r="AV52" s="40">
        <f>IF(AND(ISNUMBER($AB52),ISNUMBER($AD52),ABS($AB52)&gt;0),$AD52/$AB52,"")</f>
      </c>
      <c r="AW52" s="39">
        <f>IF(ISNUMBER($AD52),MAX(0,(1-0.55-Header!$O$3)*Header!$Q$3*$AQ52),"")</f>
      </c>
      <c r="AX52" s="43">
        <f>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c>
      <c r="AY52" s="44">
        <f>IF($M52="","",IF(ISNUMBER($M52),IF($M52&gt;=Header!$C$18,"YES — refer","No"),""))</f>
      </c>
      <c r="AZ52" s="44">
        <f>IF($AD52="","",IF(ISNUMBER($AD52),IF($AD52&lt;Header!$C$20,"BELOW MIN PREMIUM","OK"),""))</f>
      </c>
      <c r="BA52" s="48" t="inlineStr">
        <is>
          <t xml:space="preserve">Yes</t>
        </is>
      </c>
      <c r="BB52" s="48" t="inlineStr">
        <is>
          <t xml:space="preserve">Yes</t>
        </is>
      </c>
      <c r="BC52" s="46" t="inlineStr">
        <is>
          <t xml:space="preserve">Synthetic demo data</t>
        </is>
      </c>
      <c r="BE52" s="45">
        <f>IF(OR($A52="",$L52="",$H52=""),"",IF(AND(LEFT($L52,2)="06",$H52&gt;1945),"FAIL - pre-war class, year "&amp;$H52,IF(AND(LEFT($L52,2)="07",OR($H52&lt;1946,$H52&gt;1972)),"FAIL - 1946-72 class, year "&amp;$H52,IF(AND(LEFT($L52,2)="08",OR($H52&lt;1973,$H52&gt;1999)),"FAIL - 1973-99 class, year "&amp;$H52,IF(AND(LEFT($L52,2)="09",OR($H52&lt;2000,$H52&gt;2010)),"FAIL - 2000-10 class, year "&amp;$H52,"OK")))))</f>
      </c>
      <c r="BF52" s="45">
        <f>IF($AD52="","",IF(ROUND($AO52+$AP52+$AQ52-$AD52,2)=0,"OK","FAIL - out by "&amp;TEXT($AO52+$AP52+$AQ52-$AD52,"$0.00")))</f>
      </c>
    </row>
    <row r="53" spans="1:58" ht="18.75" customHeight="1" x14ac:dyDescent="0.25">
      <c r="A53" s="30" t="inlineStr">
        <is>
          <t xml:space="preserve">CANON-202606-008470</t>
        </is>
      </c>
      <c r="B53" s="30" t="inlineStr">
        <is>
          <t xml:space="preserve">Priya Larsson</t>
        </is>
      </c>
      <c r="C53" s="31">
        <v>46190</v>
      </c>
      <c r="D53" s="32" t="inlineStr">
        <is>
          <t xml:space="preserve">Bound - within authority</t>
        </is>
      </c>
      <c r="E53" s="32" t="inlineStr">
        <is>
          <t xml:space="preserve">New business</t>
        </is>
      </c>
      <c r="F53" s="30" t="inlineStr">
        <is>
          <t xml:space="preserve">B1234EXOTIC26</t>
        </is>
      </c>
      <c r="G53" s="33">
        <f>IF($A53="","",IF($C53="","",YEAR($C53)))</f>
      </c>
      <c r="H53" s="34">
        <v>1981</v>
      </c>
      <c r="I53" s="30" t="inlineStr">
        <is>
          <t xml:space="preserve">Ferrari</t>
        </is>
      </c>
      <c r="J53" s="30" t="inlineStr">
        <is>
          <t xml:space="preserve">296 GTB</t>
        </is>
      </c>
      <c r="K53" s="30" t="inlineStr">
        <is>
          <t xml:space="preserve">UXG5JZJVT0BY1X1S2</t>
        </is>
      </c>
      <c r="L53" s="32" t="inlineStr">
        <is>
          <t xml:space="preserve">03 - Supercar</t>
        </is>
      </c>
      <c r="M53" s="35">
        <v>610000</v>
      </c>
      <c r="N53" s="32" t="inlineStr">
        <is>
          <t xml:space="preserve">Personal</t>
        </is>
      </c>
      <c r="O53" s="30" t="inlineStr">
        <is>
          <t xml:space="preserve">Personal - regular use</t>
        </is>
      </c>
      <c r="P53" s="30" t="inlineStr">
        <is>
          <t xml:space="preserve">Under 1,000</t>
        </is>
      </c>
      <c r="Q53" s="30" t="inlineStr">
        <is>
          <t xml:space="preserve">Idaho</t>
        </is>
      </c>
      <c r="R53" s="30" t="inlineStr">
        <is>
          <t xml:space="preserve">83702</t>
        </is>
      </c>
      <c r="S53" s="32" t="inlineStr">
        <is>
          <t xml:space="preserve">Wildfire - WUI high hazard</t>
        </is>
      </c>
      <c r="T53" s="36">
        <f>IF($A53="","",IF($S53="","",IFERROR(INDEX('[1]natural catastrophe'!$D$6:$D$17,MATCH($S53,'[1]natural catastrophe'!$B$6:$B$17,0)),"?")))</f>
      </c>
      <c r="U53" s="30" t="inlineStr">
        <is>
          <t xml:space="preserve">$5,000</t>
        </is>
      </c>
      <c r="V53" s="32" t="inlineStr">
        <is>
          <t xml:space="preserve">Agreed Value</t>
        </is>
      </c>
      <c r="W53" s="30" t="inlineStr">
        <is>
          <t xml:space="preserve">$1,000</t>
        </is>
      </c>
      <c r="X53" s="32" t="inlineStr">
        <is>
          <t xml:space="preserve">$1,000,000 CSL</t>
        </is>
      </c>
      <c r="Y53" s="30"/>
      <c r="Z53" s="30"/>
      <c r="AA53" s="32" t="inlineStr">
        <is>
          <t xml:space="preserve">Surplus Lines</t>
        </is>
      </c>
      <c r="AB53" s="35">
        <v>8278.67</v>
      </c>
      <c r="AC53" s="37">
        <v>0</v>
      </c>
      <c r="AD53" s="38">
        <f>IF(ISNUMBER($AB53),$AB53*(1+N($AC53)),"")</f>
      </c>
      <c r="AE53" s="35">
        <v>350</v>
      </c>
      <c r="AF53" s="35">
        <v>0</v>
      </c>
      <c r="AG53" s="37"/>
      <c r="AH53" s="39">
        <f>IF(ISNUMBER($AD53),($AD53+$AE53+$AF53)*$AG53,"")</f>
      </c>
      <c r="AI53" s="35"/>
      <c r="AJ53" s="38">
        <f>IF(ISNUMBER($AD53),SUM($AD53:$AH53),"")</f>
      </c>
      <c r="AK53" s="40">
        <f>IF(AND(ISNUMBER($AB53),ISNUMBER($AD53)),IF($AB53&gt;0,$AD53/$AB53,""),"")</f>
      </c>
      <c r="AL53" s="32" t="inlineStr">
        <is>
          <t xml:space="preserve">At technical</t>
        </is>
      </c>
      <c r="AM53" s="41">
        <f>IF(ISNUMBER($AD53),Header!$I$3,"")</f>
      </c>
      <c r="AN53" s="39">
        <f>IF(ISNUMBER($AD53),$AO53+$AP53,"")</f>
      </c>
      <c r="AO53" s="39">
        <f>IF(ISNUMBER($AD53),ROUND($AD53*Header!$K$3,2),"")</f>
      </c>
      <c r="AP53" s="39">
        <f>IF(ISNUMBER($AD53),ROUND($AD53*Header!$M$3,2),"")</f>
      </c>
      <c r="AQ53" s="38">
        <f>IF(ISNUMBER($AD53),ROUND($AD53,2)-$AO53-$AP53,"")</f>
      </c>
      <c r="AR53" s="39">
        <f>IF(ISNUMBER($AD53),IF(Header!$D$34="","?",$AD53*Header!$D$34),"")</f>
      </c>
      <c r="AS53" s="39">
        <f>IF(ISNUMBER($AB53),IF(Header!$D$34="","?",$AB53*Header!$D$34),"")</f>
      </c>
      <c r="AT53" s="42">
        <f>IF(AND(ISNUMBER($AB53),$M53&gt;0),$AB53/$M53*100,"")</f>
      </c>
      <c r="AU53" s="42">
        <f>IF(AND(ISNUMBER($AD53),$M53&gt;0),$AD53/$M53*100,"")</f>
      </c>
      <c r="AV53" s="40">
        <f>IF(AND(ISNUMBER($AB53),ISNUMBER($AD53),ABS($AB53)&gt;0),$AD53/$AB53,"")</f>
      </c>
      <c r="AW53" s="39">
        <f>IF(ISNUMBER($AD53),MAX(0,(1-0.55-Header!$O$3)*Header!$Q$3*$AQ53),"")</f>
      </c>
      <c r="AX53" s="43">
        <f>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c>
      <c r="AY53" s="44">
        <f>IF($M53="","",IF(ISNUMBER($M53),IF($M53&gt;=Header!$C$18,"YES — refer","No"),""))</f>
      </c>
      <c r="AZ53" s="44">
        <f>IF($AD53="","",IF(ISNUMBER($AD53),IF($AD53&lt;Header!$C$20,"BELOW MIN PREMIUM","OK"),""))</f>
      </c>
      <c r="BA53" s="32" t="inlineStr">
        <is>
          <t xml:space="preserve">Yes</t>
        </is>
      </c>
      <c r="BB53" s="32" t="inlineStr">
        <is>
          <t xml:space="preserve">Yes</t>
        </is>
      </c>
      <c r="BC53" s="30" t="inlineStr">
        <is>
          <t xml:space="preserve">Synthetic demo data</t>
        </is>
      </c>
      <c r="BE53" s="45">
        <f>IF(OR($A53="",$L53="",$H53=""),"",IF(AND(LEFT($L53,2)="06",$H53&gt;1945),"FAIL - pre-war class, year "&amp;$H53,IF(AND(LEFT($L53,2)="07",OR($H53&lt;1946,$H53&gt;1972)),"FAIL - 1946-72 class, year "&amp;$H53,IF(AND(LEFT($L53,2)="08",OR($H53&lt;1973,$H53&gt;1999)),"FAIL - 1973-99 class, year "&amp;$H53,IF(AND(LEFT($L53,2)="09",OR($H53&lt;2000,$H53&gt;2010)),"FAIL - 2000-10 class, year "&amp;$H53,"OK")))))</f>
      </c>
      <c r="BF53" s="45">
        <f>IF($AD53="","",IF(ROUND($AO53+$AP53+$AQ53-$AD53,2)=0,"OK","FAIL - out by "&amp;TEXT($AO53+$AP53+$AQ53-$AD53,"$0.00")))</f>
      </c>
    </row>
    <row r="54" spans="1:58" ht="18.75" customHeight="1" x14ac:dyDescent="0.25">
      <c r="A54" s="46" t="inlineStr">
        <is>
          <t xml:space="preserve">CANON-202606-008471</t>
        </is>
      </c>
      <c r="B54" s="46" t="inlineStr">
        <is>
          <t xml:space="preserve">Fitzgerald Thistlewood</t>
        </is>
      </c>
      <c r="C54" s="47">
        <v>46199</v>
      </c>
      <c r="D54" s="48" t="inlineStr">
        <is>
          <t xml:space="preserve">Bound - within authority</t>
        </is>
      </c>
      <c r="E54" s="48" t="inlineStr">
        <is>
          <t xml:space="preserve">New business</t>
        </is>
      </c>
      <c r="F54" s="46" t="inlineStr">
        <is>
          <t xml:space="preserve">B1234EXOTIC26</t>
        </is>
      </c>
      <c r="G54" s="33">
        <f>IF($A54="","",IF($C54="","",YEAR($C54)))</f>
      </c>
      <c r="H54" s="49">
        <v>1963</v>
      </c>
      <c r="I54" s="46" t="inlineStr">
        <is>
          <t xml:space="preserve">BMW</t>
        </is>
      </c>
      <c r="J54" s="46" t="inlineStr">
        <is>
          <t xml:space="preserve">M8 Competition</t>
        </is>
      </c>
      <c r="K54" s="46" t="inlineStr">
        <is>
          <t xml:space="preserve">05U579WTACYFSWHPP</t>
        </is>
      </c>
      <c r="L54" s="48" t="inlineStr">
        <is>
          <t xml:space="preserve">02 - Sports / GT</t>
        </is>
      </c>
      <c r="M54" s="50">
        <v>875000</v>
      </c>
      <c r="N54" s="48" t="inlineStr">
        <is>
          <t xml:space="preserve">Personal</t>
        </is>
      </c>
      <c r="O54" s="46" t="inlineStr">
        <is>
          <t xml:space="preserve">Personal - regular use</t>
        </is>
      </c>
      <c r="P54" s="46" t="inlineStr">
        <is>
          <t xml:space="preserve">Under 1,000</t>
        </is>
      </c>
      <c r="Q54" s="46" t="inlineStr">
        <is>
          <t xml:space="preserve">Kansas</t>
        </is>
      </c>
      <c r="R54" s="46" t="inlineStr">
        <is>
          <t xml:space="preserve">66603</t>
        </is>
      </c>
      <c r="S54" s="48" t="inlineStr">
        <is>
          <t xml:space="preserve">Severe convective - hail alley (high)</t>
        </is>
      </c>
      <c r="T54" s="36">
        <f>IF($A54="","",IF($S54="","",IFERROR(INDEX('[1]natural catastrophe'!$D$6:$D$17,MATCH($S54,'[1]natural catastrophe'!$B$6:$B$17,0)),"?")))</f>
      </c>
      <c r="U54" s="46" t="inlineStr">
        <is>
          <t xml:space="preserve">$5,000</t>
        </is>
      </c>
      <c r="V54" s="48" t="inlineStr">
        <is>
          <t xml:space="preserve">Agreed Value</t>
        </is>
      </c>
      <c r="W54" s="46" t="inlineStr">
        <is>
          <t xml:space="preserve">$1,000</t>
        </is>
      </c>
      <c r="X54" s="48" t="inlineStr">
        <is>
          <t xml:space="preserve">$1,000,000 CSL</t>
        </is>
      </c>
      <c r="Y54" s="46"/>
      <c r="Z54" s="46"/>
      <c r="AA54" s="48" t="inlineStr">
        <is>
          <t xml:space="preserve">Surplus Lines</t>
        </is>
      </c>
      <c r="AB54" s="50">
        <v>7960.96</v>
      </c>
      <c r="AC54" s="51">
        <v>0</v>
      </c>
      <c r="AD54" s="38">
        <f>IF(ISNUMBER($AB54),$AB54*(1+N($AC54)),"")</f>
      </c>
      <c r="AE54" s="50">
        <v>350</v>
      </c>
      <c r="AF54" s="50">
        <v>0</v>
      </c>
      <c r="AG54" s="51"/>
      <c r="AH54" s="39">
        <f>IF(ISNUMBER($AD54),($AD54+$AE54+$AF54)*$AG54,"")</f>
      </c>
      <c r="AI54" s="50"/>
      <c r="AJ54" s="38">
        <f>IF(ISNUMBER($AD54),SUM($AD54:$AH54),"")</f>
      </c>
      <c r="AK54" s="40">
        <f>IF(AND(ISNUMBER($AB54),ISNUMBER($AD54)),IF($AB54&gt;0,$AD54/$AB54,""),"")</f>
      </c>
      <c r="AL54" s="48" t="inlineStr">
        <is>
          <t xml:space="preserve">At technical</t>
        </is>
      </c>
      <c r="AM54" s="41">
        <f>IF(ISNUMBER($AD54),Header!$I$3,"")</f>
      </c>
      <c r="AN54" s="39">
        <f>IF(ISNUMBER($AD54),$AO54+$AP54,"")</f>
      </c>
      <c r="AO54" s="39">
        <f>IF(ISNUMBER($AD54),ROUND($AD54*Header!$K$3,2),"")</f>
      </c>
      <c r="AP54" s="39">
        <f>IF(ISNUMBER($AD54),ROUND($AD54*Header!$M$3,2),"")</f>
      </c>
      <c r="AQ54" s="38">
        <f>IF(ISNUMBER($AD54),ROUND($AD54,2)-$AO54-$AP54,"")</f>
      </c>
      <c r="AR54" s="39">
        <f>IF(ISNUMBER($AD54),IF(Header!$D$34="","?",$AD54*Header!$D$34),"")</f>
      </c>
      <c r="AS54" s="39">
        <f>IF(ISNUMBER($AB54),IF(Header!$D$34="","?",$AB54*Header!$D$34),"")</f>
      </c>
      <c r="AT54" s="42">
        <f>IF(AND(ISNUMBER($AB54),$M54&gt;0),$AB54/$M54*100,"")</f>
      </c>
      <c r="AU54" s="42">
        <f>IF(AND(ISNUMBER($AD54),$M54&gt;0),$AD54/$M54*100,"")</f>
      </c>
      <c r="AV54" s="40">
        <f>IF(AND(ISNUMBER($AB54),ISNUMBER($AD54),ABS($AB54)&gt;0),$AD54/$AB54,"")</f>
      </c>
      <c r="AW54" s="39">
        <f>IF(ISNUMBER($AD54),MAX(0,(1-0.55-Header!$O$3)*Header!$Q$3*$AQ54),"")</f>
      </c>
      <c r="AX54" s="43">
        <f>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c>
      <c r="AY54" s="44">
        <f>IF($M54="","",IF(ISNUMBER($M54),IF($M54&gt;=Header!$C$18,"YES — refer","No"),""))</f>
      </c>
      <c r="AZ54" s="44">
        <f>IF($AD54="","",IF(ISNUMBER($AD54),IF($AD54&lt;Header!$C$20,"BELOW MIN PREMIUM","OK"),""))</f>
      </c>
      <c r="BA54" s="48" t="inlineStr">
        <is>
          <t xml:space="preserve">Yes</t>
        </is>
      </c>
      <c r="BB54" s="48" t="inlineStr">
        <is>
          <t xml:space="preserve">Yes</t>
        </is>
      </c>
      <c r="BC54" s="46" t="inlineStr">
        <is>
          <t xml:space="preserve">Synthetic demo data</t>
        </is>
      </c>
      <c r="BE54" s="45">
        <f>IF(OR($A54="",$L54="",$H54=""),"",IF(AND(LEFT($L54,2)="06",$H54&gt;1945),"FAIL - pre-war class, year "&amp;$H54,IF(AND(LEFT($L54,2)="07",OR($H54&lt;1946,$H54&gt;1972)),"FAIL - 1946-72 class, year "&amp;$H54,IF(AND(LEFT($L54,2)="08",OR($H54&lt;1973,$H54&gt;1999)),"FAIL - 1973-99 class, year "&amp;$H54,IF(AND(LEFT($L54,2)="09",OR($H54&lt;2000,$H54&gt;2010)),"FAIL - 2000-10 class, year "&amp;$H54,"OK")))))</f>
      </c>
      <c r="BF54" s="45">
        <f>IF($AD54="","",IF(ROUND($AO54+$AP54+$AQ54-$AD54,2)=0,"OK","FAIL - out by "&amp;TEXT($AO54+$AP54+$AQ54-$AD54,"$0.00")))</f>
      </c>
    </row>
    <row r="55" spans="1:58" ht="18.75" customHeight="1" x14ac:dyDescent="0.25">
      <c r="A55" s="30" t="inlineStr">
        <is>
          <t xml:space="preserve">CANON-202606-008473</t>
        </is>
      </c>
      <c r="B55" s="30" t="inlineStr">
        <is>
          <t xml:space="preserve">Sunniva Okonkwo</t>
        </is>
      </c>
      <c r="C55" s="31">
        <v>46190</v>
      </c>
      <c r="D55" s="32" t="inlineStr">
        <is>
          <t xml:space="preserve">Bound - within authority</t>
        </is>
      </c>
      <c r="E55" s="32" t="inlineStr">
        <is>
          <t xml:space="preserve">New business</t>
        </is>
      </c>
      <c r="F55" s="30" t="inlineStr">
        <is>
          <t xml:space="preserve">B1234EXOTIC26</t>
        </is>
      </c>
      <c r="G55" s="33">
        <f>IF($A55="","",IF($C55="","",YEAR($C55)))</f>
      </c>
      <c r="H55" s="34">
        <v>1973</v>
      </c>
      <c r="I55" s="30" t="inlineStr">
        <is>
          <t xml:space="preserve">Aston Martin</t>
        </is>
      </c>
      <c r="J55" s="30" t="inlineStr">
        <is>
          <t xml:space="preserve">DB12</t>
        </is>
      </c>
      <c r="K55" s="30" t="inlineStr">
        <is>
          <t xml:space="preserve">XN5UCEPXL8FFTGPWN</t>
        </is>
      </c>
      <c r="L55" s="32" t="inlineStr">
        <is>
          <t xml:space="preserve">02 - Sports / GT</t>
        </is>
      </c>
      <c r="M55" s="35">
        <v>870000</v>
      </c>
      <c r="N55" s="32" t="inlineStr">
        <is>
          <t xml:space="preserve">Personal</t>
        </is>
      </c>
      <c r="O55" s="30" t="inlineStr">
        <is>
          <t xml:space="preserve">Personal - regular use</t>
        </is>
      </c>
      <c r="P55" s="30" t="inlineStr">
        <is>
          <t xml:space="preserve">2,500 - 5,000</t>
        </is>
      </c>
      <c r="Q55" s="30" t="inlineStr">
        <is>
          <t xml:space="preserve">California</t>
        </is>
      </c>
      <c r="R55" s="30" t="inlineStr">
        <is>
          <t xml:space="preserve">90012</t>
        </is>
      </c>
      <c r="S55" s="32" t="inlineStr">
        <is>
          <t xml:space="preserve">Earthquake - high (CA, Cascadia, New Madrid)</t>
        </is>
      </c>
      <c r="T55" s="36">
        <f>IF($A55="","",IF($S55="","",IFERROR(INDEX('[1]natural catastrophe'!$D$6:$D$17,MATCH($S55,'[1]natural catastrophe'!$B$6:$B$17,0)),"?")))</f>
      </c>
      <c r="U55" s="30" t="inlineStr">
        <is>
          <t xml:space="preserve">$5,000</t>
        </is>
      </c>
      <c r="V55" s="32" t="inlineStr">
        <is>
          <t xml:space="preserve">Agreed Value</t>
        </is>
      </c>
      <c r="W55" s="30" t="inlineStr">
        <is>
          <t xml:space="preserve">$1,000</t>
        </is>
      </c>
      <c r="X55" s="32" t="inlineStr">
        <is>
          <t xml:space="preserve">$1,000,000 CSL</t>
        </is>
      </c>
      <c r="Y55" s="30"/>
      <c r="Z55" s="30"/>
      <c r="AA55" s="32" t="inlineStr">
        <is>
          <t xml:space="preserve">Surplus Lines</t>
        </is>
      </c>
      <c r="AB55" s="35">
        <v>11016.37</v>
      </c>
      <c r="AC55" s="37">
        <v>0</v>
      </c>
      <c r="AD55" s="38">
        <f>IF(ISNUMBER($AB55),$AB55*(1+N($AC55)),"")</f>
      </c>
      <c r="AE55" s="35">
        <v>350</v>
      </c>
      <c r="AF55" s="35">
        <v>0</v>
      </c>
      <c r="AG55" s="37"/>
      <c r="AH55" s="39">
        <f>IF(ISNUMBER($AD55),($AD55+$AE55+$AF55)*$AG55,"")</f>
      </c>
      <c r="AI55" s="35"/>
      <c r="AJ55" s="38">
        <f>IF(ISNUMBER($AD55),SUM($AD55:$AH55),"")</f>
      </c>
      <c r="AK55" s="40">
        <f>IF(AND(ISNUMBER($AB55),ISNUMBER($AD55)),IF($AB55&gt;0,$AD55/$AB55,""),"")</f>
      </c>
      <c r="AL55" s="32" t="inlineStr">
        <is>
          <t xml:space="preserve">At technical</t>
        </is>
      </c>
      <c r="AM55" s="41">
        <f>IF(ISNUMBER($AD55),Header!$I$3,"")</f>
      </c>
      <c r="AN55" s="39">
        <f>IF(ISNUMBER($AD55),$AO55+$AP55,"")</f>
      </c>
      <c r="AO55" s="39">
        <f>IF(ISNUMBER($AD55),ROUND($AD55*Header!$K$3,2),"")</f>
      </c>
      <c r="AP55" s="39">
        <f>IF(ISNUMBER($AD55),ROUND($AD55*Header!$M$3,2),"")</f>
      </c>
      <c r="AQ55" s="38">
        <f>IF(ISNUMBER($AD55),ROUND($AD55,2)-$AO55-$AP55,"")</f>
      </c>
      <c r="AR55" s="39">
        <f>IF(ISNUMBER($AD55),IF(Header!$D$34="","?",$AD55*Header!$D$34),"")</f>
      </c>
      <c r="AS55" s="39">
        <f>IF(ISNUMBER($AB55),IF(Header!$D$34="","?",$AB55*Header!$D$34),"")</f>
      </c>
      <c r="AT55" s="42">
        <f>IF(AND(ISNUMBER($AB55),$M55&gt;0),$AB55/$M55*100,"")</f>
      </c>
      <c r="AU55" s="42">
        <f>IF(AND(ISNUMBER($AD55),$M55&gt;0),$AD55/$M55*100,"")</f>
      </c>
      <c r="AV55" s="40">
        <f>IF(AND(ISNUMBER($AB55),ISNUMBER($AD55),ABS($AB55)&gt;0),$AD55/$AB55,"")</f>
      </c>
      <c r="AW55" s="39">
        <f>IF(ISNUMBER($AD55),MAX(0,(1-0.55-Header!$O$3)*Header!$Q$3*$AQ55),"")</f>
      </c>
      <c r="AX55" s="43">
        <f>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c>
      <c r="AY55" s="44">
        <f>IF($M55="","",IF(ISNUMBER($M55),IF($M55&gt;=Header!$C$18,"YES — refer","No"),""))</f>
      </c>
      <c r="AZ55" s="44">
        <f>IF($AD55="","",IF(ISNUMBER($AD55),IF($AD55&lt;Header!$C$20,"BELOW MIN PREMIUM","OK"),""))</f>
      </c>
      <c r="BA55" s="32" t="inlineStr">
        <is>
          <t xml:space="preserve">Yes</t>
        </is>
      </c>
      <c r="BB55" s="32" t="inlineStr">
        <is>
          <t xml:space="preserve">Yes</t>
        </is>
      </c>
      <c r="BC55" s="30" t="inlineStr">
        <is>
          <t xml:space="preserve">Synthetic demo data</t>
        </is>
      </c>
      <c r="BE55" s="45">
        <f>IF(OR($A55="",$L55="",$H55=""),"",IF(AND(LEFT($L55,2)="06",$H55&gt;1945),"FAIL - pre-war class, year "&amp;$H55,IF(AND(LEFT($L55,2)="07",OR($H55&lt;1946,$H55&gt;1972)),"FAIL - 1946-72 class, year "&amp;$H55,IF(AND(LEFT($L55,2)="08",OR($H55&lt;1973,$H55&gt;1999)),"FAIL - 1973-99 class, year "&amp;$H55,IF(AND(LEFT($L55,2)="09",OR($H55&lt;2000,$H55&gt;2010)),"FAIL - 2000-10 class, year "&amp;$H55,"OK")))))</f>
      </c>
      <c r="BF55" s="45">
        <f>IF($AD55="","",IF(ROUND($AO55+$AP55+$AQ55-$AD55,2)=0,"OK","FAIL - out by "&amp;TEXT($AO55+$AP55+$AQ55-$AD55,"$0.00")))</f>
      </c>
    </row>
    <row r="56" spans="1:58" ht="18.75" customHeight="1" x14ac:dyDescent="0.25">
      <c r="A56" s="46" t="inlineStr">
        <is>
          <t xml:space="preserve">CANON-202606-008474</t>
        </is>
      </c>
      <c r="B56" s="46" t="inlineStr">
        <is>
          <t xml:space="preserve">Fitzgerald Rourke</t>
        </is>
      </c>
      <c r="C56" s="47">
        <v>46174</v>
      </c>
      <c r="D56" s="48" t="inlineStr">
        <is>
          <t xml:space="preserve">Bound - within authority</t>
        </is>
      </c>
      <c r="E56" s="48" t="inlineStr">
        <is>
          <t xml:space="preserve">New business</t>
        </is>
      </c>
      <c r="F56" s="46" t="inlineStr">
        <is>
          <t xml:space="preserve">B1234EXOTIC26</t>
        </is>
      </c>
      <c r="G56" s="33">
        <f>IF($A56="","",IF($C56="","",YEAR($C56)))</f>
      </c>
      <c r="H56" s="49">
        <v>1983</v>
      </c>
      <c r="I56" s="46" t="inlineStr">
        <is>
          <t xml:space="preserve">Aston Martin</t>
        </is>
      </c>
      <c r="J56" s="46" t="inlineStr">
        <is>
          <t xml:space="preserve">DB12</t>
        </is>
      </c>
      <c r="K56" s="46" t="inlineStr">
        <is>
          <t xml:space="preserve">L4T5G0EEYDNUK1RSD</t>
        </is>
      </c>
      <c r="L56" s="48" t="inlineStr">
        <is>
          <t xml:space="preserve">02 - Sports / GT</t>
        </is>
      </c>
      <c r="M56" s="50">
        <v>435000</v>
      </c>
      <c r="N56" s="48" t="inlineStr">
        <is>
          <t xml:space="preserve">Personal</t>
        </is>
      </c>
      <c r="O56" s="46" t="inlineStr">
        <is>
          <t xml:space="preserve">Personal - regular use</t>
        </is>
      </c>
      <c r="P56" s="46" t="inlineStr">
        <is>
          <t xml:space="preserve">2,500 - 5,000</t>
        </is>
      </c>
      <c r="Q56" s="46" t="inlineStr">
        <is>
          <t xml:space="preserve">Florida</t>
        </is>
      </c>
      <c r="R56" s="46" t="inlineStr">
        <is>
          <t xml:space="preserve">33139</t>
        </is>
      </c>
      <c r="S56" s="48" t="inlineStr">
        <is>
          <t xml:space="preserve">Tier 2 - Coastal wind (1-25 miles)</t>
        </is>
      </c>
      <c r="T56" s="36">
        <f>IF($A56="","",IF($S56="","",IFERROR(INDEX('[1]natural catastrophe'!$D$6:$D$17,MATCH($S56,'[1]natural catastrophe'!$B$6:$B$17,0)),"?")))</f>
      </c>
      <c r="U56" s="46" t="inlineStr">
        <is>
          <t xml:space="preserve">2% of agreed value, minimum $10,000</t>
        </is>
      </c>
      <c r="V56" s="48" t="inlineStr">
        <is>
          <t xml:space="preserve">Agreed Value</t>
        </is>
      </c>
      <c r="W56" s="46" t="inlineStr">
        <is>
          <t xml:space="preserve">$1,000</t>
        </is>
      </c>
      <c r="X56" s="48" t="inlineStr">
        <is>
          <t xml:space="preserve">$1,000,000 CSL</t>
        </is>
      </c>
      <c r="Y56" s="46"/>
      <c r="Z56" s="46"/>
      <c r="AA56" s="48" t="inlineStr">
        <is>
          <t xml:space="preserve">Surplus Lines</t>
        </is>
      </c>
      <c r="AB56" s="50">
        <v>6685.15</v>
      </c>
      <c r="AC56" s="51">
        <v>0</v>
      </c>
      <c r="AD56" s="38">
        <f>IF(ISNUMBER($AB56),$AB56*(1+N($AC56)),"")</f>
      </c>
      <c r="AE56" s="50">
        <v>350</v>
      </c>
      <c r="AF56" s="50">
        <v>0</v>
      </c>
      <c r="AG56" s="51"/>
      <c r="AH56" s="39">
        <f>IF(ISNUMBER($AD56),($AD56+$AE56+$AF56)*$AG56,"")</f>
      </c>
      <c r="AI56" s="50"/>
      <c r="AJ56" s="38">
        <f>IF(ISNUMBER($AD56),SUM($AD56:$AH56),"")</f>
      </c>
      <c r="AK56" s="40">
        <f>IF(AND(ISNUMBER($AB56),ISNUMBER($AD56)),IF($AB56&gt;0,$AD56/$AB56,""),"")</f>
      </c>
      <c r="AL56" s="48" t="inlineStr">
        <is>
          <t xml:space="preserve">At technical</t>
        </is>
      </c>
      <c r="AM56" s="41">
        <f>IF(ISNUMBER($AD56),Header!$I$3,"")</f>
      </c>
      <c r="AN56" s="39">
        <f>IF(ISNUMBER($AD56),$AO56+$AP56,"")</f>
      </c>
      <c r="AO56" s="39">
        <f>IF(ISNUMBER($AD56),ROUND($AD56*Header!$K$3,2),"")</f>
      </c>
      <c r="AP56" s="39">
        <f>IF(ISNUMBER($AD56),ROUND($AD56*Header!$M$3,2),"")</f>
      </c>
      <c r="AQ56" s="38">
        <f>IF(ISNUMBER($AD56),ROUND($AD56,2)-$AO56-$AP56,"")</f>
      </c>
      <c r="AR56" s="39">
        <f>IF(ISNUMBER($AD56),IF(Header!$D$34="","?",$AD56*Header!$D$34),"")</f>
      </c>
      <c r="AS56" s="39">
        <f>IF(ISNUMBER($AB56),IF(Header!$D$34="","?",$AB56*Header!$D$34),"")</f>
      </c>
      <c r="AT56" s="42">
        <f>IF(AND(ISNUMBER($AB56),$M56&gt;0),$AB56/$M56*100,"")</f>
      </c>
      <c r="AU56" s="42">
        <f>IF(AND(ISNUMBER($AD56),$M56&gt;0),$AD56/$M56*100,"")</f>
      </c>
      <c r="AV56" s="40">
        <f>IF(AND(ISNUMBER($AB56),ISNUMBER($AD56),ABS($AB56)&gt;0),$AD56/$AB56,"")</f>
      </c>
      <c r="AW56" s="39">
        <f>IF(ISNUMBER($AD56),MAX(0,(1-0.55-Header!$O$3)*Header!$Q$3*$AQ56),"")</f>
      </c>
      <c r="AX56" s="43">
        <f>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c>
      <c r="AY56" s="44">
        <f>IF($M56="","",IF(ISNUMBER($M56),IF($M56&gt;=Header!$C$18,"YES — refer","No"),""))</f>
      </c>
      <c r="AZ56" s="44">
        <f>IF($AD56="","",IF(ISNUMBER($AD56),IF($AD56&lt;Header!$C$20,"BELOW MIN PREMIUM","OK"),""))</f>
      </c>
      <c r="BA56" s="48" t="inlineStr">
        <is>
          <t xml:space="preserve">Yes</t>
        </is>
      </c>
      <c r="BB56" s="48" t="inlineStr">
        <is>
          <t xml:space="preserve">Yes</t>
        </is>
      </c>
      <c r="BC56" s="46" t="inlineStr">
        <is>
          <t xml:space="preserve">Synthetic demo data</t>
        </is>
      </c>
      <c r="BE56" s="45">
        <f>IF(OR($A56="",$L56="",$H56=""),"",IF(AND(LEFT($L56,2)="06",$H56&gt;1945),"FAIL - pre-war class, year "&amp;$H56,IF(AND(LEFT($L56,2)="07",OR($H56&lt;1946,$H56&gt;1972)),"FAIL - 1946-72 class, year "&amp;$H56,IF(AND(LEFT($L56,2)="08",OR($H56&lt;1973,$H56&gt;1999)),"FAIL - 1973-99 class, year "&amp;$H56,IF(AND(LEFT($L56,2)="09",OR($H56&lt;2000,$H56&gt;2010)),"FAIL - 2000-10 class, year "&amp;$H56,"OK")))))</f>
      </c>
      <c r="BF56" s="45">
        <f>IF($AD56="","",IF(ROUND($AO56+$AP56+$AQ56-$AD56,2)=0,"OK","FAIL - out by "&amp;TEXT($AO56+$AP56+$AQ56-$AD56,"$0.00")))</f>
      </c>
    </row>
    <row r="57" spans="1:58" ht="18.75" customHeight="1" x14ac:dyDescent="0.25">
      <c r="A57" s="30" t="inlineStr">
        <is>
          <t xml:space="preserve">CANON-202606-008475</t>
        </is>
      </c>
      <c r="B57" s="30" t="inlineStr">
        <is>
          <t xml:space="preserve">Delphine Delacroix</t>
        </is>
      </c>
      <c r="C57" s="31">
        <v>46203</v>
      </c>
      <c r="D57" s="32" t="inlineStr">
        <is>
          <t xml:space="preserve">Bound - within authority</t>
        </is>
      </c>
      <c r="E57" s="32" t="inlineStr">
        <is>
          <t xml:space="preserve">New business</t>
        </is>
      </c>
      <c r="F57" s="30" t="inlineStr">
        <is>
          <t xml:space="preserve">B1234EXOTIC26</t>
        </is>
      </c>
      <c r="G57" s="33">
        <f>IF($A57="","",IF($C57="","",YEAR($C57)))</f>
      </c>
      <c r="H57" s="34">
        <v>1967</v>
      </c>
      <c r="I57" s="30" t="inlineStr">
        <is>
          <t xml:space="preserve">Porsche</t>
        </is>
      </c>
      <c r="J57" s="30" t="inlineStr">
        <is>
          <t xml:space="preserve">911 Turbo S</t>
        </is>
      </c>
      <c r="K57" s="30" t="inlineStr">
        <is>
          <t xml:space="preserve">E7V2397JLFAMF8TG8</t>
        </is>
      </c>
      <c r="L57" s="32" t="inlineStr">
        <is>
          <t xml:space="preserve">02 - Sports / GT</t>
        </is>
      </c>
      <c r="M57" s="35">
        <v>260000</v>
      </c>
      <c r="N57" s="32" t="inlineStr">
        <is>
          <t xml:space="preserve">Personal</t>
        </is>
      </c>
      <c r="O57" s="30" t="inlineStr">
        <is>
          <t xml:space="preserve">Personal - regular use</t>
        </is>
      </c>
      <c r="P57" s="30" t="inlineStr">
        <is>
          <t xml:space="preserve">1,000 - 2,500</t>
        </is>
      </c>
      <c r="Q57" s="30" t="inlineStr">
        <is>
          <t xml:space="preserve">Connecticut</t>
        </is>
      </c>
      <c r="R57" s="30" t="inlineStr">
        <is>
          <t xml:space="preserve">06103</t>
        </is>
      </c>
      <c r="S57" s="32" t="inlineStr">
        <is>
          <t xml:space="preserve">Tier 3 - Coastal wind (25-100 miles)</t>
        </is>
      </c>
      <c r="T57" s="36">
        <f>IF($A57="","",IF($S57="","",IFERROR(INDEX('[1]natural catastrophe'!$D$6:$D$17,MATCH($S57,'[1]natural catastrophe'!$B$6:$B$17,0)),"?")))</f>
      </c>
      <c r="U57" s="30" t="inlineStr">
        <is>
          <t xml:space="preserve">2% of agreed value, minimum $10,000</t>
        </is>
      </c>
      <c r="V57" s="32" t="inlineStr">
        <is>
          <t xml:space="preserve">Agreed Value</t>
        </is>
      </c>
      <c r="W57" s="30" t="inlineStr">
        <is>
          <t xml:space="preserve">$1,000</t>
        </is>
      </c>
      <c r="X57" s="32" t="inlineStr">
        <is>
          <t xml:space="preserve">$1,000,000 CSL</t>
        </is>
      </c>
      <c r="Y57" s="30"/>
      <c r="Z57" s="30"/>
      <c r="AA57" s="32" t="inlineStr">
        <is>
          <t xml:space="preserve">Surplus Lines</t>
        </is>
      </c>
      <c r="AB57" s="35">
        <v>3151.55</v>
      </c>
      <c r="AC57" s="37">
        <v>0</v>
      </c>
      <c r="AD57" s="38">
        <f>IF(ISNUMBER($AB57),$AB57*(1+N($AC57)),"")</f>
      </c>
      <c r="AE57" s="35">
        <v>350</v>
      </c>
      <c r="AF57" s="35">
        <v>0</v>
      </c>
      <c r="AG57" s="37"/>
      <c r="AH57" s="39">
        <f>IF(ISNUMBER($AD57),($AD57+$AE57+$AF57)*$AG57,"")</f>
      </c>
      <c r="AI57" s="35"/>
      <c r="AJ57" s="38">
        <f>IF(ISNUMBER($AD57),SUM($AD57:$AH57),"")</f>
      </c>
      <c r="AK57" s="40">
        <f>IF(AND(ISNUMBER($AB57),ISNUMBER($AD57)),IF($AB57&gt;0,$AD57/$AB57,""),"")</f>
      </c>
      <c r="AL57" s="32" t="inlineStr">
        <is>
          <t xml:space="preserve">At technical</t>
        </is>
      </c>
      <c r="AM57" s="41">
        <f>IF(ISNUMBER($AD57),Header!$I$3,"")</f>
      </c>
      <c r="AN57" s="39">
        <f>IF(ISNUMBER($AD57),$AO57+$AP57,"")</f>
      </c>
      <c r="AO57" s="39">
        <f>IF(ISNUMBER($AD57),ROUND($AD57*Header!$K$3,2),"")</f>
      </c>
      <c r="AP57" s="39">
        <f>IF(ISNUMBER($AD57),ROUND($AD57*Header!$M$3,2),"")</f>
      </c>
      <c r="AQ57" s="38">
        <f>IF(ISNUMBER($AD57),ROUND($AD57,2)-$AO57-$AP57,"")</f>
      </c>
      <c r="AR57" s="39">
        <f>IF(ISNUMBER($AD57),IF(Header!$D$34="","?",$AD57*Header!$D$34),"")</f>
      </c>
      <c r="AS57" s="39">
        <f>IF(ISNUMBER($AB57),IF(Header!$D$34="","?",$AB57*Header!$D$34),"")</f>
      </c>
      <c r="AT57" s="42">
        <f>IF(AND(ISNUMBER($AB57),$M57&gt;0),$AB57/$M57*100,"")</f>
      </c>
      <c r="AU57" s="42">
        <f>IF(AND(ISNUMBER($AD57),$M57&gt;0),$AD57/$M57*100,"")</f>
      </c>
      <c r="AV57" s="40">
        <f>IF(AND(ISNUMBER($AB57),ISNUMBER($AD57),ABS($AB57)&gt;0),$AD57/$AB57,"")</f>
      </c>
      <c r="AW57" s="39">
        <f>IF(ISNUMBER($AD57),MAX(0,(1-0.55-Header!$O$3)*Header!$Q$3*$AQ57),"")</f>
      </c>
      <c r="AX57" s="43">
        <f>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c>
      <c r="AY57" s="44">
        <f>IF($M57="","",IF(ISNUMBER($M57),IF($M57&gt;=Header!$C$18,"YES — refer","No"),""))</f>
      </c>
      <c r="AZ57" s="44">
        <f>IF($AD57="","",IF(ISNUMBER($AD57),IF($AD57&lt;Header!$C$20,"BELOW MIN PREMIUM","OK"),""))</f>
      </c>
      <c r="BA57" s="32" t="inlineStr">
        <is>
          <t xml:space="preserve">Yes</t>
        </is>
      </c>
      <c r="BB57" s="32" t="inlineStr">
        <is>
          <t xml:space="preserve">Yes</t>
        </is>
      </c>
      <c r="BC57" s="30" t="inlineStr">
        <is>
          <t xml:space="preserve">Synthetic demo data</t>
        </is>
      </c>
      <c r="BE57" s="45">
        <f>IF(OR($A57="",$L57="",$H57=""),"",IF(AND(LEFT($L57,2)="06",$H57&gt;1945),"FAIL - pre-war class, year "&amp;$H57,IF(AND(LEFT($L57,2)="07",OR($H57&lt;1946,$H57&gt;1972)),"FAIL - 1946-72 class, year "&amp;$H57,IF(AND(LEFT($L57,2)="08",OR($H57&lt;1973,$H57&gt;1999)),"FAIL - 1973-99 class, year "&amp;$H57,IF(AND(LEFT($L57,2)="09",OR($H57&lt;2000,$H57&gt;2010)),"FAIL - 2000-10 class, year "&amp;$H57,"OK")))))</f>
      </c>
      <c r="BF57" s="45">
        <f>IF($AD57="","",IF(ROUND($AO57+$AP57+$AQ57-$AD57,2)=0,"OK","FAIL - out by "&amp;TEXT($AO57+$AP57+$AQ57-$AD57,"$0.00")))</f>
      </c>
    </row>
    <row r="58" spans="1:58" ht="18.75" customHeight="1" x14ac:dyDescent="0.25">
      <c r="A58" s="46" t="inlineStr">
        <is>
          <t xml:space="preserve">CANON-202606-008477</t>
        </is>
      </c>
      <c r="B58" s="46" t="inlineStr">
        <is>
          <t xml:space="preserve">Ottilie Kingsford</t>
        </is>
      </c>
      <c r="C58" s="47">
        <v>46184</v>
      </c>
      <c r="D58" s="48" t="inlineStr">
        <is>
          <t xml:space="preserve">Bound - within authority</t>
        </is>
      </c>
      <c r="E58" s="48" t="inlineStr">
        <is>
          <t xml:space="preserve">New business</t>
        </is>
      </c>
      <c r="F58" s="46" t="inlineStr">
        <is>
          <t xml:space="preserve">B1234EXOTIC26</t>
        </is>
      </c>
      <c r="G58" s="33">
        <f>IF($A58="","",IF($C58="","",YEAR($C58)))</f>
      </c>
      <c r="H58" s="49">
        <v>1990</v>
      </c>
      <c r="I58" s="46" t="inlineStr">
        <is>
          <t xml:space="preserve">Bentley</t>
        </is>
      </c>
      <c r="J58" s="46" t="inlineStr">
        <is>
          <t xml:space="preserve">Continental GT</t>
        </is>
      </c>
      <c r="K58" s="46" t="inlineStr">
        <is>
          <t xml:space="preserve">XYK94MV3FDFRNWPMD</t>
        </is>
      </c>
      <c r="L58" s="48" t="inlineStr">
        <is>
          <t xml:space="preserve">02 - Sports / GT</t>
        </is>
      </c>
      <c r="M58" s="50">
        <v>285000</v>
      </c>
      <c r="N58" s="48" t="inlineStr">
        <is>
          <t xml:space="preserve">Personal</t>
        </is>
      </c>
      <c r="O58" s="46" t="inlineStr">
        <is>
          <t xml:space="preserve">Personal - regular use</t>
        </is>
      </c>
      <c r="P58" s="46" t="inlineStr">
        <is>
          <t xml:space="preserve">2,500 - 5,000</t>
        </is>
      </c>
      <c r="Q58" s="46" t="inlineStr">
        <is>
          <t xml:space="preserve">Colorado</t>
        </is>
      </c>
      <c r="R58" s="46" t="inlineStr">
        <is>
          <t xml:space="preserve">80202</t>
        </is>
      </c>
      <c r="S58" s="48" t="inlineStr">
        <is>
          <t xml:space="preserve">Severe convective - hail alley (high)</t>
        </is>
      </c>
      <c r="T58" s="36">
        <f>IF($A58="","",IF($S58="","",IFERROR(INDEX('[1]natural catastrophe'!$D$6:$D$17,MATCH($S58,'[1]natural catastrophe'!$B$6:$B$17,0)),"?")))</f>
      </c>
      <c r="U58" s="46" t="inlineStr">
        <is>
          <t xml:space="preserve">$5,000</t>
        </is>
      </c>
      <c r="V58" s="48" t="inlineStr">
        <is>
          <t xml:space="preserve">Agreed Value</t>
        </is>
      </c>
      <c r="W58" s="46" t="inlineStr">
        <is>
          <t xml:space="preserve">$1,000</t>
        </is>
      </c>
      <c r="X58" s="48" t="inlineStr">
        <is>
          <t xml:space="preserve">$1,000,000 CSL</t>
        </is>
      </c>
      <c r="Y58" s="46"/>
      <c r="Z58" s="46"/>
      <c r="AA58" s="48" t="inlineStr">
        <is>
          <t xml:space="preserve">Surplus Lines</t>
        </is>
      </c>
      <c r="AB58" s="50">
        <v>3392.9</v>
      </c>
      <c r="AC58" s="51">
        <v>0</v>
      </c>
      <c r="AD58" s="38">
        <f>IF(ISNUMBER($AB58),$AB58*(1+N($AC58)),"")</f>
      </c>
      <c r="AE58" s="50">
        <v>350</v>
      </c>
      <c r="AF58" s="50">
        <v>0</v>
      </c>
      <c r="AG58" s="51"/>
      <c r="AH58" s="39">
        <f>IF(ISNUMBER($AD58),($AD58+$AE58+$AF58)*$AG58,"")</f>
      </c>
      <c r="AI58" s="50"/>
      <c r="AJ58" s="38">
        <f>IF(ISNUMBER($AD58),SUM($AD58:$AH58),"")</f>
      </c>
      <c r="AK58" s="40">
        <f>IF(AND(ISNUMBER($AB58),ISNUMBER($AD58)),IF($AB58&gt;0,$AD58/$AB58,""),"")</f>
      </c>
      <c r="AL58" s="48" t="inlineStr">
        <is>
          <t xml:space="preserve">At technical</t>
        </is>
      </c>
      <c r="AM58" s="41">
        <f>IF(ISNUMBER($AD58),Header!$I$3,"")</f>
      </c>
      <c r="AN58" s="39">
        <f>IF(ISNUMBER($AD58),$AO58+$AP58,"")</f>
      </c>
      <c r="AO58" s="39">
        <f>IF(ISNUMBER($AD58),ROUND($AD58*Header!$K$3,2),"")</f>
      </c>
      <c r="AP58" s="39">
        <f>IF(ISNUMBER($AD58),ROUND($AD58*Header!$M$3,2),"")</f>
      </c>
      <c r="AQ58" s="38">
        <f>IF(ISNUMBER($AD58),ROUND($AD58,2)-$AO58-$AP58,"")</f>
      </c>
      <c r="AR58" s="39">
        <f>IF(ISNUMBER($AD58),IF(Header!$D$34="","?",$AD58*Header!$D$34),"")</f>
      </c>
      <c r="AS58" s="39">
        <f>IF(ISNUMBER($AB58),IF(Header!$D$34="","?",$AB58*Header!$D$34),"")</f>
      </c>
      <c r="AT58" s="42">
        <f>IF(AND(ISNUMBER($AB58),$M58&gt;0),$AB58/$M58*100,"")</f>
      </c>
      <c r="AU58" s="42">
        <f>IF(AND(ISNUMBER($AD58),$M58&gt;0),$AD58/$M58*100,"")</f>
      </c>
      <c r="AV58" s="40">
        <f>IF(AND(ISNUMBER($AB58),ISNUMBER($AD58),ABS($AB58)&gt;0),$AD58/$AB58,"")</f>
      </c>
      <c r="AW58" s="39">
        <f>IF(ISNUMBER($AD58),MAX(0,(1-0.55-Header!$O$3)*Header!$Q$3*$AQ58),"")</f>
      </c>
      <c r="AX58" s="43">
        <f>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c>
      <c r="AY58" s="44">
        <f>IF($M58="","",IF(ISNUMBER($M58),IF($M58&gt;=Header!$C$18,"YES — refer","No"),""))</f>
      </c>
      <c r="AZ58" s="44">
        <f>IF($AD58="","",IF(ISNUMBER($AD58),IF($AD58&lt;Header!$C$20,"BELOW MIN PREMIUM","OK"),""))</f>
      </c>
      <c r="BA58" s="48" t="inlineStr">
        <is>
          <t xml:space="preserve">Yes</t>
        </is>
      </c>
      <c r="BB58" s="48" t="inlineStr">
        <is>
          <t xml:space="preserve">Yes</t>
        </is>
      </c>
      <c r="BC58" s="46" t="inlineStr">
        <is>
          <t xml:space="preserve">Synthetic demo data</t>
        </is>
      </c>
      <c r="BE58" s="45">
        <f>IF(OR($A58="",$L58="",$H58=""),"",IF(AND(LEFT($L58,2)="06",$H58&gt;1945),"FAIL - pre-war class, year "&amp;$H58,IF(AND(LEFT($L58,2)="07",OR($H58&lt;1946,$H58&gt;1972)),"FAIL - 1946-72 class, year "&amp;$H58,IF(AND(LEFT($L58,2)="08",OR($H58&lt;1973,$H58&gt;1999)),"FAIL - 1973-99 class, year "&amp;$H58,IF(AND(LEFT($L58,2)="09",OR($H58&lt;2000,$H58&gt;2010)),"FAIL - 2000-10 class, year "&amp;$H58,"OK")))))</f>
      </c>
      <c r="BF58" s="45">
        <f>IF($AD58="","",IF(ROUND($AO58+$AP58+$AQ58-$AD58,2)=0,"OK","FAIL - out by "&amp;TEXT($AO58+$AP58+$AQ58-$AD58,"$0.00")))</f>
      </c>
    </row>
    <row r="59" spans="1:58" ht="18.75" customHeight="1" x14ac:dyDescent="0.25">
      <c r="A59" s="30" t="inlineStr">
        <is>
          <t xml:space="preserve">CANON-202606-008478</t>
        </is>
      </c>
      <c r="B59" s="30" t="inlineStr">
        <is>
          <t xml:space="preserve">Delphine Bellandi</t>
        </is>
      </c>
      <c r="C59" s="31">
        <v>46185</v>
      </c>
      <c r="D59" s="32" t="inlineStr">
        <is>
          <t xml:space="preserve">Bound - within authority</t>
        </is>
      </c>
      <c r="E59" s="32" t="inlineStr">
        <is>
          <t xml:space="preserve">New business</t>
        </is>
      </c>
      <c r="F59" s="30" t="inlineStr">
        <is>
          <t xml:space="preserve">B1234EXOTIC26</t>
        </is>
      </c>
      <c r="G59" s="33">
        <f>IF($A59="","",IF($C59="","",YEAR($C59)))</f>
      </c>
      <c r="H59" s="34">
        <v>2006</v>
      </c>
      <c r="I59" s="30" t="inlineStr">
        <is>
          <t xml:space="preserve">BMW</t>
        </is>
      </c>
      <c r="J59" s="30" t="inlineStr">
        <is>
          <t xml:space="preserve">M8 Competition</t>
        </is>
      </c>
      <c r="K59" s="30" t="inlineStr">
        <is>
          <t xml:space="preserve">0CKPNWDRAJTXUAGC3</t>
        </is>
      </c>
      <c r="L59" s="32" t="inlineStr">
        <is>
          <t xml:space="preserve">02 - Sports / GT</t>
        </is>
      </c>
      <c r="M59" s="35">
        <v>690000</v>
      </c>
      <c r="N59" s="32" t="inlineStr">
        <is>
          <t xml:space="preserve">Personal</t>
        </is>
      </c>
      <c r="O59" s="30" t="inlineStr">
        <is>
          <t xml:space="preserve">Personal - regular use</t>
        </is>
      </c>
      <c r="P59" s="30" t="inlineStr">
        <is>
          <t xml:space="preserve">Under 1,000</t>
        </is>
      </c>
      <c r="Q59" s="30" t="inlineStr">
        <is>
          <t xml:space="preserve">New Jersey</t>
        </is>
      </c>
      <c r="R59" s="30" t="inlineStr">
        <is>
          <t xml:space="preserve">07102</t>
        </is>
      </c>
      <c r="S59" s="32" t="inlineStr">
        <is>
          <t xml:space="preserve">Tier 3 - Coastal wind (25-100 miles)</t>
        </is>
      </c>
      <c r="T59" s="36">
        <f>IF($A59="","",IF($S59="","",IFERROR(INDEX('[1]natural catastrophe'!$D$6:$D$17,MATCH($S59,'[1]natural catastrophe'!$B$6:$B$17,0)),"?")))</f>
      </c>
      <c r="U59" s="30" t="inlineStr">
        <is>
          <t xml:space="preserve">2% of agreed value, minimum $10,000</t>
        </is>
      </c>
      <c r="V59" s="32" t="inlineStr">
        <is>
          <t xml:space="preserve">Agreed Value</t>
        </is>
      </c>
      <c r="W59" s="30" t="inlineStr">
        <is>
          <t xml:space="preserve">$1,000</t>
        </is>
      </c>
      <c r="X59" s="32" t="inlineStr">
        <is>
          <t xml:space="preserve">$1,000,000 CSL</t>
        </is>
      </c>
      <c r="Y59" s="30"/>
      <c r="Z59" s="30"/>
      <c r="AA59" s="32" t="inlineStr">
        <is>
          <t xml:space="preserve">Surplus Lines</t>
        </is>
      </c>
      <c r="AB59" s="35">
        <v>5889.46</v>
      </c>
      <c r="AC59" s="37">
        <v>0</v>
      </c>
      <c r="AD59" s="38">
        <f>IF(ISNUMBER($AB59),$AB59*(1+N($AC59)),"")</f>
      </c>
      <c r="AE59" s="35">
        <v>350</v>
      </c>
      <c r="AF59" s="35">
        <v>0</v>
      </c>
      <c r="AG59" s="37"/>
      <c r="AH59" s="39">
        <f>IF(ISNUMBER($AD59),($AD59+$AE59+$AF59)*$AG59,"")</f>
      </c>
      <c r="AI59" s="35"/>
      <c r="AJ59" s="38">
        <f>IF(ISNUMBER($AD59),SUM($AD59:$AH59),"")</f>
      </c>
      <c r="AK59" s="40">
        <f>IF(AND(ISNUMBER($AB59),ISNUMBER($AD59)),IF($AB59&gt;0,$AD59/$AB59,""),"")</f>
      </c>
      <c r="AL59" s="32" t="inlineStr">
        <is>
          <t xml:space="preserve">At technical</t>
        </is>
      </c>
      <c r="AM59" s="41">
        <f>IF(ISNUMBER($AD59),Header!$I$3,"")</f>
      </c>
      <c r="AN59" s="39">
        <f>IF(ISNUMBER($AD59),$AO59+$AP59,"")</f>
      </c>
      <c r="AO59" s="39">
        <f>IF(ISNUMBER($AD59),ROUND($AD59*Header!$K$3,2),"")</f>
      </c>
      <c r="AP59" s="39">
        <f>IF(ISNUMBER($AD59),ROUND($AD59*Header!$M$3,2),"")</f>
      </c>
      <c r="AQ59" s="38">
        <f>IF(ISNUMBER($AD59),ROUND($AD59,2)-$AO59-$AP59,"")</f>
      </c>
      <c r="AR59" s="39">
        <f>IF(ISNUMBER($AD59),IF(Header!$D$34="","?",$AD59*Header!$D$34),"")</f>
      </c>
      <c r="AS59" s="39">
        <f>IF(ISNUMBER($AB59),IF(Header!$D$34="","?",$AB59*Header!$D$34),"")</f>
      </c>
      <c r="AT59" s="42">
        <f>IF(AND(ISNUMBER($AB59),$M59&gt;0),$AB59/$M59*100,"")</f>
      </c>
      <c r="AU59" s="42">
        <f>IF(AND(ISNUMBER($AD59),$M59&gt;0),$AD59/$M59*100,"")</f>
      </c>
      <c r="AV59" s="40">
        <f>IF(AND(ISNUMBER($AB59),ISNUMBER($AD59),ABS($AB59)&gt;0),$AD59/$AB59,"")</f>
      </c>
      <c r="AW59" s="39">
        <f>IF(ISNUMBER($AD59),MAX(0,(1-0.55-Header!$O$3)*Header!$Q$3*$AQ59),"")</f>
      </c>
      <c r="AX59" s="43">
        <f>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c>
      <c r="AY59" s="44">
        <f>IF($M59="","",IF(ISNUMBER($M59),IF($M59&gt;=Header!$C$18,"YES — refer","No"),""))</f>
      </c>
      <c r="AZ59" s="44">
        <f>IF($AD59="","",IF(ISNUMBER($AD59),IF($AD59&lt;Header!$C$20,"BELOW MIN PREMIUM","OK"),""))</f>
      </c>
      <c r="BA59" s="32" t="inlineStr">
        <is>
          <t xml:space="preserve">Yes</t>
        </is>
      </c>
      <c r="BB59" s="32" t="inlineStr">
        <is>
          <t xml:space="preserve">Yes</t>
        </is>
      </c>
      <c r="BC59" s="30" t="inlineStr">
        <is>
          <t xml:space="preserve">Synthetic demo data</t>
        </is>
      </c>
      <c r="BE59" s="45">
        <f>IF(OR($A59="",$L59="",$H59=""),"",IF(AND(LEFT($L59,2)="06",$H59&gt;1945),"FAIL - pre-war class, year "&amp;$H59,IF(AND(LEFT($L59,2)="07",OR($H59&lt;1946,$H59&gt;1972)),"FAIL - 1946-72 class, year "&amp;$H59,IF(AND(LEFT($L59,2)="08",OR($H59&lt;1973,$H59&gt;1999)),"FAIL - 1973-99 class, year "&amp;$H59,IF(AND(LEFT($L59,2)="09",OR($H59&lt;2000,$H59&gt;2010)),"FAIL - 2000-10 class, year "&amp;$H59,"OK")))))</f>
      </c>
      <c r="BF59" s="45">
        <f>IF($AD59="","",IF(ROUND($AO59+$AP59+$AQ59-$AD59,2)=0,"OK","FAIL - out by "&amp;TEXT($AO59+$AP59+$AQ59-$AD59,"$0.00")))</f>
      </c>
    </row>
    <row r="60" spans="1:58" ht="18.75" customHeight="1" x14ac:dyDescent="0.25">
      <c r="A60" s="46" t="inlineStr">
        <is>
          <t xml:space="preserve">CANON-202606-008479</t>
        </is>
      </c>
      <c r="B60" s="46" t="inlineStr">
        <is>
          <t xml:space="preserve">Ottilie Farkas</t>
        </is>
      </c>
      <c r="C60" s="47">
        <v>46182</v>
      </c>
      <c r="D60" s="48" t="inlineStr">
        <is>
          <t xml:space="preserve">Bound - within authority</t>
        </is>
      </c>
      <c r="E60" s="48" t="inlineStr">
        <is>
          <t xml:space="preserve">New business</t>
        </is>
      </c>
      <c r="F60" s="46" t="inlineStr">
        <is>
          <t xml:space="preserve">B1234EXOTIC26</t>
        </is>
      </c>
      <c r="G60" s="33">
        <f>IF($A60="","",IF($C60="","",YEAR($C60)))</f>
      </c>
      <c r="H60" s="49">
        <v>1977</v>
      </c>
      <c r="I60" s="46" t="inlineStr">
        <is>
          <t xml:space="preserve">Jaguar</t>
        </is>
      </c>
      <c r="J60" s="46" t="inlineStr">
        <is>
          <t xml:space="preserve">E-Type Series 1</t>
        </is>
      </c>
      <c r="K60" s="46" t="inlineStr">
        <is>
          <t xml:space="preserve">MZDD92J2W13L4XBC9</t>
        </is>
      </c>
      <c r="L60" s="48" t="inlineStr">
        <is>
          <t xml:space="preserve">08 - Modern Classic (1973-1999)</t>
        </is>
      </c>
      <c r="M60" s="50">
        <v>355000</v>
      </c>
      <c r="N60" s="48" t="inlineStr">
        <is>
          <t xml:space="preserve">Personal</t>
        </is>
      </c>
      <c r="O60" s="46" t="inlineStr">
        <is>
          <t xml:space="preserve">Personal - regular use</t>
        </is>
      </c>
      <c r="P60" s="46" t="inlineStr">
        <is>
          <t xml:space="preserve">2,500 - 5,000</t>
        </is>
      </c>
      <c r="Q60" s="46" t="inlineStr">
        <is>
          <t xml:space="preserve">Rhode Island</t>
        </is>
      </c>
      <c r="R60" s="46" t="inlineStr">
        <is>
          <t xml:space="preserve">02903</t>
        </is>
      </c>
      <c r="S60" s="48" t="inlineStr">
        <is>
          <t xml:space="preserve">Tier 3 - Coastal wind (25-100 miles)</t>
        </is>
      </c>
      <c r="T60" s="36">
        <f>IF($A60="","",IF($S60="","",IFERROR(INDEX('[1]natural catastrophe'!$D$6:$D$17,MATCH($S60,'[1]natural catastrophe'!$B$6:$B$17,0)),"?")))</f>
      </c>
      <c r="U60" s="46" t="inlineStr">
        <is>
          <t xml:space="preserve">2% of agreed value, minimum $10,000</t>
        </is>
      </c>
      <c r="V60" s="48" t="inlineStr">
        <is>
          <t xml:space="preserve">Agreed Value</t>
        </is>
      </c>
      <c r="W60" s="46" t="inlineStr">
        <is>
          <t xml:space="preserve">$1,000</t>
        </is>
      </c>
      <c r="X60" s="48" t="inlineStr">
        <is>
          <t xml:space="preserve">$1,000,000 CSL</t>
        </is>
      </c>
      <c r="Y60" s="46"/>
      <c r="Z60" s="46"/>
      <c r="AA60" s="48" t="inlineStr">
        <is>
          <t xml:space="preserve">Surplus Lines</t>
        </is>
      </c>
      <c r="AB60" s="50">
        <v>3368.7</v>
      </c>
      <c r="AC60" s="51">
        <v>0</v>
      </c>
      <c r="AD60" s="38">
        <f>IF(ISNUMBER($AB60),$AB60*(1+N($AC60)),"")</f>
      </c>
      <c r="AE60" s="50">
        <v>350</v>
      </c>
      <c r="AF60" s="50">
        <v>0</v>
      </c>
      <c r="AG60" s="51"/>
      <c r="AH60" s="39">
        <f>IF(ISNUMBER($AD60),($AD60+$AE60+$AF60)*$AG60,"")</f>
      </c>
      <c r="AI60" s="50"/>
      <c r="AJ60" s="38">
        <f>IF(ISNUMBER($AD60),SUM($AD60:$AH60),"")</f>
      </c>
      <c r="AK60" s="40">
        <f>IF(AND(ISNUMBER($AB60),ISNUMBER($AD60)),IF($AB60&gt;0,$AD60/$AB60,""),"")</f>
      </c>
      <c r="AL60" s="48" t="inlineStr">
        <is>
          <t xml:space="preserve">At technical</t>
        </is>
      </c>
      <c r="AM60" s="41">
        <f>IF(ISNUMBER($AD60),Header!$I$3,"")</f>
      </c>
      <c r="AN60" s="39">
        <f>IF(ISNUMBER($AD60),$AO60+$AP60,"")</f>
      </c>
      <c r="AO60" s="39">
        <f>IF(ISNUMBER($AD60),ROUND($AD60*Header!$K$3,2),"")</f>
      </c>
      <c r="AP60" s="39">
        <f>IF(ISNUMBER($AD60),ROUND($AD60*Header!$M$3,2),"")</f>
      </c>
      <c r="AQ60" s="38">
        <f>IF(ISNUMBER($AD60),ROUND($AD60,2)-$AO60-$AP60,"")</f>
      </c>
      <c r="AR60" s="39">
        <f>IF(ISNUMBER($AD60),IF(Header!$D$34="","?",$AD60*Header!$D$34),"")</f>
      </c>
      <c r="AS60" s="39">
        <f>IF(ISNUMBER($AB60),IF(Header!$D$34="","?",$AB60*Header!$D$34),"")</f>
      </c>
      <c r="AT60" s="42">
        <f>IF(AND(ISNUMBER($AB60),$M60&gt;0),$AB60/$M60*100,"")</f>
      </c>
      <c r="AU60" s="42">
        <f>IF(AND(ISNUMBER($AD60),$M60&gt;0),$AD60/$M60*100,"")</f>
      </c>
      <c r="AV60" s="40">
        <f>IF(AND(ISNUMBER($AB60),ISNUMBER($AD60),ABS($AB60)&gt;0),$AD60/$AB60,"")</f>
      </c>
      <c r="AW60" s="39">
        <f>IF(ISNUMBER($AD60),MAX(0,(1-0.55-Header!$O$3)*Header!$Q$3*$AQ60),"")</f>
      </c>
      <c r="AX60" s="43">
        <f>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c>
      <c r="AY60" s="44">
        <f>IF($M60="","",IF(ISNUMBER($M60),IF($M60&gt;=Header!$C$18,"YES — refer","No"),""))</f>
      </c>
      <c r="AZ60" s="44">
        <f>IF($AD60="","",IF(ISNUMBER($AD60),IF($AD60&lt;Header!$C$20,"BELOW MIN PREMIUM","OK"),""))</f>
      </c>
      <c r="BA60" s="48" t="inlineStr">
        <is>
          <t xml:space="preserve">Yes</t>
        </is>
      </c>
      <c r="BB60" s="48" t="inlineStr">
        <is>
          <t xml:space="preserve">Yes</t>
        </is>
      </c>
      <c r="BC60" s="46" t="inlineStr">
        <is>
          <t xml:space="preserve">Synthetic demo data</t>
        </is>
      </c>
      <c r="BE60" s="45">
        <f>IF(OR($A60="",$L60="",$H60=""),"",IF(AND(LEFT($L60,2)="06",$H60&gt;1945),"FAIL - pre-war class, year "&amp;$H60,IF(AND(LEFT($L60,2)="07",OR($H60&lt;1946,$H60&gt;1972)),"FAIL - 1946-72 class, year "&amp;$H60,IF(AND(LEFT($L60,2)="08",OR($H60&lt;1973,$H60&gt;1999)),"FAIL - 1973-99 class, year "&amp;$H60,IF(AND(LEFT($L60,2)="09",OR($H60&lt;2000,$H60&gt;2010)),"FAIL - 2000-10 class, year "&amp;$H60,"OK")))))</f>
      </c>
      <c r="BF60" s="45">
        <f>IF($AD60="","",IF(ROUND($AO60+$AP60+$AQ60-$AD60,2)=0,"OK","FAIL - out by "&amp;TEXT($AO60+$AP60+$AQ60-$AD60,"$0.00")))</f>
      </c>
    </row>
    <row r="61" spans="1:58" ht="18.75" customHeight="1" x14ac:dyDescent="0.25">
      <c r="A61" s="30" t="inlineStr">
        <is>
          <t xml:space="preserve">CANON-202606-008480</t>
        </is>
      </c>
      <c r="B61" s="30" t="inlineStr">
        <is>
          <t xml:space="preserve">Fitzgerald Castellanos</t>
        </is>
      </c>
      <c r="C61" s="31">
        <v>46182</v>
      </c>
      <c r="D61" s="32" t="inlineStr">
        <is>
          <t xml:space="preserve">Bound - within authority</t>
        </is>
      </c>
      <c r="E61" s="32" t="inlineStr">
        <is>
          <t xml:space="preserve">New business</t>
        </is>
      </c>
      <c r="F61" s="30" t="inlineStr">
        <is>
          <t xml:space="preserve">B1234EXOTIC26</t>
        </is>
      </c>
      <c r="G61" s="33">
        <f>IF($A61="","",IF($C61="","",YEAR($C61)))</f>
      </c>
      <c r="H61" s="34">
        <v>1965</v>
      </c>
      <c r="I61" s="30" t="inlineStr">
        <is>
          <t xml:space="preserve">Bentley</t>
        </is>
      </c>
      <c r="J61" s="30" t="inlineStr">
        <is>
          <t xml:space="preserve">Continental GT</t>
        </is>
      </c>
      <c r="K61" s="30" t="inlineStr">
        <is>
          <t xml:space="preserve">GCNCFX6NSJ7PRBYGD</t>
        </is>
      </c>
      <c r="L61" s="32" t="inlineStr">
        <is>
          <t xml:space="preserve">02 - Sports / GT</t>
        </is>
      </c>
      <c r="M61" s="35">
        <v>245000</v>
      </c>
      <c r="N61" s="32" t="inlineStr">
        <is>
          <t xml:space="preserve">Personal</t>
        </is>
      </c>
      <c r="O61" s="30" t="inlineStr">
        <is>
          <t xml:space="preserve">Personal - regular use</t>
        </is>
      </c>
      <c r="P61" s="30" t="inlineStr">
        <is>
          <t xml:space="preserve">Under 1,000</t>
        </is>
      </c>
      <c r="Q61" s="30" t="inlineStr">
        <is>
          <t xml:space="preserve">New York</t>
        </is>
      </c>
      <c r="R61" s="30" t="inlineStr">
        <is>
          <t xml:space="preserve">10022</t>
        </is>
      </c>
      <c r="S61" s="32" t="inlineStr">
        <is>
          <t xml:space="preserve">Tier 3 - Coastal wind (25-100 miles)</t>
        </is>
      </c>
      <c r="T61" s="36">
        <f>IF($A61="","",IF($S61="","",IFERROR(INDEX('[1]natural catastrophe'!$D$6:$D$17,MATCH($S61,'[1]natural catastrophe'!$B$6:$B$17,0)),"?")))</f>
      </c>
      <c r="U61" s="30" t="inlineStr">
        <is>
          <t xml:space="preserve">2% of agreed value, minimum $10,000</t>
        </is>
      </c>
      <c r="V61" s="32" t="inlineStr">
        <is>
          <t xml:space="preserve">Agreed Value</t>
        </is>
      </c>
      <c r="W61" s="30" t="inlineStr">
        <is>
          <t xml:space="preserve">$1,000</t>
        </is>
      </c>
      <c r="X61" s="32" t="inlineStr">
        <is>
          <t xml:space="preserve">$1,000,000 CSL</t>
        </is>
      </c>
      <c r="Y61" s="30"/>
      <c r="Z61" s="30"/>
      <c r="AA61" s="32" t="inlineStr">
        <is>
          <t xml:space="preserve">Surplus Lines</t>
        </is>
      </c>
      <c r="AB61" s="35">
        <v>4163.28</v>
      </c>
      <c r="AC61" s="37">
        <v>0</v>
      </c>
      <c r="AD61" s="38">
        <f>IF(ISNUMBER($AB61),$AB61*(1+N($AC61)),"")</f>
      </c>
      <c r="AE61" s="35">
        <v>350</v>
      </c>
      <c r="AF61" s="35">
        <v>0</v>
      </c>
      <c r="AG61" s="37"/>
      <c r="AH61" s="39">
        <f>IF(ISNUMBER($AD61),($AD61+$AE61+$AF61)*$AG61,"")</f>
      </c>
      <c r="AI61" s="35"/>
      <c r="AJ61" s="38">
        <f>IF(ISNUMBER($AD61),SUM($AD61:$AH61),"")</f>
      </c>
      <c r="AK61" s="40">
        <f>IF(AND(ISNUMBER($AB61),ISNUMBER($AD61)),IF($AB61&gt;0,$AD61/$AB61,""),"")</f>
      </c>
      <c r="AL61" s="32" t="inlineStr">
        <is>
          <t xml:space="preserve">At technical</t>
        </is>
      </c>
      <c r="AM61" s="41">
        <f>IF(ISNUMBER($AD61),Header!$I$3,"")</f>
      </c>
      <c r="AN61" s="39">
        <f>IF(ISNUMBER($AD61),$AO61+$AP61,"")</f>
      </c>
      <c r="AO61" s="39">
        <f>IF(ISNUMBER($AD61),ROUND($AD61*Header!$K$3,2),"")</f>
      </c>
      <c r="AP61" s="39">
        <f>IF(ISNUMBER($AD61),ROUND($AD61*Header!$M$3,2),"")</f>
      </c>
      <c r="AQ61" s="38">
        <f>IF(ISNUMBER($AD61),ROUND($AD61,2)-$AO61-$AP61,"")</f>
      </c>
      <c r="AR61" s="39">
        <f>IF(ISNUMBER($AD61),IF(Header!$D$34="","?",$AD61*Header!$D$34),"")</f>
      </c>
      <c r="AS61" s="39">
        <f>IF(ISNUMBER($AB61),IF(Header!$D$34="","?",$AB61*Header!$D$34),"")</f>
      </c>
      <c r="AT61" s="42">
        <f>IF(AND(ISNUMBER($AB61),$M61&gt;0),$AB61/$M61*100,"")</f>
      </c>
      <c r="AU61" s="42">
        <f>IF(AND(ISNUMBER($AD61),$M61&gt;0),$AD61/$M61*100,"")</f>
      </c>
      <c r="AV61" s="40">
        <f>IF(AND(ISNUMBER($AB61),ISNUMBER($AD61),ABS($AB61)&gt;0),$AD61/$AB61,"")</f>
      </c>
      <c r="AW61" s="39">
        <f>IF(ISNUMBER($AD61),MAX(0,(1-0.55-Header!$O$3)*Header!$Q$3*$AQ61),"")</f>
      </c>
      <c r="AX61" s="43">
        <f>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c>
      <c r="AY61" s="44">
        <f>IF($M61="","",IF(ISNUMBER($M61),IF($M61&gt;=Header!$C$18,"YES — refer","No"),""))</f>
      </c>
      <c r="AZ61" s="44">
        <f>IF($AD61="","",IF(ISNUMBER($AD61),IF($AD61&lt;Header!$C$20,"BELOW MIN PREMIUM","OK"),""))</f>
      </c>
      <c r="BA61" s="32" t="inlineStr">
        <is>
          <t xml:space="preserve">Yes</t>
        </is>
      </c>
      <c r="BB61" s="32" t="inlineStr">
        <is>
          <t xml:space="preserve">Yes</t>
        </is>
      </c>
      <c r="BC61" s="30" t="inlineStr">
        <is>
          <t xml:space="preserve">Synthetic demo data</t>
        </is>
      </c>
      <c r="BE61" s="45">
        <f>IF(OR($A61="",$L61="",$H61=""),"",IF(AND(LEFT($L61,2)="06",$H61&gt;1945),"FAIL - pre-war class, year "&amp;$H61,IF(AND(LEFT($L61,2)="07",OR($H61&lt;1946,$H61&gt;1972)),"FAIL - 1946-72 class, year "&amp;$H61,IF(AND(LEFT($L61,2)="08",OR($H61&lt;1973,$H61&gt;1999)),"FAIL - 1973-99 class, year "&amp;$H61,IF(AND(LEFT($L61,2)="09",OR($H61&lt;2000,$H61&gt;2010)),"FAIL - 2000-10 class, year "&amp;$H61,"OK")))))</f>
      </c>
      <c r="BF61" s="45">
        <f>IF($AD61="","",IF(ROUND($AO61+$AP61+$AQ61-$AD61,2)=0,"OK","FAIL - out by "&amp;TEXT($AO61+$AP61+$AQ61-$AD61,"$0.00")))</f>
      </c>
    </row>
    <row r="62" spans="1:58" ht="18.75" customHeight="1" x14ac:dyDescent="0.25">
      <c r="A62" s="46" t="inlineStr">
        <is>
          <t xml:space="preserve">CANON-202606-008481</t>
        </is>
      </c>
      <c r="B62" s="46" t="inlineStr">
        <is>
          <t xml:space="preserve">Noor Larsson</t>
        </is>
      </c>
      <c r="C62" s="47">
        <v>46182</v>
      </c>
      <c r="D62" s="48" t="inlineStr">
        <is>
          <t xml:space="preserve">Bound - within authority</t>
        </is>
      </c>
      <c r="E62" s="48" t="inlineStr">
        <is>
          <t xml:space="preserve">New business</t>
        </is>
      </c>
      <c r="F62" s="46" t="inlineStr">
        <is>
          <t xml:space="preserve">B1234EXOTIC26</t>
        </is>
      </c>
      <c r="G62" s="33">
        <f>IF($A62="","",IF($C62="","",YEAR($C62)))</f>
      </c>
      <c r="H62" s="49">
        <v>1960</v>
      </c>
      <c r="I62" s="46" t="inlineStr">
        <is>
          <t xml:space="preserve">Aston Martin</t>
        </is>
      </c>
      <c r="J62" s="46" t="inlineStr">
        <is>
          <t xml:space="preserve">DB12</t>
        </is>
      </c>
      <c r="K62" s="46" t="inlineStr">
        <is>
          <t xml:space="preserve">MMK81FSW3B4ZRUXDT</t>
        </is>
      </c>
      <c r="L62" s="48" t="inlineStr">
        <is>
          <t xml:space="preserve">02 - Sports / GT</t>
        </is>
      </c>
      <c r="M62" s="50">
        <v>520000</v>
      </c>
      <c r="N62" s="48" t="inlineStr">
        <is>
          <t xml:space="preserve">Personal</t>
        </is>
      </c>
      <c r="O62" s="46" t="inlineStr">
        <is>
          <t xml:space="preserve">Personal - regular use</t>
        </is>
      </c>
      <c r="P62" s="46" t="inlineStr">
        <is>
          <t xml:space="preserve">1,000 - 2,500</t>
        </is>
      </c>
      <c r="Q62" s="46" t="inlineStr">
        <is>
          <t xml:space="preserve">Michigan</t>
        </is>
      </c>
      <c r="R62" s="46" t="inlineStr">
        <is>
          <t xml:space="preserve">48226</t>
        </is>
      </c>
      <c r="S62" s="48" t="inlineStr">
        <is>
          <t xml:space="preserve">Severe convective - hail / tornado (moderate)</t>
        </is>
      </c>
      <c r="T62" s="36">
        <f>IF($A62="","",IF($S62="","",IFERROR(INDEX('[1]natural catastrophe'!$D$6:$D$17,MATCH($S62,'[1]natural catastrophe'!$B$6:$B$17,0)),"?")))</f>
      </c>
      <c r="U62" s="46" t="inlineStr">
        <is>
          <t xml:space="preserve">$5,000</t>
        </is>
      </c>
      <c r="V62" s="48" t="inlineStr">
        <is>
          <t xml:space="preserve">Agreed Value</t>
        </is>
      </c>
      <c r="W62" s="46" t="inlineStr">
        <is>
          <t xml:space="preserve">$1,000</t>
        </is>
      </c>
      <c r="X62" s="48" t="inlineStr">
        <is>
          <t xml:space="preserve">$1,000,000 CSL</t>
        </is>
      </c>
      <c r="Y62" s="46"/>
      <c r="Z62" s="46"/>
      <c r="AA62" s="48" t="inlineStr">
        <is>
          <t xml:space="preserve">Surplus Lines</t>
        </is>
      </c>
      <c r="AB62" s="50">
        <v>7559.98</v>
      </c>
      <c r="AC62" s="51">
        <v>0</v>
      </c>
      <c r="AD62" s="38">
        <f>IF(ISNUMBER($AB62),$AB62*(1+N($AC62)),"")</f>
      </c>
      <c r="AE62" s="50">
        <v>350</v>
      </c>
      <c r="AF62" s="50">
        <v>0</v>
      </c>
      <c r="AG62" s="51"/>
      <c r="AH62" s="39">
        <f>IF(ISNUMBER($AD62),($AD62+$AE62+$AF62)*$AG62,"")</f>
      </c>
      <c r="AI62" s="50"/>
      <c r="AJ62" s="38">
        <f>IF(ISNUMBER($AD62),SUM($AD62:$AH62),"")</f>
      </c>
      <c r="AK62" s="40">
        <f>IF(AND(ISNUMBER($AB62),ISNUMBER($AD62)),IF($AB62&gt;0,$AD62/$AB62,""),"")</f>
      </c>
      <c r="AL62" s="48" t="inlineStr">
        <is>
          <t xml:space="preserve">At technical</t>
        </is>
      </c>
      <c r="AM62" s="41">
        <f>IF(ISNUMBER($AD62),Header!$I$3,"")</f>
      </c>
      <c r="AN62" s="39">
        <f>IF(ISNUMBER($AD62),$AO62+$AP62,"")</f>
      </c>
      <c r="AO62" s="39">
        <f>IF(ISNUMBER($AD62),ROUND($AD62*Header!$K$3,2),"")</f>
      </c>
      <c r="AP62" s="39">
        <f>IF(ISNUMBER($AD62),ROUND($AD62*Header!$M$3,2),"")</f>
      </c>
      <c r="AQ62" s="38">
        <f>IF(ISNUMBER($AD62),ROUND($AD62,2)-$AO62-$AP62,"")</f>
      </c>
      <c r="AR62" s="39">
        <f>IF(ISNUMBER($AD62),IF(Header!$D$34="","?",$AD62*Header!$D$34),"")</f>
      </c>
      <c r="AS62" s="39">
        <f>IF(ISNUMBER($AB62),IF(Header!$D$34="","?",$AB62*Header!$D$34),"")</f>
      </c>
      <c r="AT62" s="42">
        <f>IF(AND(ISNUMBER($AB62),$M62&gt;0),$AB62/$M62*100,"")</f>
      </c>
      <c r="AU62" s="42">
        <f>IF(AND(ISNUMBER($AD62),$M62&gt;0),$AD62/$M62*100,"")</f>
      </c>
      <c r="AV62" s="40">
        <f>IF(AND(ISNUMBER($AB62),ISNUMBER($AD62),ABS($AB62)&gt;0),$AD62/$AB62,"")</f>
      </c>
      <c r="AW62" s="39">
        <f>IF(ISNUMBER($AD62),MAX(0,(1-0.55-Header!$O$3)*Header!$Q$3*$AQ62),"")</f>
      </c>
      <c r="AX62" s="43">
        <f>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c>
      <c r="AY62" s="44">
        <f>IF($M62="","",IF(ISNUMBER($M62),IF($M62&gt;=Header!$C$18,"YES — refer","No"),""))</f>
      </c>
      <c r="AZ62" s="44">
        <f>IF($AD62="","",IF(ISNUMBER($AD62),IF($AD62&lt;Header!$C$20,"BELOW MIN PREMIUM","OK"),""))</f>
      </c>
      <c r="BA62" s="48" t="inlineStr">
        <is>
          <t xml:space="preserve">Yes</t>
        </is>
      </c>
      <c r="BB62" s="48" t="inlineStr">
        <is>
          <t xml:space="preserve">Yes</t>
        </is>
      </c>
      <c r="BC62" s="46" t="inlineStr">
        <is>
          <t xml:space="preserve">Synthetic demo data</t>
        </is>
      </c>
      <c r="BE62" s="45">
        <f>IF(OR($A62="",$L62="",$H62=""),"",IF(AND(LEFT($L62,2)="06",$H62&gt;1945),"FAIL - pre-war class, year "&amp;$H62,IF(AND(LEFT($L62,2)="07",OR($H62&lt;1946,$H62&gt;1972)),"FAIL - 1946-72 class, year "&amp;$H62,IF(AND(LEFT($L62,2)="08",OR($H62&lt;1973,$H62&gt;1999)),"FAIL - 1973-99 class, year "&amp;$H62,IF(AND(LEFT($L62,2)="09",OR($H62&lt;2000,$H62&gt;2010)),"FAIL - 2000-10 class, year "&amp;$H62,"OK")))))</f>
      </c>
      <c r="BF62" s="45">
        <f>IF($AD62="","",IF(ROUND($AO62+$AP62+$AQ62-$AD62,2)=0,"OK","FAIL - out by "&amp;TEXT($AO62+$AP62+$AQ62-$AD62,"$0.00")))</f>
      </c>
    </row>
    <row r="63" spans="1:58" ht="18.75" customHeight="1" x14ac:dyDescent="0.25">
      <c r="A63" s="30" t="inlineStr">
        <is>
          <t xml:space="preserve">CANON-202606-008482</t>
        </is>
      </c>
      <c r="B63" s="30" t="inlineStr">
        <is>
          <t xml:space="preserve">Desmond Bellandi</t>
        </is>
      </c>
      <c r="C63" s="31">
        <v>46200</v>
      </c>
      <c r="D63" s="32" t="inlineStr">
        <is>
          <t xml:space="preserve">Bound - within authority</t>
        </is>
      </c>
      <c r="E63" s="32" t="inlineStr">
        <is>
          <t xml:space="preserve">New business</t>
        </is>
      </c>
      <c r="F63" s="30" t="inlineStr">
        <is>
          <t xml:space="preserve">B1234EXOTIC26</t>
        </is>
      </c>
      <c r="G63" s="33">
        <f>IF($A63="","",IF($C63="","",YEAR($C63)))</f>
      </c>
      <c r="H63" s="34">
        <v>1999</v>
      </c>
      <c r="I63" s="30" t="inlineStr">
        <is>
          <t xml:space="preserve">Lamborghini</t>
        </is>
      </c>
      <c r="J63" s="30" t="inlineStr">
        <is>
          <t xml:space="preserve">Huracan EVO</t>
        </is>
      </c>
      <c r="K63" s="30" t="inlineStr">
        <is>
          <t xml:space="preserve">VV7K5WZYT2BVPC2DL</t>
        </is>
      </c>
      <c r="L63" s="32" t="inlineStr">
        <is>
          <t xml:space="preserve">03 - Supercar</t>
        </is>
      </c>
      <c r="M63" s="35">
        <v>1905000</v>
      </c>
      <c r="N63" s="32" t="inlineStr">
        <is>
          <t xml:space="preserve">Personal</t>
        </is>
      </c>
      <c r="O63" s="30" t="inlineStr">
        <is>
          <t xml:space="preserve">Personal - regular use</t>
        </is>
      </c>
      <c r="P63" s="30" t="inlineStr">
        <is>
          <t xml:space="preserve">2,500 - 5,000</t>
        </is>
      </c>
      <c r="Q63" s="30" t="inlineStr">
        <is>
          <t xml:space="preserve">Kansas</t>
        </is>
      </c>
      <c r="R63" s="30" t="inlineStr">
        <is>
          <t xml:space="preserve">66603</t>
        </is>
      </c>
      <c r="S63" s="32" t="inlineStr">
        <is>
          <t xml:space="preserve">Severe convective - hail alley (high)</t>
        </is>
      </c>
      <c r="T63" s="36">
        <f>IF($A63="","",IF($S63="","",IFERROR(INDEX('[1]natural catastrophe'!$D$6:$D$17,MATCH($S63,'[1]natural catastrophe'!$B$6:$B$17,0)),"?")))</f>
      </c>
      <c r="U63" s="30" t="inlineStr">
        <is>
          <t xml:space="preserve">$5,000</t>
        </is>
      </c>
      <c r="V63" s="32" t="inlineStr">
        <is>
          <t xml:space="preserve">Agreed Value</t>
        </is>
      </c>
      <c r="W63" s="30" t="inlineStr">
        <is>
          <t xml:space="preserve">$1,000</t>
        </is>
      </c>
      <c r="X63" s="32" t="inlineStr">
        <is>
          <t xml:space="preserve">$1,000,000 CSL</t>
        </is>
      </c>
      <c r="Y63" s="30"/>
      <c r="Z63" s="30"/>
      <c r="AA63" s="32" t="inlineStr">
        <is>
          <t xml:space="preserve">Surplus Lines</t>
        </is>
      </c>
      <c r="AB63" s="35">
        <v>21331.86</v>
      </c>
      <c r="AC63" s="37">
        <v>0</v>
      </c>
      <c r="AD63" s="38">
        <f>IF(ISNUMBER($AB63),$AB63*(1+N($AC63)),"")</f>
      </c>
      <c r="AE63" s="35">
        <v>350</v>
      </c>
      <c r="AF63" s="35">
        <v>250</v>
      </c>
      <c r="AG63" s="37"/>
      <c r="AH63" s="39">
        <f>IF(ISNUMBER($AD63),($AD63+$AE63+$AF63)*$AG63,"")</f>
      </c>
      <c r="AI63" s="35"/>
      <c r="AJ63" s="38">
        <f>IF(ISNUMBER($AD63),SUM($AD63:$AH63),"")</f>
      </c>
      <c r="AK63" s="40">
        <f>IF(AND(ISNUMBER($AB63),ISNUMBER($AD63)),IF($AB63&gt;0,$AD63/$AB63,""),"")</f>
      </c>
      <c r="AL63" s="32" t="inlineStr">
        <is>
          <t xml:space="preserve">At technical</t>
        </is>
      </c>
      <c r="AM63" s="41">
        <f>IF(ISNUMBER($AD63),Header!$I$3,"")</f>
      </c>
      <c r="AN63" s="39">
        <f>IF(ISNUMBER($AD63),$AO63+$AP63,"")</f>
      </c>
      <c r="AO63" s="39">
        <f>IF(ISNUMBER($AD63),ROUND($AD63*Header!$K$3,2),"")</f>
      </c>
      <c r="AP63" s="39">
        <f>IF(ISNUMBER($AD63),ROUND($AD63*Header!$M$3,2),"")</f>
      </c>
      <c r="AQ63" s="38">
        <f>IF(ISNUMBER($AD63),ROUND($AD63,2)-$AO63-$AP63,"")</f>
      </c>
      <c r="AR63" s="39">
        <f>IF(ISNUMBER($AD63),IF(Header!$D$34="","?",$AD63*Header!$D$34),"")</f>
      </c>
      <c r="AS63" s="39">
        <f>IF(ISNUMBER($AB63),IF(Header!$D$34="","?",$AB63*Header!$D$34),"")</f>
      </c>
      <c r="AT63" s="42">
        <f>IF(AND(ISNUMBER($AB63),$M63&gt;0),$AB63/$M63*100,"")</f>
      </c>
      <c r="AU63" s="42">
        <f>IF(AND(ISNUMBER($AD63),$M63&gt;0),$AD63/$M63*100,"")</f>
      </c>
      <c r="AV63" s="40">
        <f>IF(AND(ISNUMBER($AB63),ISNUMBER($AD63),ABS($AB63)&gt;0),$AD63/$AB63,"")</f>
      </c>
      <c r="AW63" s="39">
        <f>IF(ISNUMBER($AD63),MAX(0,(1-0.55-Header!$O$3)*Header!$Q$3*$AQ63),"")</f>
      </c>
      <c r="AX63" s="43">
        <f>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c>
      <c r="AY63" s="44">
        <f>IF($M63="","",IF(ISNUMBER($M63),IF($M63&gt;=Header!$C$18,"YES — refer","No"),""))</f>
      </c>
      <c r="AZ63" s="44">
        <f>IF($AD63="","",IF(ISNUMBER($AD63),IF($AD63&lt;Header!$C$20,"BELOW MIN PREMIUM","OK"),""))</f>
      </c>
      <c r="BA63" s="32" t="inlineStr">
        <is>
          <t xml:space="preserve">Yes</t>
        </is>
      </c>
      <c r="BB63" s="32" t="inlineStr">
        <is>
          <t xml:space="preserve">Yes</t>
        </is>
      </c>
      <c r="BC63" s="30" t="inlineStr">
        <is>
          <t xml:space="preserve">Synthetic demo data</t>
        </is>
      </c>
      <c r="BE63" s="45">
        <f>IF(OR($A63="",$L63="",$H63=""),"",IF(AND(LEFT($L63,2)="06",$H63&gt;1945),"FAIL - pre-war class, year "&amp;$H63,IF(AND(LEFT($L63,2)="07",OR($H63&lt;1946,$H63&gt;1972)),"FAIL - 1946-72 class, year "&amp;$H63,IF(AND(LEFT($L63,2)="08",OR($H63&lt;1973,$H63&gt;1999)),"FAIL - 1973-99 class, year "&amp;$H63,IF(AND(LEFT($L63,2)="09",OR($H63&lt;2000,$H63&gt;2010)),"FAIL - 2000-10 class, year "&amp;$H63,"OK")))))</f>
      </c>
      <c r="BF63" s="45">
        <f>IF($AD63="","",IF(ROUND($AO63+$AP63+$AQ63-$AD63,2)=0,"OK","FAIL - out by "&amp;TEXT($AO63+$AP63+$AQ63-$AD63,"$0.00")))</f>
      </c>
    </row>
    <row r="64" spans="1:58" ht="18.75" customHeight="1" x14ac:dyDescent="0.25">
      <c r="A64" s="46" t="inlineStr">
        <is>
          <t xml:space="preserve">CANON-202606-008483</t>
        </is>
      </c>
      <c r="B64" s="46" t="inlineStr">
        <is>
          <t xml:space="preserve">Fenwick Merriweather</t>
        </is>
      </c>
      <c r="C64" s="47">
        <v>46189</v>
      </c>
      <c r="D64" s="48" t="inlineStr">
        <is>
          <t xml:space="preserve">Bound - within authority</t>
        </is>
      </c>
      <c r="E64" s="48" t="inlineStr">
        <is>
          <t xml:space="preserve">New business</t>
        </is>
      </c>
      <c r="F64" s="46" t="inlineStr">
        <is>
          <t xml:space="preserve">B1234EXOTIC26</t>
        </is>
      </c>
      <c r="G64" s="33">
        <f>IF($A64="","",IF($C64="","",YEAR($C64)))</f>
      </c>
      <c r="H64" s="49">
        <v>2003</v>
      </c>
      <c r="I64" s="46" t="inlineStr">
        <is>
          <t xml:space="preserve">Singer</t>
        </is>
      </c>
      <c r="J64" s="46" t="inlineStr">
        <is>
          <t xml:space="preserve">911 Reimagined</t>
        </is>
      </c>
      <c r="K64" s="46" t="inlineStr">
        <is>
          <t xml:space="preserve">T8KDHR86RVSV8D0BV</t>
        </is>
      </c>
      <c r="L64" s="48" t="inlineStr">
        <is>
          <t xml:space="preserve">11 - Restomod / Coachbuilt / Bespoke</t>
        </is>
      </c>
      <c r="M64" s="50">
        <v>660000</v>
      </c>
      <c r="N64" s="48" t="inlineStr">
        <is>
          <t xml:space="preserve">Personal</t>
        </is>
      </c>
      <c r="O64" s="46" t="inlineStr">
        <is>
          <t xml:space="preserve">Personal - regular use</t>
        </is>
      </c>
      <c r="P64" s="46" t="inlineStr">
        <is>
          <t xml:space="preserve">2,500 - 5,000</t>
        </is>
      </c>
      <c r="Q64" s="46" t="inlineStr">
        <is>
          <t xml:space="preserve">Missouri</t>
        </is>
      </c>
      <c r="R64" s="46" t="inlineStr">
        <is>
          <t xml:space="preserve">63101</t>
        </is>
      </c>
      <c r="S64" s="48" t="inlineStr">
        <is>
          <t xml:space="preserve">Severe convective - hail / tornado (moderate)</t>
        </is>
      </c>
      <c r="T64" s="36">
        <f>IF($A64="","",IF($S64="","",IFERROR(INDEX('[1]natural catastrophe'!$D$6:$D$17,MATCH($S64,'[1]natural catastrophe'!$B$6:$B$17,0)),"?")))</f>
      </c>
      <c r="U64" s="46" t="inlineStr">
        <is>
          <t xml:space="preserve">$5,000</t>
        </is>
      </c>
      <c r="V64" s="48" t="inlineStr">
        <is>
          <t xml:space="preserve">Agreed Value</t>
        </is>
      </c>
      <c r="W64" s="46" t="inlineStr">
        <is>
          <t xml:space="preserve">$1,000</t>
        </is>
      </c>
      <c r="X64" s="48" t="inlineStr">
        <is>
          <t xml:space="preserve">$1,000,000 CSL</t>
        </is>
      </c>
      <c r="Y64" s="46"/>
      <c r="Z64" s="46"/>
      <c r="AA64" s="48" t="inlineStr">
        <is>
          <t xml:space="preserve">Surplus Lines</t>
        </is>
      </c>
      <c r="AB64" s="50">
        <v>7874.38</v>
      </c>
      <c r="AC64" s="51">
        <v>0</v>
      </c>
      <c r="AD64" s="38">
        <f>IF(ISNUMBER($AB64),$AB64*(1+N($AC64)),"")</f>
      </c>
      <c r="AE64" s="50">
        <v>350</v>
      </c>
      <c r="AF64" s="50">
        <v>0</v>
      </c>
      <c r="AG64" s="51"/>
      <c r="AH64" s="39">
        <f>IF(ISNUMBER($AD64),($AD64+$AE64+$AF64)*$AG64,"")</f>
      </c>
      <c r="AI64" s="50"/>
      <c r="AJ64" s="38">
        <f>IF(ISNUMBER($AD64),SUM($AD64:$AH64),"")</f>
      </c>
      <c r="AK64" s="40">
        <f>IF(AND(ISNUMBER($AB64),ISNUMBER($AD64)),IF($AB64&gt;0,$AD64/$AB64,""),"")</f>
      </c>
      <c r="AL64" s="48" t="inlineStr">
        <is>
          <t xml:space="preserve">At technical</t>
        </is>
      </c>
      <c r="AM64" s="41">
        <f>IF(ISNUMBER($AD64),Header!$I$3,"")</f>
      </c>
      <c r="AN64" s="39">
        <f>IF(ISNUMBER($AD64),$AO64+$AP64,"")</f>
      </c>
      <c r="AO64" s="39">
        <f>IF(ISNUMBER($AD64),ROUND($AD64*Header!$K$3,2),"")</f>
      </c>
      <c r="AP64" s="39">
        <f>IF(ISNUMBER($AD64),ROUND($AD64*Header!$M$3,2),"")</f>
      </c>
      <c r="AQ64" s="38">
        <f>IF(ISNUMBER($AD64),ROUND($AD64,2)-$AO64-$AP64,"")</f>
      </c>
      <c r="AR64" s="39">
        <f>IF(ISNUMBER($AD64),IF(Header!$D$34="","?",$AD64*Header!$D$34),"")</f>
      </c>
      <c r="AS64" s="39">
        <f>IF(ISNUMBER($AB64),IF(Header!$D$34="","?",$AB64*Header!$D$34),"")</f>
      </c>
      <c r="AT64" s="42">
        <f>IF(AND(ISNUMBER($AB64),$M64&gt;0),$AB64/$M64*100,"")</f>
      </c>
      <c r="AU64" s="42">
        <f>IF(AND(ISNUMBER($AD64),$M64&gt;0),$AD64/$M64*100,"")</f>
      </c>
      <c r="AV64" s="40">
        <f>IF(AND(ISNUMBER($AB64),ISNUMBER($AD64),ABS($AB64)&gt;0),$AD64/$AB64,"")</f>
      </c>
      <c r="AW64" s="39">
        <f>IF(ISNUMBER($AD64),MAX(0,(1-0.55-Header!$O$3)*Header!$Q$3*$AQ64),"")</f>
      </c>
      <c r="AX64" s="43">
        <f>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c>
      <c r="AY64" s="44">
        <f>IF($M64="","",IF(ISNUMBER($M64),IF($M64&gt;=Header!$C$18,"YES — refer","No"),""))</f>
      </c>
      <c r="AZ64" s="44">
        <f>IF($AD64="","",IF(ISNUMBER($AD64),IF($AD64&lt;Header!$C$20,"BELOW MIN PREMIUM","OK"),""))</f>
      </c>
      <c r="BA64" s="48" t="inlineStr">
        <is>
          <t xml:space="preserve">Yes</t>
        </is>
      </c>
      <c r="BB64" s="48" t="inlineStr">
        <is>
          <t xml:space="preserve">Yes</t>
        </is>
      </c>
      <c r="BC64" s="46" t="inlineStr">
        <is>
          <t xml:space="preserve">Synthetic demo data</t>
        </is>
      </c>
      <c r="BE64" s="45">
        <f>IF(OR($A64="",$L64="",$H64=""),"",IF(AND(LEFT($L64,2)="06",$H64&gt;1945),"FAIL - pre-war class, year "&amp;$H64,IF(AND(LEFT($L64,2)="07",OR($H64&lt;1946,$H64&gt;1972)),"FAIL - 1946-72 class, year "&amp;$H64,IF(AND(LEFT($L64,2)="08",OR($H64&lt;1973,$H64&gt;1999)),"FAIL - 1973-99 class, year "&amp;$H64,IF(AND(LEFT($L64,2)="09",OR($H64&lt;2000,$H64&gt;2010)),"FAIL - 2000-10 class, year "&amp;$H64,"OK")))))</f>
      </c>
      <c r="BF64" s="45">
        <f>IF($AD64="","",IF(ROUND($AO64+$AP64+$AQ64-$AD64,2)=0,"OK","FAIL - out by "&amp;TEXT($AO64+$AP64+$AQ64-$AD64,"$0.00")))</f>
      </c>
    </row>
    <row r="65" spans="1:58" ht="18.75" customHeight="1" x14ac:dyDescent="0.25">
      <c r="A65" s="30" t="inlineStr">
        <is>
          <t xml:space="preserve">CANON-202606-008484</t>
        </is>
      </c>
      <c r="B65" s="30" t="inlineStr">
        <is>
          <t xml:space="preserve">Priya Bellandi</t>
        </is>
      </c>
      <c r="C65" s="31">
        <v>46188</v>
      </c>
      <c r="D65" s="32" t="inlineStr">
        <is>
          <t xml:space="preserve">Bound - within authority</t>
        </is>
      </c>
      <c r="E65" s="32" t="inlineStr">
        <is>
          <t xml:space="preserve">New business</t>
        </is>
      </c>
      <c r="F65" s="30" t="inlineStr">
        <is>
          <t xml:space="preserve">B1234EXOTIC26</t>
        </is>
      </c>
      <c r="G65" s="33">
        <f>IF($A65="","",IF($C65="","",YEAR($C65)))</f>
      </c>
      <c r="H65" s="34">
        <v>2020</v>
      </c>
      <c r="I65" s="30" t="inlineStr">
        <is>
          <t xml:space="preserve">Aston Martin</t>
        </is>
      </c>
      <c r="J65" s="30" t="inlineStr">
        <is>
          <t xml:space="preserve">DB5</t>
        </is>
      </c>
      <c r="K65" s="30" t="inlineStr">
        <is>
          <t xml:space="preserve">V3PUL7ZJ4CV3HAJWW</t>
        </is>
      </c>
      <c r="L65" s="32" t="inlineStr">
        <is>
          <t xml:space="preserve">02 - Sports / GT</t>
        </is>
      </c>
      <c r="M65" s="35">
        <v>805000</v>
      </c>
      <c r="N65" s="32" t="inlineStr">
        <is>
          <t xml:space="preserve">Personal</t>
        </is>
      </c>
      <c r="O65" s="30" t="inlineStr">
        <is>
          <t xml:space="preserve">Personal - regular use</t>
        </is>
      </c>
      <c r="P65" s="30" t="inlineStr">
        <is>
          <t xml:space="preserve">Under 1,000</t>
        </is>
      </c>
      <c r="Q65" s="30" t="inlineStr">
        <is>
          <t xml:space="preserve">Colorado</t>
        </is>
      </c>
      <c r="R65" s="30" t="inlineStr">
        <is>
          <t xml:space="preserve">80202</t>
        </is>
      </c>
      <c r="S65" s="32" t="inlineStr">
        <is>
          <t xml:space="preserve">Severe convective - hail alley (high)</t>
        </is>
      </c>
      <c r="T65" s="36">
        <f>IF($A65="","",IF($S65="","",IFERROR(INDEX('[1]natural catastrophe'!$D$6:$D$17,MATCH($S65,'[1]natural catastrophe'!$B$6:$B$17,0)),"?")))</f>
      </c>
      <c r="U65" s="30" t="inlineStr">
        <is>
          <t xml:space="preserve">$5,000</t>
        </is>
      </c>
      <c r="V65" s="32" t="inlineStr">
        <is>
          <t xml:space="preserve">Agreed Value</t>
        </is>
      </c>
      <c r="W65" s="30" t="inlineStr">
        <is>
          <t xml:space="preserve">$1,000</t>
        </is>
      </c>
      <c r="X65" s="32" t="inlineStr">
        <is>
          <t xml:space="preserve">$1,000,000 CSL</t>
        </is>
      </c>
      <c r="Y65" s="30"/>
      <c r="Z65" s="30"/>
      <c r="AA65" s="32" t="inlineStr">
        <is>
          <t xml:space="preserve">Surplus Lines</t>
        </is>
      </c>
      <c r="AB65" s="35">
        <v>5494.51</v>
      </c>
      <c r="AC65" s="37">
        <v>0</v>
      </c>
      <c r="AD65" s="38">
        <f>IF(ISNUMBER($AB65),$AB65*(1+N($AC65)),"")</f>
      </c>
      <c r="AE65" s="35">
        <v>350</v>
      </c>
      <c r="AF65" s="35">
        <v>0</v>
      </c>
      <c r="AG65" s="37"/>
      <c r="AH65" s="39">
        <f>IF(ISNUMBER($AD65),($AD65+$AE65+$AF65)*$AG65,"")</f>
      </c>
      <c r="AI65" s="35"/>
      <c r="AJ65" s="38">
        <f>IF(ISNUMBER($AD65),SUM($AD65:$AH65),"")</f>
      </c>
      <c r="AK65" s="40">
        <f>IF(AND(ISNUMBER($AB65),ISNUMBER($AD65)),IF($AB65&gt;0,$AD65/$AB65,""),"")</f>
      </c>
      <c r="AL65" s="32" t="inlineStr">
        <is>
          <t xml:space="preserve">At technical</t>
        </is>
      </c>
      <c r="AM65" s="41">
        <f>IF(ISNUMBER($AD65),Header!$I$3,"")</f>
      </c>
      <c r="AN65" s="39">
        <f>IF(ISNUMBER($AD65),$AO65+$AP65,"")</f>
      </c>
      <c r="AO65" s="39">
        <f>IF(ISNUMBER($AD65),ROUND($AD65*Header!$K$3,2),"")</f>
      </c>
      <c r="AP65" s="39">
        <f>IF(ISNUMBER($AD65),ROUND($AD65*Header!$M$3,2),"")</f>
      </c>
      <c r="AQ65" s="38">
        <f>IF(ISNUMBER($AD65),ROUND($AD65,2)-$AO65-$AP65,"")</f>
      </c>
      <c r="AR65" s="39">
        <f>IF(ISNUMBER($AD65),IF(Header!$D$34="","?",$AD65*Header!$D$34),"")</f>
      </c>
      <c r="AS65" s="39">
        <f>IF(ISNUMBER($AB65),IF(Header!$D$34="","?",$AB65*Header!$D$34),"")</f>
      </c>
      <c r="AT65" s="42">
        <f>IF(AND(ISNUMBER($AB65),$M65&gt;0),$AB65/$M65*100,"")</f>
      </c>
      <c r="AU65" s="42">
        <f>IF(AND(ISNUMBER($AD65),$M65&gt;0),$AD65/$M65*100,"")</f>
      </c>
      <c r="AV65" s="40">
        <f>IF(AND(ISNUMBER($AB65),ISNUMBER($AD65),ABS($AB65)&gt;0),$AD65/$AB65,"")</f>
      </c>
      <c r="AW65" s="39">
        <f>IF(ISNUMBER($AD65),MAX(0,(1-0.55-Header!$O$3)*Header!$Q$3*$AQ65),"")</f>
      </c>
      <c r="AX65" s="43">
        <f>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c>
      <c r="AY65" s="44">
        <f>IF($M65="","",IF(ISNUMBER($M65),IF($M65&gt;=Header!$C$18,"YES — refer","No"),""))</f>
      </c>
      <c r="AZ65" s="44">
        <f>IF($AD65="","",IF(ISNUMBER($AD65),IF($AD65&lt;Header!$C$20,"BELOW MIN PREMIUM","OK"),""))</f>
      </c>
      <c r="BA65" s="32" t="inlineStr">
        <is>
          <t xml:space="preserve">Yes</t>
        </is>
      </c>
      <c r="BB65" s="32" t="inlineStr">
        <is>
          <t xml:space="preserve">Yes</t>
        </is>
      </c>
      <c r="BC65" s="30" t="inlineStr">
        <is>
          <t xml:space="preserve">Synthetic demo data</t>
        </is>
      </c>
      <c r="BE65" s="45">
        <f>IF(OR($A65="",$L65="",$H65=""),"",IF(AND(LEFT($L65,2)="06",$H65&gt;1945),"FAIL - pre-war class, year "&amp;$H65,IF(AND(LEFT($L65,2)="07",OR($H65&lt;1946,$H65&gt;1972)),"FAIL - 1946-72 class, year "&amp;$H65,IF(AND(LEFT($L65,2)="08",OR($H65&lt;1973,$H65&gt;1999)),"FAIL - 1973-99 class, year "&amp;$H65,IF(AND(LEFT($L65,2)="09",OR($H65&lt;2000,$H65&gt;2010)),"FAIL - 2000-10 class, year "&amp;$H65,"OK")))))</f>
      </c>
      <c r="BF65" s="45">
        <f>IF($AD65="","",IF(ROUND($AO65+$AP65+$AQ65-$AD65,2)=0,"OK","FAIL - out by "&amp;TEXT($AO65+$AP65+$AQ65-$AD65,"$0.00")))</f>
      </c>
    </row>
    <row r="66" spans="1:58" ht="18.75" customHeight="1" x14ac:dyDescent="0.25">
      <c r="A66" s="46" t="inlineStr">
        <is>
          <t xml:space="preserve">CANON-202606-008487</t>
        </is>
      </c>
      <c r="B66" s="46" t="inlineStr">
        <is>
          <t xml:space="preserve">Beatrix Thistlewood</t>
        </is>
      </c>
      <c r="C66" s="47">
        <v>46179</v>
      </c>
      <c r="D66" s="48" t="inlineStr">
        <is>
          <t xml:space="preserve">Bound - within authority</t>
        </is>
      </c>
      <c r="E66" s="48" t="inlineStr">
        <is>
          <t xml:space="preserve">New business</t>
        </is>
      </c>
      <c r="F66" s="46" t="inlineStr">
        <is>
          <t xml:space="preserve">B1234EXOTIC26</t>
        </is>
      </c>
      <c r="G66" s="33">
        <f>IF($A66="","",IF($C66="","",YEAR($C66)))</f>
      </c>
      <c r="H66" s="49">
        <v>2004</v>
      </c>
      <c r="I66" s="46" t="inlineStr">
        <is>
          <t xml:space="preserve">Bentley</t>
        </is>
      </c>
      <c r="J66" s="46" t="inlineStr">
        <is>
          <t xml:space="preserve">4.5 Litre</t>
        </is>
      </c>
      <c r="K66" s="46" t="inlineStr">
        <is>
          <t xml:space="preserve">0MFVBSV5W1AFG2UDS</t>
        </is>
      </c>
      <c r="L66" s="48" t="inlineStr">
        <is>
          <t xml:space="preserve">09 - Youngtimer / Collectible (2000-2010)</t>
        </is>
      </c>
      <c r="M66" s="50">
        <v>480000</v>
      </c>
      <c r="N66" s="48" t="inlineStr">
        <is>
          <t xml:space="preserve">Personal</t>
        </is>
      </c>
      <c r="O66" s="46" t="inlineStr">
        <is>
          <t xml:space="preserve">Personal - regular use</t>
        </is>
      </c>
      <c r="P66" s="46" t="inlineStr">
        <is>
          <t xml:space="preserve">1,000 - 2,500</t>
        </is>
      </c>
      <c r="Q66" s="46" t="inlineStr">
        <is>
          <t xml:space="preserve">Texas</t>
        </is>
      </c>
      <c r="R66" s="46" t="inlineStr">
        <is>
          <t xml:space="preserve">75201</t>
        </is>
      </c>
      <c r="S66" s="48" t="inlineStr">
        <is>
          <t xml:space="preserve">Tier 2 - Coastal wind (1-25 miles)</t>
        </is>
      </c>
      <c r="T66" s="36">
        <f>IF($A66="","",IF($S66="","",IFERROR(INDEX('[1]natural catastrophe'!$D$6:$D$17,MATCH($S66,'[1]natural catastrophe'!$B$6:$B$17,0)),"?")))</f>
      </c>
      <c r="U66" s="46" t="inlineStr">
        <is>
          <t xml:space="preserve">2% of agreed value, minimum $10,000</t>
        </is>
      </c>
      <c r="V66" s="48" t="inlineStr">
        <is>
          <t xml:space="preserve">Agreed Value</t>
        </is>
      </c>
      <c r="W66" s="46" t="inlineStr">
        <is>
          <t xml:space="preserve">$1,000</t>
        </is>
      </c>
      <c r="X66" s="48" t="inlineStr">
        <is>
          <t xml:space="preserve">$1,000,000 CSL</t>
        </is>
      </c>
      <c r="Y66" s="46"/>
      <c r="Z66" s="46"/>
      <c r="AA66" s="48" t="inlineStr">
        <is>
          <t xml:space="preserve">Surplus Lines</t>
        </is>
      </c>
      <c r="AB66" s="50">
        <v>3345.5</v>
      </c>
      <c r="AC66" s="51">
        <v>0</v>
      </c>
      <c r="AD66" s="38">
        <f>IF(ISNUMBER($AB66),$AB66*(1+N($AC66)),"")</f>
      </c>
      <c r="AE66" s="50">
        <v>350</v>
      </c>
      <c r="AF66" s="50">
        <v>0</v>
      </c>
      <c r="AG66" s="51"/>
      <c r="AH66" s="39">
        <f>IF(ISNUMBER($AD66),($AD66+$AE66+$AF66)*$AG66,"")</f>
      </c>
      <c r="AI66" s="50"/>
      <c r="AJ66" s="38">
        <f>IF(ISNUMBER($AD66),SUM($AD66:$AH66),"")</f>
      </c>
      <c r="AK66" s="40">
        <f>IF(AND(ISNUMBER($AB66),ISNUMBER($AD66)),IF($AB66&gt;0,$AD66/$AB66,""),"")</f>
      </c>
      <c r="AL66" s="48" t="inlineStr">
        <is>
          <t xml:space="preserve">At technical</t>
        </is>
      </c>
      <c r="AM66" s="41">
        <f>IF(ISNUMBER($AD66),Header!$I$3,"")</f>
      </c>
      <c r="AN66" s="39">
        <f>IF(ISNUMBER($AD66),$AO66+$AP66,"")</f>
      </c>
      <c r="AO66" s="39">
        <f>IF(ISNUMBER($AD66),ROUND($AD66*Header!$K$3,2),"")</f>
      </c>
      <c r="AP66" s="39">
        <f>IF(ISNUMBER($AD66),ROUND($AD66*Header!$M$3,2),"")</f>
      </c>
      <c r="AQ66" s="38">
        <f>IF(ISNUMBER($AD66),ROUND($AD66,2)-$AO66-$AP66,"")</f>
      </c>
      <c r="AR66" s="39">
        <f>IF(ISNUMBER($AD66),IF(Header!$D$34="","?",$AD66*Header!$D$34),"")</f>
      </c>
      <c r="AS66" s="39">
        <f>IF(ISNUMBER($AB66),IF(Header!$D$34="","?",$AB66*Header!$D$34),"")</f>
      </c>
      <c r="AT66" s="42">
        <f>IF(AND(ISNUMBER($AB66),$M66&gt;0),$AB66/$M66*100,"")</f>
      </c>
      <c r="AU66" s="42">
        <f>IF(AND(ISNUMBER($AD66),$M66&gt;0),$AD66/$M66*100,"")</f>
      </c>
      <c r="AV66" s="40">
        <f>IF(AND(ISNUMBER($AB66),ISNUMBER($AD66),ABS($AB66)&gt;0),$AD66/$AB66,"")</f>
      </c>
      <c r="AW66" s="39">
        <f>IF(ISNUMBER($AD66),MAX(0,(1-0.55-Header!$O$3)*Header!$Q$3*$AQ66),"")</f>
      </c>
      <c r="AX66" s="43">
        <f>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c>
      <c r="AY66" s="44">
        <f>IF($M66="","",IF(ISNUMBER($M66),IF($M66&gt;=Header!$C$18,"YES — refer","No"),""))</f>
      </c>
      <c r="AZ66" s="44">
        <f>IF($AD66="","",IF(ISNUMBER($AD66),IF($AD66&lt;Header!$C$20,"BELOW MIN PREMIUM","OK"),""))</f>
      </c>
      <c r="BA66" s="48" t="inlineStr">
        <is>
          <t xml:space="preserve">Yes</t>
        </is>
      </c>
      <c r="BB66" s="48" t="inlineStr">
        <is>
          <t xml:space="preserve">Yes</t>
        </is>
      </c>
      <c r="BC66" s="46" t="inlineStr">
        <is>
          <t xml:space="preserve">Synthetic demo data</t>
        </is>
      </c>
      <c r="BE66" s="45">
        <f>IF(OR($A66="",$L66="",$H66=""),"",IF(AND(LEFT($L66,2)="06",$H66&gt;1945),"FAIL - pre-war class, year "&amp;$H66,IF(AND(LEFT($L66,2)="07",OR($H66&lt;1946,$H66&gt;1972)),"FAIL - 1946-72 class, year "&amp;$H66,IF(AND(LEFT($L66,2)="08",OR($H66&lt;1973,$H66&gt;1999)),"FAIL - 1973-99 class, year "&amp;$H66,IF(AND(LEFT($L66,2)="09",OR($H66&lt;2000,$H66&gt;2010)),"FAIL - 2000-10 class, year "&amp;$H66,"OK")))))</f>
      </c>
      <c r="BF66" s="45">
        <f>IF($AD66="","",IF(ROUND($AO66+$AP66+$AQ66-$AD66,2)=0,"OK","FAIL - out by "&amp;TEXT($AO66+$AP66+$AQ66-$AD66,"$0.00")))</f>
      </c>
    </row>
    <row r="67" spans="1:58" ht="18.75" customHeight="1" x14ac:dyDescent="0.25">
      <c r="A67" s="30" t="inlineStr">
        <is>
          <t xml:space="preserve">CANON-202606-008489</t>
        </is>
      </c>
      <c r="B67" s="30" t="inlineStr">
        <is>
          <t xml:space="preserve">Lorenzo Ashcombe</t>
        </is>
      </c>
      <c r="C67" s="31">
        <v>46202</v>
      </c>
      <c r="D67" s="32" t="inlineStr">
        <is>
          <t xml:space="preserve">Bound - within authority</t>
        </is>
      </c>
      <c r="E67" s="32" t="inlineStr">
        <is>
          <t xml:space="preserve">New business</t>
        </is>
      </c>
      <c r="F67" s="30" t="inlineStr">
        <is>
          <t xml:space="preserve">B1234EXOTIC26</t>
        </is>
      </c>
      <c r="G67" s="33">
        <f>IF($A67="","",IF($C67="","",YEAR($C67)))</f>
      </c>
      <c r="H67" s="34">
        <v>2009</v>
      </c>
      <c r="I67" s="30" t="inlineStr">
        <is>
          <t xml:space="preserve">Maserati</t>
        </is>
      </c>
      <c r="J67" s="30" t="inlineStr">
        <is>
          <t xml:space="preserve">GranTurismo</t>
        </is>
      </c>
      <c r="K67" s="30" t="inlineStr">
        <is>
          <t xml:space="preserve">19529S0N78M0ZPEAW</t>
        </is>
      </c>
      <c r="L67" s="32" t="inlineStr">
        <is>
          <t xml:space="preserve">02 - Sports / GT</t>
        </is>
      </c>
      <c r="M67" s="35">
        <v>345000</v>
      </c>
      <c r="N67" s="32" t="inlineStr">
        <is>
          <t xml:space="preserve">Personal</t>
        </is>
      </c>
      <c r="O67" s="30" t="inlineStr">
        <is>
          <t xml:space="preserve">Personal - regular use</t>
        </is>
      </c>
      <c r="P67" s="30" t="inlineStr">
        <is>
          <t xml:space="preserve">Under 1,000</t>
        </is>
      </c>
      <c r="Q67" s="30" t="inlineStr">
        <is>
          <t xml:space="preserve">Iowa</t>
        </is>
      </c>
      <c r="R67" s="30" t="inlineStr">
        <is>
          <t xml:space="preserve">50309</t>
        </is>
      </c>
      <c r="S67" s="32" t="inlineStr">
        <is>
          <t xml:space="preserve">Severe convective - hail alley (high)</t>
        </is>
      </c>
      <c r="T67" s="36">
        <f>IF($A67="","",IF($S67="","",IFERROR(INDEX('[1]natural catastrophe'!$D$6:$D$17,MATCH($S67,'[1]natural catastrophe'!$B$6:$B$17,0)),"?")))</f>
      </c>
      <c r="U67" s="30" t="inlineStr">
        <is>
          <t xml:space="preserve">$5,000</t>
        </is>
      </c>
      <c r="V67" s="32" t="inlineStr">
        <is>
          <t xml:space="preserve">Agreed Value</t>
        </is>
      </c>
      <c r="W67" s="30" t="inlineStr">
        <is>
          <t xml:space="preserve">$1,000</t>
        </is>
      </c>
      <c r="X67" s="32" t="inlineStr">
        <is>
          <t xml:space="preserve">$1,000,000 CSL</t>
        </is>
      </c>
      <c r="Y67" s="30"/>
      <c r="Z67" s="30"/>
      <c r="AA67" s="32" t="inlineStr">
        <is>
          <t xml:space="preserve">Surplus Lines</t>
        </is>
      </c>
      <c r="AB67" s="35">
        <v>4107.19</v>
      </c>
      <c r="AC67" s="37">
        <v>0</v>
      </c>
      <c r="AD67" s="38">
        <f>IF(ISNUMBER($AB67),$AB67*(1+N($AC67)),"")</f>
      </c>
      <c r="AE67" s="35">
        <v>350</v>
      </c>
      <c r="AF67" s="35">
        <v>0</v>
      </c>
      <c r="AG67" s="37"/>
      <c r="AH67" s="39">
        <f>IF(ISNUMBER($AD67),($AD67+$AE67+$AF67)*$AG67,"")</f>
      </c>
      <c r="AI67" s="35"/>
      <c r="AJ67" s="38">
        <f>IF(ISNUMBER($AD67),SUM($AD67:$AH67),"")</f>
      </c>
      <c r="AK67" s="40">
        <f>IF(AND(ISNUMBER($AB67),ISNUMBER($AD67)),IF($AB67&gt;0,$AD67/$AB67,""),"")</f>
      </c>
      <c r="AL67" s="32" t="inlineStr">
        <is>
          <t xml:space="preserve">At technical</t>
        </is>
      </c>
      <c r="AM67" s="41">
        <f>IF(ISNUMBER($AD67),Header!$I$3,"")</f>
      </c>
      <c r="AN67" s="39">
        <f>IF(ISNUMBER($AD67),$AO67+$AP67,"")</f>
      </c>
      <c r="AO67" s="39">
        <f>IF(ISNUMBER($AD67),ROUND($AD67*Header!$K$3,2),"")</f>
      </c>
      <c r="AP67" s="39">
        <f>IF(ISNUMBER($AD67),ROUND($AD67*Header!$M$3,2),"")</f>
      </c>
      <c r="AQ67" s="38">
        <f>IF(ISNUMBER($AD67),ROUND($AD67,2)-$AO67-$AP67,"")</f>
      </c>
      <c r="AR67" s="39">
        <f>IF(ISNUMBER($AD67),IF(Header!$D$34="","?",$AD67*Header!$D$34),"")</f>
      </c>
      <c r="AS67" s="39">
        <f>IF(ISNUMBER($AB67),IF(Header!$D$34="","?",$AB67*Header!$D$34),"")</f>
      </c>
      <c r="AT67" s="42">
        <f>IF(AND(ISNUMBER($AB67),$M67&gt;0),$AB67/$M67*100,"")</f>
      </c>
      <c r="AU67" s="42">
        <f>IF(AND(ISNUMBER($AD67),$M67&gt;0),$AD67/$M67*100,"")</f>
      </c>
      <c r="AV67" s="40">
        <f>IF(AND(ISNUMBER($AB67),ISNUMBER($AD67),ABS($AB67)&gt;0),$AD67/$AB67,"")</f>
      </c>
      <c r="AW67" s="39">
        <f>IF(ISNUMBER($AD67),MAX(0,(1-0.55-Header!$O$3)*Header!$Q$3*$AQ67),"")</f>
      </c>
      <c r="AX67" s="43">
        <f>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c>
      <c r="AY67" s="44">
        <f>IF($M67="","",IF(ISNUMBER($M67),IF($M67&gt;=Header!$C$18,"YES — refer","No"),""))</f>
      </c>
      <c r="AZ67" s="44">
        <f>IF($AD67="","",IF(ISNUMBER($AD67),IF($AD67&lt;Header!$C$20,"BELOW MIN PREMIUM","OK"),""))</f>
      </c>
      <c r="BA67" s="32" t="inlineStr">
        <is>
          <t xml:space="preserve">Yes</t>
        </is>
      </c>
      <c r="BB67" s="32" t="inlineStr">
        <is>
          <t xml:space="preserve">Yes</t>
        </is>
      </c>
      <c r="BC67" s="30" t="inlineStr">
        <is>
          <t xml:space="preserve">Synthetic demo data</t>
        </is>
      </c>
      <c r="BE67" s="45">
        <f>IF(OR($A67="",$L67="",$H67=""),"",IF(AND(LEFT($L67,2)="06",$H67&gt;1945),"FAIL - pre-war class, year "&amp;$H67,IF(AND(LEFT($L67,2)="07",OR($H67&lt;1946,$H67&gt;1972)),"FAIL - 1946-72 class, year "&amp;$H67,IF(AND(LEFT($L67,2)="08",OR($H67&lt;1973,$H67&gt;1999)),"FAIL - 1973-99 class, year "&amp;$H67,IF(AND(LEFT($L67,2)="09",OR($H67&lt;2000,$H67&gt;2010)),"FAIL - 2000-10 class, year "&amp;$H67,"OK")))))</f>
      </c>
      <c r="BF67" s="45">
        <f>IF($AD67="","",IF(ROUND($AO67+$AP67+$AQ67-$AD67,2)=0,"OK","FAIL - out by "&amp;TEXT($AO67+$AP67+$AQ67-$AD67,"$0.00")))</f>
      </c>
    </row>
    <row r="68" spans="1:58" ht="18.75" customHeight="1" x14ac:dyDescent="0.25">
      <c r="A68" s="46" t="inlineStr">
        <is>
          <t xml:space="preserve">CANON-202606-008490</t>
        </is>
      </c>
      <c r="B68" s="46" t="inlineStr">
        <is>
          <t xml:space="preserve">Saoirse Nakashima</t>
        </is>
      </c>
      <c r="C68" s="47">
        <v>46202</v>
      </c>
      <c r="D68" s="48" t="inlineStr">
        <is>
          <t xml:space="preserve">Bound - within authority</t>
        </is>
      </c>
      <c r="E68" s="48" t="inlineStr">
        <is>
          <t xml:space="preserve">New business</t>
        </is>
      </c>
      <c r="F68" s="46" t="inlineStr">
        <is>
          <t xml:space="preserve">B1234EXOTIC26</t>
        </is>
      </c>
      <c r="G68" s="33">
        <f>IF($A68="","",IF($C68="","",YEAR($C68)))</f>
      </c>
      <c r="H68" s="49">
        <v>2012</v>
      </c>
      <c r="I68" s="46" t="inlineStr">
        <is>
          <t xml:space="preserve">McLaren</t>
        </is>
      </c>
      <c r="J68" s="46" t="inlineStr">
        <is>
          <t xml:space="preserve">750S</t>
        </is>
      </c>
      <c r="K68" s="46" t="inlineStr">
        <is>
          <t xml:space="preserve">90DD5XC0G86HMX7DS</t>
        </is>
      </c>
      <c r="L68" s="48" t="inlineStr">
        <is>
          <t xml:space="preserve">03 - Supercar</t>
        </is>
      </c>
      <c r="M68" s="50">
        <v>590000</v>
      </c>
      <c r="N68" s="48" t="inlineStr">
        <is>
          <t xml:space="preserve">Personal</t>
        </is>
      </c>
      <c r="O68" s="46" t="inlineStr">
        <is>
          <t xml:space="preserve">Personal - regular use</t>
        </is>
      </c>
      <c r="P68" s="46" t="inlineStr">
        <is>
          <t xml:space="preserve">Under 1,000</t>
        </is>
      </c>
      <c r="Q68" s="46" t="inlineStr">
        <is>
          <t xml:space="preserve">Ohio</t>
        </is>
      </c>
      <c r="R68" s="46" t="inlineStr">
        <is>
          <t xml:space="preserve">43215</t>
        </is>
      </c>
      <c r="S68" s="48" t="inlineStr">
        <is>
          <t xml:space="preserve">Severe convective - hail / tornado (moderate)</t>
        </is>
      </c>
      <c r="T68" s="36">
        <f>IF($A68="","",IF($S68="","",IFERROR(INDEX('[1]natural catastrophe'!$D$6:$D$17,MATCH($S68,'[1]natural catastrophe'!$B$6:$B$17,0)),"?")))</f>
      </c>
      <c r="U68" s="46" t="inlineStr">
        <is>
          <t xml:space="preserve">$5,000</t>
        </is>
      </c>
      <c r="V68" s="48" t="inlineStr">
        <is>
          <t xml:space="preserve">Agreed Value</t>
        </is>
      </c>
      <c r="W68" s="46" t="inlineStr">
        <is>
          <t xml:space="preserve">$1,000</t>
        </is>
      </c>
      <c r="X68" s="48" t="inlineStr">
        <is>
          <t xml:space="preserve">$1,000,000 CSL</t>
        </is>
      </c>
      <c r="Y68" s="46"/>
      <c r="Z68" s="46"/>
      <c r="AA68" s="48" t="inlineStr">
        <is>
          <t xml:space="preserve">Surplus Lines</t>
        </is>
      </c>
      <c r="AB68" s="50">
        <v>11242.49</v>
      </c>
      <c r="AC68" s="51">
        <v>0</v>
      </c>
      <c r="AD68" s="38">
        <f>IF(ISNUMBER($AB68),$AB68*(1+N($AC68)),"")</f>
      </c>
      <c r="AE68" s="50">
        <v>350</v>
      </c>
      <c r="AF68" s="50">
        <v>0</v>
      </c>
      <c r="AG68" s="51"/>
      <c r="AH68" s="39">
        <f>IF(ISNUMBER($AD68),($AD68+$AE68+$AF68)*$AG68,"")</f>
      </c>
      <c r="AI68" s="50"/>
      <c r="AJ68" s="38">
        <f>IF(ISNUMBER($AD68),SUM($AD68:$AH68),"")</f>
      </c>
      <c r="AK68" s="40">
        <f>IF(AND(ISNUMBER($AB68),ISNUMBER($AD68)),IF($AB68&gt;0,$AD68/$AB68,""),"")</f>
      </c>
      <c r="AL68" s="48" t="inlineStr">
        <is>
          <t xml:space="preserve">At technical</t>
        </is>
      </c>
      <c r="AM68" s="41">
        <f>IF(ISNUMBER($AD68),Header!$I$3,"")</f>
      </c>
      <c r="AN68" s="39">
        <f>IF(ISNUMBER($AD68),$AO68+$AP68,"")</f>
      </c>
      <c r="AO68" s="39">
        <f>IF(ISNUMBER($AD68),ROUND($AD68*Header!$K$3,2),"")</f>
      </c>
      <c r="AP68" s="39">
        <f>IF(ISNUMBER($AD68),ROUND($AD68*Header!$M$3,2),"")</f>
      </c>
      <c r="AQ68" s="38">
        <f>IF(ISNUMBER($AD68),ROUND($AD68,2)-$AO68-$AP68,"")</f>
      </c>
      <c r="AR68" s="39">
        <f>IF(ISNUMBER($AD68),IF(Header!$D$34="","?",$AD68*Header!$D$34),"")</f>
      </c>
      <c r="AS68" s="39">
        <f>IF(ISNUMBER($AB68),IF(Header!$D$34="","?",$AB68*Header!$D$34),"")</f>
      </c>
      <c r="AT68" s="42">
        <f>IF(AND(ISNUMBER($AB68),$M68&gt;0),$AB68/$M68*100,"")</f>
      </c>
      <c r="AU68" s="42">
        <f>IF(AND(ISNUMBER($AD68),$M68&gt;0),$AD68/$M68*100,"")</f>
      </c>
      <c r="AV68" s="40">
        <f>IF(AND(ISNUMBER($AB68),ISNUMBER($AD68),ABS($AB68)&gt;0),$AD68/$AB68,"")</f>
      </c>
      <c r="AW68" s="39">
        <f>IF(ISNUMBER($AD68),MAX(0,(1-0.55-Header!$O$3)*Header!$Q$3*$AQ68),"")</f>
      </c>
      <c r="AX68" s="43">
        <f>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c>
      <c r="AY68" s="44">
        <f>IF($M68="","",IF(ISNUMBER($M68),IF($M68&gt;=Header!$C$18,"YES — refer","No"),""))</f>
      </c>
      <c r="AZ68" s="44">
        <f>IF($AD68="","",IF(ISNUMBER($AD68),IF($AD68&lt;Header!$C$20,"BELOW MIN PREMIUM","OK"),""))</f>
      </c>
      <c r="BA68" s="48" t="inlineStr">
        <is>
          <t xml:space="preserve">Yes</t>
        </is>
      </c>
      <c r="BB68" s="48" t="inlineStr">
        <is>
          <t xml:space="preserve">Yes</t>
        </is>
      </c>
      <c r="BC68" s="46" t="inlineStr">
        <is>
          <t xml:space="preserve">Synthetic demo data</t>
        </is>
      </c>
      <c r="BE68" s="45">
        <f>IF(OR($A68="",$L68="",$H68=""),"",IF(AND(LEFT($L68,2)="06",$H68&gt;1945),"FAIL - pre-war class, year "&amp;$H68,IF(AND(LEFT($L68,2)="07",OR($H68&lt;1946,$H68&gt;1972)),"FAIL - 1946-72 class, year "&amp;$H68,IF(AND(LEFT($L68,2)="08",OR($H68&lt;1973,$H68&gt;1999)),"FAIL - 1973-99 class, year "&amp;$H68,IF(AND(LEFT($L68,2)="09",OR($H68&lt;2000,$H68&gt;2010)),"FAIL - 2000-10 class, year "&amp;$H68,"OK")))))</f>
      </c>
      <c r="BF68" s="45">
        <f>IF($AD68="","",IF(ROUND($AO68+$AP68+$AQ68-$AD68,2)=0,"OK","FAIL - out by "&amp;TEXT($AO68+$AP68+$AQ68-$AD68,"$0.00")))</f>
      </c>
    </row>
    <row r="69" spans="1:58" ht="18.75" customHeight="1" x14ac:dyDescent="0.25">
      <c r="A69" s="30" t="inlineStr">
        <is>
          <t xml:space="preserve">CANON-202606-008491</t>
        </is>
      </c>
      <c r="B69" s="30" t="inlineStr">
        <is>
          <t xml:space="preserve">Sunniva Fairweather</t>
        </is>
      </c>
      <c r="C69" s="31">
        <v>46187</v>
      </c>
      <c r="D69" s="32" t="inlineStr">
        <is>
          <t xml:space="preserve">Bound - within authority</t>
        </is>
      </c>
      <c r="E69" s="32" t="inlineStr">
        <is>
          <t xml:space="preserve">New business</t>
        </is>
      </c>
      <c r="F69" s="30" t="inlineStr">
        <is>
          <t xml:space="preserve">B1234EXOTIC26</t>
        </is>
      </c>
      <c r="G69" s="33">
        <f>IF($A69="","",IF($C69="","",YEAR($C69)))</f>
      </c>
      <c r="H69" s="34">
        <v>1994</v>
      </c>
      <c r="I69" s="30" t="inlineStr">
        <is>
          <t xml:space="preserve">Porsche</t>
        </is>
      </c>
      <c r="J69" s="30" t="inlineStr">
        <is>
          <t xml:space="preserve">911 Turbo S</t>
        </is>
      </c>
      <c r="K69" s="30" t="inlineStr">
        <is>
          <t xml:space="preserve">EXTAB8YSGD0SA89P3</t>
        </is>
      </c>
      <c r="L69" s="32" t="inlineStr">
        <is>
          <t xml:space="preserve">02 - Sports / GT</t>
        </is>
      </c>
      <c r="M69" s="35">
        <v>535000</v>
      </c>
      <c r="N69" s="32" t="inlineStr">
        <is>
          <t xml:space="preserve">Personal</t>
        </is>
      </c>
      <c r="O69" s="30" t="inlineStr">
        <is>
          <t xml:space="preserve">Personal - regular use</t>
        </is>
      </c>
      <c r="P69" s="30" t="inlineStr">
        <is>
          <t xml:space="preserve">Under 1,000</t>
        </is>
      </c>
      <c r="Q69" s="30" t="inlineStr">
        <is>
          <t xml:space="preserve">Indiana</t>
        </is>
      </c>
      <c r="R69" s="30" t="inlineStr">
        <is>
          <t xml:space="preserve">46204</t>
        </is>
      </c>
      <c r="S69" s="32" t="inlineStr">
        <is>
          <t xml:space="preserve">Severe convective - hail / tornado (moderate)</t>
        </is>
      </c>
      <c r="T69" s="36">
        <f>IF($A69="","",IF($S69="","",IFERROR(INDEX('[1]natural catastrophe'!$D$6:$D$17,MATCH($S69,'[1]natural catastrophe'!$B$6:$B$17,0)),"?")))</f>
      </c>
      <c r="U69" s="30" t="inlineStr">
        <is>
          <t xml:space="preserve">$5,000</t>
        </is>
      </c>
      <c r="V69" s="32" t="inlineStr">
        <is>
          <t xml:space="preserve">Agreed Value</t>
        </is>
      </c>
      <c r="W69" s="30" t="inlineStr">
        <is>
          <t xml:space="preserve">$1,000</t>
        </is>
      </c>
      <c r="X69" s="32" t="inlineStr">
        <is>
          <t xml:space="preserve">$1,000,000 CSL</t>
        </is>
      </c>
      <c r="Y69" s="30"/>
      <c r="Z69" s="30"/>
      <c r="AA69" s="32" t="inlineStr">
        <is>
          <t xml:space="preserve">Surplus Lines</t>
        </is>
      </c>
      <c r="AB69" s="35">
        <v>6172.26</v>
      </c>
      <c r="AC69" s="37">
        <v>0</v>
      </c>
      <c r="AD69" s="38">
        <f>IF(ISNUMBER($AB69),$AB69*(1+N($AC69)),"")</f>
      </c>
      <c r="AE69" s="35">
        <v>350</v>
      </c>
      <c r="AF69" s="35">
        <v>0</v>
      </c>
      <c r="AG69" s="37"/>
      <c r="AH69" s="39">
        <f>IF(ISNUMBER($AD69),($AD69+$AE69+$AF69)*$AG69,"")</f>
      </c>
      <c r="AI69" s="35"/>
      <c r="AJ69" s="38">
        <f>IF(ISNUMBER($AD69),SUM($AD69:$AH69),"")</f>
      </c>
      <c r="AK69" s="40">
        <f>IF(AND(ISNUMBER($AB69),ISNUMBER($AD69)),IF($AB69&gt;0,$AD69/$AB69,""),"")</f>
      </c>
      <c r="AL69" s="32" t="inlineStr">
        <is>
          <t xml:space="preserve">At technical</t>
        </is>
      </c>
      <c r="AM69" s="41">
        <f>IF(ISNUMBER($AD69),Header!$I$3,"")</f>
      </c>
      <c r="AN69" s="39">
        <f>IF(ISNUMBER($AD69),$AO69+$AP69,"")</f>
      </c>
      <c r="AO69" s="39">
        <f>IF(ISNUMBER($AD69),ROUND($AD69*Header!$K$3,2),"")</f>
      </c>
      <c r="AP69" s="39">
        <f>IF(ISNUMBER($AD69),ROUND($AD69*Header!$M$3,2),"")</f>
      </c>
      <c r="AQ69" s="38">
        <f>IF(ISNUMBER($AD69),ROUND($AD69,2)-$AO69-$AP69,"")</f>
      </c>
      <c r="AR69" s="39">
        <f>IF(ISNUMBER($AD69),IF(Header!$D$34="","?",$AD69*Header!$D$34),"")</f>
      </c>
      <c r="AS69" s="39">
        <f>IF(ISNUMBER($AB69),IF(Header!$D$34="","?",$AB69*Header!$D$34),"")</f>
      </c>
      <c r="AT69" s="42">
        <f>IF(AND(ISNUMBER($AB69),$M69&gt;0),$AB69/$M69*100,"")</f>
      </c>
      <c r="AU69" s="42">
        <f>IF(AND(ISNUMBER($AD69),$M69&gt;0),$AD69/$M69*100,"")</f>
      </c>
      <c r="AV69" s="40">
        <f>IF(AND(ISNUMBER($AB69),ISNUMBER($AD69),ABS($AB69)&gt;0),$AD69/$AB69,"")</f>
      </c>
      <c r="AW69" s="39">
        <f>IF(ISNUMBER($AD69),MAX(0,(1-0.55-Header!$O$3)*Header!$Q$3*$AQ69),"")</f>
      </c>
      <c r="AX69" s="43">
        <f>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c>
      <c r="AY69" s="44">
        <f>IF($M69="","",IF(ISNUMBER($M69),IF($M69&gt;=Header!$C$18,"YES — refer","No"),""))</f>
      </c>
      <c r="AZ69" s="44">
        <f>IF($AD69="","",IF(ISNUMBER($AD69),IF($AD69&lt;Header!$C$20,"BELOW MIN PREMIUM","OK"),""))</f>
      </c>
      <c r="BA69" s="32" t="inlineStr">
        <is>
          <t xml:space="preserve">Yes</t>
        </is>
      </c>
      <c r="BB69" s="32" t="inlineStr">
        <is>
          <t xml:space="preserve">Yes</t>
        </is>
      </c>
      <c r="BC69" s="30" t="inlineStr">
        <is>
          <t xml:space="preserve">Synthetic demo data</t>
        </is>
      </c>
      <c r="BE69" s="45">
        <f>IF(OR($A69="",$L69="",$H69=""),"",IF(AND(LEFT($L69,2)="06",$H69&gt;1945),"FAIL - pre-war class, year "&amp;$H69,IF(AND(LEFT($L69,2)="07",OR($H69&lt;1946,$H69&gt;1972)),"FAIL - 1946-72 class, year "&amp;$H69,IF(AND(LEFT($L69,2)="08",OR($H69&lt;1973,$H69&gt;1999)),"FAIL - 1973-99 class, year "&amp;$H69,IF(AND(LEFT($L69,2)="09",OR($H69&lt;2000,$H69&gt;2010)),"FAIL - 2000-10 class, year "&amp;$H69,"OK")))))</f>
      </c>
      <c r="BF69" s="45">
        <f>IF($AD69="","",IF(ROUND($AO69+$AP69+$AQ69-$AD69,2)=0,"OK","FAIL - out by "&amp;TEXT($AO69+$AP69+$AQ69-$AD69,"$0.00")))</f>
      </c>
    </row>
    <row r="70" spans="1:58" ht="18.75" customHeight="1" x14ac:dyDescent="0.25">
      <c r="A70" s="46" t="inlineStr">
        <is>
          <t xml:space="preserve">CANON-202606-008492</t>
        </is>
      </c>
      <c r="B70" s="46" t="inlineStr">
        <is>
          <t xml:space="preserve">Beatrix Nakashima</t>
        </is>
      </c>
      <c r="C70" s="47">
        <v>46192</v>
      </c>
      <c r="D70" s="48" t="inlineStr">
        <is>
          <t xml:space="preserve">Bound - within authority</t>
        </is>
      </c>
      <c r="E70" s="48" t="inlineStr">
        <is>
          <t xml:space="preserve">New business</t>
        </is>
      </c>
      <c r="F70" s="46" t="inlineStr">
        <is>
          <t xml:space="preserve">B1234EXOTIC26</t>
        </is>
      </c>
      <c r="G70" s="33">
        <f>IF($A70="","",IF($C70="","",YEAR($C70)))</f>
      </c>
      <c r="H70" s="49">
        <v>1994</v>
      </c>
      <c r="I70" s="46" t="inlineStr">
        <is>
          <t xml:space="preserve">Bentley</t>
        </is>
      </c>
      <c r="J70" s="46" t="inlineStr">
        <is>
          <t xml:space="preserve">Continental GT</t>
        </is>
      </c>
      <c r="K70" s="46" t="inlineStr">
        <is>
          <t xml:space="preserve">92TK0AY9XG0TS9KKT</t>
        </is>
      </c>
      <c r="L70" s="48" t="inlineStr">
        <is>
          <t xml:space="preserve">02 - Sports / GT</t>
        </is>
      </c>
      <c r="M70" s="50">
        <v>465000</v>
      </c>
      <c r="N70" s="48" t="inlineStr">
        <is>
          <t xml:space="preserve">Personal</t>
        </is>
      </c>
      <c r="O70" s="46" t="inlineStr">
        <is>
          <t xml:space="preserve">Personal - regular use</t>
        </is>
      </c>
      <c r="P70" s="46" t="inlineStr">
        <is>
          <t xml:space="preserve">2,500 - 5,000</t>
        </is>
      </c>
      <c r="Q70" s="46" t="inlineStr">
        <is>
          <t xml:space="preserve">Massachusetts</t>
        </is>
      </c>
      <c r="R70" s="46" t="inlineStr">
        <is>
          <t xml:space="preserve">02108</t>
        </is>
      </c>
      <c r="S70" s="48" t="inlineStr">
        <is>
          <t xml:space="preserve">Tier 3 - Coastal wind (25-100 miles)</t>
        </is>
      </c>
      <c r="T70" s="36">
        <f>IF($A70="","",IF($S70="","",IFERROR(INDEX('[1]natural catastrophe'!$D$6:$D$17,MATCH($S70,'[1]natural catastrophe'!$B$6:$B$17,0)),"?")))</f>
      </c>
      <c r="U70" s="46" t="inlineStr">
        <is>
          <t xml:space="preserve">2% of agreed value, minimum $10,000</t>
        </is>
      </c>
      <c r="V70" s="48" t="inlineStr">
        <is>
          <t xml:space="preserve">Agreed Value</t>
        </is>
      </c>
      <c r="W70" s="46" t="inlineStr">
        <is>
          <t xml:space="preserve">$1,000</t>
        </is>
      </c>
      <c r="X70" s="48" t="inlineStr">
        <is>
          <t xml:space="preserve">$1,000,000 CSL</t>
        </is>
      </c>
      <c r="Y70" s="46"/>
      <c r="Z70" s="46"/>
      <c r="AA70" s="48" t="inlineStr">
        <is>
          <t xml:space="preserve">Surplus Lines</t>
        </is>
      </c>
      <c r="AB70" s="50">
        <v>6290.66</v>
      </c>
      <c r="AC70" s="51">
        <v>0</v>
      </c>
      <c r="AD70" s="38">
        <f>IF(ISNUMBER($AB70),$AB70*(1+N($AC70)),"")</f>
      </c>
      <c r="AE70" s="50">
        <v>350</v>
      </c>
      <c r="AF70" s="50">
        <v>0</v>
      </c>
      <c r="AG70" s="51"/>
      <c r="AH70" s="39">
        <f>IF(ISNUMBER($AD70),($AD70+$AE70+$AF70)*$AG70,"")</f>
      </c>
      <c r="AI70" s="50"/>
      <c r="AJ70" s="38">
        <f>IF(ISNUMBER($AD70),SUM($AD70:$AH70),"")</f>
      </c>
      <c r="AK70" s="40">
        <f>IF(AND(ISNUMBER($AB70),ISNUMBER($AD70)),IF($AB70&gt;0,$AD70/$AB70,""),"")</f>
      </c>
      <c r="AL70" s="48" t="inlineStr">
        <is>
          <t xml:space="preserve">At technical</t>
        </is>
      </c>
      <c r="AM70" s="41">
        <f>IF(ISNUMBER($AD70),Header!$I$3,"")</f>
      </c>
      <c r="AN70" s="39">
        <f>IF(ISNUMBER($AD70),$AO70+$AP70,"")</f>
      </c>
      <c r="AO70" s="39">
        <f>IF(ISNUMBER($AD70),ROUND($AD70*Header!$K$3,2),"")</f>
      </c>
      <c r="AP70" s="39">
        <f>IF(ISNUMBER($AD70),ROUND($AD70*Header!$M$3,2),"")</f>
      </c>
      <c r="AQ70" s="38">
        <f>IF(ISNUMBER($AD70),ROUND($AD70,2)-$AO70-$AP70,"")</f>
      </c>
      <c r="AR70" s="39">
        <f>IF(ISNUMBER($AD70),IF(Header!$D$34="","?",$AD70*Header!$D$34),"")</f>
      </c>
      <c r="AS70" s="39">
        <f>IF(ISNUMBER($AB70),IF(Header!$D$34="","?",$AB70*Header!$D$34),"")</f>
      </c>
      <c r="AT70" s="42">
        <f>IF(AND(ISNUMBER($AB70),$M70&gt;0),$AB70/$M70*100,"")</f>
      </c>
      <c r="AU70" s="42">
        <f>IF(AND(ISNUMBER($AD70),$M70&gt;0),$AD70/$M70*100,"")</f>
      </c>
      <c r="AV70" s="40">
        <f>IF(AND(ISNUMBER($AB70),ISNUMBER($AD70),ABS($AB70)&gt;0),$AD70/$AB70,"")</f>
      </c>
      <c r="AW70" s="39">
        <f>IF(ISNUMBER($AD70),MAX(0,(1-0.55-Header!$O$3)*Header!$Q$3*$AQ70),"")</f>
      </c>
      <c r="AX70" s="43">
        <f>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c>
      <c r="AY70" s="44">
        <f>IF($M70="","",IF(ISNUMBER($M70),IF($M70&gt;=Header!$C$18,"YES — refer","No"),""))</f>
      </c>
      <c r="AZ70" s="44">
        <f>IF($AD70="","",IF(ISNUMBER($AD70),IF($AD70&lt;Header!$C$20,"BELOW MIN PREMIUM","OK"),""))</f>
      </c>
      <c r="BA70" s="48" t="inlineStr">
        <is>
          <t xml:space="preserve">Yes</t>
        </is>
      </c>
      <c r="BB70" s="48" t="inlineStr">
        <is>
          <t xml:space="preserve">Yes</t>
        </is>
      </c>
      <c r="BC70" s="46" t="inlineStr">
        <is>
          <t xml:space="preserve">Synthetic demo data</t>
        </is>
      </c>
      <c r="BE70" s="45">
        <f>IF(OR($A70="",$L70="",$H70=""),"",IF(AND(LEFT($L70,2)="06",$H70&gt;1945),"FAIL - pre-war class, year "&amp;$H70,IF(AND(LEFT($L70,2)="07",OR($H70&lt;1946,$H70&gt;1972)),"FAIL - 1946-72 class, year "&amp;$H70,IF(AND(LEFT($L70,2)="08",OR($H70&lt;1973,$H70&gt;1999)),"FAIL - 1973-99 class, year "&amp;$H70,IF(AND(LEFT($L70,2)="09",OR($H70&lt;2000,$H70&gt;2010)),"FAIL - 2000-10 class, year "&amp;$H70,"OK")))))</f>
      </c>
      <c r="BF70" s="45">
        <f>IF($AD70="","",IF(ROUND($AO70+$AP70+$AQ70-$AD70,2)=0,"OK","FAIL - out by "&amp;TEXT($AO70+$AP70+$AQ70-$AD70,"$0.00")))</f>
      </c>
    </row>
    <row r="71" spans="1:58" ht="18.75" customHeight="1" x14ac:dyDescent="0.25">
      <c r="A71" s="30" t="inlineStr">
        <is>
          <t xml:space="preserve">CANON-202606-008494</t>
        </is>
      </c>
      <c r="B71" s="30" t="inlineStr">
        <is>
          <t xml:space="preserve">Saoirse Nakashima</t>
        </is>
      </c>
      <c r="C71" s="31">
        <v>46179</v>
      </c>
      <c r="D71" s="32" t="inlineStr">
        <is>
          <t xml:space="preserve">Bound - within authority</t>
        </is>
      </c>
      <c r="E71" s="32" t="inlineStr">
        <is>
          <t xml:space="preserve">New business</t>
        </is>
      </c>
      <c r="F71" s="30" t="inlineStr">
        <is>
          <t xml:space="preserve">B1234EXOTIC26</t>
        </is>
      </c>
      <c r="G71" s="33">
        <f>IF($A71="","",IF($C71="","",YEAR($C71)))</f>
      </c>
      <c r="H71" s="34">
        <v>2003</v>
      </c>
      <c r="I71" s="30" t="inlineStr">
        <is>
          <t xml:space="preserve">Ferrari</t>
        </is>
      </c>
      <c r="J71" s="30" t="inlineStr">
        <is>
          <t xml:space="preserve">SF90 Stradale</t>
        </is>
      </c>
      <c r="K71" s="30" t="inlineStr">
        <is>
          <t xml:space="preserve">KEK8C70DBA5MUP0NV</t>
        </is>
      </c>
      <c r="L71" s="32" t="inlineStr">
        <is>
          <t xml:space="preserve">03 - Supercar</t>
        </is>
      </c>
      <c r="M71" s="35">
        <v>1390000</v>
      </c>
      <c r="N71" s="32" t="inlineStr">
        <is>
          <t xml:space="preserve">Personal</t>
        </is>
      </c>
      <c r="O71" s="30" t="inlineStr">
        <is>
          <t xml:space="preserve">Personal - regular use</t>
        </is>
      </c>
      <c r="P71" s="30" t="inlineStr">
        <is>
          <t xml:space="preserve">2,500 - 5,000</t>
        </is>
      </c>
      <c r="Q71" s="30" t="inlineStr">
        <is>
          <t xml:space="preserve">Texas</t>
        </is>
      </c>
      <c r="R71" s="30" t="inlineStr">
        <is>
          <t xml:space="preserve">75201</t>
        </is>
      </c>
      <c r="S71" s="32" t="inlineStr">
        <is>
          <t xml:space="preserve">Tier 2 - Coastal wind (1-25 miles)</t>
        </is>
      </c>
      <c r="T71" s="36">
        <f>IF($A71="","",IF($S71="","",IFERROR(INDEX('[1]natural catastrophe'!$D$6:$D$17,MATCH($S71,'[1]natural catastrophe'!$B$6:$B$17,0)),"?")))</f>
      </c>
      <c r="U71" s="30" t="inlineStr">
        <is>
          <t xml:space="preserve">2% of agreed value, minimum $10,000</t>
        </is>
      </c>
      <c r="V71" s="32" t="inlineStr">
        <is>
          <t xml:space="preserve">Agreed Value</t>
        </is>
      </c>
      <c r="W71" s="30" t="inlineStr">
        <is>
          <t xml:space="preserve">$1,000</t>
        </is>
      </c>
      <c r="X71" s="32" t="inlineStr">
        <is>
          <t xml:space="preserve">$1,000,000 CSL</t>
        </is>
      </c>
      <c r="Y71" s="30"/>
      <c r="Z71" s="30"/>
      <c r="AA71" s="32" t="inlineStr">
        <is>
          <t xml:space="preserve">Surplus Lines</t>
        </is>
      </c>
      <c r="AB71" s="35">
        <v>18453.32</v>
      </c>
      <c r="AC71" s="37">
        <v>0</v>
      </c>
      <c r="AD71" s="38">
        <f>IF(ISNUMBER($AB71),$AB71*(1+N($AC71)),"")</f>
      </c>
      <c r="AE71" s="35">
        <v>350</v>
      </c>
      <c r="AF71" s="35">
        <v>250</v>
      </c>
      <c r="AG71" s="37"/>
      <c r="AH71" s="39">
        <f>IF(ISNUMBER($AD71),($AD71+$AE71+$AF71)*$AG71,"")</f>
      </c>
      <c r="AI71" s="35"/>
      <c r="AJ71" s="38">
        <f>IF(ISNUMBER($AD71),SUM($AD71:$AH71),"")</f>
      </c>
      <c r="AK71" s="40">
        <f>IF(AND(ISNUMBER($AB71),ISNUMBER($AD71)),IF($AB71&gt;0,$AD71/$AB71,""),"")</f>
      </c>
      <c r="AL71" s="32" t="inlineStr">
        <is>
          <t xml:space="preserve">At technical</t>
        </is>
      </c>
      <c r="AM71" s="41">
        <f>IF(ISNUMBER($AD71),Header!$I$3,"")</f>
      </c>
      <c r="AN71" s="39">
        <f>IF(ISNUMBER($AD71),$AO71+$AP71,"")</f>
      </c>
      <c r="AO71" s="39">
        <f>IF(ISNUMBER($AD71),ROUND($AD71*Header!$K$3,2),"")</f>
      </c>
      <c r="AP71" s="39">
        <f>IF(ISNUMBER($AD71),ROUND($AD71*Header!$M$3,2),"")</f>
      </c>
      <c r="AQ71" s="38">
        <f>IF(ISNUMBER($AD71),ROUND($AD71,2)-$AO71-$AP71,"")</f>
      </c>
      <c r="AR71" s="39">
        <f>IF(ISNUMBER($AD71),IF(Header!$D$34="","?",$AD71*Header!$D$34),"")</f>
      </c>
      <c r="AS71" s="39">
        <f>IF(ISNUMBER($AB71),IF(Header!$D$34="","?",$AB71*Header!$D$34),"")</f>
      </c>
      <c r="AT71" s="42">
        <f>IF(AND(ISNUMBER($AB71),$M71&gt;0),$AB71/$M71*100,"")</f>
      </c>
      <c r="AU71" s="42">
        <f>IF(AND(ISNUMBER($AD71),$M71&gt;0),$AD71/$M71*100,"")</f>
      </c>
      <c r="AV71" s="40">
        <f>IF(AND(ISNUMBER($AB71),ISNUMBER($AD71),ABS($AB71)&gt;0),$AD71/$AB71,"")</f>
      </c>
      <c r="AW71" s="39">
        <f>IF(ISNUMBER($AD71),MAX(0,(1-0.55-Header!$O$3)*Header!$Q$3*$AQ71),"")</f>
      </c>
      <c r="AX71" s="43">
        <f>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c>
      <c r="AY71" s="44">
        <f>IF($M71="","",IF(ISNUMBER($M71),IF($M71&gt;=Header!$C$18,"YES — refer","No"),""))</f>
      </c>
      <c r="AZ71" s="44">
        <f>IF($AD71="","",IF(ISNUMBER($AD71),IF($AD71&lt;Header!$C$20,"BELOW MIN PREMIUM","OK"),""))</f>
      </c>
      <c r="BA71" s="32" t="inlineStr">
        <is>
          <t xml:space="preserve">Yes</t>
        </is>
      </c>
      <c r="BB71" s="32" t="inlineStr">
        <is>
          <t xml:space="preserve">Yes</t>
        </is>
      </c>
      <c r="BC71" s="30" t="inlineStr">
        <is>
          <t xml:space="preserve">Synthetic demo data</t>
        </is>
      </c>
      <c r="BE71" s="45">
        <f>IF(OR($A71="",$L71="",$H71=""),"",IF(AND(LEFT($L71,2)="06",$H71&gt;1945),"FAIL - pre-war class, year "&amp;$H71,IF(AND(LEFT($L71,2)="07",OR($H71&lt;1946,$H71&gt;1972)),"FAIL - 1946-72 class, year "&amp;$H71,IF(AND(LEFT($L71,2)="08",OR($H71&lt;1973,$H71&gt;1999)),"FAIL - 1973-99 class, year "&amp;$H71,IF(AND(LEFT($L71,2)="09",OR($H71&lt;2000,$H71&gt;2010)),"FAIL - 2000-10 class, year "&amp;$H71,"OK")))))</f>
      </c>
      <c r="BF71" s="45">
        <f>IF($AD71="","",IF(ROUND($AO71+$AP71+$AQ71-$AD71,2)=0,"OK","FAIL - out by "&amp;TEXT($AO71+$AP71+$AQ71-$AD71,"$0.00")))</f>
      </c>
    </row>
    <row r="72" spans="1:58" ht="18.75" customHeight="1" x14ac:dyDescent="0.25">
      <c r="A72" s="46" t="inlineStr">
        <is>
          <t xml:space="preserve">CANON-202606-008496</t>
        </is>
      </c>
      <c r="B72" s="46" t="inlineStr">
        <is>
          <t xml:space="preserve">Beatrix Fairweather</t>
        </is>
      </c>
      <c r="C72" s="47">
        <v>46203</v>
      </c>
      <c r="D72" s="48" t="inlineStr">
        <is>
          <t xml:space="preserve">Bound - within authority</t>
        </is>
      </c>
      <c r="E72" s="48" t="inlineStr">
        <is>
          <t xml:space="preserve">New business</t>
        </is>
      </c>
      <c r="F72" s="46" t="inlineStr">
        <is>
          <t xml:space="preserve">B1234EXOTIC26</t>
        </is>
      </c>
      <c r="G72" s="33">
        <f>IF($A72="","",IF($C72="","",YEAR($C72)))</f>
      </c>
      <c r="H72" s="49">
        <v>2019</v>
      </c>
      <c r="I72" s="46" t="inlineStr">
        <is>
          <t xml:space="preserve">Bentley</t>
        </is>
      </c>
      <c r="J72" s="46" t="inlineStr">
        <is>
          <t xml:space="preserve">Continental GT</t>
        </is>
      </c>
      <c r="K72" s="46" t="inlineStr">
        <is>
          <t xml:space="preserve">6UBJG0E62NMD6WJRD</t>
        </is>
      </c>
      <c r="L72" s="48" t="inlineStr">
        <is>
          <t xml:space="preserve">02 - Sports / GT</t>
        </is>
      </c>
      <c r="M72" s="50">
        <v>360000</v>
      </c>
      <c r="N72" s="48" t="inlineStr">
        <is>
          <t xml:space="preserve">Personal</t>
        </is>
      </c>
      <c r="O72" s="46" t="inlineStr">
        <is>
          <t xml:space="preserve">Personal - regular use</t>
        </is>
      </c>
      <c r="P72" s="46" t="inlineStr">
        <is>
          <t xml:space="preserve">Under 1,000</t>
        </is>
      </c>
      <c r="Q72" s="46" t="inlineStr">
        <is>
          <t xml:space="preserve">Texas</t>
        </is>
      </c>
      <c r="R72" s="46" t="inlineStr">
        <is>
          <t xml:space="preserve">75201</t>
        </is>
      </c>
      <c r="S72" s="48" t="inlineStr">
        <is>
          <t xml:space="preserve">Tier 2 - Coastal wind (1-25 miles)</t>
        </is>
      </c>
      <c r="T72" s="36">
        <f>IF($A72="","",IF($S72="","",IFERROR(INDEX('[1]natural catastrophe'!$D$6:$D$17,MATCH($S72,'[1]natural catastrophe'!$B$6:$B$17,0)),"?")))</f>
      </c>
      <c r="U72" s="46" t="inlineStr">
        <is>
          <t xml:space="preserve">2% of agreed value, minimum $10,000</t>
        </is>
      </c>
      <c r="V72" s="48" t="inlineStr">
        <is>
          <t xml:space="preserve">Agreed Value</t>
        </is>
      </c>
      <c r="W72" s="46" t="inlineStr">
        <is>
          <t xml:space="preserve">$1,000</t>
        </is>
      </c>
      <c r="X72" s="48" t="inlineStr">
        <is>
          <t xml:space="preserve">$1,000,000 CSL</t>
        </is>
      </c>
      <c r="Y72" s="46"/>
      <c r="Z72" s="46"/>
      <c r="AA72" s="48" t="inlineStr">
        <is>
          <t xml:space="preserve">Surplus Lines</t>
        </is>
      </c>
      <c r="AB72" s="50">
        <v>4480.57</v>
      </c>
      <c r="AC72" s="51">
        <v>0</v>
      </c>
      <c r="AD72" s="38">
        <f>IF(ISNUMBER($AB72),$AB72*(1+N($AC72)),"")</f>
      </c>
      <c r="AE72" s="50">
        <v>350</v>
      </c>
      <c r="AF72" s="50">
        <v>0</v>
      </c>
      <c r="AG72" s="51"/>
      <c r="AH72" s="39">
        <f>IF(ISNUMBER($AD72),($AD72+$AE72+$AF72)*$AG72,"")</f>
      </c>
      <c r="AI72" s="50"/>
      <c r="AJ72" s="38">
        <f>IF(ISNUMBER($AD72),SUM($AD72:$AH72),"")</f>
      </c>
      <c r="AK72" s="40">
        <f>IF(AND(ISNUMBER($AB72),ISNUMBER($AD72)),IF($AB72&gt;0,$AD72/$AB72,""),"")</f>
      </c>
      <c r="AL72" s="48" t="inlineStr">
        <is>
          <t xml:space="preserve">At technical</t>
        </is>
      </c>
      <c r="AM72" s="41">
        <f>IF(ISNUMBER($AD72),Header!$I$3,"")</f>
      </c>
      <c r="AN72" s="39">
        <f>IF(ISNUMBER($AD72),$AO72+$AP72,"")</f>
      </c>
      <c r="AO72" s="39">
        <f>IF(ISNUMBER($AD72),ROUND($AD72*Header!$K$3,2),"")</f>
      </c>
      <c r="AP72" s="39">
        <f>IF(ISNUMBER($AD72),ROUND($AD72*Header!$M$3,2),"")</f>
      </c>
      <c r="AQ72" s="38">
        <f>IF(ISNUMBER($AD72),ROUND($AD72,2)-$AO72-$AP72,"")</f>
      </c>
      <c r="AR72" s="39">
        <f>IF(ISNUMBER($AD72),IF(Header!$D$34="","?",$AD72*Header!$D$34),"")</f>
      </c>
      <c r="AS72" s="39">
        <f>IF(ISNUMBER($AB72),IF(Header!$D$34="","?",$AB72*Header!$D$34),"")</f>
      </c>
      <c r="AT72" s="42">
        <f>IF(AND(ISNUMBER($AB72),$M72&gt;0),$AB72/$M72*100,"")</f>
      </c>
      <c r="AU72" s="42">
        <f>IF(AND(ISNUMBER($AD72),$M72&gt;0),$AD72/$M72*100,"")</f>
      </c>
      <c r="AV72" s="40">
        <f>IF(AND(ISNUMBER($AB72),ISNUMBER($AD72),ABS($AB72)&gt;0),$AD72/$AB72,"")</f>
      </c>
      <c r="AW72" s="39">
        <f>IF(ISNUMBER($AD72),MAX(0,(1-0.55-Header!$O$3)*Header!$Q$3*$AQ72),"")</f>
      </c>
      <c r="AX72" s="43">
        <f>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c>
      <c r="AY72" s="44">
        <f>IF($M72="","",IF(ISNUMBER($M72),IF($M72&gt;=Header!$C$18,"YES — refer","No"),""))</f>
      </c>
      <c r="AZ72" s="44">
        <f>IF($AD72="","",IF(ISNUMBER($AD72),IF($AD72&lt;Header!$C$20,"BELOW MIN PREMIUM","OK"),""))</f>
      </c>
      <c r="BA72" s="48" t="inlineStr">
        <is>
          <t xml:space="preserve">Yes</t>
        </is>
      </c>
      <c r="BB72" s="48" t="inlineStr">
        <is>
          <t xml:space="preserve">Yes</t>
        </is>
      </c>
      <c r="BC72" s="46" t="inlineStr">
        <is>
          <t xml:space="preserve">Synthetic demo data</t>
        </is>
      </c>
      <c r="BE72" s="45">
        <f>IF(OR($A72="",$L72="",$H72=""),"",IF(AND(LEFT($L72,2)="06",$H72&gt;1945),"FAIL - pre-war class, year "&amp;$H72,IF(AND(LEFT($L72,2)="07",OR($H72&lt;1946,$H72&gt;1972)),"FAIL - 1946-72 class, year "&amp;$H72,IF(AND(LEFT($L72,2)="08",OR($H72&lt;1973,$H72&gt;1999)),"FAIL - 1973-99 class, year "&amp;$H72,IF(AND(LEFT($L72,2)="09",OR($H72&lt;2000,$H72&gt;2010)),"FAIL - 2000-10 class, year "&amp;$H72,"OK")))))</f>
      </c>
      <c r="BF72" s="45">
        <f>IF($AD72="","",IF(ROUND($AO72+$AP72+$AQ72-$AD72,2)=0,"OK","FAIL - out by "&amp;TEXT($AO72+$AP72+$AQ72-$AD72,"$0.00")))</f>
      </c>
    </row>
    <row r="73" spans="1:58" ht="18.75" customHeight="1" x14ac:dyDescent="0.25">
      <c r="A73" s="30" t="inlineStr">
        <is>
          <t xml:space="preserve">CANON-202606-008498</t>
        </is>
      </c>
      <c r="B73" s="30" t="inlineStr">
        <is>
          <t xml:space="preserve">Noor Delacroix</t>
        </is>
      </c>
      <c r="C73" s="31">
        <v>46174</v>
      </c>
      <c r="D73" s="32" t="inlineStr">
        <is>
          <t xml:space="preserve">Bound - within authority</t>
        </is>
      </c>
      <c r="E73" s="32" t="inlineStr">
        <is>
          <t xml:space="preserve">New business</t>
        </is>
      </c>
      <c r="F73" s="30" t="inlineStr">
        <is>
          <t xml:space="preserve">B1234EXOTIC26</t>
        </is>
      </c>
      <c r="G73" s="33">
        <f>IF($A73="","",IF($C73="","",YEAR($C73)))</f>
      </c>
      <c r="H73" s="34">
        <v>2001</v>
      </c>
      <c r="I73" s="30" t="inlineStr">
        <is>
          <t xml:space="preserve">Jaguar</t>
        </is>
      </c>
      <c r="J73" s="30" t="inlineStr">
        <is>
          <t xml:space="preserve">E-Type Series 1</t>
        </is>
      </c>
      <c r="K73" s="30" t="inlineStr">
        <is>
          <t xml:space="preserve">7M5BWYAYU46567WGJ</t>
        </is>
      </c>
      <c r="L73" s="32" t="inlineStr">
        <is>
          <t xml:space="preserve">09 - Youngtimer / Collectible (2000-2010)</t>
        </is>
      </c>
      <c r="M73" s="35">
        <v>620000</v>
      </c>
      <c r="N73" s="32" t="inlineStr">
        <is>
          <t xml:space="preserve">Personal</t>
        </is>
      </c>
      <c r="O73" s="30" t="inlineStr">
        <is>
          <t xml:space="preserve">Personal - regular use</t>
        </is>
      </c>
      <c r="P73" s="30" t="inlineStr">
        <is>
          <t xml:space="preserve">Under 1,000</t>
        </is>
      </c>
      <c r="Q73" s="30" t="inlineStr">
        <is>
          <t xml:space="preserve">Maryland</t>
        </is>
      </c>
      <c r="R73" s="30" t="inlineStr">
        <is>
          <t xml:space="preserve">21201</t>
        </is>
      </c>
      <c r="S73" s="32" t="inlineStr">
        <is>
          <t xml:space="preserve">Tier 3 - Coastal wind (25-100 miles)</t>
        </is>
      </c>
      <c r="T73" s="36">
        <f>IF($A73="","",IF($S73="","",IFERROR(INDEX('[1]natural catastrophe'!$D$6:$D$17,MATCH($S73,'[1]natural catastrophe'!$B$6:$B$17,0)),"?")))</f>
      </c>
      <c r="U73" s="30" t="inlineStr">
        <is>
          <t xml:space="preserve">2% of agreed value, minimum $10,000</t>
        </is>
      </c>
      <c r="V73" s="32" t="inlineStr">
        <is>
          <t xml:space="preserve">Agreed Value</t>
        </is>
      </c>
      <c r="W73" s="30" t="inlineStr">
        <is>
          <t xml:space="preserve">$1,000</t>
        </is>
      </c>
      <c r="X73" s="32" t="inlineStr">
        <is>
          <t xml:space="preserve">$1,000,000 CSL</t>
        </is>
      </c>
      <c r="Y73" s="30"/>
      <c r="Z73" s="30"/>
      <c r="AA73" s="32" t="inlineStr">
        <is>
          <t xml:space="preserve">Surplus Lines</t>
        </is>
      </c>
      <c r="AB73" s="35">
        <v>3654.73</v>
      </c>
      <c r="AC73" s="37">
        <v>0</v>
      </c>
      <c r="AD73" s="38">
        <f>IF(ISNUMBER($AB73),$AB73*(1+N($AC73)),"")</f>
      </c>
      <c r="AE73" s="35">
        <v>350</v>
      </c>
      <c r="AF73" s="35">
        <v>0</v>
      </c>
      <c r="AG73" s="37"/>
      <c r="AH73" s="39">
        <f>IF(ISNUMBER($AD73),($AD73+$AE73+$AF73)*$AG73,"")</f>
      </c>
      <c r="AI73" s="35"/>
      <c r="AJ73" s="38">
        <f>IF(ISNUMBER($AD73),SUM($AD73:$AH73),"")</f>
      </c>
      <c r="AK73" s="40">
        <f>IF(AND(ISNUMBER($AB73),ISNUMBER($AD73)),IF($AB73&gt;0,$AD73/$AB73,""),"")</f>
      </c>
      <c r="AL73" s="32" t="inlineStr">
        <is>
          <t xml:space="preserve">At technical</t>
        </is>
      </c>
      <c r="AM73" s="41">
        <f>IF(ISNUMBER($AD73),Header!$I$3,"")</f>
      </c>
      <c r="AN73" s="39">
        <f>IF(ISNUMBER($AD73),$AO73+$AP73,"")</f>
      </c>
      <c r="AO73" s="39">
        <f>IF(ISNUMBER($AD73),ROUND($AD73*Header!$K$3,2),"")</f>
      </c>
      <c r="AP73" s="39">
        <f>IF(ISNUMBER($AD73),ROUND($AD73*Header!$M$3,2),"")</f>
      </c>
      <c r="AQ73" s="38">
        <f>IF(ISNUMBER($AD73),ROUND($AD73,2)-$AO73-$AP73,"")</f>
      </c>
      <c r="AR73" s="39">
        <f>IF(ISNUMBER($AD73),IF(Header!$D$34="","?",$AD73*Header!$D$34),"")</f>
      </c>
      <c r="AS73" s="39">
        <f>IF(ISNUMBER($AB73),IF(Header!$D$34="","?",$AB73*Header!$D$34),"")</f>
      </c>
      <c r="AT73" s="42">
        <f>IF(AND(ISNUMBER($AB73),$M73&gt;0),$AB73/$M73*100,"")</f>
      </c>
      <c r="AU73" s="42">
        <f>IF(AND(ISNUMBER($AD73),$M73&gt;0),$AD73/$M73*100,"")</f>
      </c>
      <c r="AV73" s="40">
        <f>IF(AND(ISNUMBER($AB73),ISNUMBER($AD73),ABS($AB73)&gt;0),$AD73/$AB73,"")</f>
      </c>
      <c r="AW73" s="39">
        <f>IF(ISNUMBER($AD73),MAX(0,(1-0.55-Header!$O$3)*Header!$Q$3*$AQ73),"")</f>
      </c>
      <c r="AX73" s="43">
        <f>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c>
      <c r="AY73" s="44">
        <f>IF($M73="","",IF(ISNUMBER($M73),IF($M73&gt;=Header!$C$18,"YES — refer","No"),""))</f>
      </c>
      <c r="AZ73" s="44">
        <f>IF($AD73="","",IF(ISNUMBER($AD73),IF($AD73&lt;Header!$C$20,"BELOW MIN PREMIUM","OK"),""))</f>
      </c>
      <c r="BA73" s="32" t="inlineStr">
        <is>
          <t xml:space="preserve">Yes</t>
        </is>
      </c>
      <c r="BB73" s="32" t="inlineStr">
        <is>
          <t xml:space="preserve">Yes</t>
        </is>
      </c>
      <c r="BC73" s="30" t="inlineStr">
        <is>
          <t xml:space="preserve">Synthetic demo data</t>
        </is>
      </c>
      <c r="BE73" s="45">
        <f>IF(OR($A73="",$L73="",$H73=""),"",IF(AND(LEFT($L73,2)="06",$H73&gt;1945),"FAIL - pre-war class, year "&amp;$H73,IF(AND(LEFT($L73,2)="07",OR($H73&lt;1946,$H73&gt;1972)),"FAIL - 1946-72 class, year "&amp;$H73,IF(AND(LEFT($L73,2)="08",OR($H73&lt;1973,$H73&gt;1999)),"FAIL - 1973-99 class, year "&amp;$H73,IF(AND(LEFT($L73,2)="09",OR($H73&lt;2000,$H73&gt;2010)),"FAIL - 2000-10 class, year "&amp;$H73,"OK")))))</f>
      </c>
      <c r="BF73" s="45">
        <f>IF($AD73="","",IF(ROUND($AO73+$AP73+$AQ73-$AD73,2)=0,"OK","FAIL - out by "&amp;TEXT($AO73+$AP73+$AQ73-$AD73,"$0.00")))</f>
      </c>
    </row>
    <row r="74" spans="1:58" ht="18.75" customHeight="1" x14ac:dyDescent="0.25">
      <c r="A74" s="46" t="inlineStr">
        <is>
          <t xml:space="preserve">CANON-202606-008500</t>
        </is>
      </c>
      <c r="B74" s="46" t="inlineStr">
        <is>
          <t xml:space="preserve">Wilhelmina Underwood</t>
        </is>
      </c>
      <c r="C74" s="47">
        <v>46186</v>
      </c>
      <c r="D74" s="48" t="inlineStr">
        <is>
          <t xml:space="preserve">Bound - within authority</t>
        </is>
      </c>
      <c r="E74" s="48" t="inlineStr">
        <is>
          <t xml:space="preserve">New business</t>
        </is>
      </c>
      <c r="F74" s="46" t="inlineStr">
        <is>
          <t xml:space="preserve">B1234EXOTIC26</t>
        </is>
      </c>
      <c r="G74" s="33">
        <f>IF($A74="","",IF($C74="","",YEAR($C74)))</f>
      </c>
      <c r="H74" s="49">
        <v>1967</v>
      </c>
      <c r="I74" s="46" t="inlineStr">
        <is>
          <t xml:space="preserve">Bentley</t>
        </is>
      </c>
      <c r="J74" s="46" t="inlineStr">
        <is>
          <t xml:space="preserve">4.5 Litre</t>
        </is>
      </c>
      <c r="K74" s="46" t="inlineStr">
        <is>
          <t xml:space="preserve">H7CSEN2EACX1LME95</t>
        </is>
      </c>
      <c r="L74" s="48" t="inlineStr">
        <is>
          <t xml:space="preserve">07 - Post-War Classic (1946-1972)</t>
        </is>
      </c>
      <c r="M74" s="50">
        <v>670000</v>
      </c>
      <c r="N74" s="48" t="inlineStr">
        <is>
          <t xml:space="preserve">Personal</t>
        </is>
      </c>
      <c r="O74" s="46" t="inlineStr">
        <is>
          <t xml:space="preserve">Personal - regular use</t>
        </is>
      </c>
      <c r="P74" s="46" t="inlineStr">
        <is>
          <t xml:space="preserve">2,500 - 5,000</t>
        </is>
      </c>
      <c r="Q74" s="46" t="inlineStr">
        <is>
          <t xml:space="preserve">Alabama</t>
        </is>
      </c>
      <c r="R74" s="46" t="inlineStr">
        <is>
          <t xml:space="preserve">35203</t>
        </is>
      </c>
      <c r="S74" s="48" t="inlineStr">
        <is>
          <t xml:space="preserve">Tier 2 - Coastal wind (1-25 miles)</t>
        </is>
      </c>
      <c r="T74" s="36">
        <f>IF($A74="","",IF($S74="","",IFERROR(INDEX('[1]natural catastrophe'!$D$6:$D$17,MATCH($S74,'[1]natural catastrophe'!$B$6:$B$17,0)),"?")))</f>
      </c>
      <c r="U74" s="46" t="inlineStr">
        <is>
          <t xml:space="preserve">2% of agreed value, minimum $10,000</t>
        </is>
      </c>
      <c r="V74" s="48" t="inlineStr">
        <is>
          <t xml:space="preserve">Agreed Value</t>
        </is>
      </c>
      <c r="W74" s="46" t="inlineStr">
        <is>
          <t xml:space="preserve">$1,000</t>
        </is>
      </c>
      <c r="X74" s="48" t="inlineStr">
        <is>
          <t xml:space="preserve">$1,000,000 CSL</t>
        </is>
      </c>
      <c r="Y74" s="46"/>
      <c r="Z74" s="46"/>
      <c r="AA74" s="48" t="inlineStr">
        <is>
          <t xml:space="preserve">Surplus Lines</t>
        </is>
      </c>
      <c r="AB74" s="50">
        <v>4665.88</v>
      </c>
      <c r="AC74" s="51">
        <v>0</v>
      </c>
      <c r="AD74" s="38">
        <f>IF(ISNUMBER($AB74),$AB74*(1+N($AC74)),"")</f>
      </c>
      <c r="AE74" s="50">
        <v>350</v>
      </c>
      <c r="AF74" s="50">
        <v>0</v>
      </c>
      <c r="AG74" s="51"/>
      <c r="AH74" s="39">
        <f>IF(ISNUMBER($AD74),($AD74+$AE74+$AF74)*$AG74,"")</f>
      </c>
      <c r="AI74" s="50"/>
      <c r="AJ74" s="38">
        <f>IF(ISNUMBER($AD74),SUM($AD74:$AH74),"")</f>
      </c>
      <c r="AK74" s="40">
        <f>IF(AND(ISNUMBER($AB74),ISNUMBER($AD74)),IF($AB74&gt;0,$AD74/$AB74,""),"")</f>
      </c>
      <c r="AL74" s="48" t="inlineStr">
        <is>
          <t xml:space="preserve">At technical</t>
        </is>
      </c>
      <c r="AM74" s="41">
        <f>IF(ISNUMBER($AD74),Header!$I$3,"")</f>
      </c>
      <c r="AN74" s="39">
        <f>IF(ISNUMBER($AD74),$AO74+$AP74,"")</f>
      </c>
      <c r="AO74" s="39">
        <f>IF(ISNUMBER($AD74),ROUND($AD74*Header!$K$3,2),"")</f>
      </c>
      <c r="AP74" s="39">
        <f>IF(ISNUMBER($AD74),ROUND($AD74*Header!$M$3,2),"")</f>
      </c>
      <c r="AQ74" s="38">
        <f>IF(ISNUMBER($AD74),ROUND($AD74,2)-$AO74-$AP74,"")</f>
      </c>
      <c r="AR74" s="39">
        <f>IF(ISNUMBER($AD74),IF(Header!$D$34="","?",$AD74*Header!$D$34),"")</f>
      </c>
      <c r="AS74" s="39">
        <f>IF(ISNUMBER($AB74),IF(Header!$D$34="","?",$AB74*Header!$D$34),"")</f>
      </c>
      <c r="AT74" s="42">
        <f>IF(AND(ISNUMBER($AB74),$M74&gt;0),$AB74/$M74*100,"")</f>
      </c>
      <c r="AU74" s="42">
        <f>IF(AND(ISNUMBER($AD74),$M74&gt;0),$AD74/$M74*100,"")</f>
      </c>
      <c r="AV74" s="40">
        <f>IF(AND(ISNUMBER($AB74),ISNUMBER($AD74),ABS($AB74)&gt;0),$AD74/$AB74,"")</f>
      </c>
      <c r="AW74" s="39">
        <f>IF(ISNUMBER($AD74),MAX(0,(1-0.55-Header!$O$3)*Header!$Q$3*$AQ74),"")</f>
      </c>
      <c r="AX74" s="43">
        <f>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c>
      <c r="AY74" s="44">
        <f>IF($M74="","",IF(ISNUMBER($M74),IF($M74&gt;=Header!$C$18,"YES — refer","No"),""))</f>
      </c>
      <c r="AZ74" s="44">
        <f>IF($AD74="","",IF(ISNUMBER($AD74),IF($AD74&lt;Header!$C$20,"BELOW MIN PREMIUM","OK"),""))</f>
      </c>
      <c r="BA74" s="48" t="inlineStr">
        <is>
          <t xml:space="preserve">Yes</t>
        </is>
      </c>
      <c r="BB74" s="48" t="inlineStr">
        <is>
          <t xml:space="preserve">Yes</t>
        </is>
      </c>
      <c r="BC74" s="46" t="inlineStr">
        <is>
          <t xml:space="preserve">Synthetic demo data</t>
        </is>
      </c>
      <c r="BE74" s="45">
        <f>IF(OR($A74="",$L74="",$H74=""),"",IF(AND(LEFT($L74,2)="06",$H74&gt;1945),"FAIL - pre-war class, year "&amp;$H74,IF(AND(LEFT($L74,2)="07",OR($H74&lt;1946,$H74&gt;1972)),"FAIL - 1946-72 class, year "&amp;$H74,IF(AND(LEFT($L74,2)="08",OR($H74&lt;1973,$H74&gt;1999)),"FAIL - 1973-99 class, year "&amp;$H74,IF(AND(LEFT($L74,2)="09",OR($H74&lt;2000,$H74&gt;2010)),"FAIL - 2000-10 class, year "&amp;$H74,"OK")))))</f>
      </c>
      <c r="BF74" s="45">
        <f>IF($AD74="","",IF(ROUND($AO74+$AP74+$AQ74-$AD74,2)=0,"OK","FAIL - out by "&amp;TEXT($AO74+$AP74+$AQ74-$AD74,"$0.00")))</f>
      </c>
    </row>
    <row r="75" spans="1:58" ht="18.75" customHeight="1" x14ac:dyDescent="0.25">
      <c r="A75" s="30" t="inlineStr">
        <is>
          <t xml:space="preserve">CANON-202606-008501</t>
        </is>
      </c>
      <c r="B75" s="30" t="inlineStr">
        <is>
          <t xml:space="preserve">Horace Underwood</t>
        </is>
      </c>
      <c r="C75" s="31">
        <v>46192</v>
      </c>
      <c r="D75" s="32" t="inlineStr">
        <is>
          <t xml:space="preserve">Bound - within authority</t>
        </is>
      </c>
      <c r="E75" s="32" t="inlineStr">
        <is>
          <t xml:space="preserve">New business</t>
        </is>
      </c>
      <c r="F75" s="30" t="inlineStr">
        <is>
          <t xml:space="preserve">B1234EXOTIC26</t>
        </is>
      </c>
      <c r="G75" s="33">
        <f>IF($A75="","",IF($C75="","",YEAR($C75)))</f>
      </c>
      <c r="H75" s="34">
        <v>2004</v>
      </c>
      <c r="I75" s="30" t="inlineStr">
        <is>
          <t xml:space="preserve">Bentley</t>
        </is>
      </c>
      <c r="J75" s="30" t="inlineStr">
        <is>
          <t xml:space="preserve">Continental GT</t>
        </is>
      </c>
      <c r="K75" s="30" t="inlineStr">
        <is>
          <t xml:space="preserve">1E2KN9W2MUXRZZ85S</t>
        </is>
      </c>
      <c r="L75" s="32" t="inlineStr">
        <is>
          <t xml:space="preserve">02 - Sports / GT</t>
        </is>
      </c>
      <c r="M75" s="35">
        <v>335000</v>
      </c>
      <c r="N75" s="32" t="inlineStr">
        <is>
          <t xml:space="preserve">Personal</t>
        </is>
      </c>
      <c r="O75" s="30" t="inlineStr">
        <is>
          <t xml:space="preserve">Personal - regular use</t>
        </is>
      </c>
      <c r="P75" s="30" t="inlineStr">
        <is>
          <t xml:space="preserve">Under 1,000</t>
        </is>
      </c>
      <c r="Q75" s="30" t="inlineStr">
        <is>
          <t xml:space="preserve">Michigan</t>
        </is>
      </c>
      <c r="R75" s="30" t="inlineStr">
        <is>
          <t xml:space="preserve">48226</t>
        </is>
      </c>
      <c r="S75" s="32" t="inlineStr">
        <is>
          <t xml:space="preserve">Severe convective - hail / tornado (moderate)</t>
        </is>
      </c>
      <c r="T75" s="36">
        <f>IF($A75="","",IF($S75="","",IFERROR(INDEX('[1]natural catastrophe'!$D$6:$D$17,MATCH($S75,'[1]natural catastrophe'!$B$6:$B$17,0)),"?")))</f>
      </c>
      <c r="U75" s="30" t="inlineStr">
        <is>
          <t xml:space="preserve">$5,000</t>
        </is>
      </c>
      <c r="V75" s="32" t="inlineStr">
        <is>
          <t xml:space="preserve">Agreed Value</t>
        </is>
      </c>
      <c r="W75" s="30" t="inlineStr">
        <is>
          <t xml:space="preserve">$1,000</t>
        </is>
      </c>
      <c r="X75" s="32" t="inlineStr">
        <is>
          <t xml:space="preserve">$1,000,000 CSL</t>
        </is>
      </c>
      <c r="Y75" s="30"/>
      <c r="Z75" s="30"/>
      <c r="AA75" s="32" t="inlineStr">
        <is>
          <t xml:space="preserve">Surplus Lines</t>
        </is>
      </c>
      <c r="AB75" s="35">
        <v>5619.66</v>
      </c>
      <c r="AC75" s="37">
        <v>0</v>
      </c>
      <c r="AD75" s="38">
        <f>IF(ISNUMBER($AB75),$AB75*(1+N($AC75)),"")</f>
      </c>
      <c r="AE75" s="35">
        <v>350</v>
      </c>
      <c r="AF75" s="35">
        <v>0</v>
      </c>
      <c r="AG75" s="37"/>
      <c r="AH75" s="39">
        <f>IF(ISNUMBER($AD75),($AD75+$AE75+$AF75)*$AG75,"")</f>
      </c>
      <c r="AI75" s="35"/>
      <c r="AJ75" s="38">
        <f>IF(ISNUMBER($AD75),SUM($AD75:$AH75),"")</f>
      </c>
      <c r="AK75" s="40">
        <f>IF(AND(ISNUMBER($AB75),ISNUMBER($AD75)),IF($AB75&gt;0,$AD75/$AB75,""),"")</f>
      </c>
      <c r="AL75" s="32" t="inlineStr">
        <is>
          <t xml:space="preserve">At technical</t>
        </is>
      </c>
      <c r="AM75" s="41">
        <f>IF(ISNUMBER($AD75),Header!$I$3,"")</f>
      </c>
      <c r="AN75" s="39">
        <f>IF(ISNUMBER($AD75),$AO75+$AP75,"")</f>
      </c>
      <c r="AO75" s="39">
        <f>IF(ISNUMBER($AD75),ROUND($AD75*Header!$K$3,2),"")</f>
      </c>
      <c r="AP75" s="39">
        <f>IF(ISNUMBER($AD75),ROUND($AD75*Header!$M$3,2),"")</f>
      </c>
      <c r="AQ75" s="38">
        <f>IF(ISNUMBER($AD75),ROUND($AD75,2)-$AO75-$AP75,"")</f>
      </c>
      <c r="AR75" s="39">
        <f>IF(ISNUMBER($AD75),IF(Header!$D$34="","?",$AD75*Header!$D$34),"")</f>
      </c>
      <c r="AS75" s="39">
        <f>IF(ISNUMBER($AB75),IF(Header!$D$34="","?",$AB75*Header!$D$34),"")</f>
      </c>
      <c r="AT75" s="42">
        <f>IF(AND(ISNUMBER($AB75),$M75&gt;0),$AB75/$M75*100,"")</f>
      </c>
      <c r="AU75" s="42">
        <f>IF(AND(ISNUMBER($AD75),$M75&gt;0),$AD75/$M75*100,"")</f>
      </c>
      <c r="AV75" s="40">
        <f>IF(AND(ISNUMBER($AB75),ISNUMBER($AD75),ABS($AB75)&gt;0),$AD75/$AB75,"")</f>
      </c>
      <c r="AW75" s="39">
        <f>IF(ISNUMBER($AD75),MAX(0,(1-0.55-Header!$O$3)*Header!$Q$3*$AQ75),"")</f>
      </c>
      <c r="AX75" s="43">
        <f>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c>
      <c r="AY75" s="44">
        <f>IF($M75="","",IF(ISNUMBER($M75),IF($M75&gt;=Header!$C$18,"YES — refer","No"),""))</f>
      </c>
      <c r="AZ75" s="44">
        <f>IF($AD75="","",IF(ISNUMBER($AD75),IF($AD75&lt;Header!$C$20,"BELOW MIN PREMIUM","OK"),""))</f>
      </c>
      <c r="BA75" s="32" t="inlineStr">
        <is>
          <t xml:space="preserve">Yes</t>
        </is>
      </c>
      <c r="BB75" s="32" t="inlineStr">
        <is>
          <t xml:space="preserve">Yes</t>
        </is>
      </c>
      <c r="BC75" s="30" t="inlineStr">
        <is>
          <t xml:space="preserve">Synthetic demo data</t>
        </is>
      </c>
      <c r="BE75" s="45">
        <f>IF(OR($A75="",$L75="",$H75=""),"",IF(AND(LEFT($L75,2)="06",$H75&gt;1945),"FAIL - pre-war class, year "&amp;$H75,IF(AND(LEFT($L75,2)="07",OR($H75&lt;1946,$H75&gt;1972)),"FAIL - 1946-72 class, year "&amp;$H75,IF(AND(LEFT($L75,2)="08",OR($H75&lt;1973,$H75&gt;1999)),"FAIL - 1973-99 class, year "&amp;$H75,IF(AND(LEFT($L75,2)="09",OR($H75&lt;2000,$H75&gt;2010)),"FAIL - 2000-10 class, year "&amp;$H75,"OK")))))</f>
      </c>
      <c r="BF75" s="45">
        <f>IF($AD75="","",IF(ROUND($AO75+$AP75+$AQ75-$AD75,2)=0,"OK","FAIL - out by "&amp;TEXT($AO75+$AP75+$AQ75-$AD75,"$0.00")))</f>
      </c>
    </row>
    <row r="76" spans="1:58" ht="18.75" customHeight="1" x14ac:dyDescent="0.25">
      <c r="A76" s="46" t="inlineStr">
        <is>
          <t xml:space="preserve">CANON-202606-008503</t>
        </is>
      </c>
      <c r="B76" s="46" t="inlineStr">
        <is>
          <t xml:space="preserve">Ingrid Nakashima</t>
        </is>
      </c>
      <c r="C76" s="47">
        <v>46193</v>
      </c>
      <c r="D76" s="48" t="inlineStr">
        <is>
          <t xml:space="preserve">Bound - within authority</t>
        </is>
      </c>
      <c r="E76" s="48" t="inlineStr">
        <is>
          <t xml:space="preserve">New business</t>
        </is>
      </c>
      <c r="F76" s="46" t="inlineStr">
        <is>
          <t xml:space="preserve">B1234EXOTIC26</t>
        </is>
      </c>
      <c r="G76" s="33">
        <f>IF($A76="","",IF($C76="","",YEAR($C76)))</f>
      </c>
      <c r="H76" s="49">
        <v>1961</v>
      </c>
      <c r="I76" s="46" t="inlineStr">
        <is>
          <t xml:space="preserve">BMW</t>
        </is>
      </c>
      <c r="J76" s="46" t="inlineStr">
        <is>
          <t xml:space="preserve">M8 Competition</t>
        </is>
      </c>
      <c r="K76" s="46" t="inlineStr">
        <is>
          <t xml:space="preserve">MF2ESJZCVHLX4LZY4</t>
        </is>
      </c>
      <c r="L76" s="48" t="inlineStr">
        <is>
          <t xml:space="preserve">02 - Sports / GT</t>
        </is>
      </c>
      <c r="M76" s="50">
        <v>615000</v>
      </c>
      <c r="N76" s="48" t="inlineStr">
        <is>
          <t xml:space="preserve">Personal</t>
        </is>
      </c>
      <c r="O76" s="46" t="inlineStr">
        <is>
          <t xml:space="preserve">Personal - regular use</t>
        </is>
      </c>
      <c r="P76" s="46" t="inlineStr">
        <is>
          <t xml:space="preserve">1,000 - 2,500</t>
        </is>
      </c>
      <c r="Q76" s="46" t="inlineStr">
        <is>
          <t xml:space="preserve">South Carolina</t>
        </is>
      </c>
      <c r="R76" s="46" t="inlineStr">
        <is>
          <t xml:space="preserve">29401</t>
        </is>
      </c>
      <c r="S76" s="48" t="inlineStr">
        <is>
          <t xml:space="preserve">Tier 2 - Coastal wind (1-25 miles)</t>
        </is>
      </c>
      <c r="T76" s="36">
        <f>IF($A76="","",IF($S76="","",IFERROR(INDEX('[1]natural catastrophe'!$D$6:$D$17,MATCH($S76,'[1]natural catastrophe'!$B$6:$B$17,0)),"?")))</f>
      </c>
      <c r="U76" s="46" t="inlineStr">
        <is>
          <t xml:space="preserve">2% of agreed value, minimum $10,000</t>
        </is>
      </c>
      <c r="V76" s="48" t="inlineStr">
        <is>
          <t xml:space="preserve">Agreed Value</t>
        </is>
      </c>
      <c r="W76" s="46" t="inlineStr">
        <is>
          <t xml:space="preserve">$1,000</t>
        </is>
      </c>
      <c r="X76" s="48" t="inlineStr">
        <is>
          <t xml:space="preserve">$1,000,000 CSL</t>
        </is>
      </c>
      <c r="Y76" s="46"/>
      <c r="Z76" s="46"/>
      <c r="AA76" s="48" t="inlineStr">
        <is>
          <t xml:space="preserve">Surplus Lines</t>
        </is>
      </c>
      <c r="AB76" s="50">
        <v>7152.9</v>
      </c>
      <c r="AC76" s="51">
        <v>0</v>
      </c>
      <c r="AD76" s="38">
        <f>IF(ISNUMBER($AB76),$AB76*(1+N($AC76)),"")</f>
      </c>
      <c r="AE76" s="50">
        <v>350</v>
      </c>
      <c r="AF76" s="50">
        <v>0</v>
      </c>
      <c r="AG76" s="51"/>
      <c r="AH76" s="39">
        <f>IF(ISNUMBER($AD76),($AD76+$AE76+$AF76)*$AG76,"")</f>
      </c>
      <c r="AI76" s="50"/>
      <c r="AJ76" s="38">
        <f>IF(ISNUMBER($AD76),SUM($AD76:$AH76),"")</f>
      </c>
      <c r="AK76" s="40">
        <f>IF(AND(ISNUMBER($AB76),ISNUMBER($AD76)),IF($AB76&gt;0,$AD76/$AB76,""),"")</f>
      </c>
      <c r="AL76" s="48" t="inlineStr">
        <is>
          <t xml:space="preserve">At technical</t>
        </is>
      </c>
      <c r="AM76" s="41">
        <f>IF(ISNUMBER($AD76),Header!$I$3,"")</f>
      </c>
      <c r="AN76" s="39">
        <f>IF(ISNUMBER($AD76),$AO76+$AP76,"")</f>
      </c>
      <c r="AO76" s="39">
        <f>IF(ISNUMBER($AD76),ROUND($AD76*Header!$K$3,2),"")</f>
      </c>
      <c r="AP76" s="39">
        <f>IF(ISNUMBER($AD76),ROUND($AD76*Header!$M$3,2),"")</f>
      </c>
      <c r="AQ76" s="38">
        <f>IF(ISNUMBER($AD76),ROUND($AD76,2)-$AO76-$AP76,"")</f>
      </c>
      <c r="AR76" s="39">
        <f>IF(ISNUMBER($AD76),IF(Header!$D$34="","?",$AD76*Header!$D$34),"")</f>
      </c>
      <c r="AS76" s="39">
        <f>IF(ISNUMBER($AB76),IF(Header!$D$34="","?",$AB76*Header!$D$34),"")</f>
      </c>
      <c r="AT76" s="42">
        <f>IF(AND(ISNUMBER($AB76),$M76&gt;0),$AB76/$M76*100,"")</f>
      </c>
      <c r="AU76" s="42">
        <f>IF(AND(ISNUMBER($AD76),$M76&gt;0),$AD76/$M76*100,"")</f>
      </c>
      <c r="AV76" s="40">
        <f>IF(AND(ISNUMBER($AB76),ISNUMBER($AD76),ABS($AB76)&gt;0),$AD76/$AB76,"")</f>
      </c>
      <c r="AW76" s="39">
        <f>IF(ISNUMBER($AD76),MAX(0,(1-0.55-Header!$O$3)*Header!$Q$3*$AQ76),"")</f>
      </c>
      <c r="AX76" s="43">
        <f>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c>
      <c r="AY76" s="44">
        <f>IF($M76="","",IF(ISNUMBER($M76),IF($M76&gt;=Header!$C$18,"YES — refer","No"),""))</f>
      </c>
      <c r="AZ76" s="44">
        <f>IF($AD76="","",IF(ISNUMBER($AD76),IF($AD76&lt;Header!$C$20,"BELOW MIN PREMIUM","OK"),""))</f>
      </c>
      <c r="BA76" s="48" t="inlineStr">
        <is>
          <t xml:space="preserve">Yes</t>
        </is>
      </c>
      <c r="BB76" s="48" t="inlineStr">
        <is>
          <t xml:space="preserve">Yes</t>
        </is>
      </c>
      <c r="BC76" s="46" t="inlineStr">
        <is>
          <t xml:space="preserve">Synthetic demo data</t>
        </is>
      </c>
      <c r="BE76" s="45">
        <f>IF(OR($A76="",$L76="",$H76=""),"",IF(AND(LEFT($L76,2)="06",$H76&gt;1945),"FAIL - pre-war class, year "&amp;$H76,IF(AND(LEFT($L76,2)="07",OR($H76&lt;1946,$H76&gt;1972)),"FAIL - 1946-72 class, year "&amp;$H76,IF(AND(LEFT($L76,2)="08",OR($H76&lt;1973,$H76&gt;1999)),"FAIL - 1973-99 class, year "&amp;$H76,IF(AND(LEFT($L76,2)="09",OR($H76&lt;2000,$H76&gt;2010)),"FAIL - 2000-10 class, year "&amp;$H76,"OK")))))</f>
      </c>
      <c r="BF76" s="45">
        <f>IF($AD76="","",IF(ROUND($AO76+$AP76+$AQ76-$AD76,2)=0,"OK","FAIL - out by "&amp;TEXT($AO76+$AP76+$AQ76-$AD76,"$0.00")))</f>
      </c>
    </row>
    <row r="77" spans="1:58" ht="18.75" customHeight="1" x14ac:dyDescent="0.25">
      <c r="A77" s="30" t="inlineStr">
        <is>
          <t xml:space="preserve">CANON-202606-008505</t>
        </is>
      </c>
      <c r="B77" s="30" t="inlineStr">
        <is>
          <t xml:space="preserve">Sunniva Kingsford</t>
        </is>
      </c>
      <c r="C77" s="31">
        <v>46193</v>
      </c>
      <c r="D77" s="32" t="inlineStr">
        <is>
          <t xml:space="preserve">Bound - within authority</t>
        </is>
      </c>
      <c r="E77" s="32" t="inlineStr">
        <is>
          <t xml:space="preserve">New business</t>
        </is>
      </c>
      <c r="F77" s="30" t="inlineStr">
        <is>
          <t xml:space="preserve">B1234EXOTIC26</t>
        </is>
      </c>
      <c r="G77" s="33">
        <f>IF($A77="","",IF($C77="","",YEAR($C77)))</f>
      </c>
      <c r="H77" s="34">
        <v>1958</v>
      </c>
      <c r="I77" s="30" t="inlineStr">
        <is>
          <t xml:space="preserve">Alfa Romeo</t>
        </is>
      </c>
      <c r="J77" s="30" t="inlineStr">
        <is>
          <t xml:space="preserve">8C 2900</t>
        </is>
      </c>
      <c r="K77" s="30" t="inlineStr">
        <is>
          <t xml:space="preserve">CPSW7VCGV6KXZKCFV</t>
        </is>
      </c>
      <c r="L77" s="32" t="inlineStr">
        <is>
          <t xml:space="preserve">07 - Post-War Classic (1946-1972)</t>
        </is>
      </c>
      <c r="M77" s="35">
        <v>370000</v>
      </c>
      <c r="N77" s="32" t="inlineStr">
        <is>
          <t xml:space="preserve">Personal</t>
        </is>
      </c>
      <c r="O77" s="30" t="inlineStr">
        <is>
          <t xml:space="preserve">Personal - regular use</t>
        </is>
      </c>
      <c r="P77" s="30" t="inlineStr">
        <is>
          <t xml:space="preserve">Under 1,000</t>
        </is>
      </c>
      <c r="Q77" s="30" t="inlineStr">
        <is>
          <t xml:space="preserve">New York</t>
        </is>
      </c>
      <c r="R77" s="30" t="inlineStr">
        <is>
          <t xml:space="preserve">10022</t>
        </is>
      </c>
      <c r="S77" s="32" t="inlineStr">
        <is>
          <t xml:space="preserve">Tier 3 - Coastal wind (25-100 miles)</t>
        </is>
      </c>
      <c r="T77" s="36">
        <f>IF($A77="","",IF($S77="","",IFERROR(INDEX('[1]natural catastrophe'!$D$6:$D$17,MATCH($S77,'[1]natural catastrophe'!$B$6:$B$17,0)),"?")))</f>
      </c>
      <c r="U77" s="30" t="inlineStr">
        <is>
          <t xml:space="preserve">2% of agreed value, minimum $10,000</t>
        </is>
      </c>
      <c r="V77" s="32" t="inlineStr">
        <is>
          <t xml:space="preserve">Agreed Value</t>
        </is>
      </c>
      <c r="W77" s="30" t="inlineStr">
        <is>
          <t xml:space="preserve">$1,000</t>
        </is>
      </c>
      <c r="X77" s="32" t="inlineStr">
        <is>
          <t xml:space="preserve">$1,000,000 CSL</t>
        </is>
      </c>
      <c r="Y77" s="30"/>
      <c r="Z77" s="30"/>
      <c r="AA77" s="32" t="inlineStr">
        <is>
          <t xml:space="preserve">Surplus Lines</t>
        </is>
      </c>
      <c r="AB77" s="35">
        <v>2870.34</v>
      </c>
      <c r="AC77" s="37">
        <v>0</v>
      </c>
      <c r="AD77" s="38">
        <f>IF(ISNUMBER($AB77),$AB77*(1+N($AC77)),"")</f>
      </c>
      <c r="AE77" s="35">
        <v>350</v>
      </c>
      <c r="AF77" s="35">
        <v>0</v>
      </c>
      <c r="AG77" s="37"/>
      <c r="AH77" s="39">
        <f>IF(ISNUMBER($AD77),($AD77+$AE77+$AF77)*$AG77,"")</f>
      </c>
      <c r="AI77" s="35"/>
      <c r="AJ77" s="38">
        <f>IF(ISNUMBER($AD77),SUM($AD77:$AH77),"")</f>
      </c>
      <c r="AK77" s="40">
        <f>IF(AND(ISNUMBER($AB77),ISNUMBER($AD77)),IF($AB77&gt;0,$AD77/$AB77,""),"")</f>
      </c>
      <c r="AL77" s="32" t="inlineStr">
        <is>
          <t xml:space="preserve">At technical</t>
        </is>
      </c>
      <c r="AM77" s="41">
        <f>IF(ISNUMBER($AD77),Header!$I$3,"")</f>
      </c>
      <c r="AN77" s="39">
        <f>IF(ISNUMBER($AD77),$AO77+$AP77,"")</f>
      </c>
      <c r="AO77" s="39">
        <f>IF(ISNUMBER($AD77),ROUND($AD77*Header!$K$3,2),"")</f>
      </c>
      <c r="AP77" s="39">
        <f>IF(ISNUMBER($AD77),ROUND($AD77*Header!$M$3,2),"")</f>
      </c>
      <c r="AQ77" s="38">
        <f>IF(ISNUMBER($AD77),ROUND($AD77,2)-$AO77-$AP77,"")</f>
      </c>
      <c r="AR77" s="39">
        <f>IF(ISNUMBER($AD77),IF(Header!$D$34="","?",$AD77*Header!$D$34),"")</f>
      </c>
      <c r="AS77" s="39">
        <f>IF(ISNUMBER($AB77),IF(Header!$D$34="","?",$AB77*Header!$D$34),"")</f>
      </c>
      <c r="AT77" s="42">
        <f>IF(AND(ISNUMBER($AB77),$M77&gt;0),$AB77/$M77*100,"")</f>
      </c>
      <c r="AU77" s="42">
        <f>IF(AND(ISNUMBER($AD77),$M77&gt;0),$AD77/$M77*100,"")</f>
      </c>
      <c r="AV77" s="40">
        <f>IF(AND(ISNUMBER($AB77),ISNUMBER($AD77),ABS($AB77)&gt;0),$AD77/$AB77,"")</f>
      </c>
      <c r="AW77" s="39">
        <f>IF(ISNUMBER($AD77),MAX(0,(1-0.55-Header!$O$3)*Header!$Q$3*$AQ77),"")</f>
      </c>
      <c r="AX77" s="43">
        <f>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c>
      <c r="AY77" s="44">
        <f>IF($M77="","",IF(ISNUMBER($M77),IF($M77&gt;=Header!$C$18,"YES — refer","No"),""))</f>
      </c>
      <c r="AZ77" s="44">
        <f>IF($AD77="","",IF(ISNUMBER($AD77),IF($AD77&lt;Header!$C$20,"BELOW MIN PREMIUM","OK"),""))</f>
      </c>
      <c r="BA77" s="32" t="inlineStr">
        <is>
          <t xml:space="preserve">Yes</t>
        </is>
      </c>
      <c r="BB77" s="32" t="inlineStr">
        <is>
          <t xml:space="preserve">Yes</t>
        </is>
      </c>
      <c r="BC77" s="30" t="inlineStr">
        <is>
          <t xml:space="preserve">Synthetic demo data</t>
        </is>
      </c>
      <c r="BE77" s="45">
        <f>IF(OR($A77="",$L77="",$H77=""),"",IF(AND(LEFT($L77,2)="06",$H77&gt;1945),"FAIL - pre-war class, year "&amp;$H77,IF(AND(LEFT($L77,2)="07",OR($H77&lt;1946,$H77&gt;1972)),"FAIL - 1946-72 class, year "&amp;$H77,IF(AND(LEFT($L77,2)="08",OR($H77&lt;1973,$H77&gt;1999)),"FAIL - 1973-99 class, year "&amp;$H77,IF(AND(LEFT($L77,2)="09",OR($H77&lt;2000,$H77&gt;2010)),"FAIL - 2000-10 class, year "&amp;$H77,"OK")))))</f>
      </c>
      <c r="BF77" s="45">
        <f>IF($AD77="","",IF(ROUND($AO77+$AP77+$AQ77-$AD77,2)=0,"OK","FAIL - out by "&amp;TEXT($AO77+$AP77+$AQ77-$AD77,"$0.00")))</f>
      </c>
    </row>
    <row r="78" spans="1:58" ht="18.75" customHeight="1" x14ac:dyDescent="0.25">
      <c r="A78" s="46" t="inlineStr">
        <is>
          <t xml:space="preserve">CANON-202606-008506</t>
        </is>
      </c>
      <c r="B78" s="46" t="inlineStr">
        <is>
          <t xml:space="preserve">Callum Ashcombe</t>
        </is>
      </c>
      <c r="C78" s="47">
        <v>46190</v>
      </c>
      <c r="D78" s="48" t="inlineStr">
        <is>
          <t xml:space="preserve">Bound - within authority</t>
        </is>
      </c>
      <c r="E78" s="48" t="inlineStr">
        <is>
          <t xml:space="preserve">New business</t>
        </is>
      </c>
      <c r="F78" s="46" t="inlineStr">
        <is>
          <t xml:space="preserve">B1234EXOTIC26</t>
        </is>
      </c>
      <c r="G78" s="33">
        <f>IF($A78="","",IF($C78="","",YEAR($C78)))</f>
      </c>
      <c r="H78" s="49">
        <v>2023</v>
      </c>
      <c r="I78" s="46" t="inlineStr">
        <is>
          <t xml:space="preserve">Aston Martin</t>
        </is>
      </c>
      <c r="J78" s="46" t="inlineStr">
        <is>
          <t xml:space="preserve">DB12</t>
        </is>
      </c>
      <c r="K78" s="46" t="inlineStr">
        <is>
          <t xml:space="preserve">0G2DR8NBRWTZALUNC</t>
        </is>
      </c>
      <c r="L78" s="48" t="inlineStr">
        <is>
          <t xml:space="preserve">02 - Sports / GT</t>
        </is>
      </c>
      <c r="M78" s="50">
        <v>1845000</v>
      </c>
      <c r="N78" s="48" t="inlineStr">
        <is>
          <t xml:space="preserve">Personal</t>
        </is>
      </c>
      <c r="O78" s="46" t="inlineStr">
        <is>
          <t xml:space="preserve">Personal - regular use</t>
        </is>
      </c>
      <c r="P78" s="46" t="inlineStr">
        <is>
          <t xml:space="preserve">1,000 - 2,500</t>
        </is>
      </c>
      <c r="Q78" s="46" t="inlineStr">
        <is>
          <t xml:space="preserve">Arizona</t>
        </is>
      </c>
      <c r="R78" s="46" t="inlineStr">
        <is>
          <t xml:space="preserve">85001</t>
        </is>
      </c>
      <c r="S78" s="48" t="inlineStr">
        <is>
          <t xml:space="preserve">Wildfire - WUI high hazard</t>
        </is>
      </c>
      <c r="T78" s="36">
        <f>IF($A78="","",IF($S78="","",IFERROR(INDEX('[1]natural catastrophe'!$D$6:$D$17,MATCH($S78,'[1]natural catastrophe'!$B$6:$B$17,0)),"?")))</f>
      </c>
      <c r="U78" s="46" t="inlineStr">
        <is>
          <t xml:space="preserve">$5,000</t>
        </is>
      </c>
      <c r="V78" s="48" t="inlineStr">
        <is>
          <t xml:space="preserve">Agreed Value</t>
        </is>
      </c>
      <c r="W78" s="46" t="inlineStr">
        <is>
          <t xml:space="preserve">$1,000</t>
        </is>
      </c>
      <c r="X78" s="48" t="inlineStr">
        <is>
          <t xml:space="preserve">$1,000,000 CSL</t>
        </is>
      </c>
      <c r="Y78" s="46"/>
      <c r="Z78" s="46"/>
      <c r="AA78" s="48" t="inlineStr">
        <is>
          <t xml:space="preserve">Surplus Lines</t>
        </is>
      </c>
      <c r="AB78" s="50">
        <v>14789.47</v>
      </c>
      <c r="AC78" s="51">
        <v>0</v>
      </c>
      <c r="AD78" s="38">
        <f>IF(ISNUMBER($AB78),$AB78*(1+N($AC78)),"")</f>
      </c>
      <c r="AE78" s="50">
        <v>350</v>
      </c>
      <c r="AF78" s="50">
        <v>250</v>
      </c>
      <c r="AG78" s="51"/>
      <c r="AH78" s="39">
        <f>IF(ISNUMBER($AD78),($AD78+$AE78+$AF78)*$AG78,"")</f>
      </c>
      <c r="AI78" s="50"/>
      <c r="AJ78" s="38">
        <f>IF(ISNUMBER($AD78),SUM($AD78:$AH78),"")</f>
      </c>
      <c r="AK78" s="40">
        <f>IF(AND(ISNUMBER($AB78),ISNUMBER($AD78)),IF($AB78&gt;0,$AD78/$AB78,""),"")</f>
      </c>
      <c r="AL78" s="48" t="inlineStr">
        <is>
          <t xml:space="preserve">At technical</t>
        </is>
      </c>
      <c r="AM78" s="41">
        <f>IF(ISNUMBER($AD78),Header!$I$3,"")</f>
      </c>
      <c r="AN78" s="39">
        <f>IF(ISNUMBER($AD78),$AO78+$AP78,"")</f>
      </c>
      <c r="AO78" s="39">
        <f>IF(ISNUMBER($AD78),ROUND($AD78*Header!$K$3,2),"")</f>
      </c>
      <c r="AP78" s="39">
        <f>IF(ISNUMBER($AD78),ROUND($AD78*Header!$M$3,2),"")</f>
      </c>
      <c r="AQ78" s="38">
        <f>IF(ISNUMBER($AD78),ROUND($AD78,2)-$AO78-$AP78,"")</f>
      </c>
      <c r="AR78" s="39">
        <f>IF(ISNUMBER($AD78),IF(Header!$D$34="","?",$AD78*Header!$D$34),"")</f>
      </c>
      <c r="AS78" s="39">
        <f>IF(ISNUMBER($AB78),IF(Header!$D$34="","?",$AB78*Header!$D$34),"")</f>
      </c>
      <c r="AT78" s="42">
        <f>IF(AND(ISNUMBER($AB78),$M78&gt;0),$AB78/$M78*100,"")</f>
      </c>
      <c r="AU78" s="42">
        <f>IF(AND(ISNUMBER($AD78),$M78&gt;0),$AD78/$M78*100,"")</f>
      </c>
      <c r="AV78" s="40">
        <f>IF(AND(ISNUMBER($AB78),ISNUMBER($AD78),ABS($AB78)&gt;0),$AD78/$AB78,"")</f>
      </c>
      <c r="AW78" s="39">
        <f>IF(ISNUMBER($AD78),MAX(0,(1-0.55-Header!$O$3)*Header!$Q$3*$AQ78),"")</f>
      </c>
      <c r="AX78" s="43">
        <f>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c>
      <c r="AY78" s="44">
        <f>IF($M78="","",IF(ISNUMBER($M78),IF($M78&gt;=Header!$C$18,"YES — refer","No"),""))</f>
      </c>
      <c r="AZ78" s="44">
        <f>IF($AD78="","",IF(ISNUMBER($AD78),IF($AD78&lt;Header!$C$20,"BELOW MIN PREMIUM","OK"),""))</f>
      </c>
      <c r="BA78" s="48" t="inlineStr">
        <is>
          <t xml:space="preserve">Yes</t>
        </is>
      </c>
      <c r="BB78" s="48" t="inlineStr">
        <is>
          <t xml:space="preserve">Yes</t>
        </is>
      </c>
      <c r="BC78" s="46" t="inlineStr">
        <is>
          <t xml:space="preserve">Synthetic demo data</t>
        </is>
      </c>
      <c r="BE78" s="45">
        <f>IF(OR($A78="",$L78="",$H78=""),"",IF(AND(LEFT($L78,2)="06",$H78&gt;1945),"FAIL - pre-war class, year "&amp;$H78,IF(AND(LEFT($L78,2)="07",OR($H78&lt;1946,$H78&gt;1972)),"FAIL - 1946-72 class, year "&amp;$H78,IF(AND(LEFT($L78,2)="08",OR($H78&lt;1973,$H78&gt;1999)),"FAIL - 1973-99 class, year "&amp;$H78,IF(AND(LEFT($L78,2)="09",OR($H78&lt;2000,$H78&gt;2010)),"FAIL - 2000-10 class, year "&amp;$H78,"OK")))))</f>
      </c>
      <c r="BF78" s="45">
        <f>IF($AD78="","",IF(ROUND($AO78+$AP78+$AQ78-$AD78,2)=0,"OK","FAIL - out by "&amp;TEXT($AO78+$AP78+$AQ78-$AD78,"$0.00")))</f>
      </c>
    </row>
    <row r="79" spans="1:58" ht="18.75" customHeight="1" x14ac:dyDescent="0.25">
      <c r="A79" s="30" t="inlineStr">
        <is>
          <t xml:space="preserve">CANON-202606-008507</t>
        </is>
      </c>
      <c r="B79" s="30" t="inlineStr">
        <is>
          <t xml:space="preserve">Lorenzo Larsson</t>
        </is>
      </c>
      <c r="C79" s="31">
        <v>46199</v>
      </c>
      <c r="D79" s="32" t="inlineStr">
        <is>
          <t xml:space="preserve">Bound - within authority</t>
        </is>
      </c>
      <c r="E79" s="32" t="inlineStr">
        <is>
          <t xml:space="preserve">New business</t>
        </is>
      </c>
      <c r="F79" s="30" t="inlineStr">
        <is>
          <t xml:space="preserve">B1234EXOTIC26</t>
        </is>
      </c>
      <c r="G79" s="33">
        <f>IF($A79="","",IF($C79="","",YEAR($C79)))</f>
      </c>
      <c r="H79" s="34">
        <v>1977</v>
      </c>
      <c r="I79" s="30" t="inlineStr">
        <is>
          <t xml:space="preserve">Maserati</t>
        </is>
      </c>
      <c r="J79" s="30" t="inlineStr">
        <is>
          <t xml:space="preserve">GranTurismo</t>
        </is>
      </c>
      <c r="K79" s="30" t="inlineStr">
        <is>
          <t xml:space="preserve">3ZMCNHAJN48EH0UNT</t>
        </is>
      </c>
      <c r="L79" s="32" t="inlineStr">
        <is>
          <t xml:space="preserve">02 - Sports / GT</t>
        </is>
      </c>
      <c r="M79" s="35">
        <v>435000</v>
      </c>
      <c r="N79" s="32" t="inlineStr">
        <is>
          <t xml:space="preserve">Personal</t>
        </is>
      </c>
      <c r="O79" s="30" t="inlineStr">
        <is>
          <t xml:space="preserve">Personal - regular use</t>
        </is>
      </c>
      <c r="P79" s="30" t="inlineStr">
        <is>
          <t xml:space="preserve">2,500 - 5,000</t>
        </is>
      </c>
      <c r="Q79" s="30" t="inlineStr">
        <is>
          <t xml:space="preserve">Pennsylvania</t>
        </is>
      </c>
      <c r="R79" s="30" t="inlineStr">
        <is>
          <t xml:space="preserve">19103</t>
        </is>
      </c>
      <c r="S79" s="32" t="inlineStr">
        <is>
          <t xml:space="preserve">Low hazard - inland benign</t>
        </is>
      </c>
      <c r="T79" s="36">
        <f>IF($A79="","",IF($S79="","",IFERROR(INDEX('[1]natural catastrophe'!$D$6:$D$17,MATCH($S79,'[1]natural catastrophe'!$B$6:$B$17,0)),"?")))</f>
      </c>
      <c r="U79" s="30" t="inlineStr">
        <is>
          <t xml:space="preserve">$5,000</t>
        </is>
      </c>
      <c r="V79" s="32" t="inlineStr">
        <is>
          <t xml:space="preserve">Agreed Value</t>
        </is>
      </c>
      <c r="W79" s="30" t="inlineStr">
        <is>
          <t xml:space="preserve">$1,000</t>
        </is>
      </c>
      <c r="X79" s="32" t="inlineStr">
        <is>
          <t xml:space="preserve">$1,000,000 CSL</t>
        </is>
      </c>
      <c r="Y79" s="30"/>
      <c r="Z79" s="30"/>
      <c r="AA79" s="32" t="inlineStr">
        <is>
          <t xml:space="preserve">Surplus Lines</t>
        </is>
      </c>
      <c r="AB79" s="35">
        <v>4707.85</v>
      </c>
      <c r="AC79" s="37">
        <v>0</v>
      </c>
      <c r="AD79" s="38">
        <f>IF(ISNUMBER($AB79),$AB79*(1+N($AC79)),"")</f>
      </c>
      <c r="AE79" s="35">
        <v>350</v>
      </c>
      <c r="AF79" s="35">
        <v>0</v>
      </c>
      <c r="AG79" s="37"/>
      <c r="AH79" s="39">
        <f>IF(ISNUMBER($AD79),($AD79+$AE79+$AF79)*$AG79,"")</f>
      </c>
      <c r="AI79" s="35"/>
      <c r="AJ79" s="38">
        <f>IF(ISNUMBER($AD79),SUM($AD79:$AH79),"")</f>
      </c>
      <c r="AK79" s="40">
        <f>IF(AND(ISNUMBER($AB79),ISNUMBER($AD79)),IF($AB79&gt;0,$AD79/$AB79,""),"")</f>
      </c>
      <c r="AL79" s="32" t="inlineStr">
        <is>
          <t xml:space="preserve">At technical</t>
        </is>
      </c>
      <c r="AM79" s="41">
        <f>IF(ISNUMBER($AD79),Header!$I$3,"")</f>
      </c>
      <c r="AN79" s="39">
        <f>IF(ISNUMBER($AD79),$AO79+$AP79,"")</f>
      </c>
      <c r="AO79" s="39">
        <f>IF(ISNUMBER($AD79),ROUND($AD79*Header!$K$3,2),"")</f>
      </c>
      <c r="AP79" s="39">
        <f>IF(ISNUMBER($AD79),ROUND($AD79*Header!$M$3,2),"")</f>
      </c>
      <c r="AQ79" s="38">
        <f>IF(ISNUMBER($AD79),ROUND($AD79,2)-$AO79-$AP79,"")</f>
      </c>
      <c r="AR79" s="39">
        <f>IF(ISNUMBER($AD79),IF(Header!$D$34="","?",$AD79*Header!$D$34),"")</f>
      </c>
      <c r="AS79" s="39">
        <f>IF(ISNUMBER($AB79),IF(Header!$D$34="","?",$AB79*Header!$D$34),"")</f>
      </c>
      <c r="AT79" s="42">
        <f>IF(AND(ISNUMBER($AB79),$M79&gt;0),$AB79/$M79*100,"")</f>
      </c>
      <c r="AU79" s="42">
        <f>IF(AND(ISNUMBER($AD79),$M79&gt;0),$AD79/$M79*100,"")</f>
      </c>
      <c r="AV79" s="40">
        <f>IF(AND(ISNUMBER($AB79),ISNUMBER($AD79),ABS($AB79)&gt;0),$AD79/$AB79,"")</f>
      </c>
      <c r="AW79" s="39">
        <f>IF(ISNUMBER($AD79),MAX(0,(1-0.55-Header!$O$3)*Header!$Q$3*$AQ79),"")</f>
      </c>
      <c r="AX79" s="43">
        <f>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c>
      <c r="AY79" s="44">
        <f>IF($M79="","",IF(ISNUMBER($M79),IF($M79&gt;=Header!$C$18,"YES — refer","No"),""))</f>
      </c>
      <c r="AZ79" s="44">
        <f>IF($AD79="","",IF(ISNUMBER($AD79),IF($AD79&lt;Header!$C$20,"BELOW MIN PREMIUM","OK"),""))</f>
      </c>
      <c r="BA79" s="32" t="inlineStr">
        <is>
          <t xml:space="preserve">Yes</t>
        </is>
      </c>
      <c r="BB79" s="32" t="inlineStr">
        <is>
          <t xml:space="preserve">Yes</t>
        </is>
      </c>
      <c r="BC79" s="30" t="inlineStr">
        <is>
          <t xml:space="preserve">Synthetic demo data</t>
        </is>
      </c>
      <c r="BE79" s="45">
        <f>IF(OR($A79="",$L79="",$H79=""),"",IF(AND(LEFT($L79,2)="06",$H79&gt;1945),"FAIL - pre-war class, year "&amp;$H79,IF(AND(LEFT($L79,2)="07",OR($H79&lt;1946,$H79&gt;1972)),"FAIL - 1946-72 class, year "&amp;$H79,IF(AND(LEFT($L79,2)="08",OR($H79&lt;1973,$H79&gt;1999)),"FAIL - 1973-99 class, year "&amp;$H79,IF(AND(LEFT($L79,2)="09",OR($H79&lt;2000,$H79&gt;2010)),"FAIL - 2000-10 class, year "&amp;$H79,"OK")))))</f>
      </c>
      <c r="BF79" s="45">
        <f>IF($AD79="","",IF(ROUND($AO79+$AP79+$AQ79-$AD79,2)=0,"OK","FAIL - out by "&amp;TEXT($AO79+$AP79+$AQ79-$AD79,"$0.00")))</f>
      </c>
    </row>
    <row r="80" spans="1:58" ht="18.75" customHeight="1" x14ac:dyDescent="0.25">
      <c r="A80" s="46" t="inlineStr">
        <is>
          <t xml:space="preserve">CANON-202606-008508</t>
        </is>
      </c>
      <c r="B80" s="46" t="inlineStr">
        <is>
          <t xml:space="preserve">Beatrix Ashcombe</t>
        </is>
      </c>
      <c r="C80" s="47">
        <v>46191</v>
      </c>
      <c r="D80" s="48" t="inlineStr">
        <is>
          <t xml:space="preserve">Bound - within authority</t>
        </is>
      </c>
      <c r="E80" s="48" t="inlineStr">
        <is>
          <t xml:space="preserve">New business</t>
        </is>
      </c>
      <c r="F80" s="46" t="inlineStr">
        <is>
          <t xml:space="preserve">B1234EXOTIC26</t>
        </is>
      </c>
      <c r="G80" s="33">
        <f>IF($A80="","",IF($C80="","",YEAR($C80)))</f>
      </c>
      <c r="H80" s="49">
        <v>1984</v>
      </c>
      <c r="I80" s="46" t="inlineStr">
        <is>
          <t xml:space="preserve">Maserati</t>
        </is>
      </c>
      <c r="J80" s="46" t="inlineStr">
        <is>
          <t xml:space="preserve">GranTurismo</t>
        </is>
      </c>
      <c r="K80" s="46" t="inlineStr">
        <is>
          <t xml:space="preserve">32UC85V4MADHWF8B0</t>
        </is>
      </c>
      <c r="L80" s="48" t="inlineStr">
        <is>
          <t xml:space="preserve">02 - Sports / GT</t>
        </is>
      </c>
      <c r="M80" s="50">
        <v>365000</v>
      </c>
      <c r="N80" s="48" t="inlineStr">
        <is>
          <t xml:space="preserve">Personal</t>
        </is>
      </c>
      <c r="O80" s="46" t="inlineStr">
        <is>
          <t xml:space="preserve">Personal - regular use</t>
        </is>
      </c>
      <c r="P80" s="46" t="inlineStr">
        <is>
          <t xml:space="preserve">2,500 - 5,000</t>
        </is>
      </c>
      <c r="Q80" s="46" t="inlineStr">
        <is>
          <t xml:space="preserve">West Virginia</t>
        </is>
      </c>
      <c r="R80" s="46" t="inlineStr">
        <is>
          <t xml:space="preserve">25301</t>
        </is>
      </c>
      <c r="S80" s="48" t="inlineStr">
        <is>
          <t xml:space="preserve">Low hazard - inland benign</t>
        </is>
      </c>
      <c r="T80" s="36">
        <f>IF($A80="","",IF($S80="","",IFERROR(INDEX('[1]natural catastrophe'!$D$6:$D$17,MATCH($S80,'[1]natural catastrophe'!$B$6:$B$17,0)),"?")))</f>
      </c>
      <c r="U80" s="46" t="inlineStr">
        <is>
          <t xml:space="preserve">$5,000</t>
        </is>
      </c>
      <c r="V80" s="48" t="inlineStr">
        <is>
          <t xml:space="preserve">Agreed Value</t>
        </is>
      </c>
      <c r="W80" s="46" t="inlineStr">
        <is>
          <t xml:space="preserve">$1,000</t>
        </is>
      </c>
      <c r="X80" s="48" t="inlineStr">
        <is>
          <t xml:space="preserve">$1,000,000 CSL</t>
        </is>
      </c>
      <c r="Y80" s="46"/>
      <c r="Z80" s="46"/>
      <c r="AA80" s="48" t="inlineStr">
        <is>
          <t xml:space="preserve">Surplus Lines</t>
        </is>
      </c>
      <c r="AB80" s="50">
        <v>5253.85</v>
      </c>
      <c r="AC80" s="51">
        <v>0</v>
      </c>
      <c r="AD80" s="38">
        <f>IF(ISNUMBER($AB80),$AB80*(1+N($AC80)),"")</f>
      </c>
      <c r="AE80" s="50">
        <v>350</v>
      </c>
      <c r="AF80" s="50">
        <v>0</v>
      </c>
      <c r="AG80" s="51"/>
      <c r="AH80" s="39">
        <f>IF(ISNUMBER($AD80),($AD80+$AE80+$AF80)*$AG80,"")</f>
      </c>
      <c r="AI80" s="50"/>
      <c r="AJ80" s="38">
        <f>IF(ISNUMBER($AD80),SUM($AD80:$AH80),"")</f>
      </c>
      <c r="AK80" s="40">
        <f>IF(AND(ISNUMBER($AB80),ISNUMBER($AD80)),IF($AB80&gt;0,$AD80/$AB80,""),"")</f>
      </c>
      <c r="AL80" s="48" t="inlineStr">
        <is>
          <t xml:space="preserve">At technical</t>
        </is>
      </c>
      <c r="AM80" s="41">
        <f>IF(ISNUMBER($AD80),Header!$I$3,"")</f>
      </c>
      <c r="AN80" s="39">
        <f>IF(ISNUMBER($AD80),$AO80+$AP80,"")</f>
      </c>
      <c r="AO80" s="39">
        <f>IF(ISNUMBER($AD80),ROUND($AD80*Header!$K$3,2),"")</f>
      </c>
      <c r="AP80" s="39">
        <f>IF(ISNUMBER($AD80),ROUND($AD80*Header!$M$3,2),"")</f>
      </c>
      <c r="AQ80" s="38">
        <f>IF(ISNUMBER($AD80),ROUND($AD80,2)-$AO80-$AP80,"")</f>
      </c>
      <c r="AR80" s="39">
        <f>IF(ISNUMBER($AD80),IF(Header!$D$34="","?",$AD80*Header!$D$34),"")</f>
      </c>
      <c r="AS80" s="39">
        <f>IF(ISNUMBER($AB80),IF(Header!$D$34="","?",$AB80*Header!$D$34),"")</f>
      </c>
      <c r="AT80" s="42">
        <f>IF(AND(ISNUMBER($AB80),$M80&gt;0),$AB80/$M80*100,"")</f>
      </c>
      <c r="AU80" s="42">
        <f>IF(AND(ISNUMBER($AD80),$M80&gt;0),$AD80/$M80*100,"")</f>
      </c>
      <c r="AV80" s="40">
        <f>IF(AND(ISNUMBER($AB80),ISNUMBER($AD80),ABS($AB80)&gt;0),$AD80/$AB80,"")</f>
      </c>
      <c r="AW80" s="39">
        <f>IF(ISNUMBER($AD80),MAX(0,(1-0.55-Header!$O$3)*Header!$Q$3*$AQ80),"")</f>
      </c>
      <c r="AX80" s="43">
        <f>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c>
      <c r="AY80" s="44">
        <f>IF($M80="","",IF(ISNUMBER($M80),IF($M80&gt;=Header!$C$18,"YES — refer","No"),""))</f>
      </c>
      <c r="AZ80" s="44">
        <f>IF($AD80="","",IF(ISNUMBER($AD80),IF($AD80&lt;Header!$C$20,"BELOW MIN PREMIUM","OK"),""))</f>
      </c>
      <c r="BA80" s="48" t="inlineStr">
        <is>
          <t xml:space="preserve">Yes</t>
        </is>
      </c>
      <c r="BB80" s="48" t="inlineStr">
        <is>
          <t xml:space="preserve">Yes</t>
        </is>
      </c>
      <c r="BC80" s="46" t="inlineStr">
        <is>
          <t xml:space="preserve">Synthetic demo data</t>
        </is>
      </c>
      <c r="BE80" s="45">
        <f>IF(OR($A80="",$L80="",$H80=""),"",IF(AND(LEFT($L80,2)="06",$H80&gt;1945),"FAIL - pre-war class, year "&amp;$H80,IF(AND(LEFT($L80,2)="07",OR($H80&lt;1946,$H80&gt;1972)),"FAIL - 1946-72 class, year "&amp;$H80,IF(AND(LEFT($L80,2)="08",OR($H80&lt;1973,$H80&gt;1999)),"FAIL - 1973-99 class, year "&amp;$H80,IF(AND(LEFT($L80,2)="09",OR($H80&lt;2000,$H80&gt;2010)),"FAIL - 2000-10 class, year "&amp;$H80,"OK")))))</f>
      </c>
      <c r="BF80" s="45">
        <f>IF($AD80="","",IF(ROUND($AO80+$AP80+$AQ80-$AD80,2)=0,"OK","FAIL - out by "&amp;TEXT($AO80+$AP80+$AQ80-$AD80,"$0.00")))</f>
      </c>
    </row>
    <row r="81" spans="1:58" ht="18.75" customHeight="1" x14ac:dyDescent="0.25">
      <c r="A81" s="30" t="inlineStr">
        <is>
          <t xml:space="preserve">CANON-202606-008509</t>
        </is>
      </c>
      <c r="B81" s="30" t="inlineStr">
        <is>
          <t xml:space="preserve">Fitzgerald Farkas</t>
        </is>
      </c>
      <c r="C81" s="31">
        <v>46178</v>
      </c>
      <c r="D81" s="32" t="inlineStr">
        <is>
          <t xml:space="preserve">Bound - within authority</t>
        </is>
      </c>
      <c r="E81" s="32" t="inlineStr">
        <is>
          <t xml:space="preserve">New business</t>
        </is>
      </c>
      <c r="F81" s="30" t="inlineStr">
        <is>
          <t xml:space="preserve">B1234EXOTIC26</t>
        </is>
      </c>
      <c r="G81" s="33">
        <f>IF($A81="","",IF($C81="","",YEAR($C81)))</f>
      </c>
      <c r="H81" s="34">
        <v>2014</v>
      </c>
      <c r="I81" s="30" t="inlineStr">
        <is>
          <t xml:space="preserve">Singer</t>
        </is>
      </c>
      <c r="J81" s="30" t="inlineStr">
        <is>
          <t xml:space="preserve">911 Reimagined</t>
        </is>
      </c>
      <c r="K81" s="30" t="inlineStr">
        <is>
          <t xml:space="preserve">FS9H6RHV36NTF02DN</t>
        </is>
      </c>
      <c r="L81" s="32" t="inlineStr">
        <is>
          <t xml:space="preserve">11 - Restomod / Coachbuilt / Bespoke</t>
        </is>
      </c>
      <c r="M81" s="35">
        <v>470000</v>
      </c>
      <c r="N81" s="32" t="inlineStr">
        <is>
          <t xml:space="preserve">Personal</t>
        </is>
      </c>
      <c r="O81" s="30" t="inlineStr">
        <is>
          <t xml:space="preserve">Personal - regular use</t>
        </is>
      </c>
      <c r="P81" s="30" t="inlineStr">
        <is>
          <t xml:space="preserve">1,000 - 2,500</t>
        </is>
      </c>
      <c r="Q81" s="30" t="inlineStr">
        <is>
          <t xml:space="preserve">New York</t>
        </is>
      </c>
      <c r="R81" s="30" t="inlineStr">
        <is>
          <t xml:space="preserve">10022</t>
        </is>
      </c>
      <c r="S81" s="32" t="inlineStr">
        <is>
          <t xml:space="preserve">Tier 3 - Coastal wind (25-100 miles)</t>
        </is>
      </c>
      <c r="T81" s="36">
        <f>IF($A81="","",IF($S81="","",IFERROR(INDEX('[1]natural catastrophe'!$D$6:$D$17,MATCH($S81,'[1]natural catastrophe'!$B$6:$B$17,0)),"?")))</f>
      </c>
      <c r="U81" s="30" t="inlineStr">
        <is>
          <t xml:space="preserve">2% of agreed value, minimum $10,000</t>
        </is>
      </c>
      <c r="V81" s="32" t="inlineStr">
        <is>
          <t xml:space="preserve">Agreed Value</t>
        </is>
      </c>
      <c r="W81" s="30" t="inlineStr">
        <is>
          <t xml:space="preserve">$1,000</t>
        </is>
      </c>
      <c r="X81" s="32" t="inlineStr">
        <is>
          <t xml:space="preserve">$1,000,000 CSL</t>
        </is>
      </c>
      <c r="Y81" s="30"/>
      <c r="Z81" s="30"/>
      <c r="AA81" s="32" t="inlineStr">
        <is>
          <t xml:space="preserve">Surplus Lines</t>
        </is>
      </c>
      <c r="AB81" s="35">
        <v>7639.46</v>
      </c>
      <c r="AC81" s="37">
        <v>0</v>
      </c>
      <c r="AD81" s="38">
        <f>IF(ISNUMBER($AB81),$AB81*(1+N($AC81)),"")</f>
      </c>
      <c r="AE81" s="35">
        <v>350</v>
      </c>
      <c r="AF81" s="35">
        <v>0</v>
      </c>
      <c r="AG81" s="37"/>
      <c r="AH81" s="39">
        <f>IF(ISNUMBER($AD81),($AD81+$AE81+$AF81)*$AG81,"")</f>
      </c>
      <c r="AI81" s="35"/>
      <c r="AJ81" s="38">
        <f>IF(ISNUMBER($AD81),SUM($AD81:$AH81),"")</f>
      </c>
      <c r="AK81" s="40">
        <f>IF(AND(ISNUMBER($AB81),ISNUMBER($AD81)),IF($AB81&gt;0,$AD81/$AB81,""),"")</f>
      </c>
      <c r="AL81" s="32" t="inlineStr">
        <is>
          <t xml:space="preserve">At technical</t>
        </is>
      </c>
      <c r="AM81" s="41">
        <f>IF(ISNUMBER($AD81),Header!$I$3,"")</f>
      </c>
      <c r="AN81" s="39">
        <f>IF(ISNUMBER($AD81),$AO81+$AP81,"")</f>
      </c>
      <c r="AO81" s="39">
        <f>IF(ISNUMBER($AD81),ROUND($AD81*Header!$K$3,2),"")</f>
      </c>
      <c r="AP81" s="39">
        <f>IF(ISNUMBER($AD81),ROUND($AD81*Header!$M$3,2),"")</f>
      </c>
      <c r="AQ81" s="38">
        <f>IF(ISNUMBER($AD81),ROUND($AD81,2)-$AO81-$AP81,"")</f>
      </c>
      <c r="AR81" s="39">
        <f>IF(ISNUMBER($AD81),IF(Header!$D$34="","?",$AD81*Header!$D$34),"")</f>
      </c>
      <c r="AS81" s="39">
        <f>IF(ISNUMBER($AB81),IF(Header!$D$34="","?",$AB81*Header!$D$34),"")</f>
      </c>
      <c r="AT81" s="42">
        <f>IF(AND(ISNUMBER($AB81),$M81&gt;0),$AB81/$M81*100,"")</f>
      </c>
      <c r="AU81" s="42">
        <f>IF(AND(ISNUMBER($AD81),$M81&gt;0),$AD81/$M81*100,"")</f>
      </c>
      <c r="AV81" s="40">
        <f>IF(AND(ISNUMBER($AB81),ISNUMBER($AD81),ABS($AB81)&gt;0),$AD81/$AB81,"")</f>
      </c>
      <c r="AW81" s="39">
        <f>IF(ISNUMBER($AD81),MAX(0,(1-0.55-Header!$O$3)*Header!$Q$3*$AQ81),"")</f>
      </c>
      <c r="AX81" s="43">
        <f>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c>
      <c r="AY81" s="44">
        <f>IF($M81="","",IF(ISNUMBER($M81),IF($M81&gt;=Header!$C$18,"YES — refer","No"),""))</f>
      </c>
      <c r="AZ81" s="44">
        <f>IF($AD81="","",IF(ISNUMBER($AD81),IF($AD81&lt;Header!$C$20,"BELOW MIN PREMIUM","OK"),""))</f>
      </c>
      <c r="BA81" s="32" t="inlineStr">
        <is>
          <t xml:space="preserve">Yes</t>
        </is>
      </c>
      <c r="BB81" s="32" t="inlineStr">
        <is>
          <t xml:space="preserve">Yes</t>
        </is>
      </c>
      <c r="BC81" s="30" t="inlineStr">
        <is>
          <t xml:space="preserve">Synthetic demo data</t>
        </is>
      </c>
      <c r="BE81" s="45">
        <f>IF(OR($A81="",$L81="",$H81=""),"",IF(AND(LEFT($L81,2)="06",$H81&gt;1945),"FAIL - pre-war class, year "&amp;$H81,IF(AND(LEFT($L81,2)="07",OR($H81&lt;1946,$H81&gt;1972)),"FAIL - 1946-72 class, year "&amp;$H81,IF(AND(LEFT($L81,2)="08",OR($H81&lt;1973,$H81&gt;1999)),"FAIL - 1973-99 class, year "&amp;$H81,IF(AND(LEFT($L81,2)="09",OR($H81&lt;2000,$H81&gt;2010)),"FAIL - 2000-10 class, year "&amp;$H81,"OK")))))</f>
      </c>
      <c r="BF81" s="45">
        <f>IF($AD81="","",IF(ROUND($AO81+$AP81+$AQ81-$AD81,2)=0,"OK","FAIL - out by "&amp;TEXT($AO81+$AP81+$AQ81-$AD81,"$0.00")))</f>
      </c>
    </row>
    <row r="82" spans="1:58" ht="18.75" customHeight="1" x14ac:dyDescent="0.25">
      <c r="A82" s="46" t="inlineStr">
        <is>
          <t xml:space="preserve">CANON-202606-008511</t>
        </is>
      </c>
      <c r="B82" s="46" t="inlineStr">
        <is>
          <t xml:space="preserve">Cassius Montoya</t>
        </is>
      </c>
      <c r="C82" s="47">
        <v>46174</v>
      </c>
      <c r="D82" s="48" t="inlineStr">
        <is>
          <t xml:space="preserve">Bound - within authority</t>
        </is>
      </c>
      <c r="E82" s="48" t="inlineStr">
        <is>
          <t xml:space="preserve">New business</t>
        </is>
      </c>
      <c r="F82" s="46" t="inlineStr">
        <is>
          <t xml:space="preserve">B1234EXOTIC26</t>
        </is>
      </c>
      <c r="G82" s="33">
        <f>IF($A82="","",IF($C82="","",YEAR($C82)))</f>
      </c>
      <c r="H82" s="49">
        <v>2023</v>
      </c>
      <c r="I82" s="46" t="inlineStr">
        <is>
          <t xml:space="preserve">Porsche</t>
        </is>
      </c>
      <c r="J82" s="46" t="inlineStr">
        <is>
          <t xml:space="preserve">911 Turbo S</t>
        </is>
      </c>
      <c r="K82" s="46" t="inlineStr">
        <is>
          <t xml:space="preserve">U33R62T9774WHZR84</t>
        </is>
      </c>
      <c r="L82" s="48" t="inlineStr">
        <is>
          <t xml:space="preserve">02 - Sports / GT</t>
        </is>
      </c>
      <c r="M82" s="50">
        <v>680000</v>
      </c>
      <c r="N82" s="48" t="inlineStr">
        <is>
          <t xml:space="preserve">Personal</t>
        </is>
      </c>
      <c r="O82" s="46" t="inlineStr">
        <is>
          <t xml:space="preserve">Personal - regular use</t>
        </is>
      </c>
      <c r="P82" s="46" t="inlineStr">
        <is>
          <t xml:space="preserve">2,500 - 5,000</t>
        </is>
      </c>
      <c r="Q82" s="46" t="inlineStr">
        <is>
          <t xml:space="preserve">Tennessee</t>
        </is>
      </c>
      <c r="R82" s="46" t="inlineStr">
        <is>
          <t xml:space="preserve">37203</t>
        </is>
      </c>
      <c r="S82" s="48" t="inlineStr">
        <is>
          <t xml:space="preserve">Severe convective - hail / tornado (moderate)</t>
        </is>
      </c>
      <c r="T82" s="36">
        <f>IF($A82="","",IF($S82="","",IFERROR(INDEX('[1]natural catastrophe'!$D$6:$D$17,MATCH($S82,'[1]natural catastrophe'!$B$6:$B$17,0)),"?")))</f>
      </c>
      <c r="U82" s="46" t="inlineStr">
        <is>
          <t xml:space="preserve">$5,000</t>
        </is>
      </c>
      <c r="V82" s="48" t="inlineStr">
        <is>
          <t xml:space="preserve">Agreed Value</t>
        </is>
      </c>
      <c r="W82" s="46" t="inlineStr">
        <is>
          <t xml:space="preserve">$1,000</t>
        </is>
      </c>
      <c r="X82" s="48" t="inlineStr">
        <is>
          <t xml:space="preserve">$1,000,000 CSL</t>
        </is>
      </c>
      <c r="Y82" s="46"/>
      <c r="Z82" s="46"/>
      <c r="AA82" s="48" t="inlineStr">
        <is>
          <t xml:space="preserve">Surplus Lines</t>
        </is>
      </c>
      <c r="AB82" s="50">
        <v>6250.58</v>
      </c>
      <c r="AC82" s="51">
        <v>0</v>
      </c>
      <c r="AD82" s="38">
        <f>IF(ISNUMBER($AB82),$AB82*(1+N($AC82)),"")</f>
      </c>
      <c r="AE82" s="50">
        <v>350</v>
      </c>
      <c r="AF82" s="50">
        <v>0</v>
      </c>
      <c r="AG82" s="51"/>
      <c r="AH82" s="39">
        <f>IF(ISNUMBER($AD82),($AD82+$AE82+$AF82)*$AG82,"")</f>
      </c>
      <c r="AI82" s="50"/>
      <c r="AJ82" s="38">
        <f>IF(ISNUMBER($AD82),SUM($AD82:$AH82),"")</f>
      </c>
      <c r="AK82" s="40">
        <f>IF(AND(ISNUMBER($AB82),ISNUMBER($AD82)),IF($AB82&gt;0,$AD82/$AB82,""),"")</f>
      </c>
      <c r="AL82" s="48" t="inlineStr">
        <is>
          <t xml:space="preserve">At technical</t>
        </is>
      </c>
      <c r="AM82" s="41">
        <f>IF(ISNUMBER($AD82),Header!$I$3,"")</f>
      </c>
      <c r="AN82" s="39">
        <f>IF(ISNUMBER($AD82),$AO82+$AP82,"")</f>
      </c>
      <c r="AO82" s="39">
        <f>IF(ISNUMBER($AD82),ROUND($AD82*Header!$K$3,2),"")</f>
      </c>
      <c r="AP82" s="39">
        <f>IF(ISNUMBER($AD82),ROUND($AD82*Header!$M$3,2),"")</f>
      </c>
      <c r="AQ82" s="38">
        <f>IF(ISNUMBER($AD82),ROUND($AD82,2)-$AO82-$AP82,"")</f>
      </c>
      <c r="AR82" s="39">
        <f>IF(ISNUMBER($AD82),IF(Header!$D$34="","?",$AD82*Header!$D$34),"")</f>
      </c>
      <c r="AS82" s="39">
        <f>IF(ISNUMBER($AB82),IF(Header!$D$34="","?",$AB82*Header!$D$34),"")</f>
      </c>
      <c r="AT82" s="42">
        <f>IF(AND(ISNUMBER($AB82),$M82&gt;0),$AB82/$M82*100,"")</f>
      </c>
      <c r="AU82" s="42">
        <f>IF(AND(ISNUMBER($AD82),$M82&gt;0),$AD82/$M82*100,"")</f>
      </c>
      <c r="AV82" s="40">
        <f>IF(AND(ISNUMBER($AB82),ISNUMBER($AD82),ABS($AB82)&gt;0),$AD82/$AB82,"")</f>
      </c>
      <c r="AW82" s="39">
        <f>IF(ISNUMBER($AD82),MAX(0,(1-0.55-Header!$O$3)*Header!$Q$3*$AQ82),"")</f>
      </c>
      <c r="AX82" s="43">
        <f>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c>
      <c r="AY82" s="44">
        <f>IF($M82="","",IF(ISNUMBER($M82),IF($M82&gt;=Header!$C$18,"YES — refer","No"),""))</f>
      </c>
      <c r="AZ82" s="44">
        <f>IF($AD82="","",IF(ISNUMBER($AD82),IF($AD82&lt;Header!$C$20,"BELOW MIN PREMIUM","OK"),""))</f>
      </c>
      <c r="BA82" s="48" t="inlineStr">
        <is>
          <t xml:space="preserve">Yes</t>
        </is>
      </c>
      <c r="BB82" s="48" t="inlineStr">
        <is>
          <t xml:space="preserve">Yes</t>
        </is>
      </c>
      <c r="BC82" s="46" t="inlineStr">
        <is>
          <t xml:space="preserve">Synthetic demo data</t>
        </is>
      </c>
      <c r="BE82" s="45">
        <f>IF(OR($A82="",$L82="",$H82=""),"",IF(AND(LEFT($L82,2)="06",$H82&gt;1945),"FAIL - pre-war class, year "&amp;$H82,IF(AND(LEFT($L82,2)="07",OR($H82&lt;1946,$H82&gt;1972)),"FAIL - 1946-72 class, year "&amp;$H82,IF(AND(LEFT($L82,2)="08",OR($H82&lt;1973,$H82&gt;1999)),"FAIL - 1973-99 class, year "&amp;$H82,IF(AND(LEFT($L82,2)="09",OR($H82&lt;2000,$H82&gt;2010)),"FAIL - 2000-10 class, year "&amp;$H82,"OK")))))</f>
      </c>
      <c r="BF82" s="45">
        <f>IF($AD82="","",IF(ROUND($AO82+$AP82+$AQ82-$AD82,2)=0,"OK","FAIL - out by "&amp;TEXT($AO82+$AP82+$AQ82-$AD82,"$0.00")))</f>
      </c>
    </row>
    <row r="83" spans="1:58" ht="18.75" customHeight="1" x14ac:dyDescent="0.25">
      <c r="A83" s="30" t="inlineStr">
        <is>
          <t xml:space="preserve">CANON-202606-008512</t>
        </is>
      </c>
      <c r="B83" s="30" t="inlineStr">
        <is>
          <t xml:space="preserve">Thaddeus Harrington</t>
        </is>
      </c>
      <c r="C83" s="31">
        <v>46185</v>
      </c>
      <c r="D83" s="32" t="inlineStr">
        <is>
          <t xml:space="preserve">Bound - within authority</t>
        </is>
      </c>
      <c r="E83" s="32" t="inlineStr">
        <is>
          <t xml:space="preserve">New business</t>
        </is>
      </c>
      <c r="F83" s="30" t="inlineStr">
        <is>
          <t xml:space="preserve">B1234EXOTIC26</t>
        </is>
      </c>
      <c r="G83" s="33">
        <f>IF($A83="","",IF($C83="","",YEAR($C83)))</f>
      </c>
      <c r="H83" s="34">
        <v>2016</v>
      </c>
      <c r="I83" s="30" t="inlineStr">
        <is>
          <t xml:space="preserve">Maserati</t>
        </is>
      </c>
      <c r="J83" s="30" t="inlineStr">
        <is>
          <t xml:space="preserve">GranTurismo</t>
        </is>
      </c>
      <c r="K83" s="30" t="inlineStr">
        <is>
          <t xml:space="preserve">58NC6MH0V3YANVK37</t>
        </is>
      </c>
      <c r="L83" s="32" t="inlineStr">
        <is>
          <t xml:space="preserve">02 - Sports / GT</t>
        </is>
      </c>
      <c r="M83" s="35">
        <v>550000</v>
      </c>
      <c r="N83" s="32" t="inlineStr">
        <is>
          <t xml:space="preserve">Personal</t>
        </is>
      </c>
      <c r="O83" s="30" t="inlineStr">
        <is>
          <t xml:space="preserve">Personal - regular use</t>
        </is>
      </c>
      <c r="P83" s="30" t="inlineStr">
        <is>
          <t xml:space="preserve">1,000 - 2,500</t>
        </is>
      </c>
      <c r="Q83" s="30" t="inlineStr">
        <is>
          <t xml:space="preserve">Kansas</t>
        </is>
      </c>
      <c r="R83" s="30" t="inlineStr">
        <is>
          <t xml:space="preserve">66603</t>
        </is>
      </c>
      <c r="S83" s="32" t="inlineStr">
        <is>
          <t xml:space="preserve">Severe convective - hail alley (high)</t>
        </is>
      </c>
      <c r="T83" s="36">
        <f>IF($A83="","",IF($S83="","",IFERROR(INDEX('[1]natural catastrophe'!$D$6:$D$17,MATCH($S83,'[1]natural catastrophe'!$B$6:$B$17,0)),"?")))</f>
      </c>
      <c r="U83" s="30" t="inlineStr">
        <is>
          <t xml:space="preserve">$5,000</t>
        </is>
      </c>
      <c r="V83" s="32" t="inlineStr">
        <is>
          <t xml:space="preserve">Agreed Value</t>
        </is>
      </c>
      <c r="W83" s="30" t="inlineStr">
        <is>
          <t xml:space="preserve">$1,000</t>
        </is>
      </c>
      <c r="X83" s="32" t="inlineStr">
        <is>
          <t xml:space="preserve">$1,000,000 CSL</t>
        </is>
      </c>
      <c r="Y83" s="30"/>
      <c r="Z83" s="30"/>
      <c r="AA83" s="32" t="inlineStr">
        <is>
          <t xml:space="preserve">Surplus Lines</t>
        </is>
      </c>
      <c r="AB83" s="35">
        <v>5004.03</v>
      </c>
      <c r="AC83" s="37">
        <v>0</v>
      </c>
      <c r="AD83" s="38">
        <f>IF(ISNUMBER($AB83),$AB83*(1+N($AC83)),"")</f>
      </c>
      <c r="AE83" s="35">
        <v>350</v>
      </c>
      <c r="AF83" s="35">
        <v>0</v>
      </c>
      <c r="AG83" s="37"/>
      <c r="AH83" s="39">
        <f>IF(ISNUMBER($AD83),($AD83+$AE83+$AF83)*$AG83,"")</f>
      </c>
      <c r="AI83" s="35"/>
      <c r="AJ83" s="38">
        <f>IF(ISNUMBER($AD83),SUM($AD83:$AH83),"")</f>
      </c>
      <c r="AK83" s="40">
        <f>IF(AND(ISNUMBER($AB83),ISNUMBER($AD83)),IF($AB83&gt;0,$AD83/$AB83,""),"")</f>
      </c>
      <c r="AL83" s="32" t="inlineStr">
        <is>
          <t xml:space="preserve">At technical</t>
        </is>
      </c>
      <c r="AM83" s="41">
        <f>IF(ISNUMBER($AD83),Header!$I$3,"")</f>
      </c>
      <c r="AN83" s="39">
        <f>IF(ISNUMBER($AD83),$AO83+$AP83,"")</f>
      </c>
      <c r="AO83" s="39">
        <f>IF(ISNUMBER($AD83),ROUND($AD83*Header!$K$3,2),"")</f>
      </c>
      <c r="AP83" s="39">
        <f>IF(ISNUMBER($AD83),ROUND($AD83*Header!$M$3,2),"")</f>
      </c>
      <c r="AQ83" s="38">
        <f>IF(ISNUMBER($AD83),ROUND($AD83,2)-$AO83-$AP83,"")</f>
      </c>
      <c r="AR83" s="39">
        <f>IF(ISNUMBER($AD83),IF(Header!$D$34="","?",$AD83*Header!$D$34),"")</f>
      </c>
      <c r="AS83" s="39">
        <f>IF(ISNUMBER($AB83),IF(Header!$D$34="","?",$AB83*Header!$D$34),"")</f>
      </c>
      <c r="AT83" s="42">
        <f>IF(AND(ISNUMBER($AB83),$M83&gt;0),$AB83/$M83*100,"")</f>
      </c>
      <c r="AU83" s="42">
        <f>IF(AND(ISNUMBER($AD83),$M83&gt;0),$AD83/$M83*100,"")</f>
      </c>
      <c r="AV83" s="40">
        <f>IF(AND(ISNUMBER($AB83),ISNUMBER($AD83),ABS($AB83)&gt;0),$AD83/$AB83,"")</f>
      </c>
      <c r="AW83" s="39">
        <f>IF(ISNUMBER($AD83),MAX(0,(1-0.55-Header!$O$3)*Header!$Q$3*$AQ83),"")</f>
      </c>
      <c r="AX83" s="43">
        <f>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c>
      <c r="AY83" s="44">
        <f>IF($M83="","",IF(ISNUMBER($M83),IF($M83&gt;=Header!$C$18,"YES — refer","No"),""))</f>
      </c>
      <c r="AZ83" s="44">
        <f>IF($AD83="","",IF(ISNUMBER($AD83),IF($AD83&lt;Header!$C$20,"BELOW MIN PREMIUM","OK"),""))</f>
      </c>
      <c r="BA83" s="32" t="inlineStr">
        <is>
          <t xml:space="preserve">Yes</t>
        </is>
      </c>
      <c r="BB83" s="32" t="inlineStr">
        <is>
          <t xml:space="preserve">Yes</t>
        </is>
      </c>
      <c r="BC83" s="30" t="inlineStr">
        <is>
          <t xml:space="preserve">Synthetic demo data</t>
        </is>
      </c>
      <c r="BE83" s="45">
        <f>IF(OR($A83="",$L83="",$H83=""),"",IF(AND(LEFT($L83,2)="06",$H83&gt;1945),"FAIL - pre-war class, year "&amp;$H83,IF(AND(LEFT($L83,2)="07",OR($H83&lt;1946,$H83&gt;1972)),"FAIL - 1946-72 class, year "&amp;$H83,IF(AND(LEFT($L83,2)="08",OR($H83&lt;1973,$H83&gt;1999)),"FAIL - 1973-99 class, year "&amp;$H83,IF(AND(LEFT($L83,2)="09",OR($H83&lt;2000,$H83&gt;2010)),"FAIL - 2000-10 class, year "&amp;$H83,"OK")))))</f>
      </c>
      <c r="BF83" s="45">
        <f>IF($AD83="","",IF(ROUND($AO83+$AP83+$AQ83-$AD83,2)=0,"OK","FAIL - out by "&amp;TEXT($AO83+$AP83+$AQ83-$AD83,"$0.00")))</f>
      </c>
    </row>
    <row r="84" spans="1:58" ht="18.75" customHeight="1" x14ac:dyDescent="0.25">
      <c r="A84" s="46" t="inlineStr">
        <is>
          <t xml:space="preserve">CANON-202606-008513</t>
        </is>
      </c>
      <c r="B84" s="46" t="inlineStr">
        <is>
          <t xml:space="preserve">Mireille Castellanos</t>
        </is>
      </c>
      <c r="C84" s="47">
        <v>46190</v>
      </c>
      <c r="D84" s="48" t="inlineStr">
        <is>
          <t xml:space="preserve">Bound - within authority</t>
        </is>
      </c>
      <c r="E84" s="48" t="inlineStr">
        <is>
          <t xml:space="preserve">New business</t>
        </is>
      </c>
      <c r="F84" s="46" t="inlineStr">
        <is>
          <t xml:space="preserve">B1234EXOTIC26</t>
        </is>
      </c>
      <c r="G84" s="33">
        <f>IF($A84="","",IF($C84="","",YEAR($C84)))</f>
      </c>
      <c r="H84" s="49">
        <v>2022</v>
      </c>
      <c r="I84" s="46" t="inlineStr">
        <is>
          <t xml:space="preserve">McLaren</t>
        </is>
      </c>
      <c r="J84" s="46" t="inlineStr">
        <is>
          <t xml:space="preserve">750S</t>
        </is>
      </c>
      <c r="K84" s="46" t="inlineStr">
        <is>
          <t xml:space="preserve">H25D6JGX0Z7RU6G8G</t>
        </is>
      </c>
      <c r="L84" s="48" t="inlineStr">
        <is>
          <t xml:space="preserve">03 - Supercar</t>
        </is>
      </c>
      <c r="M84" s="50">
        <v>760000</v>
      </c>
      <c r="N84" s="48" t="inlineStr">
        <is>
          <t xml:space="preserve">Personal</t>
        </is>
      </c>
      <c r="O84" s="46" t="inlineStr">
        <is>
          <t xml:space="preserve">Personal - regular use</t>
        </is>
      </c>
      <c r="P84" s="46" t="inlineStr">
        <is>
          <t xml:space="preserve">2,500 - 5,000</t>
        </is>
      </c>
      <c r="Q84" s="46" t="inlineStr">
        <is>
          <t xml:space="preserve">Maryland</t>
        </is>
      </c>
      <c r="R84" s="46" t="inlineStr">
        <is>
          <t xml:space="preserve">21201</t>
        </is>
      </c>
      <c r="S84" s="48" t="inlineStr">
        <is>
          <t xml:space="preserve">Tier 3 - Coastal wind (25-100 miles)</t>
        </is>
      </c>
      <c r="T84" s="36">
        <f>IF($A84="","",IF($S84="","",IFERROR(INDEX('[1]natural catastrophe'!$D$6:$D$17,MATCH($S84,'[1]natural catastrophe'!$B$6:$B$17,0)),"?")))</f>
      </c>
      <c r="U84" s="46" t="inlineStr">
        <is>
          <t xml:space="preserve">2% of agreed value, minimum $10,000</t>
        </is>
      </c>
      <c r="V84" s="48" t="inlineStr">
        <is>
          <t xml:space="preserve">Agreed Value</t>
        </is>
      </c>
      <c r="W84" s="46" t="inlineStr">
        <is>
          <t xml:space="preserve">$1,000</t>
        </is>
      </c>
      <c r="X84" s="48" t="inlineStr">
        <is>
          <t xml:space="preserve">$1,000,000 CSL</t>
        </is>
      </c>
      <c r="Y84" s="46"/>
      <c r="Z84" s="46"/>
      <c r="AA84" s="48" t="inlineStr">
        <is>
          <t xml:space="preserve">Surplus Lines</t>
        </is>
      </c>
      <c r="AB84" s="50">
        <v>9897.67</v>
      </c>
      <c r="AC84" s="51">
        <v>0</v>
      </c>
      <c r="AD84" s="38">
        <f>IF(ISNUMBER($AB84),$AB84*(1+N($AC84)),"")</f>
      </c>
      <c r="AE84" s="50">
        <v>350</v>
      </c>
      <c r="AF84" s="50">
        <v>0</v>
      </c>
      <c r="AG84" s="51"/>
      <c r="AH84" s="39">
        <f>IF(ISNUMBER($AD84),($AD84+$AE84+$AF84)*$AG84,"")</f>
      </c>
      <c r="AI84" s="50"/>
      <c r="AJ84" s="38">
        <f>IF(ISNUMBER($AD84),SUM($AD84:$AH84),"")</f>
      </c>
      <c r="AK84" s="40">
        <f>IF(AND(ISNUMBER($AB84),ISNUMBER($AD84)),IF($AB84&gt;0,$AD84/$AB84,""),"")</f>
      </c>
      <c r="AL84" s="48" t="inlineStr">
        <is>
          <t xml:space="preserve">At technical</t>
        </is>
      </c>
      <c r="AM84" s="41">
        <f>IF(ISNUMBER($AD84),Header!$I$3,"")</f>
      </c>
      <c r="AN84" s="39">
        <f>IF(ISNUMBER($AD84),$AO84+$AP84,"")</f>
      </c>
      <c r="AO84" s="39">
        <f>IF(ISNUMBER($AD84),ROUND($AD84*Header!$K$3,2),"")</f>
      </c>
      <c r="AP84" s="39">
        <f>IF(ISNUMBER($AD84),ROUND($AD84*Header!$M$3,2),"")</f>
      </c>
      <c r="AQ84" s="38">
        <f>IF(ISNUMBER($AD84),ROUND($AD84,2)-$AO84-$AP84,"")</f>
      </c>
      <c r="AR84" s="39">
        <f>IF(ISNUMBER($AD84),IF(Header!$D$34="","?",$AD84*Header!$D$34),"")</f>
      </c>
      <c r="AS84" s="39">
        <f>IF(ISNUMBER($AB84),IF(Header!$D$34="","?",$AB84*Header!$D$34),"")</f>
      </c>
      <c r="AT84" s="42">
        <f>IF(AND(ISNUMBER($AB84),$M84&gt;0),$AB84/$M84*100,"")</f>
      </c>
      <c r="AU84" s="42">
        <f>IF(AND(ISNUMBER($AD84),$M84&gt;0),$AD84/$M84*100,"")</f>
      </c>
      <c r="AV84" s="40">
        <f>IF(AND(ISNUMBER($AB84),ISNUMBER($AD84),ABS($AB84)&gt;0),$AD84/$AB84,"")</f>
      </c>
      <c r="AW84" s="39">
        <f>IF(ISNUMBER($AD84),MAX(0,(1-0.55-Header!$O$3)*Header!$Q$3*$AQ84),"")</f>
      </c>
      <c r="AX84" s="43">
        <f>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c>
      <c r="AY84" s="44">
        <f>IF($M84="","",IF(ISNUMBER($M84),IF($M84&gt;=Header!$C$18,"YES — refer","No"),""))</f>
      </c>
      <c r="AZ84" s="44">
        <f>IF($AD84="","",IF(ISNUMBER($AD84),IF($AD84&lt;Header!$C$20,"BELOW MIN PREMIUM","OK"),""))</f>
      </c>
      <c r="BA84" s="48" t="inlineStr">
        <is>
          <t xml:space="preserve">Yes</t>
        </is>
      </c>
      <c r="BB84" s="48" t="inlineStr">
        <is>
          <t xml:space="preserve">Yes</t>
        </is>
      </c>
      <c r="BC84" s="46" t="inlineStr">
        <is>
          <t xml:space="preserve">Synthetic demo data</t>
        </is>
      </c>
      <c r="BE84" s="45">
        <f>IF(OR($A84="",$L84="",$H84=""),"",IF(AND(LEFT($L84,2)="06",$H84&gt;1945),"FAIL - pre-war class, year "&amp;$H84,IF(AND(LEFT($L84,2)="07",OR($H84&lt;1946,$H84&gt;1972)),"FAIL - 1946-72 class, year "&amp;$H84,IF(AND(LEFT($L84,2)="08",OR($H84&lt;1973,$H84&gt;1999)),"FAIL - 1973-99 class, year "&amp;$H84,IF(AND(LEFT($L84,2)="09",OR($H84&lt;2000,$H84&gt;2010)),"FAIL - 2000-10 class, year "&amp;$H84,"OK")))))</f>
      </c>
      <c r="BF84" s="45">
        <f>IF($AD84="","",IF(ROUND($AO84+$AP84+$AQ84-$AD84,2)=0,"OK","FAIL - out by "&amp;TEXT($AO84+$AP84+$AQ84-$AD84,"$0.00")))</f>
      </c>
    </row>
    <row r="85" spans="1:58" ht="18.75" customHeight="1" x14ac:dyDescent="0.25">
      <c r="A85" s="30" t="inlineStr">
        <is>
          <t xml:space="preserve">CANON-202606-008514</t>
        </is>
      </c>
      <c r="B85" s="30" t="inlineStr">
        <is>
          <t xml:space="preserve">Ottilie Delacroix</t>
        </is>
      </c>
      <c r="C85" s="31">
        <v>46195</v>
      </c>
      <c r="D85" s="32" t="inlineStr">
        <is>
          <t xml:space="preserve">Bound - within authority</t>
        </is>
      </c>
      <c r="E85" s="32" t="inlineStr">
        <is>
          <t xml:space="preserve">New business</t>
        </is>
      </c>
      <c r="F85" s="30" t="inlineStr">
        <is>
          <t xml:space="preserve">B1234EXOTIC26</t>
        </is>
      </c>
      <c r="G85" s="33">
        <f>IF($A85="","",IF($C85="","",YEAR($C85)))</f>
      </c>
      <c r="H85" s="34">
        <v>2019</v>
      </c>
      <c r="I85" s="30" t="inlineStr">
        <is>
          <t xml:space="preserve">Bentley</t>
        </is>
      </c>
      <c r="J85" s="30" t="inlineStr">
        <is>
          <t xml:space="preserve">Continental GT</t>
        </is>
      </c>
      <c r="K85" s="30" t="inlineStr">
        <is>
          <t xml:space="preserve">P8TZZ0JBF5SC863R0</t>
        </is>
      </c>
      <c r="L85" s="32" t="inlineStr">
        <is>
          <t xml:space="preserve">02 - Sports / GT</t>
        </is>
      </c>
      <c r="M85" s="35">
        <v>525000</v>
      </c>
      <c r="N85" s="32" t="inlineStr">
        <is>
          <t xml:space="preserve">Personal</t>
        </is>
      </c>
      <c r="O85" s="30" t="inlineStr">
        <is>
          <t xml:space="preserve">Personal - regular use</t>
        </is>
      </c>
      <c r="P85" s="30" t="inlineStr">
        <is>
          <t xml:space="preserve">Under 1,000</t>
        </is>
      </c>
      <c r="Q85" s="30" t="inlineStr">
        <is>
          <t xml:space="preserve">Rhode Island</t>
        </is>
      </c>
      <c r="R85" s="30" t="inlineStr">
        <is>
          <t xml:space="preserve">02903</t>
        </is>
      </c>
      <c r="S85" s="32" t="inlineStr">
        <is>
          <t xml:space="preserve">Tier 3 - Coastal wind (25-100 miles)</t>
        </is>
      </c>
      <c r="T85" s="36">
        <f>IF($A85="","",IF($S85="","",IFERROR(INDEX('[1]natural catastrophe'!$D$6:$D$17,MATCH($S85,'[1]natural catastrophe'!$B$6:$B$17,0)),"?")))</f>
      </c>
      <c r="U85" s="30" t="inlineStr">
        <is>
          <t xml:space="preserve">2% of agreed value, minimum $10,000</t>
        </is>
      </c>
      <c r="V85" s="32" t="inlineStr">
        <is>
          <t xml:space="preserve">Agreed Value</t>
        </is>
      </c>
      <c r="W85" s="30" t="inlineStr">
        <is>
          <t xml:space="preserve">$1,000</t>
        </is>
      </c>
      <c r="X85" s="32" t="inlineStr">
        <is>
          <t xml:space="preserve">$1,000,000 CSL</t>
        </is>
      </c>
      <c r="Y85" s="30"/>
      <c r="Z85" s="30"/>
      <c r="AA85" s="32" t="inlineStr">
        <is>
          <t xml:space="preserve">Surplus Lines</t>
        </is>
      </c>
      <c r="AB85" s="35">
        <v>6746.29</v>
      </c>
      <c r="AC85" s="37">
        <v>0</v>
      </c>
      <c r="AD85" s="38">
        <f>IF(ISNUMBER($AB85),$AB85*(1+N($AC85)),"")</f>
      </c>
      <c r="AE85" s="35">
        <v>350</v>
      </c>
      <c r="AF85" s="35">
        <v>0</v>
      </c>
      <c r="AG85" s="37"/>
      <c r="AH85" s="39">
        <f>IF(ISNUMBER($AD85),($AD85+$AE85+$AF85)*$AG85,"")</f>
      </c>
      <c r="AI85" s="35"/>
      <c r="AJ85" s="38">
        <f>IF(ISNUMBER($AD85),SUM($AD85:$AH85),"")</f>
      </c>
      <c r="AK85" s="40">
        <f>IF(AND(ISNUMBER($AB85),ISNUMBER($AD85)),IF($AB85&gt;0,$AD85/$AB85,""),"")</f>
      </c>
      <c r="AL85" s="32" t="inlineStr">
        <is>
          <t xml:space="preserve">At technical</t>
        </is>
      </c>
      <c r="AM85" s="41">
        <f>IF(ISNUMBER($AD85),Header!$I$3,"")</f>
      </c>
      <c r="AN85" s="39">
        <f>IF(ISNUMBER($AD85),$AO85+$AP85,"")</f>
      </c>
      <c r="AO85" s="39">
        <f>IF(ISNUMBER($AD85),ROUND($AD85*Header!$K$3,2),"")</f>
      </c>
      <c r="AP85" s="39">
        <f>IF(ISNUMBER($AD85),ROUND($AD85*Header!$M$3,2),"")</f>
      </c>
      <c r="AQ85" s="38">
        <f>IF(ISNUMBER($AD85),ROUND($AD85,2)-$AO85-$AP85,"")</f>
      </c>
      <c r="AR85" s="39">
        <f>IF(ISNUMBER($AD85),IF(Header!$D$34="","?",$AD85*Header!$D$34),"")</f>
      </c>
      <c r="AS85" s="39">
        <f>IF(ISNUMBER($AB85),IF(Header!$D$34="","?",$AB85*Header!$D$34),"")</f>
      </c>
      <c r="AT85" s="42">
        <f>IF(AND(ISNUMBER($AB85),$M85&gt;0),$AB85/$M85*100,"")</f>
      </c>
      <c r="AU85" s="42">
        <f>IF(AND(ISNUMBER($AD85),$M85&gt;0),$AD85/$M85*100,"")</f>
      </c>
      <c r="AV85" s="40">
        <f>IF(AND(ISNUMBER($AB85),ISNUMBER($AD85),ABS($AB85)&gt;0),$AD85/$AB85,"")</f>
      </c>
      <c r="AW85" s="39">
        <f>IF(ISNUMBER($AD85),MAX(0,(1-0.55-Header!$O$3)*Header!$Q$3*$AQ85),"")</f>
      </c>
      <c r="AX85" s="43">
        <f>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c>
      <c r="AY85" s="44">
        <f>IF($M85="","",IF(ISNUMBER($M85),IF($M85&gt;=Header!$C$18,"YES — refer","No"),""))</f>
      </c>
      <c r="AZ85" s="44">
        <f>IF($AD85="","",IF(ISNUMBER($AD85),IF($AD85&lt;Header!$C$20,"BELOW MIN PREMIUM","OK"),""))</f>
      </c>
      <c r="BA85" s="32" t="inlineStr">
        <is>
          <t xml:space="preserve">Yes</t>
        </is>
      </c>
      <c r="BB85" s="32" t="inlineStr">
        <is>
          <t xml:space="preserve">Yes</t>
        </is>
      </c>
      <c r="BC85" s="30" t="inlineStr">
        <is>
          <t xml:space="preserve">Synthetic demo data</t>
        </is>
      </c>
      <c r="BE85" s="45">
        <f>IF(OR($A85="",$L85="",$H85=""),"",IF(AND(LEFT($L85,2)="06",$H85&gt;1945),"FAIL - pre-war class, year "&amp;$H85,IF(AND(LEFT($L85,2)="07",OR($H85&lt;1946,$H85&gt;1972)),"FAIL - 1946-72 class, year "&amp;$H85,IF(AND(LEFT($L85,2)="08",OR($H85&lt;1973,$H85&gt;1999)),"FAIL - 1973-99 class, year "&amp;$H85,IF(AND(LEFT($L85,2)="09",OR($H85&lt;2000,$H85&gt;2010)),"FAIL - 2000-10 class, year "&amp;$H85,"OK")))))</f>
      </c>
      <c r="BF85" s="45">
        <f>IF($AD85="","",IF(ROUND($AO85+$AP85+$AQ85-$AD85,2)=0,"OK","FAIL - out by "&amp;TEXT($AO85+$AP85+$AQ85-$AD85,"$0.00")))</f>
      </c>
    </row>
    <row r="86" spans="1:58" ht="18.75" customHeight="1" x14ac:dyDescent="0.25">
      <c r="A86" s="46" t="inlineStr">
        <is>
          <t xml:space="preserve">CANON-202606-008515</t>
        </is>
      </c>
      <c r="B86" s="46" t="inlineStr">
        <is>
          <t xml:space="preserve">Desmond Merriweather</t>
        </is>
      </c>
      <c r="C86" s="47">
        <v>46202</v>
      </c>
      <c r="D86" s="48" t="inlineStr">
        <is>
          <t xml:space="preserve">Bound - within authority</t>
        </is>
      </c>
      <c r="E86" s="48" t="inlineStr">
        <is>
          <t xml:space="preserve">New business</t>
        </is>
      </c>
      <c r="F86" s="46" t="inlineStr">
        <is>
          <t xml:space="preserve">B1234EXOTIC26</t>
        </is>
      </c>
      <c r="G86" s="33">
        <f>IF($A86="","",IF($C86="","",YEAR($C86)))</f>
      </c>
      <c r="H86" s="49">
        <v>2008</v>
      </c>
      <c r="I86" s="46" t="inlineStr">
        <is>
          <t xml:space="preserve">BMW</t>
        </is>
      </c>
      <c r="J86" s="46" t="inlineStr">
        <is>
          <t xml:space="preserve">M8 Competition</t>
        </is>
      </c>
      <c r="K86" s="46" t="inlineStr">
        <is>
          <t xml:space="preserve">1PRFH7MF1SD4P1Z60</t>
        </is>
      </c>
      <c r="L86" s="48" t="inlineStr">
        <is>
          <t xml:space="preserve">02 - Sports / GT</t>
        </is>
      </c>
      <c r="M86" s="50">
        <v>785000</v>
      </c>
      <c r="N86" s="48" t="inlineStr">
        <is>
          <t xml:space="preserve">Personal</t>
        </is>
      </c>
      <c r="O86" s="46" t="inlineStr">
        <is>
          <t xml:space="preserve">Personal - regular use</t>
        </is>
      </c>
      <c r="P86" s="46" t="inlineStr">
        <is>
          <t xml:space="preserve">Under 1,000</t>
        </is>
      </c>
      <c r="Q86" s="46" t="inlineStr">
        <is>
          <t xml:space="preserve">Florida</t>
        </is>
      </c>
      <c r="R86" s="46" t="inlineStr">
        <is>
          <t xml:space="preserve">33139</t>
        </is>
      </c>
      <c r="S86" s="48" t="inlineStr">
        <is>
          <t xml:space="preserve">Tier 2 - Coastal wind (1-25 miles)</t>
        </is>
      </c>
      <c r="T86" s="36">
        <f>IF($A86="","",IF($S86="","",IFERROR(INDEX('[1]natural catastrophe'!$D$6:$D$17,MATCH($S86,'[1]natural catastrophe'!$B$6:$B$17,0)),"?")))</f>
      </c>
      <c r="U86" s="46" t="inlineStr">
        <is>
          <t xml:space="preserve">2% of agreed value, minimum $10,000</t>
        </is>
      </c>
      <c r="V86" s="48" t="inlineStr">
        <is>
          <t xml:space="preserve">Agreed Value</t>
        </is>
      </c>
      <c r="W86" s="46" t="inlineStr">
        <is>
          <t xml:space="preserve">$1,000</t>
        </is>
      </c>
      <c r="X86" s="48" t="inlineStr">
        <is>
          <t xml:space="preserve">$1,000,000 CSL</t>
        </is>
      </c>
      <c r="Y86" s="46"/>
      <c r="Z86" s="46"/>
      <c r="AA86" s="48" t="inlineStr">
        <is>
          <t xml:space="preserve">Surplus Lines</t>
        </is>
      </c>
      <c r="AB86" s="50">
        <v>10455.47</v>
      </c>
      <c r="AC86" s="51">
        <v>0</v>
      </c>
      <c r="AD86" s="38">
        <f>IF(ISNUMBER($AB86),$AB86*(1+N($AC86)),"")</f>
      </c>
      <c r="AE86" s="50">
        <v>350</v>
      </c>
      <c r="AF86" s="50">
        <v>0</v>
      </c>
      <c r="AG86" s="51"/>
      <c r="AH86" s="39">
        <f>IF(ISNUMBER($AD86),($AD86+$AE86+$AF86)*$AG86,"")</f>
      </c>
      <c r="AI86" s="50"/>
      <c r="AJ86" s="38">
        <f>IF(ISNUMBER($AD86),SUM($AD86:$AH86),"")</f>
      </c>
      <c r="AK86" s="40">
        <f>IF(AND(ISNUMBER($AB86),ISNUMBER($AD86)),IF($AB86&gt;0,$AD86/$AB86,""),"")</f>
      </c>
      <c r="AL86" s="48" t="inlineStr">
        <is>
          <t xml:space="preserve">At technical</t>
        </is>
      </c>
      <c r="AM86" s="41">
        <f>IF(ISNUMBER($AD86),Header!$I$3,"")</f>
      </c>
      <c r="AN86" s="39">
        <f>IF(ISNUMBER($AD86),$AO86+$AP86,"")</f>
      </c>
      <c r="AO86" s="39">
        <f>IF(ISNUMBER($AD86),ROUND($AD86*Header!$K$3,2),"")</f>
      </c>
      <c r="AP86" s="39">
        <f>IF(ISNUMBER($AD86),ROUND($AD86*Header!$M$3,2),"")</f>
      </c>
      <c r="AQ86" s="38">
        <f>IF(ISNUMBER($AD86),ROUND($AD86,2)-$AO86-$AP86,"")</f>
      </c>
      <c r="AR86" s="39">
        <f>IF(ISNUMBER($AD86),IF(Header!$D$34="","?",$AD86*Header!$D$34),"")</f>
      </c>
      <c r="AS86" s="39">
        <f>IF(ISNUMBER($AB86),IF(Header!$D$34="","?",$AB86*Header!$D$34),"")</f>
      </c>
      <c r="AT86" s="42">
        <f>IF(AND(ISNUMBER($AB86),$M86&gt;0),$AB86/$M86*100,"")</f>
      </c>
      <c r="AU86" s="42">
        <f>IF(AND(ISNUMBER($AD86),$M86&gt;0),$AD86/$M86*100,"")</f>
      </c>
      <c r="AV86" s="40">
        <f>IF(AND(ISNUMBER($AB86),ISNUMBER($AD86),ABS($AB86)&gt;0),$AD86/$AB86,"")</f>
      </c>
      <c r="AW86" s="39">
        <f>IF(ISNUMBER($AD86),MAX(0,(1-0.55-Header!$O$3)*Header!$Q$3*$AQ86),"")</f>
      </c>
      <c r="AX86" s="43">
        <f>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c>
      <c r="AY86" s="44">
        <f>IF($M86="","",IF(ISNUMBER($M86),IF($M86&gt;=Header!$C$18,"YES — refer","No"),""))</f>
      </c>
      <c r="AZ86" s="44">
        <f>IF($AD86="","",IF(ISNUMBER($AD86),IF($AD86&lt;Header!$C$20,"BELOW MIN PREMIUM","OK"),""))</f>
      </c>
      <c r="BA86" s="48" t="inlineStr">
        <is>
          <t xml:space="preserve">Yes</t>
        </is>
      </c>
      <c r="BB86" s="48" t="inlineStr">
        <is>
          <t xml:space="preserve">Yes</t>
        </is>
      </c>
      <c r="BC86" s="46" t="inlineStr">
        <is>
          <t xml:space="preserve">Synthetic demo data</t>
        </is>
      </c>
      <c r="BE86" s="45">
        <f>IF(OR($A86="",$L86="",$H86=""),"",IF(AND(LEFT($L86,2)="06",$H86&gt;1945),"FAIL - pre-war class, year "&amp;$H86,IF(AND(LEFT($L86,2)="07",OR($H86&lt;1946,$H86&gt;1972)),"FAIL - 1946-72 class, year "&amp;$H86,IF(AND(LEFT($L86,2)="08",OR($H86&lt;1973,$H86&gt;1999)),"FAIL - 1973-99 class, year "&amp;$H86,IF(AND(LEFT($L86,2)="09",OR($H86&lt;2000,$H86&gt;2010)),"FAIL - 2000-10 class, year "&amp;$H86,"OK")))))</f>
      </c>
      <c r="BF86" s="45">
        <f>IF($AD86="","",IF(ROUND($AO86+$AP86+$AQ86-$AD86,2)=0,"OK","FAIL - out by "&amp;TEXT($AO86+$AP86+$AQ86-$AD86,"$0.00")))</f>
      </c>
    </row>
    <row r="87" spans="1:58" ht="18.75" customHeight="1" x14ac:dyDescent="0.25">
      <c r="A87" s="30" t="inlineStr">
        <is>
          <t xml:space="preserve">CANON-202606-008516</t>
        </is>
      </c>
      <c r="B87" s="30" t="inlineStr">
        <is>
          <t xml:space="preserve">Leopold Chattopadhyay</t>
        </is>
      </c>
      <c r="C87" s="31">
        <v>46201</v>
      </c>
      <c r="D87" s="32" t="inlineStr">
        <is>
          <t xml:space="preserve">Bound - within authority</t>
        </is>
      </c>
      <c r="E87" s="32" t="inlineStr">
        <is>
          <t xml:space="preserve">New business</t>
        </is>
      </c>
      <c r="F87" s="30" t="inlineStr">
        <is>
          <t xml:space="preserve">B1234EXOTIC26</t>
        </is>
      </c>
      <c r="G87" s="33">
        <f>IF($A87="","",IF($C87="","",YEAR($C87)))</f>
      </c>
      <c r="H87" s="34">
        <v>1984</v>
      </c>
      <c r="I87" s="30" t="inlineStr">
        <is>
          <t xml:space="preserve">Ferrari</t>
        </is>
      </c>
      <c r="J87" s="30" t="inlineStr">
        <is>
          <t xml:space="preserve">296 GTB</t>
        </is>
      </c>
      <c r="K87" s="30" t="inlineStr">
        <is>
          <t xml:space="preserve">LHBGTCGP55EPMW26G</t>
        </is>
      </c>
      <c r="L87" s="32" t="inlineStr">
        <is>
          <t xml:space="preserve">03 - Supercar</t>
        </is>
      </c>
      <c r="M87" s="35">
        <v>1010000</v>
      </c>
      <c r="N87" s="32" t="inlineStr">
        <is>
          <t xml:space="preserve">Personal</t>
        </is>
      </c>
      <c r="O87" s="30" t="inlineStr">
        <is>
          <t xml:space="preserve">Personal - regular use</t>
        </is>
      </c>
      <c r="P87" s="30" t="inlineStr">
        <is>
          <t xml:space="preserve">2,500 - 5,000</t>
        </is>
      </c>
      <c r="Q87" s="30" t="inlineStr">
        <is>
          <t xml:space="preserve">Virginia</t>
        </is>
      </c>
      <c r="R87" s="30" t="inlineStr">
        <is>
          <t xml:space="preserve">23219</t>
        </is>
      </c>
      <c r="S87" s="32" t="inlineStr">
        <is>
          <t xml:space="preserve">Tier 3 - Coastal wind (25-100 miles)</t>
        </is>
      </c>
      <c r="T87" s="36">
        <f>IF($A87="","",IF($S87="","",IFERROR(INDEX('[1]natural catastrophe'!$D$6:$D$17,MATCH($S87,'[1]natural catastrophe'!$B$6:$B$17,0)),"?")))</f>
      </c>
      <c r="U87" s="30" t="inlineStr">
        <is>
          <t xml:space="preserve">2% of agreed value, minimum $10,000</t>
        </is>
      </c>
      <c r="V87" s="32" t="inlineStr">
        <is>
          <t xml:space="preserve">Agreed Value</t>
        </is>
      </c>
      <c r="W87" s="30" t="inlineStr">
        <is>
          <t xml:space="preserve">$1,000</t>
        </is>
      </c>
      <c r="X87" s="32" t="inlineStr">
        <is>
          <t xml:space="preserve">$1,000,000 CSL</t>
        </is>
      </c>
      <c r="Y87" s="30"/>
      <c r="Z87" s="30"/>
      <c r="AA87" s="32" t="inlineStr">
        <is>
          <t xml:space="preserve">Surplus Lines</t>
        </is>
      </c>
      <c r="AB87" s="35">
        <v>12708.96</v>
      </c>
      <c r="AC87" s="37">
        <v>0</v>
      </c>
      <c r="AD87" s="38">
        <f>IF(ISNUMBER($AB87),$AB87*(1+N($AC87)),"")</f>
      </c>
      <c r="AE87" s="35">
        <v>350</v>
      </c>
      <c r="AF87" s="35">
        <v>250</v>
      </c>
      <c r="AG87" s="37"/>
      <c r="AH87" s="39">
        <f>IF(ISNUMBER($AD87),($AD87+$AE87+$AF87)*$AG87,"")</f>
      </c>
      <c r="AI87" s="35"/>
      <c r="AJ87" s="38">
        <f>IF(ISNUMBER($AD87),SUM($AD87:$AH87),"")</f>
      </c>
      <c r="AK87" s="40">
        <f>IF(AND(ISNUMBER($AB87),ISNUMBER($AD87)),IF($AB87&gt;0,$AD87/$AB87,""),"")</f>
      </c>
      <c r="AL87" s="32" t="inlineStr">
        <is>
          <t xml:space="preserve">At technical</t>
        </is>
      </c>
      <c r="AM87" s="41">
        <f>IF(ISNUMBER($AD87),Header!$I$3,"")</f>
      </c>
      <c r="AN87" s="39">
        <f>IF(ISNUMBER($AD87),$AO87+$AP87,"")</f>
      </c>
      <c r="AO87" s="39">
        <f>IF(ISNUMBER($AD87),ROUND($AD87*Header!$K$3,2),"")</f>
      </c>
      <c r="AP87" s="39">
        <f>IF(ISNUMBER($AD87),ROUND($AD87*Header!$M$3,2),"")</f>
      </c>
      <c r="AQ87" s="38">
        <f>IF(ISNUMBER($AD87),ROUND($AD87,2)-$AO87-$AP87,"")</f>
      </c>
      <c r="AR87" s="39">
        <f>IF(ISNUMBER($AD87),IF(Header!$D$34="","?",$AD87*Header!$D$34),"")</f>
      </c>
      <c r="AS87" s="39">
        <f>IF(ISNUMBER($AB87),IF(Header!$D$34="","?",$AB87*Header!$D$34),"")</f>
      </c>
      <c r="AT87" s="42">
        <f>IF(AND(ISNUMBER($AB87),$M87&gt;0),$AB87/$M87*100,"")</f>
      </c>
      <c r="AU87" s="42">
        <f>IF(AND(ISNUMBER($AD87),$M87&gt;0),$AD87/$M87*100,"")</f>
      </c>
      <c r="AV87" s="40">
        <f>IF(AND(ISNUMBER($AB87),ISNUMBER($AD87),ABS($AB87)&gt;0),$AD87/$AB87,"")</f>
      </c>
      <c r="AW87" s="39">
        <f>IF(ISNUMBER($AD87),MAX(0,(1-0.55-Header!$O$3)*Header!$Q$3*$AQ87),"")</f>
      </c>
      <c r="AX87" s="43">
        <f>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c>
      <c r="AY87" s="44">
        <f>IF($M87="","",IF(ISNUMBER($M87),IF($M87&gt;=Header!$C$18,"YES — refer","No"),""))</f>
      </c>
      <c r="AZ87" s="44">
        <f>IF($AD87="","",IF(ISNUMBER($AD87),IF($AD87&lt;Header!$C$20,"BELOW MIN PREMIUM","OK"),""))</f>
      </c>
      <c r="BA87" s="32" t="inlineStr">
        <is>
          <t xml:space="preserve">Yes</t>
        </is>
      </c>
      <c r="BB87" s="32" t="inlineStr">
        <is>
          <t xml:space="preserve">Yes</t>
        </is>
      </c>
      <c r="BC87" s="30" t="inlineStr">
        <is>
          <t xml:space="preserve">Synthetic demo data</t>
        </is>
      </c>
      <c r="BE87" s="45">
        <f>IF(OR($A87="",$L87="",$H87=""),"",IF(AND(LEFT($L87,2)="06",$H87&gt;1945),"FAIL - pre-war class, year "&amp;$H87,IF(AND(LEFT($L87,2)="07",OR($H87&lt;1946,$H87&gt;1972)),"FAIL - 1946-72 class, year "&amp;$H87,IF(AND(LEFT($L87,2)="08",OR($H87&lt;1973,$H87&gt;1999)),"FAIL - 1973-99 class, year "&amp;$H87,IF(AND(LEFT($L87,2)="09",OR($H87&lt;2000,$H87&gt;2010)),"FAIL - 2000-10 class, year "&amp;$H87,"OK")))))</f>
      </c>
      <c r="BF87" s="45">
        <f>IF($AD87="","",IF(ROUND($AO87+$AP87+$AQ87-$AD87,2)=0,"OK","FAIL - out by "&amp;TEXT($AO87+$AP87+$AQ87-$AD87,"$0.00")))</f>
      </c>
    </row>
    <row r="88" spans="1:58" ht="18.75" customHeight="1" x14ac:dyDescent="0.25">
      <c r="A88" s="46" t="inlineStr">
        <is>
          <t xml:space="preserve">CANON-202606-008517</t>
        </is>
      </c>
      <c r="B88" s="46" t="inlineStr">
        <is>
          <t xml:space="preserve">Anouk Ashcombe</t>
        </is>
      </c>
      <c r="C88" s="47">
        <v>46181</v>
      </c>
      <c r="D88" s="48" t="inlineStr">
        <is>
          <t xml:space="preserve">Bound - within authority</t>
        </is>
      </c>
      <c r="E88" s="48" t="inlineStr">
        <is>
          <t xml:space="preserve">New business</t>
        </is>
      </c>
      <c r="F88" s="46" t="inlineStr">
        <is>
          <t xml:space="preserve">B1234EXOTIC26</t>
        </is>
      </c>
      <c r="G88" s="33">
        <f>IF($A88="","",IF($C88="","",YEAR($C88)))</f>
      </c>
      <c r="H88" s="49">
        <v>1973</v>
      </c>
      <c r="I88" s="46" t="inlineStr">
        <is>
          <t xml:space="preserve">Mercedes-Benz</t>
        </is>
      </c>
      <c r="J88" s="46" t="inlineStr">
        <is>
          <t xml:space="preserve">280SL Pagoda</t>
        </is>
      </c>
      <c r="K88" s="46" t="inlineStr">
        <is>
          <t xml:space="preserve">N9CMRDP23K9Y0VSX5</t>
        </is>
      </c>
      <c r="L88" s="48" t="inlineStr">
        <is>
          <t xml:space="preserve">08 - Modern Classic (1973-1999)</t>
        </is>
      </c>
      <c r="M88" s="50">
        <v>610000</v>
      </c>
      <c r="N88" s="48" t="inlineStr">
        <is>
          <t xml:space="preserve">Personal</t>
        </is>
      </c>
      <c r="O88" s="46" t="inlineStr">
        <is>
          <t xml:space="preserve">Personal - regular use</t>
        </is>
      </c>
      <c r="P88" s="46" t="inlineStr">
        <is>
          <t xml:space="preserve">2,500 - 5,000</t>
        </is>
      </c>
      <c r="Q88" s="46" t="inlineStr">
        <is>
          <t xml:space="preserve">New York</t>
        </is>
      </c>
      <c r="R88" s="46" t="inlineStr">
        <is>
          <t xml:space="preserve">10022</t>
        </is>
      </c>
      <c r="S88" s="48" t="inlineStr">
        <is>
          <t xml:space="preserve">Tier 3 - Coastal wind (25-100 miles)</t>
        </is>
      </c>
      <c r="T88" s="36">
        <f>IF($A88="","",IF($S88="","",IFERROR(INDEX('[1]natural catastrophe'!$D$6:$D$17,MATCH($S88,'[1]natural catastrophe'!$B$6:$B$17,0)),"?")))</f>
      </c>
      <c r="U88" s="46" t="inlineStr">
        <is>
          <t xml:space="preserve">2% of agreed value, minimum $10,000</t>
        </is>
      </c>
      <c r="V88" s="48" t="inlineStr">
        <is>
          <t xml:space="preserve">Agreed Value</t>
        </is>
      </c>
      <c r="W88" s="46" t="inlineStr">
        <is>
          <t xml:space="preserve">$1,000</t>
        </is>
      </c>
      <c r="X88" s="48" t="inlineStr">
        <is>
          <t xml:space="preserve">$1,000,000 CSL</t>
        </is>
      </c>
      <c r="Y88" s="46"/>
      <c r="Z88" s="46"/>
      <c r="AA88" s="48" t="inlineStr">
        <is>
          <t xml:space="preserve">Surplus Lines</t>
        </is>
      </c>
      <c r="AB88" s="50">
        <v>4844.85</v>
      </c>
      <c r="AC88" s="51">
        <v>0</v>
      </c>
      <c r="AD88" s="38">
        <f>IF(ISNUMBER($AB88),$AB88*(1+N($AC88)),"")</f>
      </c>
      <c r="AE88" s="50">
        <v>350</v>
      </c>
      <c r="AF88" s="50">
        <v>0</v>
      </c>
      <c r="AG88" s="51"/>
      <c r="AH88" s="39">
        <f>IF(ISNUMBER($AD88),($AD88+$AE88+$AF88)*$AG88,"")</f>
      </c>
      <c r="AI88" s="50"/>
      <c r="AJ88" s="38">
        <f>IF(ISNUMBER($AD88),SUM($AD88:$AH88),"")</f>
      </c>
      <c r="AK88" s="40">
        <f>IF(AND(ISNUMBER($AB88),ISNUMBER($AD88)),IF($AB88&gt;0,$AD88/$AB88,""),"")</f>
      </c>
      <c r="AL88" s="48" t="inlineStr">
        <is>
          <t xml:space="preserve">At technical</t>
        </is>
      </c>
      <c r="AM88" s="41">
        <f>IF(ISNUMBER($AD88),Header!$I$3,"")</f>
      </c>
      <c r="AN88" s="39">
        <f>IF(ISNUMBER($AD88),$AO88+$AP88,"")</f>
      </c>
      <c r="AO88" s="39">
        <f>IF(ISNUMBER($AD88),ROUND($AD88*Header!$K$3,2),"")</f>
      </c>
      <c r="AP88" s="39">
        <f>IF(ISNUMBER($AD88),ROUND($AD88*Header!$M$3,2),"")</f>
      </c>
      <c r="AQ88" s="38">
        <f>IF(ISNUMBER($AD88),ROUND($AD88,2)-$AO88-$AP88,"")</f>
      </c>
      <c r="AR88" s="39">
        <f>IF(ISNUMBER($AD88),IF(Header!$D$34="","?",$AD88*Header!$D$34),"")</f>
      </c>
      <c r="AS88" s="39">
        <f>IF(ISNUMBER($AB88),IF(Header!$D$34="","?",$AB88*Header!$D$34),"")</f>
      </c>
      <c r="AT88" s="42">
        <f>IF(AND(ISNUMBER($AB88),$M88&gt;0),$AB88/$M88*100,"")</f>
      </c>
      <c r="AU88" s="42">
        <f>IF(AND(ISNUMBER($AD88),$M88&gt;0),$AD88/$M88*100,"")</f>
      </c>
      <c r="AV88" s="40">
        <f>IF(AND(ISNUMBER($AB88),ISNUMBER($AD88),ABS($AB88)&gt;0),$AD88/$AB88,"")</f>
      </c>
      <c r="AW88" s="39">
        <f>IF(ISNUMBER($AD88),MAX(0,(1-0.55-Header!$O$3)*Header!$Q$3*$AQ88),"")</f>
      </c>
      <c r="AX88" s="43">
        <f>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c>
      <c r="AY88" s="44">
        <f>IF($M88="","",IF(ISNUMBER($M88),IF($M88&gt;=Header!$C$18,"YES — refer","No"),""))</f>
      </c>
      <c r="AZ88" s="44">
        <f>IF($AD88="","",IF(ISNUMBER($AD88),IF($AD88&lt;Header!$C$20,"BELOW MIN PREMIUM","OK"),""))</f>
      </c>
      <c r="BA88" s="48" t="inlineStr">
        <is>
          <t xml:space="preserve">Yes</t>
        </is>
      </c>
      <c r="BB88" s="48" t="inlineStr">
        <is>
          <t xml:space="preserve">Yes</t>
        </is>
      </c>
      <c r="BC88" s="46" t="inlineStr">
        <is>
          <t xml:space="preserve">Synthetic demo data</t>
        </is>
      </c>
      <c r="BE88" s="45">
        <f>IF(OR($A88="",$L88="",$H88=""),"",IF(AND(LEFT($L88,2)="06",$H88&gt;1945),"FAIL - pre-war class, year "&amp;$H88,IF(AND(LEFT($L88,2)="07",OR($H88&lt;1946,$H88&gt;1972)),"FAIL - 1946-72 class, year "&amp;$H88,IF(AND(LEFT($L88,2)="08",OR($H88&lt;1973,$H88&gt;1999)),"FAIL - 1973-99 class, year "&amp;$H88,IF(AND(LEFT($L88,2)="09",OR($H88&lt;2000,$H88&gt;2010)),"FAIL - 2000-10 class, year "&amp;$H88,"OK")))))</f>
      </c>
      <c r="BF88" s="45">
        <f>IF($AD88="","",IF(ROUND($AO88+$AP88+$AQ88-$AD88,2)=0,"OK","FAIL - out by "&amp;TEXT($AO88+$AP88+$AQ88-$AD88,"$0.00")))</f>
      </c>
    </row>
    <row r="89" spans="1:58" ht="18.75" customHeight="1" x14ac:dyDescent="0.25">
      <c r="A89" s="30" t="inlineStr">
        <is>
          <t xml:space="preserve">CANON-202606-008518</t>
        </is>
      </c>
      <c r="B89" s="30" t="inlineStr">
        <is>
          <t xml:space="preserve">Mireille Merriweather</t>
        </is>
      </c>
      <c r="C89" s="31">
        <v>46201</v>
      </c>
      <c r="D89" s="32" t="inlineStr">
        <is>
          <t xml:space="preserve">Bound - within authority</t>
        </is>
      </c>
      <c r="E89" s="32" t="inlineStr">
        <is>
          <t xml:space="preserve">New business</t>
        </is>
      </c>
      <c r="F89" s="30" t="inlineStr">
        <is>
          <t xml:space="preserve">B1234EXOTIC26</t>
        </is>
      </c>
      <c r="G89" s="33">
        <f>IF($A89="","",IF($C89="","",YEAR($C89)))</f>
      </c>
      <c r="H89" s="34">
        <v>1996</v>
      </c>
      <c r="I89" s="30" t="inlineStr">
        <is>
          <t xml:space="preserve">Porsche</t>
        </is>
      </c>
      <c r="J89" s="30" t="inlineStr">
        <is>
          <t xml:space="preserve">911 Turbo S</t>
        </is>
      </c>
      <c r="K89" s="30" t="inlineStr">
        <is>
          <t xml:space="preserve">7XZX99F9XE6MVCDD6</t>
        </is>
      </c>
      <c r="L89" s="32" t="inlineStr">
        <is>
          <t xml:space="preserve">02 - Sports / GT</t>
        </is>
      </c>
      <c r="M89" s="35">
        <v>700000</v>
      </c>
      <c r="N89" s="32" t="inlineStr">
        <is>
          <t xml:space="preserve">Personal</t>
        </is>
      </c>
      <c r="O89" s="30" t="inlineStr">
        <is>
          <t xml:space="preserve">Personal - regular use</t>
        </is>
      </c>
      <c r="P89" s="30" t="inlineStr">
        <is>
          <t xml:space="preserve">1,000 - 2,500</t>
        </is>
      </c>
      <c r="Q89" s="30" t="inlineStr">
        <is>
          <t xml:space="preserve">Hawaii</t>
        </is>
      </c>
      <c r="R89" s="30" t="inlineStr">
        <is>
          <t xml:space="preserve">96813</t>
        </is>
      </c>
      <c r="S89" s="32" t="inlineStr">
        <is>
          <t xml:space="preserve">Earthquake - high (CA, Cascadia, New Madrid)</t>
        </is>
      </c>
      <c r="T89" s="36">
        <f>IF($A89="","",IF($S89="","",IFERROR(INDEX('[1]natural catastrophe'!$D$6:$D$17,MATCH($S89,'[1]natural catastrophe'!$B$6:$B$17,0)),"?")))</f>
      </c>
      <c r="U89" s="30" t="inlineStr">
        <is>
          <t xml:space="preserve">$5,000</t>
        </is>
      </c>
      <c r="V89" s="32" t="inlineStr">
        <is>
          <t xml:space="preserve">Agreed Value</t>
        </is>
      </c>
      <c r="W89" s="30" t="inlineStr">
        <is>
          <t xml:space="preserve">$1,000</t>
        </is>
      </c>
      <c r="X89" s="32" t="inlineStr">
        <is>
          <t xml:space="preserve">$1,000,000 CSL</t>
        </is>
      </c>
      <c r="Y89" s="30"/>
      <c r="Z89" s="30"/>
      <c r="AA89" s="32" t="inlineStr">
        <is>
          <t xml:space="preserve">Surplus Lines</t>
        </is>
      </c>
      <c r="AB89" s="35">
        <v>8535.46</v>
      </c>
      <c r="AC89" s="37">
        <v>0</v>
      </c>
      <c r="AD89" s="38">
        <f>IF(ISNUMBER($AB89),$AB89*(1+N($AC89)),"")</f>
      </c>
      <c r="AE89" s="35">
        <v>350</v>
      </c>
      <c r="AF89" s="35">
        <v>0</v>
      </c>
      <c r="AG89" s="37"/>
      <c r="AH89" s="39">
        <f>IF(ISNUMBER($AD89),($AD89+$AE89+$AF89)*$AG89,"")</f>
      </c>
      <c r="AI89" s="35"/>
      <c r="AJ89" s="38">
        <f>IF(ISNUMBER($AD89),SUM($AD89:$AH89),"")</f>
      </c>
      <c r="AK89" s="40">
        <f>IF(AND(ISNUMBER($AB89),ISNUMBER($AD89)),IF($AB89&gt;0,$AD89/$AB89,""),"")</f>
      </c>
      <c r="AL89" s="32" t="inlineStr">
        <is>
          <t xml:space="preserve">At technical</t>
        </is>
      </c>
      <c r="AM89" s="41">
        <f>IF(ISNUMBER($AD89),Header!$I$3,"")</f>
      </c>
      <c r="AN89" s="39">
        <f>IF(ISNUMBER($AD89),$AO89+$AP89,"")</f>
      </c>
      <c r="AO89" s="39">
        <f>IF(ISNUMBER($AD89),ROUND($AD89*Header!$K$3,2),"")</f>
      </c>
      <c r="AP89" s="39">
        <f>IF(ISNUMBER($AD89),ROUND($AD89*Header!$M$3,2),"")</f>
      </c>
      <c r="AQ89" s="38">
        <f>IF(ISNUMBER($AD89),ROUND($AD89,2)-$AO89-$AP89,"")</f>
      </c>
      <c r="AR89" s="39">
        <f>IF(ISNUMBER($AD89),IF(Header!$D$34="","?",$AD89*Header!$D$34),"")</f>
      </c>
      <c r="AS89" s="39">
        <f>IF(ISNUMBER($AB89),IF(Header!$D$34="","?",$AB89*Header!$D$34),"")</f>
      </c>
      <c r="AT89" s="42">
        <f>IF(AND(ISNUMBER($AB89),$M89&gt;0),$AB89/$M89*100,"")</f>
      </c>
      <c r="AU89" s="42">
        <f>IF(AND(ISNUMBER($AD89),$M89&gt;0),$AD89/$M89*100,"")</f>
      </c>
      <c r="AV89" s="40">
        <f>IF(AND(ISNUMBER($AB89),ISNUMBER($AD89),ABS($AB89)&gt;0),$AD89/$AB89,"")</f>
      </c>
      <c r="AW89" s="39">
        <f>IF(ISNUMBER($AD89),MAX(0,(1-0.55-Header!$O$3)*Header!$Q$3*$AQ89),"")</f>
      </c>
      <c r="AX89" s="43">
        <f>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c>
      <c r="AY89" s="44">
        <f>IF($M89="","",IF(ISNUMBER($M89),IF($M89&gt;=Header!$C$18,"YES — refer","No"),""))</f>
      </c>
      <c r="AZ89" s="44">
        <f>IF($AD89="","",IF(ISNUMBER($AD89),IF($AD89&lt;Header!$C$20,"BELOW MIN PREMIUM","OK"),""))</f>
      </c>
      <c r="BA89" s="32" t="inlineStr">
        <is>
          <t xml:space="preserve">Yes</t>
        </is>
      </c>
      <c r="BB89" s="32" t="inlineStr">
        <is>
          <t xml:space="preserve">Yes</t>
        </is>
      </c>
      <c r="BC89" s="30" t="inlineStr">
        <is>
          <t xml:space="preserve">Synthetic demo data</t>
        </is>
      </c>
      <c r="BE89" s="45">
        <f>IF(OR($A89="",$L89="",$H89=""),"",IF(AND(LEFT($L89,2)="06",$H89&gt;1945),"FAIL - pre-war class, year "&amp;$H89,IF(AND(LEFT($L89,2)="07",OR($H89&lt;1946,$H89&gt;1972)),"FAIL - 1946-72 class, year "&amp;$H89,IF(AND(LEFT($L89,2)="08",OR($H89&lt;1973,$H89&gt;1999)),"FAIL - 1973-99 class, year "&amp;$H89,IF(AND(LEFT($L89,2)="09",OR($H89&lt;2000,$H89&gt;2010)),"FAIL - 2000-10 class, year "&amp;$H89,"OK")))))</f>
      </c>
      <c r="BF89" s="45">
        <f>IF($AD89="","",IF(ROUND($AO89+$AP89+$AQ89-$AD89,2)=0,"OK","FAIL - out by "&amp;TEXT($AO89+$AP89+$AQ89-$AD89,"$0.00")))</f>
      </c>
    </row>
    <row r="90" spans="1:58" ht="18.75" customHeight="1" x14ac:dyDescent="0.25">
      <c r="A90" s="46" t="inlineStr">
        <is>
          <t xml:space="preserve">CANON-202606-008519</t>
        </is>
      </c>
      <c r="B90" s="46" t="inlineStr">
        <is>
          <t xml:space="preserve">Leopold Castellanos</t>
        </is>
      </c>
      <c r="C90" s="47">
        <v>46178</v>
      </c>
      <c r="D90" s="48" t="inlineStr">
        <is>
          <t xml:space="preserve">Bound - within authority</t>
        </is>
      </c>
      <c r="E90" s="48" t="inlineStr">
        <is>
          <t xml:space="preserve">New business</t>
        </is>
      </c>
      <c r="F90" s="46" t="inlineStr">
        <is>
          <t xml:space="preserve">B1234EXOTIC26</t>
        </is>
      </c>
      <c r="G90" s="33">
        <f>IF($A90="","",IF($C90="","",YEAR($C90)))</f>
      </c>
      <c r="H90" s="49">
        <v>1964</v>
      </c>
      <c r="I90" s="46" t="inlineStr">
        <is>
          <t xml:space="preserve">Jaguar</t>
        </is>
      </c>
      <c r="J90" s="46" t="inlineStr">
        <is>
          <t xml:space="preserve">E-Type Series 1</t>
        </is>
      </c>
      <c r="K90" s="46" t="inlineStr">
        <is>
          <t xml:space="preserve">RZY37GC9E2FSJP1WW</t>
        </is>
      </c>
      <c r="L90" s="48" t="inlineStr">
        <is>
          <t xml:space="preserve">07 - Post-War Classic (1946-1972)</t>
        </is>
      </c>
      <c r="M90" s="50">
        <v>1950000</v>
      </c>
      <c r="N90" s="48" t="inlineStr">
        <is>
          <t xml:space="preserve">Personal</t>
        </is>
      </c>
      <c r="O90" s="46" t="inlineStr">
        <is>
          <t xml:space="preserve">Personal - regular use</t>
        </is>
      </c>
      <c r="P90" s="46" t="inlineStr">
        <is>
          <t xml:space="preserve">1,000 - 2,500</t>
        </is>
      </c>
      <c r="Q90" s="46" t="inlineStr">
        <is>
          <t xml:space="preserve">New Jersey</t>
        </is>
      </c>
      <c r="R90" s="46" t="inlineStr">
        <is>
          <t xml:space="preserve">07102</t>
        </is>
      </c>
      <c r="S90" s="48" t="inlineStr">
        <is>
          <t xml:space="preserve">Tier 3 - Coastal wind (25-100 miles)</t>
        </is>
      </c>
      <c r="T90" s="36">
        <f>IF($A90="","",IF($S90="","",IFERROR(INDEX('[1]natural catastrophe'!$D$6:$D$17,MATCH($S90,'[1]natural catastrophe'!$B$6:$B$17,0)),"?")))</f>
      </c>
      <c r="U90" s="46" t="inlineStr">
        <is>
          <t xml:space="preserve">2% of agreed value, minimum $10,000</t>
        </is>
      </c>
      <c r="V90" s="48" t="inlineStr">
        <is>
          <t xml:space="preserve">Agreed Value</t>
        </is>
      </c>
      <c r="W90" s="46" t="inlineStr">
        <is>
          <t xml:space="preserve">$1,000</t>
        </is>
      </c>
      <c r="X90" s="48" t="inlineStr">
        <is>
          <t xml:space="preserve">$1,000,000 CSL</t>
        </is>
      </c>
      <c r="Y90" s="46"/>
      <c r="Z90" s="46"/>
      <c r="AA90" s="48" t="inlineStr">
        <is>
          <t xml:space="preserve">Surplus Lines</t>
        </is>
      </c>
      <c r="AB90" s="50">
        <v>9730.42</v>
      </c>
      <c r="AC90" s="51">
        <v>0</v>
      </c>
      <c r="AD90" s="38">
        <f>IF(ISNUMBER($AB90),$AB90*(1+N($AC90)),"")</f>
      </c>
      <c r="AE90" s="50">
        <v>350</v>
      </c>
      <c r="AF90" s="50">
        <v>250</v>
      </c>
      <c r="AG90" s="51"/>
      <c r="AH90" s="39">
        <f>IF(ISNUMBER($AD90),($AD90+$AE90+$AF90)*$AG90,"")</f>
      </c>
      <c r="AI90" s="50"/>
      <c r="AJ90" s="38">
        <f>IF(ISNUMBER($AD90),SUM($AD90:$AH90),"")</f>
      </c>
      <c r="AK90" s="40">
        <f>IF(AND(ISNUMBER($AB90),ISNUMBER($AD90)),IF($AB90&gt;0,$AD90/$AB90,""),"")</f>
      </c>
      <c r="AL90" s="48" t="inlineStr">
        <is>
          <t xml:space="preserve">At technical</t>
        </is>
      </c>
      <c r="AM90" s="41">
        <f>IF(ISNUMBER($AD90),Header!$I$3,"")</f>
      </c>
      <c r="AN90" s="39">
        <f>IF(ISNUMBER($AD90),$AO90+$AP90,"")</f>
      </c>
      <c r="AO90" s="39">
        <f>IF(ISNUMBER($AD90),ROUND($AD90*Header!$K$3,2),"")</f>
      </c>
      <c r="AP90" s="39">
        <f>IF(ISNUMBER($AD90),ROUND($AD90*Header!$M$3,2),"")</f>
      </c>
      <c r="AQ90" s="38">
        <f>IF(ISNUMBER($AD90),ROUND($AD90,2)-$AO90-$AP90,"")</f>
      </c>
      <c r="AR90" s="39">
        <f>IF(ISNUMBER($AD90),IF(Header!$D$34="","?",$AD90*Header!$D$34),"")</f>
      </c>
      <c r="AS90" s="39">
        <f>IF(ISNUMBER($AB90),IF(Header!$D$34="","?",$AB90*Header!$D$34),"")</f>
      </c>
      <c r="AT90" s="42">
        <f>IF(AND(ISNUMBER($AB90),$M90&gt;0),$AB90/$M90*100,"")</f>
      </c>
      <c r="AU90" s="42">
        <f>IF(AND(ISNUMBER($AD90),$M90&gt;0),$AD90/$M90*100,"")</f>
      </c>
      <c r="AV90" s="40">
        <f>IF(AND(ISNUMBER($AB90),ISNUMBER($AD90),ABS($AB90)&gt;0),$AD90/$AB90,"")</f>
      </c>
      <c r="AW90" s="39">
        <f>IF(ISNUMBER($AD90),MAX(0,(1-0.55-Header!$O$3)*Header!$Q$3*$AQ90),"")</f>
      </c>
      <c r="AX90" s="43">
        <f>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c>
      <c r="AY90" s="44">
        <f>IF($M90="","",IF(ISNUMBER($M90),IF($M90&gt;=Header!$C$18,"YES — refer","No"),""))</f>
      </c>
      <c r="AZ90" s="44">
        <f>IF($AD90="","",IF(ISNUMBER($AD90),IF($AD90&lt;Header!$C$20,"BELOW MIN PREMIUM","OK"),""))</f>
      </c>
      <c r="BA90" s="48" t="inlineStr">
        <is>
          <t xml:space="preserve">Yes</t>
        </is>
      </c>
      <c r="BB90" s="48" t="inlineStr">
        <is>
          <t xml:space="preserve">Yes</t>
        </is>
      </c>
      <c r="BC90" s="46" t="inlineStr">
        <is>
          <t xml:space="preserve">Synthetic demo data</t>
        </is>
      </c>
      <c r="BE90" s="45">
        <f>IF(OR($A90="",$L90="",$H90=""),"",IF(AND(LEFT($L90,2)="06",$H90&gt;1945),"FAIL - pre-war class, year "&amp;$H90,IF(AND(LEFT($L90,2)="07",OR($H90&lt;1946,$H90&gt;1972)),"FAIL - 1946-72 class, year "&amp;$H90,IF(AND(LEFT($L90,2)="08",OR($H90&lt;1973,$H90&gt;1999)),"FAIL - 1973-99 class, year "&amp;$H90,IF(AND(LEFT($L90,2)="09",OR($H90&lt;2000,$H90&gt;2010)),"FAIL - 2000-10 class, year "&amp;$H90,"OK")))))</f>
      </c>
      <c r="BF90" s="45">
        <f>IF($AD90="","",IF(ROUND($AO90+$AP90+$AQ90-$AD90,2)=0,"OK","FAIL - out by "&amp;TEXT($AO90+$AP90+$AQ90-$AD90,"$0.00")))</f>
      </c>
    </row>
    <row r="91" spans="1:58" ht="18.75" customHeight="1" x14ac:dyDescent="0.25">
      <c r="A91" s="30" t="inlineStr">
        <is>
          <t xml:space="preserve">CANON-202606-008520</t>
        </is>
      </c>
      <c r="B91" s="30" t="inlineStr">
        <is>
          <t xml:space="preserve">Cassius Ashcombe</t>
        </is>
      </c>
      <c r="C91" s="31">
        <v>46183</v>
      </c>
      <c r="D91" s="32" t="inlineStr">
        <is>
          <t xml:space="preserve">Bound - within authority</t>
        </is>
      </c>
      <c r="E91" s="32" t="inlineStr">
        <is>
          <t xml:space="preserve">New business</t>
        </is>
      </c>
      <c r="F91" s="30" t="inlineStr">
        <is>
          <t xml:space="preserve">B1234EXOTIC26</t>
        </is>
      </c>
      <c r="G91" s="33">
        <f>IF($A91="","",IF($C91="","",YEAR($C91)))</f>
      </c>
      <c r="H91" s="34">
        <v>1993</v>
      </c>
      <c r="I91" s="30" t="inlineStr">
        <is>
          <t xml:space="preserve">Singer</t>
        </is>
      </c>
      <c r="J91" s="30" t="inlineStr">
        <is>
          <t xml:space="preserve">911 Reimagined</t>
        </is>
      </c>
      <c r="K91" s="30" t="inlineStr">
        <is>
          <t xml:space="preserve">PUZ1JD6J25G5TPM8X</t>
        </is>
      </c>
      <c r="L91" s="32" t="inlineStr">
        <is>
          <t xml:space="preserve">11 - Restomod / Coachbuilt / Bespoke</t>
        </is>
      </c>
      <c r="M91" s="35">
        <v>625000</v>
      </c>
      <c r="N91" s="32" t="inlineStr">
        <is>
          <t xml:space="preserve">Personal</t>
        </is>
      </c>
      <c r="O91" s="30" t="inlineStr">
        <is>
          <t xml:space="preserve">Personal - regular use</t>
        </is>
      </c>
      <c r="P91" s="30" t="inlineStr">
        <is>
          <t xml:space="preserve">Under 1,000</t>
        </is>
      </c>
      <c r="Q91" s="30" t="inlineStr">
        <is>
          <t xml:space="preserve">Ohio</t>
        </is>
      </c>
      <c r="R91" s="30" t="inlineStr">
        <is>
          <t xml:space="preserve">43215</t>
        </is>
      </c>
      <c r="S91" s="32" t="inlineStr">
        <is>
          <t xml:space="preserve">Severe convective - hail / tornado (moderate)</t>
        </is>
      </c>
      <c r="T91" s="36">
        <f>IF($A91="","",IF($S91="","",IFERROR(INDEX('[1]natural catastrophe'!$D$6:$D$17,MATCH($S91,'[1]natural catastrophe'!$B$6:$B$17,0)),"?")))</f>
      </c>
      <c r="U91" s="30" t="inlineStr">
        <is>
          <t xml:space="preserve">$5,000</t>
        </is>
      </c>
      <c r="V91" s="32" t="inlineStr">
        <is>
          <t xml:space="preserve">Agreed Value</t>
        </is>
      </c>
      <c r="W91" s="30" t="inlineStr">
        <is>
          <t xml:space="preserve">$1,000</t>
        </is>
      </c>
      <c r="X91" s="32" t="inlineStr">
        <is>
          <t xml:space="preserve">$1,000,000 CSL</t>
        </is>
      </c>
      <c r="Y91" s="30"/>
      <c r="Z91" s="30"/>
      <c r="AA91" s="32" t="inlineStr">
        <is>
          <t xml:space="preserve">Surplus Lines</t>
        </is>
      </c>
      <c r="AB91" s="35">
        <v>9778.26</v>
      </c>
      <c r="AC91" s="37">
        <v>0</v>
      </c>
      <c r="AD91" s="38">
        <f>IF(ISNUMBER($AB91),$AB91*(1+N($AC91)),"")</f>
      </c>
      <c r="AE91" s="35">
        <v>350</v>
      </c>
      <c r="AF91" s="35">
        <v>0</v>
      </c>
      <c r="AG91" s="37"/>
      <c r="AH91" s="39">
        <f>IF(ISNUMBER($AD91),($AD91+$AE91+$AF91)*$AG91,"")</f>
      </c>
      <c r="AI91" s="35"/>
      <c r="AJ91" s="38">
        <f>IF(ISNUMBER($AD91),SUM($AD91:$AH91),"")</f>
      </c>
      <c r="AK91" s="40">
        <f>IF(AND(ISNUMBER($AB91),ISNUMBER($AD91)),IF($AB91&gt;0,$AD91/$AB91,""),"")</f>
      </c>
      <c r="AL91" s="32" t="inlineStr">
        <is>
          <t xml:space="preserve">At technical</t>
        </is>
      </c>
      <c r="AM91" s="41">
        <f>IF(ISNUMBER($AD91),Header!$I$3,"")</f>
      </c>
      <c r="AN91" s="39">
        <f>IF(ISNUMBER($AD91),$AO91+$AP91,"")</f>
      </c>
      <c r="AO91" s="39">
        <f>IF(ISNUMBER($AD91),ROUND($AD91*Header!$K$3,2),"")</f>
      </c>
      <c r="AP91" s="39">
        <f>IF(ISNUMBER($AD91),ROUND($AD91*Header!$M$3,2),"")</f>
      </c>
      <c r="AQ91" s="38">
        <f>IF(ISNUMBER($AD91),ROUND($AD91,2)-$AO91-$AP91,"")</f>
      </c>
      <c r="AR91" s="39">
        <f>IF(ISNUMBER($AD91),IF(Header!$D$34="","?",$AD91*Header!$D$34),"")</f>
      </c>
      <c r="AS91" s="39">
        <f>IF(ISNUMBER($AB91),IF(Header!$D$34="","?",$AB91*Header!$D$34),"")</f>
      </c>
      <c r="AT91" s="42">
        <f>IF(AND(ISNUMBER($AB91),$M91&gt;0),$AB91/$M91*100,"")</f>
      </c>
      <c r="AU91" s="42">
        <f>IF(AND(ISNUMBER($AD91),$M91&gt;0),$AD91/$M91*100,"")</f>
      </c>
      <c r="AV91" s="40">
        <f>IF(AND(ISNUMBER($AB91),ISNUMBER($AD91),ABS($AB91)&gt;0),$AD91/$AB91,"")</f>
      </c>
      <c r="AW91" s="39">
        <f>IF(ISNUMBER($AD91),MAX(0,(1-0.55-Header!$O$3)*Header!$Q$3*$AQ91),"")</f>
      </c>
      <c r="AX91" s="43">
        <f>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c>
      <c r="AY91" s="44">
        <f>IF($M91="","",IF(ISNUMBER($M91),IF($M91&gt;=Header!$C$18,"YES — refer","No"),""))</f>
      </c>
      <c r="AZ91" s="44">
        <f>IF($AD91="","",IF(ISNUMBER($AD91),IF($AD91&lt;Header!$C$20,"BELOW MIN PREMIUM","OK"),""))</f>
      </c>
      <c r="BA91" s="32" t="inlineStr">
        <is>
          <t xml:space="preserve">Yes</t>
        </is>
      </c>
      <c r="BB91" s="32" t="inlineStr">
        <is>
          <t xml:space="preserve">Yes</t>
        </is>
      </c>
      <c r="BC91" s="30" t="inlineStr">
        <is>
          <t xml:space="preserve">Synthetic demo data</t>
        </is>
      </c>
      <c r="BE91" s="45">
        <f>IF(OR($A91="",$L91="",$H91=""),"",IF(AND(LEFT($L91,2)="06",$H91&gt;1945),"FAIL - pre-war class, year "&amp;$H91,IF(AND(LEFT($L91,2)="07",OR($H91&lt;1946,$H91&gt;1972)),"FAIL - 1946-72 class, year "&amp;$H91,IF(AND(LEFT($L91,2)="08",OR($H91&lt;1973,$H91&gt;1999)),"FAIL - 1973-99 class, year "&amp;$H91,IF(AND(LEFT($L91,2)="09",OR($H91&lt;2000,$H91&gt;2010)),"FAIL - 2000-10 class, year "&amp;$H91,"OK")))))</f>
      </c>
      <c r="BF91" s="45">
        <f>IF($AD91="","",IF(ROUND($AO91+$AP91+$AQ91-$AD91,2)=0,"OK","FAIL - out by "&amp;TEXT($AO91+$AP91+$AQ91-$AD91,"$0.00")))</f>
      </c>
    </row>
    <row r="92" spans="1:58" ht="18.75" customHeight="1" x14ac:dyDescent="0.25">
      <c r="A92" s="46" t="inlineStr">
        <is>
          <t xml:space="preserve">CANON-202606-008521</t>
        </is>
      </c>
      <c r="B92" s="46" t="inlineStr">
        <is>
          <t xml:space="preserve">Mireille Rourke</t>
        </is>
      </c>
      <c r="C92" s="47">
        <v>46176</v>
      </c>
      <c r="D92" s="48" t="inlineStr">
        <is>
          <t xml:space="preserve">Bound - within authority</t>
        </is>
      </c>
      <c r="E92" s="48" t="inlineStr">
        <is>
          <t xml:space="preserve">New business</t>
        </is>
      </c>
      <c r="F92" s="46" t="inlineStr">
        <is>
          <t xml:space="preserve">B1234EXOTIC26</t>
        </is>
      </c>
      <c r="G92" s="33">
        <f>IF($A92="","",IF($C92="","",YEAR($C92)))</f>
      </c>
      <c r="H92" s="49">
        <v>1977</v>
      </c>
      <c r="I92" s="46" t="inlineStr">
        <is>
          <t xml:space="preserve">Porsche</t>
        </is>
      </c>
      <c r="J92" s="46" t="inlineStr">
        <is>
          <t xml:space="preserve">911 Turbo S</t>
        </is>
      </c>
      <c r="K92" s="46" t="inlineStr">
        <is>
          <t xml:space="preserve">YL3RP6VRFALJCJ3FJ</t>
        </is>
      </c>
      <c r="L92" s="48" t="inlineStr">
        <is>
          <t xml:space="preserve">02 - Sports / GT</t>
        </is>
      </c>
      <c r="M92" s="50">
        <v>690000</v>
      </c>
      <c r="N92" s="48" t="inlineStr">
        <is>
          <t xml:space="preserve">Personal</t>
        </is>
      </c>
      <c r="O92" s="46" t="inlineStr">
        <is>
          <t xml:space="preserve">Personal - regular use</t>
        </is>
      </c>
      <c r="P92" s="46" t="inlineStr">
        <is>
          <t xml:space="preserve">2,500 - 5,000</t>
        </is>
      </c>
      <c r="Q92" s="46" t="inlineStr">
        <is>
          <t xml:space="preserve">Arizona</t>
        </is>
      </c>
      <c r="R92" s="46" t="inlineStr">
        <is>
          <t xml:space="preserve">85001</t>
        </is>
      </c>
      <c r="S92" s="48" t="inlineStr">
        <is>
          <t xml:space="preserve">Wildfire - WUI high hazard</t>
        </is>
      </c>
      <c r="T92" s="36">
        <f>IF($A92="","",IF($S92="","",IFERROR(INDEX('[1]natural catastrophe'!$D$6:$D$17,MATCH($S92,'[1]natural catastrophe'!$B$6:$B$17,0)),"?")))</f>
      </c>
      <c r="U92" s="46" t="inlineStr">
        <is>
          <t xml:space="preserve">$5,000</t>
        </is>
      </c>
      <c r="V92" s="48" t="inlineStr">
        <is>
          <t xml:space="preserve">Agreed Value</t>
        </is>
      </c>
      <c r="W92" s="46" t="inlineStr">
        <is>
          <t xml:space="preserve">$1,000</t>
        </is>
      </c>
      <c r="X92" s="48" t="inlineStr">
        <is>
          <t xml:space="preserve">$1,000,000 CSL</t>
        </is>
      </c>
      <c r="Y92" s="46"/>
      <c r="Z92" s="46"/>
      <c r="AA92" s="48" t="inlineStr">
        <is>
          <t xml:space="preserve">Surplus Lines</t>
        </is>
      </c>
      <c r="AB92" s="50">
        <v>6536.66</v>
      </c>
      <c r="AC92" s="51">
        <v>0</v>
      </c>
      <c r="AD92" s="38">
        <f>IF(ISNUMBER($AB92),$AB92*(1+N($AC92)),"")</f>
      </c>
      <c r="AE92" s="50">
        <v>350</v>
      </c>
      <c r="AF92" s="50">
        <v>0</v>
      </c>
      <c r="AG92" s="51"/>
      <c r="AH92" s="39">
        <f>IF(ISNUMBER($AD92),($AD92+$AE92+$AF92)*$AG92,"")</f>
      </c>
      <c r="AI92" s="50"/>
      <c r="AJ92" s="38">
        <f>IF(ISNUMBER($AD92),SUM($AD92:$AH92),"")</f>
      </c>
      <c r="AK92" s="40">
        <f>IF(AND(ISNUMBER($AB92),ISNUMBER($AD92)),IF($AB92&gt;0,$AD92/$AB92,""),"")</f>
      </c>
      <c r="AL92" s="48" t="inlineStr">
        <is>
          <t xml:space="preserve">At technical</t>
        </is>
      </c>
      <c r="AM92" s="41">
        <f>IF(ISNUMBER($AD92),Header!$I$3,"")</f>
      </c>
      <c r="AN92" s="39">
        <f>IF(ISNUMBER($AD92),$AO92+$AP92,"")</f>
      </c>
      <c r="AO92" s="39">
        <f>IF(ISNUMBER($AD92),ROUND($AD92*Header!$K$3,2),"")</f>
      </c>
      <c r="AP92" s="39">
        <f>IF(ISNUMBER($AD92),ROUND($AD92*Header!$M$3,2),"")</f>
      </c>
      <c r="AQ92" s="38">
        <f>IF(ISNUMBER($AD92),ROUND($AD92,2)-$AO92-$AP92,"")</f>
      </c>
      <c r="AR92" s="39">
        <f>IF(ISNUMBER($AD92),IF(Header!$D$34="","?",$AD92*Header!$D$34),"")</f>
      </c>
      <c r="AS92" s="39">
        <f>IF(ISNUMBER($AB92),IF(Header!$D$34="","?",$AB92*Header!$D$34),"")</f>
      </c>
      <c r="AT92" s="42">
        <f>IF(AND(ISNUMBER($AB92),$M92&gt;0),$AB92/$M92*100,"")</f>
      </c>
      <c r="AU92" s="42">
        <f>IF(AND(ISNUMBER($AD92),$M92&gt;0),$AD92/$M92*100,"")</f>
      </c>
      <c r="AV92" s="40">
        <f>IF(AND(ISNUMBER($AB92),ISNUMBER($AD92),ABS($AB92)&gt;0),$AD92/$AB92,"")</f>
      </c>
      <c r="AW92" s="39">
        <f>IF(ISNUMBER($AD92),MAX(0,(1-0.55-Header!$O$3)*Header!$Q$3*$AQ92),"")</f>
      </c>
      <c r="AX92" s="43">
        <f>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c>
      <c r="AY92" s="44">
        <f>IF($M92="","",IF(ISNUMBER($M92),IF($M92&gt;=Header!$C$18,"YES — refer","No"),""))</f>
      </c>
      <c r="AZ92" s="44">
        <f>IF($AD92="","",IF(ISNUMBER($AD92),IF($AD92&lt;Header!$C$20,"BELOW MIN PREMIUM","OK"),""))</f>
      </c>
      <c r="BA92" s="48" t="inlineStr">
        <is>
          <t xml:space="preserve">Yes</t>
        </is>
      </c>
      <c r="BB92" s="48" t="inlineStr">
        <is>
          <t xml:space="preserve">Yes</t>
        </is>
      </c>
      <c r="BC92" s="46" t="inlineStr">
        <is>
          <t xml:space="preserve">Synthetic demo data</t>
        </is>
      </c>
      <c r="BE92" s="45">
        <f>IF(OR($A92="",$L92="",$H92=""),"",IF(AND(LEFT($L92,2)="06",$H92&gt;1945),"FAIL - pre-war class, year "&amp;$H92,IF(AND(LEFT($L92,2)="07",OR($H92&lt;1946,$H92&gt;1972)),"FAIL - 1946-72 class, year "&amp;$H92,IF(AND(LEFT($L92,2)="08",OR($H92&lt;1973,$H92&gt;1999)),"FAIL - 1973-99 class, year "&amp;$H92,IF(AND(LEFT($L92,2)="09",OR($H92&lt;2000,$H92&gt;2010)),"FAIL - 2000-10 class, year "&amp;$H92,"OK")))))</f>
      </c>
      <c r="BF92" s="45">
        <f>IF($AD92="","",IF(ROUND($AO92+$AP92+$AQ92-$AD92,2)=0,"OK","FAIL - out by "&amp;TEXT($AO92+$AP92+$AQ92-$AD92,"$0.00")))</f>
      </c>
    </row>
    <row r="93" spans="1:58" ht="18.75" customHeight="1" x14ac:dyDescent="0.25">
      <c r="A93" s="30" t="inlineStr">
        <is>
          <t xml:space="preserve">CANON-202606-008522</t>
        </is>
      </c>
      <c r="B93" s="30" t="inlineStr">
        <is>
          <t xml:space="preserve">Ingrid Underwood</t>
        </is>
      </c>
      <c r="C93" s="31">
        <v>46181</v>
      </c>
      <c r="D93" s="32" t="inlineStr">
        <is>
          <t xml:space="preserve">Bound - within authority</t>
        </is>
      </c>
      <c r="E93" s="32" t="inlineStr">
        <is>
          <t xml:space="preserve">New business</t>
        </is>
      </c>
      <c r="F93" s="30" t="inlineStr">
        <is>
          <t xml:space="preserve">B1234EXOTIC26</t>
        </is>
      </c>
      <c r="G93" s="33">
        <f>IF($A93="","",IF($C93="","",YEAR($C93)))</f>
      </c>
      <c r="H93" s="34">
        <v>1968</v>
      </c>
      <c r="I93" s="30" t="inlineStr">
        <is>
          <t xml:space="preserve">Maserati</t>
        </is>
      </c>
      <c r="J93" s="30" t="inlineStr">
        <is>
          <t xml:space="preserve">GranTurismo</t>
        </is>
      </c>
      <c r="K93" s="30" t="inlineStr">
        <is>
          <t xml:space="preserve">MU1YAKVS1EVL84D4U</t>
        </is>
      </c>
      <c r="L93" s="32" t="inlineStr">
        <is>
          <t xml:space="preserve">02 - Sports / GT</t>
        </is>
      </c>
      <c r="M93" s="35">
        <v>430000</v>
      </c>
      <c r="N93" s="32" t="inlineStr">
        <is>
          <t xml:space="preserve">Personal</t>
        </is>
      </c>
      <c r="O93" s="30" t="inlineStr">
        <is>
          <t xml:space="preserve">Personal - regular use</t>
        </is>
      </c>
      <c r="P93" s="30" t="inlineStr">
        <is>
          <t xml:space="preserve">Under 1,000</t>
        </is>
      </c>
      <c r="Q93" s="30" t="inlineStr">
        <is>
          <t xml:space="preserve">Delaware</t>
        </is>
      </c>
      <c r="R93" s="30" t="inlineStr">
        <is>
          <t xml:space="preserve">19801</t>
        </is>
      </c>
      <c r="S93" s="32" t="inlineStr">
        <is>
          <t xml:space="preserve">Tier 3 - Coastal wind (25-100 miles)</t>
        </is>
      </c>
      <c r="T93" s="36">
        <f>IF($A93="","",IF($S93="","",IFERROR(INDEX('[1]natural catastrophe'!$D$6:$D$17,MATCH($S93,'[1]natural catastrophe'!$B$6:$B$17,0)),"?")))</f>
      </c>
      <c r="U93" s="30" t="inlineStr">
        <is>
          <t xml:space="preserve">2% of agreed value, minimum $10,000</t>
        </is>
      </c>
      <c r="V93" s="32" t="inlineStr">
        <is>
          <t xml:space="preserve">Agreed Value</t>
        </is>
      </c>
      <c r="W93" s="30" t="inlineStr">
        <is>
          <t xml:space="preserve">$1,000</t>
        </is>
      </c>
      <c r="X93" s="32" t="inlineStr">
        <is>
          <t xml:space="preserve">$1,000,000 CSL</t>
        </is>
      </c>
      <c r="Y93" s="30"/>
      <c r="Z93" s="30"/>
      <c r="AA93" s="32" t="inlineStr">
        <is>
          <t xml:space="preserve">Surplus Lines</t>
        </is>
      </c>
      <c r="AB93" s="35">
        <v>5817.17</v>
      </c>
      <c r="AC93" s="37">
        <v>0</v>
      </c>
      <c r="AD93" s="38">
        <f>IF(ISNUMBER($AB93),$AB93*(1+N($AC93)),"")</f>
      </c>
      <c r="AE93" s="35">
        <v>350</v>
      </c>
      <c r="AF93" s="35">
        <v>0</v>
      </c>
      <c r="AG93" s="37"/>
      <c r="AH93" s="39">
        <f>IF(ISNUMBER($AD93),($AD93+$AE93+$AF93)*$AG93,"")</f>
      </c>
      <c r="AI93" s="35"/>
      <c r="AJ93" s="38">
        <f>IF(ISNUMBER($AD93),SUM($AD93:$AH93),"")</f>
      </c>
      <c r="AK93" s="40">
        <f>IF(AND(ISNUMBER($AB93),ISNUMBER($AD93)),IF($AB93&gt;0,$AD93/$AB93,""),"")</f>
      </c>
      <c r="AL93" s="32" t="inlineStr">
        <is>
          <t xml:space="preserve">At technical</t>
        </is>
      </c>
      <c r="AM93" s="41">
        <f>IF(ISNUMBER($AD93),Header!$I$3,"")</f>
      </c>
      <c r="AN93" s="39">
        <f>IF(ISNUMBER($AD93),$AO93+$AP93,"")</f>
      </c>
      <c r="AO93" s="39">
        <f>IF(ISNUMBER($AD93),ROUND($AD93*Header!$K$3,2),"")</f>
      </c>
      <c r="AP93" s="39">
        <f>IF(ISNUMBER($AD93),ROUND($AD93*Header!$M$3,2),"")</f>
      </c>
      <c r="AQ93" s="38">
        <f>IF(ISNUMBER($AD93),ROUND($AD93,2)-$AO93-$AP93,"")</f>
      </c>
      <c r="AR93" s="39">
        <f>IF(ISNUMBER($AD93),IF(Header!$D$34="","?",$AD93*Header!$D$34),"")</f>
      </c>
      <c r="AS93" s="39">
        <f>IF(ISNUMBER($AB93),IF(Header!$D$34="","?",$AB93*Header!$D$34),"")</f>
      </c>
      <c r="AT93" s="42">
        <f>IF(AND(ISNUMBER($AB93),$M93&gt;0),$AB93/$M93*100,"")</f>
      </c>
      <c r="AU93" s="42">
        <f>IF(AND(ISNUMBER($AD93),$M93&gt;0),$AD93/$M93*100,"")</f>
      </c>
      <c r="AV93" s="40">
        <f>IF(AND(ISNUMBER($AB93),ISNUMBER($AD93),ABS($AB93)&gt;0),$AD93/$AB93,"")</f>
      </c>
      <c r="AW93" s="39">
        <f>IF(ISNUMBER($AD93),MAX(0,(1-0.55-Header!$O$3)*Header!$Q$3*$AQ93),"")</f>
      </c>
      <c r="AX93" s="43">
        <f>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c>
      <c r="AY93" s="44">
        <f>IF($M93="","",IF(ISNUMBER($M93),IF($M93&gt;=Header!$C$18,"YES — refer","No"),""))</f>
      </c>
      <c r="AZ93" s="44">
        <f>IF($AD93="","",IF(ISNUMBER($AD93),IF($AD93&lt;Header!$C$20,"BELOW MIN PREMIUM","OK"),""))</f>
      </c>
      <c r="BA93" s="32" t="inlineStr">
        <is>
          <t xml:space="preserve">Yes</t>
        </is>
      </c>
      <c r="BB93" s="32" t="inlineStr">
        <is>
          <t xml:space="preserve">Yes</t>
        </is>
      </c>
      <c r="BC93" s="30" t="inlineStr">
        <is>
          <t xml:space="preserve">Synthetic demo data</t>
        </is>
      </c>
      <c r="BE93" s="45">
        <f>IF(OR($A93="",$L93="",$H93=""),"",IF(AND(LEFT($L93,2)="06",$H93&gt;1945),"FAIL - pre-war class, year "&amp;$H93,IF(AND(LEFT($L93,2)="07",OR($H93&lt;1946,$H93&gt;1972)),"FAIL - 1946-72 class, year "&amp;$H93,IF(AND(LEFT($L93,2)="08",OR($H93&lt;1973,$H93&gt;1999)),"FAIL - 1973-99 class, year "&amp;$H93,IF(AND(LEFT($L93,2)="09",OR($H93&lt;2000,$H93&gt;2010)),"FAIL - 2000-10 class, year "&amp;$H93,"OK")))))</f>
      </c>
      <c r="BF93" s="45">
        <f>IF($AD93="","",IF(ROUND($AO93+$AP93+$AQ93-$AD93,2)=0,"OK","FAIL - out by "&amp;TEXT($AO93+$AP93+$AQ93-$AD93,"$0.00")))</f>
      </c>
    </row>
    <row r="94" spans="1:58" ht="18.75" customHeight="1" x14ac:dyDescent="0.25">
      <c r="A94" s="46" t="inlineStr">
        <is>
          <t xml:space="preserve">CANON-202606-008523</t>
        </is>
      </c>
      <c r="B94" s="46" t="inlineStr">
        <is>
          <t xml:space="preserve">Priya Pennington</t>
        </is>
      </c>
      <c r="C94" s="47">
        <v>46184</v>
      </c>
      <c r="D94" s="48" t="inlineStr">
        <is>
          <t xml:space="preserve">Bound - within authority</t>
        </is>
      </c>
      <c r="E94" s="48" t="inlineStr">
        <is>
          <t xml:space="preserve">New business</t>
        </is>
      </c>
      <c r="F94" s="46" t="inlineStr">
        <is>
          <t xml:space="preserve">B1234EXOTIC26</t>
        </is>
      </c>
      <c r="G94" s="33">
        <f>IF($A94="","",IF($C94="","",YEAR($C94)))</f>
      </c>
      <c r="H94" s="49">
        <v>1970</v>
      </c>
      <c r="I94" s="46" t="inlineStr">
        <is>
          <t xml:space="preserve">Porsche</t>
        </is>
      </c>
      <c r="J94" s="46" t="inlineStr">
        <is>
          <t xml:space="preserve">911 Turbo S</t>
        </is>
      </c>
      <c r="K94" s="46" t="inlineStr">
        <is>
          <t xml:space="preserve">VG22H25RH1EK0E72Z</t>
        </is>
      </c>
      <c r="L94" s="48" t="inlineStr">
        <is>
          <t xml:space="preserve">02 - Sports / GT</t>
        </is>
      </c>
      <c r="M94" s="50">
        <v>195000</v>
      </c>
      <c r="N94" s="48" t="inlineStr">
        <is>
          <t xml:space="preserve">Personal</t>
        </is>
      </c>
      <c r="O94" s="46" t="inlineStr">
        <is>
          <t xml:space="preserve">Personal - regular use</t>
        </is>
      </c>
      <c r="P94" s="46" t="inlineStr">
        <is>
          <t xml:space="preserve">2,500 - 5,000</t>
        </is>
      </c>
      <c r="Q94" s="46" t="inlineStr">
        <is>
          <t xml:space="preserve">South Carolina</t>
        </is>
      </c>
      <c r="R94" s="46" t="inlineStr">
        <is>
          <t xml:space="preserve">29401</t>
        </is>
      </c>
      <c r="S94" s="48" t="inlineStr">
        <is>
          <t xml:space="preserve">Tier 2 - Coastal wind (1-25 miles)</t>
        </is>
      </c>
      <c r="T94" s="36">
        <f>IF($A94="","",IF($S94="","",IFERROR(INDEX('[1]natural catastrophe'!$D$6:$D$17,MATCH($S94,'[1]natural catastrophe'!$B$6:$B$17,0)),"?")))</f>
      </c>
      <c r="U94" s="46" t="inlineStr">
        <is>
          <t xml:space="preserve">2% of agreed value, minimum $10,000</t>
        </is>
      </c>
      <c r="V94" s="48" t="inlineStr">
        <is>
          <t xml:space="preserve">Agreed Value</t>
        </is>
      </c>
      <c r="W94" s="46" t="inlineStr">
        <is>
          <t xml:space="preserve">$1,000</t>
        </is>
      </c>
      <c r="X94" s="48" t="inlineStr">
        <is>
          <t xml:space="preserve">$1,000,000 CSL</t>
        </is>
      </c>
      <c r="Y94" s="46"/>
      <c r="Z94" s="46"/>
      <c r="AA94" s="48" t="inlineStr">
        <is>
          <t xml:space="preserve">Surplus Lines</t>
        </is>
      </c>
      <c r="AB94" s="50">
        <v>3210.08</v>
      </c>
      <c r="AC94" s="51">
        <v>0</v>
      </c>
      <c r="AD94" s="38">
        <f>IF(ISNUMBER($AB94),$AB94*(1+N($AC94)),"")</f>
      </c>
      <c r="AE94" s="50">
        <v>350</v>
      </c>
      <c r="AF94" s="50">
        <v>0</v>
      </c>
      <c r="AG94" s="51"/>
      <c r="AH94" s="39">
        <f>IF(ISNUMBER($AD94),($AD94+$AE94+$AF94)*$AG94,"")</f>
      </c>
      <c r="AI94" s="50"/>
      <c r="AJ94" s="38">
        <f>IF(ISNUMBER($AD94),SUM($AD94:$AH94),"")</f>
      </c>
      <c r="AK94" s="40">
        <f>IF(AND(ISNUMBER($AB94),ISNUMBER($AD94)),IF($AB94&gt;0,$AD94/$AB94,""),"")</f>
      </c>
      <c r="AL94" s="48" t="inlineStr">
        <is>
          <t xml:space="preserve">At technical</t>
        </is>
      </c>
      <c r="AM94" s="41">
        <f>IF(ISNUMBER($AD94),Header!$I$3,"")</f>
      </c>
      <c r="AN94" s="39">
        <f>IF(ISNUMBER($AD94),$AO94+$AP94,"")</f>
      </c>
      <c r="AO94" s="39">
        <f>IF(ISNUMBER($AD94),ROUND($AD94*Header!$K$3,2),"")</f>
      </c>
      <c r="AP94" s="39">
        <f>IF(ISNUMBER($AD94),ROUND($AD94*Header!$M$3,2),"")</f>
      </c>
      <c r="AQ94" s="38">
        <f>IF(ISNUMBER($AD94),ROUND($AD94,2)-$AO94-$AP94,"")</f>
      </c>
      <c r="AR94" s="39">
        <f>IF(ISNUMBER($AD94),IF(Header!$D$34="","?",$AD94*Header!$D$34),"")</f>
      </c>
      <c r="AS94" s="39">
        <f>IF(ISNUMBER($AB94),IF(Header!$D$34="","?",$AB94*Header!$D$34),"")</f>
      </c>
      <c r="AT94" s="42">
        <f>IF(AND(ISNUMBER($AB94),$M94&gt;0),$AB94/$M94*100,"")</f>
      </c>
      <c r="AU94" s="42">
        <f>IF(AND(ISNUMBER($AD94),$M94&gt;0),$AD94/$M94*100,"")</f>
      </c>
      <c r="AV94" s="40">
        <f>IF(AND(ISNUMBER($AB94),ISNUMBER($AD94),ABS($AB94)&gt;0),$AD94/$AB94,"")</f>
      </c>
      <c r="AW94" s="39">
        <f>IF(ISNUMBER($AD94),MAX(0,(1-0.55-Header!$O$3)*Header!$Q$3*$AQ94),"")</f>
      </c>
      <c r="AX94" s="43">
        <f>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c>
      <c r="AY94" s="44">
        <f>IF($M94="","",IF(ISNUMBER($M94),IF($M94&gt;=Header!$C$18,"YES — refer","No"),""))</f>
      </c>
      <c r="AZ94" s="44">
        <f>IF($AD94="","",IF(ISNUMBER($AD94),IF($AD94&lt;Header!$C$20,"BELOW MIN PREMIUM","OK"),""))</f>
      </c>
      <c r="BA94" s="48" t="inlineStr">
        <is>
          <t xml:space="preserve">Yes</t>
        </is>
      </c>
      <c r="BB94" s="48" t="inlineStr">
        <is>
          <t xml:space="preserve">Yes</t>
        </is>
      </c>
      <c r="BC94" s="46" t="inlineStr">
        <is>
          <t xml:space="preserve">Synthetic demo data</t>
        </is>
      </c>
      <c r="BE94" s="45">
        <f>IF(OR($A94="",$L94="",$H94=""),"",IF(AND(LEFT($L94,2)="06",$H94&gt;1945),"FAIL - pre-war class, year "&amp;$H94,IF(AND(LEFT($L94,2)="07",OR($H94&lt;1946,$H94&gt;1972)),"FAIL - 1946-72 class, year "&amp;$H94,IF(AND(LEFT($L94,2)="08",OR($H94&lt;1973,$H94&gt;1999)),"FAIL - 1973-99 class, year "&amp;$H94,IF(AND(LEFT($L94,2)="09",OR($H94&lt;2000,$H94&gt;2010)),"FAIL - 2000-10 class, year "&amp;$H94,"OK")))))</f>
      </c>
      <c r="BF94" s="45">
        <f>IF($AD94="","",IF(ROUND($AO94+$AP94+$AQ94-$AD94,2)=0,"OK","FAIL - out by "&amp;TEXT($AO94+$AP94+$AQ94-$AD94,"$0.00")))</f>
      </c>
    </row>
    <row r="95" spans="1:58" ht="18.75" customHeight="1" x14ac:dyDescent="0.25">
      <c r="A95" s="30" t="inlineStr">
        <is>
          <t xml:space="preserve">CANON-202606-008524</t>
        </is>
      </c>
      <c r="B95" s="30" t="inlineStr">
        <is>
          <t xml:space="preserve">Noor Fairweather</t>
        </is>
      </c>
      <c r="C95" s="31">
        <v>46189</v>
      </c>
      <c r="D95" s="32" t="inlineStr">
        <is>
          <t xml:space="preserve">Bound - within authority</t>
        </is>
      </c>
      <c r="E95" s="32" t="inlineStr">
        <is>
          <t xml:space="preserve">New business</t>
        </is>
      </c>
      <c r="F95" s="30" t="inlineStr">
        <is>
          <t xml:space="preserve">B1234EXOTIC26</t>
        </is>
      </c>
      <c r="G95" s="33">
        <f>IF($A95="","",IF($C95="","",YEAR($C95)))</f>
      </c>
      <c r="H95" s="34">
        <v>2008</v>
      </c>
      <c r="I95" s="30" t="inlineStr">
        <is>
          <t xml:space="preserve">Aston Martin</t>
        </is>
      </c>
      <c r="J95" s="30" t="inlineStr">
        <is>
          <t xml:space="preserve">DB5</t>
        </is>
      </c>
      <c r="K95" s="30" t="inlineStr">
        <is>
          <t xml:space="preserve">WMCPGMUL3LB3NYJGG</t>
        </is>
      </c>
      <c r="L95" s="32" t="inlineStr">
        <is>
          <t xml:space="preserve">09 - Youngtimer / Collectible (2000-2010)</t>
        </is>
      </c>
      <c r="M95" s="35">
        <v>515000</v>
      </c>
      <c r="N95" s="32" t="inlineStr">
        <is>
          <t xml:space="preserve">Personal</t>
        </is>
      </c>
      <c r="O95" s="30" t="inlineStr">
        <is>
          <t xml:space="preserve">Personal - regular use</t>
        </is>
      </c>
      <c r="P95" s="30" t="inlineStr">
        <is>
          <t xml:space="preserve">Under 1,000</t>
        </is>
      </c>
      <c r="Q95" s="30" t="inlineStr">
        <is>
          <t xml:space="preserve">California</t>
        </is>
      </c>
      <c r="R95" s="30" t="inlineStr">
        <is>
          <t xml:space="preserve">90012</t>
        </is>
      </c>
      <c r="S95" s="32" t="inlineStr">
        <is>
          <t xml:space="preserve">Earthquake - high (CA, Cascadia, New Madrid)</t>
        </is>
      </c>
      <c r="T95" s="36">
        <f>IF($A95="","",IF($S95="","",IFERROR(INDEX('[1]natural catastrophe'!$D$6:$D$17,MATCH($S95,'[1]natural catastrophe'!$B$6:$B$17,0)),"?")))</f>
      </c>
      <c r="U95" s="30" t="inlineStr">
        <is>
          <t xml:space="preserve">$5,000</t>
        </is>
      </c>
      <c r="V95" s="32" t="inlineStr">
        <is>
          <t xml:space="preserve">Agreed Value</t>
        </is>
      </c>
      <c r="W95" s="30" t="inlineStr">
        <is>
          <t xml:space="preserve">$1,000</t>
        </is>
      </c>
      <c r="X95" s="32" t="inlineStr">
        <is>
          <t xml:space="preserve">$1,000,000 CSL</t>
        </is>
      </c>
      <c r="Y95" s="30"/>
      <c r="Z95" s="30"/>
      <c r="AA95" s="32" t="inlineStr">
        <is>
          <t xml:space="preserve">Surplus Lines</t>
        </is>
      </c>
      <c r="AB95" s="35">
        <v>4314.02</v>
      </c>
      <c r="AC95" s="37">
        <v>0</v>
      </c>
      <c r="AD95" s="38">
        <f>IF(ISNUMBER($AB95),$AB95*(1+N($AC95)),"")</f>
      </c>
      <c r="AE95" s="35">
        <v>350</v>
      </c>
      <c r="AF95" s="35">
        <v>0</v>
      </c>
      <c r="AG95" s="37"/>
      <c r="AH95" s="39">
        <f>IF(ISNUMBER($AD95),($AD95+$AE95+$AF95)*$AG95,"")</f>
      </c>
      <c r="AI95" s="35"/>
      <c r="AJ95" s="38">
        <f>IF(ISNUMBER($AD95),SUM($AD95:$AH95),"")</f>
      </c>
      <c r="AK95" s="40">
        <f>IF(AND(ISNUMBER($AB95),ISNUMBER($AD95)),IF($AB95&gt;0,$AD95/$AB95,""),"")</f>
      </c>
      <c r="AL95" s="32" t="inlineStr">
        <is>
          <t xml:space="preserve">At technical</t>
        </is>
      </c>
      <c r="AM95" s="41">
        <f>IF(ISNUMBER($AD95),Header!$I$3,"")</f>
      </c>
      <c r="AN95" s="39">
        <f>IF(ISNUMBER($AD95),$AO95+$AP95,"")</f>
      </c>
      <c r="AO95" s="39">
        <f>IF(ISNUMBER($AD95),ROUND($AD95*Header!$K$3,2),"")</f>
      </c>
      <c r="AP95" s="39">
        <f>IF(ISNUMBER($AD95),ROUND($AD95*Header!$M$3,2),"")</f>
      </c>
      <c r="AQ95" s="38">
        <f>IF(ISNUMBER($AD95),ROUND($AD95,2)-$AO95-$AP95,"")</f>
      </c>
      <c r="AR95" s="39">
        <f>IF(ISNUMBER($AD95),IF(Header!$D$34="","?",$AD95*Header!$D$34),"")</f>
      </c>
      <c r="AS95" s="39">
        <f>IF(ISNUMBER($AB95),IF(Header!$D$34="","?",$AB95*Header!$D$34),"")</f>
      </c>
      <c r="AT95" s="42">
        <f>IF(AND(ISNUMBER($AB95),$M95&gt;0),$AB95/$M95*100,"")</f>
      </c>
      <c r="AU95" s="42">
        <f>IF(AND(ISNUMBER($AD95),$M95&gt;0),$AD95/$M95*100,"")</f>
      </c>
      <c r="AV95" s="40">
        <f>IF(AND(ISNUMBER($AB95),ISNUMBER($AD95),ABS($AB95)&gt;0),$AD95/$AB95,"")</f>
      </c>
      <c r="AW95" s="39">
        <f>IF(ISNUMBER($AD95),MAX(0,(1-0.55-Header!$O$3)*Header!$Q$3*$AQ95),"")</f>
      </c>
      <c r="AX95" s="43">
        <f>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c>
      <c r="AY95" s="44">
        <f>IF($M95="","",IF(ISNUMBER($M95),IF($M95&gt;=Header!$C$18,"YES — refer","No"),""))</f>
      </c>
      <c r="AZ95" s="44">
        <f>IF($AD95="","",IF(ISNUMBER($AD95),IF($AD95&lt;Header!$C$20,"BELOW MIN PREMIUM","OK"),""))</f>
      </c>
      <c r="BA95" s="32" t="inlineStr">
        <is>
          <t xml:space="preserve">Yes</t>
        </is>
      </c>
      <c r="BB95" s="32" t="inlineStr">
        <is>
          <t xml:space="preserve">Yes</t>
        </is>
      </c>
      <c r="BC95" s="30" t="inlineStr">
        <is>
          <t xml:space="preserve">Synthetic demo data</t>
        </is>
      </c>
      <c r="BE95" s="45">
        <f>IF(OR($A95="",$L95="",$H95=""),"",IF(AND(LEFT($L95,2)="06",$H95&gt;1945),"FAIL - pre-war class, year "&amp;$H95,IF(AND(LEFT($L95,2)="07",OR($H95&lt;1946,$H95&gt;1972)),"FAIL - 1946-72 class, year "&amp;$H95,IF(AND(LEFT($L95,2)="08",OR($H95&lt;1973,$H95&gt;1999)),"FAIL - 1973-99 class, year "&amp;$H95,IF(AND(LEFT($L95,2)="09",OR($H95&lt;2000,$H95&gt;2010)),"FAIL - 2000-10 class, year "&amp;$H95,"OK")))))</f>
      </c>
      <c r="BF95" s="45">
        <f>IF($AD95="","",IF(ROUND($AO95+$AP95+$AQ95-$AD95,2)=0,"OK","FAIL - out by "&amp;TEXT($AO95+$AP95+$AQ95-$AD95,"$0.00")))</f>
      </c>
    </row>
    <row r="96" spans="1:58" ht="18.75" customHeight="1" x14ac:dyDescent="0.25">
      <c r="A96" s="46" t="inlineStr">
        <is>
          <t xml:space="preserve">CANON-202606-008526</t>
        </is>
      </c>
      <c r="B96" s="46" t="inlineStr">
        <is>
          <t xml:space="preserve">Noor Kingsford</t>
        </is>
      </c>
      <c r="C96" s="47">
        <v>46176</v>
      </c>
      <c r="D96" s="48" t="inlineStr">
        <is>
          <t xml:space="preserve">Bound - within authority</t>
        </is>
      </c>
      <c r="E96" s="48" t="inlineStr">
        <is>
          <t xml:space="preserve">New business</t>
        </is>
      </c>
      <c r="F96" s="46" t="inlineStr">
        <is>
          <t xml:space="preserve">B1234EXOTIC26</t>
        </is>
      </c>
      <c r="G96" s="33">
        <f>IF($A96="","",IF($C96="","",YEAR($C96)))</f>
      </c>
      <c r="H96" s="49">
        <v>2017</v>
      </c>
      <c r="I96" s="46" t="inlineStr">
        <is>
          <t xml:space="preserve">Porsche</t>
        </is>
      </c>
      <c r="J96" s="46" t="inlineStr">
        <is>
          <t xml:space="preserve">911 Turbo S</t>
        </is>
      </c>
      <c r="K96" s="46" t="inlineStr">
        <is>
          <t xml:space="preserve">YCCEAT9PLCLZPAUKV</t>
        </is>
      </c>
      <c r="L96" s="48" t="inlineStr">
        <is>
          <t xml:space="preserve">02 - Sports / GT</t>
        </is>
      </c>
      <c r="M96" s="50">
        <v>375000</v>
      </c>
      <c r="N96" s="48" t="inlineStr">
        <is>
          <t xml:space="preserve">Personal</t>
        </is>
      </c>
      <c r="O96" s="46" t="inlineStr">
        <is>
          <t xml:space="preserve">Personal - regular use</t>
        </is>
      </c>
      <c r="P96" s="46" t="inlineStr">
        <is>
          <t xml:space="preserve">1,000 - 2,500</t>
        </is>
      </c>
      <c r="Q96" s="46" t="inlineStr">
        <is>
          <t xml:space="preserve">Arizona</t>
        </is>
      </c>
      <c r="R96" s="46" t="inlineStr">
        <is>
          <t xml:space="preserve">85001</t>
        </is>
      </c>
      <c r="S96" s="48" t="inlineStr">
        <is>
          <t xml:space="preserve">Wildfire - WUI high hazard</t>
        </is>
      </c>
      <c r="T96" s="36">
        <f>IF($A96="","",IF($S96="","",IFERROR(INDEX('[1]natural catastrophe'!$D$6:$D$17,MATCH($S96,'[1]natural catastrophe'!$B$6:$B$17,0)),"?")))</f>
      </c>
      <c r="U96" s="46" t="inlineStr">
        <is>
          <t xml:space="preserve">$5,000</t>
        </is>
      </c>
      <c r="V96" s="48" t="inlineStr">
        <is>
          <t xml:space="preserve">Agreed Value</t>
        </is>
      </c>
      <c r="W96" s="46" t="inlineStr">
        <is>
          <t xml:space="preserve">$1,000</t>
        </is>
      </c>
      <c r="X96" s="48" t="inlineStr">
        <is>
          <t xml:space="preserve">$1,000,000 CSL</t>
        </is>
      </c>
      <c r="Y96" s="46"/>
      <c r="Z96" s="46"/>
      <c r="AA96" s="48" t="inlineStr">
        <is>
          <t xml:space="preserve">Surplus Lines</t>
        </is>
      </c>
      <c r="AB96" s="50">
        <v>4099.08</v>
      </c>
      <c r="AC96" s="51">
        <v>0</v>
      </c>
      <c r="AD96" s="38">
        <f>IF(ISNUMBER($AB96),$AB96*(1+N($AC96)),"")</f>
      </c>
      <c r="AE96" s="50">
        <v>350</v>
      </c>
      <c r="AF96" s="50">
        <v>0</v>
      </c>
      <c r="AG96" s="51"/>
      <c r="AH96" s="39">
        <f>IF(ISNUMBER($AD96),($AD96+$AE96+$AF96)*$AG96,"")</f>
      </c>
      <c r="AI96" s="50"/>
      <c r="AJ96" s="38">
        <f>IF(ISNUMBER($AD96),SUM($AD96:$AH96),"")</f>
      </c>
      <c r="AK96" s="40">
        <f>IF(AND(ISNUMBER($AB96),ISNUMBER($AD96)),IF($AB96&gt;0,$AD96/$AB96,""),"")</f>
      </c>
      <c r="AL96" s="48" t="inlineStr">
        <is>
          <t xml:space="preserve">At technical</t>
        </is>
      </c>
      <c r="AM96" s="41">
        <f>IF(ISNUMBER($AD96),Header!$I$3,"")</f>
      </c>
      <c r="AN96" s="39">
        <f>IF(ISNUMBER($AD96),$AO96+$AP96,"")</f>
      </c>
      <c r="AO96" s="39">
        <f>IF(ISNUMBER($AD96),ROUND($AD96*Header!$K$3,2),"")</f>
      </c>
      <c r="AP96" s="39">
        <f>IF(ISNUMBER($AD96),ROUND($AD96*Header!$M$3,2),"")</f>
      </c>
      <c r="AQ96" s="38">
        <f>IF(ISNUMBER($AD96),ROUND($AD96,2)-$AO96-$AP96,"")</f>
      </c>
      <c r="AR96" s="39">
        <f>IF(ISNUMBER($AD96),IF(Header!$D$34="","?",$AD96*Header!$D$34),"")</f>
      </c>
      <c r="AS96" s="39">
        <f>IF(ISNUMBER($AB96),IF(Header!$D$34="","?",$AB96*Header!$D$34),"")</f>
      </c>
      <c r="AT96" s="42">
        <f>IF(AND(ISNUMBER($AB96),$M96&gt;0),$AB96/$M96*100,"")</f>
      </c>
      <c r="AU96" s="42">
        <f>IF(AND(ISNUMBER($AD96),$M96&gt;0),$AD96/$M96*100,"")</f>
      </c>
      <c r="AV96" s="40">
        <f>IF(AND(ISNUMBER($AB96),ISNUMBER($AD96),ABS($AB96)&gt;0),$AD96/$AB96,"")</f>
      </c>
      <c r="AW96" s="39">
        <f>IF(ISNUMBER($AD96),MAX(0,(1-0.55-Header!$O$3)*Header!$Q$3*$AQ96),"")</f>
      </c>
      <c r="AX96" s="43">
        <f>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c>
      <c r="AY96" s="44">
        <f>IF($M96="","",IF(ISNUMBER($M96),IF($M96&gt;=Header!$C$18,"YES — refer","No"),""))</f>
      </c>
      <c r="AZ96" s="44">
        <f>IF($AD96="","",IF(ISNUMBER($AD96),IF($AD96&lt;Header!$C$20,"BELOW MIN PREMIUM","OK"),""))</f>
      </c>
      <c r="BA96" s="48" t="inlineStr">
        <is>
          <t xml:space="preserve">Yes</t>
        </is>
      </c>
      <c r="BB96" s="48" t="inlineStr">
        <is>
          <t xml:space="preserve">Yes</t>
        </is>
      </c>
      <c r="BC96" s="46" t="inlineStr">
        <is>
          <t xml:space="preserve">Synthetic demo data</t>
        </is>
      </c>
      <c r="BE96" s="45">
        <f>IF(OR($A96="",$L96="",$H96=""),"",IF(AND(LEFT($L96,2)="06",$H96&gt;1945),"FAIL - pre-war class, year "&amp;$H96,IF(AND(LEFT($L96,2)="07",OR($H96&lt;1946,$H96&gt;1972)),"FAIL - 1946-72 class, year "&amp;$H96,IF(AND(LEFT($L96,2)="08",OR($H96&lt;1973,$H96&gt;1999)),"FAIL - 1973-99 class, year "&amp;$H96,IF(AND(LEFT($L96,2)="09",OR($H96&lt;2000,$H96&gt;2010)),"FAIL - 2000-10 class, year "&amp;$H96,"OK")))))</f>
      </c>
      <c r="BF96" s="45">
        <f>IF($AD96="","",IF(ROUND($AO96+$AP96+$AQ96-$AD96,2)=0,"OK","FAIL - out by "&amp;TEXT($AO96+$AP96+$AQ96-$AD96,"$0.00")))</f>
      </c>
    </row>
    <row r="97" spans="1:58" ht="18.75" customHeight="1" x14ac:dyDescent="0.25">
      <c r="A97" s="30" t="inlineStr">
        <is>
          <t xml:space="preserve">CANON-202606-008527</t>
        </is>
      </c>
      <c r="B97" s="30" t="inlineStr">
        <is>
          <t xml:space="preserve">Delphine Fairweather</t>
        </is>
      </c>
      <c r="C97" s="31">
        <v>46180</v>
      </c>
      <c r="D97" s="32" t="inlineStr">
        <is>
          <t xml:space="preserve">Bound - within authority</t>
        </is>
      </c>
      <c r="E97" s="32" t="inlineStr">
        <is>
          <t xml:space="preserve">New business</t>
        </is>
      </c>
      <c r="F97" s="30" t="inlineStr">
        <is>
          <t xml:space="preserve">B1234EXOTIC26</t>
        </is>
      </c>
      <c r="G97" s="33">
        <f>IF($A97="","",IF($C97="","",YEAR($C97)))</f>
      </c>
      <c r="H97" s="34">
        <v>1998</v>
      </c>
      <c r="I97" s="30" t="inlineStr">
        <is>
          <t xml:space="preserve">Porsche</t>
        </is>
      </c>
      <c r="J97" s="30" t="inlineStr">
        <is>
          <t xml:space="preserve">911 Turbo S</t>
        </is>
      </c>
      <c r="K97" s="30" t="inlineStr">
        <is>
          <t xml:space="preserve">DXDUYDMS6U7W3FJZK</t>
        </is>
      </c>
      <c r="L97" s="32" t="inlineStr">
        <is>
          <t xml:space="preserve">02 - Sports / GT</t>
        </is>
      </c>
      <c r="M97" s="35">
        <v>240000</v>
      </c>
      <c r="N97" s="32" t="inlineStr">
        <is>
          <t xml:space="preserve">Personal</t>
        </is>
      </c>
      <c r="O97" s="30" t="inlineStr">
        <is>
          <t xml:space="preserve">Personal - regular use</t>
        </is>
      </c>
      <c r="P97" s="30" t="inlineStr">
        <is>
          <t xml:space="preserve">2,500 - 5,000</t>
        </is>
      </c>
      <c r="Q97" s="30" t="inlineStr">
        <is>
          <t xml:space="preserve">Texas</t>
        </is>
      </c>
      <c r="R97" s="30" t="inlineStr">
        <is>
          <t xml:space="preserve">75201</t>
        </is>
      </c>
      <c r="S97" s="32" t="inlineStr">
        <is>
          <t xml:space="preserve">Tier 2 - Coastal wind (1-25 miles)</t>
        </is>
      </c>
      <c r="T97" s="36">
        <f>IF($A97="","",IF($S97="","",IFERROR(INDEX('[1]natural catastrophe'!$D$6:$D$17,MATCH($S97,'[1]natural catastrophe'!$B$6:$B$17,0)),"?")))</f>
      </c>
      <c r="U97" s="30" t="inlineStr">
        <is>
          <t xml:space="preserve">2% of agreed value, minimum $10,000</t>
        </is>
      </c>
      <c r="V97" s="32" t="inlineStr">
        <is>
          <t xml:space="preserve">Agreed Value</t>
        </is>
      </c>
      <c r="W97" s="30" t="inlineStr">
        <is>
          <t xml:space="preserve">$1,000</t>
        </is>
      </c>
      <c r="X97" s="32" t="inlineStr">
        <is>
          <t xml:space="preserve">$1,000,000 CSL</t>
        </is>
      </c>
      <c r="Y97" s="30"/>
      <c r="Z97" s="30"/>
      <c r="AA97" s="32" t="inlineStr">
        <is>
          <t xml:space="preserve">Surplus Lines</t>
        </is>
      </c>
      <c r="AB97" s="35">
        <v>3664.11</v>
      </c>
      <c r="AC97" s="37">
        <v>0</v>
      </c>
      <c r="AD97" s="38">
        <f>IF(ISNUMBER($AB97),$AB97*(1+N($AC97)),"")</f>
      </c>
      <c r="AE97" s="35">
        <v>350</v>
      </c>
      <c r="AF97" s="35">
        <v>0</v>
      </c>
      <c r="AG97" s="37"/>
      <c r="AH97" s="39">
        <f>IF(ISNUMBER($AD97),($AD97+$AE97+$AF97)*$AG97,"")</f>
      </c>
      <c r="AI97" s="35"/>
      <c r="AJ97" s="38">
        <f>IF(ISNUMBER($AD97),SUM($AD97:$AH97),"")</f>
      </c>
      <c r="AK97" s="40">
        <f>IF(AND(ISNUMBER($AB97),ISNUMBER($AD97)),IF($AB97&gt;0,$AD97/$AB97,""),"")</f>
      </c>
      <c r="AL97" s="32" t="inlineStr">
        <is>
          <t xml:space="preserve">At technical</t>
        </is>
      </c>
      <c r="AM97" s="41">
        <f>IF(ISNUMBER($AD97),Header!$I$3,"")</f>
      </c>
      <c r="AN97" s="39">
        <f>IF(ISNUMBER($AD97),$AO97+$AP97,"")</f>
      </c>
      <c r="AO97" s="39">
        <f>IF(ISNUMBER($AD97),ROUND($AD97*Header!$K$3,2),"")</f>
      </c>
      <c r="AP97" s="39">
        <f>IF(ISNUMBER($AD97),ROUND($AD97*Header!$M$3,2),"")</f>
      </c>
      <c r="AQ97" s="38">
        <f>IF(ISNUMBER($AD97),ROUND($AD97,2)-$AO97-$AP97,"")</f>
      </c>
      <c r="AR97" s="39">
        <f>IF(ISNUMBER($AD97),IF(Header!$D$34="","?",$AD97*Header!$D$34),"")</f>
      </c>
      <c r="AS97" s="39">
        <f>IF(ISNUMBER($AB97),IF(Header!$D$34="","?",$AB97*Header!$D$34),"")</f>
      </c>
      <c r="AT97" s="42">
        <f>IF(AND(ISNUMBER($AB97),$M97&gt;0),$AB97/$M97*100,"")</f>
      </c>
      <c r="AU97" s="42">
        <f>IF(AND(ISNUMBER($AD97),$M97&gt;0),$AD97/$M97*100,"")</f>
      </c>
      <c r="AV97" s="40">
        <f>IF(AND(ISNUMBER($AB97),ISNUMBER($AD97),ABS($AB97)&gt;0),$AD97/$AB97,"")</f>
      </c>
      <c r="AW97" s="39">
        <f>IF(ISNUMBER($AD97),MAX(0,(1-0.55-Header!$O$3)*Header!$Q$3*$AQ97),"")</f>
      </c>
      <c r="AX97" s="43">
        <f>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c>
      <c r="AY97" s="44">
        <f>IF($M97="","",IF(ISNUMBER($M97),IF($M97&gt;=Header!$C$18,"YES — refer","No"),""))</f>
      </c>
      <c r="AZ97" s="44">
        <f>IF($AD97="","",IF(ISNUMBER($AD97),IF($AD97&lt;Header!$C$20,"BELOW MIN PREMIUM","OK"),""))</f>
      </c>
      <c r="BA97" s="32" t="inlineStr">
        <is>
          <t xml:space="preserve">Yes</t>
        </is>
      </c>
      <c r="BB97" s="32" t="inlineStr">
        <is>
          <t xml:space="preserve">Yes</t>
        </is>
      </c>
      <c r="BC97" s="30" t="inlineStr">
        <is>
          <t xml:space="preserve">Synthetic demo data</t>
        </is>
      </c>
      <c r="BE97" s="45">
        <f>IF(OR($A97="",$L97="",$H97=""),"",IF(AND(LEFT($L97,2)="06",$H97&gt;1945),"FAIL - pre-war class, year "&amp;$H97,IF(AND(LEFT($L97,2)="07",OR($H97&lt;1946,$H97&gt;1972)),"FAIL - 1946-72 class, year "&amp;$H97,IF(AND(LEFT($L97,2)="08",OR($H97&lt;1973,$H97&gt;1999)),"FAIL - 1973-99 class, year "&amp;$H97,IF(AND(LEFT($L97,2)="09",OR($H97&lt;2000,$H97&gt;2010)),"FAIL - 2000-10 class, year "&amp;$H97,"OK")))))</f>
      </c>
      <c r="BF97" s="45">
        <f>IF($AD97="","",IF(ROUND($AO97+$AP97+$AQ97-$AD97,2)=0,"OK","FAIL - out by "&amp;TEXT($AO97+$AP97+$AQ97-$AD97,"$0.00")))</f>
      </c>
    </row>
    <row r="98" spans="1:58" ht="18.75" customHeight="1" x14ac:dyDescent="0.25">
      <c r="A98" s="46" t="inlineStr">
        <is>
          <t xml:space="preserve">CANON-202606-008529</t>
        </is>
      </c>
      <c r="B98" s="46" t="inlineStr">
        <is>
          <t xml:space="preserve">Desmond Pennington</t>
        </is>
      </c>
      <c r="C98" s="47">
        <v>46197</v>
      </c>
      <c r="D98" s="48" t="inlineStr">
        <is>
          <t xml:space="preserve">Bound - within authority</t>
        </is>
      </c>
      <c r="E98" s="48" t="inlineStr">
        <is>
          <t xml:space="preserve">New business</t>
        </is>
      </c>
      <c r="F98" s="46" t="inlineStr">
        <is>
          <t xml:space="preserve">B1234EXOTIC26</t>
        </is>
      </c>
      <c r="G98" s="33">
        <f>IF($A98="","",IF($C98="","",YEAR($C98)))</f>
      </c>
      <c r="H98" s="49">
        <v>1981</v>
      </c>
      <c r="I98" s="46" t="inlineStr">
        <is>
          <t xml:space="preserve">Lamborghini</t>
        </is>
      </c>
      <c r="J98" s="46" t="inlineStr">
        <is>
          <t xml:space="preserve">Huracan EVO</t>
        </is>
      </c>
      <c r="K98" s="46" t="inlineStr">
        <is>
          <t xml:space="preserve">X2Y17UM3795WLTWEJ</t>
        </is>
      </c>
      <c r="L98" s="48" t="inlineStr">
        <is>
          <t xml:space="preserve">03 - Supercar</t>
        </is>
      </c>
      <c r="M98" s="50">
        <v>1540000</v>
      </c>
      <c r="N98" s="48" t="inlineStr">
        <is>
          <t xml:space="preserve">Personal</t>
        </is>
      </c>
      <c r="O98" s="46" t="inlineStr">
        <is>
          <t xml:space="preserve">Personal - regular use</t>
        </is>
      </c>
      <c r="P98" s="46" t="inlineStr">
        <is>
          <t xml:space="preserve">2,500 - 5,000</t>
        </is>
      </c>
      <c r="Q98" s="46" t="inlineStr">
        <is>
          <t xml:space="preserve">Kansas</t>
        </is>
      </c>
      <c r="R98" s="46" t="inlineStr">
        <is>
          <t xml:space="preserve">66603</t>
        </is>
      </c>
      <c r="S98" s="48" t="inlineStr">
        <is>
          <t xml:space="preserve">Severe convective - hail alley (high)</t>
        </is>
      </c>
      <c r="T98" s="36">
        <f>IF($A98="","",IF($S98="","",IFERROR(INDEX('[1]natural catastrophe'!$D$6:$D$17,MATCH($S98,'[1]natural catastrophe'!$B$6:$B$17,0)),"?")))</f>
      </c>
      <c r="U98" s="46" t="inlineStr">
        <is>
          <t xml:space="preserve">$5,000</t>
        </is>
      </c>
      <c r="V98" s="48" t="inlineStr">
        <is>
          <t xml:space="preserve">Agreed Value</t>
        </is>
      </c>
      <c r="W98" s="46" t="inlineStr">
        <is>
          <t xml:space="preserve">$1,000</t>
        </is>
      </c>
      <c r="X98" s="48" t="inlineStr">
        <is>
          <t xml:space="preserve">$1,000,000 CSL</t>
        </is>
      </c>
      <c r="Y98" s="46"/>
      <c r="Z98" s="46"/>
      <c r="AA98" s="48" t="inlineStr">
        <is>
          <t xml:space="preserve">Surplus Lines</t>
        </is>
      </c>
      <c r="AB98" s="50">
        <v>17244.65</v>
      </c>
      <c r="AC98" s="51">
        <v>0</v>
      </c>
      <c r="AD98" s="38">
        <f>IF(ISNUMBER($AB98),$AB98*(1+N($AC98)),"")</f>
      </c>
      <c r="AE98" s="50">
        <v>350</v>
      </c>
      <c r="AF98" s="50">
        <v>250</v>
      </c>
      <c r="AG98" s="51"/>
      <c r="AH98" s="39">
        <f>IF(ISNUMBER($AD98),($AD98+$AE98+$AF98)*$AG98,"")</f>
      </c>
      <c r="AI98" s="50"/>
      <c r="AJ98" s="38">
        <f>IF(ISNUMBER($AD98),SUM($AD98:$AH98),"")</f>
      </c>
      <c r="AK98" s="40">
        <f>IF(AND(ISNUMBER($AB98),ISNUMBER($AD98)),IF($AB98&gt;0,$AD98/$AB98,""),"")</f>
      </c>
      <c r="AL98" s="48" t="inlineStr">
        <is>
          <t xml:space="preserve">At technical</t>
        </is>
      </c>
      <c r="AM98" s="41">
        <f>IF(ISNUMBER($AD98),Header!$I$3,"")</f>
      </c>
      <c r="AN98" s="39">
        <f>IF(ISNUMBER($AD98),$AO98+$AP98,"")</f>
      </c>
      <c r="AO98" s="39">
        <f>IF(ISNUMBER($AD98),ROUND($AD98*Header!$K$3,2),"")</f>
      </c>
      <c r="AP98" s="39">
        <f>IF(ISNUMBER($AD98),ROUND($AD98*Header!$M$3,2),"")</f>
      </c>
      <c r="AQ98" s="38">
        <f>IF(ISNUMBER($AD98),ROUND($AD98,2)-$AO98-$AP98,"")</f>
      </c>
      <c r="AR98" s="39">
        <f>IF(ISNUMBER($AD98),IF(Header!$D$34="","?",$AD98*Header!$D$34),"")</f>
      </c>
      <c r="AS98" s="39">
        <f>IF(ISNUMBER($AB98),IF(Header!$D$34="","?",$AB98*Header!$D$34),"")</f>
      </c>
      <c r="AT98" s="42">
        <f>IF(AND(ISNUMBER($AB98),$M98&gt;0),$AB98/$M98*100,"")</f>
      </c>
      <c r="AU98" s="42">
        <f>IF(AND(ISNUMBER($AD98),$M98&gt;0),$AD98/$M98*100,"")</f>
      </c>
      <c r="AV98" s="40">
        <f>IF(AND(ISNUMBER($AB98),ISNUMBER($AD98),ABS($AB98)&gt;0),$AD98/$AB98,"")</f>
      </c>
      <c r="AW98" s="39">
        <f>IF(ISNUMBER($AD98),MAX(0,(1-0.55-Header!$O$3)*Header!$Q$3*$AQ98),"")</f>
      </c>
      <c r="AX98" s="43">
        <f>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c>
      <c r="AY98" s="44">
        <f>IF($M98="","",IF(ISNUMBER($M98),IF($M98&gt;=Header!$C$18,"YES — refer","No"),""))</f>
      </c>
      <c r="AZ98" s="44">
        <f>IF($AD98="","",IF(ISNUMBER($AD98),IF($AD98&lt;Header!$C$20,"BELOW MIN PREMIUM","OK"),""))</f>
      </c>
      <c r="BA98" s="48" t="inlineStr">
        <is>
          <t xml:space="preserve">Yes</t>
        </is>
      </c>
      <c r="BB98" s="48" t="inlineStr">
        <is>
          <t xml:space="preserve">Yes</t>
        </is>
      </c>
      <c r="BC98" s="46" t="inlineStr">
        <is>
          <t xml:space="preserve">Synthetic demo data</t>
        </is>
      </c>
      <c r="BE98" s="45">
        <f>IF(OR($A98="",$L98="",$H98=""),"",IF(AND(LEFT($L98,2)="06",$H98&gt;1945),"FAIL - pre-war class, year "&amp;$H98,IF(AND(LEFT($L98,2)="07",OR($H98&lt;1946,$H98&gt;1972)),"FAIL - 1946-72 class, year "&amp;$H98,IF(AND(LEFT($L98,2)="08",OR($H98&lt;1973,$H98&gt;1999)),"FAIL - 1973-99 class, year "&amp;$H98,IF(AND(LEFT($L98,2)="09",OR($H98&lt;2000,$H98&gt;2010)),"FAIL - 2000-10 class, year "&amp;$H98,"OK")))))</f>
      </c>
      <c r="BF98" s="45">
        <f>IF($AD98="","",IF(ROUND($AO98+$AP98+$AQ98-$AD98,2)=0,"OK","FAIL - out by "&amp;TEXT($AO98+$AP98+$AQ98-$AD98,"$0.00")))</f>
      </c>
    </row>
    <row r="99" spans="1:58" ht="18.75" customHeight="1" x14ac:dyDescent="0.25">
      <c r="A99" s="30" t="inlineStr">
        <is>
          <t xml:space="preserve">CANON-202606-008531</t>
        </is>
      </c>
      <c r="B99" s="30" t="inlineStr">
        <is>
          <t xml:space="preserve">Fenwick Underwood</t>
        </is>
      </c>
      <c r="C99" s="31">
        <v>46201</v>
      </c>
      <c r="D99" s="32" t="inlineStr">
        <is>
          <t xml:space="preserve">Bound - within authority</t>
        </is>
      </c>
      <c r="E99" s="32" t="inlineStr">
        <is>
          <t xml:space="preserve">New business</t>
        </is>
      </c>
      <c r="F99" s="30" t="inlineStr">
        <is>
          <t xml:space="preserve">B1234EXOTIC26</t>
        </is>
      </c>
      <c r="G99" s="33">
        <f>IF($A99="","",IF($C99="","",YEAR($C99)))</f>
      </c>
      <c r="H99" s="34">
        <v>2022</v>
      </c>
      <c r="I99" s="30" t="inlineStr">
        <is>
          <t xml:space="preserve">BMW</t>
        </is>
      </c>
      <c r="J99" s="30" t="inlineStr">
        <is>
          <t xml:space="preserve">M8 Competition</t>
        </is>
      </c>
      <c r="K99" s="30" t="inlineStr">
        <is>
          <t xml:space="preserve">WKN38ZP0NK7NFDP0F</t>
        </is>
      </c>
      <c r="L99" s="32" t="inlineStr">
        <is>
          <t xml:space="preserve">02 - Sports / GT</t>
        </is>
      </c>
      <c r="M99" s="35">
        <v>570000</v>
      </c>
      <c r="N99" s="32" t="inlineStr">
        <is>
          <t xml:space="preserve">Personal</t>
        </is>
      </c>
      <c r="O99" s="30" t="inlineStr">
        <is>
          <t xml:space="preserve">Personal - regular use</t>
        </is>
      </c>
      <c r="P99" s="30" t="inlineStr">
        <is>
          <t xml:space="preserve">1,000 - 2,500</t>
        </is>
      </c>
      <c r="Q99" s="30" t="inlineStr">
        <is>
          <t xml:space="preserve">Colorado</t>
        </is>
      </c>
      <c r="R99" s="30" t="inlineStr">
        <is>
          <t xml:space="preserve">80202</t>
        </is>
      </c>
      <c r="S99" s="32" t="inlineStr">
        <is>
          <t xml:space="preserve">Severe convective - hail alley (high)</t>
        </is>
      </c>
      <c r="T99" s="36">
        <f>IF($A99="","",IF($S99="","",IFERROR(INDEX('[1]natural catastrophe'!$D$6:$D$17,MATCH($S99,'[1]natural catastrophe'!$B$6:$B$17,0)),"?")))</f>
      </c>
      <c r="U99" s="30" t="inlineStr">
        <is>
          <t xml:space="preserve">$5,000</t>
        </is>
      </c>
      <c r="V99" s="32" t="inlineStr">
        <is>
          <t xml:space="preserve">Agreed Value</t>
        </is>
      </c>
      <c r="W99" s="30" t="inlineStr">
        <is>
          <t xml:space="preserve">$1,000</t>
        </is>
      </c>
      <c r="X99" s="32" t="inlineStr">
        <is>
          <t xml:space="preserve">$1,000,000 CSL</t>
        </is>
      </c>
      <c r="Y99" s="30"/>
      <c r="Z99" s="30"/>
      <c r="AA99" s="32" t="inlineStr">
        <is>
          <t xml:space="preserve">Surplus Lines</t>
        </is>
      </c>
      <c r="AB99" s="35">
        <v>5881.02</v>
      </c>
      <c r="AC99" s="37">
        <v>0</v>
      </c>
      <c r="AD99" s="38">
        <f>IF(ISNUMBER($AB99),$AB99*(1+N($AC99)),"")</f>
      </c>
      <c r="AE99" s="35">
        <v>350</v>
      </c>
      <c r="AF99" s="35">
        <v>0</v>
      </c>
      <c r="AG99" s="37"/>
      <c r="AH99" s="39">
        <f>IF(ISNUMBER($AD99),($AD99+$AE99+$AF99)*$AG99,"")</f>
      </c>
      <c r="AI99" s="35"/>
      <c r="AJ99" s="38">
        <f>IF(ISNUMBER($AD99),SUM($AD99:$AH99),"")</f>
      </c>
      <c r="AK99" s="40">
        <f>IF(AND(ISNUMBER($AB99),ISNUMBER($AD99)),IF($AB99&gt;0,$AD99/$AB99,""),"")</f>
      </c>
      <c r="AL99" s="32" t="inlineStr">
        <is>
          <t xml:space="preserve">At technical</t>
        </is>
      </c>
      <c r="AM99" s="41">
        <f>IF(ISNUMBER($AD99),Header!$I$3,"")</f>
      </c>
      <c r="AN99" s="39">
        <f>IF(ISNUMBER($AD99),$AO99+$AP99,"")</f>
      </c>
      <c r="AO99" s="39">
        <f>IF(ISNUMBER($AD99),ROUND($AD99*Header!$K$3,2),"")</f>
      </c>
      <c r="AP99" s="39">
        <f>IF(ISNUMBER($AD99),ROUND($AD99*Header!$M$3,2),"")</f>
      </c>
      <c r="AQ99" s="38">
        <f>IF(ISNUMBER($AD99),ROUND($AD99,2)-$AO99-$AP99,"")</f>
      </c>
      <c r="AR99" s="39">
        <f>IF(ISNUMBER($AD99),IF(Header!$D$34="","?",$AD99*Header!$D$34),"")</f>
      </c>
      <c r="AS99" s="39">
        <f>IF(ISNUMBER($AB99),IF(Header!$D$34="","?",$AB99*Header!$D$34),"")</f>
      </c>
      <c r="AT99" s="42">
        <f>IF(AND(ISNUMBER($AB99),$M99&gt;0),$AB99/$M99*100,"")</f>
      </c>
      <c r="AU99" s="42">
        <f>IF(AND(ISNUMBER($AD99),$M99&gt;0),$AD99/$M99*100,"")</f>
      </c>
      <c r="AV99" s="40">
        <f>IF(AND(ISNUMBER($AB99),ISNUMBER($AD99),ABS($AB99)&gt;0),$AD99/$AB99,"")</f>
      </c>
      <c r="AW99" s="39">
        <f>IF(ISNUMBER($AD99),MAX(0,(1-0.55-Header!$O$3)*Header!$Q$3*$AQ99),"")</f>
      </c>
      <c r="AX99" s="43">
        <f>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c>
      <c r="AY99" s="44">
        <f>IF($M99="","",IF(ISNUMBER($M99),IF($M99&gt;=Header!$C$18,"YES — refer","No"),""))</f>
      </c>
      <c r="AZ99" s="44">
        <f>IF($AD99="","",IF(ISNUMBER($AD99),IF($AD99&lt;Header!$C$20,"BELOW MIN PREMIUM","OK"),""))</f>
      </c>
      <c r="BA99" s="32" t="inlineStr">
        <is>
          <t xml:space="preserve">Yes</t>
        </is>
      </c>
      <c r="BB99" s="32" t="inlineStr">
        <is>
          <t xml:space="preserve">Yes</t>
        </is>
      </c>
      <c r="BC99" s="30" t="inlineStr">
        <is>
          <t xml:space="preserve">Synthetic demo data</t>
        </is>
      </c>
      <c r="BE99" s="45">
        <f>IF(OR($A99="",$L99="",$H99=""),"",IF(AND(LEFT($L99,2)="06",$H99&gt;1945),"FAIL - pre-war class, year "&amp;$H99,IF(AND(LEFT($L99,2)="07",OR($H99&lt;1946,$H99&gt;1972)),"FAIL - 1946-72 class, year "&amp;$H99,IF(AND(LEFT($L99,2)="08",OR($H99&lt;1973,$H99&gt;1999)),"FAIL - 1973-99 class, year "&amp;$H99,IF(AND(LEFT($L99,2)="09",OR($H99&lt;2000,$H99&gt;2010)),"FAIL - 2000-10 class, year "&amp;$H99,"OK")))))</f>
      </c>
      <c r="BF99" s="45">
        <f>IF($AD99="","",IF(ROUND($AO99+$AP99+$AQ99-$AD99,2)=0,"OK","FAIL - out by "&amp;TEXT($AO99+$AP99+$AQ99-$AD99,"$0.00")))</f>
      </c>
    </row>
    <row r="100" spans="1:58" ht="18.75" customHeight="1" x14ac:dyDescent="0.25">
      <c r="A100" s="46" t="inlineStr">
        <is>
          <t xml:space="preserve">CANON-202606-008533</t>
        </is>
      </c>
      <c r="B100" s="46" t="inlineStr">
        <is>
          <t xml:space="preserve">Everett Harrington</t>
        </is>
      </c>
      <c r="C100" s="47">
        <v>46188</v>
      </c>
      <c r="D100" s="48" t="inlineStr">
        <is>
          <t xml:space="preserve">Bound - within authority</t>
        </is>
      </c>
      <c r="E100" s="48" t="inlineStr">
        <is>
          <t xml:space="preserve">New business</t>
        </is>
      </c>
      <c r="F100" s="46" t="inlineStr">
        <is>
          <t xml:space="preserve">B1234EXOTIC26</t>
        </is>
      </c>
      <c r="G100" s="33">
        <f>IF($A100="","",IF($C100="","",YEAR($C100)))</f>
      </c>
      <c r="H100" s="49">
        <v>2001</v>
      </c>
      <c r="I100" s="46" t="inlineStr">
        <is>
          <t xml:space="preserve">Mercedes-Benz</t>
        </is>
      </c>
      <c r="J100" s="46" t="inlineStr">
        <is>
          <t xml:space="preserve">280SL Pagoda</t>
        </is>
      </c>
      <c r="K100" s="46" t="inlineStr">
        <is>
          <t xml:space="preserve">L6P1XX07MNJL7KFHM</t>
        </is>
      </c>
      <c r="L100" s="48" t="inlineStr">
        <is>
          <t xml:space="preserve">09 - Youngtimer / Collectible (2000-2010)</t>
        </is>
      </c>
      <c r="M100" s="50">
        <v>600000</v>
      </c>
      <c r="N100" s="48" t="inlineStr">
        <is>
          <t xml:space="preserve">Personal</t>
        </is>
      </c>
      <c r="O100" s="46" t="inlineStr">
        <is>
          <t xml:space="preserve">Personal - regular use</t>
        </is>
      </c>
      <c r="P100" s="46" t="inlineStr">
        <is>
          <t xml:space="preserve">2,500 - 5,000</t>
        </is>
      </c>
      <c r="Q100" s="46" t="inlineStr">
        <is>
          <t xml:space="preserve">Maine</t>
        </is>
      </c>
      <c r="R100" s="46" t="inlineStr">
        <is>
          <t xml:space="preserve">04101</t>
        </is>
      </c>
      <c r="S100" s="48" t="inlineStr">
        <is>
          <t xml:space="preserve">Tier 3 - Coastal wind (25-100 miles)</t>
        </is>
      </c>
      <c r="T100" s="36">
        <f>IF($A100="","",IF($S100="","",IFERROR(INDEX('[1]natural catastrophe'!$D$6:$D$17,MATCH($S100,'[1]natural catastrophe'!$B$6:$B$17,0)),"?")))</f>
      </c>
      <c r="U100" s="46" t="inlineStr">
        <is>
          <t xml:space="preserve">2% of agreed value, minimum $10,000</t>
        </is>
      </c>
      <c r="V100" s="48" t="inlineStr">
        <is>
          <t xml:space="preserve">Agreed Value</t>
        </is>
      </c>
      <c r="W100" s="46" t="inlineStr">
        <is>
          <t xml:space="preserve">$1,000</t>
        </is>
      </c>
      <c r="X100" s="48" t="inlineStr">
        <is>
          <t xml:space="preserve">$1,000,000 CSL</t>
        </is>
      </c>
      <c r="Y100" s="46"/>
      <c r="Z100" s="46"/>
      <c r="AA100" s="48" t="inlineStr">
        <is>
          <t xml:space="preserve">Surplus Lines</t>
        </is>
      </c>
      <c r="AB100" s="50">
        <v>4020.83</v>
      </c>
      <c r="AC100" s="51">
        <v>0</v>
      </c>
      <c r="AD100" s="38">
        <f>IF(ISNUMBER($AB100),$AB100*(1+N($AC100)),"")</f>
      </c>
      <c r="AE100" s="50">
        <v>350</v>
      </c>
      <c r="AF100" s="50">
        <v>0</v>
      </c>
      <c r="AG100" s="51"/>
      <c r="AH100" s="39">
        <f>IF(ISNUMBER($AD100),($AD100+$AE100+$AF100)*$AG100,"")</f>
      </c>
      <c r="AI100" s="50"/>
      <c r="AJ100" s="38">
        <f>IF(ISNUMBER($AD100),SUM($AD100:$AH100),"")</f>
      </c>
      <c r="AK100" s="40">
        <f>IF(AND(ISNUMBER($AB100),ISNUMBER($AD100)),IF($AB100&gt;0,$AD100/$AB100,""),"")</f>
      </c>
      <c r="AL100" s="48" t="inlineStr">
        <is>
          <t xml:space="preserve">At technical</t>
        </is>
      </c>
      <c r="AM100" s="41">
        <f>IF(ISNUMBER($AD100),Header!$I$3,"")</f>
      </c>
      <c r="AN100" s="39">
        <f>IF(ISNUMBER($AD100),$AO100+$AP100,"")</f>
      </c>
      <c r="AO100" s="39">
        <f>IF(ISNUMBER($AD100),ROUND($AD100*Header!$K$3,2),"")</f>
      </c>
      <c r="AP100" s="39">
        <f>IF(ISNUMBER($AD100),ROUND($AD100*Header!$M$3,2),"")</f>
      </c>
      <c r="AQ100" s="38">
        <f>IF(ISNUMBER($AD100),ROUND($AD100,2)-$AO100-$AP100,"")</f>
      </c>
      <c r="AR100" s="39">
        <f>IF(ISNUMBER($AD100),IF(Header!$D$34="","?",$AD100*Header!$D$34),"")</f>
      </c>
      <c r="AS100" s="39">
        <f>IF(ISNUMBER($AB100),IF(Header!$D$34="","?",$AB100*Header!$D$34),"")</f>
      </c>
      <c r="AT100" s="42">
        <f>IF(AND(ISNUMBER($AB100),$M100&gt;0),$AB100/$M100*100,"")</f>
      </c>
      <c r="AU100" s="42">
        <f>IF(AND(ISNUMBER($AD100),$M100&gt;0),$AD100/$M100*100,"")</f>
      </c>
      <c r="AV100" s="40">
        <f>IF(AND(ISNUMBER($AB100),ISNUMBER($AD100),ABS($AB100)&gt;0),$AD100/$AB100,"")</f>
      </c>
      <c r="AW100" s="39">
        <f>IF(ISNUMBER($AD100),MAX(0,(1-0.55-Header!$O$3)*Header!$Q$3*$AQ100),"")</f>
      </c>
      <c r="AX100" s="43">
        <f>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c>
      <c r="AY100" s="44">
        <f>IF($M100="","",IF(ISNUMBER($M100),IF($M100&gt;=Header!$C$18,"YES — refer","No"),""))</f>
      </c>
      <c r="AZ100" s="44">
        <f>IF($AD100="","",IF(ISNUMBER($AD100),IF($AD100&lt;Header!$C$20,"BELOW MIN PREMIUM","OK"),""))</f>
      </c>
      <c r="BA100" s="48" t="inlineStr">
        <is>
          <t xml:space="preserve">Yes</t>
        </is>
      </c>
      <c r="BB100" s="48" t="inlineStr">
        <is>
          <t xml:space="preserve">Yes</t>
        </is>
      </c>
      <c r="BC100" s="46" t="inlineStr">
        <is>
          <t xml:space="preserve">Synthetic demo data</t>
        </is>
      </c>
      <c r="BE100" s="45">
        <f>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c>
      <c r="BF100" s="45">
        <f>IF($AD100="","",IF(ROUND($AO100+$AP100+$AQ100-$AD100,2)=0,"OK","FAIL - out by "&amp;TEXT($AO100+$AP100+$AQ100-$AD100,"$0.00")))</f>
      </c>
    </row>
    <row r="101" spans="1:58" ht="18.75" customHeight="1" x14ac:dyDescent="0.25">
      <c r="A101" s="30" t="inlineStr">
        <is>
          <t xml:space="preserve">CANON-202606-008534</t>
        </is>
      </c>
      <c r="B101" s="30" t="inlineStr">
        <is>
          <t xml:space="preserve">Thaddeus Merriweather</t>
        </is>
      </c>
      <c r="C101" s="31">
        <v>46189</v>
      </c>
      <c r="D101" s="32" t="inlineStr">
        <is>
          <t xml:space="preserve">Bound - within authority</t>
        </is>
      </c>
      <c r="E101" s="32" t="inlineStr">
        <is>
          <t xml:space="preserve">New business</t>
        </is>
      </c>
      <c r="F101" s="30" t="inlineStr">
        <is>
          <t xml:space="preserve">B1234EXOTIC26</t>
        </is>
      </c>
      <c r="G101" s="33">
        <f>IF($A101="","",IF($C101="","",YEAR($C101)))</f>
      </c>
      <c r="H101" s="34">
        <v>1971</v>
      </c>
      <c r="I101" s="30" t="inlineStr">
        <is>
          <t xml:space="preserve">Porsche</t>
        </is>
      </c>
      <c r="J101" s="30" t="inlineStr">
        <is>
          <t xml:space="preserve">911 Turbo S</t>
        </is>
      </c>
      <c r="K101" s="30" t="inlineStr">
        <is>
          <t xml:space="preserve">5Z1MBW9NE8F06K0XK</t>
        </is>
      </c>
      <c r="L101" s="32" t="inlineStr">
        <is>
          <t xml:space="preserve">02 - Sports / GT</t>
        </is>
      </c>
      <c r="M101" s="35">
        <v>780000</v>
      </c>
      <c r="N101" s="32" t="inlineStr">
        <is>
          <t xml:space="preserve">Personal</t>
        </is>
      </c>
      <c r="O101" s="30" t="inlineStr">
        <is>
          <t xml:space="preserve">Personal - regular use</t>
        </is>
      </c>
      <c r="P101" s="30" t="inlineStr">
        <is>
          <t xml:space="preserve">Under 1,000</t>
        </is>
      </c>
      <c r="Q101" s="30" t="inlineStr">
        <is>
          <t xml:space="preserve">California</t>
        </is>
      </c>
      <c r="R101" s="30" t="inlineStr">
        <is>
          <t xml:space="preserve">90012</t>
        </is>
      </c>
      <c r="S101" s="32" t="inlineStr">
        <is>
          <t xml:space="preserve">Earthquake - high (CA, Cascadia, New Madrid)</t>
        </is>
      </c>
      <c r="T101" s="36">
        <f>IF($A101="","",IF($S101="","",IFERROR(INDEX('[1]natural catastrophe'!$D$6:$D$17,MATCH($S101,'[1]natural catastrophe'!$B$6:$B$17,0)),"?")))</f>
      </c>
      <c r="U101" s="30" t="inlineStr">
        <is>
          <t xml:space="preserve">$5,000</t>
        </is>
      </c>
      <c r="V101" s="32" t="inlineStr">
        <is>
          <t xml:space="preserve">Agreed Value</t>
        </is>
      </c>
      <c r="W101" s="30" t="inlineStr">
        <is>
          <t xml:space="preserve">$1,000</t>
        </is>
      </c>
      <c r="X101" s="32" t="inlineStr">
        <is>
          <t xml:space="preserve">$1,000,000 CSL</t>
        </is>
      </c>
      <c r="Y101" s="30"/>
      <c r="Z101" s="30"/>
      <c r="AA101" s="32" t="inlineStr">
        <is>
          <t xml:space="preserve">Surplus Lines</t>
        </is>
      </c>
      <c r="AB101" s="35">
        <v>9876.74</v>
      </c>
      <c r="AC101" s="37">
        <v>0</v>
      </c>
      <c r="AD101" s="38">
        <f>IF(ISNUMBER($AB101),$AB101*(1+N($AC101)),"")</f>
      </c>
      <c r="AE101" s="35">
        <v>350</v>
      </c>
      <c r="AF101" s="35">
        <v>0</v>
      </c>
      <c r="AG101" s="37"/>
      <c r="AH101" s="39">
        <f>IF(ISNUMBER($AD101),($AD101+$AE101+$AF101)*$AG101,"")</f>
      </c>
      <c r="AI101" s="35"/>
      <c r="AJ101" s="38">
        <f>IF(ISNUMBER($AD101),SUM($AD101:$AH101),"")</f>
      </c>
      <c r="AK101" s="40">
        <f>IF(AND(ISNUMBER($AB101),ISNUMBER($AD101)),IF($AB101&gt;0,$AD101/$AB101,""),"")</f>
      </c>
      <c r="AL101" s="32" t="inlineStr">
        <is>
          <t xml:space="preserve">At technical</t>
        </is>
      </c>
      <c r="AM101" s="41">
        <f>IF(ISNUMBER($AD101),Header!$I$3,"")</f>
      </c>
      <c r="AN101" s="39">
        <f>IF(ISNUMBER($AD101),$AO101+$AP101,"")</f>
      </c>
      <c r="AO101" s="39">
        <f>IF(ISNUMBER($AD101),ROUND($AD101*Header!$K$3,2),"")</f>
      </c>
      <c r="AP101" s="39">
        <f>IF(ISNUMBER($AD101),ROUND($AD101*Header!$M$3,2),"")</f>
      </c>
      <c r="AQ101" s="38">
        <f>IF(ISNUMBER($AD101),ROUND($AD101,2)-$AO101-$AP101,"")</f>
      </c>
      <c r="AR101" s="39">
        <f>IF(ISNUMBER($AD101),IF(Header!$D$34="","?",$AD101*Header!$D$34),"")</f>
      </c>
      <c r="AS101" s="39">
        <f>IF(ISNUMBER($AB101),IF(Header!$D$34="","?",$AB101*Header!$D$34),"")</f>
      </c>
      <c r="AT101" s="42">
        <f>IF(AND(ISNUMBER($AB101),$M101&gt;0),$AB101/$M101*100,"")</f>
      </c>
      <c r="AU101" s="42">
        <f>IF(AND(ISNUMBER($AD101),$M101&gt;0),$AD101/$M101*100,"")</f>
      </c>
      <c r="AV101" s="40">
        <f>IF(AND(ISNUMBER($AB101),ISNUMBER($AD101),ABS($AB101)&gt;0),$AD101/$AB101,"")</f>
      </c>
      <c r="AW101" s="39">
        <f>IF(ISNUMBER($AD101),MAX(0,(1-0.55-Header!$O$3)*Header!$Q$3*$AQ101),"")</f>
      </c>
      <c r="AX101" s="43">
        <f>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c>
      <c r="AY101" s="44">
        <f>IF($M101="","",IF(ISNUMBER($M101),IF($M101&gt;=Header!$C$18,"YES — refer","No"),""))</f>
      </c>
      <c r="AZ101" s="44">
        <f>IF($AD101="","",IF(ISNUMBER($AD101),IF($AD101&lt;Header!$C$20,"BELOW MIN PREMIUM","OK"),""))</f>
      </c>
      <c r="BA101" s="32" t="inlineStr">
        <is>
          <t xml:space="preserve">Yes</t>
        </is>
      </c>
      <c r="BB101" s="32" t="inlineStr">
        <is>
          <t xml:space="preserve">Yes</t>
        </is>
      </c>
      <c r="BC101" s="30" t="inlineStr">
        <is>
          <t xml:space="preserve">Synthetic demo data</t>
        </is>
      </c>
      <c r="BE101" s="45">
        <f>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c>
      <c r="BF101" s="45">
        <f>IF($AD101="","",IF(ROUND($AO101+$AP101+$AQ101-$AD101,2)=0,"OK","FAIL - out by "&amp;TEXT($AO101+$AP101+$AQ101-$AD101,"$0.00")))</f>
      </c>
    </row>
    <row r="102" spans="1:58" ht="18.75" customHeight="1" x14ac:dyDescent="0.25">
      <c r="A102" s="46" t="inlineStr">
        <is>
          <t xml:space="preserve">CANON-202606-008535</t>
        </is>
      </c>
      <c r="B102" s="46" t="inlineStr">
        <is>
          <t xml:space="preserve">Noor Farkas</t>
        </is>
      </c>
      <c r="C102" s="47">
        <v>46198</v>
      </c>
      <c r="D102" s="48" t="inlineStr">
        <is>
          <t xml:space="preserve">Bound - within authority</t>
        </is>
      </c>
      <c r="E102" s="48" t="inlineStr">
        <is>
          <t xml:space="preserve">New business</t>
        </is>
      </c>
      <c r="F102" s="46" t="inlineStr">
        <is>
          <t xml:space="preserve">B1234EXOTIC26</t>
        </is>
      </c>
      <c r="G102" s="33">
        <f>IF($A102="","",IF($C102="","",YEAR($C102)))</f>
      </c>
      <c r="H102" s="49">
        <v>2001</v>
      </c>
      <c r="I102" s="46" t="inlineStr">
        <is>
          <t xml:space="preserve">Porsche</t>
        </is>
      </c>
      <c r="J102" s="46" t="inlineStr">
        <is>
          <t xml:space="preserve">911 Turbo S</t>
        </is>
      </c>
      <c r="K102" s="46" t="inlineStr">
        <is>
          <t xml:space="preserve">65CF98U3B0S3V97BL</t>
        </is>
      </c>
      <c r="L102" s="48" t="inlineStr">
        <is>
          <t xml:space="preserve">02 - Sports / GT</t>
        </is>
      </c>
      <c r="M102" s="50">
        <v>450000</v>
      </c>
      <c r="N102" s="48" t="inlineStr">
        <is>
          <t xml:space="preserve">Personal</t>
        </is>
      </c>
      <c r="O102" s="46" t="inlineStr">
        <is>
          <t xml:space="preserve">Personal - regular use</t>
        </is>
      </c>
      <c r="P102" s="46" t="inlineStr">
        <is>
          <t xml:space="preserve">1,000 - 2,500</t>
        </is>
      </c>
      <c r="Q102" s="46" t="inlineStr">
        <is>
          <t xml:space="preserve">Connecticut</t>
        </is>
      </c>
      <c r="R102" s="46" t="inlineStr">
        <is>
          <t xml:space="preserve">06103</t>
        </is>
      </c>
      <c r="S102" s="48" t="inlineStr">
        <is>
          <t xml:space="preserve">Tier 3 - Coastal wind (25-100 miles)</t>
        </is>
      </c>
      <c r="T102" s="36">
        <f>IF($A102="","",IF($S102="","",IFERROR(INDEX('[1]natural catastrophe'!$D$6:$D$17,MATCH($S102,'[1]natural catastrophe'!$B$6:$B$17,0)),"?")))</f>
      </c>
      <c r="U102" s="46" t="inlineStr">
        <is>
          <t xml:space="preserve">2% of agreed value, minimum $10,000</t>
        </is>
      </c>
      <c r="V102" s="48" t="inlineStr">
        <is>
          <t xml:space="preserve">Agreed Value</t>
        </is>
      </c>
      <c r="W102" s="46" t="inlineStr">
        <is>
          <t xml:space="preserve">$1,000</t>
        </is>
      </c>
      <c r="X102" s="48" t="inlineStr">
        <is>
          <t xml:space="preserve">$1,000,000 CSL</t>
        </is>
      </c>
      <c r="Y102" s="46"/>
      <c r="Z102" s="46"/>
      <c r="AA102" s="48" t="inlineStr">
        <is>
          <t xml:space="preserve">Surplus Lines</t>
        </is>
      </c>
      <c r="AB102" s="50">
        <v>5454.61</v>
      </c>
      <c r="AC102" s="51">
        <v>0</v>
      </c>
      <c r="AD102" s="38">
        <f>IF(ISNUMBER($AB102),$AB102*(1+N($AC102)),"")</f>
      </c>
      <c r="AE102" s="50">
        <v>350</v>
      </c>
      <c r="AF102" s="50">
        <v>0</v>
      </c>
      <c r="AG102" s="51"/>
      <c r="AH102" s="39">
        <f>IF(ISNUMBER($AD102),($AD102+$AE102+$AF102)*$AG102,"")</f>
      </c>
      <c r="AI102" s="50"/>
      <c r="AJ102" s="38">
        <f>IF(ISNUMBER($AD102),SUM($AD102:$AH102),"")</f>
      </c>
      <c r="AK102" s="40">
        <f>IF(AND(ISNUMBER($AB102),ISNUMBER($AD102)),IF($AB102&gt;0,$AD102/$AB102,""),"")</f>
      </c>
      <c r="AL102" s="48" t="inlineStr">
        <is>
          <t xml:space="preserve">At technical</t>
        </is>
      </c>
      <c r="AM102" s="41">
        <f>IF(ISNUMBER($AD102),Header!$I$3,"")</f>
      </c>
      <c r="AN102" s="39">
        <f>IF(ISNUMBER($AD102),$AO102+$AP102,"")</f>
      </c>
      <c r="AO102" s="39">
        <f>IF(ISNUMBER($AD102),ROUND($AD102*Header!$K$3,2),"")</f>
      </c>
      <c r="AP102" s="39">
        <f>IF(ISNUMBER($AD102),ROUND($AD102*Header!$M$3,2),"")</f>
      </c>
      <c r="AQ102" s="38">
        <f>IF(ISNUMBER($AD102),ROUND($AD102,2)-$AO102-$AP102,"")</f>
      </c>
      <c r="AR102" s="39">
        <f>IF(ISNUMBER($AD102),IF(Header!$D$34="","?",$AD102*Header!$D$34),"")</f>
      </c>
      <c r="AS102" s="39">
        <f>IF(ISNUMBER($AB102),IF(Header!$D$34="","?",$AB102*Header!$D$34),"")</f>
      </c>
      <c r="AT102" s="42">
        <f>IF(AND(ISNUMBER($AB102),$M102&gt;0),$AB102/$M102*100,"")</f>
      </c>
      <c r="AU102" s="42">
        <f>IF(AND(ISNUMBER($AD102),$M102&gt;0),$AD102/$M102*100,"")</f>
      </c>
      <c r="AV102" s="40">
        <f>IF(AND(ISNUMBER($AB102),ISNUMBER($AD102),ABS($AB102)&gt;0),$AD102/$AB102,"")</f>
      </c>
      <c r="AW102" s="39">
        <f>IF(ISNUMBER($AD102),MAX(0,(1-0.55-Header!$O$3)*Header!$Q$3*$AQ102),"")</f>
      </c>
      <c r="AX102" s="43">
        <f>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c>
      <c r="AY102" s="44">
        <f>IF($M102="","",IF(ISNUMBER($M102),IF($M102&gt;=Header!$C$18,"YES — refer","No"),""))</f>
      </c>
      <c r="AZ102" s="44">
        <f>IF($AD102="","",IF(ISNUMBER($AD102),IF($AD102&lt;Header!$C$20,"BELOW MIN PREMIUM","OK"),""))</f>
      </c>
      <c r="BA102" s="48" t="inlineStr">
        <is>
          <t xml:space="preserve">Yes</t>
        </is>
      </c>
      <c r="BB102" s="48" t="inlineStr">
        <is>
          <t xml:space="preserve">Yes</t>
        </is>
      </c>
      <c r="BC102" s="46" t="inlineStr">
        <is>
          <t xml:space="preserve">Synthetic demo data</t>
        </is>
      </c>
      <c r="BE102" s="45">
        <f>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c>
      <c r="BF102" s="45">
        <f>IF($AD102="","",IF(ROUND($AO102+$AP102+$AQ102-$AD102,2)=0,"OK","FAIL - out by "&amp;TEXT($AO102+$AP102+$AQ102-$AD102,"$0.00")))</f>
      </c>
    </row>
    <row r="103" spans="1:58" ht="18.75" customHeight="1" x14ac:dyDescent="0.25">
      <c r="A103" s="30" t="inlineStr">
        <is>
          <t xml:space="preserve">CANON-202606-008537</t>
        </is>
      </c>
      <c r="B103" s="30" t="inlineStr">
        <is>
          <t xml:space="preserve">Delphine Vasquez</t>
        </is>
      </c>
      <c r="C103" s="31">
        <v>46197</v>
      </c>
      <c r="D103" s="32" t="inlineStr">
        <is>
          <t xml:space="preserve">Bound - within authority</t>
        </is>
      </c>
      <c r="E103" s="32" t="inlineStr">
        <is>
          <t xml:space="preserve">New business</t>
        </is>
      </c>
      <c r="F103" s="30" t="inlineStr">
        <is>
          <t xml:space="preserve">B1234EXOTIC26</t>
        </is>
      </c>
      <c r="G103" s="33">
        <f>IF($A103="","",IF($C103="","",YEAR($C103)))</f>
      </c>
      <c r="H103" s="34">
        <v>1985</v>
      </c>
      <c r="I103" s="30" t="inlineStr">
        <is>
          <t xml:space="preserve">Jaguar</t>
        </is>
      </c>
      <c r="J103" s="30" t="inlineStr">
        <is>
          <t xml:space="preserve">E-Type Series 1</t>
        </is>
      </c>
      <c r="K103" s="30" t="inlineStr">
        <is>
          <t xml:space="preserve">1663P7HFY1S7YJKSR</t>
        </is>
      </c>
      <c r="L103" s="32" t="inlineStr">
        <is>
          <t xml:space="preserve">08 - Modern Classic (1973-1999)</t>
        </is>
      </c>
      <c r="M103" s="35">
        <v>695000</v>
      </c>
      <c r="N103" s="32" t="inlineStr">
        <is>
          <t xml:space="preserve">Personal</t>
        </is>
      </c>
      <c r="O103" s="30" t="inlineStr">
        <is>
          <t xml:space="preserve">Personal - regular use</t>
        </is>
      </c>
      <c r="P103" s="30" t="inlineStr">
        <is>
          <t xml:space="preserve">1,000 - 2,500</t>
        </is>
      </c>
      <c r="Q103" s="30" t="inlineStr">
        <is>
          <t xml:space="preserve">South Carolina</t>
        </is>
      </c>
      <c r="R103" s="30" t="inlineStr">
        <is>
          <t xml:space="preserve">29401</t>
        </is>
      </c>
      <c r="S103" s="32" t="inlineStr">
        <is>
          <t xml:space="preserve">Tier 2 - Coastal wind (1-25 miles)</t>
        </is>
      </c>
      <c r="T103" s="36">
        <f>IF($A103="","",IF($S103="","",IFERROR(INDEX('[1]natural catastrophe'!$D$6:$D$17,MATCH($S103,'[1]natural catastrophe'!$B$6:$B$17,0)),"?")))</f>
      </c>
      <c r="U103" s="30" t="inlineStr">
        <is>
          <t xml:space="preserve">2% of agreed value, minimum $10,000</t>
        </is>
      </c>
      <c r="V103" s="32" t="inlineStr">
        <is>
          <t xml:space="preserve">Agreed Value</t>
        </is>
      </c>
      <c r="W103" s="30" t="inlineStr">
        <is>
          <t xml:space="preserve">$1,000</t>
        </is>
      </c>
      <c r="X103" s="32" t="inlineStr">
        <is>
          <t xml:space="preserve">$1,000,000 CSL</t>
        </is>
      </c>
      <c r="Y103" s="30"/>
      <c r="Z103" s="30"/>
      <c r="AA103" s="32" t="inlineStr">
        <is>
          <t xml:space="preserve">Surplus Lines</t>
        </is>
      </c>
      <c r="AB103" s="35">
        <v>5347.45</v>
      </c>
      <c r="AC103" s="37">
        <v>0</v>
      </c>
      <c r="AD103" s="38">
        <f>IF(ISNUMBER($AB103),$AB103*(1+N($AC103)),"")</f>
      </c>
      <c r="AE103" s="35">
        <v>350</v>
      </c>
      <c r="AF103" s="35">
        <v>0</v>
      </c>
      <c r="AG103" s="37"/>
      <c r="AH103" s="39">
        <f>IF(ISNUMBER($AD103),($AD103+$AE103+$AF103)*$AG103,"")</f>
      </c>
      <c r="AI103" s="35"/>
      <c r="AJ103" s="38">
        <f>IF(ISNUMBER($AD103),SUM($AD103:$AH103),"")</f>
      </c>
      <c r="AK103" s="40">
        <f>IF(AND(ISNUMBER($AB103),ISNUMBER($AD103)),IF($AB103&gt;0,$AD103/$AB103,""),"")</f>
      </c>
      <c r="AL103" s="32" t="inlineStr">
        <is>
          <t xml:space="preserve">At technical</t>
        </is>
      </c>
      <c r="AM103" s="41">
        <f>IF(ISNUMBER($AD103),Header!$I$3,"")</f>
      </c>
      <c r="AN103" s="39">
        <f>IF(ISNUMBER($AD103),$AO103+$AP103,"")</f>
      </c>
      <c r="AO103" s="39">
        <f>IF(ISNUMBER($AD103),ROUND($AD103*Header!$K$3,2),"")</f>
      </c>
      <c r="AP103" s="39">
        <f>IF(ISNUMBER($AD103),ROUND($AD103*Header!$M$3,2),"")</f>
      </c>
      <c r="AQ103" s="38">
        <f>IF(ISNUMBER($AD103),ROUND($AD103,2)-$AO103-$AP103,"")</f>
      </c>
      <c r="AR103" s="39">
        <f>IF(ISNUMBER($AD103),IF(Header!$D$34="","?",$AD103*Header!$D$34),"")</f>
      </c>
      <c r="AS103" s="39">
        <f>IF(ISNUMBER($AB103),IF(Header!$D$34="","?",$AB103*Header!$D$34),"")</f>
      </c>
      <c r="AT103" s="42">
        <f>IF(AND(ISNUMBER($AB103),$M103&gt;0),$AB103/$M103*100,"")</f>
      </c>
      <c r="AU103" s="42">
        <f>IF(AND(ISNUMBER($AD103),$M103&gt;0),$AD103/$M103*100,"")</f>
      </c>
      <c r="AV103" s="40">
        <f>IF(AND(ISNUMBER($AB103),ISNUMBER($AD103),ABS($AB103)&gt;0),$AD103/$AB103,"")</f>
      </c>
      <c r="AW103" s="39">
        <f>IF(ISNUMBER($AD103),MAX(0,(1-0.55-Header!$O$3)*Header!$Q$3*$AQ103),"")</f>
      </c>
      <c r="AX103" s="43">
        <f>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c>
      <c r="AY103" s="44">
        <f>IF($M103="","",IF(ISNUMBER($M103),IF($M103&gt;=Header!$C$18,"YES — refer","No"),""))</f>
      </c>
      <c r="AZ103" s="44">
        <f>IF($AD103="","",IF(ISNUMBER($AD103),IF($AD103&lt;Header!$C$20,"BELOW MIN PREMIUM","OK"),""))</f>
      </c>
      <c r="BA103" s="32" t="inlineStr">
        <is>
          <t xml:space="preserve">Yes</t>
        </is>
      </c>
      <c r="BB103" s="32" t="inlineStr">
        <is>
          <t xml:space="preserve">Yes</t>
        </is>
      </c>
      <c r="BC103" s="30" t="inlineStr">
        <is>
          <t xml:space="preserve">Synthetic demo data</t>
        </is>
      </c>
      <c r="BE103" s="45">
        <f>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c>
      <c r="BF103" s="45">
        <f>IF($AD103="","",IF(ROUND($AO103+$AP103+$AQ103-$AD103,2)=0,"OK","FAIL - out by "&amp;TEXT($AO103+$AP103+$AQ103-$AD103,"$0.00")))</f>
      </c>
    </row>
    <row r="104" spans="1:58" ht="18.75" customHeight="1" x14ac:dyDescent="0.25">
      <c r="A104" s="46" t="inlineStr">
        <is>
          <t xml:space="preserve">CANON-202606-008538</t>
        </is>
      </c>
      <c r="B104" s="46" t="inlineStr">
        <is>
          <t xml:space="preserve">Leopold Ashcombe</t>
        </is>
      </c>
      <c r="C104" s="47">
        <v>46186</v>
      </c>
      <c r="D104" s="48" t="inlineStr">
        <is>
          <t xml:space="preserve">Bound - within authority</t>
        </is>
      </c>
      <c r="E104" s="48" t="inlineStr">
        <is>
          <t xml:space="preserve">New business</t>
        </is>
      </c>
      <c r="F104" s="46" t="inlineStr">
        <is>
          <t xml:space="preserve">B1234EXOTIC26</t>
        </is>
      </c>
      <c r="G104" s="33">
        <f>IF($A104="","",IF($C104="","",YEAR($C104)))</f>
      </c>
      <c r="H104" s="49">
        <v>2016</v>
      </c>
      <c r="I104" s="46" t="inlineStr">
        <is>
          <t xml:space="preserve">Aston Martin</t>
        </is>
      </c>
      <c r="J104" s="46" t="inlineStr">
        <is>
          <t xml:space="preserve">DB12</t>
        </is>
      </c>
      <c r="K104" s="46" t="inlineStr">
        <is>
          <t xml:space="preserve">72EC4E220H8EJW00V</t>
        </is>
      </c>
      <c r="L104" s="48" t="inlineStr">
        <is>
          <t xml:space="preserve">02 - Sports / GT</t>
        </is>
      </c>
      <c r="M104" s="50">
        <v>1260000</v>
      </c>
      <c r="N104" s="48" t="inlineStr">
        <is>
          <t xml:space="preserve">Personal</t>
        </is>
      </c>
      <c r="O104" s="46" t="inlineStr">
        <is>
          <t xml:space="preserve">Personal - regular use</t>
        </is>
      </c>
      <c r="P104" s="46" t="inlineStr">
        <is>
          <t xml:space="preserve">2,500 - 5,000</t>
        </is>
      </c>
      <c r="Q104" s="46" t="inlineStr">
        <is>
          <t xml:space="preserve">Utah</t>
        </is>
      </c>
      <c r="R104" s="46" t="inlineStr">
        <is>
          <t xml:space="preserve">84101</t>
        </is>
      </c>
      <c r="S104" s="48" t="inlineStr">
        <is>
          <t xml:space="preserve">Wildfire - WUI high hazard</t>
        </is>
      </c>
      <c r="T104" s="36">
        <f>IF($A104="","",IF($S104="","",IFERROR(INDEX('[1]natural catastrophe'!$D$6:$D$17,MATCH($S104,'[1]natural catastrophe'!$B$6:$B$17,0)),"?")))</f>
      </c>
      <c r="U104" s="46" t="inlineStr">
        <is>
          <t xml:space="preserve">$5,000</t>
        </is>
      </c>
      <c r="V104" s="48" t="inlineStr">
        <is>
          <t xml:space="preserve">Agreed Value</t>
        </is>
      </c>
      <c r="W104" s="46" t="inlineStr">
        <is>
          <t xml:space="preserve">$1,000</t>
        </is>
      </c>
      <c r="X104" s="48" t="inlineStr">
        <is>
          <t xml:space="preserve">$1,000,000 CSL</t>
        </is>
      </c>
      <c r="Y104" s="46"/>
      <c r="Z104" s="46"/>
      <c r="AA104" s="48" t="inlineStr">
        <is>
          <t xml:space="preserve">Surplus Lines</t>
        </is>
      </c>
      <c r="AB104" s="50">
        <v>13500.17</v>
      </c>
      <c r="AC104" s="51">
        <v>0</v>
      </c>
      <c r="AD104" s="38">
        <f>IF(ISNUMBER($AB104),$AB104*(1+N($AC104)),"")</f>
      </c>
      <c r="AE104" s="50">
        <v>350</v>
      </c>
      <c r="AF104" s="50">
        <v>250</v>
      </c>
      <c r="AG104" s="51"/>
      <c r="AH104" s="39">
        <f>IF(ISNUMBER($AD104),($AD104+$AE104+$AF104)*$AG104,"")</f>
      </c>
      <c r="AI104" s="50"/>
      <c r="AJ104" s="38">
        <f>IF(ISNUMBER($AD104),SUM($AD104:$AH104),"")</f>
      </c>
      <c r="AK104" s="40">
        <f>IF(AND(ISNUMBER($AB104),ISNUMBER($AD104)),IF($AB104&gt;0,$AD104/$AB104,""),"")</f>
      </c>
      <c r="AL104" s="48" t="inlineStr">
        <is>
          <t xml:space="preserve">At technical</t>
        </is>
      </c>
      <c r="AM104" s="41">
        <f>IF(ISNUMBER($AD104),Header!$I$3,"")</f>
      </c>
      <c r="AN104" s="39">
        <f>IF(ISNUMBER($AD104),$AO104+$AP104,"")</f>
      </c>
      <c r="AO104" s="39">
        <f>IF(ISNUMBER($AD104),ROUND($AD104*Header!$K$3,2),"")</f>
      </c>
      <c r="AP104" s="39">
        <f>IF(ISNUMBER($AD104),ROUND($AD104*Header!$M$3,2),"")</f>
      </c>
      <c r="AQ104" s="38">
        <f>IF(ISNUMBER($AD104),ROUND($AD104,2)-$AO104-$AP104,"")</f>
      </c>
      <c r="AR104" s="39">
        <f>IF(ISNUMBER($AD104),IF(Header!$D$34="","?",$AD104*Header!$D$34),"")</f>
      </c>
      <c r="AS104" s="39">
        <f>IF(ISNUMBER($AB104),IF(Header!$D$34="","?",$AB104*Header!$D$34),"")</f>
      </c>
      <c r="AT104" s="42">
        <f>IF(AND(ISNUMBER($AB104),$M104&gt;0),$AB104/$M104*100,"")</f>
      </c>
      <c r="AU104" s="42">
        <f>IF(AND(ISNUMBER($AD104),$M104&gt;0),$AD104/$M104*100,"")</f>
      </c>
      <c r="AV104" s="40">
        <f>IF(AND(ISNUMBER($AB104),ISNUMBER($AD104),ABS($AB104)&gt;0),$AD104/$AB104,"")</f>
      </c>
      <c r="AW104" s="39">
        <f>IF(ISNUMBER($AD104),MAX(0,(1-0.55-Header!$O$3)*Header!$Q$3*$AQ104),"")</f>
      </c>
      <c r="AX104" s="43">
        <f>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c>
      <c r="AY104" s="44">
        <f>IF($M104="","",IF(ISNUMBER($M104),IF($M104&gt;=Header!$C$18,"YES — refer","No"),""))</f>
      </c>
      <c r="AZ104" s="44">
        <f>IF($AD104="","",IF(ISNUMBER($AD104),IF($AD104&lt;Header!$C$20,"BELOW MIN PREMIUM","OK"),""))</f>
      </c>
      <c r="BA104" s="48" t="inlineStr">
        <is>
          <t xml:space="preserve">Yes</t>
        </is>
      </c>
      <c r="BB104" s="48" t="inlineStr">
        <is>
          <t xml:space="preserve">Yes</t>
        </is>
      </c>
      <c r="BC104" s="46" t="inlineStr">
        <is>
          <t xml:space="preserve">Synthetic demo data</t>
        </is>
      </c>
      <c r="BE104" s="45">
        <f>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c>
      <c r="BF104" s="45">
        <f>IF($AD104="","",IF(ROUND($AO104+$AP104+$AQ104-$AD104,2)=0,"OK","FAIL - out by "&amp;TEXT($AO104+$AP104+$AQ104-$AD104,"$0.00")))</f>
      </c>
    </row>
    <row r="105" spans="1:58" ht="18.75" customHeight="1" x14ac:dyDescent="0.25">
      <c r="A105" s="30" t="inlineStr">
        <is>
          <t xml:space="preserve">CANON-202606-008539</t>
        </is>
      </c>
      <c r="B105" s="30" t="inlineStr">
        <is>
          <t xml:space="preserve">Leopold Okonkwo</t>
        </is>
      </c>
      <c r="C105" s="31">
        <v>46187</v>
      </c>
      <c r="D105" s="32" t="inlineStr">
        <is>
          <t xml:space="preserve">Bound - within authority</t>
        </is>
      </c>
      <c r="E105" s="32" t="inlineStr">
        <is>
          <t xml:space="preserve">New business</t>
        </is>
      </c>
      <c r="F105" s="30" t="inlineStr">
        <is>
          <t xml:space="preserve">B1234EXOTIC26</t>
        </is>
      </c>
      <c r="G105" s="33">
        <f>IF($A105="","",IF($C105="","",YEAR($C105)))</f>
      </c>
      <c r="H105" s="34">
        <v>2013</v>
      </c>
      <c r="I105" s="30" t="inlineStr">
        <is>
          <t xml:space="preserve">Lamborghini</t>
        </is>
      </c>
      <c r="J105" s="30" t="inlineStr">
        <is>
          <t xml:space="preserve">Huracan EVO</t>
        </is>
      </c>
      <c r="K105" s="30" t="inlineStr">
        <is>
          <t xml:space="preserve">LCRS1088BN9BUUCNC</t>
        </is>
      </c>
      <c r="L105" s="32" t="inlineStr">
        <is>
          <t xml:space="preserve">03 - Supercar</t>
        </is>
      </c>
      <c r="M105" s="35">
        <v>465000</v>
      </c>
      <c r="N105" s="32" t="inlineStr">
        <is>
          <t xml:space="preserve">Personal</t>
        </is>
      </c>
      <c r="O105" s="30" t="inlineStr">
        <is>
          <t xml:space="preserve">Personal - regular use</t>
        </is>
      </c>
      <c r="P105" s="30" t="inlineStr">
        <is>
          <t xml:space="preserve">Under 1,000</t>
        </is>
      </c>
      <c r="Q105" s="30" t="inlineStr">
        <is>
          <t xml:space="preserve">New York</t>
        </is>
      </c>
      <c r="R105" s="30" t="inlineStr">
        <is>
          <t xml:space="preserve">10022</t>
        </is>
      </c>
      <c r="S105" s="32" t="inlineStr">
        <is>
          <t xml:space="preserve">Tier 3 - Coastal wind (25-100 miles)</t>
        </is>
      </c>
      <c r="T105" s="36">
        <f>IF($A105="","",IF($S105="","",IFERROR(INDEX('[1]natural catastrophe'!$D$6:$D$17,MATCH($S105,'[1]natural catastrophe'!$B$6:$B$17,0)),"?")))</f>
      </c>
      <c r="U105" s="30" t="inlineStr">
        <is>
          <t xml:space="preserve">2% of agreed value, minimum $10,000</t>
        </is>
      </c>
      <c r="V105" s="32" t="inlineStr">
        <is>
          <t xml:space="preserve">Agreed Value</t>
        </is>
      </c>
      <c r="W105" s="30" t="inlineStr">
        <is>
          <t xml:space="preserve">$1,000</t>
        </is>
      </c>
      <c r="X105" s="32" t="inlineStr">
        <is>
          <t xml:space="preserve">$1,000,000 CSL</t>
        </is>
      </c>
      <c r="Y105" s="30"/>
      <c r="Z105" s="30"/>
      <c r="AA105" s="32" t="inlineStr">
        <is>
          <t xml:space="preserve">Surplus Lines</t>
        </is>
      </c>
      <c r="AB105" s="35">
        <v>9877.18</v>
      </c>
      <c r="AC105" s="37">
        <v>0</v>
      </c>
      <c r="AD105" s="38">
        <f>IF(ISNUMBER($AB105),$AB105*(1+N($AC105)),"")</f>
      </c>
      <c r="AE105" s="35">
        <v>350</v>
      </c>
      <c r="AF105" s="35">
        <v>0</v>
      </c>
      <c r="AG105" s="37"/>
      <c r="AH105" s="39">
        <f>IF(ISNUMBER($AD105),($AD105+$AE105+$AF105)*$AG105,"")</f>
      </c>
      <c r="AI105" s="35"/>
      <c r="AJ105" s="38">
        <f>IF(ISNUMBER($AD105),SUM($AD105:$AH105),"")</f>
      </c>
      <c r="AK105" s="40">
        <f>IF(AND(ISNUMBER($AB105),ISNUMBER($AD105)),IF($AB105&gt;0,$AD105/$AB105,""),"")</f>
      </c>
      <c r="AL105" s="32" t="inlineStr">
        <is>
          <t xml:space="preserve">At technical</t>
        </is>
      </c>
      <c r="AM105" s="41">
        <f>IF(ISNUMBER($AD105),Header!$I$3,"")</f>
      </c>
      <c r="AN105" s="39">
        <f>IF(ISNUMBER($AD105),$AO105+$AP105,"")</f>
      </c>
      <c r="AO105" s="39">
        <f>IF(ISNUMBER($AD105),ROUND($AD105*Header!$K$3,2),"")</f>
      </c>
      <c r="AP105" s="39">
        <f>IF(ISNUMBER($AD105),ROUND($AD105*Header!$M$3,2),"")</f>
      </c>
      <c r="AQ105" s="38">
        <f>IF(ISNUMBER($AD105),ROUND($AD105,2)-$AO105-$AP105,"")</f>
      </c>
      <c r="AR105" s="39">
        <f>IF(ISNUMBER($AD105),IF(Header!$D$34="","?",$AD105*Header!$D$34),"")</f>
      </c>
      <c r="AS105" s="39">
        <f>IF(ISNUMBER($AB105),IF(Header!$D$34="","?",$AB105*Header!$D$34),"")</f>
      </c>
      <c r="AT105" s="42">
        <f>IF(AND(ISNUMBER($AB105),$M105&gt;0),$AB105/$M105*100,"")</f>
      </c>
      <c r="AU105" s="42">
        <f>IF(AND(ISNUMBER($AD105),$M105&gt;0),$AD105/$M105*100,"")</f>
      </c>
      <c r="AV105" s="40">
        <f>IF(AND(ISNUMBER($AB105),ISNUMBER($AD105),ABS($AB105)&gt;0),$AD105/$AB105,"")</f>
      </c>
      <c r="AW105" s="39">
        <f>IF(ISNUMBER($AD105),MAX(0,(1-0.55-Header!$O$3)*Header!$Q$3*$AQ105),"")</f>
      </c>
      <c r="AX105" s="43">
        <f>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c>
      <c r="AY105" s="44">
        <f>IF($M105="","",IF(ISNUMBER($M105),IF($M105&gt;=Header!$C$18,"YES — refer","No"),""))</f>
      </c>
      <c r="AZ105" s="44">
        <f>IF($AD105="","",IF(ISNUMBER($AD105),IF($AD105&lt;Header!$C$20,"BELOW MIN PREMIUM","OK"),""))</f>
      </c>
      <c r="BA105" s="32" t="inlineStr">
        <is>
          <t xml:space="preserve">Yes</t>
        </is>
      </c>
      <c r="BB105" s="32" t="inlineStr">
        <is>
          <t xml:space="preserve">Yes</t>
        </is>
      </c>
      <c r="BC105" s="30" t="inlineStr">
        <is>
          <t xml:space="preserve">Synthetic demo data</t>
        </is>
      </c>
      <c r="BE105" s="45">
        <f>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c>
      <c r="BF105" s="45">
        <f>IF($AD105="","",IF(ROUND($AO105+$AP105+$AQ105-$AD105,2)=0,"OK","FAIL - out by "&amp;TEXT($AO105+$AP105+$AQ105-$AD105,"$0.00")))</f>
      </c>
    </row>
    <row r="106" spans="1:58" ht="18.75" customHeight="1" x14ac:dyDescent="0.25">
      <c r="A106" s="46" t="inlineStr">
        <is>
          <t xml:space="preserve">CANON-202606-008540</t>
        </is>
      </c>
      <c r="B106" s="46" t="inlineStr">
        <is>
          <t xml:space="preserve">Thaddeus Merriweather</t>
        </is>
      </c>
      <c r="C106" s="47">
        <v>46181</v>
      </c>
      <c r="D106" s="48" t="inlineStr">
        <is>
          <t xml:space="preserve">Bound - within authority</t>
        </is>
      </c>
      <c r="E106" s="48" t="inlineStr">
        <is>
          <t xml:space="preserve">New business</t>
        </is>
      </c>
      <c r="F106" s="46" t="inlineStr">
        <is>
          <t xml:space="preserve">B1234EXOTIC26</t>
        </is>
      </c>
      <c r="G106" s="33">
        <f>IF($A106="","",IF($C106="","",YEAR($C106)))</f>
      </c>
      <c r="H106" s="49">
        <v>1959</v>
      </c>
      <c r="I106" s="46" t="inlineStr">
        <is>
          <t xml:space="preserve">Ferrari</t>
        </is>
      </c>
      <c r="J106" s="46" t="inlineStr">
        <is>
          <t xml:space="preserve">296 GTB</t>
        </is>
      </c>
      <c r="K106" s="46" t="inlineStr">
        <is>
          <t xml:space="preserve">4TMG8VVECKV029R1S</t>
        </is>
      </c>
      <c r="L106" s="48" t="inlineStr">
        <is>
          <t xml:space="preserve">03 - Supercar</t>
        </is>
      </c>
      <c r="M106" s="50">
        <v>870000</v>
      </c>
      <c r="N106" s="48" t="inlineStr">
        <is>
          <t xml:space="preserve">Personal</t>
        </is>
      </c>
      <c r="O106" s="46" t="inlineStr">
        <is>
          <t xml:space="preserve">Personal - regular use</t>
        </is>
      </c>
      <c r="P106" s="46" t="inlineStr">
        <is>
          <t xml:space="preserve">1,000 - 2,500</t>
        </is>
      </c>
      <c r="Q106" s="46" t="inlineStr">
        <is>
          <t xml:space="preserve">Delaware</t>
        </is>
      </c>
      <c r="R106" s="46" t="inlineStr">
        <is>
          <t xml:space="preserve">19801</t>
        </is>
      </c>
      <c r="S106" s="48" t="inlineStr">
        <is>
          <t xml:space="preserve">Tier 3 - Coastal wind (25-100 miles)</t>
        </is>
      </c>
      <c r="T106" s="36">
        <f>IF($A106="","",IF($S106="","",IFERROR(INDEX('[1]natural catastrophe'!$D$6:$D$17,MATCH($S106,'[1]natural catastrophe'!$B$6:$B$17,0)),"?")))</f>
      </c>
      <c r="U106" s="46" t="inlineStr">
        <is>
          <t xml:space="preserve">2% of agreed value, minimum $10,000</t>
        </is>
      </c>
      <c r="V106" s="48" t="inlineStr">
        <is>
          <t xml:space="preserve">Agreed Value</t>
        </is>
      </c>
      <c r="W106" s="46" t="inlineStr">
        <is>
          <t xml:space="preserve">$1,000</t>
        </is>
      </c>
      <c r="X106" s="48" t="inlineStr">
        <is>
          <t xml:space="preserve">$1,000,000 CSL</t>
        </is>
      </c>
      <c r="Y106" s="46"/>
      <c r="Z106" s="46"/>
      <c r="AA106" s="48" t="inlineStr">
        <is>
          <t xml:space="preserve">Surplus Lines</t>
        </is>
      </c>
      <c r="AB106" s="50">
        <v>14908.19</v>
      </c>
      <c r="AC106" s="51">
        <v>0</v>
      </c>
      <c r="AD106" s="38">
        <f>IF(ISNUMBER($AB106),$AB106*(1+N($AC106)),"")</f>
      </c>
      <c r="AE106" s="50">
        <v>350</v>
      </c>
      <c r="AF106" s="50">
        <v>0</v>
      </c>
      <c r="AG106" s="51"/>
      <c r="AH106" s="39">
        <f>IF(ISNUMBER($AD106),($AD106+$AE106+$AF106)*$AG106,"")</f>
      </c>
      <c r="AI106" s="50"/>
      <c r="AJ106" s="38">
        <f>IF(ISNUMBER($AD106),SUM($AD106:$AH106),"")</f>
      </c>
      <c r="AK106" s="40">
        <f>IF(AND(ISNUMBER($AB106),ISNUMBER($AD106)),IF($AB106&gt;0,$AD106/$AB106,""),"")</f>
      </c>
      <c r="AL106" s="48" t="inlineStr">
        <is>
          <t xml:space="preserve">At technical</t>
        </is>
      </c>
      <c r="AM106" s="41">
        <f>IF(ISNUMBER($AD106),Header!$I$3,"")</f>
      </c>
      <c r="AN106" s="39">
        <f>IF(ISNUMBER($AD106),$AO106+$AP106,"")</f>
      </c>
      <c r="AO106" s="39">
        <f>IF(ISNUMBER($AD106),ROUND($AD106*Header!$K$3,2),"")</f>
      </c>
      <c r="AP106" s="39">
        <f>IF(ISNUMBER($AD106),ROUND($AD106*Header!$M$3,2),"")</f>
      </c>
      <c r="AQ106" s="38">
        <f>IF(ISNUMBER($AD106),ROUND($AD106,2)-$AO106-$AP106,"")</f>
      </c>
      <c r="AR106" s="39">
        <f>IF(ISNUMBER($AD106),IF(Header!$D$34="","?",$AD106*Header!$D$34),"")</f>
      </c>
      <c r="AS106" s="39">
        <f>IF(ISNUMBER($AB106),IF(Header!$D$34="","?",$AB106*Header!$D$34),"")</f>
      </c>
      <c r="AT106" s="42">
        <f>IF(AND(ISNUMBER($AB106),$M106&gt;0),$AB106/$M106*100,"")</f>
      </c>
      <c r="AU106" s="42">
        <f>IF(AND(ISNUMBER($AD106),$M106&gt;0),$AD106/$M106*100,"")</f>
      </c>
      <c r="AV106" s="40">
        <f>IF(AND(ISNUMBER($AB106),ISNUMBER($AD106),ABS($AB106)&gt;0),$AD106/$AB106,"")</f>
      </c>
      <c r="AW106" s="39">
        <f>IF(ISNUMBER($AD106),MAX(0,(1-0.55-Header!$O$3)*Header!$Q$3*$AQ106),"")</f>
      </c>
      <c r="AX106" s="43">
        <f>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c>
      <c r="AY106" s="44">
        <f>IF($M106="","",IF(ISNUMBER($M106),IF($M106&gt;=Header!$C$18,"YES — refer","No"),""))</f>
      </c>
      <c r="AZ106" s="44">
        <f>IF($AD106="","",IF(ISNUMBER($AD106),IF($AD106&lt;Header!$C$20,"BELOW MIN PREMIUM","OK"),""))</f>
      </c>
      <c r="BA106" s="48" t="inlineStr">
        <is>
          <t xml:space="preserve">Yes</t>
        </is>
      </c>
      <c r="BB106" s="48" t="inlineStr">
        <is>
          <t xml:space="preserve">Yes</t>
        </is>
      </c>
      <c r="BC106" s="46" t="inlineStr">
        <is>
          <t xml:space="preserve">Synthetic demo data</t>
        </is>
      </c>
      <c r="BE106" s="45">
        <f>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c>
      <c r="BF106" s="45">
        <f>IF($AD106="","",IF(ROUND($AO106+$AP106+$AQ106-$AD106,2)=0,"OK","FAIL - out by "&amp;TEXT($AO106+$AP106+$AQ106-$AD106,"$0.00")))</f>
      </c>
    </row>
    <row r="107" spans="1:58" ht="18.75" customHeight="1" x14ac:dyDescent="0.25">
      <c r="A107" s="30" t="inlineStr">
        <is>
          <t xml:space="preserve">CANON-202606-008541</t>
        </is>
      </c>
      <c r="B107" s="30" t="inlineStr">
        <is>
          <t xml:space="preserve">Aurelio Thistlewood</t>
        </is>
      </c>
      <c r="C107" s="31">
        <v>46181</v>
      </c>
      <c r="D107" s="32" t="inlineStr">
        <is>
          <t xml:space="preserve">Bound - within authority</t>
        </is>
      </c>
      <c r="E107" s="32" t="inlineStr">
        <is>
          <t xml:space="preserve">New business</t>
        </is>
      </c>
      <c r="F107" s="30" t="inlineStr">
        <is>
          <t xml:space="preserve">B1234EXOTIC26</t>
        </is>
      </c>
      <c r="G107" s="33">
        <f>IF($A107="","",IF($C107="","",YEAR($C107)))</f>
      </c>
      <c r="H107" s="34">
        <v>1996</v>
      </c>
      <c r="I107" s="30" t="inlineStr">
        <is>
          <t xml:space="preserve">Maserati</t>
        </is>
      </c>
      <c r="J107" s="30" t="inlineStr">
        <is>
          <t xml:space="preserve">GranTurismo</t>
        </is>
      </c>
      <c r="K107" s="30" t="inlineStr">
        <is>
          <t xml:space="preserve">P1A7YFSDDBP2ER8RF</t>
        </is>
      </c>
      <c r="L107" s="32" t="inlineStr">
        <is>
          <t xml:space="preserve">02 - Sports / GT</t>
        </is>
      </c>
      <c r="M107" s="35">
        <v>440000</v>
      </c>
      <c r="N107" s="32" t="inlineStr">
        <is>
          <t xml:space="preserve">Personal</t>
        </is>
      </c>
      <c r="O107" s="30" t="inlineStr">
        <is>
          <t xml:space="preserve">Personal - regular use</t>
        </is>
      </c>
      <c r="P107" s="30" t="inlineStr">
        <is>
          <t xml:space="preserve">2,500 - 5,000</t>
        </is>
      </c>
      <c r="Q107" s="30" t="inlineStr">
        <is>
          <t xml:space="preserve">South Carolina</t>
        </is>
      </c>
      <c r="R107" s="30" t="inlineStr">
        <is>
          <t xml:space="preserve">29401</t>
        </is>
      </c>
      <c r="S107" s="32" t="inlineStr">
        <is>
          <t xml:space="preserve">Tier 2 - Coastal wind (1-25 miles)</t>
        </is>
      </c>
      <c r="T107" s="36">
        <f>IF($A107="","",IF($S107="","",IFERROR(INDEX('[1]natural catastrophe'!$D$6:$D$17,MATCH($S107,'[1]natural catastrophe'!$B$6:$B$17,0)),"?")))</f>
      </c>
      <c r="U107" s="30" t="inlineStr">
        <is>
          <t xml:space="preserve">2% of agreed value, minimum $10,000</t>
        </is>
      </c>
      <c r="V107" s="32" t="inlineStr">
        <is>
          <t xml:space="preserve">Agreed Value</t>
        </is>
      </c>
      <c r="W107" s="30" t="inlineStr">
        <is>
          <t xml:space="preserve">$1,000</t>
        </is>
      </c>
      <c r="X107" s="32" t="inlineStr">
        <is>
          <t xml:space="preserve">$1,000,000 CSL</t>
        </is>
      </c>
      <c r="Y107" s="30"/>
      <c r="Z107" s="30"/>
      <c r="AA107" s="32" t="inlineStr">
        <is>
          <t xml:space="preserve">Surplus Lines</t>
        </is>
      </c>
      <c r="AB107" s="35">
        <v>5904.83</v>
      </c>
      <c r="AC107" s="37">
        <v>0</v>
      </c>
      <c r="AD107" s="38">
        <f>IF(ISNUMBER($AB107),$AB107*(1+N($AC107)),"")</f>
      </c>
      <c r="AE107" s="35">
        <v>350</v>
      </c>
      <c r="AF107" s="35">
        <v>0</v>
      </c>
      <c r="AG107" s="37"/>
      <c r="AH107" s="39">
        <f>IF(ISNUMBER($AD107),($AD107+$AE107+$AF107)*$AG107,"")</f>
      </c>
      <c r="AI107" s="35"/>
      <c r="AJ107" s="38">
        <f>IF(ISNUMBER($AD107),SUM($AD107:$AH107),"")</f>
      </c>
      <c r="AK107" s="40">
        <f>IF(AND(ISNUMBER($AB107),ISNUMBER($AD107)),IF($AB107&gt;0,$AD107/$AB107,""),"")</f>
      </c>
      <c r="AL107" s="32" t="inlineStr">
        <is>
          <t xml:space="preserve">At technical</t>
        </is>
      </c>
      <c r="AM107" s="41">
        <f>IF(ISNUMBER($AD107),Header!$I$3,"")</f>
      </c>
      <c r="AN107" s="39">
        <f>IF(ISNUMBER($AD107),$AO107+$AP107,"")</f>
      </c>
      <c r="AO107" s="39">
        <f>IF(ISNUMBER($AD107),ROUND($AD107*Header!$K$3,2),"")</f>
      </c>
      <c r="AP107" s="39">
        <f>IF(ISNUMBER($AD107),ROUND($AD107*Header!$M$3,2),"")</f>
      </c>
      <c r="AQ107" s="38">
        <f>IF(ISNUMBER($AD107),ROUND($AD107,2)-$AO107-$AP107,"")</f>
      </c>
      <c r="AR107" s="39">
        <f>IF(ISNUMBER($AD107),IF(Header!$D$34="","?",$AD107*Header!$D$34),"")</f>
      </c>
      <c r="AS107" s="39">
        <f>IF(ISNUMBER($AB107),IF(Header!$D$34="","?",$AB107*Header!$D$34),"")</f>
      </c>
      <c r="AT107" s="42">
        <f>IF(AND(ISNUMBER($AB107),$M107&gt;0),$AB107/$M107*100,"")</f>
      </c>
      <c r="AU107" s="42">
        <f>IF(AND(ISNUMBER($AD107),$M107&gt;0),$AD107/$M107*100,"")</f>
      </c>
      <c r="AV107" s="40">
        <f>IF(AND(ISNUMBER($AB107),ISNUMBER($AD107),ABS($AB107)&gt;0),$AD107/$AB107,"")</f>
      </c>
      <c r="AW107" s="39">
        <f>IF(ISNUMBER($AD107),MAX(0,(1-0.55-Header!$O$3)*Header!$Q$3*$AQ107),"")</f>
      </c>
      <c r="AX107" s="43">
        <f>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c>
      <c r="AY107" s="44">
        <f>IF($M107="","",IF(ISNUMBER($M107),IF($M107&gt;=Header!$C$18,"YES — refer","No"),""))</f>
      </c>
      <c r="AZ107" s="44">
        <f>IF($AD107="","",IF(ISNUMBER($AD107),IF($AD107&lt;Header!$C$20,"BELOW MIN PREMIUM","OK"),""))</f>
      </c>
      <c r="BA107" s="32" t="inlineStr">
        <is>
          <t xml:space="preserve">Yes</t>
        </is>
      </c>
      <c r="BB107" s="32" t="inlineStr">
        <is>
          <t xml:space="preserve">Yes</t>
        </is>
      </c>
      <c r="BC107" s="30" t="inlineStr">
        <is>
          <t xml:space="preserve">Synthetic demo data</t>
        </is>
      </c>
      <c r="BE107" s="45">
        <f>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c>
      <c r="BF107" s="45">
        <f>IF($AD107="","",IF(ROUND($AO107+$AP107+$AQ107-$AD107,2)=0,"OK","FAIL - out by "&amp;TEXT($AO107+$AP107+$AQ107-$AD107,"$0.00")))</f>
      </c>
    </row>
    <row r="108" spans="1:58" ht="18.75" customHeight="1" x14ac:dyDescent="0.25">
      <c r="A108" s="46" t="inlineStr">
        <is>
          <t xml:space="preserve">CANON-202606-008542</t>
        </is>
      </c>
      <c r="B108" s="46" t="inlineStr">
        <is>
          <t xml:space="preserve">Priya Okonkwo</t>
        </is>
      </c>
      <c r="C108" s="47">
        <v>46190</v>
      </c>
      <c r="D108" s="48" t="inlineStr">
        <is>
          <t xml:space="preserve">Bound - within authority</t>
        </is>
      </c>
      <c r="E108" s="48" t="inlineStr">
        <is>
          <t xml:space="preserve">New business</t>
        </is>
      </c>
      <c r="F108" s="46" t="inlineStr">
        <is>
          <t xml:space="preserve">B1234EXOTIC26</t>
        </is>
      </c>
      <c r="G108" s="33">
        <f>IF($A108="","",IF($C108="","",YEAR($C108)))</f>
      </c>
      <c r="H108" s="49">
        <v>2000</v>
      </c>
      <c r="I108" s="46" t="inlineStr">
        <is>
          <t xml:space="preserve">Porsche</t>
        </is>
      </c>
      <c r="J108" s="46" t="inlineStr">
        <is>
          <t xml:space="preserve">911 Turbo S</t>
        </is>
      </c>
      <c r="K108" s="46" t="inlineStr">
        <is>
          <t xml:space="preserve">4D7UD565W4UVZC3KP</t>
        </is>
      </c>
      <c r="L108" s="48" t="inlineStr">
        <is>
          <t xml:space="preserve">02 - Sports / GT</t>
        </is>
      </c>
      <c r="M108" s="50">
        <v>495000</v>
      </c>
      <c r="N108" s="48" t="inlineStr">
        <is>
          <t xml:space="preserve">Personal</t>
        </is>
      </c>
      <c r="O108" s="46" t="inlineStr">
        <is>
          <t xml:space="preserve">Personal - regular use</t>
        </is>
      </c>
      <c r="P108" s="46" t="inlineStr">
        <is>
          <t xml:space="preserve">2,500 - 5,000</t>
        </is>
      </c>
      <c r="Q108" s="46" t="inlineStr">
        <is>
          <t xml:space="preserve">Washington</t>
        </is>
      </c>
      <c r="R108" s="46" t="inlineStr">
        <is>
          <t xml:space="preserve">98101</t>
        </is>
      </c>
      <c r="S108" s="48" t="inlineStr">
        <is>
          <t xml:space="preserve">Earthquake - high (CA, Cascadia, New Madrid)</t>
        </is>
      </c>
      <c r="T108" s="36">
        <f>IF($A108="","",IF($S108="","",IFERROR(INDEX('[1]natural catastrophe'!$D$6:$D$17,MATCH($S108,'[1]natural catastrophe'!$B$6:$B$17,0)),"?")))</f>
      </c>
      <c r="U108" s="46" t="inlineStr">
        <is>
          <t xml:space="preserve">$5,000</t>
        </is>
      </c>
      <c r="V108" s="48" t="inlineStr">
        <is>
          <t xml:space="preserve">Agreed Value</t>
        </is>
      </c>
      <c r="W108" s="46" t="inlineStr">
        <is>
          <t xml:space="preserve">$1,000</t>
        </is>
      </c>
      <c r="X108" s="48" t="inlineStr">
        <is>
          <t xml:space="preserve">$1,000,000 CSL</t>
        </is>
      </c>
      <c r="Y108" s="46"/>
      <c r="Z108" s="46"/>
      <c r="AA108" s="48" t="inlineStr">
        <is>
          <t xml:space="preserve">Surplus Lines</t>
        </is>
      </c>
      <c r="AB108" s="50">
        <v>5142.92</v>
      </c>
      <c r="AC108" s="51">
        <v>0</v>
      </c>
      <c r="AD108" s="38">
        <f>IF(ISNUMBER($AB108),$AB108*(1+N($AC108)),"")</f>
      </c>
      <c r="AE108" s="50">
        <v>350</v>
      </c>
      <c r="AF108" s="50">
        <v>0</v>
      </c>
      <c r="AG108" s="51"/>
      <c r="AH108" s="39">
        <f>IF(ISNUMBER($AD108),($AD108+$AE108+$AF108)*$AG108,"")</f>
      </c>
      <c r="AI108" s="50"/>
      <c r="AJ108" s="38">
        <f>IF(ISNUMBER($AD108),SUM($AD108:$AH108),"")</f>
      </c>
      <c r="AK108" s="40">
        <f>IF(AND(ISNUMBER($AB108),ISNUMBER($AD108)),IF($AB108&gt;0,$AD108/$AB108,""),"")</f>
      </c>
      <c r="AL108" s="48" t="inlineStr">
        <is>
          <t xml:space="preserve">At technical</t>
        </is>
      </c>
      <c r="AM108" s="41">
        <f>IF(ISNUMBER($AD108),Header!$I$3,"")</f>
      </c>
      <c r="AN108" s="39">
        <f>IF(ISNUMBER($AD108),$AO108+$AP108,"")</f>
      </c>
      <c r="AO108" s="39">
        <f>IF(ISNUMBER($AD108),ROUND($AD108*Header!$K$3,2),"")</f>
      </c>
      <c r="AP108" s="39">
        <f>IF(ISNUMBER($AD108),ROUND($AD108*Header!$M$3,2),"")</f>
      </c>
      <c r="AQ108" s="38">
        <f>IF(ISNUMBER($AD108),ROUND($AD108,2)-$AO108-$AP108,"")</f>
      </c>
      <c r="AR108" s="39">
        <f>IF(ISNUMBER($AD108),IF(Header!$D$34="","?",$AD108*Header!$D$34),"")</f>
      </c>
      <c r="AS108" s="39">
        <f>IF(ISNUMBER($AB108),IF(Header!$D$34="","?",$AB108*Header!$D$34),"")</f>
      </c>
      <c r="AT108" s="42">
        <f>IF(AND(ISNUMBER($AB108),$M108&gt;0),$AB108/$M108*100,"")</f>
      </c>
      <c r="AU108" s="42">
        <f>IF(AND(ISNUMBER($AD108),$M108&gt;0),$AD108/$M108*100,"")</f>
      </c>
      <c r="AV108" s="40">
        <f>IF(AND(ISNUMBER($AB108),ISNUMBER($AD108),ABS($AB108)&gt;0),$AD108/$AB108,"")</f>
      </c>
      <c r="AW108" s="39">
        <f>IF(ISNUMBER($AD108),MAX(0,(1-0.55-Header!$O$3)*Header!$Q$3*$AQ108),"")</f>
      </c>
      <c r="AX108" s="43">
        <f>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c>
      <c r="AY108" s="44">
        <f>IF($M108="","",IF(ISNUMBER($M108),IF($M108&gt;=Header!$C$18,"YES — refer","No"),""))</f>
      </c>
      <c r="AZ108" s="44">
        <f>IF($AD108="","",IF(ISNUMBER($AD108),IF($AD108&lt;Header!$C$20,"BELOW MIN PREMIUM","OK"),""))</f>
      </c>
      <c r="BA108" s="48" t="inlineStr">
        <is>
          <t xml:space="preserve">Yes</t>
        </is>
      </c>
      <c r="BB108" s="48" t="inlineStr">
        <is>
          <t xml:space="preserve">Yes</t>
        </is>
      </c>
      <c r="BC108" s="46" t="inlineStr">
        <is>
          <t xml:space="preserve">Synthetic demo data</t>
        </is>
      </c>
      <c r="BE108" s="45">
        <f>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c>
      <c r="BF108" s="45">
        <f>IF($AD108="","",IF(ROUND($AO108+$AP108+$AQ108-$AD108,2)=0,"OK","FAIL - out by "&amp;TEXT($AO108+$AP108+$AQ108-$AD108,"$0.00")))</f>
      </c>
    </row>
    <row r="109" spans="1:58" ht="18.75" customHeight="1" x14ac:dyDescent="0.25">
      <c r="A109" s="30" t="inlineStr">
        <is>
          <t xml:space="preserve">CANON-202606-008544</t>
        </is>
      </c>
      <c r="B109" s="30" t="inlineStr">
        <is>
          <t xml:space="preserve">Ingrid Ashcombe</t>
        </is>
      </c>
      <c r="C109" s="31">
        <v>46203</v>
      </c>
      <c r="D109" s="32" t="inlineStr">
        <is>
          <t xml:space="preserve">Bound - within authority</t>
        </is>
      </c>
      <c r="E109" s="32" t="inlineStr">
        <is>
          <t xml:space="preserve">New business</t>
        </is>
      </c>
      <c r="F109" s="30" t="inlineStr">
        <is>
          <t xml:space="preserve">B1234EXOTIC26</t>
        </is>
      </c>
      <c r="G109" s="33">
        <f>IF($A109="","",IF($C109="","",YEAR($C109)))</f>
      </c>
      <c r="H109" s="34">
        <v>1971</v>
      </c>
      <c r="I109" s="30" t="inlineStr">
        <is>
          <t xml:space="preserve">Bentley</t>
        </is>
      </c>
      <c r="J109" s="30" t="inlineStr">
        <is>
          <t xml:space="preserve">Continental GT</t>
        </is>
      </c>
      <c r="K109" s="30" t="inlineStr">
        <is>
          <t xml:space="preserve">FM70XGVLJ8RAC0EZL</t>
        </is>
      </c>
      <c r="L109" s="32" t="inlineStr">
        <is>
          <t xml:space="preserve">02 - Sports / GT</t>
        </is>
      </c>
      <c r="M109" s="35">
        <v>645000</v>
      </c>
      <c r="N109" s="32" t="inlineStr">
        <is>
          <t xml:space="preserve">Personal</t>
        </is>
      </c>
      <c r="O109" s="30" t="inlineStr">
        <is>
          <t xml:space="preserve">Personal - regular use</t>
        </is>
      </c>
      <c r="P109" s="30" t="inlineStr">
        <is>
          <t xml:space="preserve">Under 1,000</t>
        </is>
      </c>
      <c r="Q109" s="30" t="inlineStr">
        <is>
          <t xml:space="preserve">Nebraska</t>
        </is>
      </c>
      <c r="R109" s="30" t="inlineStr">
        <is>
          <t xml:space="preserve">68102</t>
        </is>
      </c>
      <c r="S109" s="32" t="inlineStr">
        <is>
          <t xml:space="preserve">Severe convective - hail alley (high)</t>
        </is>
      </c>
      <c r="T109" s="36">
        <f>IF($A109="","",IF($S109="","",IFERROR(INDEX('[1]natural catastrophe'!$D$6:$D$17,MATCH($S109,'[1]natural catastrophe'!$B$6:$B$17,0)),"?")))</f>
      </c>
      <c r="U109" s="30" t="inlineStr">
        <is>
          <t xml:space="preserve">$5,000</t>
        </is>
      </c>
      <c r="V109" s="32" t="inlineStr">
        <is>
          <t xml:space="preserve">Agreed Value</t>
        </is>
      </c>
      <c r="W109" s="30" t="inlineStr">
        <is>
          <t xml:space="preserve">$1,000</t>
        </is>
      </c>
      <c r="X109" s="32" t="inlineStr">
        <is>
          <t xml:space="preserve">$1,000,000 CSL</t>
        </is>
      </c>
      <c r="Y109" s="30"/>
      <c r="Z109" s="30"/>
      <c r="AA109" s="32" t="inlineStr">
        <is>
          <t xml:space="preserve">Surplus Lines</t>
        </is>
      </c>
      <c r="AB109" s="35">
        <v>7864.81</v>
      </c>
      <c r="AC109" s="37">
        <v>0</v>
      </c>
      <c r="AD109" s="38">
        <f>IF(ISNUMBER($AB109),$AB109*(1+N($AC109)),"")</f>
      </c>
      <c r="AE109" s="35">
        <v>350</v>
      </c>
      <c r="AF109" s="35">
        <v>0</v>
      </c>
      <c r="AG109" s="37"/>
      <c r="AH109" s="39">
        <f>IF(ISNUMBER($AD109),($AD109+$AE109+$AF109)*$AG109,"")</f>
      </c>
      <c r="AI109" s="35"/>
      <c r="AJ109" s="38">
        <f>IF(ISNUMBER($AD109),SUM($AD109:$AH109),"")</f>
      </c>
      <c r="AK109" s="40">
        <f>IF(AND(ISNUMBER($AB109),ISNUMBER($AD109)),IF($AB109&gt;0,$AD109/$AB109,""),"")</f>
      </c>
      <c r="AL109" s="32" t="inlineStr">
        <is>
          <t xml:space="preserve">At technical</t>
        </is>
      </c>
      <c r="AM109" s="41">
        <f>IF(ISNUMBER($AD109),Header!$I$3,"")</f>
      </c>
      <c r="AN109" s="39">
        <f>IF(ISNUMBER($AD109),$AO109+$AP109,"")</f>
      </c>
      <c r="AO109" s="39">
        <f>IF(ISNUMBER($AD109),ROUND($AD109*Header!$K$3,2),"")</f>
      </c>
      <c r="AP109" s="39">
        <f>IF(ISNUMBER($AD109),ROUND($AD109*Header!$M$3,2),"")</f>
      </c>
      <c r="AQ109" s="38">
        <f>IF(ISNUMBER($AD109),ROUND($AD109,2)-$AO109-$AP109,"")</f>
      </c>
      <c r="AR109" s="39">
        <f>IF(ISNUMBER($AD109),IF(Header!$D$34="","?",$AD109*Header!$D$34),"")</f>
      </c>
      <c r="AS109" s="39">
        <f>IF(ISNUMBER($AB109),IF(Header!$D$34="","?",$AB109*Header!$D$34),"")</f>
      </c>
      <c r="AT109" s="42">
        <f>IF(AND(ISNUMBER($AB109),$M109&gt;0),$AB109/$M109*100,"")</f>
      </c>
      <c r="AU109" s="42">
        <f>IF(AND(ISNUMBER($AD109),$M109&gt;0),$AD109/$M109*100,"")</f>
      </c>
      <c r="AV109" s="40">
        <f>IF(AND(ISNUMBER($AB109),ISNUMBER($AD109),ABS($AB109)&gt;0),$AD109/$AB109,"")</f>
      </c>
      <c r="AW109" s="39">
        <f>IF(ISNUMBER($AD109),MAX(0,(1-0.55-Header!$O$3)*Header!$Q$3*$AQ109),"")</f>
      </c>
      <c r="AX109" s="43">
        <f>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c>
      <c r="AY109" s="44">
        <f>IF($M109="","",IF(ISNUMBER($M109),IF($M109&gt;=Header!$C$18,"YES — refer","No"),""))</f>
      </c>
      <c r="AZ109" s="44">
        <f>IF($AD109="","",IF(ISNUMBER($AD109),IF($AD109&lt;Header!$C$20,"BELOW MIN PREMIUM","OK"),""))</f>
      </c>
      <c r="BA109" s="32" t="inlineStr">
        <is>
          <t xml:space="preserve">Yes</t>
        </is>
      </c>
      <c r="BB109" s="32" t="inlineStr">
        <is>
          <t xml:space="preserve">Yes</t>
        </is>
      </c>
      <c r="BC109" s="30" t="inlineStr">
        <is>
          <t xml:space="preserve">Synthetic demo data</t>
        </is>
      </c>
      <c r="BE109" s="45">
        <f>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c>
      <c r="BF109" s="45">
        <f>IF($AD109="","",IF(ROUND($AO109+$AP109+$AQ109-$AD109,2)=0,"OK","FAIL - out by "&amp;TEXT($AO109+$AP109+$AQ109-$AD109,"$0.00")))</f>
      </c>
    </row>
    <row r="110" spans="1:58" ht="18.75" customHeight="1" x14ac:dyDescent="0.25">
      <c r="A110" s="46" t="inlineStr">
        <is>
          <t xml:space="preserve">CANON-202606-008548</t>
        </is>
      </c>
      <c r="B110" s="46" t="inlineStr">
        <is>
          <t xml:space="preserve">Anouk Harrington</t>
        </is>
      </c>
      <c r="C110" s="47">
        <v>46174</v>
      </c>
      <c r="D110" s="48" t="inlineStr">
        <is>
          <t xml:space="preserve">Bound - within authority</t>
        </is>
      </c>
      <c r="E110" s="48" t="inlineStr">
        <is>
          <t xml:space="preserve">New business</t>
        </is>
      </c>
      <c r="F110" s="46" t="inlineStr">
        <is>
          <t xml:space="preserve">B1234EXOTIC26</t>
        </is>
      </c>
      <c r="G110" s="33">
        <f>IF($A110="","",IF($C110="","",YEAR($C110)))</f>
      </c>
      <c r="H110" s="49">
        <v>2004</v>
      </c>
      <c r="I110" s="46" t="inlineStr">
        <is>
          <t xml:space="preserve">Icon</t>
        </is>
      </c>
      <c r="J110" s="46" t="inlineStr">
        <is>
          <t xml:space="preserve">Derelict</t>
        </is>
      </c>
      <c r="K110" s="46" t="inlineStr">
        <is>
          <t xml:space="preserve">TSBG2F6CH2SEU9F1B</t>
        </is>
      </c>
      <c r="L110" s="48" t="inlineStr">
        <is>
          <t xml:space="preserve">11 - Restomod / Coachbuilt / Bespoke</t>
        </is>
      </c>
      <c r="M110" s="50">
        <v>1170000</v>
      </c>
      <c r="N110" s="48" t="inlineStr">
        <is>
          <t xml:space="preserve">Personal</t>
        </is>
      </c>
      <c r="O110" s="46" t="inlineStr">
        <is>
          <t xml:space="preserve">Personal - regular use</t>
        </is>
      </c>
      <c r="P110" s="46" t="inlineStr">
        <is>
          <t xml:space="preserve">1,000 - 2,500</t>
        </is>
      </c>
      <c r="Q110" s="46" t="inlineStr">
        <is>
          <t xml:space="preserve">Delaware</t>
        </is>
      </c>
      <c r="R110" s="46" t="inlineStr">
        <is>
          <t xml:space="preserve">19801</t>
        </is>
      </c>
      <c r="S110" s="48" t="inlineStr">
        <is>
          <t xml:space="preserve">Tier 3 - Coastal wind (25-100 miles)</t>
        </is>
      </c>
      <c r="T110" s="36">
        <f>IF($A110="","",IF($S110="","",IFERROR(INDEX('[1]natural catastrophe'!$D$6:$D$17,MATCH($S110,'[1]natural catastrophe'!$B$6:$B$17,0)),"?")))</f>
      </c>
      <c r="U110" s="46" t="inlineStr">
        <is>
          <t xml:space="preserve">2% of agreed value, minimum $10,000</t>
        </is>
      </c>
      <c r="V110" s="48" t="inlineStr">
        <is>
          <t xml:space="preserve">Agreed Value</t>
        </is>
      </c>
      <c r="W110" s="46" t="inlineStr">
        <is>
          <t xml:space="preserve">$1,000</t>
        </is>
      </c>
      <c r="X110" s="48" t="inlineStr">
        <is>
          <t xml:space="preserve">$1,000,000 CSL</t>
        </is>
      </c>
      <c r="Y110" s="46"/>
      <c r="Z110" s="46"/>
      <c r="AA110" s="48" t="inlineStr">
        <is>
          <t xml:space="preserve">Surplus Lines</t>
        </is>
      </c>
      <c r="AB110" s="50">
        <v>14350.82</v>
      </c>
      <c r="AC110" s="51">
        <v>0</v>
      </c>
      <c r="AD110" s="38">
        <f>IF(ISNUMBER($AB110),$AB110*(1+N($AC110)),"")</f>
      </c>
      <c r="AE110" s="50">
        <v>350</v>
      </c>
      <c r="AF110" s="50">
        <v>250</v>
      </c>
      <c r="AG110" s="51"/>
      <c r="AH110" s="39">
        <f>IF(ISNUMBER($AD110),($AD110+$AE110+$AF110)*$AG110,"")</f>
      </c>
      <c r="AI110" s="50"/>
      <c r="AJ110" s="38">
        <f>IF(ISNUMBER($AD110),SUM($AD110:$AH110),"")</f>
      </c>
      <c r="AK110" s="40">
        <f>IF(AND(ISNUMBER($AB110),ISNUMBER($AD110)),IF($AB110&gt;0,$AD110/$AB110,""),"")</f>
      </c>
      <c r="AL110" s="48" t="inlineStr">
        <is>
          <t xml:space="preserve">At technical</t>
        </is>
      </c>
      <c r="AM110" s="41">
        <f>IF(ISNUMBER($AD110),Header!$I$3,"")</f>
      </c>
      <c r="AN110" s="39">
        <f>IF(ISNUMBER($AD110),$AO110+$AP110,"")</f>
      </c>
      <c r="AO110" s="39">
        <f>IF(ISNUMBER($AD110),ROUND($AD110*Header!$K$3,2),"")</f>
      </c>
      <c r="AP110" s="39">
        <f>IF(ISNUMBER($AD110),ROUND($AD110*Header!$M$3,2),"")</f>
      </c>
      <c r="AQ110" s="38">
        <f>IF(ISNUMBER($AD110),ROUND($AD110,2)-$AO110-$AP110,"")</f>
      </c>
      <c r="AR110" s="39">
        <f>IF(ISNUMBER($AD110),IF(Header!$D$34="","?",$AD110*Header!$D$34),"")</f>
      </c>
      <c r="AS110" s="39">
        <f>IF(ISNUMBER($AB110),IF(Header!$D$34="","?",$AB110*Header!$D$34),"")</f>
      </c>
      <c r="AT110" s="42">
        <f>IF(AND(ISNUMBER($AB110),$M110&gt;0),$AB110/$M110*100,"")</f>
      </c>
      <c r="AU110" s="42">
        <f>IF(AND(ISNUMBER($AD110),$M110&gt;0),$AD110/$M110*100,"")</f>
      </c>
      <c r="AV110" s="40">
        <f>IF(AND(ISNUMBER($AB110),ISNUMBER($AD110),ABS($AB110)&gt;0),$AD110/$AB110,"")</f>
      </c>
      <c r="AW110" s="39">
        <f>IF(ISNUMBER($AD110),MAX(0,(1-0.55-Header!$O$3)*Header!$Q$3*$AQ110),"")</f>
      </c>
      <c r="AX110" s="43">
        <f>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c>
      <c r="AY110" s="44">
        <f>IF($M110="","",IF(ISNUMBER($M110),IF($M110&gt;=Header!$C$18,"YES — refer","No"),""))</f>
      </c>
      <c r="AZ110" s="44">
        <f>IF($AD110="","",IF(ISNUMBER($AD110),IF($AD110&lt;Header!$C$20,"BELOW MIN PREMIUM","OK"),""))</f>
      </c>
      <c r="BA110" s="48" t="inlineStr">
        <is>
          <t xml:space="preserve">Yes</t>
        </is>
      </c>
      <c r="BB110" s="48" t="inlineStr">
        <is>
          <t xml:space="preserve">Yes</t>
        </is>
      </c>
      <c r="BC110" s="46" t="inlineStr">
        <is>
          <t xml:space="preserve">Synthetic demo data</t>
        </is>
      </c>
      <c r="BE110" s="45">
        <f>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c>
      <c r="BF110" s="45">
        <f>IF($AD110="","",IF(ROUND($AO110+$AP110+$AQ110-$AD110,2)=0,"OK","FAIL - out by "&amp;TEXT($AO110+$AP110+$AQ110-$AD110,"$0.00")))</f>
      </c>
    </row>
    <row r="111" spans="1:58" ht="18.75" customHeight="1" x14ac:dyDescent="0.25">
      <c r="A111" s="30" t="inlineStr">
        <is>
          <t xml:space="preserve">CANON-202606-008549</t>
        </is>
      </c>
      <c r="B111" s="30" t="inlineStr">
        <is>
          <t xml:space="preserve">Anouk Rourke</t>
        </is>
      </c>
      <c r="C111" s="31">
        <v>46197</v>
      </c>
      <c r="D111" s="32" t="inlineStr">
        <is>
          <t xml:space="preserve">Bound - within authority</t>
        </is>
      </c>
      <c r="E111" s="32" t="inlineStr">
        <is>
          <t xml:space="preserve">New business</t>
        </is>
      </c>
      <c r="F111" s="30" t="inlineStr">
        <is>
          <t xml:space="preserve">B1234EXOTIC26</t>
        </is>
      </c>
      <c r="G111" s="33">
        <f>IF($A111="","",IF($C111="","",YEAR($C111)))</f>
      </c>
      <c r="H111" s="34">
        <v>2014</v>
      </c>
      <c r="I111" s="30" t="inlineStr">
        <is>
          <t xml:space="preserve">BMW</t>
        </is>
      </c>
      <c r="J111" s="30" t="inlineStr">
        <is>
          <t xml:space="preserve">M8 Competition</t>
        </is>
      </c>
      <c r="K111" s="30" t="inlineStr">
        <is>
          <t xml:space="preserve">85T46KLT3LCWJ6AJW</t>
        </is>
      </c>
      <c r="L111" s="32" t="inlineStr">
        <is>
          <t xml:space="preserve">02 - Sports / GT</t>
        </is>
      </c>
      <c r="M111" s="35">
        <v>375000</v>
      </c>
      <c r="N111" s="32" t="inlineStr">
        <is>
          <t xml:space="preserve">Personal</t>
        </is>
      </c>
      <c r="O111" s="30" t="inlineStr">
        <is>
          <t xml:space="preserve">Personal - regular use</t>
        </is>
      </c>
      <c r="P111" s="30" t="inlineStr">
        <is>
          <t xml:space="preserve">2,500 - 5,000</t>
        </is>
      </c>
      <c r="Q111" s="30" t="inlineStr">
        <is>
          <t xml:space="preserve">Kentucky</t>
        </is>
      </c>
      <c r="R111" s="30" t="inlineStr">
        <is>
          <t xml:space="preserve">40202</t>
        </is>
      </c>
      <c r="S111" s="32" t="inlineStr">
        <is>
          <t xml:space="preserve">Severe convective - hail / tornado (moderate)</t>
        </is>
      </c>
      <c r="T111" s="36">
        <f>IF($A111="","",IF($S111="","",IFERROR(INDEX('[1]natural catastrophe'!$D$6:$D$17,MATCH($S111,'[1]natural catastrophe'!$B$6:$B$17,0)),"?")))</f>
      </c>
      <c r="U111" s="30" t="inlineStr">
        <is>
          <t xml:space="preserve">$5,000</t>
        </is>
      </c>
      <c r="V111" s="32" t="inlineStr">
        <is>
          <t xml:space="preserve">Agreed Value</t>
        </is>
      </c>
      <c r="W111" s="30" t="inlineStr">
        <is>
          <t xml:space="preserve">$1,000</t>
        </is>
      </c>
      <c r="X111" s="32" t="inlineStr">
        <is>
          <t xml:space="preserve">$1,000,000 CSL</t>
        </is>
      </c>
      <c r="Y111" s="30"/>
      <c r="Z111" s="30"/>
      <c r="AA111" s="32" t="inlineStr">
        <is>
          <t xml:space="preserve">Surplus Lines</t>
        </is>
      </c>
      <c r="AB111" s="35">
        <v>5438.38</v>
      </c>
      <c r="AC111" s="37">
        <v>0</v>
      </c>
      <c r="AD111" s="38">
        <f>IF(ISNUMBER($AB111),$AB111*(1+N($AC111)),"")</f>
      </c>
      <c r="AE111" s="35">
        <v>350</v>
      </c>
      <c r="AF111" s="35">
        <v>0</v>
      </c>
      <c r="AG111" s="37"/>
      <c r="AH111" s="39">
        <f>IF(ISNUMBER($AD111),($AD111+$AE111+$AF111)*$AG111,"")</f>
      </c>
      <c r="AI111" s="35"/>
      <c r="AJ111" s="38">
        <f>IF(ISNUMBER($AD111),SUM($AD111:$AH111),"")</f>
      </c>
      <c r="AK111" s="40">
        <f>IF(AND(ISNUMBER($AB111),ISNUMBER($AD111)),IF($AB111&gt;0,$AD111/$AB111,""),"")</f>
      </c>
      <c r="AL111" s="32" t="inlineStr">
        <is>
          <t xml:space="preserve">At technical</t>
        </is>
      </c>
      <c r="AM111" s="41">
        <f>IF(ISNUMBER($AD111),Header!$I$3,"")</f>
      </c>
      <c r="AN111" s="39">
        <f>IF(ISNUMBER($AD111),$AO111+$AP111,"")</f>
      </c>
      <c r="AO111" s="39">
        <f>IF(ISNUMBER($AD111),ROUND($AD111*Header!$K$3,2),"")</f>
      </c>
      <c r="AP111" s="39">
        <f>IF(ISNUMBER($AD111),ROUND($AD111*Header!$M$3,2),"")</f>
      </c>
      <c r="AQ111" s="38">
        <f>IF(ISNUMBER($AD111),ROUND($AD111,2)-$AO111-$AP111,"")</f>
      </c>
      <c r="AR111" s="39">
        <f>IF(ISNUMBER($AD111),IF(Header!$D$34="","?",$AD111*Header!$D$34),"")</f>
      </c>
      <c r="AS111" s="39">
        <f>IF(ISNUMBER($AB111),IF(Header!$D$34="","?",$AB111*Header!$D$34),"")</f>
      </c>
      <c r="AT111" s="42">
        <f>IF(AND(ISNUMBER($AB111),$M111&gt;0),$AB111/$M111*100,"")</f>
      </c>
      <c r="AU111" s="42">
        <f>IF(AND(ISNUMBER($AD111),$M111&gt;0),$AD111/$M111*100,"")</f>
      </c>
      <c r="AV111" s="40">
        <f>IF(AND(ISNUMBER($AB111),ISNUMBER($AD111),ABS($AB111)&gt;0),$AD111/$AB111,"")</f>
      </c>
      <c r="AW111" s="39">
        <f>IF(ISNUMBER($AD111),MAX(0,(1-0.55-Header!$O$3)*Header!$Q$3*$AQ111),"")</f>
      </c>
      <c r="AX111" s="43">
        <f>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c>
      <c r="AY111" s="44">
        <f>IF($M111="","",IF(ISNUMBER($M111),IF($M111&gt;=Header!$C$18,"YES — refer","No"),""))</f>
      </c>
      <c r="AZ111" s="44">
        <f>IF($AD111="","",IF(ISNUMBER($AD111),IF($AD111&lt;Header!$C$20,"BELOW MIN PREMIUM","OK"),""))</f>
      </c>
      <c r="BA111" s="32" t="inlineStr">
        <is>
          <t xml:space="preserve">Yes</t>
        </is>
      </c>
      <c r="BB111" s="32" t="inlineStr">
        <is>
          <t xml:space="preserve">Yes</t>
        </is>
      </c>
      <c r="BC111" s="30" t="inlineStr">
        <is>
          <t xml:space="preserve">Synthetic demo data</t>
        </is>
      </c>
      <c r="BE111" s="45">
        <f>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c>
      <c r="BF111" s="45">
        <f>IF($AD111="","",IF(ROUND($AO111+$AP111+$AQ111-$AD111,2)=0,"OK","FAIL - out by "&amp;TEXT($AO111+$AP111+$AQ111-$AD111,"$0.00")))</f>
      </c>
    </row>
    <row r="112" spans="1:58" ht="18.75" customHeight="1" x14ac:dyDescent="0.25">
      <c r="A112" s="46" t="inlineStr">
        <is>
          <t xml:space="preserve">CANON-202606-008550</t>
        </is>
      </c>
      <c r="B112" s="46" t="inlineStr">
        <is>
          <t xml:space="preserve">Beatrix Harrington</t>
        </is>
      </c>
      <c r="C112" s="47">
        <v>46198</v>
      </c>
      <c r="D112" s="48" t="inlineStr">
        <is>
          <t xml:space="preserve">Bound - within authority</t>
        </is>
      </c>
      <c r="E112" s="48" t="inlineStr">
        <is>
          <t xml:space="preserve">New business</t>
        </is>
      </c>
      <c r="F112" s="46" t="inlineStr">
        <is>
          <t xml:space="preserve">B1234EXOTIC26</t>
        </is>
      </c>
      <c r="G112" s="33">
        <f>IF($A112="","",IF($C112="","",YEAR($C112)))</f>
      </c>
      <c r="H112" s="49">
        <v>1987</v>
      </c>
      <c r="I112" s="46" t="inlineStr">
        <is>
          <t xml:space="preserve">Porsche</t>
        </is>
      </c>
      <c r="J112" s="46" t="inlineStr">
        <is>
          <t xml:space="preserve">911 Turbo S</t>
        </is>
      </c>
      <c r="K112" s="46" t="inlineStr">
        <is>
          <t xml:space="preserve">6JP8PXF1ZD9EZP3GA</t>
        </is>
      </c>
      <c r="L112" s="48" t="inlineStr">
        <is>
          <t xml:space="preserve">02 - Sports / GT</t>
        </is>
      </c>
      <c r="M112" s="50">
        <v>455000</v>
      </c>
      <c r="N112" s="48" t="inlineStr">
        <is>
          <t xml:space="preserve">Personal</t>
        </is>
      </c>
      <c r="O112" s="46" t="inlineStr">
        <is>
          <t xml:space="preserve">Personal - regular use</t>
        </is>
      </c>
      <c r="P112" s="46" t="inlineStr">
        <is>
          <t xml:space="preserve">Under 1,000</t>
        </is>
      </c>
      <c r="Q112" s="46" t="inlineStr">
        <is>
          <t xml:space="preserve">Missouri</t>
        </is>
      </c>
      <c r="R112" s="46" t="inlineStr">
        <is>
          <t xml:space="preserve">63101</t>
        </is>
      </c>
      <c r="S112" s="48" t="inlineStr">
        <is>
          <t xml:space="preserve">Severe convective - hail / tornado (moderate)</t>
        </is>
      </c>
      <c r="T112" s="36">
        <f>IF($A112="","",IF($S112="","",IFERROR(INDEX('[1]natural catastrophe'!$D$6:$D$17,MATCH($S112,'[1]natural catastrophe'!$B$6:$B$17,0)),"?")))</f>
      </c>
      <c r="U112" s="46" t="inlineStr">
        <is>
          <t xml:space="preserve">$5,000</t>
        </is>
      </c>
      <c r="V112" s="48" t="inlineStr">
        <is>
          <t xml:space="preserve">Agreed Value</t>
        </is>
      </c>
      <c r="W112" s="46" t="inlineStr">
        <is>
          <t xml:space="preserve">$1,000</t>
        </is>
      </c>
      <c r="X112" s="48" t="inlineStr">
        <is>
          <t xml:space="preserve">$1,000,000 CSL</t>
        </is>
      </c>
      <c r="Y112" s="46"/>
      <c r="Z112" s="46"/>
      <c r="AA112" s="48" t="inlineStr">
        <is>
          <t xml:space="preserve">Surplus Lines</t>
        </is>
      </c>
      <c r="AB112" s="50">
        <v>5219.76</v>
      </c>
      <c r="AC112" s="51">
        <v>0</v>
      </c>
      <c r="AD112" s="38">
        <f>IF(ISNUMBER($AB112),$AB112*(1+N($AC112)),"")</f>
      </c>
      <c r="AE112" s="50">
        <v>350</v>
      </c>
      <c r="AF112" s="50">
        <v>0</v>
      </c>
      <c r="AG112" s="51"/>
      <c r="AH112" s="39">
        <f>IF(ISNUMBER($AD112),($AD112+$AE112+$AF112)*$AG112,"")</f>
      </c>
      <c r="AI112" s="50"/>
      <c r="AJ112" s="38">
        <f>IF(ISNUMBER($AD112),SUM($AD112:$AH112),"")</f>
      </c>
      <c r="AK112" s="40">
        <f>IF(AND(ISNUMBER($AB112),ISNUMBER($AD112)),IF($AB112&gt;0,$AD112/$AB112,""),"")</f>
      </c>
      <c r="AL112" s="48" t="inlineStr">
        <is>
          <t xml:space="preserve">At technical</t>
        </is>
      </c>
      <c r="AM112" s="41">
        <f>IF(ISNUMBER($AD112),Header!$I$3,"")</f>
      </c>
      <c r="AN112" s="39">
        <f>IF(ISNUMBER($AD112),$AO112+$AP112,"")</f>
      </c>
      <c r="AO112" s="39">
        <f>IF(ISNUMBER($AD112),ROUND($AD112*Header!$K$3,2),"")</f>
      </c>
      <c r="AP112" s="39">
        <f>IF(ISNUMBER($AD112),ROUND($AD112*Header!$M$3,2),"")</f>
      </c>
      <c r="AQ112" s="38">
        <f>IF(ISNUMBER($AD112),ROUND($AD112,2)-$AO112-$AP112,"")</f>
      </c>
      <c r="AR112" s="39">
        <f>IF(ISNUMBER($AD112),IF(Header!$D$34="","?",$AD112*Header!$D$34),"")</f>
      </c>
      <c r="AS112" s="39">
        <f>IF(ISNUMBER($AB112),IF(Header!$D$34="","?",$AB112*Header!$D$34),"")</f>
      </c>
      <c r="AT112" s="42">
        <f>IF(AND(ISNUMBER($AB112),$M112&gt;0),$AB112/$M112*100,"")</f>
      </c>
      <c r="AU112" s="42">
        <f>IF(AND(ISNUMBER($AD112),$M112&gt;0),$AD112/$M112*100,"")</f>
      </c>
      <c r="AV112" s="40">
        <f>IF(AND(ISNUMBER($AB112),ISNUMBER($AD112),ABS($AB112)&gt;0),$AD112/$AB112,"")</f>
      </c>
      <c r="AW112" s="39">
        <f>IF(ISNUMBER($AD112),MAX(0,(1-0.55-Header!$O$3)*Header!$Q$3*$AQ112),"")</f>
      </c>
      <c r="AX112" s="43">
        <f>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c>
      <c r="AY112" s="44">
        <f>IF($M112="","",IF(ISNUMBER($M112),IF($M112&gt;=Header!$C$18,"YES — refer","No"),""))</f>
      </c>
      <c r="AZ112" s="44">
        <f>IF($AD112="","",IF(ISNUMBER($AD112),IF($AD112&lt;Header!$C$20,"BELOW MIN PREMIUM","OK"),""))</f>
      </c>
      <c r="BA112" s="48" t="inlineStr">
        <is>
          <t xml:space="preserve">Yes</t>
        </is>
      </c>
      <c r="BB112" s="48" t="inlineStr">
        <is>
          <t xml:space="preserve">Yes</t>
        </is>
      </c>
      <c r="BC112" s="46" t="inlineStr">
        <is>
          <t xml:space="preserve">Synthetic demo data</t>
        </is>
      </c>
      <c r="BE112" s="45">
        <f>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c>
      <c r="BF112" s="45">
        <f>IF($AD112="","",IF(ROUND($AO112+$AP112+$AQ112-$AD112,2)=0,"OK","FAIL - out by "&amp;TEXT($AO112+$AP112+$AQ112-$AD112,"$0.00")))</f>
      </c>
    </row>
    <row r="113" spans="1:58" ht="18.75" customHeight="1" x14ac:dyDescent="0.25">
      <c r="A113" s="30" t="inlineStr">
        <is>
          <t xml:space="preserve">CANON-202606-008551</t>
        </is>
      </c>
      <c r="B113" s="30" t="inlineStr">
        <is>
          <t xml:space="preserve">Sunniva Montoya</t>
        </is>
      </c>
      <c r="C113" s="31">
        <v>46189</v>
      </c>
      <c r="D113" s="32" t="inlineStr">
        <is>
          <t xml:space="preserve">Bound - within authority</t>
        </is>
      </c>
      <c r="E113" s="32" t="inlineStr">
        <is>
          <t xml:space="preserve">New business</t>
        </is>
      </c>
      <c r="F113" s="30" t="inlineStr">
        <is>
          <t xml:space="preserve">B1234EXOTIC26</t>
        </is>
      </c>
      <c r="G113" s="33">
        <f>IF($A113="","",IF($C113="","",YEAR($C113)))</f>
      </c>
      <c r="H113" s="34">
        <v>1974</v>
      </c>
      <c r="I113" s="30" t="inlineStr">
        <is>
          <t xml:space="preserve">Bentley</t>
        </is>
      </c>
      <c r="J113" s="30" t="inlineStr">
        <is>
          <t xml:space="preserve">Continental GT</t>
        </is>
      </c>
      <c r="K113" s="30" t="inlineStr">
        <is>
          <t xml:space="preserve">P1YHUR4GBGP39LNC9</t>
        </is>
      </c>
      <c r="L113" s="32" t="inlineStr">
        <is>
          <t xml:space="preserve">02 - Sports / GT</t>
        </is>
      </c>
      <c r="M113" s="35">
        <v>195000</v>
      </c>
      <c r="N113" s="32" t="inlineStr">
        <is>
          <t xml:space="preserve">Personal</t>
        </is>
      </c>
      <c r="O113" s="30" t="inlineStr">
        <is>
          <t xml:space="preserve">Personal - regular use</t>
        </is>
      </c>
      <c r="P113" s="30" t="inlineStr">
        <is>
          <t xml:space="preserve">Under 1,000</t>
        </is>
      </c>
      <c r="Q113" s="30" t="inlineStr">
        <is>
          <t xml:space="preserve">Texas</t>
        </is>
      </c>
      <c r="R113" s="30" t="inlineStr">
        <is>
          <t xml:space="preserve">75201</t>
        </is>
      </c>
      <c r="S113" s="32" t="inlineStr">
        <is>
          <t xml:space="preserve">Tier 2 - Coastal wind (1-25 miles)</t>
        </is>
      </c>
      <c r="T113" s="36">
        <f>IF($A113="","",IF($S113="","",IFERROR(INDEX('[1]natural catastrophe'!$D$6:$D$17,MATCH($S113,'[1]natural catastrophe'!$B$6:$B$17,0)),"?")))</f>
      </c>
      <c r="U113" s="30" t="inlineStr">
        <is>
          <t xml:space="preserve">2% of agreed value, minimum $10,000</t>
        </is>
      </c>
      <c r="V113" s="32" t="inlineStr">
        <is>
          <t xml:space="preserve">Agreed Value</t>
        </is>
      </c>
      <c r="W113" s="30" t="inlineStr">
        <is>
          <t xml:space="preserve">$1,000</t>
        </is>
      </c>
      <c r="X113" s="32" t="inlineStr">
        <is>
          <t xml:space="preserve">$1,000,000 CSL</t>
        </is>
      </c>
      <c r="Y113" s="30"/>
      <c r="Z113" s="30"/>
      <c r="AA113" s="32" t="inlineStr">
        <is>
          <t xml:space="preserve">Surplus Lines</t>
        </is>
      </c>
      <c r="AB113" s="35">
        <v>2977.09</v>
      </c>
      <c r="AC113" s="37">
        <v>0</v>
      </c>
      <c r="AD113" s="38">
        <f>IF(ISNUMBER($AB113),$AB113*(1+N($AC113)),"")</f>
      </c>
      <c r="AE113" s="35">
        <v>350</v>
      </c>
      <c r="AF113" s="35">
        <v>0</v>
      </c>
      <c r="AG113" s="37"/>
      <c r="AH113" s="39">
        <f>IF(ISNUMBER($AD113),($AD113+$AE113+$AF113)*$AG113,"")</f>
      </c>
      <c r="AI113" s="35"/>
      <c r="AJ113" s="38">
        <f>IF(ISNUMBER($AD113),SUM($AD113:$AH113),"")</f>
      </c>
      <c r="AK113" s="40">
        <f>IF(AND(ISNUMBER($AB113),ISNUMBER($AD113)),IF($AB113&gt;0,$AD113/$AB113,""),"")</f>
      </c>
      <c r="AL113" s="32" t="inlineStr">
        <is>
          <t xml:space="preserve">At technical</t>
        </is>
      </c>
      <c r="AM113" s="41">
        <f>IF(ISNUMBER($AD113),Header!$I$3,"")</f>
      </c>
      <c r="AN113" s="39">
        <f>IF(ISNUMBER($AD113),$AO113+$AP113,"")</f>
      </c>
      <c r="AO113" s="39">
        <f>IF(ISNUMBER($AD113),ROUND($AD113*Header!$K$3,2),"")</f>
      </c>
      <c r="AP113" s="39">
        <f>IF(ISNUMBER($AD113),ROUND($AD113*Header!$M$3,2),"")</f>
      </c>
      <c r="AQ113" s="38">
        <f>IF(ISNUMBER($AD113),ROUND($AD113,2)-$AO113-$AP113,"")</f>
      </c>
      <c r="AR113" s="39">
        <f>IF(ISNUMBER($AD113),IF(Header!$D$34="","?",$AD113*Header!$D$34),"")</f>
      </c>
      <c r="AS113" s="39">
        <f>IF(ISNUMBER($AB113),IF(Header!$D$34="","?",$AB113*Header!$D$34),"")</f>
      </c>
      <c r="AT113" s="42">
        <f>IF(AND(ISNUMBER($AB113),$M113&gt;0),$AB113/$M113*100,"")</f>
      </c>
      <c r="AU113" s="42">
        <f>IF(AND(ISNUMBER($AD113),$M113&gt;0),$AD113/$M113*100,"")</f>
      </c>
      <c r="AV113" s="40">
        <f>IF(AND(ISNUMBER($AB113),ISNUMBER($AD113),ABS($AB113)&gt;0),$AD113/$AB113,"")</f>
      </c>
      <c r="AW113" s="39">
        <f>IF(ISNUMBER($AD113),MAX(0,(1-0.55-Header!$O$3)*Header!$Q$3*$AQ113),"")</f>
      </c>
      <c r="AX113" s="43">
        <f>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c>
      <c r="AY113" s="44">
        <f>IF($M113="","",IF(ISNUMBER($M113),IF($M113&gt;=Header!$C$18,"YES — refer","No"),""))</f>
      </c>
      <c r="AZ113" s="44">
        <f>IF($AD113="","",IF(ISNUMBER($AD113),IF($AD113&lt;Header!$C$20,"BELOW MIN PREMIUM","OK"),""))</f>
      </c>
      <c r="BA113" s="32" t="inlineStr">
        <is>
          <t xml:space="preserve">Yes</t>
        </is>
      </c>
      <c r="BB113" s="32" t="inlineStr">
        <is>
          <t xml:space="preserve">Yes</t>
        </is>
      </c>
      <c r="BC113" s="30" t="inlineStr">
        <is>
          <t xml:space="preserve">Synthetic demo data</t>
        </is>
      </c>
      <c r="BE113" s="45">
        <f>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c>
      <c r="BF113" s="45">
        <f>IF($AD113="","",IF(ROUND($AO113+$AP113+$AQ113-$AD113,2)=0,"OK","FAIL - out by "&amp;TEXT($AO113+$AP113+$AQ113-$AD113,"$0.00")))</f>
      </c>
    </row>
    <row r="114" spans="1:58" ht="18.75" customHeight="1" x14ac:dyDescent="0.25">
      <c r="A114" s="46" t="inlineStr">
        <is>
          <t xml:space="preserve">CANON-202606-008553</t>
        </is>
      </c>
      <c r="B114" s="46" t="inlineStr">
        <is>
          <t xml:space="preserve">Wilhelmina Merriweather</t>
        </is>
      </c>
      <c r="C114" s="47">
        <v>46182</v>
      </c>
      <c r="D114" s="48" t="inlineStr">
        <is>
          <t xml:space="preserve">Bound - within authority</t>
        </is>
      </c>
      <c r="E114" s="48" t="inlineStr">
        <is>
          <t xml:space="preserve">New business</t>
        </is>
      </c>
      <c r="F114" s="46" t="inlineStr">
        <is>
          <t xml:space="preserve">B1234EXOTIC26</t>
        </is>
      </c>
      <c r="G114" s="33">
        <f>IF($A114="","",IF($C114="","",YEAR($C114)))</f>
      </c>
      <c r="H114" s="49">
        <v>2018</v>
      </c>
      <c r="I114" s="46" t="inlineStr">
        <is>
          <t xml:space="preserve">Jaguar</t>
        </is>
      </c>
      <c r="J114" s="46" t="inlineStr">
        <is>
          <t xml:space="preserve">E-Type Series 1</t>
        </is>
      </c>
      <c r="K114" s="46" t="inlineStr">
        <is>
          <t xml:space="preserve">RHVLTTTYS2ELA4P8P</t>
        </is>
      </c>
      <c r="L114" s="48" t="inlineStr">
        <is>
          <t xml:space="preserve">02 - Sports / GT</t>
        </is>
      </c>
      <c r="M114" s="50">
        <v>1045000</v>
      </c>
      <c r="N114" s="48" t="inlineStr">
        <is>
          <t xml:space="preserve">Personal</t>
        </is>
      </c>
      <c r="O114" s="46" t="inlineStr">
        <is>
          <t xml:space="preserve">Personal - regular use</t>
        </is>
      </c>
      <c r="P114" s="46" t="inlineStr">
        <is>
          <t xml:space="preserve">2,500 - 5,000</t>
        </is>
      </c>
      <c r="Q114" s="46" t="inlineStr">
        <is>
          <t xml:space="preserve">Florida</t>
        </is>
      </c>
      <c r="R114" s="46" t="inlineStr">
        <is>
          <t xml:space="preserve">33139</t>
        </is>
      </c>
      <c r="S114" s="48" t="inlineStr">
        <is>
          <t xml:space="preserve">Tier 2 - Coastal wind (1-25 miles)</t>
        </is>
      </c>
      <c r="T114" s="36">
        <f>IF($A114="","",IF($S114="","",IFERROR(INDEX('[1]natural catastrophe'!$D$6:$D$17,MATCH($S114,'[1]natural catastrophe'!$B$6:$B$17,0)),"?")))</f>
      </c>
      <c r="U114" s="46" t="inlineStr">
        <is>
          <t xml:space="preserve">2% of agreed value, minimum $10,000</t>
        </is>
      </c>
      <c r="V114" s="48" t="inlineStr">
        <is>
          <t xml:space="preserve">Agreed Value</t>
        </is>
      </c>
      <c r="W114" s="46" t="inlineStr">
        <is>
          <t xml:space="preserve">$1,000</t>
        </is>
      </c>
      <c r="X114" s="48" t="inlineStr">
        <is>
          <t xml:space="preserve">$1,000,000 CSL</t>
        </is>
      </c>
      <c r="Y114" s="46"/>
      <c r="Z114" s="46"/>
      <c r="AA114" s="48" t="inlineStr">
        <is>
          <t xml:space="preserve">Surplus Lines</t>
        </is>
      </c>
      <c r="AB114" s="50">
        <v>8136.92</v>
      </c>
      <c r="AC114" s="51">
        <v>0</v>
      </c>
      <c r="AD114" s="38">
        <f>IF(ISNUMBER($AB114),$AB114*(1+N($AC114)),"")</f>
      </c>
      <c r="AE114" s="50">
        <v>350</v>
      </c>
      <c r="AF114" s="50">
        <v>250</v>
      </c>
      <c r="AG114" s="51"/>
      <c r="AH114" s="39">
        <f>IF(ISNUMBER($AD114),($AD114+$AE114+$AF114)*$AG114,"")</f>
      </c>
      <c r="AI114" s="50"/>
      <c r="AJ114" s="38">
        <f>IF(ISNUMBER($AD114),SUM($AD114:$AH114),"")</f>
      </c>
      <c r="AK114" s="40">
        <f>IF(AND(ISNUMBER($AB114),ISNUMBER($AD114)),IF($AB114&gt;0,$AD114/$AB114,""),"")</f>
      </c>
      <c r="AL114" s="48" t="inlineStr">
        <is>
          <t xml:space="preserve">At technical</t>
        </is>
      </c>
      <c r="AM114" s="41">
        <f>IF(ISNUMBER($AD114),Header!$I$3,"")</f>
      </c>
      <c r="AN114" s="39">
        <f>IF(ISNUMBER($AD114),$AO114+$AP114,"")</f>
      </c>
      <c r="AO114" s="39">
        <f>IF(ISNUMBER($AD114),ROUND($AD114*Header!$K$3,2),"")</f>
      </c>
      <c r="AP114" s="39">
        <f>IF(ISNUMBER($AD114),ROUND($AD114*Header!$M$3,2),"")</f>
      </c>
      <c r="AQ114" s="38">
        <f>IF(ISNUMBER($AD114),ROUND($AD114,2)-$AO114-$AP114,"")</f>
      </c>
      <c r="AR114" s="39">
        <f>IF(ISNUMBER($AD114),IF(Header!$D$34="","?",$AD114*Header!$D$34),"")</f>
      </c>
      <c r="AS114" s="39">
        <f>IF(ISNUMBER($AB114),IF(Header!$D$34="","?",$AB114*Header!$D$34),"")</f>
      </c>
      <c r="AT114" s="42">
        <f>IF(AND(ISNUMBER($AB114),$M114&gt;0),$AB114/$M114*100,"")</f>
      </c>
      <c r="AU114" s="42">
        <f>IF(AND(ISNUMBER($AD114),$M114&gt;0),$AD114/$M114*100,"")</f>
      </c>
      <c r="AV114" s="40">
        <f>IF(AND(ISNUMBER($AB114),ISNUMBER($AD114),ABS($AB114)&gt;0),$AD114/$AB114,"")</f>
      </c>
      <c r="AW114" s="39">
        <f>IF(ISNUMBER($AD114),MAX(0,(1-0.55-Header!$O$3)*Header!$Q$3*$AQ114),"")</f>
      </c>
      <c r="AX114" s="43">
        <f>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c>
      <c r="AY114" s="44">
        <f>IF($M114="","",IF(ISNUMBER($M114),IF($M114&gt;=Header!$C$18,"YES — refer","No"),""))</f>
      </c>
      <c r="AZ114" s="44">
        <f>IF($AD114="","",IF(ISNUMBER($AD114),IF($AD114&lt;Header!$C$20,"BELOW MIN PREMIUM","OK"),""))</f>
      </c>
      <c r="BA114" s="48" t="inlineStr">
        <is>
          <t xml:space="preserve">Yes</t>
        </is>
      </c>
      <c r="BB114" s="48" t="inlineStr">
        <is>
          <t xml:space="preserve">Yes</t>
        </is>
      </c>
      <c r="BC114" s="46" t="inlineStr">
        <is>
          <t xml:space="preserve">Synthetic demo data</t>
        </is>
      </c>
      <c r="BE114" s="45">
        <f>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c>
      <c r="BF114" s="45">
        <f>IF($AD114="","",IF(ROUND($AO114+$AP114+$AQ114-$AD114,2)=0,"OK","FAIL - out by "&amp;TEXT($AO114+$AP114+$AQ114-$AD114,"$0.00")))</f>
      </c>
    </row>
    <row r="115" spans="1:58" ht="18.75" customHeight="1" x14ac:dyDescent="0.25">
      <c r="A115" s="30" t="inlineStr">
        <is>
          <t xml:space="preserve">CANON-202606-008554</t>
        </is>
      </c>
      <c r="B115" s="30" t="inlineStr">
        <is>
          <t xml:space="preserve">Callum Rourke</t>
        </is>
      </c>
      <c r="C115" s="31">
        <v>46198</v>
      </c>
      <c r="D115" s="32" t="inlineStr">
        <is>
          <t xml:space="preserve">Bound - within authority</t>
        </is>
      </c>
      <c r="E115" s="32" t="inlineStr">
        <is>
          <t xml:space="preserve">New business</t>
        </is>
      </c>
      <c r="F115" s="30" t="inlineStr">
        <is>
          <t xml:space="preserve">B1234EXOTIC26</t>
        </is>
      </c>
      <c r="G115" s="33">
        <f>IF($A115="","",IF($C115="","",YEAR($C115)))</f>
      </c>
      <c r="H115" s="34">
        <v>1980</v>
      </c>
      <c r="I115" s="30" t="inlineStr">
        <is>
          <t xml:space="preserve">Lamborghini</t>
        </is>
      </c>
      <c r="J115" s="30" t="inlineStr">
        <is>
          <t xml:space="preserve">Huracan EVO</t>
        </is>
      </c>
      <c r="K115" s="30" t="inlineStr">
        <is>
          <t xml:space="preserve">GHL2D95K1F8KN5DGT</t>
        </is>
      </c>
      <c r="L115" s="32" t="inlineStr">
        <is>
          <t xml:space="preserve">03 - Supercar</t>
        </is>
      </c>
      <c r="M115" s="35">
        <v>1210000</v>
      </c>
      <c r="N115" s="32" t="inlineStr">
        <is>
          <t xml:space="preserve">Personal</t>
        </is>
      </c>
      <c r="O115" s="30" t="inlineStr">
        <is>
          <t xml:space="preserve">Personal - regular use</t>
        </is>
      </c>
      <c r="P115" s="30" t="inlineStr">
        <is>
          <t xml:space="preserve">1,000 - 2,500</t>
        </is>
      </c>
      <c r="Q115" s="30" t="inlineStr">
        <is>
          <t xml:space="preserve">New York</t>
        </is>
      </c>
      <c r="R115" s="30" t="inlineStr">
        <is>
          <t xml:space="preserve">10022</t>
        </is>
      </c>
      <c r="S115" s="32" t="inlineStr">
        <is>
          <t xml:space="preserve">Tier 3 - Coastal wind (25-100 miles)</t>
        </is>
      </c>
      <c r="T115" s="36">
        <f>IF($A115="","",IF($S115="","",IFERROR(INDEX('[1]natural catastrophe'!$D$6:$D$17,MATCH($S115,'[1]natural catastrophe'!$B$6:$B$17,0)),"?")))</f>
      </c>
      <c r="U115" s="30" t="inlineStr">
        <is>
          <t xml:space="preserve">2% of agreed value, minimum $10,000</t>
        </is>
      </c>
      <c r="V115" s="32" t="inlineStr">
        <is>
          <t xml:space="preserve">Agreed Value</t>
        </is>
      </c>
      <c r="W115" s="30" t="inlineStr">
        <is>
          <t xml:space="preserve">$1,000</t>
        </is>
      </c>
      <c r="X115" s="32" t="inlineStr">
        <is>
          <t xml:space="preserve">$1,000,000 CSL</t>
        </is>
      </c>
      <c r="Y115" s="30"/>
      <c r="Z115" s="30"/>
      <c r="AA115" s="32" t="inlineStr">
        <is>
          <t xml:space="preserve">Surplus Lines</t>
        </is>
      </c>
      <c r="AB115" s="35">
        <v>17879.58</v>
      </c>
      <c r="AC115" s="37">
        <v>0</v>
      </c>
      <c r="AD115" s="38">
        <f>IF(ISNUMBER($AB115),$AB115*(1+N($AC115)),"")</f>
      </c>
      <c r="AE115" s="35">
        <v>350</v>
      </c>
      <c r="AF115" s="35">
        <v>250</v>
      </c>
      <c r="AG115" s="37"/>
      <c r="AH115" s="39">
        <f>IF(ISNUMBER($AD115),($AD115+$AE115+$AF115)*$AG115,"")</f>
      </c>
      <c r="AI115" s="35"/>
      <c r="AJ115" s="38">
        <f>IF(ISNUMBER($AD115),SUM($AD115:$AH115),"")</f>
      </c>
      <c r="AK115" s="40">
        <f>IF(AND(ISNUMBER($AB115),ISNUMBER($AD115)),IF($AB115&gt;0,$AD115/$AB115,""),"")</f>
      </c>
      <c r="AL115" s="32" t="inlineStr">
        <is>
          <t xml:space="preserve">At technical</t>
        </is>
      </c>
      <c r="AM115" s="41">
        <f>IF(ISNUMBER($AD115),Header!$I$3,"")</f>
      </c>
      <c r="AN115" s="39">
        <f>IF(ISNUMBER($AD115),$AO115+$AP115,"")</f>
      </c>
      <c r="AO115" s="39">
        <f>IF(ISNUMBER($AD115),ROUND($AD115*Header!$K$3,2),"")</f>
      </c>
      <c r="AP115" s="39">
        <f>IF(ISNUMBER($AD115),ROUND($AD115*Header!$M$3,2),"")</f>
      </c>
      <c r="AQ115" s="38">
        <f>IF(ISNUMBER($AD115),ROUND($AD115,2)-$AO115-$AP115,"")</f>
      </c>
      <c r="AR115" s="39">
        <f>IF(ISNUMBER($AD115),IF(Header!$D$34="","?",$AD115*Header!$D$34),"")</f>
      </c>
      <c r="AS115" s="39">
        <f>IF(ISNUMBER($AB115),IF(Header!$D$34="","?",$AB115*Header!$D$34),"")</f>
      </c>
      <c r="AT115" s="42">
        <f>IF(AND(ISNUMBER($AB115),$M115&gt;0),$AB115/$M115*100,"")</f>
      </c>
      <c r="AU115" s="42">
        <f>IF(AND(ISNUMBER($AD115),$M115&gt;0),$AD115/$M115*100,"")</f>
      </c>
      <c r="AV115" s="40">
        <f>IF(AND(ISNUMBER($AB115),ISNUMBER($AD115),ABS($AB115)&gt;0),$AD115/$AB115,"")</f>
      </c>
      <c r="AW115" s="39">
        <f>IF(ISNUMBER($AD115),MAX(0,(1-0.55-Header!$O$3)*Header!$Q$3*$AQ115),"")</f>
      </c>
      <c r="AX115" s="43">
        <f>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c>
      <c r="AY115" s="44">
        <f>IF($M115="","",IF(ISNUMBER($M115),IF($M115&gt;=Header!$C$18,"YES — refer","No"),""))</f>
      </c>
      <c r="AZ115" s="44">
        <f>IF($AD115="","",IF(ISNUMBER($AD115),IF($AD115&lt;Header!$C$20,"BELOW MIN PREMIUM","OK"),""))</f>
      </c>
      <c r="BA115" s="32" t="inlineStr">
        <is>
          <t xml:space="preserve">Yes</t>
        </is>
      </c>
      <c r="BB115" s="32" t="inlineStr">
        <is>
          <t xml:space="preserve">Yes</t>
        </is>
      </c>
      <c r="BC115" s="30" t="inlineStr">
        <is>
          <t xml:space="preserve">Synthetic demo data</t>
        </is>
      </c>
      <c r="BE115" s="45">
        <f>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c>
      <c r="BF115" s="45">
        <f>IF($AD115="","",IF(ROUND($AO115+$AP115+$AQ115-$AD115,2)=0,"OK","FAIL - out by "&amp;TEXT($AO115+$AP115+$AQ115-$AD115,"$0.00")))</f>
      </c>
    </row>
    <row r="116" spans="1:58" ht="18.75" customHeight="1" x14ac:dyDescent="0.25">
      <c r="A116" s="46" t="inlineStr">
        <is>
          <t xml:space="preserve">CANON-202606-008555</t>
        </is>
      </c>
      <c r="B116" s="46" t="inlineStr">
        <is>
          <t xml:space="preserve">Ingrid Vasquez</t>
        </is>
      </c>
      <c r="C116" s="47">
        <v>46197</v>
      </c>
      <c r="D116" s="48" t="inlineStr">
        <is>
          <t xml:space="preserve">Bound - within authority</t>
        </is>
      </c>
      <c r="E116" s="48" t="inlineStr">
        <is>
          <t xml:space="preserve">New business</t>
        </is>
      </c>
      <c r="F116" s="46" t="inlineStr">
        <is>
          <t xml:space="preserve">B1234EXOTIC26</t>
        </is>
      </c>
      <c r="G116" s="33">
        <f>IF($A116="","",IF($C116="","",YEAR($C116)))</f>
      </c>
      <c r="H116" s="49">
        <v>1959</v>
      </c>
      <c r="I116" s="46" t="inlineStr">
        <is>
          <t xml:space="preserve">BMW</t>
        </is>
      </c>
      <c r="J116" s="46" t="inlineStr">
        <is>
          <t xml:space="preserve">M8 Competition</t>
        </is>
      </c>
      <c r="K116" s="46" t="inlineStr">
        <is>
          <t xml:space="preserve">4PUH83HNFMTXR3FZL</t>
        </is>
      </c>
      <c r="L116" s="48" t="inlineStr">
        <is>
          <t xml:space="preserve">02 - Sports / GT</t>
        </is>
      </c>
      <c r="M116" s="50">
        <v>775000</v>
      </c>
      <c r="N116" s="48" t="inlineStr">
        <is>
          <t xml:space="preserve">Personal</t>
        </is>
      </c>
      <c r="O116" s="46" t="inlineStr">
        <is>
          <t xml:space="preserve">Personal - regular use</t>
        </is>
      </c>
      <c r="P116" s="46" t="inlineStr">
        <is>
          <t xml:space="preserve">1,000 - 2,500</t>
        </is>
      </c>
      <c r="Q116" s="46" t="inlineStr">
        <is>
          <t xml:space="preserve">Texas</t>
        </is>
      </c>
      <c r="R116" s="46" t="inlineStr">
        <is>
          <t xml:space="preserve">75201</t>
        </is>
      </c>
      <c r="S116" s="48" t="inlineStr">
        <is>
          <t xml:space="preserve">Tier 2 - Coastal wind (1-25 miles)</t>
        </is>
      </c>
      <c r="T116" s="36">
        <f>IF($A116="","",IF($S116="","",IFERROR(INDEX('[1]natural catastrophe'!$D$6:$D$17,MATCH($S116,'[1]natural catastrophe'!$B$6:$B$17,0)),"?")))</f>
      </c>
      <c r="U116" s="46" t="inlineStr">
        <is>
          <t xml:space="preserve">2% of agreed value, minimum $10,000</t>
        </is>
      </c>
      <c r="V116" s="48" t="inlineStr">
        <is>
          <t xml:space="preserve">Agreed Value</t>
        </is>
      </c>
      <c r="W116" s="46" t="inlineStr">
        <is>
          <t xml:space="preserve">$1,000</t>
        </is>
      </c>
      <c r="X116" s="48" t="inlineStr">
        <is>
          <t xml:space="preserve">$1,000,000 CSL</t>
        </is>
      </c>
      <c r="Y116" s="46"/>
      <c r="Z116" s="46"/>
      <c r="AA116" s="48" t="inlineStr">
        <is>
          <t xml:space="preserve">Surplus Lines</t>
        </is>
      </c>
      <c r="AB116" s="50">
        <v>8359.59</v>
      </c>
      <c r="AC116" s="51">
        <v>0</v>
      </c>
      <c r="AD116" s="38">
        <f>IF(ISNUMBER($AB116),$AB116*(1+N($AC116)),"")</f>
      </c>
      <c r="AE116" s="50">
        <v>350</v>
      </c>
      <c r="AF116" s="50">
        <v>0</v>
      </c>
      <c r="AG116" s="51"/>
      <c r="AH116" s="39">
        <f>IF(ISNUMBER($AD116),($AD116+$AE116+$AF116)*$AG116,"")</f>
      </c>
      <c r="AI116" s="50"/>
      <c r="AJ116" s="38">
        <f>IF(ISNUMBER($AD116),SUM($AD116:$AH116),"")</f>
      </c>
      <c r="AK116" s="40">
        <f>IF(AND(ISNUMBER($AB116),ISNUMBER($AD116)),IF($AB116&gt;0,$AD116/$AB116,""),"")</f>
      </c>
      <c r="AL116" s="48" t="inlineStr">
        <is>
          <t xml:space="preserve">At technical</t>
        </is>
      </c>
      <c r="AM116" s="41">
        <f>IF(ISNUMBER($AD116),Header!$I$3,"")</f>
      </c>
      <c r="AN116" s="39">
        <f>IF(ISNUMBER($AD116),$AO116+$AP116,"")</f>
      </c>
      <c r="AO116" s="39">
        <f>IF(ISNUMBER($AD116),ROUND($AD116*Header!$K$3,2),"")</f>
      </c>
      <c r="AP116" s="39">
        <f>IF(ISNUMBER($AD116),ROUND($AD116*Header!$M$3,2),"")</f>
      </c>
      <c r="AQ116" s="38">
        <f>IF(ISNUMBER($AD116),ROUND($AD116,2)-$AO116-$AP116,"")</f>
      </c>
      <c r="AR116" s="39">
        <f>IF(ISNUMBER($AD116),IF(Header!$D$34="","?",$AD116*Header!$D$34),"")</f>
      </c>
      <c r="AS116" s="39">
        <f>IF(ISNUMBER($AB116),IF(Header!$D$34="","?",$AB116*Header!$D$34),"")</f>
      </c>
      <c r="AT116" s="42">
        <f>IF(AND(ISNUMBER($AB116),$M116&gt;0),$AB116/$M116*100,"")</f>
      </c>
      <c r="AU116" s="42">
        <f>IF(AND(ISNUMBER($AD116),$M116&gt;0),$AD116/$M116*100,"")</f>
      </c>
      <c r="AV116" s="40">
        <f>IF(AND(ISNUMBER($AB116),ISNUMBER($AD116),ABS($AB116)&gt;0),$AD116/$AB116,"")</f>
      </c>
      <c r="AW116" s="39">
        <f>IF(ISNUMBER($AD116),MAX(0,(1-0.55-Header!$O$3)*Header!$Q$3*$AQ116),"")</f>
      </c>
      <c r="AX116" s="43">
        <f>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c>
      <c r="AY116" s="44">
        <f>IF($M116="","",IF(ISNUMBER($M116),IF($M116&gt;=Header!$C$18,"YES — refer","No"),""))</f>
      </c>
      <c r="AZ116" s="44">
        <f>IF($AD116="","",IF(ISNUMBER($AD116),IF($AD116&lt;Header!$C$20,"BELOW MIN PREMIUM","OK"),""))</f>
      </c>
      <c r="BA116" s="48" t="inlineStr">
        <is>
          <t xml:space="preserve">Yes</t>
        </is>
      </c>
      <c r="BB116" s="48" t="inlineStr">
        <is>
          <t xml:space="preserve">Yes</t>
        </is>
      </c>
      <c r="BC116" s="46" t="inlineStr">
        <is>
          <t xml:space="preserve">Synthetic demo data</t>
        </is>
      </c>
      <c r="BE116" s="45">
        <f>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c>
      <c r="BF116" s="45">
        <f>IF($AD116="","",IF(ROUND($AO116+$AP116+$AQ116-$AD116,2)=0,"OK","FAIL - out by "&amp;TEXT($AO116+$AP116+$AQ116-$AD116,"$0.00")))</f>
      </c>
    </row>
    <row r="117" spans="1:58" ht="18.75" customHeight="1" x14ac:dyDescent="0.25">
      <c r="A117" s="30" t="inlineStr">
        <is>
          <t xml:space="preserve">CANON-202606-008557</t>
        </is>
      </c>
      <c r="B117" s="30" t="inlineStr">
        <is>
          <t xml:space="preserve">Priya Okonkwo</t>
        </is>
      </c>
      <c r="C117" s="31">
        <v>46197</v>
      </c>
      <c r="D117" s="32" t="inlineStr">
        <is>
          <t xml:space="preserve">Bound - within authority</t>
        </is>
      </c>
      <c r="E117" s="32" t="inlineStr">
        <is>
          <t xml:space="preserve">New business</t>
        </is>
      </c>
      <c r="F117" s="30" t="inlineStr">
        <is>
          <t xml:space="preserve">B1234EXOTIC26</t>
        </is>
      </c>
      <c r="G117" s="33">
        <f>IF($A117="","",IF($C117="","",YEAR($C117)))</f>
      </c>
      <c r="H117" s="34">
        <v>2003</v>
      </c>
      <c r="I117" s="30" t="inlineStr">
        <is>
          <t xml:space="preserve">Aston Martin</t>
        </is>
      </c>
      <c r="J117" s="30" t="inlineStr">
        <is>
          <t xml:space="preserve">DB12</t>
        </is>
      </c>
      <c r="K117" s="30" t="inlineStr">
        <is>
          <t xml:space="preserve">7GAE5P8HH1XHMUS1T</t>
        </is>
      </c>
      <c r="L117" s="32" t="inlineStr">
        <is>
          <t xml:space="preserve">02 - Sports / GT</t>
        </is>
      </c>
      <c r="M117" s="35">
        <v>630000</v>
      </c>
      <c r="N117" s="32" t="inlineStr">
        <is>
          <t xml:space="preserve">Personal</t>
        </is>
      </c>
      <c r="O117" s="30" t="inlineStr">
        <is>
          <t xml:space="preserve">Personal - regular use</t>
        </is>
      </c>
      <c r="P117" s="30" t="inlineStr">
        <is>
          <t xml:space="preserve">2,500 - 5,000</t>
        </is>
      </c>
      <c r="Q117" s="30" t="inlineStr">
        <is>
          <t xml:space="preserve">Nevada</t>
        </is>
      </c>
      <c r="R117" s="30" t="inlineStr">
        <is>
          <t xml:space="preserve">89101</t>
        </is>
      </c>
      <c r="S117" s="32" t="inlineStr">
        <is>
          <t xml:space="preserve">Wildfire - WUI high hazard</t>
        </is>
      </c>
      <c r="T117" s="36">
        <f>IF($A117="","",IF($S117="","",IFERROR(INDEX('[1]natural catastrophe'!$D$6:$D$17,MATCH($S117,'[1]natural catastrophe'!$B$6:$B$17,0)),"?")))</f>
      </c>
      <c r="U117" s="30" t="inlineStr">
        <is>
          <t xml:space="preserve">$5,000</t>
        </is>
      </c>
      <c r="V117" s="32" t="inlineStr">
        <is>
          <t xml:space="preserve">Agreed Value</t>
        </is>
      </c>
      <c r="W117" s="30" t="inlineStr">
        <is>
          <t xml:space="preserve">$1,000</t>
        </is>
      </c>
      <c r="X117" s="32" t="inlineStr">
        <is>
          <t xml:space="preserve">$1,000,000 CSL</t>
        </is>
      </c>
      <c r="Y117" s="30"/>
      <c r="Z117" s="30"/>
      <c r="AA117" s="32" t="inlineStr">
        <is>
          <t xml:space="preserve">Surplus Lines</t>
        </is>
      </c>
      <c r="AB117" s="35">
        <v>6913.72</v>
      </c>
      <c r="AC117" s="37">
        <v>0</v>
      </c>
      <c r="AD117" s="38">
        <f>IF(ISNUMBER($AB117),$AB117*(1+N($AC117)),"")</f>
      </c>
      <c r="AE117" s="35">
        <v>350</v>
      </c>
      <c r="AF117" s="35">
        <v>0</v>
      </c>
      <c r="AG117" s="37"/>
      <c r="AH117" s="39">
        <f>IF(ISNUMBER($AD117),($AD117+$AE117+$AF117)*$AG117,"")</f>
      </c>
      <c r="AI117" s="35"/>
      <c r="AJ117" s="38">
        <f>IF(ISNUMBER($AD117),SUM($AD117:$AH117),"")</f>
      </c>
      <c r="AK117" s="40">
        <f>IF(AND(ISNUMBER($AB117),ISNUMBER($AD117)),IF($AB117&gt;0,$AD117/$AB117,""),"")</f>
      </c>
      <c r="AL117" s="32" t="inlineStr">
        <is>
          <t xml:space="preserve">At technical</t>
        </is>
      </c>
      <c r="AM117" s="41">
        <f>IF(ISNUMBER($AD117),Header!$I$3,"")</f>
      </c>
      <c r="AN117" s="39">
        <f>IF(ISNUMBER($AD117),$AO117+$AP117,"")</f>
      </c>
      <c r="AO117" s="39">
        <f>IF(ISNUMBER($AD117),ROUND($AD117*Header!$K$3,2),"")</f>
      </c>
      <c r="AP117" s="39">
        <f>IF(ISNUMBER($AD117),ROUND($AD117*Header!$M$3,2),"")</f>
      </c>
      <c r="AQ117" s="38">
        <f>IF(ISNUMBER($AD117),ROUND($AD117,2)-$AO117-$AP117,"")</f>
      </c>
      <c r="AR117" s="39">
        <f>IF(ISNUMBER($AD117),IF(Header!$D$34="","?",$AD117*Header!$D$34),"")</f>
      </c>
      <c r="AS117" s="39">
        <f>IF(ISNUMBER($AB117),IF(Header!$D$34="","?",$AB117*Header!$D$34),"")</f>
      </c>
      <c r="AT117" s="42">
        <f>IF(AND(ISNUMBER($AB117),$M117&gt;0),$AB117/$M117*100,"")</f>
      </c>
      <c r="AU117" s="42">
        <f>IF(AND(ISNUMBER($AD117),$M117&gt;0),$AD117/$M117*100,"")</f>
      </c>
      <c r="AV117" s="40">
        <f>IF(AND(ISNUMBER($AB117),ISNUMBER($AD117),ABS($AB117)&gt;0),$AD117/$AB117,"")</f>
      </c>
      <c r="AW117" s="39">
        <f>IF(ISNUMBER($AD117),MAX(0,(1-0.55-Header!$O$3)*Header!$Q$3*$AQ117),"")</f>
      </c>
      <c r="AX117" s="43">
        <f>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c>
      <c r="AY117" s="44">
        <f>IF($M117="","",IF(ISNUMBER($M117),IF($M117&gt;=Header!$C$18,"YES — refer","No"),""))</f>
      </c>
      <c r="AZ117" s="44">
        <f>IF($AD117="","",IF(ISNUMBER($AD117),IF($AD117&lt;Header!$C$20,"BELOW MIN PREMIUM","OK"),""))</f>
      </c>
      <c r="BA117" s="32" t="inlineStr">
        <is>
          <t xml:space="preserve">Yes</t>
        </is>
      </c>
      <c r="BB117" s="32" t="inlineStr">
        <is>
          <t xml:space="preserve">Yes</t>
        </is>
      </c>
      <c r="BC117" s="30" t="inlineStr">
        <is>
          <t xml:space="preserve">Synthetic demo data</t>
        </is>
      </c>
      <c r="BE117" s="45">
        <f>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c>
      <c r="BF117" s="45">
        <f>IF($AD117="","",IF(ROUND($AO117+$AP117+$AQ117-$AD117,2)=0,"OK","FAIL - out by "&amp;TEXT($AO117+$AP117+$AQ117-$AD117,"$0.00")))</f>
      </c>
    </row>
    <row r="118" spans="1:58" ht="18.75" customHeight="1" x14ac:dyDescent="0.25">
      <c r="A118" s="46" t="inlineStr">
        <is>
          <t xml:space="preserve">CANON-202606-008558</t>
        </is>
      </c>
      <c r="B118" s="46" t="inlineStr">
        <is>
          <t xml:space="preserve">Fitzgerald Montoya</t>
        </is>
      </c>
      <c r="C118" s="47">
        <v>46196</v>
      </c>
      <c r="D118" s="48" t="inlineStr">
        <is>
          <t xml:space="preserve">Bound - within authority</t>
        </is>
      </c>
      <c r="E118" s="48" t="inlineStr">
        <is>
          <t xml:space="preserve">New business</t>
        </is>
      </c>
      <c r="F118" s="46" t="inlineStr">
        <is>
          <t xml:space="preserve">B1234EXOTIC26</t>
        </is>
      </c>
      <c r="G118" s="33">
        <f>IF($A118="","",IF($C118="","",YEAR($C118)))</f>
      </c>
      <c r="H118" s="49">
        <v>1981</v>
      </c>
      <c r="I118" s="46" t="inlineStr">
        <is>
          <t xml:space="preserve">Mercedes-Benz</t>
        </is>
      </c>
      <c r="J118" s="46" t="inlineStr">
        <is>
          <t xml:space="preserve">AMG GT</t>
        </is>
      </c>
      <c r="K118" s="46" t="inlineStr">
        <is>
          <t xml:space="preserve">MHXK7CJ739GUBZ3W9</t>
        </is>
      </c>
      <c r="L118" s="48" t="inlineStr">
        <is>
          <t xml:space="preserve">02 - Sports / GT</t>
        </is>
      </c>
      <c r="M118" s="50">
        <v>240000</v>
      </c>
      <c r="N118" s="48" t="inlineStr">
        <is>
          <t xml:space="preserve">Personal</t>
        </is>
      </c>
      <c r="O118" s="46" t="inlineStr">
        <is>
          <t xml:space="preserve">Personal - regular use</t>
        </is>
      </c>
      <c r="P118" s="46" t="inlineStr">
        <is>
          <t xml:space="preserve">Under 1,000</t>
        </is>
      </c>
      <c r="Q118" s="46" t="inlineStr">
        <is>
          <t xml:space="preserve">California</t>
        </is>
      </c>
      <c r="R118" s="46" t="inlineStr">
        <is>
          <t xml:space="preserve">90012</t>
        </is>
      </c>
      <c r="S118" s="48" t="inlineStr">
        <is>
          <t xml:space="preserve">Earthquake - high (CA, Cascadia, New Madrid)</t>
        </is>
      </c>
      <c r="T118" s="36">
        <f>IF($A118="","",IF($S118="","",IFERROR(INDEX('[1]natural catastrophe'!$D$6:$D$17,MATCH($S118,'[1]natural catastrophe'!$B$6:$B$17,0)),"?")))</f>
      </c>
      <c r="U118" s="46" t="inlineStr">
        <is>
          <t xml:space="preserve">$5,000</t>
        </is>
      </c>
      <c r="V118" s="48" t="inlineStr">
        <is>
          <t xml:space="preserve">Agreed Value</t>
        </is>
      </c>
      <c r="W118" s="46" t="inlineStr">
        <is>
          <t xml:space="preserve">$1,000</t>
        </is>
      </c>
      <c r="X118" s="48" t="inlineStr">
        <is>
          <t xml:space="preserve">$1,000,000 CSL</t>
        </is>
      </c>
      <c r="Y118" s="46"/>
      <c r="Z118" s="46"/>
      <c r="AA118" s="48" t="inlineStr">
        <is>
          <t xml:space="preserve">Surplus Lines</t>
        </is>
      </c>
      <c r="AB118" s="50">
        <v>4301.35</v>
      </c>
      <c r="AC118" s="51">
        <v>0</v>
      </c>
      <c r="AD118" s="38">
        <f>IF(ISNUMBER($AB118),$AB118*(1+N($AC118)),"")</f>
      </c>
      <c r="AE118" s="50">
        <v>350</v>
      </c>
      <c r="AF118" s="50">
        <v>0</v>
      </c>
      <c r="AG118" s="51"/>
      <c r="AH118" s="39">
        <f>IF(ISNUMBER($AD118),($AD118+$AE118+$AF118)*$AG118,"")</f>
      </c>
      <c r="AI118" s="50"/>
      <c r="AJ118" s="38">
        <f>IF(ISNUMBER($AD118),SUM($AD118:$AH118),"")</f>
      </c>
      <c r="AK118" s="40">
        <f>IF(AND(ISNUMBER($AB118),ISNUMBER($AD118)),IF($AB118&gt;0,$AD118/$AB118,""),"")</f>
      </c>
      <c r="AL118" s="48" t="inlineStr">
        <is>
          <t xml:space="preserve">At technical</t>
        </is>
      </c>
      <c r="AM118" s="41">
        <f>IF(ISNUMBER($AD118),Header!$I$3,"")</f>
      </c>
      <c r="AN118" s="39">
        <f>IF(ISNUMBER($AD118),$AO118+$AP118,"")</f>
      </c>
      <c r="AO118" s="39">
        <f>IF(ISNUMBER($AD118),ROUND($AD118*Header!$K$3,2),"")</f>
      </c>
      <c r="AP118" s="39">
        <f>IF(ISNUMBER($AD118),ROUND($AD118*Header!$M$3,2),"")</f>
      </c>
      <c r="AQ118" s="38">
        <f>IF(ISNUMBER($AD118),ROUND($AD118,2)-$AO118-$AP118,"")</f>
      </c>
      <c r="AR118" s="39">
        <f>IF(ISNUMBER($AD118),IF(Header!$D$34="","?",$AD118*Header!$D$34),"")</f>
      </c>
      <c r="AS118" s="39">
        <f>IF(ISNUMBER($AB118),IF(Header!$D$34="","?",$AB118*Header!$D$34),"")</f>
      </c>
      <c r="AT118" s="42">
        <f>IF(AND(ISNUMBER($AB118),$M118&gt;0),$AB118/$M118*100,"")</f>
      </c>
      <c r="AU118" s="42">
        <f>IF(AND(ISNUMBER($AD118),$M118&gt;0),$AD118/$M118*100,"")</f>
      </c>
      <c r="AV118" s="40">
        <f>IF(AND(ISNUMBER($AB118),ISNUMBER($AD118),ABS($AB118)&gt;0),$AD118/$AB118,"")</f>
      </c>
      <c r="AW118" s="39">
        <f>IF(ISNUMBER($AD118),MAX(0,(1-0.55-Header!$O$3)*Header!$Q$3*$AQ118),"")</f>
      </c>
      <c r="AX118" s="43">
        <f>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c>
      <c r="AY118" s="44">
        <f>IF($M118="","",IF(ISNUMBER($M118),IF($M118&gt;=Header!$C$18,"YES — refer","No"),""))</f>
      </c>
      <c r="AZ118" s="44">
        <f>IF($AD118="","",IF(ISNUMBER($AD118),IF($AD118&lt;Header!$C$20,"BELOW MIN PREMIUM","OK"),""))</f>
      </c>
      <c r="BA118" s="48" t="inlineStr">
        <is>
          <t xml:space="preserve">Yes</t>
        </is>
      </c>
      <c r="BB118" s="48" t="inlineStr">
        <is>
          <t xml:space="preserve">Yes</t>
        </is>
      </c>
      <c r="BC118" s="46" t="inlineStr">
        <is>
          <t xml:space="preserve">Synthetic demo data</t>
        </is>
      </c>
      <c r="BE118" s="45">
        <f>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c>
      <c r="BF118" s="45">
        <f>IF($AD118="","",IF(ROUND($AO118+$AP118+$AQ118-$AD118,2)=0,"OK","FAIL - out by "&amp;TEXT($AO118+$AP118+$AQ118-$AD118,"$0.00")))</f>
      </c>
    </row>
    <row r="119" spans="1:58" ht="18.75" customHeight="1" x14ac:dyDescent="0.25">
      <c r="A119" s="30" t="inlineStr">
        <is>
          <t xml:space="preserve">CANON-202606-008561</t>
        </is>
      </c>
      <c r="B119" s="30" t="inlineStr">
        <is>
          <t xml:space="preserve">Fenwick Larsson</t>
        </is>
      </c>
      <c r="C119" s="31">
        <v>46185</v>
      </c>
      <c r="D119" s="32" t="inlineStr">
        <is>
          <t xml:space="preserve">Bound - within authority</t>
        </is>
      </c>
      <c r="E119" s="32" t="inlineStr">
        <is>
          <t xml:space="preserve">New business</t>
        </is>
      </c>
      <c r="F119" s="30" t="inlineStr">
        <is>
          <t xml:space="preserve">B1234EXOTIC26</t>
        </is>
      </c>
      <c r="G119" s="33">
        <f>IF($A119="","",IF($C119="","",YEAR($C119)))</f>
      </c>
      <c r="H119" s="34">
        <v>1964</v>
      </c>
      <c r="I119" s="30" t="inlineStr">
        <is>
          <t xml:space="preserve">BMW</t>
        </is>
      </c>
      <c r="J119" s="30" t="inlineStr">
        <is>
          <t xml:space="preserve">M8 Competition</t>
        </is>
      </c>
      <c r="K119" s="30" t="inlineStr">
        <is>
          <t xml:space="preserve">37RPW1VWRNDWZEVC7</t>
        </is>
      </c>
      <c r="L119" s="32" t="inlineStr">
        <is>
          <t xml:space="preserve">02 - Sports / GT</t>
        </is>
      </c>
      <c r="M119" s="35">
        <v>595000</v>
      </c>
      <c r="N119" s="32" t="inlineStr">
        <is>
          <t xml:space="preserve">Personal</t>
        </is>
      </c>
      <c r="O119" s="30" t="inlineStr">
        <is>
          <t xml:space="preserve">Personal - regular use</t>
        </is>
      </c>
      <c r="P119" s="30" t="inlineStr">
        <is>
          <t xml:space="preserve">1,000 - 2,500</t>
        </is>
      </c>
      <c r="Q119" s="30" t="inlineStr">
        <is>
          <t xml:space="preserve">New Mexico</t>
        </is>
      </c>
      <c r="R119" s="30" t="inlineStr">
        <is>
          <t xml:space="preserve">87501</t>
        </is>
      </c>
      <c r="S119" s="32" t="inlineStr">
        <is>
          <t xml:space="preserve">Wildfire - WUI high hazard</t>
        </is>
      </c>
      <c r="T119" s="36">
        <f>IF($A119="","",IF($S119="","",IFERROR(INDEX('[1]natural catastrophe'!$D$6:$D$17,MATCH($S119,'[1]natural catastrophe'!$B$6:$B$17,0)),"?")))</f>
      </c>
      <c r="U119" s="30" t="inlineStr">
        <is>
          <t xml:space="preserve">$5,000</t>
        </is>
      </c>
      <c r="V119" s="32" t="inlineStr">
        <is>
          <t xml:space="preserve">Agreed Value</t>
        </is>
      </c>
      <c r="W119" s="30" t="inlineStr">
        <is>
          <t xml:space="preserve">$1,000</t>
        </is>
      </c>
      <c r="X119" s="32" t="inlineStr">
        <is>
          <t xml:space="preserve">$1,000,000 CSL</t>
        </is>
      </c>
      <c r="Y119" s="30"/>
      <c r="Z119" s="30"/>
      <c r="AA119" s="32" t="inlineStr">
        <is>
          <t xml:space="preserve">Surplus Lines</t>
        </is>
      </c>
      <c r="AB119" s="35">
        <v>7143.52</v>
      </c>
      <c r="AC119" s="37">
        <v>0</v>
      </c>
      <c r="AD119" s="38">
        <f>IF(ISNUMBER($AB119),$AB119*(1+N($AC119)),"")</f>
      </c>
      <c r="AE119" s="35">
        <v>350</v>
      </c>
      <c r="AF119" s="35">
        <v>0</v>
      </c>
      <c r="AG119" s="37"/>
      <c r="AH119" s="39">
        <f>IF(ISNUMBER($AD119),($AD119+$AE119+$AF119)*$AG119,"")</f>
      </c>
      <c r="AI119" s="35"/>
      <c r="AJ119" s="38">
        <f>IF(ISNUMBER($AD119),SUM($AD119:$AH119),"")</f>
      </c>
      <c r="AK119" s="40">
        <f>IF(AND(ISNUMBER($AB119),ISNUMBER($AD119)),IF($AB119&gt;0,$AD119/$AB119,""),"")</f>
      </c>
      <c r="AL119" s="32" t="inlineStr">
        <is>
          <t xml:space="preserve">At technical</t>
        </is>
      </c>
      <c r="AM119" s="41">
        <f>IF(ISNUMBER($AD119),Header!$I$3,"")</f>
      </c>
      <c r="AN119" s="39">
        <f>IF(ISNUMBER($AD119),$AO119+$AP119,"")</f>
      </c>
      <c r="AO119" s="39">
        <f>IF(ISNUMBER($AD119),ROUND($AD119*Header!$K$3,2),"")</f>
      </c>
      <c r="AP119" s="39">
        <f>IF(ISNUMBER($AD119),ROUND($AD119*Header!$M$3,2),"")</f>
      </c>
      <c r="AQ119" s="38">
        <f>IF(ISNUMBER($AD119),ROUND($AD119,2)-$AO119-$AP119,"")</f>
      </c>
      <c r="AR119" s="39">
        <f>IF(ISNUMBER($AD119),IF(Header!$D$34="","?",$AD119*Header!$D$34),"")</f>
      </c>
      <c r="AS119" s="39">
        <f>IF(ISNUMBER($AB119),IF(Header!$D$34="","?",$AB119*Header!$D$34),"")</f>
      </c>
      <c r="AT119" s="42">
        <f>IF(AND(ISNUMBER($AB119),$M119&gt;0),$AB119/$M119*100,"")</f>
      </c>
      <c r="AU119" s="42">
        <f>IF(AND(ISNUMBER($AD119),$M119&gt;0),$AD119/$M119*100,"")</f>
      </c>
      <c r="AV119" s="40">
        <f>IF(AND(ISNUMBER($AB119),ISNUMBER($AD119),ABS($AB119)&gt;0),$AD119/$AB119,"")</f>
      </c>
      <c r="AW119" s="39">
        <f>IF(ISNUMBER($AD119),MAX(0,(1-0.55-Header!$O$3)*Header!$Q$3*$AQ119),"")</f>
      </c>
      <c r="AX119" s="43">
        <f>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c>
      <c r="AY119" s="44">
        <f>IF($M119="","",IF(ISNUMBER($M119),IF($M119&gt;=Header!$C$18,"YES — refer","No"),""))</f>
      </c>
      <c r="AZ119" s="44">
        <f>IF($AD119="","",IF(ISNUMBER($AD119),IF($AD119&lt;Header!$C$20,"BELOW MIN PREMIUM","OK"),""))</f>
      </c>
      <c r="BA119" s="32" t="inlineStr">
        <is>
          <t xml:space="preserve">Yes</t>
        </is>
      </c>
      <c r="BB119" s="32" t="inlineStr">
        <is>
          <t xml:space="preserve">Yes</t>
        </is>
      </c>
      <c r="BC119" s="30" t="inlineStr">
        <is>
          <t xml:space="preserve">Synthetic demo data</t>
        </is>
      </c>
      <c r="BE119" s="45">
        <f>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c>
      <c r="BF119" s="45">
        <f>IF($AD119="","",IF(ROUND($AO119+$AP119+$AQ119-$AD119,2)=0,"OK","FAIL - out by "&amp;TEXT($AO119+$AP119+$AQ119-$AD119,"$0.00")))</f>
      </c>
    </row>
    <row r="120" spans="1:58" ht="18.75" customHeight="1" x14ac:dyDescent="0.25">
      <c r="A120" s="46" t="inlineStr">
        <is>
          <t xml:space="preserve">CANON-202606-008562</t>
        </is>
      </c>
      <c r="B120" s="46" t="inlineStr">
        <is>
          <t xml:space="preserve">Delphine Ashcombe</t>
        </is>
      </c>
      <c r="C120" s="47">
        <v>46190</v>
      </c>
      <c r="D120" s="48" t="inlineStr">
        <is>
          <t xml:space="preserve">Bound - within authority</t>
        </is>
      </c>
      <c r="E120" s="48" t="inlineStr">
        <is>
          <t xml:space="preserve">New business</t>
        </is>
      </c>
      <c r="F120" s="46" t="inlineStr">
        <is>
          <t xml:space="preserve">B1234EXOTIC26</t>
        </is>
      </c>
      <c r="G120" s="33">
        <f>IF($A120="","",IF($C120="","",YEAR($C120)))</f>
      </c>
      <c r="H120" s="49">
        <v>1976</v>
      </c>
      <c r="I120" s="46" t="inlineStr">
        <is>
          <t xml:space="preserve">Mercedes-Benz</t>
        </is>
      </c>
      <c r="J120" s="46" t="inlineStr">
        <is>
          <t xml:space="preserve">AMG GT</t>
        </is>
      </c>
      <c r="K120" s="46" t="inlineStr">
        <is>
          <t xml:space="preserve">DCK0VTEG6WUU1GNDJ</t>
        </is>
      </c>
      <c r="L120" s="48" t="inlineStr">
        <is>
          <t xml:space="preserve">02 - Sports / GT</t>
        </is>
      </c>
      <c r="M120" s="50">
        <v>570000</v>
      </c>
      <c r="N120" s="48" t="inlineStr">
        <is>
          <t xml:space="preserve">Personal</t>
        </is>
      </c>
      <c r="O120" s="46" t="inlineStr">
        <is>
          <t xml:space="preserve">Personal - regular use</t>
        </is>
      </c>
      <c r="P120" s="46" t="inlineStr">
        <is>
          <t xml:space="preserve">1,000 - 2,500</t>
        </is>
      </c>
      <c r="Q120" s="46" t="inlineStr">
        <is>
          <t xml:space="preserve">South Dakota</t>
        </is>
      </c>
      <c r="R120" s="46" t="inlineStr">
        <is>
          <t xml:space="preserve">57501</t>
        </is>
      </c>
      <c r="S120" s="48" t="inlineStr">
        <is>
          <t xml:space="preserve">Severe convective - hail alley (high)</t>
        </is>
      </c>
      <c r="T120" s="36">
        <f>IF($A120="","",IF($S120="","",IFERROR(INDEX('[1]natural catastrophe'!$D$6:$D$17,MATCH($S120,'[1]natural catastrophe'!$B$6:$B$17,0)),"?")))</f>
      </c>
      <c r="U120" s="46" t="inlineStr">
        <is>
          <t xml:space="preserve">$5,000</t>
        </is>
      </c>
      <c r="V120" s="48" t="inlineStr">
        <is>
          <t xml:space="preserve">Agreed Value</t>
        </is>
      </c>
      <c r="W120" s="46" t="inlineStr">
        <is>
          <t xml:space="preserve">$1,000</t>
        </is>
      </c>
      <c r="X120" s="48" t="inlineStr">
        <is>
          <t xml:space="preserve">$1,000,000 CSL</t>
        </is>
      </c>
      <c r="Y120" s="46"/>
      <c r="Z120" s="46"/>
      <c r="AA120" s="48" t="inlineStr">
        <is>
          <t xml:space="preserve">Surplus Lines</t>
        </is>
      </c>
      <c r="AB120" s="50">
        <v>5934.49</v>
      </c>
      <c r="AC120" s="51">
        <v>0</v>
      </c>
      <c r="AD120" s="38">
        <f>IF(ISNUMBER($AB120),$AB120*(1+N($AC120)),"")</f>
      </c>
      <c r="AE120" s="50">
        <v>350</v>
      </c>
      <c r="AF120" s="50">
        <v>0</v>
      </c>
      <c r="AG120" s="51"/>
      <c r="AH120" s="39">
        <f>IF(ISNUMBER($AD120),($AD120+$AE120+$AF120)*$AG120,"")</f>
      </c>
      <c r="AI120" s="50"/>
      <c r="AJ120" s="38">
        <f>IF(ISNUMBER($AD120),SUM($AD120:$AH120),"")</f>
      </c>
      <c r="AK120" s="40">
        <f>IF(AND(ISNUMBER($AB120),ISNUMBER($AD120)),IF($AB120&gt;0,$AD120/$AB120,""),"")</f>
      </c>
      <c r="AL120" s="48" t="inlineStr">
        <is>
          <t xml:space="preserve">At technical</t>
        </is>
      </c>
      <c r="AM120" s="41">
        <f>IF(ISNUMBER($AD120),Header!$I$3,"")</f>
      </c>
      <c r="AN120" s="39">
        <f>IF(ISNUMBER($AD120),$AO120+$AP120,"")</f>
      </c>
      <c r="AO120" s="39">
        <f>IF(ISNUMBER($AD120),ROUND($AD120*Header!$K$3,2),"")</f>
      </c>
      <c r="AP120" s="39">
        <f>IF(ISNUMBER($AD120),ROUND($AD120*Header!$M$3,2),"")</f>
      </c>
      <c r="AQ120" s="38">
        <f>IF(ISNUMBER($AD120),ROUND($AD120,2)-$AO120-$AP120,"")</f>
      </c>
      <c r="AR120" s="39">
        <f>IF(ISNUMBER($AD120),IF(Header!$D$34="","?",$AD120*Header!$D$34),"")</f>
      </c>
      <c r="AS120" s="39">
        <f>IF(ISNUMBER($AB120),IF(Header!$D$34="","?",$AB120*Header!$D$34),"")</f>
      </c>
      <c r="AT120" s="42">
        <f>IF(AND(ISNUMBER($AB120),$M120&gt;0),$AB120/$M120*100,"")</f>
      </c>
      <c r="AU120" s="42">
        <f>IF(AND(ISNUMBER($AD120),$M120&gt;0),$AD120/$M120*100,"")</f>
      </c>
      <c r="AV120" s="40">
        <f>IF(AND(ISNUMBER($AB120),ISNUMBER($AD120),ABS($AB120)&gt;0),$AD120/$AB120,"")</f>
      </c>
      <c r="AW120" s="39">
        <f>IF(ISNUMBER($AD120),MAX(0,(1-0.55-Header!$O$3)*Header!$Q$3*$AQ120),"")</f>
      </c>
      <c r="AX120" s="43">
        <f>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c>
      <c r="AY120" s="44">
        <f>IF($M120="","",IF(ISNUMBER($M120),IF($M120&gt;=Header!$C$18,"YES — refer","No"),""))</f>
      </c>
      <c r="AZ120" s="44">
        <f>IF($AD120="","",IF(ISNUMBER($AD120),IF($AD120&lt;Header!$C$20,"BELOW MIN PREMIUM","OK"),""))</f>
      </c>
      <c r="BA120" s="48" t="inlineStr">
        <is>
          <t xml:space="preserve">Yes</t>
        </is>
      </c>
      <c r="BB120" s="48" t="inlineStr">
        <is>
          <t xml:space="preserve">Yes</t>
        </is>
      </c>
      <c r="BC120" s="46" t="inlineStr">
        <is>
          <t xml:space="preserve">Synthetic demo data</t>
        </is>
      </c>
      <c r="BE120" s="45">
        <f>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c>
      <c r="BF120" s="45">
        <f>IF($AD120="","",IF(ROUND($AO120+$AP120+$AQ120-$AD120,2)=0,"OK","FAIL - out by "&amp;TEXT($AO120+$AP120+$AQ120-$AD120,"$0.00")))</f>
      </c>
    </row>
    <row r="121" spans="1:58" ht="18.75" customHeight="1" x14ac:dyDescent="0.25">
      <c r="A121" s="30" t="inlineStr">
        <is>
          <t xml:space="preserve">CANON-202606-008565</t>
        </is>
      </c>
      <c r="B121" s="30" t="inlineStr">
        <is>
          <t xml:space="preserve">Fenwick Underwood</t>
        </is>
      </c>
      <c r="C121" s="31">
        <v>46175</v>
      </c>
      <c r="D121" s="32" t="inlineStr">
        <is>
          <t xml:space="preserve">Bound - within authority</t>
        </is>
      </c>
      <c r="E121" s="32" t="inlineStr">
        <is>
          <t xml:space="preserve">New business</t>
        </is>
      </c>
      <c r="F121" s="30" t="inlineStr">
        <is>
          <t xml:space="preserve">B1234EXOTIC26</t>
        </is>
      </c>
      <c r="G121" s="33">
        <f>IF($A121="","",IF($C121="","",YEAR($C121)))</f>
      </c>
      <c r="H121" s="34">
        <v>2015</v>
      </c>
      <c r="I121" s="30" t="inlineStr">
        <is>
          <t xml:space="preserve">Lamborghini</t>
        </is>
      </c>
      <c r="J121" s="30" t="inlineStr">
        <is>
          <t xml:space="preserve">Huracan EVO</t>
        </is>
      </c>
      <c r="K121" s="30" t="inlineStr">
        <is>
          <t xml:space="preserve">3PS4HRXF509BX2ZCB</t>
        </is>
      </c>
      <c r="L121" s="32" t="inlineStr">
        <is>
          <t xml:space="preserve">03 - Supercar</t>
        </is>
      </c>
      <c r="M121" s="35">
        <v>805000</v>
      </c>
      <c r="N121" s="32" t="inlineStr">
        <is>
          <t xml:space="preserve">Personal</t>
        </is>
      </c>
      <c r="O121" s="30" t="inlineStr">
        <is>
          <t xml:space="preserve">Personal - regular use</t>
        </is>
      </c>
      <c r="P121" s="30" t="inlineStr">
        <is>
          <t xml:space="preserve">1,000 - 2,500</t>
        </is>
      </c>
      <c r="Q121" s="30" t="inlineStr">
        <is>
          <t xml:space="preserve">California</t>
        </is>
      </c>
      <c r="R121" s="30" t="inlineStr">
        <is>
          <t xml:space="preserve">90012</t>
        </is>
      </c>
      <c r="S121" s="32" t="inlineStr">
        <is>
          <t xml:space="preserve">Earthquake - high (CA, Cascadia, New Madrid)</t>
        </is>
      </c>
      <c r="T121" s="36">
        <f>IF($A121="","",IF($S121="","",IFERROR(INDEX('[1]natural catastrophe'!$D$6:$D$17,MATCH($S121,'[1]natural catastrophe'!$B$6:$B$17,0)),"?")))</f>
      </c>
      <c r="U121" s="30" t="inlineStr">
        <is>
          <t xml:space="preserve">$5,000</t>
        </is>
      </c>
      <c r="V121" s="32" t="inlineStr">
        <is>
          <t xml:space="preserve">Agreed Value</t>
        </is>
      </c>
      <c r="W121" s="30" t="inlineStr">
        <is>
          <t xml:space="preserve">$1,000</t>
        </is>
      </c>
      <c r="X121" s="32" t="inlineStr">
        <is>
          <t xml:space="preserve">$1,000,000 CSL</t>
        </is>
      </c>
      <c r="Y121" s="30"/>
      <c r="Z121" s="30"/>
      <c r="AA121" s="32" t="inlineStr">
        <is>
          <t xml:space="preserve">Surplus Lines</t>
        </is>
      </c>
      <c r="AB121" s="35">
        <v>14897.91</v>
      </c>
      <c r="AC121" s="37">
        <v>0</v>
      </c>
      <c r="AD121" s="38">
        <f>IF(ISNUMBER($AB121),$AB121*(1+N($AC121)),"")</f>
      </c>
      <c r="AE121" s="35">
        <v>350</v>
      </c>
      <c r="AF121" s="35">
        <v>0</v>
      </c>
      <c r="AG121" s="37"/>
      <c r="AH121" s="39">
        <f>IF(ISNUMBER($AD121),($AD121+$AE121+$AF121)*$AG121,"")</f>
      </c>
      <c r="AI121" s="35"/>
      <c r="AJ121" s="38">
        <f>IF(ISNUMBER($AD121),SUM($AD121:$AH121),"")</f>
      </c>
      <c r="AK121" s="40">
        <f>IF(AND(ISNUMBER($AB121),ISNUMBER($AD121)),IF($AB121&gt;0,$AD121/$AB121,""),"")</f>
      </c>
      <c r="AL121" s="32" t="inlineStr">
        <is>
          <t xml:space="preserve">At technical</t>
        </is>
      </c>
      <c r="AM121" s="41">
        <f>IF(ISNUMBER($AD121),Header!$I$3,"")</f>
      </c>
      <c r="AN121" s="39">
        <f>IF(ISNUMBER($AD121),$AO121+$AP121,"")</f>
      </c>
      <c r="AO121" s="39">
        <f>IF(ISNUMBER($AD121),ROUND($AD121*Header!$K$3,2),"")</f>
      </c>
      <c r="AP121" s="39">
        <f>IF(ISNUMBER($AD121),ROUND($AD121*Header!$M$3,2),"")</f>
      </c>
      <c r="AQ121" s="38">
        <f>IF(ISNUMBER($AD121),ROUND($AD121,2)-$AO121-$AP121,"")</f>
      </c>
      <c r="AR121" s="39">
        <f>IF(ISNUMBER($AD121),IF(Header!$D$34="","?",$AD121*Header!$D$34),"")</f>
      </c>
      <c r="AS121" s="39">
        <f>IF(ISNUMBER($AB121),IF(Header!$D$34="","?",$AB121*Header!$D$34),"")</f>
      </c>
      <c r="AT121" s="42">
        <f>IF(AND(ISNUMBER($AB121),$M121&gt;0),$AB121/$M121*100,"")</f>
      </c>
      <c r="AU121" s="42">
        <f>IF(AND(ISNUMBER($AD121),$M121&gt;0),$AD121/$M121*100,"")</f>
      </c>
      <c r="AV121" s="40">
        <f>IF(AND(ISNUMBER($AB121),ISNUMBER($AD121),ABS($AB121)&gt;0),$AD121/$AB121,"")</f>
      </c>
      <c r="AW121" s="39">
        <f>IF(ISNUMBER($AD121),MAX(0,(1-0.55-Header!$O$3)*Header!$Q$3*$AQ121),"")</f>
      </c>
      <c r="AX121" s="43">
        <f>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c>
      <c r="AY121" s="44">
        <f>IF($M121="","",IF(ISNUMBER($M121),IF($M121&gt;=Header!$C$18,"YES — refer","No"),""))</f>
      </c>
      <c r="AZ121" s="44">
        <f>IF($AD121="","",IF(ISNUMBER($AD121),IF($AD121&lt;Header!$C$20,"BELOW MIN PREMIUM","OK"),""))</f>
      </c>
      <c r="BA121" s="32" t="inlineStr">
        <is>
          <t xml:space="preserve">Yes</t>
        </is>
      </c>
      <c r="BB121" s="32" t="inlineStr">
        <is>
          <t xml:space="preserve">Yes</t>
        </is>
      </c>
      <c r="BC121" s="30" t="inlineStr">
        <is>
          <t xml:space="preserve">Synthetic demo data</t>
        </is>
      </c>
      <c r="BE121" s="45">
        <f>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c>
      <c r="BF121" s="45">
        <f>IF($AD121="","",IF(ROUND($AO121+$AP121+$AQ121-$AD121,2)=0,"OK","FAIL - out by "&amp;TEXT($AO121+$AP121+$AQ121-$AD121,"$0.00")))</f>
      </c>
    </row>
    <row r="122" spans="1:58" ht="18.75" customHeight="1" x14ac:dyDescent="0.25">
      <c r="A122" s="46" t="inlineStr">
        <is>
          <t xml:space="preserve">CANON-202606-008566</t>
        </is>
      </c>
      <c r="B122" s="46" t="inlineStr">
        <is>
          <t xml:space="preserve">Desmond Kingsford</t>
        </is>
      </c>
      <c r="C122" s="47">
        <v>46189</v>
      </c>
      <c r="D122" s="48" t="inlineStr">
        <is>
          <t xml:space="preserve">Bound - within authority</t>
        </is>
      </c>
      <c r="E122" s="48" t="inlineStr">
        <is>
          <t xml:space="preserve">New business</t>
        </is>
      </c>
      <c r="F122" s="46" t="inlineStr">
        <is>
          <t xml:space="preserve">B1234EXOTIC26</t>
        </is>
      </c>
      <c r="G122" s="33">
        <f>IF($A122="","",IF($C122="","",YEAR($C122)))</f>
      </c>
      <c r="H122" s="49">
        <v>2013</v>
      </c>
      <c r="I122" s="46" t="inlineStr">
        <is>
          <t xml:space="preserve">Aston Martin</t>
        </is>
      </c>
      <c r="J122" s="46" t="inlineStr">
        <is>
          <t xml:space="preserve">DB12</t>
        </is>
      </c>
      <c r="K122" s="46" t="inlineStr">
        <is>
          <t xml:space="preserve">N1SSXMLZ0LCD1J0JP</t>
        </is>
      </c>
      <c r="L122" s="48" t="inlineStr">
        <is>
          <t xml:space="preserve">02 - Sports / GT</t>
        </is>
      </c>
      <c r="M122" s="50">
        <v>405000</v>
      </c>
      <c r="N122" s="48" t="inlineStr">
        <is>
          <t xml:space="preserve">Personal</t>
        </is>
      </c>
      <c r="O122" s="46" t="inlineStr">
        <is>
          <t xml:space="preserve">Personal - regular use</t>
        </is>
      </c>
      <c r="P122" s="46" t="inlineStr">
        <is>
          <t xml:space="preserve">Under 1,000</t>
        </is>
      </c>
      <c r="Q122" s="46" t="inlineStr">
        <is>
          <t xml:space="preserve">Oklahoma</t>
        </is>
      </c>
      <c r="R122" s="46" t="inlineStr">
        <is>
          <t xml:space="preserve">73102</t>
        </is>
      </c>
      <c r="S122" s="48" t="inlineStr">
        <is>
          <t xml:space="preserve">Severe convective - hail alley (high)</t>
        </is>
      </c>
      <c r="T122" s="36">
        <f>IF($A122="","",IF($S122="","",IFERROR(INDEX('[1]natural catastrophe'!$D$6:$D$17,MATCH($S122,'[1]natural catastrophe'!$B$6:$B$17,0)),"?")))</f>
      </c>
      <c r="U122" s="46" t="inlineStr">
        <is>
          <t xml:space="preserve">$5,000</t>
        </is>
      </c>
      <c r="V122" s="48" t="inlineStr">
        <is>
          <t xml:space="preserve">Agreed Value</t>
        </is>
      </c>
      <c r="W122" s="46" t="inlineStr">
        <is>
          <t xml:space="preserve">$1,000</t>
        </is>
      </c>
      <c r="X122" s="48" t="inlineStr">
        <is>
          <t xml:space="preserve">$1,000,000 CSL</t>
        </is>
      </c>
      <c r="Y122" s="46"/>
      <c r="Z122" s="46"/>
      <c r="AA122" s="48" t="inlineStr">
        <is>
          <t xml:space="preserve">Surplus Lines</t>
        </is>
      </c>
      <c r="AB122" s="50">
        <v>5522.8</v>
      </c>
      <c r="AC122" s="51">
        <v>0</v>
      </c>
      <c r="AD122" s="38">
        <f>IF(ISNUMBER($AB122),$AB122*(1+N($AC122)),"")</f>
      </c>
      <c r="AE122" s="50">
        <v>350</v>
      </c>
      <c r="AF122" s="50">
        <v>0</v>
      </c>
      <c r="AG122" s="51"/>
      <c r="AH122" s="39">
        <f>IF(ISNUMBER($AD122),($AD122+$AE122+$AF122)*$AG122,"")</f>
      </c>
      <c r="AI122" s="50"/>
      <c r="AJ122" s="38">
        <f>IF(ISNUMBER($AD122),SUM($AD122:$AH122),"")</f>
      </c>
      <c r="AK122" s="40">
        <f>IF(AND(ISNUMBER($AB122),ISNUMBER($AD122)),IF($AB122&gt;0,$AD122/$AB122,""),"")</f>
      </c>
      <c r="AL122" s="48" t="inlineStr">
        <is>
          <t xml:space="preserve">At technical</t>
        </is>
      </c>
      <c r="AM122" s="41">
        <f>IF(ISNUMBER($AD122),Header!$I$3,"")</f>
      </c>
      <c r="AN122" s="39">
        <f>IF(ISNUMBER($AD122),$AO122+$AP122,"")</f>
      </c>
      <c r="AO122" s="39">
        <f>IF(ISNUMBER($AD122),ROUND($AD122*Header!$K$3,2),"")</f>
      </c>
      <c r="AP122" s="39">
        <f>IF(ISNUMBER($AD122),ROUND($AD122*Header!$M$3,2),"")</f>
      </c>
      <c r="AQ122" s="38">
        <f>IF(ISNUMBER($AD122),ROUND($AD122,2)-$AO122-$AP122,"")</f>
      </c>
      <c r="AR122" s="39">
        <f>IF(ISNUMBER($AD122),IF(Header!$D$34="","?",$AD122*Header!$D$34),"")</f>
      </c>
      <c r="AS122" s="39">
        <f>IF(ISNUMBER($AB122),IF(Header!$D$34="","?",$AB122*Header!$D$34),"")</f>
      </c>
      <c r="AT122" s="42">
        <f>IF(AND(ISNUMBER($AB122),$M122&gt;0),$AB122/$M122*100,"")</f>
      </c>
      <c r="AU122" s="42">
        <f>IF(AND(ISNUMBER($AD122),$M122&gt;0),$AD122/$M122*100,"")</f>
      </c>
      <c r="AV122" s="40">
        <f>IF(AND(ISNUMBER($AB122),ISNUMBER($AD122),ABS($AB122)&gt;0),$AD122/$AB122,"")</f>
      </c>
      <c r="AW122" s="39">
        <f>IF(ISNUMBER($AD122),MAX(0,(1-0.55-Header!$O$3)*Header!$Q$3*$AQ122),"")</f>
      </c>
      <c r="AX122" s="43">
        <f>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c>
      <c r="AY122" s="44">
        <f>IF($M122="","",IF(ISNUMBER($M122),IF($M122&gt;=Header!$C$18,"YES — refer","No"),""))</f>
      </c>
      <c r="AZ122" s="44">
        <f>IF($AD122="","",IF(ISNUMBER($AD122),IF($AD122&lt;Header!$C$20,"BELOW MIN PREMIUM","OK"),""))</f>
      </c>
      <c r="BA122" s="48" t="inlineStr">
        <is>
          <t xml:space="preserve">Yes</t>
        </is>
      </c>
      <c r="BB122" s="48" t="inlineStr">
        <is>
          <t xml:space="preserve">Yes</t>
        </is>
      </c>
      <c r="BC122" s="46" t="inlineStr">
        <is>
          <t xml:space="preserve">Synthetic demo data</t>
        </is>
      </c>
      <c r="BE122" s="45">
        <f>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c>
      <c r="BF122" s="45">
        <f>IF($AD122="","",IF(ROUND($AO122+$AP122+$AQ122-$AD122,2)=0,"OK","FAIL - out by "&amp;TEXT($AO122+$AP122+$AQ122-$AD122,"$0.00")))</f>
      </c>
    </row>
    <row r="123" spans="1:58" ht="18.75" customHeight="1" x14ac:dyDescent="0.25">
      <c r="A123" s="30" t="inlineStr">
        <is>
          <t xml:space="preserve">CANON-202606-008567</t>
        </is>
      </c>
      <c r="B123" s="30" t="inlineStr">
        <is>
          <t xml:space="preserve">Noor Harrington</t>
        </is>
      </c>
      <c r="C123" s="31">
        <v>46175</v>
      </c>
      <c r="D123" s="32" t="inlineStr">
        <is>
          <t xml:space="preserve">Bound - within authority</t>
        </is>
      </c>
      <c r="E123" s="32" t="inlineStr">
        <is>
          <t xml:space="preserve">New business</t>
        </is>
      </c>
      <c r="F123" s="30" t="inlineStr">
        <is>
          <t xml:space="preserve">B1234EXOTIC26</t>
        </is>
      </c>
      <c r="G123" s="33">
        <f>IF($A123="","",IF($C123="","",YEAR($C123)))</f>
      </c>
      <c r="H123" s="34">
        <v>2019</v>
      </c>
      <c r="I123" s="30" t="inlineStr">
        <is>
          <t xml:space="preserve">Ferrari</t>
        </is>
      </c>
      <c r="J123" s="30" t="inlineStr">
        <is>
          <t xml:space="preserve">275 GTB/4</t>
        </is>
      </c>
      <c r="K123" s="30" t="inlineStr">
        <is>
          <t xml:space="preserve">FP20C8FF562558AJM</t>
        </is>
      </c>
      <c r="L123" s="32" t="inlineStr">
        <is>
          <t xml:space="preserve">02 - Sports / GT</t>
        </is>
      </c>
      <c r="M123" s="35">
        <v>410000</v>
      </c>
      <c r="N123" s="32" t="inlineStr">
        <is>
          <t xml:space="preserve">Personal</t>
        </is>
      </c>
      <c r="O123" s="30" t="inlineStr">
        <is>
          <t xml:space="preserve">Personal - regular use</t>
        </is>
      </c>
      <c r="P123" s="30" t="inlineStr">
        <is>
          <t xml:space="preserve">Under 1,000</t>
        </is>
      </c>
      <c r="Q123" s="30" t="inlineStr">
        <is>
          <t xml:space="preserve">New York</t>
        </is>
      </c>
      <c r="R123" s="30" t="inlineStr">
        <is>
          <t xml:space="preserve">10022</t>
        </is>
      </c>
      <c r="S123" s="32" t="inlineStr">
        <is>
          <t xml:space="preserve">Tier 3 - Coastal wind (25-100 miles)</t>
        </is>
      </c>
      <c r="T123" s="36">
        <f>IF($A123="","",IF($S123="","",IFERROR(INDEX('[1]natural catastrophe'!$D$6:$D$17,MATCH($S123,'[1]natural catastrophe'!$B$6:$B$17,0)),"?")))</f>
      </c>
      <c r="U123" s="30" t="inlineStr">
        <is>
          <t xml:space="preserve">2% of agreed value, minimum $10,000</t>
        </is>
      </c>
      <c r="V123" s="32" t="inlineStr">
        <is>
          <t xml:space="preserve">Agreed Value</t>
        </is>
      </c>
      <c r="W123" s="30" t="inlineStr">
        <is>
          <t xml:space="preserve">$1,000</t>
        </is>
      </c>
      <c r="X123" s="32" t="inlineStr">
        <is>
          <t xml:space="preserve">$1,000,000 CSL</t>
        </is>
      </c>
      <c r="Y123" s="30"/>
      <c r="Z123" s="30"/>
      <c r="AA123" s="32" t="inlineStr">
        <is>
          <t xml:space="preserve">Surplus Lines</t>
        </is>
      </c>
      <c r="AB123" s="35">
        <v>3635.03</v>
      </c>
      <c r="AC123" s="37">
        <v>0</v>
      </c>
      <c r="AD123" s="38">
        <f>IF(ISNUMBER($AB123),$AB123*(1+N($AC123)),"")</f>
      </c>
      <c r="AE123" s="35">
        <v>350</v>
      </c>
      <c r="AF123" s="35">
        <v>0</v>
      </c>
      <c r="AG123" s="37"/>
      <c r="AH123" s="39">
        <f>IF(ISNUMBER($AD123),($AD123+$AE123+$AF123)*$AG123,"")</f>
      </c>
      <c r="AI123" s="35"/>
      <c r="AJ123" s="38">
        <f>IF(ISNUMBER($AD123),SUM($AD123:$AH123),"")</f>
      </c>
      <c r="AK123" s="40">
        <f>IF(AND(ISNUMBER($AB123),ISNUMBER($AD123)),IF($AB123&gt;0,$AD123/$AB123,""),"")</f>
      </c>
      <c r="AL123" s="32" t="inlineStr">
        <is>
          <t xml:space="preserve">At technical</t>
        </is>
      </c>
      <c r="AM123" s="41">
        <f>IF(ISNUMBER($AD123),Header!$I$3,"")</f>
      </c>
      <c r="AN123" s="39">
        <f>IF(ISNUMBER($AD123),$AO123+$AP123,"")</f>
      </c>
      <c r="AO123" s="39">
        <f>IF(ISNUMBER($AD123),ROUND($AD123*Header!$K$3,2),"")</f>
      </c>
      <c r="AP123" s="39">
        <f>IF(ISNUMBER($AD123),ROUND($AD123*Header!$M$3,2),"")</f>
      </c>
      <c r="AQ123" s="38">
        <f>IF(ISNUMBER($AD123),ROUND($AD123,2)-$AO123-$AP123,"")</f>
      </c>
      <c r="AR123" s="39">
        <f>IF(ISNUMBER($AD123),IF(Header!$D$34="","?",$AD123*Header!$D$34),"")</f>
      </c>
      <c r="AS123" s="39">
        <f>IF(ISNUMBER($AB123),IF(Header!$D$34="","?",$AB123*Header!$D$34),"")</f>
      </c>
      <c r="AT123" s="42">
        <f>IF(AND(ISNUMBER($AB123),$M123&gt;0),$AB123/$M123*100,"")</f>
      </c>
      <c r="AU123" s="42">
        <f>IF(AND(ISNUMBER($AD123),$M123&gt;0),$AD123/$M123*100,"")</f>
      </c>
      <c r="AV123" s="40">
        <f>IF(AND(ISNUMBER($AB123),ISNUMBER($AD123),ABS($AB123)&gt;0),$AD123/$AB123,"")</f>
      </c>
      <c r="AW123" s="39">
        <f>IF(ISNUMBER($AD123),MAX(0,(1-0.55-Header!$O$3)*Header!$Q$3*$AQ123),"")</f>
      </c>
      <c r="AX123" s="43">
        <f>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c>
      <c r="AY123" s="44">
        <f>IF($M123="","",IF(ISNUMBER($M123),IF($M123&gt;=Header!$C$18,"YES — refer","No"),""))</f>
      </c>
      <c r="AZ123" s="44">
        <f>IF($AD123="","",IF(ISNUMBER($AD123),IF($AD123&lt;Header!$C$20,"BELOW MIN PREMIUM","OK"),""))</f>
      </c>
      <c r="BA123" s="32" t="inlineStr">
        <is>
          <t xml:space="preserve">Yes</t>
        </is>
      </c>
      <c r="BB123" s="32" t="inlineStr">
        <is>
          <t xml:space="preserve">Yes</t>
        </is>
      </c>
      <c r="BC123" s="30" t="inlineStr">
        <is>
          <t xml:space="preserve">Synthetic demo data</t>
        </is>
      </c>
      <c r="BE123" s="45">
        <f>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c>
      <c r="BF123" s="45">
        <f>IF($AD123="","",IF(ROUND($AO123+$AP123+$AQ123-$AD123,2)=0,"OK","FAIL - out by "&amp;TEXT($AO123+$AP123+$AQ123-$AD123,"$0.00")))</f>
      </c>
    </row>
    <row r="124" spans="1:58" ht="18.75" customHeight="1" x14ac:dyDescent="0.25">
      <c r="A124" s="46" t="inlineStr">
        <is>
          <t xml:space="preserve">CANON-202606-008568</t>
        </is>
      </c>
      <c r="B124" s="46" t="inlineStr">
        <is>
          <t xml:space="preserve">Emiliano Pennington</t>
        </is>
      </c>
      <c r="C124" s="47">
        <v>46193</v>
      </c>
      <c r="D124" s="48" t="inlineStr">
        <is>
          <t xml:space="preserve">Bound - within authority</t>
        </is>
      </c>
      <c r="E124" s="48" t="inlineStr">
        <is>
          <t xml:space="preserve">New business</t>
        </is>
      </c>
      <c r="F124" s="46" t="inlineStr">
        <is>
          <t xml:space="preserve">B1234EXOTIC26</t>
        </is>
      </c>
      <c r="G124" s="33">
        <f>IF($A124="","",IF($C124="","",YEAR($C124)))</f>
      </c>
      <c r="H124" s="49">
        <v>1957</v>
      </c>
      <c r="I124" s="46" t="inlineStr">
        <is>
          <t xml:space="preserve">Bentley</t>
        </is>
      </c>
      <c r="J124" s="46" t="inlineStr">
        <is>
          <t xml:space="preserve">Continental GT</t>
        </is>
      </c>
      <c r="K124" s="46" t="inlineStr">
        <is>
          <t xml:space="preserve">40WCBKX7Z7PPS1A17</t>
        </is>
      </c>
      <c r="L124" s="48" t="inlineStr">
        <is>
          <t xml:space="preserve">02 - Sports / GT</t>
        </is>
      </c>
      <c r="M124" s="50">
        <v>1030000</v>
      </c>
      <c r="N124" s="48" t="inlineStr">
        <is>
          <t xml:space="preserve">Personal</t>
        </is>
      </c>
      <c r="O124" s="46" t="inlineStr">
        <is>
          <t xml:space="preserve">Personal - regular use</t>
        </is>
      </c>
      <c r="P124" s="46" t="inlineStr">
        <is>
          <t xml:space="preserve">2,500 - 5,000</t>
        </is>
      </c>
      <c r="Q124" s="46" t="inlineStr">
        <is>
          <t xml:space="preserve">Georgia</t>
        </is>
      </c>
      <c r="R124" s="46" t="inlineStr">
        <is>
          <t xml:space="preserve">30303</t>
        </is>
      </c>
      <c r="S124" s="48" t="inlineStr">
        <is>
          <t xml:space="preserve">Tier 2 - Coastal wind (1-25 miles)</t>
        </is>
      </c>
      <c r="T124" s="36">
        <f>IF($A124="","",IF($S124="","",IFERROR(INDEX('[1]natural catastrophe'!$D$6:$D$17,MATCH($S124,'[1]natural catastrophe'!$B$6:$B$17,0)),"?")))</f>
      </c>
      <c r="U124" s="46" t="inlineStr">
        <is>
          <t xml:space="preserve">2% of agreed value, minimum $10,000</t>
        </is>
      </c>
      <c r="V124" s="48" t="inlineStr">
        <is>
          <t xml:space="preserve">Agreed Value</t>
        </is>
      </c>
      <c r="W124" s="46" t="inlineStr">
        <is>
          <t xml:space="preserve">$1,000</t>
        </is>
      </c>
      <c r="X124" s="48" t="inlineStr">
        <is>
          <t xml:space="preserve">$1,000,000 CSL</t>
        </is>
      </c>
      <c r="Y124" s="46"/>
      <c r="Z124" s="46"/>
      <c r="AA124" s="48" t="inlineStr">
        <is>
          <t xml:space="preserve">Surplus Lines</t>
        </is>
      </c>
      <c r="AB124" s="50">
        <v>9155.67</v>
      </c>
      <c r="AC124" s="51">
        <v>0</v>
      </c>
      <c r="AD124" s="38">
        <f>IF(ISNUMBER($AB124),$AB124*(1+N($AC124)),"")</f>
      </c>
      <c r="AE124" s="50">
        <v>350</v>
      </c>
      <c r="AF124" s="50">
        <v>250</v>
      </c>
      <c r="AG124" s="51"/>
      <c r="AH124" s="39">
        <f>IF(ISNUMBER($AD124),($AD124+$AE124+$AF124)*$AG124,"")</f>
      </c>
      <c r="AI124" s="50"/>
      <c r="AJ124" s="38">
        <f>IF(ISNUMBER($AD124),SUM($AD124:$AH124),"")</f>
      </c>
      <c r="AK124" s="40">
        <f>IF(AND(ISNUMBER($AB124),ISNUMBER($AD124)),IF($AB124&gt;0,$AD124/$AB124,""),"")</f>
      </c>
      <c r="AL124" s="48" t="inlineStr">
        <is>
          <t xml:space="preserve">At technical</t>
        </is>
      </c>
      <c r="AM124" s="41">
        <f>IF(ISNUMBER($AD124),Header!$I$3,"")</f>
      </c>
      <c r="AN124" s="39">
        <f>IF(ISNUMBER($AD124),$AO124+$AP124,"")</f>
      </c>
      <c r="AO124" s="39">
        <f>IF(ISNUMBER($AD124),ROUND($AD124*Header!$K$3,2),"")</f>
      </c>
      <c r="AP124" s="39">
        <f>IF(ISNUMBER($AD124),ROUND($AD124*Header!$M$3,2),"")</f>
      </c>
      <c r="AQ124" s="38">
        <f>IF(ISNUMBER($AD124),ROUND($AD124,2)-$AO124-$AP124,"")</f>
      </c>
      <c r="AR124" s="39">
        <f>IF(ISNUMBER($AD124),IF(Header!$D$34="","?",$AD124*Header!$D$34),"")</f>
      </c>
      <c r="AS124" s="39">
        <f>IF(ISNUMBER($AB124),IF(Header!$D$34="","?",$AB124*Header!$D$34),"")</f>
      </c>
      <c r="AT124" s="42">
        <f>IF(AND(ISNUMBER($AB124),$M124&gt;0),$AB124/$M124*100,"")</f>
      </c>
      <c r="AU124" s="42">
        <f>IF(AND(ISNUMBER($AD124),$M124&gt;0),$AD124/$M124*100,"")</f>
      </c>
      <c r="AV124" s="40">
        <f>IF(AND(ISNUMBER($AB124),ISNUMBER($AD124),ABS($AB124)&gt;0),$AD124/$AB124,"")</f>
      </c>
      <c r="AW124" s="39">
        <f>IF(ISNUMBER($AD124),MAX(0,(1-0.55-Header!$O$3)*Header!$Q$3*$AQ124),"")</f>
      </c>
      <c r="AX124" s="43">
        <f>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c>
      <c r="AY124" s="44">
        <f>IF($M124="","",IF(ISNUMBER($M124),IF($M124&gt;=Header!$C$18,"YES — refer","No"),""))</f>
      </c>
      <c r="AZ124" s="44">
        <f>IF($AD124="","",IF(ISNUMBER($AD124),IF($AD124&lt;Header!$C$20,"BELOW MIN PREMIUM","OK"),""))</f>
      </c>
      <c r="BA124" s="48" t="inlineStr">
        <is>
          <t xml:space="preserve">Yes</t>
        </is>
      </c>
      <c r="BB124" s="48" t="inlineStr">
        <is>
          <t xml:space="preserve">Yes</t>
        </is>
      </c>
      <c r="BC124" s="46" t="inlineStr">
        <is>
          <t xml:space="preserve">Synthetic demo data</t>
        </is>
      </c>
      <c r="BE124" s="45">
        <f>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c>
      <c r="BF124" s="45">
        <f>IF($AD124="","",IF(ROUND($AO124+$AP124+$AQ124-$AD124,2)=0,"OK","FAIL - out by "&amp;TEXT($AO124+$AP124+$AQ124-$AD124,"$0.00")))</f>
      </c>
    </row>
    <row r="125" spans="1:58" ht="18.75" customHeight="1" x14ac:dyDescent="0.25">
      <c r="A125" s="30" t="inlineStr">
        <is>
          <t xml:space="preserve">CANON-202606-008571</t>
        </is>
      </c>
      <c r="B125" s="30" t="inlineStr">
        <is>
          <t xml:space="preserve">Everett Castellanos</t>
        </is>
      </c>
      <c r="C125" s="31">
        <v>46174</v>
      </c>
      <c r="D125" s="32" t="inlineStr">
        <is>
          <t xml:space="preserve">Bound - within authority</t>
        </is>
      </c>
      <c r="E125" s="32" t="inlineStr">
        <is>
          <t xml:space="preserve">New business</t>
        </is>
      </c>
      <c r="F125" s="30" t="inlineStr">
        <is>
          <t xml:space="preserve">B1234EXOTIC26</t>
        </is>
      </c>
      <c r="G125" s="33">
        <f>IF($A125="","",IF($C125="","",YEAR($C125)))</f>
      </c>
      <c r="H125" s="34">
        <v>1982</v>
      </c>
      <c r="I125" s="30" t="inlineStr">
        <is>
          <t xml:space="preserve">Ferrari</t>
        </is>
      </c>
      <c r="J125" s="30" t="inlineStr">
        <is>
          <t xml:space="preserve">275 GTB/4</t>
        </is>
      </c>
      <c r="K125" s="30" t="inlineStr">
        <is>
          <t xml:space="preserve">7N4SXC87SVHMJF9MZ</t>
        </is>
      </c>
      <c r="L125" s="32" t="inlineStr">
        <is>
          <t xml:space="preserve">08 - Modern Classic (1973-1999)</t>
        </is>
      </c>
      <c r="M125" s="35">
        <v>1690000</v>
      </c>
      <c r="N125" s="32" t="inlineStr">
        <is>
          <t xml:space="preserve">Personal</t>
        </is>
      </c>
      <c r="O125" s="30" t="inlineStr">
        <is>
          <t xml:space="preserve">Personal - regular use</t>
        </is>
      </c>
      <c r="P125" s="30" t="inlineStr">
        <is>
          <t xml:space="preserve">2,500 - 5,000</t>
        </is>
      </c>
      <c r="Q125" s="30" t="inlineStr">
        <is>
          <t xml:space="preserve">Washington</t>
        </is>
      </c>
      <c r="R125" s="30" t="inlineStr">
        <is>
          <t xml:space="preserve">98101</t>
        </is>
      </c>
      <c r="S125" s="32" t="inlineStr">
        <is>
          <t xml:space="preserve">Earthquake - high (CA, Cascadia, New Madrid)</t>
        </is>
      </c>
      <c r="T125" s="36">
        <f>IF($A125="","",IF($S125="","",IFERROR(INDEX('[1]natural catastrophe'!$D$6:$D$17,MATCH($S125,'[1]natural catastrophe'!$B$6:$B$17,0)),"?")))</f>
      </c>
      <c r="U125" s="30" t="inlineStr">
        <is>
          <t xml:space="preserve">$5,000</t>
        </is>
      </c>
      <c r="V125" s="32" t="inlineStr">
        <is>
          <t xml:space="preserve">Agreed Value</t>
        </is>
      </c>
      <c r="W125" s="30" t="inlineStr">
        <is>
          <t xml:space="preserve">$1,000</t>
        </is>
      </c>
      <c r="X125" s="32" t="inlineStr">
        <is>
          <t xml:space="preserve">$1,000,000 CSL</t>
        </is>
      </c>
      <c r="Y125" s="30"/>
      <c r="Z125" s="30"/>
      <c r="AA125" s="32" t="inlineStr">
        <is>
          <t xml:space="preserve">Surplus Lines</t>
        </is>
      </c>
      <c r="AB125" s="35">
        <v>8896.38</v>
      </c>
      <c r="AC125" s="37">
        <v>0</v>
      </c>
      <c r="AD125" s="38">
        <f>IF(ISNUMBER($AB125),$AB125*(1+N($AC125)),"")</f>
      </c>
      <c r="AE125" s="35">
        <v>350</v>
      </c>
      <c r="AF125" s="35">
        <v>250</v>
      </c>
      <c r="AG125" s="37"/>
      <c r="AH125" s="39">
        <f>IF(ISNUMBER($AD125),($AD125+$AE125+$AF125)*$AG125,"")</f>
      </c>
      <c r="AI125" s="35"/>
      <c r="AJ125" s="38">
        <f>IF(ISNUMBER($AD125),SUM($AD125:$AH125),"")</f>
      </c>
      <c r="AK125" s="40">
        <f>IF(AND(ISNUMBER($AB125),ISNUMBER($AD125)),IF($AB125&gt;0,$AD125/$AB125,""),"")</f>
      </c>
      <c r="AL125" s="32" t="inlineStr">
        <is>
          <t xml:space="preserve">At technical</t>
        </is>
      </c>
      <c r="AM125" s="41">
        <f>IF(ISNUMBER($AD125),Header!$I$3,"")</f>
      </c>
      <c r="AN125" s="39">
        <f>IF(ISNUMBER($AD125),$AO125+$AP125,"")</f>
      </c>
      <c r="AO125" s="39">
        <f>IF(ISNUMBER($AD125),ROUND($AD125*Header!$K$3,2),"")</f>
      </c>
      <c r="AP125" s="39">
        <f>IF(ISNUMBER($AD125),ROUND($AD125*Header!$M$3,2),"")</f>
      </c>
      <c r="AQ125" s="38">
        <f>IF(ISNUMBER($AD125),ROUND($AD125,2)-$AO125-$AP125,"")</f>
      </c>
      <c r="AR125" s="39">
        <f>IF(ISNUMBER($AD125),IF(Header!$D$34="","?",$AD125*Header!$D$34),"")</f>
      </c>
      <c r="AS125" s="39">
        <f>IF(ISNUMBER($AB125),IF(Header!$D$34="","?",$AB125*Header!$D$34),"")</f>
      </c>
      <c r="AT125" s="42">
        <f>IF(AND(ISNUMBER($AB125),$M125&gt;0),$AB125/$M125*100,"")</f>
      </c>
      <c r="AU125" s="42">
        <f>IF(AND(ISNUMBER($AD125),$M125&gt;0),$AD125/$M125*100,"")</f>
      </c>
      <c r="AV125" s="40">
        <f>IF(AND(ISNUMBER($AB125),ISNUMBER($AD125),ABS($AB125)&gt;0),$AD125/$AB125,"")</f>
      </c>
      <c r="AW125" s="39">
        <f>IF(ISNUMBER($AD125),MAX(0,(1-0.55-Header!$O$3)*Header!$Q$3*$AQ125),"")</f>
      </c>
      <c r="AX125" s="43">
        <f>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c>
      <c r="AY125" s="44">
        <f>IF($M125="","",IF(ISNUMBER($M125),IF($M125&gt;=Header!$C$18,"YES — refer","No"),""))</f>
      </c>
      <c r="AZ125" s="44">
        <f>IF($AD125="","",IF(ISNUMBER($AD125),IF($AD125&lt;Header!$C$20,"BELOW MIN PREMIUM","OK"),""))</f>
      </c>
      <c r="BA125" s="32" t="inlineStr">
        <is>
          <t xml:space="preserve">Yes</t>
        </is>
      </c>
      <c r="BB125" s="32" t="inlineStr">
        <is>
          <t xml:space="preserve">Yes</t>
        </is>
      </c>
      <c r="BC125" s="30" t="inlineStr">
        <is>
          <t xml:space="preserve">Synthetic demo data</t>
        </is>
      </c>
      <c r="BE125" s="45">
        <f>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c>
      <c r="BF125" s="45">
        <f>IF($AD125="","",IF(ROUND($AO125+$AP125+$AQ125-$AD125,2)=0,"OK","FAIL - out by "&amp;TEXT($AO125+$AP125+$AQ125-$AD125,"$0.00")))</f>
      </c>
    </row>
    <row r="126" spans="1:58" ht="18.75" customHeight="1" x14ac:dyDescent="0.25">
      <c r="A126" s="46" t="inlineStr">
        <is>
          <t xml:space="preserve">CANON-202606-008572</t>
        </is>
      </c>
      <c r="B126" s="46" t="inlineStr">
        <is>
          <t xml:space="preserve">Aurelio Vandermeer</t>
        </is>
      </c>
      <c r="C126" s="47">
        <v>46179</v>
      </c>
      <c r="D126" s="48" t="inlineStr">
        <is>
          <t xml:space="preserve">Bound - within authority</t>
        </is>
      </c>
      <c r="E126" s="48" t="inlineStr">
        <is>
          <t xml:space="preserve">New business</t>
        </is>
      </c>
      <c r="F126" s="46" t="inlineStr">
        <is>
          <t xml:space="preserve">B1234EXOTIC26</t>
        </is>
      </c>
      <c r="G126" s="33">
        <f>IF($A126="","",IF($C126="","",YEAR($C126)))</f>
      </c>
      <c r="H126" s="49">
        <v>2011</v>
      </c>
      <c r="I126" s="46" t="inlineStr">
        <is>
          <t xml:space="preserve">Porsche</t>
        </is>
      </c>
      <c r="J126" s="46" t="inlineStr">
        <is>
          <t xml:space="preserve">911 Turbo S</t>
        </is>
      </c>
      <c r="K126" s="46" t="inlineStr">
        <is>
          <t xml:space="preserve">52EJGS35SMEEKF9K5</t>
        </is>
      </c>
      <c r="L126" s="48" t="inlineStr">
        <is>
          <t xml:space="preserve">02 - Sports / GT</t>
        </is>
      </c>
      <c r="M126" s="50">
        <v>460000</v>
      </c>
      <c r="N126" s="48" t="inlineStr">
        <is>
          <t xml:space="preserve">Personal</t>
        </is>
      </c>
      <c r="O126" s="46" t="inlineStr">
        <is>
          <t xml:space="preserve">Personal - regular use</t>
        </is>
      </c>
      <c r="P126" s="46" t="inlineStr">
        <is>
          <t xml:space="preserve">Under 1,000</t>
        </is>
      </c>
      <c r="Q126" s="46" t="inlineStr">
        <is>
          <t xml:space="preserve">Massachusetts</t>
        </is>
      </c>
      <c r="R126" s="46" t="inlineStr">
        <is>
          <t xml:space="preserve">02108</t>
        </is>
      </c>
      <c r="S126" s="48" t="inlineStr">
        <is>
          <t xml:space="preserve">Tier 3 - Coastal wind (25-100 miles)</t>
        </is>
      </c>
      <c r="T126" s="36">
        <f>IF($A126="","",IF($S126="","",IFERROR(INDEX('[1]natural catastrophe'!$D$6:$D$17,MATCH($S126,'[1]natural catastrophe'!$B$6:$B$17,0)),"?")))</f>
      </c>
      <c r="U126" s="46" t="inlineStr">
        <is>
          <t xml:space="preserve">2% of agreed value, minimum $10,000</t>
        </is>
      </c>
      <c r="V126" s="48" t="inlineStr">
        <is>
          <t xml:space="preserve">Agreed Value</t>
        </is>
      </c>
      <c r="W126" s="46" t="inlineStr">
        <is>
          <t xml:space="preserve">$1,000</t>
        </is>
      </c>
      <c r="X126" s="48" t="inlineStr">
        <is>
          <t xml:space="preserve">$1,000,000 CSL</t>
        </is>
      </c>
      <c r="Y126" s="46"/>
      <c r="Z126" s="46"/>
      <c r="AA126" s="48" t="inlineStr">
        <is>
          <t xml:space="preserve">Surplus Lines</t>
        </is>
      </c>
      <c r="AB126" s="50">
        <v>6223.02</v>
      </c>
      <c r="AC126" s="51">
        <v>0</v>
      </c>
      <c r="AD126" s="38">
        <f>IF(ISNUMBER($AB126),$AB126*(1+N($AC126)),"")</f>
      </c>
      <c r="AE126" s="50">
        <v>350</v>
      </c>
      <c r="AF126" s="50">
        <v>0</v>
      </c>
      <c r="AG126" s="51"/>
      <c r="AH126" s="39">
        <f>IF(ISNUMBER($AD126),($AD126+$AE126+$AF126)*$AG126,"")</f>
      </c>
      <c r="AI126" s="50"/>
      <c r="AJ126" s="38">
        <f>IF(ISNUMBER($AD126),SUM($AD126:$AH126),"")</f>
      </c>
      <c r="AK126" s="40">
        <f>IF(AND(ISNUMBER($AB126),ISNUMBER($AD126)),IF($AB126&gt;0,$AD126/$AB126,""),"")</f>
      </c>
      <c r="AL126" s="48" t="inlineStr">
        <is>
          <t xml:space="preserve">At technical</t>
        </is>
      </c>
      <c r="AM126" s="41">
        <f>IF(ISNUMBER($AD126),Header!$I$3,"")</f>
      </c>
      <c r="AN126" s="39">
        <f>IF(ISNUMBER($AD126),$AO126+$AP126,"")</f>
      </c>
      <c r="AO126" s="39">
        <f>IF(ISNUMBER($AD126),ROUND($AD126*Header!$K$3,2),"")</f>
      </c>
      <c r="AP126" s="39">
        <f>IF(ISNUMBER($AD126),ROUND($AD126*Header!$M$3,2),"")</f>
      </c>
      <c r="AQ126" s="38">
        <f>IF(ISNUMBER($AD126),ROUND($AD126,2)-$AO126-$AP126,"")</f>
      </c>
      <c r="AR126" s="39">
        <f>IF(ISNUMBER($AD126),IF(Header!$D$34="","?",$AD126*Header!$D$34),"")</f>
      </c>
      <c r="AS126" s="39">
        <f>IF(ISNUMBER($AB126),IF(Header!$D$34="","?",$AB126*Header!$D$34),"")</f>
      </c>
      <c r="AT126" s="42">
        <f>IF(AND(ISNUMBER($AB126),$M126&gt;0),$AB126/$M126*100,"")</f>
      </c>
      <c r="AU126" s="42">
        <f>IF(AND(ISNUMBER($AD126),$M126&gt;0),$AD126/$M126*100,"")</f>
      </c>
      <c r="AV126" s="40">
        <f>IF(AND(ISNUMBER($AB126),ISNUMBER($AD126),ABS($AB126)&gt;0),$AD126/$AB126,"")</f>
      </c>
      <c r="AW126" s="39">
        <f>IF(ISNUMBER($AD126),MAX(0,(1-0.55-Header!$O$3)*Header!$Q$3*$AQ126),"")</f>
      </c>
      <c r="AX126" s="43">
        <f>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c>
      <c r="AY126" s="44">
        <f>IF($M126="","",IF(ISNUMBER($M126),IF($M126&gt;=Header!$C$18,"YES — refer","No"),""))</f>
      </c>
      <c r="AZ126" s="44">
        <f>IF($AD126="","",IF(ISNUMBER($AD126),IF($AD126&lt;Header!$C$20,"BELOW MIN PREMIUM","OK"),""))</f>
      </c>
      <c r="BA126" s="48" t="inlineStr">
        <is>
          <t xml:space="preserve">Yes</t>
        </is>
      </c>
      <c r="BB126" s="48" t="inlineStr">
        <is>
          <t xml:space="preserve">Yes</t>
        </is>
      </c>
      <c r="BC126" s="46" t="inlineStr">
        <is>
          <t xml:space="preserve">Synthetic demo data</t>
        </is>
      </c>
      <c r="BE126" s="45">
        <f>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c>
      <c r="BF126" s="45">
        <f>IF($AD126="","",IF(ROUND($AO126+$AP126+$AQ126-$AD126,2)=0,"OK","FAIL - out by "&amp;TEXT($AO126+$AP126+$AQ126-$AD126,"$0.00")))</f>
      </c>
    </row>
    <row r="127" spans="1:58" ht="18.75" customHeight="1" x14ac:dyDescent="0.25">
      <c r="A127" s="30" t="inlineStr">
        <is>
          <t xml:space="preserve">CANON-202606-008573</t>
        </is>
      </c>
      <c r="B127" s="30" t="inlineStr">
        <is>
          <t xml:space="preserve">Marisol Underwood</t>
        </is>
      </c>
      <c r="C127" s="31">
        <v>46182</v>
      </c>
      <c r="D127" s="32" t="inlineStr">
        <is>
          <t xml:space="preserve">Bound - within authority</t>
        </is>
      </c>
      <c r="E127" s="32" t="inlineStr">
        <is>
          <t xml:space="preserve">New business</t>
        </is>
      </c>
      <c r="F127" s="30" t="inlineStr">
        <is>
          <t xml:space="preserve">B1234EXOTIC26</t>
        </is>
      </c>
      <c r="G127" s="33">
        <f>IF($A127="","",IF($C127="","",YEAR($C127)))</f>
      </c>
      <c r="H127" s="34">
        <v>1968</v>
      </c>
      <c r="I127" s="30" t="inlineStr">
        <is>
          <t xml:space="preserve">Bentley</t>
        </is>
      </c>
      <c r="J127" s="30" t="inlineStr">
        <is>
          <t xml:space="preserve">Continental GT</t>
        </is>
      </c>
      <c r="K127" s="30" t="inlineStr">
        <is>
          <t xml:space="preserve">X0XABVWG76UJETFPM</t>
        </is>
      </c>
      <c r="L127" s="32" t="inlineStr">
        <is>
          <t xml:space="preserve">02 - Sports / GT</t>
        </is>
      </c>
      <c r="M127" s="35">
        <v>765000</v>
      </c>
      <c r="N127" s="32" t="inlineStr">
        <is>
          <t xml:space="preserve">Personal</t>
        </is>
      </c>
      <c r="O127" s="30" t="inlineStr">
        <is>
          <t xml:space="preserve">Personal - regular use</t>
        </is>
      </c>
      <c r="P127" s="30" t="inlineStr">
        <is>
          <t xml:space="preserve">Under 1,000</t>
        </is>
      </c>
      <c r="Q127" s="30" t="inlineStr">
        <is>
          <t xml:space="preserve">Connecticut</t>
        </is>
      </c>
      <c r="R127" s="30" t="inlineStr">
        <is>
          <t xml:space="preserve">06103</t>
        </is>
      </c>
      <c r="S127" s="32" t="inlineStr">
        <is>
          <t xml:space="preserve">Tier 3 - Coastal wind (25-100 miles)</t>
        </is>
      </c>
      <c r="T127" s="36">
        <f>IF($A127="","",IF($S127="","",IFERROR(INDEX('[1]natural catastrophe'!$D$6:$D$17,MATCH($S127,'[1]natural catastrophe'!$B$6:$B$17,0)),"?")))</f>
      </c>
      <c r="U127" s="30" t="inlineStr">
        <is>
          <t xml:space="preserve">2% of agreed value, minimum $10,000</t>
        </is>
      </c>
      <c r="V127" s="32" t="inlineStr">
        <is>
          <t xml:space="preserve">Agreed Value</t>
        </is>
      </c>
      <c r="W127" s="30" t="inlineStr">
        <is>
          <t xml:space="preserve">$1,000</t>
        </is>
      </c>
      <c r="X127" s="32" t="inlineStr">
        <is>
          <t xml:space="preserve">$1,000,000 CSL</t>
        </is>
      </c>
      <c r="Y127" s="30"/>
      <c r="Z127" s="30"/>
      <c r="AA127" s="32" t="inlineStr">
        <is>
          <t xml:space="preserve">Surplus Lines</t>
        </is>
      </c>
      <c r="AB127" s="35">
        <v>8036.46</v>
      </c>
      <c r="AC127" s="37">
        <v>0</v>
      </c>
      <c r="AD127" s="38">
        <f>IF(ISNUMBER($AB127),$AB127*(1+N($AC127)),"")</f>
      </c>
      <c r="AE127" s="35">
        <v>350</v>
      </c>
      <c r="AF127" s="35">
        <v>0</v>
      </c>
      <c r="AG127" s="37"/>
      <c r="AH127" s="39">
        <f>IF(ISNUMBER($AD127),($AD127+$AE127+$AF127)*$AG127,"")</f>
      </c>
      <c r="AI127" s="35"/>
      <c r="AJ127" s="38">
        <f>IF(ISNUMBER($AD127),SUM($AD127:$AH127),"")</f>
      </c>
      <c r="AK127" s="40">
        <f>IF(AND(ISNUMBER($AB127),ISNUMBER($AD127)),IF($AB127&gt;0,$AD127/$AB127,""),"")</f>
      </c>
      <c r="AL127" s="32" t="inlineStr">
        <is>
          <t xml:space="preserve">At technical</t>
        </is>
      </c>
      <c r="AM127" s="41">
        <f>IF(ISNUMBER($AD127),Header!$I$3,"")</f>
      </c>
      <c r="AN127" s="39">
        <f>IF(ISNUMBER($AD127),$AO127+$AP127,"")</f>
      </c>
      <c r="AO127" s="39">
        <f>IF(ISNUMBER($AD127),ROUND($AD127*Header!$K$3,2),"")</f>
      </c>
      <c r="AP127" s="39">
        <f>IF(ISNUMBER($AD127),ROUND($AD127*Header!$M$3,2),"")</f>
      </c>
      <c r="AQ127" s="38">
        <f>IF(ISNUMBER($AD127),ROUND($AD127,2)-$AO127-$AP127,"")</f>
      </c>
      <c r="AR127" s="39">
        <f>IF(ISNUMBER($AD127),IF(Header!$D$34="","?",$AD127*Header!$D$34),"")</f>
      </c>
      <c r="AS127" s="39">
        <f>IF(ISNUMBER($AB127),IF(Header!$D$34="","?",$AB127*Header!$D$34),"")</f>
      </c>
      <c r="AT127" s="42">
        <f>IF(AND(ISNUMBER($AB127),$M127&gt;0),$AB127/$M127*100,"")</f>
      </c>
      <c r="AU127" s="42">
        <f>IF(AND(ISNUMBER($AD127),$M127&gt;0),$AD127/$M127*100,"")</f>
      </c>
      <c r="AV127" s="40">
        <f>IF(AND(ISNUMBER($AB127),ISNUMBER($AD127),ABS($AB127)&gt;0),$AD127/$AB127,"")</f>
      </c>
      <c r="AW127" s="39">
        <f>IF(ISNUMBER($AD127),MAX(0,(1-0.55-Header!$O$3)*Header!$Q$3*$AQ127),"")</f>
      </c>
      <c r="AX127" s="43">
        <f>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c>
      <c r="AY127" s="44">
        <f>IF($M127="","",IF(ISNUMBER($M127),IF($M127&gt;=Header!$C$18,"YES — refer","No"),""))</f>
      </c>
      <c r="AZ127" s="44">
        <f>IF($AD127="","",IF(ISNUMBER($AD127),IF($AD127&lt;Header!$C$20,"BELOW MIN PREMIUM","OK"),""))</f>
      </c>
      <c r="BA127" s="32" t="inlineStr">
        <is>
          <t xml:space="preserve">Yes</t>
        </is>
      </c>
      <c r="BB127" s="32" t="inlineStr">
        <is>
          <t xml:space="preserve">Yes</t>
        </is>
      </c>
      <c r="BC127" s="30" t="inlineStr">
        <is>
          <t xml:space="preserve">Synthetic demo data</t>
        </is>
      </c>
      <c r="BE127" s="45">
        <f>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c>
      <c r="BF127" s="45">
        <f>IF($AD127="","",IF(ROUND($AO127+$AP127+$AQ127-$AD127,2)=0,"OK","FAIL - out by "&amp;TEXT($AO127+$AP127+$AQ127-$AD127,"$0.00")))</f>
      </c>
    </row>
    <row r="128" spans="1:58" ht="18.75" customHeight="1" x14ac:dyDescent="0.25">
      <c r="A128" s="46" t="inlineStr">
        <is>
          <t xml:space="preserve">CANON-202606-008576</t>
        </is>
      </c>
      <c r="B128" s="46" t="inlineStr">
        <is>
          <t xml:space="preserve">Emiliano Chattopadhyay</t>
        </is>
      </c>
      <c r="C128" s="47">
        <v>46178</v>
      </c>
      <c r="D128" s="48" t="inlineStr">
        <is>
          <t xml:space="preserve">Bound - within authority</t>
        </is>
      </c>
      <c r="E128" s="48" t="inlineStr">
        <is>
          <t xml:space="preserve">New business</t>
        </is>
      </c>
      <c r="F128" s="46" t="inlineStr">
        <is>
          <t xml:space="preserve">B1234EXOTIC26</t>
        </is>
      </c>
      <c r="G128" s="33">
        <f>IF($A128="","",IF($C128="","",YEAR($C128)))</f>
      </c>
      <c r="H128" s="49">
        <v>2000</v>
      </c>
      <c r="I128" s="46" t="inlineStr">
        <is>
          <t xml:space="preserve">Maserati</t>
        </is>
      </c>
      <c r="J128" s="46" t="inlineStr">
        <is>
          <t xml:space="preserve">GranTurismo</t>
        </is>
      </c>
      <c r="K128" s="46" t="inlineStr">
        <is>
          <t xml:space="preserve">98ZJJ6UAYAM3TAH41</t>
        </is>
      </c>
      <c r="L128" s="48" t="inlineStr">
        <is>
          <t xml:space="preserve">02 - Sports / GT</t>
        </is>
      </c>
      <c r="M128" s="50">
        <v>1880000</v>
      </c>
      <c r="N128" s="48" t="inlineStr">
        <is>
          <t xml:space="preserve">Personal</t>
        </is>
      </c>
      <c r="O128" s="46" t="inlineStr">
        <is>
          <t xml:space="preserve">Personal - regular use</t>
        </is>
      </c>
      <c r="P128" s="46" t="inlineStr">
        <is>
          <t xml:space="preserve">1,000 - 2,500</t>
        </is>
      </c>
      <c r="Q128" s="46" t="inlineStr">
        <is>
          <t xml:space="preserve">Massachusetts</t>
        </is>
      </c>
      <c r="R128" s="46" t="inlineStr">
        <is>
          <t xml:space="preserve">02108</t>
        </is>
      </c>
      <c r="S128" s="48" t="inlineStr">
        <is>
          <t xml:space="preserve">Tier 3 - Coastal wind (25-100 miles)</t>
        </is>
      </c>
      <c r="T128" s="36">
        <f>IF($A128="","",IF($S128="","",IFERROR(INDEX('[1]natural catastrophe'!$D$6:$D$17,MATCH($S128,'[1]natural catastrophe'!$B$6:$B$17,0)),"?")))</f>
      </c>
      <c r="U128" s="46" t="inlineStr">
        <is>
          <t xml:space="preserve">2% of agreed value, minimum $10,000</t>
        </is>
      </c>
      <c r="V128" s="48" t="inlineStr">
        <is>
          <t xml:space="preserve">Agreed Value</t>
        </is>
      </c>
      <c r="W128" s="46" t="inlineStr">
        <is>
          <t xml:space="preserve">$1,000</t>
        </is>
      </c>
      <c r="X128" s="48" t="inlineStr">
        <is>
          <t xml:space="preserve">$1,000,000 CSL</t>
        </is>
      </c>
      <c r="Y128" s="46"/>
      <c r="Z128" s="46"/>
      <c r="AA128" s="48" t="inlineStr">
        <is>
          <t xml:space="preserve">Surplus Lines</t>
        </is>
      </c>
      <c r="AB128" s="50">
        <v>18651.02</v>
      </c>
      <c r="AC128" s="51">
        <v>0</v>
      </c>
      <c r="AD128" s="38">
        <f>IF(ISNUMBER($AB128),$AB128*(1+N($AC128)),"")</f>
      </c>
      <c r="AE128" s="50">
        <v>350</v>
      </c>
      <c r="AF128" s="50">
        <v>250</v>
      </c>
      <c r="AG128" s="51"/>
      <c r="AH128" s="39">
        <f>IF(ISNUMBER($AD128),($AD128+$AE128+$AF128)*$AG128,"")</f>
      </c>
      <c r="AI128" s="50"/>
      <c r="AJ128" s="38">
        <f>IF(ISNUMBER($AD128),SUM($AD128:$AH128),"")</f>
      </c>
      <c r="AK128" s="40">
        <f>IF(AND(ISNUMBER($AB128),ISNUMBER($AD128)),IF($AB128&gt;0,$AD128/$AB128,""),"")</f>
      </c>
      <c r="AL128" s="48" t="inlineStr">
        <is>
          <t xml:space="preserve">At technical</t>
        </is>
      </c>
      <c r="AM128" s="41">
        <f>IF(ISNUMBER($AD128),Header!$I$3,"")</f>
      </c>
      <c r="AN128" s="39">
        <f>IF(ISNUMBER($AD128),$AO128+$AP128,"")</f>
      </c>
      <c r="AO128" s="39">
        <f>IF(ISNUMBER($AD128),ROUND($AD128*Header!$K$3,2),"")</f>
      </c>
      <c r="AP128" s="39">
        <f>IF(ISNUMBER($AD128),ROUND($AD128*Header!$M$3,2),"")</f>
      </c>
      <c r="AQ128" s="38">
        <f>IF(ISNUMBER($AD128),ROUND($AD128,2)-$AO128-$AP128,"")</f>
      </c>
      <c r="AR128" s="39">
        <f>IF(ISNUMBER($AD128),IF(Header!$D$34="","?",$AD128*Header!$D$34),"")</f>
      </c>
      <c r="AS128" s="39">
        <f>IF(ISNUMBER($AB128),IF(Header!$D$34="","?",$AB128*Header!$D$34),"")</f>
      </c>
      <c r="AT128" s="42">
        <f>IF(AND(ISNUMBER($AB128),$M128&gt;0),$AB128/$M128*100,"")</f>
      </c>
      <c r="AU128" s="42">
        <f>IF(AND(ISNUMBER($AD128),$M128&gt;0),$AD128/$M128*100,"")</f>
      </c>
      <c r="AV128" s="40">
        <f>IF(AND(ISNUMBER($AB128),ISNUMBER($AD128),ABS($AB128)&gt;0),$AD128/$AB128,"")</f>
      </c>
      <c r="AW128" s="39">
        <f>IF(ISNUMBER($AD128),MAX(0,(1-0.55-Header!$O$3)*Header!$Q$3*$AQ128),"")</f>
      </c>
      <c r="AX128" s="43">
        <f>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c>
      <c r="AY128" s="44">
        <f>IF($M128="","",IF(ISNUMBER($M128),IF($M128&gt;=Header!$C$18,"YES — refer","No"),""))</f>
      </c>
      <c r="AZ128" s="44">
        <f>IF($AD128="","",IF(ISNUMBER($AD128),IF($AD128&lt;Header!$C$20,"BELOW MIN PREMIUM","OK"),""))</f>
      </c>
      <c r="BA128" s="48" t="inlineStr">
        <is>
          <t xml:space="preserve">Yes</t>
        </is>
      </c>
      <c r="BB128" s="48" t="inlineStr">
        <is>
          <t xml:space="preserve">Yes</t>
        </is>
      </c>
      <c r="BC128" s="46" t="inlineStr">
        <is>
          <t xml:space="preserve">Synthetic demo data</t>
        </is>
      </c>
      <c r="BE128" s="45">
        <f>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c>
      <c r="BF128" s="45">
        <f>IF($AD128="","",IF(ROUND($AO128+$AP128+$AQ128-$AD128,2)=0,"OK","FAIL - out by "&amp;TEXT($AO128+$AP128+$AQ128-$AD128,"$0.00")))</f>
      </c>
    </row>
    <row r="129" spans="1:58" ht="18.75" customHeight="1" x14ac:dyDescent="0.25">
      <c r="A129" s="30" t="inlineStr">
        <is>
          <t xml:space="preserve">CANON-202606-008577</t>
        </is>
      </c>
      <c r="B129" s="30" t="inlineStr">
        <is>
          <t xml:space="preserve">Desmond Castellanos</t>
        </is>
      </c>
      <c r="C129" s="31">
        <v>46197</v>
      </c>
      <c r="D129" s="32" t="inlineStr">
        <is>
          <t xml:space="preserve">Bound - within authority</t>
        </is>
      </c>
      <c r="E129" s="32" t="inlineStr">
        <is>
          <t xml:space="preserve">New business</t>
        </is>
      </c>
      <c r="F129" s="30" t="inlineStr">
        <is>
          <t xml:space="preserve">B1234EXOTIC26</t>
        </is>
      </c>
      <c r="G129" s="33">
        <f>IF($A129="","",IF($C129="","",YEAR($C129)))</f>
      </c>
      <c r="H129" s="34">
        <v>1969</v>
      </c>
      <c r="I129" s="30" t="inlineStr">
        <is>
          <t xml:space="preserve">Jaguar</t>
        </is>
      </c>
      <c r="J129" s="30" t="inlineStr">
        <is>
          <t xml:space="preserve">E-Type Series 1</t>
        </is>
      </c>
      <c r="K129" s="30" t="inlineStr">
        <is>
          <t xml:space="preserve">DPN81XSMPWWGN015B</t>
        </is>
      </c>
      <c r="L129" s="32" t="inlineStr">
        <is>
          <t xml:space="preserve">07 - Post-War Classic (1946-1972)</t>
        </is>
      </c>
      <c r="M129" s="35">
        <v>470000</v>
      </c>
      <c r="N129" s="32" t="inlineStr">
        <is>
          <t xml:space="preserve">Personal</t>
        </is>
      </c>
      <c r="O129" s="30" t="inlineStr">
        <is>
          <t xml:space="preserve">Personal - regular use</t>
        </is>
      </c>
      <c r="P129" s="30" t="inlineStr">
        <is>
          <t xml:space="preserve">2,500 - 5,000</t>
        </is>
      </c>
      <c r="Q129" s="30" t="inlineStr">
        <is>
          <t xml:space="preserve">Alaska</t>
        </is>
      </c>
      <c r="R129" s="30" t="inlineStr">
        <is>
          <t xml:space="preserve">99501</t>
        </is>
      </c>
      <c r="S129" s="32" t="inlineStr">
        <is>
          <t xml:space="preserve">Earthquake - high (CA, Cascadia, New Madrid)</t>
        </is>
      </c>
      <c r="T129" s="36">
        <f>IF($A129="","",IF($S129="","",IFERROR(INDEX('[1]natural catastrophe'!$D$6:$D$17,MATCH($S129,'[1]natural catastrophe'!$B$6:$B$17,0)),"?")))</f>
      </c>
      <c r="U129" s="30" t="inlineStr">
        <is>
          <t xml:space="preserve">$5,000</t>
        </is>
      </c>
      <c r="V129" s="32" t="inlineStr">
        <is>
          <t xml:space="preserve">Agreed Value</t>
        </is>
      </c>
      <c r="W129" s="30" t="inlineStr">
        <is>
          <t xml:space="preserve">$1,000</t>
        </is>
      </c>
      <c r="X129" s="32" t="inlineStr">
        <is>
          <t xml:space="preserve">$1,000,000 CSL</t>
        </is>
      </c>
      <c r="Y129" s="30"/>
      <c r="Z129" s="30"/>
      <c r="AA129" s="32" t="inlineStr">
        <is>
          <t xml:space="preserve">Surplus Lines</t>
        </is>
      </c>
      <c r="AB129" s="35">
        <v>3711.21</v>
      </c>
      <c r="AC129" s="37">
        <v>0</v>
      </c>
      <c r="AD129" s="38">
        <f>IF(ISNUMBER($AB129),$AB129*(1+N($AC129)),"")</f>
      </c>
      <c r="AE129" s="35">
        <v>350</v>
      </c>
      <c r="AF129" s="35">
        <v>0</v>
      </c>
      <c r="AG129" s="37"/>
      <c r="AH129" s="39">
        <f>IF(ISNUMBER($AD129),($AD129+$AE129+$AF129)*$AG129,"")</f>
      </c>
      <c r="AI129" s="35"/>
      <c r="AJ129" s="38">
        <f>IF(ISNUMBER($AD129),SUM($AD129:$AH129),"")</f>
      </c>
      <c r="AK129" s="40">
        <f>IF(AND(ISNUMBER($AB129),ISNUMBER($AD129)),IF($AB129&gt;0,$AD129/$AB129,""),"")</f>
      </c>
      <c r="AL129" s="32" t="inlineStr">
        <is>
          <t xml:space="preserve">At technical</t>
        </is>
      </c>
      <c r="AM129" s="41">
        <f>IF(ISNUMBER($AD129),Header!$I$3,"")</f>
      </c>
      <c r="AN129" s="39">
        <f>IF(ISNUMBER($AD129),$AO129+$AP129,"")</f>
      </c>
      <c r="AO129" s="39">
        <f>IF(ISNUMBER($AD129),ROUND($AD129*Header!$K$3,2),"")</f>
      </c>
      <c r="AP129" s="39">
        <f>IF(ISNUMBER($AD129),ROUND($AD129*Header!$M$3,2),"")</f>
      </c>
      <c r="AQ129" s="38">
        <f>IF(ISNUMBER($AD129),ROUND($AD129,2)-$AO129-$AP129,"")</f>
      </c>
      <c r="AR129" s="39">
        <f>IF(ISNUMBER($AD129),IF(Header!$D$34="","?",$AD129*Header!$D$34),"")</f>
      </c>
      <c r="AS129" s="39">
        <f>IF(ISNUMBER($AB129),IF(Header!$D$34="","?",$AB129*Header!$D$34),"")</f>
      </c>
      <c r="AT129" s="42">
        <f>IF(AND(ISNUMBER($AB129),$M129&gt;0),$AB129/$M129*100,"")</f>
      </c>
      <c r="AU129" s="42">
        <f>IF(AND(ISNUMBER($AD129),$M129&gt;0),$AD129/$M129*100,"")</f>
      </c>
      <c r="AV129" s="40">
        <f>IF(AND(ISNUMBER($AB129),ISNUMBER($AD129),ABS($AB129)&gt;0),$AD129/$AB129,"")</f>
      </c>
      <c r="AW129" s="39">
        <f>IF(ISNUMBER($AD129),MAX(0,(1-0.55-Header!$O$3)*Header!$Q$3*$AQ129),"")</f>
      </c>
      <c r="AX129" s="43">
        <f>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c>
      <c r="AY129" s="44">
        <f>IF($M129="","",IF(ISNUMBER($M129),IF($M129&gt;=Header!$C$18,"YES — refer","No"),""))</f>
      </c>
      <c r="AZ129" s="44">
        <f>IF($AD129="","",IF(ISNUMBER($AD129),IF($AD129&lt;Header!$C$20,"BELOW MIN PREMIUM","OK"),""))</f>
      </c>
      <c r="BA129" s="32" t="inlineStr">
        <is>
          <t xml:space="preserve">Yes</t>
        </is>
      </c>
      <c r="BB129" s="32" t="inlineStr">
        <is>
          <t xml:space="preserve">Yes</t>
        </is>
      </c>
      <c r="BC129" s="30" t="inlineStr">
        <is>
          <t xml:space="preserve">Synthetic demo data</t>
        </is>
      </c>
      <c r="BE129" s="45">
        <f>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c>
      <c r="BF129" s="45">
        <f>IF($AD129="","",IF(ROUND($AO129+$AP129+$AQ129-$AD129,2)=0,"OK","FAIL - out by "&amp;TEXT($AO129+$AP129+$AQ129-$AD129,"$0.00")))</f>
      </c>
    </row>
    <row r="130" spans="1:58" ht="18.75" customHeight="1" x14ac:dyDescent="0.25">
      <c r="A130" s="46" t="inlineStr">
        <is>
          <t xml:space="preserve">CANON-202606-008578</t>
        </is>
      </c>
      <c r="B130" s="46" t="inlineStr">
        <is>
          <t xml:space="preserve">Thaddeus Bellandi</t>
        </is>
      </c>
      <c r="C130" s="47">
        <v>46180</v>
      </c>
      <c r="D130" s="48" t="inlineStr">
        <is>
          <t xml:space="preserve">Bound - within authority</t>
        </is>
      </c>
      <c r="E130" s="48" t="inlineStr">
        <is>
          <t xml:space="preserve">New business</t>
        </is>
      </c>
      <c r="F130" s="46" t="inlineStr">
        <is>
          <t xml:space="preserve">B1234EXOTIC26</t>
        </is>
      </c>
      <c r="G130" s="33">
        <f>IF($A130="","",IF($C130="","",YEAR($C130)))</f>
      </c>
      <c r="H130" s="49">
        <v>1973</v>
      </c>
      <c r="I130" s="46" t="inlineStr">
        <is>
          <t xml:space="preserve">Porsche</t>
        </is>
      </c>
      <c r="J130" s="46" t="inlineStr">
        <is>
          <t xml:space="preserve">911 Turbo S</t>
        </is>
      </c>
      <c r="K130" s="46" t="inlineStr">
        <is>
          <t xml:space="preserve">8AGBY81S9AG4W2M4B</t>
        </is>
      </c>
      <c r="L130" s="48" t="inlineStr">
        <is>
          <t xml:space="preserve">02 - Sports / GT</t>
        </is>
      </c>
      <c r="M130" s="50">
        <v>475000</v>
      </c>
      <c r="N130" s="48" t="inlineStr">
        <is>
          <t xml:space="preserve">Personal</t>
        </is>
      </c>
      <c r="O130" s="46" t="inlineStr">
        <is>
          <t xml:space="preserve">Personal - regular use</t>
        </is>
      </c>
      <c r="P130" s="46" t="inlineStr">
        <is>
          <t xml:space="preserve">2,500 - 5,000</t>
        </is>
      </c>
      <c r="Q130" s="46" t="inlineStr">
        <is>
          <t xml:space="preserve">Florida</t>
        </is>
      </c>
      <c r="R130" s="46" t="inlineStr">
        <is>
          <t xml:space="preserve">33139</t>
        </is>
      </c>
      <c r="S130" s="48" t="inlineStr">
        <is>
          <t xml:space="preserve">Tier 2 - Coastal wind (1-25 miles)</t>
        </is>
      </c>
      <c r="T130" s="36">
        <f>IF($A130="","",IF($S130="","",IFERROR(INDEX('[1]natural catastrophe'!$D$6:$D$17,MATCH($S130,'[1]natural catastrophe'!$B$6:$B$17,0)),"?")))</f>
      </c>
      <c r="U130" s="46" t="inlineStr">
        <is>
          <t xml:space="preserve">2% of agreed value, minimum $10,000</t>
        </is>
      </c>
      <c r="V130" s="48" t="inlineStr">
        <is>
          <t xml:space="preserve">Agreed Value</t>
        </is>
      </c>
      <c r="W130" s="46" t="inlineStr">
        <is>
          <t xml:space="preserve">$1,000</t>
        </is>
      </c>
      <c r="X130" s="48" t="inlineStr">
        <is>
          <t xml:space="preserve">$1,000,000 CSL</t>
        </is>
      </c>
      <c r="Y130" s="46"/>
      <c r="Z130" s="46"/>
      <c r="AA130" s="48" t="inlineStr">
        <is>
          <t xml:space="preserve">Surplus Lines</t>
        </is>
      </c>
      <c r="AB130" s="50">
        <v>7299.87</v>
      </c>
      <c r="AC130" s="51">
        <v>0</v>
      </c>
      <c r="AD130" s="38">
        <f>IF(ISNUMBER($AB130),$AB130*(1+N($AC130)),"")</f>
      </c>
      <c r="AE130" s="50">
        <v>350</v>
      </c>
      <c r="AF130" s="50">
        <v>0</v>
      </c>
      <c r="AG130" s="51"/>
      <c r="AH130" s="39">
        <f>IF(ISNUMBER($AD130),($AD130+$AE130+$AF130)*$AG130,"")</f>
      </c>
      <c r="AI130" s="50"/>
      <c r="AJ130" s="38">
        <f>IF(ISNUMBER($AD130),SUM($AD130:$AH130),"")</f>
      </c>
      <c r="AK130" s="40">
        <f>IF(AND(ISNUMBER($AB130),ISNUMBER($AD130)),IF($AB130&gt;0,$AD130/$AB130,""),"")</f>
      </c>
      <c r="AL130" s="48" t="inlineStr">
        <is>
          <t xml:space="preserve">At technical</t>
        </is>
      </c>
      <c r="AM130" s="41">
        <f>IF(ISNUMBER($AD130),Header!$I$3,"")</f>
      </c>
      <c r="AN130" s="39">
        <f>IF(ISNUMBER($AD130),$AO130+$AP130,"")</f>
      </c>
      <c r="AO130" s="39">
        <f>IF(ISNUMBER($AD130),ROUND($AD130*Header!$K$3,2),"")</f>
      </c>
      <c r="AP130" s="39">
        <f>IF(ISNUMBER($AD130),ROUND($AD130*Header!$M$3,2),"")</f>
      </c>
      <c r="AQ130" s="38">
        <f>IF(ISNUMBER($AD130),ROUND($AD130,2)-$AO130-$AP130,"")</f>
      </c>
      <c r="AR130" s="39">
        <f>IF(ISNUMBER($AD130),IF(Header!$D$34="","?",$AD130*Header!$D$34),"")</f>
      </c>
      <c r="AS130" s="39">
        <f>IF(ISNUMBER($AB130),IF(Header!$D$34="","?",$AB130*Header!$D$34),"")</f>
      </c>
      <c r="AT130" s="42">
        <f>IF(AND(ISNUMBER($AB130),$M130&gt;0),$AB130/$M130*100,"")</f>
      </c>
      <c r="AU130" s="42">
        <f>IF(AND(ISNUMBER($AD130),$M130&gt;0),$AD130/$M130*100,"")</f>
      </c>
      <c r="AV130" s="40">
        <f>IF(AND(ISNUMBER($AB130),ISNUMBER($AD130),ABS($AB130)&gt;0),$AD130/$AB130,"")</f>
      </c>
      <c r="AW130" s="39">
        <f>IF(ISNUMBER($AD130),MAX(0,(1-0.55-Header!$O$3)*Header!$Q$3*$AQ130),"")</f>
      </c>
      <c r="AX130" s="43">
        <f>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c>
      <c r="AY130" s="44">
        <f>IF($M130="","",IF(ISNUMBER($M130),IF($M130&gt;=Header!$C$18,"YES — refer","No"),""))</f>
      </c>
      <c r="AZ130" s="44">
        <f>IF($AD130="","",IF(ISNUMBER($AD130),IF($AD130&lt;Header!$C$20,"BELOW MIN PREMIUM","OK"),""))</f>
      </c>
      <c r="BA130" s="48" t="inlineStr">
        <is>
          <t xml:space="preserve">Yes</t>
        </is>
      </c>
      <c r="BB130" s="48" t="inlineStr">
        <is>
          <t xml:space="preserve">Yes</t>
        </is>
      </c>
      <c r="BC130" s="46" t="inlineStr">
        <is>
          <t xml:space="preserve">Synthetic demo data</t>
        </is>
      </c>
      <c r="BE130" s="45">
        <f>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c>
      <c r="BF130" s="45">
        <f>IF($AD130="","",IF(ROUND($AO130+$AP130+$AQ130-$AD130,2)=0,"OK","FAIL - out by "&amp;TEXT($AO130+$AP130+$AQ130-$AD130,"$0.00")))</f>
      </c>
    </row>
    <row r="131" spans="1:58" ht="18.75" customHeight="1" x14ac:dyDescent="0.25">
      <c r="A131" s="30" t="inlineStr">
        <is>
          <t xml:space="preserve">CANON-202606-008579</t>
        </is>
      </c>
      <c r="B131" s="30" t="inlineStr">
        <is>
          <t xml:space="preserve">Desmond Montoya</t>
        </is>
      </c>
      <c r="C131" s="31">
        <v>46177</v>
      </c>
      <c r="D131" s="32" t="inlineStr">
        <is>
          <t xml:space="preserve">Bound - within authority</t>
        </is>
      </c>
      <c r="E131" s="32" t="inlineStr">
        <is>
          <t xml:space="preserve">New business</t>
        </is>
      </c>
      <c r="F131" s="30" t="inlineStr">
        <is>
          <t xml:space="preserve">B1234EXOTIC26</t>
        </is>
      </c>
      <c r="G131" s="33">
        <f>IF($A131="","",IF($C131="","",YEAR($C131)))</f>
      </c>
      <c r="H131" s="34">
        <v>2024</v>
      </c>
      <c r="I131" s="30" t="inlineStr">
        <is>
          <t xml:space="preserve">Mercedes-Benz</t>
        </is>
      </c>
      <c r="J131" s="30" t="inlineStr">
        <is>
          <t xml:space="preserve">AMG GT</t>
        </is>
      </c>
      <c r="K131" s="30" t="inlineStr">
        <is>
          <t xml:space="preserve">4GCDU954GLVY94D62</t>
        </is>
      </c>
      <c r="L131" s="32" t="inlineStr">
        <is>
          <t xml:space="preserve">02 - Sports / GT</t>
        </is>
      </c>
      <c r="M131" s="35">
        <v>500000</v>
      </c>
      <c r="N131" s="32" t="inlineStr">
        <is>
          <t xml:space="preserve">Personal</t>
        </is>
      </c>
      <c r="O131" s="30" t="inlineStr">
        <is>
          <t xml:space="preserve">Personal - regular use</t>
        </is>
      </c>
      <c r="P131" s="30" t="inlineStr">
        <is>
          <t xml:space="preserve">1,000 - 2,500</t>
        </is>
      </c>
      <c r="Q131" s="30" t="inlineStr">
        <is>
          <t xml:space="preserve">Kentucky</t>
        </is>
      </c>
      <c r="R131" s="30" t="inlineStr">
        <is>
          <t xml:space="preserve">40202</t>
        </is>
      </c>
      <c r="S131" s="32" t="inlineStr">
        <is>
          <t xml:space="preserve">Severe convective - hail / tornado (moderate)</t>
        </is>
      </c>
      <c r="T131" s="36">
        <f>IF($A131="","",IF($S131="","",IFERROR(INDEX('[1]natural catastrophe'!$D$6:$D$17,MATCH($S131,'[1]natural catastrophe'!$B$6:$B$17,0)),"?")))</f>
      </c>
      <c r="U131" s="30" t="inlineStr">
        <is>
          <t xml:space="preserve">$5,000</t>
        </is>
      </c>
      <c r="V131" s="32" t="inlineStr">
        <is>
          <t xml:space="preserve">Agreed Value</t>
        </is>
      </c>
      <c r="W131" s="30" t="inlineStr">
        <is>
          <t xml:space="preserve">$1,000</t>
        </is>
      </c>
      <c r="X131" s="32" t="inlineStr">
        <is>
          <t xml:space="preserve">$1,000,000 CSL</t>
        </is>
      </c>
      <c r="Y131" s="30"/>
      <c r="Z131" s="30"/>
      <c r="AA131" s="32" t="inlineStr">
        <is>
          <t xml:space="preserve">Surplus Lines</t>
        </is>
      </c>
      <c r="AB131" s="35">
        <v>6284.35</v>
      </c>
      <c r="AC131" s="37">
        <v>0</v>
      </c>
      <c r="AD131" s="38">
        <f>IF(ISNUMBER($AB131),$AB131*(1+N($AC131)),"")</f>
      </c>
      <c r="AE131" s="35">
        <v>350</v>
      </c>
      <c r="AF131" s="35">
        <v>0</v>
      </c>
      <c r="AG131" s="37"/>
      <c r="AH131" s="39">
        <f>IF(ISNUMBER($AD131),($AD131+$AE131+$AF131)*$AG131,"")</f>
      </c>
      <c r="AI131" s="35"/>
      <c r="AJ131" s="38">
        <f>IF(ISNUMBER($AD131),SUM($AD131:$AH131),"")</f>
      </c>
      <c r="AK131" s="40">
        <f>IF(AND(ISNUMBER($AB131),ISNUMBER($AD131)),IF($AB131&gt;0,$AD131/$AB131,""),"")</f>
      </c>
      <c r="AL131" s="32" t="inlineStr">
        <is>
          <t xml:space="preserve">At technical</t>
        </is>
      </c>
      <c r="AM131" s="41">
        <f>IF(ISNUMBER($AD131),Header!$I$3,"")</f>
      </c>
      <c r="AN131" s="39">
        <f>IF(ISNUMBER($AD131),$AO131+$AP131,"")</f>
      </c>
      <c r="AO131" s="39">
        <f>IF(ISNUMBER($AD131),ROUND($AD131*Header!$K$3,2),"")</f>
      </c>
      <c r="AP131" s="39">
        <f>IF(ISNUMBER($AD131),ROUND($AD131*Header!$M$3,2),"")</f>
      </c>
      <c r="AQ131" s="38">
        <f>IF(ISNUMBER($AD131),ROUND($AD131,2)-$AO131-$AP131,"")</f>
      </c>
      <c r="AR131" s="39">
        <f>IF(ISNUMBER($AD131),IF(Header!$D$34="","?",$AD131*Header!$D$34),"")</f>
      </c>
      <c r="AS131" s="39">
        <f>IF(ISNUMBER($AB131),IF(Header!$D$34="","?",$AB131*Header!$D$34),"")</f>
      </c>
      <c r="AT131" s="42">
        <f>IF(AND(ISNUMBER($AB131),$M131&gt;0),$AB131/$M131*100,"")</f>
      </c>
      <c r="AU131" s="42">
        <f>IF(AND(ISNUMBER($AD131),$M131&gt;0),$AD131/$M131*100,"")</f>
      </c>
      <c r="AV131" s="40">
        <f>IF(AND(ISNUMBER($AB131),ISNUMBER($AD131),ABS($AB131)&gt;0),$AD131/$AB131,"")</f>
      </c>
      <c r="AW131" s="39">
        <f>IF(ISNUMBER($AD131),MAX(0,(1-0.55-Header!$O$3)*Header!$Q$3*$AQ131),"")</f>
      </c>
      <c r="AX131" s="43">
        <f>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c>
      <c r="AY131" s="44">
        <f>IF($M131="","",IF(ISNUMBER($M131),IF($M131&gt;=Header!$C$18,"YES — refer","No"),""))</f>
      </c>
      <c r="AZ131" s="44">
        <f>IF($AD131="","",IF(ISNUMBER($AD131),IF($AD131&lt;Header!$C$20,"BELOW MIN PREMIUM","OK"),""))</f>
      </c>
      <c r="BA131" s="32" t="inlineStr">
        <is>
          <t xml:space="preserve">Yes</t>
        </is>
      </c>
      <c r="BB131" s="32" t="inlineStr">
        <is>
          <t xml:space="preserve">Yes</t>
        </is>
      </c>
      <c r="BC131" s="30" t="inlineStr">
        <is>
          <t xml:space="preserve">Synthetic demo data</t>
        </is>
      </c>
      <c r="BE131" s="45">
        <f>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c>
      <c r="BF131" s="45">
        <f>IF($AD131="","",IF(ROUND($AO131+$AP131+$AQ131-$AD131,2)=0,"OK","FAIL - out by "&amp;TEXT($AO131+$AP131+$AQ131-$AD131,"$0.00")))</f>
      </c>
    </row>
    <row r="132" spans="1:58" ht="18.75" customHeight="1" x14ac:dyDescent="0.25">
      <c r="A132" s="46" t="inlineStr">
        <is>
          <t xml:space="preserve">CANON-202606-008580</t>
        </is>
      </c>
      <c r="B132" s="46" t="inlineStr">
        <is>
          <t xml:space="preserve">Priya Ashcombe</t>
        </is>
      </c>
      <c r="C132" s="47">
        <v>46178</v>
      </c>
      <c r="D132" s="48" t="inlineStr">
        <is>
          <t xml:space="preserve">Bound - within authority</t>
        </is>
      </c>
      <c r="E132" s="48" t="inlineStr">
        <is>
          <t xml:space="preserve">New business</t>
        </is>
      </c>
      <c r="F132" s="46" t="inlineStr">
        <is>
          <t xml:space="preserve">B1234EXOTIC26</t>
        </is>
      </c>
      <c r="G132" s="33">
        <f>IF($A132="","",IF($C132="","",YEAR($C132)))</f>
      </c>
      <c r="H132" s="49">
        <v>1992</v>
      </c>
      <c r="I132" s="46" t="inlineStr">
        <is>
          <t xml:space="preserve">Mercedes-Benz</t>
        </is>
      </c>
      <c r="J132" s="46" t="inlineStr">
        <is>
          <t xml:space="preserve">AMG GT</t>
        </is>
      </c>
      <c r="K132" s="46" t="inlineStr">
        <is>
          <t xml:space="preserve">220MBVC3B596NTR02</t>
        </is>
      </c>
      <c r="L132" s="48" t="inlineStr">
        <is>
          <t xml:space="preserve">02 - Sports / GT</t>
        </is>
      </c>
      <c r="M132" s="50">
        <v>170000</v>
      </c>
      <c r="N132" s="48" t="inlineStr">
        <is>
          <t xml:space="preserve">Personal</t>
        </is>
      </c>
      <c r="O132" s="46" t="inlineStr">
        <is>
          <t xml:space="preserve">Personal - regular use</t>
        </is>
      </c>
      <c r="P132" s="46" t="inlineStr">
        <is>
          <t xml:space="preserve">2,500 - 5,000</t>
        </is>
      </c>
      <c r="Q132" s="46" t="inlineStr">
        <is>
          <t xml:space="preserve">New Jersey</t>
        </is>
      </c>
      <c r="R132" s="46" t="inlineStr">
        <is>
          <t xml:space="preserve">07102</t>
        </is>
      </c>
      <c r="S132" s="48" t="inlineStr">
        <is>
          <t xml:space="preserve">Tier 3 - Coastal wind (25-100 miles)</t>
        </is>
      </c>
      <c r="T132" s="36">
        <f>IF($A132="","",IF($S132="","",IFERROR(INDEX('[1]natural catastrophe'!$D$6:$D$17,MATCH($S132,'[1]natural catastrophe'!$B$6:$B$17,0)),"?")))</f>
      </c>
      <c r="U132" s="46" t="inlineStr">
        <is>
          <t xml:space="preserve">2% of agreed value, minimum $10,000</t>
        </is>
      </c>
      <c r="V132" s="48" t="inlineStr">
        <is>
          <t xml:space="preserve">Agreed Value</t>
        </is>
      </c>
      <c r="W132" s="46" t="inlineStr">
        <is>
          <t xml:space="preserve">$1,000</t>
        </is>
      </c>
      <c r="X132" s="48" t="inlineStr">
        <is>
          <t xml:space="preserve">$1,000,000 CSL</t>
        </is>
      </c>
      <c r="Y132" s="46"/>
      <c r="Z132" s="46"/>
      <c r="AA132" s="48" t="inlineStr">
        <is>
          <t xml:space="preserve">Surplus Lines</t>
        </is>
      </c>
      <c r="AB132" s="50">
        <v>2053.76</v>
      </c>
      <c r="AC132" s="51">
        <v>0</v>
      </c>
      <c r="AD132" s="38">
        <f>IF(ISNUMBER($AB132),$AB132*(1+N($AC132)),"")</f>
      </c>
      <c r="AE132" s="50">
        <v>350</v>
      </c>
      <c r="AF132" s="50">
        <v>0</v>
      </c>
      <c r="AG132" s="51"/>
      <c r="AH132" s="39">
        <f>IF(ISNUMBER($AD132),($AD132+$AE132+$AF132)*$AG132,"")</f>
      </c>
      <c r="AI132" s="50"/>
      <c r="AJ132" s="38">
        <f>IF(ISNUMBER($AD132),SUM($AD132:$AH132),"")</f>
      </c>
      <c r="AK132" s="40">
        <f>IF(AND(ISNUMBER($AB132),ISNUMBER($AD132)),IF($AB132&gt;0,$AD132/$AB132,""),"")</f>
      </c>
      <c r="AL132" s="48" t="inlineStr">
        <is>
          <t xml:space="preserve">At technical</t>
        </is>
      </c>
      <c r="AM132" s="41">
        <f>IF(ISNUMBER($AD132),Header!$I$3,"")</f>
      </c>
      <c r="AN132" s="39">
        <f>IF(ISNUMBER($AD132),$AO132+$AP132,"")</f>
      </c>
      <c r="AO132" s="39">
        <f>IF(ISNUMBER($AD132),ROUND($AD132*Header!$K$3,2),"")</f>
      </c>
      <c r="AP132" s="39">
        <f>IF(ISNUMBER($AD132),ROUND($AD132*Header!$M$3,2),"")</f>
      </c>
      <c r="AQ132" s="38">
        <f>IF(ISNUMBER($AD132),ROUND($AD132,2)-$AO132-$AP132,"")</f>
      </c>
      <c r="AR132" s="39">
        <f>IF(ISNUMBER($AD132),IF(Header!$D$34="","?",$AD132*Header!$D$34),"")</f>
      </c>
      <c r="AS132" s="39">
        <f>IF(ISNUMBER($AB132),IF(Header!$D$34="","?",$AB132*Header!$D$34),"")</f>
      </c>
      <c r="AT132" s="42">
        <f>IF(AND(ISNUMBER($AB132),$M132&gt;0),$AB132/$M132*100,"")</f>
      </c>
      <c r="AU132" s="42">
        <f>IF(AND(ISNUMBER($AD132),$M132&gt;0),$AD132/$M132*100,"")</f>
      </c>
      <c r="AV132" s="40">
        <f>IF(AND(ISNUMBER($AB132),ISNUMBER($AD132),ABS($AB132)&gt;0),$AD132/$AB132,"")</f>
      </c>
      <c r="AW132" s="39">
        <f>IF(ISNUMBER($AD132),MAX(0,(1-0.55-Header!$O$3)*Header!$Q$3*$AQ132),"")</f>
      </c>
      <c r="AX132" s="43">
        <f>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c>
      <c r="AY132" s="44">
        <f>IF($M132="","",IF(ISNUMBER($M132),IF($M132&gt;=Header!$C$18,"YES — refer","No"),""))</f>
      </c>
      <c r="AZ132" s="44">
        <f>IF($AD132="","",IF(ISNUMBER($AD132),IF($AD132&lt;Header!$C$20,"BELOW MIN PREMIUM","OK"),""))</f>
      </c>
      <c r="BA132" s="48" t="inlineStr">
        <is>
          <t xml:space="preserve">Yes</t>
        </is>
      </c>
      <c r="BB132" s="48" t="inlineStr">
        <is>
          <t xml:space="preserve">Yes</t>
        </is>
      </c>
      <c r="BC132" s="46" t="inlineStr">
        <is>
          <t xml:space="preserve">Synthetic demo data</t>
        </is>
      </c>
      <c r="BE132" s="45">
        <f>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c>
      <c r="BF132" s="45">
        <f>IF($AD132="","",IF(ROUND($AO132+$AP132+$AQ132-$AD132,2)=0,"OK","FAIL - out by "&amp;TEXT($AO132+$AP132+$AQ132-$AD132,"$0.00")))</f>
      </c>
    </row>
    <row r="133" spans="1:58" ht="18.75" customHeight="1" x14ac:dyDescent="0.25">
      <c r="A133" s="30" t="inlineStr">
        <is>
          <t xml:space="preserve">CANON-202606-008581</t>
        </is>
      </c>
      <c r="B133" s="30" t="inlineStr">
        <is>
          <t xml:space="preserve">Emiliano Delacroix</t>
        </is>
      </c>
      <c r="C133" s="31">
        <v>46175</v>
      </c>
      <c r="D133" s="32" t="inlineStr">
        <is>
          <t xml:space="preserve">Bound - within authority</t>
        </is>
      </c>
      <c r="E133" s="32" t="inlineStr">
        <is>
          <t xml:space="preserve">New business</t>
        </is>
      </c>
      <c r="F133" s="30" t="inlineStr">
        <is>
          <t xml:space="preserve">B1234EXOTIC26</t>
        </is>
      </c>
      <c r="G133" s="33">
        <f>IF($A133="","",IF($C133="","",YEAR($C133)))</f>
      </c>
      <c r="H133" s="34">
        <v>1967</v>
      </c>
      <c r="I133" s="30" t="inlineStr">
        <is>
          <t xml:space="preserve">McLaren</t>
        </is>
      </c>
      <c r="J133" s="30" t="inlineStr">
        <is>
          <t xml:space="preserve">750S</t>
        </is>
      </c>
      <c r="K133" s="30" t="inlineStr">
        <is>
          <t xml:space="preserve">K7J5MMXG3LK7TEP7G</t>
        </is>
      </c>
      <c r="L133" s="32" t="inlineStr">
        <is>
          <t xml:space="preserve">03 - Supercar</t>
        </is>
      </c>
      <c r="M133" s="35">
        <v>525000</v>
      </c>
      <c r="N133" s="32" t="inlineStr">
        <is>
          <t xml:space="preserve">Personal</t>
        </is>
      </c>
      <c r="O133" s="30" t="inlineStr">
        <is>
          <t xml:space="preserve">Personal - regular use</t>
        </is>
      </c>
      <c r="P133" s="30" t="inlineStr">
        <is>
          <t xml:space="preserve">2,500 - 5,000</t>
        </is>
      </c>
      <c r="Q133" s="30" t="inlineStr">
        <is>
          <t xml:space="preserve">California</t>
        </is>
      </c>
      <c r="R133" s="30" t="inlineStr">
        <is>
          <t xml:space="preserve">90012</t>
        </is>
      </c>
      <c r="S133" s="32" t="inlineStr">
        <is>
          <t xml:space="preserve">Earthquake - high (CA, Cascadia, New Madrid)</t>
        </is>
      </c>
      <c r="T133" s="36">
        <f>IF($A133="","",IF($S133="","",IFERROR(INDEX('[1]natural catastrophe'!$D$6:$D$17,MATCH($S133,'[1]natural catastrophe'!$B$6:$B$17,0)),"?")))</f>
      </c>
      <c r="U133" s="30" t="inlineStr">
        <is>
          <t xml:space="preserve">$5,000</t>
        </is>
      </c>
      <c r="V133" s="32" t="inlineStr">
        <is>
          <t xml:space="preserve">Agreed Value</t>
        </is>
      </c>
      <c r="W133" s="30" t="inlineStr">
        <is>
          <t xml:space="preserve">$1,000</t>
        </is>
      </c>
      <c r="X133" s="32" t="inlineStr">
        <is>
          <t xml:space="preserve">$1,000,000 CSL</t>
        </is>
      </c>
      <c r="Y133" s="30"/>
      <c r="Z133" s="30"/>
      <c r="AA133" s="32" t="inlineStr">
        <is>
          <t xml:space="preserve">Surplus Lines</t>
        </is>
      </c>
      <c r="AB133" s="35">
        <v>9716.03</v>
      </c>
      <c r="AC133" s="37">
        <v>0</v>
      </c>
      <c r="AD133" s="38">
        <f>IF(ISNUMBER($AB133),$AB133*(1+N($AC133)),"")</f>
      </c>
      <c r="AE133" s="35">
        <v>350</v>
      </c>
      <c r="AF133" s="35">
        <v>0</v>
      </c>
      <c r="AG133" s="37"/>
      <c r="AH133" s="39">
        <f>IF(ISNUMBER($AD133),($AD133+$AE133+$AF133)*$AG133,"")</f>
      </c>
      <c r="AI133" s="35"/>
      <c r="AJ133" s="38">
        <f>IF(ISNUMBER($AD133),SUM($AD133:$AH133),"")</f>
      </c>
      <c r="AK133" s="40">
        <f>IF(AND(ISNUMBER($AB133),ISNUMBER($AD133)),IF($AB133&gt;0,$AD133/$AB133,""),"")</f>
      </c>
      <c r="AL133" s="32" t="inlineStr">
        <is>
          <t xml:space="preserve">At technical</t>
        </is>
      </c>
      <c r="AM133" s="41">
        <f>IF(ISNUMBER($AD133),Header!$I$3,"")</f>
      </c>
      <c r="AN133" s="39">
        <f>IF(ISNUMBER($AD133),$AO133+$AP133,"")</f>
      </c>
      <c r="AO133" s="39">
        <f>IF(ISNUMBER($AD133),ROUND($AD133*Header!$K$3,2),"")</f>
      </c>
      <c r="AP133" s="39">
        <f>IF(ISNUMBER($AD133),ROUND($AD133*Header!$M$3,2),"")</f>
      </c>
      <c r="AQ133" s="38">
        <f>IF(ISNUMBER($AD133),ROUND($AD133,2)-$AO133-$AP133,"")</f>
      </c>
      <c r="AR133" s="39">
        <f>IF(ISNUMBER($AD133),IF(Header!$D$34="","?",$AD133*Header!$D$34),"")</f>
      </c>
      <c r="AS133" s="39">
        <f>IF(ISNUMBER($AB133),IF(Header!$D$34="","?",$AB133*Header!$D$34),"")</f>
      </c>
      <c r="AT133" s="42">
        <f>IF(AND(ISNUMBER($AB133),$M133&gt;0),$AB133/$M133*100,"")</f>
      </c>
      <c r="AU133" s="42">
        <f>IF(AND(ISNUMBER($AD133),$M133&gt;0),$AD133/$M133*100,"")</f>
      </c>
      <c r="AV133" s="40">
        <f>IF(AND(ISNUMBER($AB133),ISNUMBER($AD133),ABS($AB133)&gt;0),$AD133/$AB133,"")</f>
      </c>
      <c r="AW133" s="39">
        <f>IF(ISNUMBER($AD133),MAX(0,(1-0.55-Header!$O$3)*Header!$Q$3*$AQ133),"")</f>
      </c>
      <c r="AX133" s="43">
        <f>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c>
      <c r="AY133" s="44">
        <f>IF($M133="","",IF(ISNUMBER($M133),IF($M133&gt;=Header!$C$18,"YES — refer","No"),""))</f>
      </c>
      <c r="AZ133" s="44">
        <f>IF($AD133="","",IF(ISNUMBER($AD133),IF($AD133&lt;Header!$C$20,"BELOW MIN PREMIUM","OK"),""))</f>
      </c>
      <c r="BA133" s="32" t="inlineStr">
        <is>
          <t xml:space="preserve">Yes</t>
        </is>
      </c>
      <c r="BB133" s="32" t="inlineStr">
        <is>
          <t xml:space="preserve">Yes</t>
        </is>
      </c>
      <c r="BC133" s="30" t="inlineStr">
        <is>
          <t xml:space="preserve">Synthetic demo data</t>
        </is>
      </c>
      <c r="BE133" s="45">
        <f>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c>
      <c r="BF133" s="45">
        <f>IF($AD133="","",IF(ROUND($AO133+$AP133+$AQ133-$AD133,2)=0,"OK","FAIL - out by "&amp;TEXT($AO133+$AP133+$AQ133-$AD133,"$0.00")))</f>
      </c>
    </row>
    <row r="134" spans="1:58" ht="18.75" customHeight="1" x14ac:dyDescent="0.25">
      <c r="A134" s="46" t="inlineStr">
        <is>
          <t xml:space="preserve">CANON-202606-008583</t>
        </is>
      </c>
      <c r="B134" s="46" t="inlineStr">
        <is>
          <t xml:space="preserve">Priya Kingsford</t>
        </is>
      </c>
      <c r="C134" s="47">
        <v>46188</v>
      </c>
      <c r="D134" s="48" t="inlineStr">
        <is>
          <t xml:space="preserve">Bound - within authority</t>
        </is>
      </c>
      <c r="E134" s="48" t="inlineStr">
        <is>
          <t xml:space="preserve">New business</t>
        </is>
      </c>
      <c r="F134" s="46" t="inlineStr">
        <is>
          <t xml:space="preserve">B1234EXOTIC26</t>
        </is>
      </c>
      <c r="G134" s="33">
        <f>IF($A134="","",IF($C134="","",YEAR($C134)))</f>
      </c>
      <c r="H134" s="49">
        <v>1959</v>
      </c>
      <c r="I134" s="46" t="inlineStr">
        <is>
          <t xml:space="preserve">Maserati</t>
        </is>
      </c>
      <c r="J134" s="46" t="inlineStr">
        <is>
          <t xml:space="preserve">GranTurismo</t>
        </is>
      </c>
      <c r="K134" s="46" t="inlineStr">
        <is>
          <t xml:space="preserve">XY3S9G171XN3D1P2K</t>
        </is>
      </c>
      <c r="L134" s="48" t="inlineStr">
        <is>
          <t xml:space="preserve">02 - Sports / GT</t>
        </is>
      </c>
      <c r="M134" s="50">
        <v>1005000</v>
      </c>
      <c r="N134" s="48" t="inlineStr">
        <is>
          <t xml:space="preserve">Personal</t>
        </is>
      </c>
      <c r="O134" s="46" t="inlineStr">
        <is>
          <t xml:space="preserve">Personal - regular use</t>
        </is>
      </c>
      <c r="P134" s="46" t="inlineStr">
        <is>
          <t xml:space="preserve">1,000 - 2,500</t>
        </is>
      </c>
      <c r="Q134" s="46" t="inlineStr">
        <is>
          <t xml:space="preserve">Texas</t>
        </is>
      </c>
      <c r="R134" s="46" t="inlineStr">
        <is>
          <t xml:space="preserve">75201</t>
        </is>
      </c>
      <c r="S134" s="48" t="inlineStr">
        <is>
          <t xml:space="preserve">Tier 2 - Coastal wind (1-25 miles)</t>
        </is>
      </c>
      <c r="T134" s="36">
        <f>IF($A134="","",IF($S134="","",IFERROR(INDEX('[1]natural catastrophe'!$D$6:$D$17,MATCH($S134,'[1]natural catastrophe'!$B$6:$B$17,0)),"?")))</f>
      </c>
      <c r="U134" s="46" t="inlineStr">
        <is>
          <t xml:space="preserve">2% of agreed value, minimum $10,000</t>
        </is>
      </c>
      <c r="V134" s="48" t="inlineStr">
        <is>
          <t xml:space="preserve">Agreed Value</t>
        </is>
      </c>
      <c r="W134" s="46" t="inlineStr">
        <is>
          <t xml:space="preserve">$1,000</t>
        </is>
      </c>
      <c r="X134" s="48" t="inlineStr">
        <is>
          <t xml:space="preserve">$1,000,000 CSL</t>
        </is>
      </c>
      <c r="Y134" s="46"/>
      <c r="Z134" s="46"/>
      <c r="AA134" s="48" t="inlineStr">
        <is>
          <t xml:space="preserve">Surplus Lines</t>
        </is>
      </c>
      <c r="AB134" s="50">
        <v>9172.73</v>
      </c>
      <c r="AC134" s="51">
        <v>0</v>
      </c>
      <c r="AD134" s="38">
        <f>IF(ISNUMBER($AB134),$AB134*(1+N($AC134)),"")</f>
      </c>
      <c r="AE134" s="50">
        <v>350</v>
      </c>
      <c r="AF134" s="50">
        <v>250</v>
      </c>
      <c r="AG134" s="51"/>
      <c r="AH134" s="39">
        <f>IF(ISNUMBER($AD134),($AD134+$AE134+$AF134)*$AG134,"")</f>
      </c>
      <c r="AI134" s="50"/>
      <c r="AJ134" s="38">
        <f>IF(ISNUMBER($AD134),SUM($AD134:$AH134),"")</f>
      </c>
      <c r="AK134" s="40">
        <f>IF(AND(ISNUMBER($AB134),ISNUMBER($AD134)),IF($AB134&gt;0,$AD134/$AB134,""),"")</f>
      </c>
      <c r="AL134" s="48" t="inlineStr">
        <is>
          <t xml:space="preserve">At technical</t>
        </is>
      </c>
      <c r="AM134" s="41">
        <f>IF(ISNUMBER($AD134),Header!$I$3,"")</f>
      </c>
      <c r="AN134" s="39">
        <f>IF(ISNUMBER($AD134),$AO134+$AP134,"")</f>
      </c>
      <c r="AO134" s="39">
        <f>IF(ISNUMBER($AD134),ROUND($AD134*Header!$K$3,2),"")</f>
      </c>
      <c r="AP134" s="39">
        <f>IF(ISNUMBER($AD134),ROUND($AD134*Header!$M$3,2),"")</f>
      </c>
      <c r="AQ134" s="38">
        <f>IF(ISNUMBER($AD134),ROUND($AD134,2)-$AO134-$AP134,"")</f>
      </c>
      <c r="AR134" s="39">
        <f>IF(ISNUMBER($AD134),IF(Header!$D$34="","?",$AD134*Header!$D$34),"")</f>
      </c>
      <c r="AS134" s="39">
        <f>IF(ISNUMBER($AB134),IF(Header!$D$34="","?",$AB134*Header!$D$34),"")</f>
      </c>
      <c r="AT134" s="42">
        <f>IF(AND(ISNUMBER($AB134),$M134&gt;0),$AB134/$M134*100,"")</f>
      </c>
      <c r="AU134" s="42">
        <f>IF(AND(ISNUMBER($AD134),$M134&gt;0),$AD134/$M134*100,"")</f>
      </c>
      <c r="AV134" s="40">
        <f>IF(AND(ISNUMBER($AB134),ISNUMBER($AD134),ABS($AB134)&gt;0),$AD134/$AB134,"")</f>
      </c>
      <c r="AW134" s="39">
        <f>IF(ISNUMBER($AD134),MAX(0,(1-0.55-Header!$O$3)*Header!$Q$3*$AQ134),"")</f>
      </c>
      <c r="AX134" s="43">
        <f>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c>
      <c r="AY134" s="44">
        <f>IF($M134="","",IF(ISNUMBER($M134),IF($M134&gt;=Header!$C$18,"YES — refer","No"),""))</f>
      </c>
      <c r="AZ134" s="44">
        <f>IF($AD134="","",IF(ISNUMBER($AD134),IF($AD134&lt;Header!$C$20,"BELOW MIN PREMIUM","OK"),""))</f>
      </c>
      <c r="BA134" s="48" t="inlineStr">
        <is>
          <t xml:space="preserve">Yes</t>
        </is>
      </c>
      <c r="BB134" s="48" t="inlineStr">
        <is>
          <t xml:space="preserve">Yes</t>
        </is>
      </c>
      <c r="BC134" s="46" t="inlineStr">
        <is>
          <t xml:space="preserve">Synthetic demo data</t>
        </is>
      </c>
      <c r="BE134" s="45">
        <f>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c>
      <c r="BF134" s="45">
        <f>IF($AD134="","",IF(ROUND($AO134+$AP134+$AQ134-$AD134,2)=0,"OK","FAIL - out by "&amp;TEXT($AO134+$AP134+$AQ134-$AD134,"$0.00")))</f>
      </c>
    </row>
    <row r="135" spans="1:58" ht="18.75" customHeight="1" x14ac:dyDescent="0.25">
      <c r="A135" s="30" t="inlineStr">
        <is>
          <t xml:space="preserve">CANON-202606-008584</t>
        </is>
      </c>
      <c r="B135" s="30" t="inlineStr">
        <is>
          <t xml:space="preserve">Priya Vasquez</t>
        </is>
      </c>
      <c r="C135" s="31">
        <v>46189</v>
      </c>
      <c r="D135" s="32" t="inlineStr">
        <is>
          <t xml:space="preserve">Bound - within authority</t>
        </is>
      </c>
      <c r="E135" s="32" t="inlineStr">
        <is>
          <t xml:space="preserve">New business</t>
        </is>
      </c>
      <c r="F135" s="30" t="inlineStr">
        <is>
          <t xml:space="preserve">B1234EXOTIC26</t>
        </is>
      </c>
      <c r="G135" s="33">
        <f>IF($A135="","",IF($C135="","",YEAR($C135)))</f>
      </c>
      <c r="H135" s="34">
        <v>1979</v>
      </c>
      <c r="I135" s="30" t="inlineStr">
        <is>
          <t xml:space="preserve">Aston Martin</t>
        </is>
      </c>
      <c r="J135" s="30" t="inlineStr">
        <is>
          <t xml:space="preserve">DB12</t>
        </is>
      </c>
      <c r="K135" s="30" t="inlineStr">
        <is>
          <t xml:space="preserve">LUCFRSNF3X86CC0KF</t>
        </is>
      </c>
      <c r="L135" s="32" t="inlineStr">
        <is>
          <t xml:space="preserve">02 - Sports / GT</t>
        </is>
      </c>
      <c r="M135" s="35">
        <v>1025000</v>
      </c>
      <c r="N135" s="32" t="inlineStr">
        <is>
          <t xml:space="preserve">Personal</t>
        </is>
      </c>
      <c r="O135" s="30" t="inlineStr">
        <is>
          <t xml:space="preserve">Personal - regular use</t>
        </is>
      </c>
      <c r="P135" s="30" t="inlineStr">
        <is>
          <t xml:space="preserve">Under 1,000</t>
        </is>
      </c>
      <c r="Q135" s="30" t="inlineStr">
        <is>
          <t xml:space="preserve">Vermont</t>
        </is>
      </c>
      <c r="R135" s="30" t="inlineStr">
        <is>
          <t xml:space="preserve">05601</t>
        </is>
      </c>
      <c r="S135" s="32" t="inlineStr">
        <is>
          <t xml:space="preserve">Low hazard - inland benign</t>
        </is>
      </c>
      <c r="T135" s="36">
        <f>IF($A135="","",IF($S135="","",IFERROR(INDEX('[1]natural catastrophe'!$D$6:$D$17,MATCH($S135,'[1]natural catastrophe'!$B$6:$B$17,0)),"?")))</f>
      </c>
      <c r="U135" s="30" t="inlineStr">
        <is>
          <t xml:space="preserve">$5,000</t>
        </is>
      </c>
      <c r="V135" s="32" t="inlineStr">
        <is>
          <t xml:space="preserve">Agreed Value</t>
        </is>
      </c>
      <c r="W135" s="30" t="inlineStr">
        <is>
          <t xml:space="preserve">$1,000</t>
        </is>
      </c>
      <c r="X135" s="32" t="inlineStr">
        <is>
          <t xml:space="preserve">$1,000,000 CSL</t>
        </is>
      </c>
      <c r="Y135" s="30"/>
      <c r="Z135" s="30"/>
      <c r="AA135" s="32" t="inlineStr">
        <is>
          <t xml:space="preserve">Surplus Lines</t>
        </is>
      </c>
      <c r="AB135" s="35">
        <v>9924.73</v>
      </c>
      <c r="AC135" s="37">
        <v>0</v>
      </c>
      <c r="AD135" s="38">
        <f>IF(ISNUMBER($AB135),$AB135*(1+N($AC135)),"")</f>
      </c>
      <c r="AE135" s="35">
        <v>350</v>
      </c>
      <c r="AF135" s="35">
        <v>250</v>
      </c>
      <c r="AG135" s="37"/>
      <c r="AH135" s="39">
        <f>IF(ISNUMBER($AD135),($AD135+$AE135+$AF135)*$AG135,"")</f>
      </c>
      <c r="AI135" s="35"/>
      <c r="AJ135" s="38">
        <f>IF(ISNUMBER($AD135),SUM($AD135:$AH135),"")</f>
      </c>
      <c r="AK135" s="40">
        <f>IF(AND(ISNUMBER($AB135),ISNUMBER($AD135)),IF($AB135&gt;0,$AD135/$AB135,""),"")</f>
      </c>
      <c r="AL135" s="32" t="inlineStr">
        <is>
          <t xml:space="preserve">At technical</t>
        </is>
      </c>
      <c r="AM135" s="41">
        <f>IF(ISNUMBER($AD135),Header!$I$3,"")</f>
      </c>
      <c r="AN135" s="39">
        <f>IF(ISNUMBER($AD135),$AO135+$AP135,"")</f>
      </c>
      <c r="AO135" s="39">
        <f>IF(ISNUMBER($AD135),ROUND($AD135*Header!$K$3,2),"")</f>
      </c>
      <c r="AP135" s="39">
        <f>IF(ISNUMBER($AD135),ROUND($AD135*Header!$M$3,2),"")</f>
      </c>
      <c r="AQ135" s="38">
        <f>IF(ISNUMBER($AD135),ROUND($AD135,2)-$AO135-$AP135,"")</f>
      </c>
      <c r="AR135" s="39">
        <f>IF(ISNUMBER($AD135),IF(Header!$D$34="","?",$AD135*Header!$D$34),"")</f>
      </c>
      <c r="AS135" s="39">
        <f>IF(ISNUMBER($AB135),IF(Header!$D$34="","?",$AB135*Header!$D$34),"")</f>
      </c>
      <c r="AT135" s="42">
        <f>IF(AND(ISNUMBER($AB135),$M135&gt;0),$AB135/$M135*100,"")</f>
      </c>
      <c r="AU135" s="42">
        <f>IF(AND(ISNUMBER($AD135),$M135&gt;0),$AD135/$M135*100,"")</f>
      </c>
      <c r="AV135" s="40">
        <f>IF(AND(ISNUMBER($AB135),ISNUMBER($AD135),ABS($AB135)&gt;0),$AD135/$AB135,"")</f>
      </c>
      <c r="AW135" s="39">
        <f>IF(ISNUMBER($AD135),MAX(0,(1-0.55-Header!$O$3)*Header!$Q$3*$AQ135),"")</f>
      </c>
      <c r="AX135" s="43">
        <f>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c>
      <c r="AY135" s="44">
        <f>IF($M135="","",IF(ISNUMBER($M135),IF($M135&gt;=Header!$C$18,"YES — refer","No"),""))</f>
      </c>
      <c r="AZ135" s="44">
        <f>IF($AD135="","",IF(ISNUMBER($AD135),IF($AD135&lt;Header!$C$20,"BELOW MIN PREMIUM","OK"),""))</f>
      </c>
      <c r="BA135" s="32" t="inlineStr">
        <is>
          <t xml:space="preserve">Yes</t>
        </is>
      </c>
      <c r="BB135" s="32" t="inlineStr">
        <is>
          <t xml:space="preserve">Yes</t>
        </is>
      </c>
      <c r="BC135" s="30" t="inlineStr">
        <is>
          <t xml:space="preserve">Synthetic demo data</t>
        </is>
      </c>
      <c r="BE135" s="45">
        <f>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c>
      <c r="BF135" s="45">
        <f>IF($AD135="","",IF(ROUND($AO135+$AP135+$AQ135-$AD135,2)=0,"OK","FAIL - out by "&amp;TEXT($AO135+$AP135+$AQ135-$AD135,"$0.00")))</f>
      </c>
    </row>
    <row r="136" spans="1:58" ht="18.75" customHeight="1" x14ac:dyDescent="0.25">
      <c r="A136" s="46" t="inlineStr">
        <is>
          <t xml:space="preserve">CANON-202606-008585</t>
        </is>
      </c>
      <c r="B136" s="46" t="inlineStr">
        <is>
          <t xml:space="preserve">Horace Montoya</t>
        </is>
      </c>
      <c r="C136" s="47">
        <v>46201</v>
      </c>
      <c r="D136" s="48" t="inlineStr">
        <is>
          <t xml:space="preserve">Bound - within authority</t>
        </is>
      </c>
      <c r="E136" s="48" t="inlineStr">
        <is>
          <t xml:space="preserve">New business</t>
        </is>
      </c>
      <c r="F136" s="46" t="inlineStr">
        <is>
          <t xml:space="preserve">B1234EXOTIC26</t>
        </is>
      </c>
      <c r="G136" s="33">
        <f>IF($A136="","",IF($C136="","",YEAR($C136)))</f>
      </c>
      <c r="H136" s="49">
        <v>1957</v>
      </c>
      <c r="I136" s="46" t="inlineStr">
        <is>
          <t xml:space="preserve">Ferrari</t>
        </is>
      </c>
      <c r="J136" s="46" t="inlineStr">
        <is>
          <t xml:space="preserve">275 GTB/4</t>
        </is>
      </c>
      <c r="K136" s="46" t="inlineStr">
        <is>
          <t xml:space="preserve">7VDNVVXXXVB6TPRA9</t>
        </is>
      </c>
      <c r="L136" s="48" t="inlineStr">
        <is>
          <t xml:space="preserve">07 - Post-War Classic (1946-1972)</t>
        </is>
      </c>
      <c r="M136" s="50">
        <v>250000</v>
      </c>
      <c r="N136" s="48" t="inlineStr">
        <is>
          <t xml:space="preserve">Personal</t>
        </is>
      </c>
      <c r="O136" s="46" t="inlineStr">
        <is>
          <t xml:space="preserve">Personal - regular use</t>
        </is>
      </c>
      <c r="P136" s="46" t="inlineStr">
        <is>
          <t xml:space="preserve">1,000 - 2,500</t>
        </is>
      </c>
      <c r="Q136" s="46" t="inlineStr">
        <is>
          <t xml:space="preserve">Minnesota</t>
        </is>
      </c>
      <c r="R136" s="46" t="inlineStr">
        <is>
          <t xml:space="preserve">55401</t>
        </is>
      </c>
      <c r="S136" s="48" t="inlineStr">
        <is>
          <t xml:space="preserve">Severe convective - hail / tornado (moderate)</t>
        </is>
      </c>
      <c r="T136" s="36">
        <f>IF($A136="","",IF($S136="","",IFERROR(INDEX('[1]natural catastrophe'!$D$6:$D$17,MATCH($S136,'[1]natural catastrophe'!$B$6:$B$17,0)),"?")))</f>
      </c>
      <c r="U136" s="46" t="inlineStr">
        <is>
          <t xml:space="preserve">$5,000</t>
        </is>
      </c>
      <c r="V136" s="48" t="inlineStr">
        <is>
          <t xml:space="preserve">Agreed Value</t>
        </is>
      </c>
      <c r="W136" s="46" t="inlineStr">
        <is>
          <t xml:space="preserve">$1,000</t>
        </is>
      </c>
      <c r="X136" s="48" t="inlineStr">
        <is>
          <t xml:space="preserve">$1,000,000 CSL</t>
        </is>
      </c>
      <c r="Y136" s="46"/>
      <c r="Z136" s="46"/>
      <c r="AA136" s="48" t="inlineStr">
        <is>
          <t xml:space="preserve">Surplus Lines</t>
        </is>
      </c>
      <c r="AB136" s="50">
        <v>2285.74</v>
      </c>
      <c r="AC136" s="51">
        <v>0</v>
      </c>
      <c r="AD136" s="38">
        <f>IF(ISNUMBER($AB136),$AB136*(1+N($AC136)),"")</f>
      </c>
      <c r="AE136" s="50">
        <v>350</v>
      </c>
      <c r="AF136" s="50">
        <v>0</v>
      </c>
      <c r="AG136" s="51"/>
      <c r="AH136" s="39">
        <f>IF(ISNUMBER($AD136),($AD136+$AE136+$AF136)*$AG136,"")</f>
      </c>
      <c r="AI136" s="50"/>
      <c r="AJ136" s="38">
        <f>IF(ISNUMBER($AD136),SUM($AD136:$AH136),"")</f>
      </c>
      <c r="AK136" s="40">
        <f>IF(AND(ISNUMBER($AB136),ISNUMBER($AD136)),IF($AB136&gt;0,$AD136/$AB136,""),"")</f>
      </c>
      <c r="AL136" s="48" t="inlineStr">
        <is>
          <t xml:space="preserve">At technical</t>
        </is>
      </c>
      <c r="AM136" s="41">
        <f>IF(ISNUMBER($AD136),Header!$I$3,"")</f>
      </c>
      <c r="AN136" s="39">
        <f>IF(ISNUMBER($AD136),$AO136+$AP136,"")</f>
      </c>
      <c r="AO136" s="39">
        <f>IF(ISNUMBER($AD136),ROUND($AD136*Header!$K$3,2),"")</f>
      </c>
      <c r="AP136" s="39">
        <f>IF(ISNUMBER($AD136),ROUND($AD136*Header!$M$3,2),"")</f>
      </c>
      <c r="AQ136" s="38">
        <f>IF(ISNUMBER($AD136),ROUND($AD136,2)-$AO136-$AP136,"")</f>
      </c>
      <c r="AR136" s="39">
        <f>IF(ISNUMBER($AD136),IF(Header!$D$34="","?",$AD136*Header!$D$34),"")</f>
      </c>
      <c r="AS136" s="39">
        <f>IF(ISNUMBER($AB136),IF(Header!$D$34="","?",$AB136*Header!$D$34),"")</f>
      </c>
      <c r="AT136" s="42">
        <f>IF(AND(ISNUMBER($AB136),$M136&gt;0),$AB136/$M136*100,"")</f>
      </c>
      <c r="AU136" s="42">
        <f>IF(AND(ISNUMBER($AD136),$M136&gt;0),$AD136/$M136*100,"")</f>
      </c>
      <c r="AV136" s="40">
        <f>IF(AND(ISNUMBER($AB136),ISNUMBER($AD136),ABS($AB136)&gt;0),$AD136/$AB136,"")</f>
      </c>
      <c r="AW136" s="39">
        <f>IF(ISNUMBER($AD136),MAX(0,(1-0.55-Header!$O$3)*Header!$Q$3*$AQ136),"")</f>
      </c>
      <c r="AX136" s="43">
        <f>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c>
      <c r="AY136" s="44">
        <f>IF($M136="","",IF(ISNUMBER($M136),IF($M136&gt;=Header!$C$18,"YES — refer","No"),""))</f>
      </c>
      <c r="AZ136" s="44">
        <f>IF($AD136="","",IF(ISNUMBER($AD136),IF($AD136&lt;Header!$C$20,"BELOW MIN PREMIUM","OK"),""))</f>
      </c>
      <c r="BA136" s="48" t="inlineStr">
        <is>
          <t xml:space="preserve">Yes</t>
        </is>
      </c>
      <c r="BB136" s="48" t="inlineStr">
        <is>
          <t xml:space="preserve">Yes</t>
        </is>
      </c>
      <c r="BC136" s="46" t="inlineStr">
        <is>
          <t xml:space="preserve">Synthetic demo data</t>
        </is>
      </c>
      <c r="BE136" s="45">
        <f>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c>
      <c r="BF136" s="45">
        <f>IF($AD136="","",IF(ROUND($AO136+$AP136+$AQ136-$AD136,2)=0,"OK","FAIL - out by "&amp;TEXT($AO136+$AP136+$AQ136-$AD136,"$0.00")))</f>
      </c>
    </row>
    <row r="137" spans="1:58" ht="18.75" customHeight="1" x14ac:dyDescent="0.25">
      <c r="A137" s="30" t="inlineStr">
        <is>
          <t xml:space="preserve">CANON-202606-008587</t>
        </is>
      </c>
      <c r="B137" s="30" t="inlineStr">
        <is>
          <t xml:space="preserve">Delphine Underwood</t>
        </is>
      </c>
      <c r="C137" s="31">
        <v>46199</v>
      </c>
      <c r="D137" s="32" t="inlineStr">
        <is>
          <t xml:space="preserve">Bound - within authority</t>
        </is>
      </c>
      <c r="E137" s="32" t="inlineStr">
        <is>
          <t xml:space="preserve">New business</t>
        </is>
      </c>
      <c r="F137" s="30" t="inlineStr">
        <is>
          <t xml:space="preserve">B1234EXOTIC26</t>
        </is>
      </c>
      <c r="G137" s="33">
        <f>IF($A137="","",IF($C137="","",YEAR($C137)))</f>
      </c>
      <c r="H137" s="34">
        <v>1971</v>
      </c>
      <c r="I137" s="30" t="inlineStr">
        <is>
          <t xml:space="preserve">Porsche</t>
        </is>
      </c>
      <c r="J137" s="30" t="inlineStr">
        <is>
          <t xml:space="preserve">911 Turbo S</t>
        </is>
      </c>
      <c r="K137" s="30" t="inlineStr">
        <is>
          <t xml:space="preserve">C4ZK792E8FZ108N2C</t>
        </is>
      </c>
      <c r="L137" s="32" t="inlineStr">
        <is>
          <t xml:space="preserve">02 - Sports / GT</t>
        </is>
      </c>
      <c r="M137" s="35">
        <v>730000</v>
      </c>
      <c r="N137" s="32" t="inlineStr">
        <is>
          <t xml:space="preserve">Personal</t>
        </is>
      </c>
      <c r="O137" s="30" t="inlineStr">
        <is>
          <t xml:space="preserve">Personal - regular use</t>
        </is>
      </c>
      <c r="P137" s="30" t="inlineStr">
        <is>
          <t xml:space="preserve">1,000 - 2,500</t>
        </is>
      </c>
      <c r="Q137" s="30" t="inlineStr">
        <is>
          <t xml:space="preserve">New Hampshire</t>
        </is>
      </c>
      <c r="R137" s="30" t="inlineStr">
        <is>
          <t xml:space="preserve">03301</t>
        </is>
      </c>
      <c r="S137" s="32" t="inlineStr">
        <is>
          <t xml:space="preserve">Tier 3 - Coastal wind (25-100 miles)</t>
        </is>
      </c>
      <c r="T137" s="36">
        <f>IF($A137="","",IF($S137="","",IFERROR(INDEX('[1]natural catastrophe'!$D$6:$D$17,MATCH($S137,'[1]natural catastrophe'!$B$6:$B$17,0)),"?")))</f>
      </c>
      <c r="U137" s="30" t="inlineStr">
        <is>
          <t xml:space="preserve">2% of agreed value, minimum $10,000</t>
        </is>
      </c>
      <c r="V137" s="32" t="inlineStr">
        <is>
          <t xml:space="preserve">Agreed Value</t>
        </is>
      </c>
      <c r="W137" s="30" t="inlineStr">
        <is>
          <t xml:space="preserve">$1,000</t>
        </is>
      </c>
      <c r="X137" s="32" t="inlineStr">
        <is>
          <t xml:space="preserve">$1,000,000 CSL</t>
        </is>
      </c>
      <c r="Y137" s="30"/>
      <c r="Z137" s="30"/>
      <c r="AA137" s="32" t="inlineStr">
        <is>
          <t xml:space="preserve">Surplus Lines</t>
        </is>
      </c>
      <c r="AB137" s="35">
        <v>7121.01</v>
      </c>
      <c r="AC137" s="37">
        <v>0</v>
      </c>
      <c r="AD137" s="38">
        <f>IF(ISNUMBER($AB137),$AB137*(1+N($AC137)),"")</f>
      </c>
      <c r="AE137" s="35">
        <v>350</v>
      </c>
      <c r="AF137" s="35">
        <v>0</v>
      </c>
      <c r="AG137" s="37"/>
      <c r="AH137" s="39">
        <f>IF(ISNUMBER($AD137),($AD137+$AE137+$AF137)*$AG137,"")</f>
      </c>
      <c r="AI137" s="35"/>
      <c r="AJ137" s="38">
        <f>IF(ISNUMBER($AD137),SUM($AD137:$AH137),"")</f>
      </c>
      <c r="AK137" s="40">
        <f>IF(AND(ISNUMBER($AB137),ISNUMBER($AD137)),IF($AB137&gt;0,$AD137/$AB137,""),"")</f>
      </c>
      <c r="AL137" s="32" t="inlineStr">
        <is>
          <t xml:space="preserve">At technical</t>
        </is>
      </c>
      <c r="AM137" s="41">
        <f>IF(ISNUMBER($AD137),Header!$I$3,"")</f>
      </c>
      <c r="AN137" s="39">
        <f>IF(ISNUMBER($AD137),$AO137+$AP137,"")</f>
      </c>
      <c r="AO137" s="39">
        <f>IF(ISNUMBER($AD137),ROUND($AD137*Header!$K$3,2),"")</f>
      </c>
      <c r="AP137" s="39">
        <f>IF(ISNUMBER($AD137),ROUND($AD137*Header!$M$3,2),"")</f>
      </c>
      <c r="AQ137" s="38">
        <f>IF(ISNUMBER($AD137),ROUND($AD137,2)-$AO137-$AP137,"")</f>
      </c>
      <c r="AR137" s="39">
        <f>IF(ISNUMBER($AD137),IF(Header!$D$34="","?",$AD137*Header!$D$34),"")</f>
      </c>
      <c r="AS137" s="39">
        <f>IF(ISNUMBER($AB137),IF(Header!$D$34="","?",$AB137*Header!$D$34),"")</f>
      </c>
      <c r="AT137" s="42">
        <f>IF(AND(ISNUMBER($AB137),$M137&gt;0),$AB137/$M137*100,"")</f>
      </c>
      <c r="AU137" s="42">
        <f>IF(AND(ISNUMBER($AD137),$M137&gt;0),$AD137/$M137*100,"")</f>
      </c>
      <c r="AV137" s="40">
        <f>IF(AND(ISNUMBER($AB137),ISNUMBER($AD137),ABS($AB137)&gt;0),$AD137/$AB137,"")</f>
      </c>
      <c r="AW137" s="39">
        <f>IF(ISNUMBER($AD137),MAX(0,(1-0.55-Header!$O$3)*Header!$Q$3*$AQ137),"")</f>
      </c>
      <c r="AX137" s="43">
        <f>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c>
      <c r="AY137" s="44">
        <f>IF($M137="","",IF(ISNUMBER($M137),IF($M137&gt;=Header!$C$18,"YES — refer","No"),""))</f>
      </c>
      <c r="AZ137" s="44">
        <f>IF($AD137="","",IF(ISNUMBER($AD137),IF($AD137&lt;Header!$C$20,"BELOW MIN PREMIUM","OK"),""))</f>
      </c>
      <c r="BA137" s="32" t="inlineStr">
        <is>
          <t xml:space="preserve">Yes</t>
        </is>
      </c>
      <c r="BB137" s="32" t="inlineStr">
        <is>
          <t xml:space="preserve">Yes</t>
        </is>
      </c>
      <c r="BC137" s="30" t="inlineStr">
        <is>
          <t xml:space="preserve">Synthetic demo data</t>
        </is>
      </c>
      <c r="BE137" s="45">
        <f>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c>
      <c r="BF137" s="45">
        <f>IF($AD137="","",IF(ROUND($AO137+$AP137+$AQ137-$AD137,2)=0,"OK","FAIL - out by "&amp;TEXT($AO137+$AP137+$AQ137-$AD137,"$0.00")))</f>
      </c>
    </row>
    <row r="138" spans="1:58" ht="18.75" customHeight="1" x14ac:dyDescent="0.25">
      <c r="A138" s="46" t="inlineStr">
        <is>
          <t xml:space="preserve">CANON-202606-008588</t>
        </is>
      </c>
      <c r="B138" s="46" t="inlineStr">
        <is>
          <t xml:space="preserve">Everett Larsson</t>
        </is>
      </c>
      <c r="C138" s="47">
        <v>46197</v>
      </c>
      <c r="D138" s="48" t="inlineStr">
        <is>
          <t xml:space="preserve">Bound - within authority</t>
        </is>
      </c>
      <c r="E138" s="48" t="inlineStr">
        <is>
          <t xml:space="preserve">New business</t>
        </is>
      </c>
      <c r="F138" s="46" t="inlineStr">
        <is>
          <t xml:space="preserve">B1234EXOTIC26</t>
        </is>
      </c>
      <c r="G138" s="33">
        <f>IF($A138="","",IF($C138="","",YEAR($C138)))</f>
      </c>
      <c r="H138" s="49">
        <v>1984</v>
      </c>
      <c r="I138" s="46" t="inlineStr">
        <is>
          <t xml:space="preserve">Aston Martin</t>
        </is>
      </c>
      <c r="J138" s="46" t="inlineStr">
        <is>
          <t xml:space="preserve">DB12</t>
        </is>
      </c>
      <c r="K138" s="46" t="inlineStr">
        <is>
          <t xml:space="preserve">ZYLA8MTSWUFTVTE2Y</t>
        </is>
      </c>
      <c r="L138" s="48" t="inlineStr">
        <is>
          <t xml:space="preserve">02 - Sports / GT</t>
        </is>
      </c>
      <c r="M138" s="50">
        <v>560000</v>
      </c>
      <c r="N138" s="48" t="inlineStr">
        <is>
          <t xml:space="preserve">Personal</t>
        </is>
      </c>
      <c r="O138" s="46" t="inlineStr">
        <is>
          <t xml:space="preserve">Personal - regular use</t>
        </is>
      </c>
      <c r="P138" s="46" t="inlineStr">
        <is>
          <t xml:space="preserve">Under 1,000</t>
        </is>
      </c>
      <c r="Q138" s="46" t="inlineStr">
        <is>
          <t xml:space="preserve">Colorado</t>
        </is>
      </c>
      <c r="R138" s="46" t="inlineStr">
        <is>
          <t xml:space="preserve">80202</t>
        </is>
      </c>
      <c r="S138" s="48" t="inlineStr">
        <is>
          <t xml:space="preserve">Severe convective - hail alley (high)</t>
        </is>
      </c>
      <c r="T138" s="36">
        <f>IF($A138="","",IF($S138="","",IFERROR(INDEX('[1]natural catastrophe'!$D$6:$D$17,MATCH($S138,'[1]natural catastrophe'!$B$6:$B$17,0)),"?")))</f>
      </c>
      <c r="U138" s="46" t="inlineStr">
        <is>
          <t xml:space="preserve">$5,000</t>
        </is>
      </c>
      <c r="V138" s="48" t="inlineStr">
        <is>
          <t xml:space="preserve">Agreed Value</t>
        </is>
      </c>
      <c r="W138" s="46" t="inlineStr">
        <is>
          <t xml:space="preserve">$1,000</t>
        </is>
      </c>
      <c r="X138" s="48" t="inlineStr">
        <is>
          <t xml:space="preserve">$1,000,000 CSL</t>
        </is>
      </c>
      <c r="Y138" s="46"/>
      <c r="Z138" s="46"/>
      <c r="AA138" s="48" t="inlineStr">
        <is>
          <t xml:space="preserve">Surplus Lines</t>
        </is>
      </c>
      <c r="AB138" s="50">
        <v>5777.85</v>
      </c>
      <c r="AC138" s="51">
        <v>0</v>
      </c>
      <c r="AD138" s="38">
        <f>IF(ISNUMBER($AB138),$AB138*(1+N($AC138)),"")</f>
      </c>
      <c r="AE138" s="50">
        <v>350</v>
      </c>
      <c r="AF138" s="50">
        <v>0</v>
      </c>
      <c r="AG138" s="51"/>
      <c r="AH138" s="39">
        <f>IF(ISNUMBER($AD138),($AD138+$AE138+$AF138)*$AG138,"")</f>
      </c>
      <c r="AI138" s="50"/>
      <c r="AJ138" s="38">
        <f>IF(ISNUMBER($AD138),SUM($AD138:$AH138),"")</f>
      </c>
      <c r="AK138" s="40">
        <f>IF(AND(ISNUMBER($AB138),ISNUMBER($AD138)),IF($AB138&gt;0,$AD138/$AB138,""),"")</f>
      </c>
      <c r="AL138" s="48" t="inlineStr">
        <is>
          <t xml:space="preserve">At technical</t>
        </is>
      </c>
      <c r="AM138" s="41">
        <f>IF(ISNUMBER($AD138),Header!$I$3,"")</f>
      </c>
      <c r="AN138" s="39">
        <f>IF(ISNUMBER($AD138),$AO138+$AP138,"")</f>
      </c>
      <c r="AO138" s="39">
        <f>IF(ISNUMBER($AD138),ROUND($AD138*Header!$K$3,2),"")</f>
      </c>
      <c r="AP138" s="39">
        <f>IF(ISNUMBER($AD138),ROUND($AD138*Header!$M$3,2),"")</f>
      </c>
      <c r="AQ138" s="38">
        <f>IF(ISNUMBER($AD138),ROUND($AD138,2)-$AO138-$AP138,"")</f>
      </c>
      <c r="AR138" s="39">
        <f>IF(ISNUMBER($AD138),IF(Header!$D$34="","?",$AD138*Header!$D$34),"")</f>
      </c>
      <c r="AS138" s="39">
        <f>IF(ISNUMBER($AB138),IF(Header!$D$34="","?",$AB138*Header!$D$34),"")</f>
      </c>
      <c r="AT138" s="42">
        <f>IF(AND(ISNUMBER($AB138),$M138&gt;0),$AB138/$M138*100,"")</f>
      </c>
      <c r="AU138" s="42">
        <f>IF(AND(ISNUMBER($AD138),$M138&gt;0),$AD138/$M138*100,"")</f>
      </c>
      <c r="AV138" s="40">
        <f>IF(AND(ISNUMBER($AB138),ISNUMBER($AD138),ABS($AB138)&gt;0),$AD138/$AB138,"")</f>
      </c>
      <c r="AW138" s="39">
        <f>IF(ISNUMBER($AD138),MAX(0,(1-0.55-Header!$O$3)*Header!$Q$3*$AQ138),"")</f>
      </c>
      <c r="AX138" s="43">
        <f>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c>
      <c r="AY138" s="44">
        <f>IF($M138="","",IF(ISNUMBER($M138),IF($M138&gt;=Header!$C$18,"YES — refer","No"),""))</f>
      </c>
      <c r="AZ138" s="44">
        <f>IF($AD138="","",IF(ISNUMBER($AD138),IF($AD138&lt;Header!$C$20,"BELOW MIN PREMIUM","OK"),""))</f>
      </c>
      <c r="BA138" s="48" t="inlineStr">
        <is>
          <t xml:space="preserve">Yes</t>
        </is>
      </c>
      <c r="BB138" s="48" t="inlineStr">
        <is>
          <t xml:space="preserve">Yes</t>
        </is>
      </c>
      <c r="BC138" s="46" t="inlineStr">
        <is>
          <t xml:space="preserve">Synthetic demo data</t>
        </is>
      </c>
      <c r="BE138" s="45">
        <f>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c>
      <c r="BF138" s="45">
        <f>IF($AD138="","",IF(ROUND($AO138+$AP138+$AQ138-$AD138,2)=0,"OK","FAIL - out by "&amp;TEXT($AO138+$AP138+$AQ138-$AD138,"$0.00")))</f>
      </c>
    </row>
    <row r="139" spans="1:58" ht="18.75" customHeight="1" x14ac:dyDescent="0.25">
      <c r="A139" s="30" t="inlineStr">
        <is>
          <t xml:space="preserve">CANON-202606-008590</t>
        </is>
      </c>
      <c r="B139" s="30" t="inlineStr">
        <is>
          <t xml:space="preserve">Saoirse Fairweather</t>
        </is>
      </c>
      <c r="C139" s="31">
        <v>46197</v>
      </c>
      <c r="D139" s="32" t="inlineStr">
        <is>
          <t xml:space="preserve">Bound - within authority</t>
        </is>
      </c>
      <c r="E139" s="32" t="inlineStr">
        <is>
          <t xml:space="preserve">New business</t>
        </is>
      </c>
      <c r="F139" s="30" t="inlineStr">
        <is>
          <t xml:space="preserve">B1234EXOTIC26</t>
        </is>
      </c>
      <c r="G139" s="33">
        <f>IF($A139="","",IF($C139="","",YEAR($C139)))</f>
      </c>
      <c r="H139" s="34">
        <v>1969</v>
      </c>
      <c r="I139" s="30" t="inlineStr">
        <is>
          <t xml:space="preserve">McLaren</t>
        </is>
      </c>
      <c r="J139" s="30" t="inlineStr">
        <is>
          <t xml:space="preserve">750S</t>
        </is>
      </c>
      <c r="K139" s="30" t="inlineStr">
        <is>
          <t xml:space="preserve">2XX3F5AN5APUA7P42</t>
        </is>
      </c>
      <c r="L139" s="32" t="inlineStr">
        <is>
          <t xml:space="preserve">03 - Supercar</t>
        </is>
      </c>
      <c r="M139" s="35">
        <v>1260000</v>
      </c>
      <c r="N139" s="32" t="inlineStr">
        <is>
          <t xml:space="preserve">Personal</t>
        </is>
      </c>
      <c r="O139" s="30" t="inlineStr">
        <is>
          <t xml:space="preserve">Personal - regular use</t>
        </is>
      </c>
      <c r="P139" s="30" t="inlineStr">
        <is>
          <t xml:space="preserve">2,500 - 5,000</t>
        </is>
      </c>
      <c r="Q139" s="30" t="inlineStr">
        <is>
          <t xml:space="preserve">Missouri</t>
        </is>
      </c>
      <c r="R139" s="30" t="inlineStr">
        <is>
          <t xml:space="preserve">63101</t>
        </is>
      </c>
      <c r="S139" s="32" t="inlineStr">
        <is>
          <t xml:space="preserve">Severe convective - hail / tornado (moderate)</t>
        </is>
      </c>
      <c r="T139" s="36">
        <f>IF($A139="","",IF($S139="","",IFERROR(INDEX('[1]natural catastrophe'!$D$6:$D$17,MATCH($S139,'[1]natural catastrophe'!$B$6:$B$17,0)),"?")))</f>
      </c>
      <c r="U139" s="30" t="inlineStr">
        <is>
          <t xml:space="preserve">$5,000</t>
        </is>
      </c>
      <c r="V139" s="32" t="inlineStr">
        <is>
          <t xml:space="preserve">Agreed Value</t>
        </is>
      </c>
      <c r="W139" s="30" t="inlineStr">
        <is>
          <t xml:space="preserve">$1,000</t>
        </is>
      </c>
      <c r="X139" s="32" t="inlineStr">
        <is>
          <t xml:space="preserve">$1,000,000 CSL</t>
        </is>
      </c>
      <c r="Y139" s="30"/>
      <c r="Z139" s="30"/>
      <c r="AA139" s="32" t="inlineStr">
        <is>
          <t xml:space="preserve">Surplus Lines</t>
        </is>
      </c>
      <c r="AB139" s="35">
        <v>15418.37</v>
      </c>
      <c r="AC139" s="37">
        <v>0</v>
      </c>
      <c r="AD139" s="38">
        <f>IF(ISNUMBER($AB139),$AB139*(1+N($AC139)),"")</f>
      </c>
      <c r="AE139" s="35">
        <v>350</v>
      </c>
      <c r="AF139" s="35">
        <v>250</v>
      </c>
      <c r="AG139" s="37"/>
      <c r="AH139" s="39">
        <f>IF(ISNUMBER($AD139),($AD139+$AE139+$AF139)*$AG139,"")</f>
      </c>
      <c r="AI139" s="35"/>
      <c r="AJ139" s="38">
        <f>IF(ISNUMBER($AD139),SUM($AD139:$AH139),"")</f>
      </c>
      <c r="AK139" s="40">
        <f>IF(AND(ISNUMBER($AB139),ISNUMBER($AD139)),IF($AB139&gt;0,$AD139/$AB139,""),"")</f>
      </c>
      <c r="AL139" s="32" t="inlineStr">
        <is>
          <t xml:space="preserve">At technical</t>
        </is>
      </c>
      <c r="AM139" s="41">
        <f>IF(ISNUMBER($AD139),Header!$I$3,"")</f>
      </c>
      <c r="AN139" s="39">
        <f>IF(ISNUMBER($AD139),$AO139+$AP139,"")</f>
      </c>
      <c r="AO139" s="39">
        <f>IF(ISNUMBER($AD139),ROUND($AD139*Header!$K$3,2),"")</f>
      </c>
      <c r="AP139" s="39">
        <f>IF(ISNUMBER($AD139),ROUND($AD139*Header!$M$3,2),"")</f>
      </c>
      <c r="AQ139" s="38">
        <f>IF(ISNUMBER($AD139),ROUND($AD139,2)-$AO139-$AP139,"")</f>
      </c>
      <c r="AR139" s="39">
        <f>IF(ISNUMBER($AD139),IF(Header!$D$34="","?",$AD139*Header!$D$34),"")</f>
      </c>
      <c r="AS139" s="39">
        <f>IF(ISNUMBER($AB139),IF(Header!$D$34="","?",$AB139*Header!$D$34),"")</f>
      </c>
      <c r="AT139" s="42">
        <f>IF(AND(ISNUMBER($AB139),$M139&gt;0),$AB139/$M139*100,"")</f>
      </c>
      <c r="AU139" s="42">
        <f>IF(AND(ISNUMBER($AD139),$M139&gt;0),$AD139/$M139*100,"")</f>
      </c>
      <c r="AV139" s="40">
        <f>IF(AND(ISNUMBER($AB139),ISNUMBER($AD139),ABS($AB139)&gt;0),$AD139/$AB139,"")</f>
      </c>
      <c r="AW139" s="39">
        <f>IF(ISNUMBER($AD139),MAX(0,(1-0.55-Header!$O$3)*Header!$Q$3*$AQ139),"")</f>
      </c>
      <c r="AX139" s="43">
        <f>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c>
      <c r="AY139" s="44">
        <f>IF($M139="","",IF(ISNUMBER($M139),IF($M139&gt;=Header!$C$18,"YES — refer","No"),""))</f>
      </c>
      <c r="AZ139" s="44">
        <f>IF($AD139="","",IF(ISNUMBER($AD139),IF($AD139&lt;Header!$C$20,"BELOW MIN PREMIUM","OK"),""))</f>
      </c>
      <c r="BA139" s="32" t="inlineStr">
        <is>
          <t xml:space="preserve">Yes</t>
        </is>
      </c>
      <c r="BB139" s="32" t="inlineStr">
        <is>
          <t xml:space="preserve">Yes</t>
        </is>
      </c>
      <c r="BC139" s="30" t="inlineStr">
        <is>
          <t xml:space="preserve">Synthetic demo data</t>
        </is>
      </c>
      <c r="BE139" s="45">
        <f>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c>
      <c r="BF139" s="45">
        <f>IF($AD139="","",IF(ROUND($AO139+$AP139+$AQ139-$AD139,2)=0,"OK","FAIL - out by "&amp;TEXT($AO139+$AP139+$AQ139-$AD139,"$0.00")))</f>
      </c>
    </row>
    <row r="140" spans="1:58" ht="18.75" customHeight="1" x14ac:dyDescent="0.25">
      <c r="A140" s="46" t="inlineStr">
        <is>
          <t xml:space="preserve">CANON-202606-008591</t>
        </is>
      </c>
      <c r="B140" s="46" t="inlineStr">
        <is>
          <t xml:space="preserve">Sunniva Rourke</t>
        </is>
      </c>
      <c r="C140" s="47">
        <v>46179</v>
      </c>
      <c r="D140" s="48" t="inlineStr">
        <is>
          <t xml:space="preserve">Bound - within authority</t>
        </is>
      </c>
      <c r="E140" s="48" t="inlineStr">
        <is>
          <t xml:space="preserve">New business</t>
        </is>
      </c>
      <c r="F140" s="46" t="inlineStr">
        <is>
          <t xml:space="preserve">B1234EXOTIC26</t>
        </is>
      </c>
      <c r="G140" s="33">
        <f>IF($A140="","",IF($C140="","",YEAR($C140)))</f>
      </c>
      <c r="H140" s="49">
        <v>1962</v>
      </c>
      <c r="I140" s="46" t="inlineStr">
        <is>
          <t xml:space="preserve">Bentley</t>
        </is>
      </c>
      <c r="J140" s="46" t="inlineStr">
        <is>
          <t xml:space="preserve">Continental GT</t>
        </is>
      </c>
      <c r="K140" s="46" t="inlineStr">
        <is>
          <t xml:space="preserve">PHYH6ZF0255CUXJWA</t>
        </is>
      </c>
      <c r="L140" s="48" t="inlineStr">
        <is>
          <t xml:space="preserve">02 - Sports / GT</t>
        </is>
      </c>
      <c r="M140" s="50">
        <v>550000</v>
      </c>
      <c r="N140" s="48" t="inlineStr">
        <is>
          <t xml:space="preserve">Personal</t>
        </is>
      </c>
      <c r="O140" s="46" t="inlineStr">
        <is>
          <t xml:space="preserve">Personal - regular use</t>
        </is>
      </c>
      <c r="P140" s="46" t="inlineStr">
        <is>
          <t xml:space="preserve">2,500 - 5,000</t>
        </is>
      </c>
      <c r="Q140" s="46" t="inlineStr">
        <is>
          <t xml:space="preserve">Florida</t>
        </is>
      </c>
      <c r="R140" s="46" t="inlineStr">
        <is>
          <t xml:space="preserve">33139</t>
        </is>
      </c>
      <c r="S140" s="48" t="inlineStr">
        <is>
          <t xml:space="preserve">Tier 2 - Coastal wind (1-25 miles)</t>
        </is>
      </c>
      <c r="T140" s="36">
        <f>IF($A140="","",IF($S140="","",IFERROR(INDEX('[1]natural catastrophe'!$D$6:$D$17,MATCH($S140,'[1]natural catastrophe'!$B$6:$B$17,0)),"?")))</f>
      </c>
      <c r="U140" s="46" t="inlineStr">
        <is>
          <t xml:space="preserve">2% of agreed value, minimum $10,000</t>
        </is>
      </c>
      <c r="V140" s="48" t="inlineStr">
        <is>
          <t xml:space="preserve">Agreed Value</t>
        </is>
      </c>
      <c r="W140" s="46" t="inlineStr">
        <is>
          <t xml:space="preserve">$1,000</t>
        </is>
      </c>
      <c r="X140" s="48" t="inlineStr">
        <is>
          <t xml:space="preserve">$1,000,000 CSL</t>
        </is>
      </c>
      <c r="Y140" s="46"/>
      <c r="Z140" s="46"/>
      <c r="AA140" s="48" t="inlineStr">
        <is>
          <t xml:space="preserve">Surplus Lines</t>
        </is>
      </c>
      <c r="AB140" s="50">
        <v>7325.48</v>
      </c>
      <c r="AC140" s="51">
        <v>0</v>
      </c>
      <c r="AD140" s="38">
        <f>IF(ISNUMBER($AB140),$AB140*(1+N($AC140)),"")</f>
      </c>
      <c r="AE140" s="50">
        <v>350</v>
      </c>
      <c r="AF140" s="50">
        <v>0</v>
      </c>
      <c r="AG140" s="51"/>
      <c r="AH140" s="39">
        <f>IF(ISNUMBER($AD140),($AD140+$AE140+$AF140)*$AG140,"")</f>
      </c>
      <c r="AI140" s="50"/>
      <c r="AJ140" s="38">
        <f>IF(ISNUMBER($AD140),SUM($AD140:$AH140),"")</f>
      </c>
      <c r="AK140" s="40">
        <f>IF(AND(ISNUMBER($AB140),ISNUMBER($AD140)),IF($AB140&gt;0,$AD140/$AB140,""),"")</f>
      </c>
      <c r="AL140" s="48" t="inlineStr">
        <is>
          <t xml:space="preserve">At technical</t>
        </is>
      </c>
      <c r="AM140" s="41">
        <f>IF(ISNUMBER($AD140),Header!$I$3,"")</f>
      </c>
      <c r="AN140" s="39">
        <f>IF(ISNUMBER($AD140),$AO140+$AP140,"")</f>
      </c>
      <c r="AO140" s="39">
        <f>IF(ISNUMBER($AD140),ROUND($AD140*Header!$K$3,2),"")</f>
      </c>
      <c r="AP140" s="39">
        <f>IF(ISNUMBER($AD140),ROUND($AD140*Header!$M$3,2),"")</f>
      </c>
      <c r="AQ140" s="38">
        <f>IF(ISNUMBER($AD140),ROUND($AD140,2)-$AO140-$AP140,"")</f>
      </c>
      <c r="AR140" s="39">
        <f>IF(ISNUMBER($AD140),IF(Header!$D$34="","?",$AD140*Header!$D$34),"")</f>
      </c>
      <c r="AS140" s="39">
        <f>IF(ISNUMBER($AB140),IF(Header!$D$34="","?",$AB140*Header!$D$34),"")</f>
      </c>
      <c r="AT140" s="42">
        <f>IF(AND(ISNUMBER($AB140),$M140&gt;0),$AB140/$M140*100,"")</f>
      </c>
      <c r="AU140" s="42">
        <f>IF(AND(ISNUMBER($AD140),$M140&gt;0),$AD140/$M140*100,"")</f>
      </c>
      <c r="AV140" s="40">
        <f>IF(AND(ISNUMBER($AB140),ISNUMBER($AD140),ABS($AB140)&gt;0),$AD140/$AB140,"")</f>
      </c>
      <c r="AW140" s="39">
        <f>IF(ISNUMBER($AD140),MAX(0,(1-0.55-Header!$O$3)*Header!$Q$3*$AQ140),"")</f>
      </c>
      <c r="AX140" s="43">
        <f>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c>
      <c r="AY140" s="44">
        <f>IF($M140="","",IF(ISNUMBER($M140),IF($M140&gt;=Header!$C$18,"YES — refer","No"),""))</f>
      </c>
      <c r="AZ140" s="44">
        <f>IF($AD140="","",IF(ISNUMBER($AD140),IF($AD140&lt;Header!$C$20,"BELOW MIN PREMIUM","OK"),""))</f>
      </c>
      <c r="BA140" s="48" t="inlineStr">
        <is>
          <t xml:space="preserve">Yes</t>
        </is>
      </c>
      <c r="BB140" s="48" t="inlineStr">
        <is>
          <t xml:space="preserve">Yes</t>
        </is>
      </c>
      <c r="BC140" s="46" t="inlineStr">
        <is>
          <t xml:space="preserve">Synthetic demo data</t>
        </is>
      </c>
      <c r="BE140" s="45">
        <f>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c>
      <c r="BF140" s="45">
        <f>IF($AD140="","",IF(ROUND($AO140+$AP140+$AQ140-$AD140,2)=0,"OK","FAIL - out by "&amp;TEXT($AO140+$AP140+$AQ140-$AD140,"$0.00")))</f>
      </c>
    </row>
    <row r="141" spans="1:58" ht="18.75" customHeight="1" x14ac:dyDescent="0.25">
      <c r="A141" s="30" t="inlineStr">
        <is>
          <t xml:space="preserve">CANON-202606-008593</t>
        </is>
      </c>
      <c r="B141" s="30" t="inlineStr">
        <is>
          <t xml:space="preserve">Saoirse Nakashima</t>
        </is>
      </c>
      <c r="C141" s="31">
        <v>46197</v>
      </c>
      <c r="D141" s="32" t="inlineStr">
        <is>
          <t xml:space="preserve">Bound - within authority</t>
        </is>
      </c>
      <c r="E141" s="32" t="inlineStr">
        <is>
          <t xml:space="preserve">New business</t>
        </is>
      </c>
      <c r="F141" s="30" t="inlineStr">
        <is>
          <t xml:space="preserve">B1234EXOTIC26</t>
        </is>
      </c>
      <c r="G141" s="33">
        <f>IF($A141="","",IF($C141="","",YEAR($C141)))</f>
      </c>
      <c r="H141" s="34">
        <v>2012</v>
      </c>
      <c r="I141" s="30" t="inlineStr">
        <is>
          <t xml:space="preserve">Mercedes-Benz</t>
        </is>
      </c>
      <c r="J141" s="30" t="inlineStr">
        <is>
          <t xml:space="preserve">AMG GT</t>
        </is>
      </c>
      <c r="K141" s="30" t="inlineStr">
        <is>
          <t xml:space="preserve">1V9EHT6UUJVTSTA0B</t>
        </is>
      </c>
      <c r="L141" s="32" t="inlineStr">
        <is>
          <t xml:space="preserve">02 - Sports / GT</t>
        </is>
      </c>
      <c r="M141" s="35">
        <v>1950000</v>
      </c>
      <c r="N141" s="32" t="inlineStr">
        <is>
          <t xml:space="preserve">Personal</t>
        </is>
      </c>
      <c r="O141" s="30" t="inlineStr">
        <is>
          <t xml:space="preserve">Personal - regular use</t>
        </is>
      </c>
      <c r="P141" s="30" t="inlineStr">
        <is>
          <t xml:space="preserve">2,500 - 5,000</t>
        </is>
      </c>
      <c r="Q141" s="30" t="inlineStr">
        <is>
          <t xml:space="preserve">Illinois</t>
        </is>
      </c>
      <c r="R141" s="30" t="inlineStr">
        <is>
          <t xml:space="preserve">60601</t>
        </is>
      </c>
      <c r="S141" s="32" t="inlineStr">
        <is>
          <t xml:space="preserve">Severe convective - hail / tornado (moderate)</t>
        </is>
      </c>
      <c r="T141" s="36">
        <f>IF($A141="","",IF($S141="","",IFERROR(INDEX('[1]natural catastrophe'!$D$6:$D$17,MATCH($S141,'[1]natural catastrophe'!$B$6:$B$17,0)),"?")))</f>
      </c>
      <c r="U141" s="30" t="inlineStr">
        <is>
          <t xml:space="preserve">$5,000</t>
        </is>
      </c>
      <c r="V141" s="32" t="inlineStr">
        <is>
          <t xml:space="preserve">Agreed Value</t>
        </is>
      </c>
      <c r="W141" s="30" t="inlineStr">
        <is>
          <t xml:space="preserve">$1,000</t>
        </is>
      </c>
      <c r="X141" s="32" t="inlineStr">
        <is>
          <t xml:space="preserve">$1,000,000 CSL</t>
        </is>
      </c>
      <c r="Y141" s="30"/>
      <c r="Z141" s="30"/>
      <c r="AA141" s="32" t="inlineStr">
        <is>
          <t xml:space="preserve">Surplus Lines</t>
        </is>
      </c>
      <c r="AB141" s="35">
        <v>21047.87</v>
      </c>
      <c r="AC141" s="37">
        <v>0</v>
      </c>
      <c r="AD141" s="38">
        <f>IF(ISNUMBER($AB141),$AB141*(1+N($AC141)),"")</f>
      </c>
      <c r="AE141" s="35">
        <v>350</v>
      </c>
      <c r="AF141" s="35">
        <v>250</v>
      </c>
      <c r="AG141" s="37"/>
      <c r="AH141" s="39">
        <f>IF(ISNUMBER($AD141),($AD141+$AE141+$AF141)*$AG141,"")</f>
      </c>
      <c r="AI141" s="35"/>
      <c r="AJ141" s="38">
        <f>IF(ISNUMBER($AD141),SUM($AD141:$AH141),"")</f>
      </c>
      <c r="AK141" s="40">
        <f>IF(AND(ISNUMBER($AB141),ISNUMBER($AD141)),IF($AB141&gt;0,$AD141/$AB141,""),"")</f>
      </c>
      <c r="AL141" s="32" t="inlineStr">
        <is>
          <t xml:space="preserve">At technical</t>
        </is>
      </c>
      <c r="AM141" s="41">
        <f>IF(ISNUMBER($AD141),Header!$I$3,"")</f>
      </c>
      <c r="AN141" s="39">
        <f>IF(ISNUMBER($AD141),$AO141+$AP141,"")</f>
      </c>
      <c r="AO141" s="39">
        <f>IF(ISNUMBER($AD141),ROUND($AD141*Header!$K$3,2),"")</f>
      </c>
      <c r="AP141" s="39">
        <f>IF(ISNUMBER($AD141),ROUND($AD141*Header!$M$3,2),"")</f>
      </c>
      <c r="AQ141" s="38">
        <f>IF(ISNUMBER($AD141),ROUND($AD141,2)-$AO141-$AP141,"")</f>
      </c>
      <c r="AR141" s="39">
        <f>IF(ISNUMBER($AD141),IF(Header!$D$34="","?",$AD141*Header!$D$34),"")</f>
      </c>
      <c r="AS141" s="39">
        <f>IF(ISNUMBER($AB141),IF(Header!$D$34="","?",$AB141*Header!$D$34),"")</f>
      </c>
      <c r="AT141" s="42">
        <f>IF(AND(ISNUMBER($AB141),$M141&gt;0),$AB141/$M141*100,"")</f>
      </c>
      <c r="AU141" s="42">
        <f>IF(AND(ISNUMBER($AD141),$M141&gt;0),$AD141/$M141*100,"")</f>
      </c>
      <c r="AV141" s="40">
        <f>IF(AND(ISNUMBER($AB141),ISNUMBER($AD141),ABS($AB141)&gt;0),$AD141/$AB141,"")</f>
      </c>
      <c r="AW141" s="39">
        <f>IF(ISNUMBER($AD141),MAX(0,(1-0.55-Header!$O$3)*Header!$Q$3*$AQ141),"")</f>
      </c>
      <c r="AX141" s="43">
        <f>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c>
      <c r="AY141" s="44">
        <f>IF($M141="","",IF(ISNUMBER($M141),IF($M141&gt;=Header!$C$18,"YES — refer","No"),""))</f>
      </c>
      <c r="AZ141" s="44">
        <f>IF($AD141="","",IF(ISNUMBER($AD141),IF($AD141&lt;Header!$C$20,"BELOW MIN PREMIUM","OK"),""))</f>
      </c>
      <c r="BA141" s="32" t="inlineStr">
        <is>
          <t xml:space="preserve">Yes</t>
        </is>
      </c>
      <c r="BB141" s="32" t="inlineStr">
        <is>
          <t xml:space="preserve">Yes</t>
        </is>
      </c>
      <c r="BC141" s="30" t="inlineStr">
        <is>
          <t xml:space="preserve">Synthetic demo data</t>
        </is>
      </c>
      <c r="BE141" s="45">
        <f>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c>
      <c r="BF141" s="45">
        <f>IF($AD141="","",IF(ROUND($AO141+$AP141+$AQ141-$AD141,2)=0,"OK","FAIL - out by "&amp;TEXT($AO141+$AP141+$AQ141-$AD141,"$0.00")))</f>
      </c>
    </row>
    <row r="142" spans="1:58" ht="18.75" customHeight="1" x14ac:dyDescent="0.25">
      <c r="A142" s="46" t="inlineStr">
        <is>
          <t xml:space="preserve">CANON-202606-008595</t>
        </is>
      </c>
      <c r="B142" s="46" t="inlineStr">
        <is>
          <t xml:space="preserve">Leopold Kingsford</t>
        </is>
      </c>
      <c r="C142" s="47">
        <v>46203</v>
      </c>
      <c r="D142" s="48" t="inlineStr">
        <is>
          <t xml:space="preserve">Bound - within authority</t>
        </is>
      </c>
      <c r="E142" s="48" t="inlineStr">
        <is>
          <t xml:space="preserve">New business</t>
        </is>
      </c>
      <c r="F142" s="46" t="inlineStr">
        <is>
          <t xml:space="preserve">B1234EXOTIC26</t>
        </is>
      </c>
      <c r="G142" s="33">
        <f>IF($A142="","",IF($C142="","",YEAR($C142)))</f>
      </c>
      <c r="H142" s="49">
        <v>2014</v>
      </c>
      <c r="I142" s="46" t="inlineStr">
        <is>
          <t xml:space="preserve">Ferrari</t>
        </is>
      </c>
      <c r="J142" s="46" t="inlineStr">
        <is>
          <t xml:space="preserve">275 GTB/4</t>
        </is>
      </c>
      <c r="K142" s="46" t="inlineStr">
        <is>
          <t xml:space="preserve">J2LRH4J3C9L4KHU0R</t>
        </is>
      </c>
      <c r="L142" s="48" t="inlineStr">
        <is>
          <t xml:space="preserve">02 - Sports / GT</t>
        </is>
      </c>
      <c r="M142" s="50">
        <v>440000</v>
      </c>
      <c r="N142" s="48" t="inlineStr">
        <is>
          <t xml:space="preserve">Personal</t>
        </is>
      </c>
      <c r="O142" s="46" t="inlineStr">
        <is>
          <t xml:space="preserve">Personal - regular use</t>
        </is>
      </c>
      <c r="P142" s="46" t="inlineStr">
        <is>
          <t xml:space="preserve">2,500 - 5,000</t>
        </is>
      </c>
      <c r="Q142" s="46" t="inlineStr">
        <is>
          <t xml:space="preserve">Virginia</t>
        </is>
      </c>
      <c r="R142" s="46" t="inlineStr">
        <is>
          <t xml:space="preserve">23219</t>
        </is>
      </c>
      <c r="S142" s="48" t="inlineStr">
        <is>
          <t xml:space="preserve">Tier 3 - Coastal wind (25-100 miles)</t>
        </is>
      </c>
      <c r="T142" s="36">
        <f>IF($A142="","",IF($S142="","",IFERROR(INDEX('[1]natural catastrophe'!$D$6:$D$17,MATCH($S142,'[1]natural catastrophe'!$B$6:$B$17,0)),"?")))</f>
      </c>
      <c r="U142" s="46" t="inlineStr">
        <is>
          <t xml:space="preserve">2% of agreed value, minimum $10,000</t>
        </is>
      </c>
      <c r="V142" s="48" t="inlineStr">
        <is>
          <t xml:space="preserve">Agreed Value</t>
        </is>
      </c>
      <c r="W142" s="46" t="inlineStr">
        <is>
          <t xml:space="preserve">$1,000</t>
        </is>
      </c>
      <c r="X142" s="48" t="inlineStr">
        <is>
          <t xml:space="preserve">$1,000,000 CSL</t>
        </is>
      </c>
      <c r="Y142" s="46"/>
      <c r="Z142" s="46"/>
      <c r="AA142" s="48" t="inlineStr">
        <is>
          <t xml:space="preserve">Surplus Lines</t>
        </is>
      </c>
      <c r="AB142" s="50">
        <v>3321.95</v>
      </c>
      <c r="AC142" s="51">
        <v>0</v>
      </c>
      <c r="AD142" s="38">
        <f>IF(ISNUMBER($AB142),$AB142*(1+N($AC142)),"")</f>
      </c>
      <c r="AE142" s="50">
        <v>350</v>
      </c>
      <c r="AF142" s="50">
        <v>0</v>
      </c>
      <c r="AG142" s="51"/>
      <c r="AH142" s="39">
        <f>IF(ISNUMBER($AD142),($AD142+$AE142+$AF142)*$AG142,"")</f>
      </c>
      <c r="AI142" s="50"/>
      <c r="AJ142" s="38">
        <f>IF(ISNUMBER($AD142),SUM($AD142:$AH142),"")</f>
      </c>
      <c r="AK142" s="40">
        <f>IF(AND(ISNUMBER($AB142),ISNUMBER($AD142)),IF($AB142&gt;0,$AD142/$AB142,""),"")</f>
      </c>
      <c r="AL142" s="48" t="inlineStr">
        <is>
          <t xml:space="preserve">At technical</t>
        </is>
      </c>
      <c r="AM142" s="41">
        <f>IF(ISNUMBER($AD142),Header!$I$3,"")</f>
      </c>
      <c r="AN142" s="39">
        <f>IF(ISNUMBER($AD142),$AO142+$AP142,"")</f>
      </c>
      <c r="AO142" s="39">
        <f>IF(ISNUMBER($AD142),ROUND($AD142*Header!$K$3,2),"")</f>
      </c>
      <c r="AP142" s="39">
        <f>IF(ISNUMBER($AD142),ROUND($AD142*Header!$M$3,2),"")</f>
      </c>
      <c r="AQ142" s="38">
        <f>IF(ISNUMBER($AD142),ROUND($AD142,2)-$AO142-$AP142,"")</f>
      </c>
      <c r="AR142" s="39">
        <f>IF(ISNUMBER($AD142),IF(Header!$D$34="","?",$AD142*Header!$D$34),"")</f>
      </c>
      <c r="AS142" s="39">
        <f>IF(ISNUMBER($AB142),IF(Header!$D$34="","?",$AB142*Header!$D$34),"")</f>
      </c>
      <c r="AT142" s="42">
        <f>IF(AND(ISNUMBER($AB142),$M142&gt;0),$AB142/$M142*100,"")</f>
      </c>
      <c r="AU142" s="42">
        <f>IF(AND(ISNUMBER($AD142),$M142&gt;0),$AD142/$M142*100,"")</f>
      </c>
      <c r="AV142" s="40">
        <f>IF(AND(ISNUMBER($AB142),ISNUMBER($AD142),ABS($AB142)&gt;0),$AD142/$AB142,"")</f>
      </c>
      <c r="AW142" s="39">
        <f>IF(ISNUMBER($AD142),MAX(0,(1-0.55-Header!$O$3)*Header!$Q$3*$AQ142),"")</f>
      </c>
      <c r="AX142" s="43">
        <f>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c>
      <c r="AY142" s="44">
        <f>IF($M142="","",IF(ISNUMBER($M142),IF($M142&gt;=Header!$C$18,"YES — refer","No"),""))</f>
      </c>
      <c r="AZ142" s="44">
        <f>IF($AD142="","",IF(ISNUMBER($AD142),IF($AD142&lt;Header!$C$20,"BELOW MIN PREMIUM","OK"),""))</f>
      </c>
      <c r="BA142" s="48" t="inlineStr">
        <is>
          <t xml:space="preserve">Yes</t>
        </is>
      </c>
      <c r="BB142" s="48" t="inlineStr">
        <is>
          <t xml:space="preserve">Yes</t>
        </is>
      </c>
      <c r="BC142" s="46" t="inlineStr">
        <is>
          <t xml:space="preserve">Synthetic demo data</t>
        </is>
      </c>
      <c r="BE142" s="45">
        <f>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c>
      <c r="BF142" s="45">
        <f>IF($AD142="","",IF(ROUND($AO142+$AP142+$AQ142-$AD142,2)=0,"OK","FAIL - out by "&amp;TEXT($AO142+$AP142+$AQ142-$AD142,"$0.00")))</f>
      </c>
    </row>
    <row r="143" spans="1:58" ht="18.75" customHeight="1" x14ac:dyDescent="0.25">
      <c r="A143" s="30" t="inlineStr">
        <is>
          <t xml:space="preserve">CANON-202606-008597</t>
        </is>
      </c>
      <c r="B143" s="30" t="inlineStr">
        <is>
          <t xml:space="preserve">Mireille Vasquez</t>
        </is>
      </c>
      <c r="C143" s="31">
        <v>46190</v>
      </c>
      <c r="D143" s="32" t="inlineStr">
        <is>
          <t xml:space="preserve">Bound - within authority</t>
        </is>
      </c>
      <c r="E143" s="32" t="inlineStr">
        <is>
          <t xml:space="preserve">New business</t>
        </is>
      </c>
      <c r="F143" s="30" t="inlineStr">
        <is>
          <t xml:space="preserve">B1234EXOTIC26</t>
        </is>
      </c>
      <c r="G143" s="33">
        <f>IF($A143="","",IF($C143="","",YEAR($C143)))</f>
      </c>
      <c r="H143" s="34">
        <v>1971</v>
      </c>
      <c r="I143" s="30" t="inlineStr">
        <is>
          <t xml:space="preserve">Bugatti</t>
        </is>
      </c>
      <c r="J143" s="30" t="inlineStr">
        <is>
          <t xml:space="preserve">Type 57</t>
        </is>
      </c>
      <c r="K143" s="30" t="inlineStr">
        <is>
          <t xml:space="preserve">A4RHURUJAKX1FUZ5R</t>
        </is>
      </c>
      <c r="L143" s="32" t="inlineStr">
        <is>
          <t xml:space="preserve">07 - Post-War Classic (1946-1972)</t>
        </is>
      </c>
      <c r="M143" s="35">
        <v>1060000</v>
      </c>
      <c r="N143" s="32" t="inlineStr">
        <is>
          <t xml:space="preserve">Personal</t>
        </is>
      </c>
      <c r="O143" s="30" t="inlineStr">
        <is>
          <t xml:space="preserve">Personal - regular use</t>
        </is>
      </c>
      <c r="P143" s="30" t="inlineStr">
        <is>
          <t xml:space="preserve">Under 1,000</t>
        </is>
      </c>
      <c r="Q143" s="30" t="inlineStr">
        <is>
          <t xml:space="preserve">Alaska</t>
        </is>
      </c>
      <c r="R143" s="30" t="inlineStr">
        <is>
          <t xml:space="preserve">99501</t>
        </is>
      </c>
      <c r="S143" s="32" t="inlineStr">
        <is>
          <t xml:space="preserve">Earthquake - high (CA, Cascadia, New Madrid)</t>
        </is>
      </c>
      <c r="T143" s="36">
        <f>IF($A143="","",IF($S143="","",IFERROR(INDEX('[1]natural catastrophe'!$D$6:$D$17,MATCH($S143,'[1]natural catastrophe'!$B$6:$B$17,0)),"?")))</f>
      </c>
      <c r="U143" s="30" t="inlineStr">
        <is>
          <t xml:space="preserve">$5,000</t>
        </is>
      </c>
      <c r="V143" s="32" t="inlineStr">
        <is>
          <t xml:space="preserve">Agreed Value</t>
        </is>
      </c>
      <c r="W143" s="30" t="inlineStr">
        <is>
          <t xml:space="preserve">$1,000</t>
        </is>
      </c>
      <c r="X143" s="32" t="inlineStr">
        <is>
          <t xml:space="preserve">$1,000,000 CSL</t>
        </is>
      </c>
      <c r="Y143" s="30"/>
      <c r="Z143" s="30"/>
      <c r="AA143" s="32" t="inlineStr">
        <is>
          <t xml:space="preserve">Surplus Lines</t>
        </is>
      </c>
      <c r="AB143" s="35">
        <v>5928.73</v>
      </c>
      <c r="AC143" s="37">
        <v>0</v>
      </c>
      <c r="AD143" s="38">
        <f>IF(ISNUMBER($AB143),$AB143*(1+N($AC143)),"")</f>
      </c>
      <c r="AE143" s="35">
        <v>350</v>
      </c>
      <c r="AF143" s="35">
        <v>250</v>
      </c>
      <c r="AG143" s="37"/>
      <c r="AH143" s="39">
        <f>IF(ISNUMBER($AD143),($AD143+$AE143+$AF143)*$AG143,"")</f>
      </c>
      <c r="AI143" s="35"/>
      <c r="AJ143" s="38">
        <f>IF(ISNUMBER($AD143),SUM($AD143:$AH143),"")</f>
      </c>
      <c r="AK143" s="40">
        <f>IF(AND(ISNUMBER($AB143),ISNUMBER($AD143)),IF($AB143&gt;0,$AD143/$AB143,""),"")</f>
      </c>
      <c r="AL143" s="32" t="inlineStr">
        <is>
          <t xml:space="preserve">At technical</t>
        </is>
      </c>
      <c r="AM143" s="41">
        <f>IF(ISNUMBER($AD143),Header!$I$3,"")</f>
      </c>
      <c r="AN143" s="39">
        <f>IF(ISNUMBER($AD143),$AO143+$AP143,"")</f>
      </c>
      <c r="AO143" s="39">
        <f>IF(ISNUMBER($AD143),ROUND($AD143*Header!$K$3,2),"")</f>
      </c>
      <c r="AP143" s="39">
        <f>IF(ISNUMBER($AD143),ROUND($AD143*Header!$M$3,2),"")</f>
      </c>
      <c r="AQ143" s="38">
        <f>IF(ISNUMBER($AD143),ROUND($AD143,2)-$AO143-$AP143,"")</f>
      </c>
      <c r="AR143" s="39">
        <f>IF(ISNUMBER($AD143),IF(Header!$D$34="","?",$AD143*Header!$D$34),"")</f>
      </c>
      <c r="AS143" s="39">
        <f>IF(ISNUMBER($AB143),IF(Header!$D$34="","?",$AB143*Header!$D$34),"")</f>
      </c>
      <c r="AT143" s="42">
        <f>IF(AND(ISNUMBER($AB143),$M143&gt;0),$AB143/$M143*100,"")</f>
      </c>
      <c r="AU143" s="42">
        <f>IF(AND(ISNUMBER($AD143),$M143&gt;0),$AD143/$M143*100,"")</f>
      </c>
      <c r="AV143" s="40">
        <f>IF(AND(ISNUMBER($AB143),ISNUMBER($AD143),ABS($AB143)&gt;0),$AD143/$AB143,"")</f>
      </c>
      <c r="AW143" s="39">
        <f>IF(ISNUMBER($AD143),MAX(0,(1-0.55-Header!$O$3)*Header!$Q$3*$AQ143),"")</f>
      </c>
      <c r="AX143" s="43">
        <f>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c>
      <c r="AY143" s="44">
        <f>IF($M143="","",IF(ISNUMBER($M143),IF($M143&gt;=Header!$C$18,"YES — refer","No"),""))</f>
      </c>
      <c r="AZ143" s="44">
        <f>IF($AD143="","",IF(ISNUMBER($AD143),IF($AD143&lt;Header!$C$20,"BELOW MIN PREMIUM","OK"),""))</f>
      </c>
      <c r="BA143" s="32" t="inlineStr">
        <is>
          <t xml:space="preserve">Yes</t>
        </is>
      </c>
      <c r="BB143" s="32" t="inlineStr">
        <is>
          <t xml:space="preserve">Yes</t>
        </is>
      </c>
      <c r="BC143" s="30" t="inlineStr">
        <is>
          <t xml:space="preserve">Synthetic demo data</t>
        </is>
      </c>
      <c r="BE143" s="45">
        <f>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c>
      <c r="BF143" s="45">
        <f>IF($AD143="","",IF(ROUND($AO143+$AP143+$AQ143-$AD143,2)=0,"OK","FAIL - out by "&amp;TEXT($AO143+$AP143+$AQ143-$AD143,"$0.00")))</f>
      </c>
    </row>
    <row r="144" spans="1:58" ht="18.75" customHeight="1" x14ac:dyDescent="0.25">
      <c r="A144" s="46" t="inlineStr">
        <is>
          <t xml:space="preserve">CANON-202606-008599</t>
        </is>
      </c>
      <c r="B144" s="46" t="inlineStr">
        <is>
          <t xml:space="preserve">Fitzgerald Blackwood</t>
        </is>
      </c>
      <c r="C144" s="47">
        <v>46189</v>
      </c>
      <c r="D144" s="48" t="inlineStr">
        <is>
          <t xml:space="preserve">Bound - within authority</t>
        </is>
      </c>
      <c r="E144" s="48" t="inlineStr">
        <is>
          <t xml:space="preserve">New business</t>
        </is>
      </c>
      <c r="F144" s="46" t="inlineStr">
        <is>
          <t xml:space="preserve">B1234EXOTIC26</t>
        </is>
      </c>
      <c r="G144" s="33">
        <f>IF($A144="","",IF($C144="","",YEAR($C144)))</f>
      </c>
      <c r="H144" s="49">
        <v>2023</v>
      </c>
      <c r="I144" s="46" t="inlineStr">
        <is>
          <t xml:space="preserve">Porsche</t>
        </is>
      </c>
      <c r="J144" s="46" t="inlineStr">
        <is>
          <t xml:space="preserve">911 Turbo S</t>
        </is>
      </c>
      <c r="K144" s="46" t="inlineStr">
        <is>
          <t xml:space="preserve">9UVPRH3BCY750SW8P</t>
        </is>
      </c>
      <c r="L144" s="48" t="inlineStr">
        <is>
          <t xml:space="preserve">02 - Sports / GT</t>
        </is>
      </c>
      <c r="M144" s="50">
        <v>225000</v>
      </c>
      <c r="N144" s="48" t="inlineStr">
        <is>
          <t xml:space="preserve">Personal</t>
        </is>
      </c>
      <c r="O144" s="46" t="inlineStr">
        <is>
          <t xml:space="preserve">Personal - regular use</t>
        </is>
      </c>
      <c r="P144" s="46" t="inlineStr">
        <is>
          <t xml:space="preserve">1,000 - 2,500</t>
        </is>
      </c>
      <c r="Q144" s="46" t="inlineStr">
        <is>
          <t xml:space="preserve">Texas</t>
        </is>
      </c>
      <c r="R144" s="46" t="inlineStr">
        <is>
          <t xml:space="preserve">75201</t>
        </is>
      </c>
      <c r="S144" s="48" t="inlineStr">
        <is>
          <t xml:space="preserve">Tier 2 - Coastal wind (1-25 miles)</t>
        </is>
      </c>
      <c r="T144" s="36">
        <f>IF($A144="","",IF($S144="","",IFERROR(INDEX('[1]natural catastrophe'!$D$6:$D$17,MATCH($S144,'[1]natural catastrophe'!$B$6:$B$17,0)),"?")))</f>
      </c>
      <c r="U144" s="46" t="inlineStr">
        <is>
          <t xml:space="preserve">2% of agreed value, minimum $10,000</t>
        </is>
      </c>
      <c r="V144" s="48" t="inlineStr">
        <is>
          <t xml:space="preserve">Agreed Value</t>
        </is>
      </c>
      <c r="W144" s="46" t="inlineStr">
        <is>
          <t xml:space="preserve">$1,000</t>
        </is>
      </c>
      <c r="X144" s="48" t="inlineStr">
        <is>
          <t xml:space="preserve">$1,000,000 CSL</t>
        </is>
      </c>
      <c r="Y144" s="46"/>
      <c r="Z144" s="46"/>
      <c r="AA144" s="48" t="inlineStr">
        <is>
          <t xml:space="preserve">Surplus Lines</t>
        </is>
      </c>
      <c r="AB144" s="50">
        <v>3435.11</v>
      </c>
      <c r="AC144" s="51">
        <v>0</v>
      </c>
      <c r="AD144" s="38">
        <f>IF(ISNUMBER($AB144),$AB144*(1+N($AC144)),"")</f>
      </c>
      <c r="AE144" s="50">
        <v>350</v>
      </c>
      <c r="AF144" s="50">
        <v>0</v>
      </c>
      <c r="AG144" s="51"/>
      <c r="AH144" s="39">
        <f>IF(ISNUMBER($AD144),($AD144+$AE144+$AF144)*$AG144,"")</f>
      </c>
      <c r="AI144" s="50"/>
      <c r="AJ144" s="38">
        <f>IF(ISNUMBER($AD144),SUM($AD144:$AH144),"")</f>
      </c>
      <c r="AK144" s="40">
        <f>IF(AND(ISNUMBER($AB144),ISNUMBER($AD144)),IF($AB144&gt;0,$AD144/$AB144,""),"")</f>
      </c>
      <c r="AL144" s="48" t="inlineStr">
        <is>
          <t xml:space="preserve">At technical</t>
        </is>
      </c>
      <c r="AM144" s="41">
        <f>IF(ISNUMBER($AD144),Header!$I$3,"")</f>
      </c>
      <c r="AN144" s="39">
        <f>IF(ISNUMBER($AD144),$AO144+$AP144,"")</f>
      </c>
      <c r="AO144" s="39">
        <f>IF(ISNUMBER($AD144),ROUND($AD144*Header!$K$3,2),"")</f>
      </c>
      <c r="AP144" s="39">
        <f>IF(ISNUMBER($AD144),ROUND($AD144*Header!$M$3,2),"")</f>
      </c>
      <c r="AQ144" s="38">
        <f>IF(ISNUMBER($AD144),ROUND($AD144,2)-$AO144-$AP144,"")</f>
      </c>
      <c r="AR144" s="39">
        <f>IF(ISNUMBER($AD144),IF(Header!$D$34="","?",$AD144*Header!$D$34),"")</f>
      </c>
      <c r="AS144" s="39">
        <f>IF(ISNUMBER($AB144),IF(Header!$D$34="","?",$AB144*Header!$D$34),"")</f>
      </c>
      <c r="AT144" s="42">
        <f>IF(AND(ISNUMBER($AB144),$M144&gt;0),$AB144/$M144*100,"")</f>
      </c>
      <c r="AU144" s="42">
        <f>IF(AND(ISNUMBER($AD144),$M144&gt;0),$AD144/$M144*100,"")</f>
      </c>
      <c r="AV144" s="40">
        <f>IF(AND(ISNUMBER($AB144),ISNUMBER($AD144),ABS($AB144)&gt;0),$AD144/$AB144,"")</f>
      </c>
      <c r="AW144" s="39">
        <f>IF(ISNUMBER($AD144),MAX(0,(1-0.55-Header!$O$3)*Header!$Q$3*$AQ144),"")</f>
      </c>
      <c r="AX144" s="43">
        <f>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c>
      <c r="AY144" s="44">
        <f>IF($M144="","",IF(ISNUMBER($M144),IF($M144&gt;=Header!$C$18,"YES — refer","No"),""))</f>
      </c>
      <c r="AZ144" s="44">
        <f>IF($AD144="","",IF(ISNUMBER($AD144),IF($AD144&lt;Header!$C$20,"BELOW MIN PREMIUM","OK"),""))</f>
      </c>
      <c r="BA144" s="48" t="inlineStr">
        <is>
          <t xml:space="preserve">Yes</t>
        </is>
      </c>
      <c r="BB144" s="48" t="inlineStr">
        <is>
          <t xml:space="preserve">Yes</t>
        </is>
      </c>
      <c r="BC144" s="46" t="inlineStr">
        <is>
          <t xml:space="preserve">Synthetic demo data</t>
        </is>
      </c>
      <c r="BE144" s="45">
        <f>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c>
      <c r="BF144" s="45">
        <f>IF($AD144="","",IF(ROUND($AO144+$AP144+$AQ144-$AD144,2)=0,"OK","FAIL - out by "&amp;TEXT($AO144+$AP144+$AQ144-$AD144,"$0.00")))</f>
      </c>
    </row>
    <row r="145" spans="1:58" ht="18.75" customHeight="1" x14ac:dyDescent="0.25">
      <c r="A145" s="30" t="inlineStr">
        <is>
          <t xml:space="preserve">CANON-202606-008600</t>
        </is>
      </c>
      <c r="B145" s="30" t="inlineStr">
        <is>
          <t xml:space="preserve">Lorenzo Larsson</t>
        </is>
      </c>
      <c r="C145" s="31">
        <v>46186</v>
      </c>
      <c r="D145" s="32" t="inlineStr">
        <is>
          <t xml:space="preserve">Bound - within authority</t>
        </is>
      </c>
      <c r="E145" s="32" t="inlineStr">
        <is>
          <t xml:space="preserve">New business</t>
        </is>
      </c>
      <c r="F145" s="30" t="inlineStr">
        <is>
          <t xml:space="preserve">B1234EXOTIC26</t>
        </is>
      </c>
      <c r="G145" s="33">
        <f>IF($A145="","",IF($C145="","",YEAR($C145)))</f>
      </c>
      <c r="H145" s="34">
        <v>2009</v>
      </c>
      <c r="I145" s="30" t="inlineStr">
        <is>
          <t xml:space="preserve">Porsche</t>
        </is>
      </c>
      <c r="J145" s="30" t="inlineStr">
        <is>
          <t xml:space="preserve">911 Turbo S</t>
        </is>
      </c>
      <c r="K145" s="30" t="inlineStr">
        <is>
          <t xml:space="preserve">JFYUC9CDJZH8YTEUP</t>
        </is>
      </c>
      <c r="L145" s="32" t="inlineStr">
        <is>
          <t xml:space="preserve">02 - Sports / GT</t>
        </is>
      </c>
      <c r="M145" s="35">
        <v>895000</v>
      </c>
      <c r="N145" s="32" t="inlineStr">
        <is>
          <t xml:space="preserve">Personal</t>
        </is>
      </c>
      <c r="O145" s="30" t="inlineStr">
        <is>
          <t xml:space="preserve">Personal - regular use</t>
        </is>
      </c>
      <c r="P145" s="30" t="inlineStr">
        <is>
          <t xml:space="preserve">Under 1,000</t>
        </is>
      </c>
      <c r="Q145" s="30" t="inlineStr">
        <is>
          <t xml:space="preserve">Iowa</t>
        </is>
      </c>
      <c r="R145" s="30" t="inlineStr">
        <is>
          <t xml:space="preserve">50309</t>
        </is>
      </c>
      <c r="S145" s="32" t="inlineStr">
        <is>
          <t xml:space="preserve">Severe convective - hail alley (high)</t>
        </is>
      </c>
      <c r="T145" s="36">
        <f>IF($A145="","",IF($S145="","",IFERROR(INDEX('[1]natural catastrophe'!$D$6:$D$17,MATCH($S145,'[1]natural catastrophe'!$B$6:$B$17,0)),"?")))</f>
      </c>
      <c r="U145" s="30" t="inlineStr">
        <is>
          <t xml:space="preserve">$5,000</t>
        </is>
      </c>
      <c r="V145" s="32" t="inlineStr">
        <is>
          <t xml:space="preserve">Agreed Value</t>
        </is>
      </c>
      <c r="W145" s="30" t="inlineStr">
        <is>
          <t xml:space="preserve">$1,000</t>
        </is>
      </c>
      <c r="X145" s="32" t="inlineStr">
        <is>
          <t xml:space="preserve">$1,000,000 CSL</t>
        </is>
      </c>
      <c r="Y145" s="30"/>
      <c r="Z145" s="30"/>
      <c r="AA145" s="32" t="inlineStr">
        <is>
          <t xml:space="preserve">Surplus Lines</t>
        </is>
      </c>
      <c r="AB145" s="35">
        <v>9234.24</v>
      </c>
      <c r="AC145" s="37">
        <v>0</v>
      </c>
      <c r="AD145" s="38">
        <f>IF(ISNUMBER($AB145),$AB145*(1+N($AC145)),"")</f>
      </c>
      <c r="AE145" s="35">
        <v>350</v>
      </c>
      <c r="AF145" s="35">
        <v>0</v>
      </c>
      <c r="AG145" s="37"/>
      <c r="AH145" s="39">
        <f>IF(ISNUMBER($AD145),($AD145+$AE145+$AF145)*$AG145,"")</f>
      </c>
      <c r="AI145" s="35"/>
      <c r="AJ145" s="38">
        <f>IF(ISNUMBER($AD145),SUM($AD145:$AH145),"")</f>
      </c>
      <c r="AK145" s="40">
        <f>IF(AND(ISNUMBER($AB145),ISNUMBER($AD145)),IF($AB145&gt;0,$AD145/$AB145,""),"")</f>
      </c>
      <c r="AL145" s="32" t="inlineStr">
        <is>
          <t xml:space="preserve">At technical</t>
        </is>
      </c>
      <c r="AM145" s="41">
        <f>IF(ISNUMBER($AD145),Header!$I$3,"")</f>
      </c>
      <c r="AN145" s="39">
        <f>IF(ISNUMBER($AD145),$AO145+$AP145,"")</f>
      </c>
      <c r="AO145" s="39">
        <f>IF(ISNUMBER($AD145),ROUND($AD145*Header!$K$3,2),"")</f>
      </c>
      <c r="AP145" s="39">
        <f>IF(ISNUMBER($AD145),ROUND($AD145*Header!$M$3,2),"")</f>
      </c>
      <c r="AQ145" s="38">
        <f>IF(ISNUMBER($AD145),ROUND($AD145,2)-$AO145-$AP145,"")</f>
      </c>
      <c r="AR145" s="39">
        <f>IF(ISNUMBER($AD145),IF(Header!$D$34="","?",$AD145*Header!$D$34),"")</f>
      </c>
      <c r="AS145" s="39">
        <f>IF(ISNUMBER($AB145),IF(Header!$D$34="","?",$AB145*Header!$D$34),"")</f>
      </c>
      <c r="AT145" s="42">
        <f>IF(AND(ISNUMBER($AB145),$M145&gt;0),$AB145/$M145*100,"")</f>
      </c>
      <c r="AU145" s="42">
        <f>IF(AND(ISNUMBER($AD145),$M145&gt;0),$AD145/$M145*100,"")</f>
      </c>
      <c r="AV145" s="40">
        <f>IF(AND(ISNUMBER($AB145),ISNUMBER($AD145),ABS($AB145)&gt;0),$AD145/$AB145,"")</f>
      </c>
      <c r="AW145" s="39">
        <f>IF(ISNUMBER($AD145),MAX(0,(1-0.55-Header!$O$3)*Header!$Q$3*$AQ145),"")</f>
      </c>
      <c r="AX145" s="43">
        <f>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c>
      <c r="AY145" s="44">
        <f>IF($M145="","",IF(ISNUMBER($M145),IF($M145&gt;=Header!$C$18,"YES — refer","No"),""))</f>
      </c>
      <c r="AZ145" s="44">
        <f>IF($AD145="","",IF(ISNUMBER($AD145),IF($AD145&lt;Header!$C$20,"BELOW MIN PREMIUM","OK"),""))</f>
      </c>
      <c r="BA145" s="32" t="inlineStr">
        <is>
          <t xml:space="preserve">Yes</t>
        </is>
      </c>
      <c r="BB145" s="32" t="inlineStr">
        <is>
          <t xml:space="preserve">Yes</t>
        </is>
      </c>
      <c r="BC145" s="30" t="inlineStr">
        <is>
          <t xml:space="preserve">Synthetic demo data</t>
        </is>
      </c>
      <c r="BE145" s="45">
        <f>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c>
      <c r="BF145" s="45">
        <f>IF($AD145="","",IF(ROUND($AO145+$AP145+$AQ145-$AD145,2)=0,"OK","FAIL - out by "&amp;TEXT($AO145+$AP145+$AQ145-$AD145,"$0.00")))</f>
      </c>
    </row>
    <row r="146" spans="1:58" ht="18.75" customHeight="1" x14ac:dyDescent="0.25">
      <c r="A146" s="46" t="inlineStr">
        <is>
          <t xml:space="preserve">CANON-202606-008601</t>
        </is>
      </c>
      <c r="B146" s="46" t="inlineStr">
        <is>
          <t xml:space="preserve">Ottilie Okonkwo</t>
        </is>
      </c>
      <c r="C146" s="47">
        <v>46177</v>
      </c>
      <c r="D146" s="48" t="inlineStr">
        <is>
          <t xml:space="preserve">Bound - within authority</t>
        </is>
      </c>
      <c r="E146" s="48" t="inlineStr">
        <is>
          <t xml:space="preserve">New business</t>
        </is>
      </c>
      <c r="F146" s="46" t="inlineStr">
        <is>
          <t xml:space="preserve">B1234EXOTIC26</t>
        </is>
      </c>
      <c r="G146" s="33">
        <f>IF($A146="","",IF($C146="","",YEAR($C146)))</f>
      </c>
      <c r="H146" s="49">
        <v>2005</v>
      </c>
      <c r="I146" s="46" t="inlineStr">
        <is>
          <t xml:space="preserve">Porsche</t>
        </is>
      </c>
      <c r="J146" s="46" t="inlineStr">
        <is>
          <t xml:space="preserve">911 Turbo S</t>
        </is>
      </c>
      <c r="K146" s="46" t="inlineStr">
        <is>
          <t xml:space="preserve">JNCD0A5FH28VRYC65</t>
        </is>
      </c>
      <c r="L146" s="48" t="inlineStr">
        <is>
          <t xml:space="preserve">02 - Sports / GT</t>
        </is>
      </c>
      <c r="M146" s="50">
        <v>430000</v>
      </c>
      <c r="N146" s="48" t="inlineStr">
        <is>
          <t xml:space="preserve">Personal</t>
        </is>
      </c>
      <c r="O146" s="46" t="inlineStr">
        <is>
          <t xml:space="preserve">Personal - regular use</t>
        </is>
      </c>
      <c r="P146" s="46" t="inlineStr">
        <is>
          <t xml:space="preserve">Under 1,000</t>
        </is>
      </c>
      <c r="Q146" s="46" t="inlineStr">
        <is>
          <t xml:space="preserve">Wyoming</t>
        </is>
      </c>
      <c r="R146" s="46" t="inlineStr">
        <is>
          <t xml:space="preserve">82001</t>
        </is>
      </c>
      <c r="S146" s="48" t="inlineStr">
        <is>
          <t xml:space="preserve">Severe convective - hail alley (high)</t>
        </is>
      </c>
      <c r="T146" s="36">
        <f>IF($A146="","",IF($S146="","",IFERROR(INDEX('[1]natural catastrophe'!$D$6:$D$17,MATCH($S146,'[1]natural catastrophe'!$B$6:$B$17,0)),"?")))</f>
      </c>
      <c r="U146" s="46" t="inlineStr">
        <is>
          <t xml:space="preserve">$5,000</t>
        </is>
      </c>
      <c r="V146" s="48" t="inlineStr">
        <is>
          <t xml:space="preserve">Agreed Value</t>
        </is>
      </c>
      <c r="W146" s="46" t="inlineStr">
        <is>
          <t xml:space="preserve">$1,000</t>
        </is>
      </c>
      <c r="X146" s="48" t="inlineStr">
        <is>
          <t xml:space="preserve">$1,000,000 CSL</t>
        </is>
      </c>
      <c r="Y146" s="46"/>
      <c r="Z146" s="46"/>
      <c r="AA146" s="48" t="inlineStr">
        <is>
          <t xml:space="preserve">Surplus Lines</t>
        </is>
      </c>
      <c r="AB146" s="50">
        <v>4979.5</v>
      </c>
      <c r="AC146" s="51">
        <v>0</v>
      </c>
      <c r="AD146" s="38">
        <f>IF(ISNUMBER($AB146),$AB146*(1+N($AC146)),"")</f>
      </c>
      <c r="AE146" s="50">
        <v>350</v>
      </c>
      <c r="AF146" s="50">
        <v>0</v>
      </c>
      <c r="AG146" s="51"/>
      <c r="AH146" s="39">
        <f>IF(ISNUMBER($AD146),($AD146+$AE146+$AF146)*$AG146,"")</f>
      </c>
      <c r="AI146" s="50"/>
      <c r="AJ146" s="38">
        <f>IF(ISNUMBER($AD146),SUM($AD146:$AH146),"")</f>
      </c>
      <c r="AK146" s="40">
        <f>IF(AND(ISNUMBER($AB146),ISNUMBER($AD146)),IF($AB146&gt;0,$AD146/$AB146,""),"")</f>
      </c>
      <c r="AL146" s="48" t="inlineStr">
        <is>
          <t xml:space="preserve">At technical</t>
        </is>
      </c>
      <c r="AM146" s="41">
        <f>IF(ISNUMBER($AD146),Header!$I$3,"")</f>
      </c>
      <c r="AN146" s="39">
        <f>IF(ISNUMBER($AD146),$AO146+$AP146,"")</f>
      </c>
      <c r="AO146" s="39">
        <f>IF(ISNUMBER($AD146),ROUND($AD146*Header!$K$3,2),"")</f>
      </c>
      <c r="AP146" s="39">
        <f>IF(ISNUMBER($AD146),ROUND($AD146*Header!$M$3,2),"")</f>
      </c>
      <c r="AQ146" s="38">
        <f>IF(ISNUMBER($AD146),ROUND($AD146,2)-$AO146-$AP146,"")</f>
      </c>
      <c r="AR146" s="39">
        <f>IF(ISNUMBER($AD146),IF(Header!$D$34="","?",$AD146*Header!$D$34),"")</f>
      </c>
      <c r="AS146" s="39">
        <f>IF(ISNUMBER($AB146),IF(Header!$D$34="","?",$AB146*Header!$D$34),"")</f>
      </c>
      <c r="AT146" s="42">
        <f>IF(AND(ISNUMBER($AB146),$M146&gt;0),$AB146/$M146*100,"")</f>
      </c>
      <c r="AU146" s="42">
        <f>IF(AND(ISNUMBER($AD146),$M146&gt;0),$AD146/$M146*100,"")</f>
      </c>
      <c r="AV146" s="40">
        <f>IF(AND(ISNUMBER($AB146),ISNUMBER($AD146),ABS($AB146)&gt;0),$AD146/$AB146,"")</f>
      </c>
      <c r="AW146" s="39">
        <f>IF(ISNUMBER($AD146),MAX(0,(1-0.55-Header!$O$3)*Header!$Q$3*$AQ146),"")</f>
      </c>
      <c r="AX146" s="43">
        <f>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c>
      <c r="AY146" s="44">
        <f>IF($M146="","",IF(ISNUMBER($M146),IF($M146&gt;=Header!$C$18,"YES — refer","No"),""))</f>
      </c>
      <c r="AZ146" s="44">
        <f>IF($AD146="","",IF(ISNUMBER($AD146),IF($AD146&lt;Header!$C$20,"BELOW MIN PREMIUM","OK"),""))</f>
      </c>
      <c r="BA146" s="48" t="inlineStr">
        <is>
          <t xml:space="preserve">Yes</t>
        </is>
      </c>
      <c r="BB146" s="48" t="inlineStr">
        <is>
          <t xml:space="preserve">Yes</t>
        </is>
      </c>
      <c r="BC146" s="46" t="inlineStr">
        <is>
          <t xml:space="preserve">Synthetic demo data</t>
        </is>
      </c>
      <c r="BE146" s="45">
        <f>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c>
      <c r="BF146" s="45">
        <f>IF($AD146="","",IF(ROUND($AO146+$AP146+$AQ146-$AD146,2)=0,"OK","FAIL - out by "&amp;TEXT($AO146+$AP146+$AQ146-$AD146,"$0.00")))</f>
      </c>
    </row>
    <row r="147" spans="1:58" ht="18.75" customHeight="1" x14ac:dyDescent="0.25">
      <c r="A147" s="30" t="inlineStr">
        <is>
          <t xml:space="preserve">CANON-202606-008603</t>
        </is>
      </c>
      <c r="B147" s="30" t="inlineStr">
        <is>
          <t xml:space="preserve">Marisol Chattopadhyay</t>
        </is>
      </c>
      <c r="C147" s="31">
        <v>46190</v>
      </c>
      <c r="D147" s="32" t="inlineStr">
        <is>
          <t xml:space="preserve">Bound - within authority</t>
        </is>
      </c>
      <c r="E147" s="32" t="inlineStr">
        <is>
          <t xml:space="preserve">New business</t>
        </is>
      </c>
      <c r="F147" s="30" t="inlineStr">
        <is>
          <t xml:space="preserve">B1234EXOTIC26</t>
        </is>
      </c>
      <c r="G147" s="33">
        <f>IF($A147="","",IF($C147="","",YEAR($C147)))</f>
      </c>
      <c r="H147" s="34">
        <v>1978</v>
      </c>
      <c r="I147" s="30" t="inlineStr">
        <is>
          <t xml:space="preserve">Mercedes-Benz</t>
        </is>
      </c>
      <c r="J147" s="30" t="inlineStr">
        <is>
          <t xml:space="preserve">AMG GT</t>
        </is>
      </c>
      <c r="K147" s="30" t="inlineStr">
        <is>
          <t xml:space="preserve">KGFGHRVH32PFL8BAN</t>
        </is>
      </c>
      <c r="L147" s="32" t="inlineStr">
        <is>
          <t xml:space="preserve">02 - Sports / GT</t>
        </is>
      </c>
      <c r="M147" s="35">
        <v>425000</v>
      </c>
      <c r="N147" s="32" t="inlineStr">
        <is>
          <t xml:space="preserve">Personal</t>
        </is>
      </c>
      <c r="O147" s="30" t="inlineStr">
        <is>
          <t xml:space="preserve">Personal - regular use</t>
        </is>
      </c>
      <c r="P147" s="30" t="inlineStr">
        <is>
          <t xml:space="preserve">2,500 - 5,000</t>
        </is>
      </c>
      <c r="Q147" s="30" t="inlineStr">
        <is>
          <t xml:space="preserve">New York</t>
        </is>
      </c>
      <c r="R147" s="30" t="inlineStr">
        <is>
          <t xml:space="preserve">10022</t>
        </is>
      </c>
      <c r="S147" s="32" t="inlineStr">
        <is>
          <t xml:space="preserve">Tier 3 - Coastal wind (25-100 miles)</t>
        </is>
      </c>
      <c r="T147" s="36">
        <f>IF($A147="","",IF($S147="","",IFERROR(INDEX('[1]natural catastrophe'!$D$6:$D$17,MATCH($S147,'[1]natural catastrophe'!$B$6:$B$17,0)),"?")))</f>
      </c>
      <c r="U147" s="30" t="inlineStr">
        <is>
          <t xml:space="preserve">2% of agreed value, minimum $10,000</t>
        </is>
      </c>
      <c r="V147" s="32" t="inlineStr">
        <is>
          <t xml:space="preserve">Agreed Value</t>
        </is>
      </c>
      <c r="W147" s="30" t="inlineStr">
        <is>
          <t xml:space="preserve">$1,000</t>
        </is>
      </c>
      <c r="X147" s="32" t="inlineStr">
        <is>
          <t xml:space="preserve">$1,000,000 CSL</t>
        </is>
      </c>
      <c r="Y147" s="30"/>
      <c r="Z147" s="30"/>
      <c r="AA147" s="32" t="inlineStr">
        <is>
          <t xml:space="preserve">Surplus Lines</t>
        </is>
      </c>
      <c r="AB147" s="35">
        <v>5887.51</v>
      </c>
      <c r="AC147" s="37">
        <v>0</v>
      </c>
      <c r="AD147" s="38">
        <f>IF(ISNUMBER($AB147),$AB147*(1+N($AC147)),"")</f>
      </c>
      <c r="AE147" s="35">
        <v>350</v>
      </c>
      <c r="AF147" s="35">
        <v>0</v>
      </c>
      <c r="AG147" s="37"/>
      <c r="AH147" s="39">
        <f>IF(ISNUMBER($AD147),($AD147+$AE147+$AF147)*$AG147,"")</f>
      </c>
      <c r="AI147" s="35"/>
      <c r="AJ147" s="38">
        <f>IF(ISNUMBER($AD147),SUM($AD147:$AH147),"")</f>
      </c>
      <c r="AK147" s="40">
        <f>IF(AND(ISNUMBER($AB147),ISNUMBER($AD147)),IF($AB147&gt;0,$AD147/$AB147,""),"")</f>
      </c>
      <c r="AL147" s="32" t="inlineStr">
        <is>
          <t xml:space="preserve">At technical</t>
        </is>
      </c>
      <c r="AM147" s="41">
        <f>IF(ISNUMBER($AD147),Header!$I$3,"")</f>
      </c>
      <c r="AN147" s="39">
        <f>IF(ISNUMBER($AD147),$AO147+$AP147,"")</f>
      </c>
      <c r="AO147" s="39">
        <f>IF(ISNUMBER($AD147),ROUND($AD147*Header!$K$3,2),"")</f>
      </c>
      <c r="AP147" s="39">
        <f>IF(ISNUMBER($AD147),ROUND($AD147*Header!$M$3,2),"")</f>
      </c>
      <c r="AQ147" s="38">
        <f>IF(ISNUMBER($AD147),ROUND($AD147,2)-$AO147-$AP147,"")</f>
      </c>
      <c r="AR147" s="39">
        <f>IF(ISNUMBER($AD147),IF(Header!$D$34="","?",$AD147*Header!$D$34),"")</f>
      </c>
      <c r="AS147" s="39">
        <f>IF(ISNUMBER($AB147),IF(Header!$D$34="","?",$AB147*Header!$D$34),"")</f>
      </c>
      <c r="AT147" s="42">
        <f>IF(AND(ISNUMBER($AB147),$M147&gt;0),$AB147/$M147*100,"")</f>
      </c>
      <c r="AU147" s="42">
        <f>IF(AND(ISNUMBER($AD147),$M147&gt;0),$AD147/$M147*100,"")</f>
      </c>
      <c r="AV147" s="40">
        <f>IF(AND(ISNUMBER($AB147),ISNUMBER($AD147),ABS($AB147)&gt;0),$AD147/$AB147,"")</f>
      </c>
      <c r="AW147" s="39">
        <f>IF(ISNUMBER($AD147),MAX(0,(1-0.55-Header!$O$3)*Header!$Q$3*$AQ147),"")</f>
      </c>
      <c r="AX147" s="43">
        <f>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c>
      <c r="AY147" s="44">
        <f>IF($M147="","",IF(ISNUMBER($M147),IF($M147&gt;=Header!$C$18,"YES — refer","No"),""))</f>
      </c>
      <c r="AZ147" s="44">
        <f>IF($AD147="","",IF(ISNUMBER($AD147),IF($AD147&lt;Header!$C$20,"BELOW MIN PREMIUM","OK"),""))</f>
      </c>
      <c r="BA147" s="32" t="inlineStr">
        <is>
          <t xml:space="preserve">Yes</t>
        </is>
      </c>
      <c r="BB147" s="32" t="inlineStr">
        <is>
          <t xml:space="preserve">Yes</t>
        </is>
      </c>
      <c r="BC147" s="30" t="inlineStr">
        <is>
          <t xml:space="preserve">Synthetic demo data</t>
        </is>
      </c>
      <c r="BE147" s="45">
        <f>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c>
      <c r="BF147" s="45">
        <f>IF($AD147="","",IF(ROUND($AO147+$AP147+$AQ147-$AD147,2)=0,"OK","FAIL - out by "&amp;TEXT($AO147+$AP147+$AQ147-$AD147,"$0.00")))</f>
      </c>
    </row>
    <row r="148" spans="1:58" ht="18.75" customHeight="1" x14ac:dyDescent="0.25">
      <c r="A148" s="46" t="inlineStr">
        <is>
          <t xml:space="preserve">CANON-202606-008604</t>
        </is>
      </c>
      <c r="B148" s="46" t="inlineStr">
        <is>
          <t xml:space="preserve">Emiliano Delacroix</t>
        </is>
      </c>
      <c r="C148" s="47">
        <v>46191</v>
      </c>
      <c r="D148" s="48" t="inlineStr">
        <is>
          <t xml:space="preserve">Bound - within authority</t>
        </is>
      </c>
      <c r="E148" s="48" t="inlineStr">
        <is>
          <t xml:space="preserve">New business</t>
        </is>
      </c>
      <c r="F148" s="46" t="inlineStr">
        <is>
          <t xml:space="preserve">B1234EXOTIC26</t>
        </is>
      </c>
      <c r="G148" s="33">
        <f>IF($A148="","",IF($C148="","",YEAR($C148)))</f>
      </c>
      <c r="H148" s="49">
        <v>2008</v>
      </c>
      <c r="I148" s="46" t="inlineStr">
        <is>
          <t xml:space="preserve">Lamborghini</t>
        </is>
      </c>
      <c r="J148" s="46" t="inlineStr">
        <is>
          <t xml:space="preserve">Huracan EVO</t>
        </is>
      </c>
      <c r="K148" s="46" t="inlineStr">
        <is>
          <t xml:space="preserve">4JHAFWWNXEYJXX1DC</t>
        </is>
      </c>
      <c r="L148" s="48" t="inlineStr">
        <is>
          <t xml:space="preserve">03 - Supercar</t>
        </is>
      </c>
      <c r="M148" s="50">
        <v>455000</v>
      </c>
      <c r="N148" s="48" t="inlineStr">
        <is>
          <t xml:space="preserve">Personal</t>
        </is>
      </c>
      <c r="O148" s="46" t="inlineStr">
        <is>
          <t xml:space="preserve">Personal - regular use</t>
        </is>
      </c>
      <c r="P148" s="46" t="inlineStr">
        <is>
          <t xml:space="preserve">2,500 - 5,000</t>
        </is>
      </c>
      <c r="Q148" s="46" t="inlineStr">
        <is>
          <t xml:space="preserve">Washington</t>
        </is>
      </c>
      <c r="R148" s="46" t="inlineStr">
        <is>
          <t xml:space="preserve">98101</t>
        </is>
      </c>
      <c r="S148" s="48" t="inlineStr">
        <is>
          <t xml:space="preserve">Earthquake - high (CA, Cascadia, New Madrid)</t>
        </is>
      </c>
      <c r="T148" s="36">
        <f>IF($A148="","",IF($S148="","",IFERROR(INDEX('[1]natural catastrophe'!$D$6:$D$17,MATCH($S148,'[1]natural catastrophe'!$B$6:$B$17,0)),"?")))</f>
      </c>
      <c r="U148" s="46" t="inlineStr">
        <is>
          <t xml:space="preserve">$5,000</t>
        </is>
      </c>
      <c r="V148" s="48" t="inlineStr">
        <is>
          <t xml:space="preserve">Agreed Value</t>
        </is>
      </c>
      <c r="W148" s="46" t="inlineStr">
        <is>
          <t xml:space="preserve">$1,000</t>
        </is>
      </c>
      <c r="X148" s="48" t="inlineStr">
        <is>
          <t xml:space="preserve">$1,000,000 CSL</t>
        </is>
      </c>
      <c r="Y148" s="46"/>
      <c r="Z148" s="46"/>
      <c r="AA148" s="48" t="inlineStr">
        <is>
          <t xml:space="preserve">Surplus Lines</t>
        </is>
      </c>
      <c r="AB148" s="50">
        <v>7248.58</v>
      </c>
      <c r="AC148" s="51">
        <v>0</v>
      </c>
      <c r="AD148" s="38">
        <f>IF(ISNUMBER($AB148),$AB148*(1+N($AC148)),"")</f>
      </c>
      <c r="AE148" s="50">
        <v>350</v>
      </c>
      <c r="AF148" s="50">
        <v>0</v>
      </c>
      <c r="AG148" s="51"/>
      <c r="AH148" s="39">
        <f>IF(ISNUMBER($AD148),($AD148+$AE148+$AF148)*$AG148,"")</f>
      </c>
      <c r="AI148" s="50"/>
      <c r="AJ148" s="38">
        <f>IF(ISNUMBER($AD148),SUM($AD148:$AH148),"")</f>
      </c>
      <c r="AK148" s="40">
        <f>IF(AND(ISNUMBER($AB148),ISNUMBER($AD148)),IF($AB148&gt;0,$AD148/$AB148,""),"")</f>
      </c>
      <c r="AL148" s="48" t="inlineStr">
        <is>
          <t xml:space="preserve">At technical</t>
        </is>
      </c>
      <c r="AM148" s="41">
        <f>IF(ISNUMBER($AD148),Header!$I$3,"")</f>
      </c>
      <c r="AN148" s="39">
        <f>IF(ISNUMBER($AD148),$AO148+$AP148,"")</f>
      </c>
      <c r="AO148" s="39">
        <f>IF(ISNUMBER($AD148),ROUND($AD148*Header!$K$3,2),"")</f>
      </c>
      <c r="AP148" s="39">
        <f>IF(ISNUMBER($AD148),ROUND($AD148*Header!$M$3,2),"")</f>
      </c>
      <c r="AQ148" s="38">
        <f>IF(ISNUMBER($AD148),ROUND($AD148,2)-$AO148-$AP148,"")</f>
      </c>
      <c r="AR148" s="39">
        <f>IF(ISNUMBER($AD148),IF(Header!$D$34="","?",$AD148*Header!$D$34),"")</f>
      </c>
      <c r="AS148" s="39">
        <f>IF(ISNUMBER($AB148),IF(Header!$D$34="","?",$AB148*Header!$D$34),"")</f>
      </c>
      <c r="AT148" s="42">
        <f>IF(AND(ISNUMBER($AB148),$M148&gt;0),$AB148/$M148*100,"")</f>
      </c>
      <c r="AU148" s="42">
        <f>IF(AND(ISNUMBER($AD148),$M148&gt;0),$AD148/$M148*100,"")</f>
      </c>
      <c r="AV148" s="40">
        <f>IF(AND(ISNUMBER($AB148),ISNUMBER($AD148),ABS($AB148)&gt;0),$AD148/$AB148,"")</f>
      </c>
      <c r="AW148" s="39">
        <f>IF(ISNUMBER($AD148),MAX(0,(1-0.55-Header!$O$3)*Header!$Q$3*$AQ148),"")</f>
      </c>
      <c r="AX148" s="43">
        <f>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c>
      <c r="AY148" s="44">
        <f>IF($M148="","",IF(ISNUMBER($M148),IF($M148&gt;=Header!$C$18,"YES — refer","No"),""))</f>
      </c>
      <c r="AZ148" s="44">
        <f>IF($AD148="","",IF(ISNUMBER($AD148),IF($AD148&lt;Header!$C$20,"BELOW MIN PREMIUM","OK"),""))</f>
      </c>
      <c r="BA148" s="48" t="inlineStr">
        <is>
          <t xml:space="preserve">Yes</t>
        </is>
      </c>
      <c r="BB148" s="48" t="inlineStr">
        <is>
          <t xml:space="preserve">Yes</t>
        </is>
      </c>
      <c r="BC148" s="46" t="inlineStr">
        <is>
          <t xml:space="preserve">Synthetic demo data</t>
        </is>
      </c>
      <c r="BE148" s="45">
        <f>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c>
      <c r="BF148" s="45">
        <f>IF($AD148="","",IF(ROUND($AO148+$AP148+$AQ148-$AD148,2)=0,"OK","FAIL - out by "&amp;TEXT($AO148+$AP148+$AQ148-$AD148,"$0.00")))</f>
      </c>
    </row>
    <row r="149" spans="1:58" ht="18.75" customHeight="1" x14ac:dyDescent="0.25">
      <c r="A149" s="30" t="inlineStr">
        <is>
          <t xml:space="preserve">CANON-202606-008606</t>
        </is>
      </c>
      <c r="B149" s="30" t="inlineStr">
        <is>
          <t xml:space="preserve">Thaddeus Okonkwo</t>
        </is>
      </c>
      <c r="C149" s="31">
        <v>46183</v>
      </c>
      <c r="D149" s="32" t="inlineStr">
        <is>
          <t xml:space="preserve">Bound - within authority</t>
        </is>
      </c>
      <c r="E149" s="32" t="inlineStr">
        <is>
          <t xml:space="preserve">New business</t>
        </is>
      </c>
      <c r="F149" s="30" t="inlineStr">
        <is>
          <t xml:space="preserve">B1234EXOTIC26</t>
        </is>
      </c>
      <c r="G149" s="33">
        <f>IF($A149="","",IF($C149="","",YEAR($C149)))</f>
      </c>
      <c r="H149" s="34">
        <v>2008</v>
      </c>
      <c r="I149" s="30" t="inlineStr">
        <is>
          <t xml:space="preserve">Lamborghini</t>
        </is>
      </c>
      <c r="J149" s="30" t="inlineStr">
        <is>
          <t xml:space="preserve">Huracan EVO</t>
        </is>
      </c>
      <c r="K149" s="30" t="inlineStr">
        <is>
          <t xml:space="preserve">7952YVSBHUU1DV7WG</t>
        </is>
      </c>
      <c r="L149" s="32" t="inlineStr">
        <is>
          <t xml:space="preserve">03 - Supercar</t>
        </is>
      </c>
      <c r="M149" s="35">
        <v>1805000</v>
      </c>
      <c r="N149" s="32" t="inlineStr">
        <is>
          <t xml:space="preserve">Personal</t>
        </is>
      </c>
      <c r="O149" s="30" t="inlineStr">
        <is>
          <t xml:space="preserve">Personal - regular use</t>
        </is>
      </c>
      <c r="P149" s="30" t="inlineStr">
        <is>
          <t xml:space="preserve">Under 1,000</t>
        </is>
      </c>
      <c r="Q149" s="30" t="inlineStr">
        <is>
          <t xml:space="preserve">Arkansas</t>
        </is>
      </c>
      <c r="R149" s="30" t="inlineStr">
        <is>
          <t xml:space="preserve">72201</t>
        </is>
      </c>
      <c r="S149" s="32" t="inlineStr">
        <is>
          <t xml:space="preserve">Severe convective - hail / tornado (moderate)</t>
        </is>
      </c>
      <c r="T149" s="36">
        <f>IF($A149="","",IF($S149="","",IFERROR(INDEX('[1]natural catastrophe'!$D$6:$D$17,MATCH($S149,'[1]natural catastrophe'!$B$6:$B$17,0)),"?")))</f>
      </c>
      <c r="U149" s="30" t="inlineStr">
        <is>
          <t xml:space="preserve">$5,000</t>
        </is>
      </c>
      <c r="V149" s="32" t="inlineStr">
        <is>
          <t xml:space="preserve">Agreed Value</t>
        </is>
      </c>
      <c r="W149" s="30" t="inlineStr">
        <is>
          <t xml:space="preserve">$1,000</t>
        </is>
      </c>
      <c r="X149" s="32" t="inlineStr">
        <is>
          <t xml:space="preserve">$1,000,000 CSL</t>
        </is>
      </c>
      <c r="Y149" s="30"/>
      <c r="Z149" s="30"/>
      <c r="AA149" s="32" t="inlineStr">
        <is>
          <t xml:space="preserve">Surplus Lines</t>
        </is>
      </c>
      <c r="AB149" s="35">
        <v>28755.33</v>
      </c>
      <c r="AC149" s="37">
        <v>0</v>
      </c>
      <c r="AD149" s="38">
        <f>IF(ISNUMBER($AB149),$AB149*(1+N($AC149)),"")</f>
      </c>
      <c r="AE149" s="35">
        <v>350</v>
      </c>
      <c r="AF149" s="35">
        <v>250</v>
      </c>
      <c r="AG149" s="37"/>
      <c r="AH149" s="39">
        <f>IF(ISNUMBER($AD149),($AD149+$AE149+$AF149)*$AG149,"")</f>
      </c>
      <c r="AI149" s="35"/>
      <c r="AJ149" s="38">
        <f>IF(ISNUMBER($AD149),SUM($AD149:$AH149),"")</f>
      </c>
      <c r="AK149" s="40">
        <f>IF(AND(ISNUMBER($AB149),ISNUMBER($AD149)),IF($AB149&gt;0,$AD149/$AB149,""),"")</f>
      </c>
      <c r="AL149" s="32" t="inlineStr">
        <is>
          <t xml:space="preserve">At technical</t>
        </is>
      </c>
      <c r="AM149" s="41">
        <f>IF(ISNUMBER($AD149),Header!$I$3,"")</f>
      </c>
      <c r="AN149" s="39">
        <f>IF(ISNUMBER($AD149),$AO149+$AP149,"")</f>
      </c>
      <c r="AO149" s="39">
        <f>IF(ISNUMBER($AD149),ROUND($AD149*Header!$K$3,2),"")</f>
      </c>
      <c r="AP149" s="39">
        <f>IF(ISNUMBER($AD149),ROUND($AD149*Header!$M$3,2),"")</f>
      </c>
      <c r="AQ149" s="38">
        <f>IF(ISNUMBER($AD149),ROUND($AD149,2)-$AO149-$AP149,"")</f>
      </c>
      <c r="AR149" s="39">
        <f>IF(ISNUMBER($AD149),IF(Header!$D$34="","?",$AD149*Header!$D$34),"")</f>
      </c>
      <c r="AS149" s="39">
        <f>IF(ISNUMBER($AB149),IF(Header!$D$34="","?",$AB149*Header!$D$34),"")</f>
      </c>
      <c r="AT149" s="42">
        <f>IF(AND(ISNUMBER($AB149),$M149&gt;0),$AB149/$M149*100,"")</f>
      </c>
      <c r="AU149" s="42">
        <f>IF(AND(ISNUMBER($AD149),$M149&gt;0),$AD149/$M149*100,"")</f>
      </c>
      <c r="AV149" s="40">
        <f>IF(AND(ISNUMBER($AB149),ISNUMBER($AD149),ABS($AB149)&gt;0),$AD149/$AB149,"")</f>
      </c>
      <c r="AW149" s="39">
        <f>IF(ISNUMBER($AD149),MAX(0,(1-0.55-Header!$O$3)*Header!$Q$3*$AQ149),"")</f>
      </c>
      <c r="AX149" s="43">
        <f>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c>
      <c r="AY149" s="44">
        <f>IF($M149="","",IF(ISNUMBER($M149),IF($M149&gt;=Header!$C$18,"YES — refer","No"),""))</f>
      </c>
      <c r="AZ149" s="44">
        <f>IF($AD149="","",IF(ISNUMBER($AD149),IF($AD149&lt;Header!$C$20,"BELOW MIN PREMIUM","OK"),""))</f>
      </c>
      <c r="BA149" s="32" t="inlineStr">
        <is>
          <t xml:space="preserve">Yes</t>
        </is>
      </c>
      <c r="BB149" s="32" t="inlineStr">
        <is>
          <t xml:space="preserve">Yes</t>
        </is>
      </c>
      <c r="BC149" s="30" t="inlineStr">
        <is>
          <t xml:space="preserve">Synthetic demo data</t>
        </is>
      </c>
      <c r="BE149" s="45">
        <f>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c>
      <c r="BF149" s="45">
        <f>IF($AD149="","",IF(ROUND($AO149+$AP149+$AQ149-$AD149,2)=0,"OK","FAIL - out by "&amp;TEXT($AO149+$AP149+$AQ149-$AD149,"$0.00")))</f>
      </c>
    </row>
    <row r="150" spans="1:58" ht="18.75" customHeight="1" x14ac:dyDescent="0.25">
      <c r="A150" s="46" t="inlineStr">
        <is>
          <t xml:space="preserve">CANON-202606-008607</t>
        </is>
      </c>
      <c r="B150" s="46" t="inlineStr">
        <is>
          <t xml:space="preserve">Marisol Thistlewood</t>
        </is>
      </c>
      <c r="C150" s="47">
        <v>46195</v>
      </c>
      <c r="D150" s="48" t="inlineStr">
        <is>
          <t xml:space="preserve">Bound - within authority</t>
        </is>
      </c>
      <c r="E150" s="48" t="inlineStr">
        <is>
          <t xml:space="preserve">New business</t>
        </is>
      </c>
      <c r="F150" s="46" t="inlineStr">
        <is>
          <t xml:space="preserve">B1234EXOTIC26</t>
        </is>
      </c>
      <c r="G150" s="33">
        <f>IF($A150="","",IF($C150="","",YEAR($C150)))</f>
      </c>
      <c r="H150" s="49">
        <v>2008</v>
      </c>
      <c r="I150" s="46" t="inlineStr">
        <is>
          <t xml:space="preserve">Mercedes-Benz</t>
        </is>
      </c>
      <c r="J150" s="46" t="inlineStr">
        <is>
          <t xml:space="preserve">AMG GT</t>
        </is>
      </c>
      <c r="K150" s="46" t="inlineStr">
        <is>
          <t xml:space="preserve">C0E74GR5735XJG100</t>
        </is>
      </c>
      <c r="L150" s="48" t="inlineStr">
        <is>
          <t xml:space="preserve">02 - Sports / GT</t>
        </is>
      </c>
      <c r="M150" s="50">
        <v>205000</v>
      </c>
      <c r="N150" s="48" t="inlineStr">
        <is>
          <t xml:space="preserve">Personal</t>
        </is>
      </c>
      <c r="O150" s="46" t="inlineStr">
        <is>
          <t xml:space="preserve">Personal - regular use</t>
        </is>
      </c>
      <c r="P150" s="46" t="inlineStr">
        <is>
          <t xml:space="preserve">2,500 - 5,000</t>
        </is>
      </c>
      <c r="Q150" s="46" t="inlineStr">
        <is>
          <t xml:space="preserve">Colorado</t>
        </is>
      </c>
      <c r="R150" s="46" t="inlineStr">
        <is>
          <t xml:space="preserve">80202</t>
        </is>
      </c>
      <c r="S150" s="48" t="inlineStr">
        <is>
          <t xml:space="preserve">Severe convective - hail alley (high)</t>
        </is>
      </c>
      <c r="T150" s="36">
        <f>IF($A150="","",IF($S150="","",IFERROR(INDEX('[1]natural catastrophe'!$D$6:$D$17,MATCH($S150,'[1]natural catastrophe'!$B$6:$B$17,0)),"?")))</f>
      </c>
      <c r="U150" s="46" t="inlineStr">
        <is>
          <t xml:space="preserve">$5,000</t>
        </is>
      </c>
      <c r="V150" s="48" t="inlineStr">
        <is>
          <t xml:space="preserve">Agreed Value</t>
        </is>
      </c>
      <c r="W150" s="46" t="inlineStr">
        <is>
          <t xml:space="preserve">$1,000</t>
        </is>
      </c>
      <c r="X150" s="48" t="inlineStr">
        <is>
          <t xml:space="preserve">$1,000,000 CSL</t>
        </is>
      </c>
      <c r="Y150" s="46"/>
      <c r="Z150" s="46"/>
      <c r="AA150" s="48" t="inlineStr">
        <is>
          <t xml:space="preserve">Surplus Lines</t>
        </is>
      </c>
      <c r="AB150" s="50">
        <v>2993.69</v>
      </c>
      <c r="AC150" s="51">
        <v>0</v>
      </c>
      <c r="AD150" s="38">
        <f>IF(ISNUMBER($AB150),$AB150*(1+N($AC150)),"")</f>
      </c>
      <c r="AE150" s="50">
        <v>350</v>
      </c>
      <c r="AF150" s="50">
        <v>0</v>
      </c>
      <c r="AG150" s="51"/>
      <c r="AH150" s="39">
        <f>IF(ISNUMBER($AD150),($AD150+$AE150+$AF150)*$AG150,"")</f>
      </c>
      <c r="AI150" s="50"/>
      <c r="AJ150" s="38">
        <f>IF(ISNUMBER($AD150),SUM($AD150:$AH150),"")</f>
      </c>
      <c r="AK150" s="40">
        <f>IF(AND(ISNUMBER($AB150),ISNUMBER($AD150)),IF($AB150&gt;0,$AD150/$AB150,""),"")</f>
      </c>
      <c r="AL150" s="48" t="inlineStr">
        <is>
          <t xml:space="preserve">At technical</t>
        </is>
      </c>
      <c r="AM150" s="41">
        <f>IF(ISNUMBER($AD150),Header!$I$3,"")</f>
      </c>
      <c r="AN150" s="39">
        <f>IF(ISNUMBER($AD150),$AO150+$AP150,"")</f>
      </c>
      <c r="AO150" s="39">
        <f>IF(ISNUMBER($AD150),ROUND($AD150*Header!$K$3,2),"")</f>
      </c>
      <c r="AP150" s="39">
        <f>IF(ISNUMBER($AD150),ROUND($AD150*Header!$M$3,2),"")</f>
      </c>
      <c r="AQ150" s="38">
        <f>IF(ISNUMBER($AD150),ROUND($AD150,2)-$AO150-$AP150,"")</f>
      </c>
      <c r="AR150" s="39">
        <f>IF(ISNUMBER($AD150),IF(Header!$D$34="","?",$AD150*Header!$D$34),"")</f>
      </c>
      <c r="AS150" s="39">
        <f>IF(ISNUMBER($AB150),IF(Header!$D$34="","?",$AB150*Header!$D$34),"")</f>
      </c>
      <c r="AT150" s="42">
        <f>IF(AND(ISNUMBER($AB150),$M150&gt;0),$AB150/$M150*100,"")</f>
      </c>
      <c r="AU150" s="42">
        <f>IF(AND(ISNUMBER($AD150),$M150&gt;0),$AD150/$M150*100,"")</f>
      </c>
      <c r="AV150" s="40">
        <f>IF(AND(ISNUMBER($AB150),ISNUMBER($AD150),ABS($AB150)&gt;0),$AD150/$AB150,"")</f>
      </c>
      <c r="AW150" s="39">
        <f>IF(ISNUMBER($AD150),MAX(0,(1-0.55-Header!$O$3)*Header!$Q$3*$AQ150),"")</f>
      </c>
      <c r="AX150" s="43">
        <f>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c>
      <c r="AY150" s="44">
        <f>IF($M150="","",IF(ISNUMBER($M150),IF($M150&gt;=Header!$C$18,"YES — refer","No"),""))</f>
      </c>
      <c r="AZ150" s="44">
        <f>IF($AD150="","",IF(ISNUMBER($AD150),IF($AD150&lt;Header!$C$20,"BELOW MIN PREMIUM","OK"),""))</f>
      </c>
      <c r="BA150" s="48" t="inlineStr">
        <is>
          <t xml:space="preserve">Yes</t>
        </is>
      </c>
      <c r="BB150" s="48" t="inlineStr">
        <is>
          <t xml:space="preserve">Yes</t>
        </is>
      </c>
      <c r="BC150" s="46" t="inlineStr">
        <is>
          <t xml:space="preserve">Synthetic demo data</t>
        </is>
      </c>
      <c r="BE150" s="45">
        <f>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c>
      <c r="BF150" s="45">
        <f>IF($AD150="","",IF(ROUND($AO150+$AP150+$AQ150-$AD150,2)=0,"OK","FAIL - out by "&amp;TEXT($AO150+$AP150+$AQ150-$AD150,"$0.00")))</f>
      </c>
    </row>
    <row r="151" spans="1:58" ht="18.75" customHeight="1" x14ac:dyDescent="0.25">
      <c r="A151" s="30" t="inlineStr">
        <is>
          <t xml:space="preserve">CANON-202606-008608</t>
        </is>
      </c>
      <c r="B151" s="30" t="inlineStr">
        <is>
          <t xml:space="preserve">Wilhelmina Vasquez</t>
        </is>
      </c>
      <c r="C151" s="31">
        <v>46200</v>
      </c>
      <c r="D151" s="32" t="inlineStr">
        <is>
          <t xml:space="preserve">Bound - within authority</t>
        </is>
      </c>
      <c r="E151" s="32" t="inlineStr">
        <is>
          <t xml:space="preserve">New business</t>
        </is>
      </c>
      <c r="F151" s="30" t="inlineStr">
        <is>
          <t xml:space="preserve">B1234EXOTIC26</t>
        </is>
      </c>
      <c r="G151" s="33">
        <f>IF($A151="","",IF($C151="","",YEAR($C151)))</f>
      </c>
      <c r="H151" s="34">
        <v>1981</v>
      </c>
      <c r="I151" s="30" t="inlineStr">
        <is>
          <t xml:space="preserve">BMW</t>
        </is>
      </c>
      <c r="J151" s="30" t="inlineStr">
        <is>
          <t xml:space="preserve">M8 Competition</t>
        </is>
      </c>
      <c r="K151" s="30" t="inlineStr">
        <is>
          <t xml:space="preserve">DH1LGC1SMTFEHVSML</t>
        </is>
      </c>
      <c r="L151" s="32" t="inlineStr">
        <is>
          <t xml:space="preserve">02 - Sports / GT</t>
        </is>
      </c>
      <c r="M151" s="35">
        <v>340000</v>
      </c>
      <c r="N151" s="32" t="inlineStr">
        <is>
          <t xml:space="preserve">Personal</t>
        </is>
      </c>
      <c r="O151" s="30" t="inlineStr">
        <is>
          <t xml:space="preserve">Personal - regular use</t>
        </is>
      </c>
      <c r="P151" s="30" t="inlineStr">
        <is>
          <t xml:space="preserve">2,500 - 5,000</t>
        </is>
      </c>
      <c r="Q151" s="30" t="inlineStr">
        <is>
          <t xml:space="preserve">Minnesota</t>
        </is>
      </c>
      <c r="R151" s="30" t="inlineStr">
        <is>
          <t xml:space="preserve">55401</t>
        </is>
      </c>
      <c r="S151" s="32" t="inlineStr">
        <is>
          <t xml:space="preserve">Severe convective - hail / tornado (moderate)</t>
        </is>
      </c>
      <c r="T151" s="36">
        <f>IF($A151="","",IF($S151="","",IFERROR(INDEX('[1]natural catastrophe'!$D$6:$D$17,MATCH($S151,'[1]natural catastrophe'!$B$6:$B$17,0)),"?")))</f>
      </c>
      <c r="U151" s="30" t="inlineStr">
        <is>
          <t xml:space="preserve">$5,000</t>
        </is>
      </c>
      <c r="V151" s="32" t="inlineStr">
        <is>
          <t xml:space="preserve">Agreed Value</t>
        </is>
      </c>
      <c r="W151" s="30" t="inlineStr">
        <is>
          <t xml:space="preserve">$1,000</t>
        </is>
      </c>
      <c r="X151" s="32" t="inlineStr">
        <is>
          <t xml:space="preserve">$1,000,000 CSL</t>
        </is>
      </c>
      <c r="Y151" s="30"/>
      <c r="Z151" s="30"/>
      <c r="AA151" s="32" t="inlineStr">
        <is>
          <t xml:space="preserve">Surplus Lines</t>
        </is>
      </c>
      <c r="AB151" s="35">
        <v>4857.2</v>
      </c>
      <c r="AC151" s="37">
        <v>0</v>
      </c>
      <c r="AD151" s="38">
        <f>IF(ISNUMBER($AB151),$AB151*(1+N($AC151)),"")</f>
      </c>
      <c r="AE151" s="35">
        <v>350</v>
      </c>
      <c r="AF151" s="35">
        <v>0</v>
      </c>
      <c r="AG151" s="37"/>
      <c r="AH151" s="39">
        <f>IF(ISNUMBER($AD151),($AD151+$AE151+$AF151)*$AG151,"")</f>
      </c>
      <c r="AI151" s="35"/>
      <c r="AJ151" s="38">
        <f>IF(ISNUMBER($AD151),SUM($AD151:$AH151),"")</f>
      </c>
      <c r="AK151" s="40">
        <f>IF(AND(ISNUMBER($AB151),ISNUMBER($AD151)),IF($AB151&gt;0,$AD151/$AB151,""),"")</f>
      </c>
      <c r="AL151" s="32" t="inlineStr">
        <is>
          <t xml:space="preserve">At technical</t>
        </is>
      </c>
      <c r="AM151" s="41">
        <f>IF(ISNUMBER($AD151),Header!$I$3,"")</f>
      </c>
      <c r="AN151" s="39">
        <f>IF(ISNUMBER($AD151),$AO151+$AP151,"")</f>
      </c>
      <c r="AO151" s="39">
        <f>IF(ISNUMBER($AD151),ROUND($AD151*Header!$K$3,2),"")</f>
      </c>
      <c r="AP151" s="39">
        <f>IF(ISNUMBER($AD151),ROUND($AD151*Header!$M$3,2),"")</f>
      </c>
      <c r="AQ151" s="38">
        <f>IF(ISNUMBER($AD151),ROUND($AD151,2)-$AO151-$AP151,"")</f>
      </c>
      <c r="AR151" s="39">
        <f>IF(ISNUMBER($AD151),IF(Header!$D$34="","?",$AD151*Header!$D$34),"")</f>
      </c>
      <c r="AS151" s="39">
        <f>IF(ISNUMBER($AB151),IF(Header!$D$34="","?",$AB151*Header!$D$34),"")</f>
      </c>
      <c r="AT151" s="42">
        <f>IF(AND(ISNUMBER($AB151),$M151&gt;0),$AB151/$M151*100,"")</f>
      </c>
      <c r="AU151" s="42">
        <f>IF(AND(ISNUMBER($AD151),$M151&gt;0),$AD151/$M151*100,"")</f>
      </c>
      <c r="AV151" s="40">
        <f>IF(AND(ISNUMBER($AB151),ISNUMBER($AD151),ABS($AB151)&gt;0),$AD151/$AB151,"")</f>
      </c>
      <c r="AW151" s="39">
        <f>IF(ISNUMBER($AD151),MAX(0,(1-0.55-Header!$O$3)*Header!$Q$3*$AQ151),"")</f>
      </c>
      <c r="AX151" s="43">
        <f>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c>
      <c r="AY151" s="44">
        <f>IF($M151="","",IF(ISNUMBER($M151),IF($M151&gt;=Header!$C$18,"YES — refer","No"),""))</f>
      </c>
      <c r="AZ151" s="44">
        <f>IF($AD151="","",IF(ISNUMBER($AD151),IF($AD151&lt;Header!$C$20,"BELOW MIN PREMIUM","OK"),""))</f>
      </c>
      <c r="BA151" s="32" t="inlineStr">
        <is>
          <t xml:space="preserve">Yes</t>
        </is>
      </c>
      <c r="BB151" s="32" t="inlineStr">
        <is>
          <t xml:space="preserve">Yes</t>
        </is>
      </c>
      <c r="BC151" s="30" t="inlineStr">
        <is>
          <t xml:space="preserve">Synthetic demo data</t>
        </is>
      </c>
      <c r="BE151" s="45">
        <f>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c>
      <c r="BF151" s="45">
        <f>IF($AD151="","",IF(ROUND($AO151+$AP151+$AQ151-$AD151,2)=0,"OK","FAIL - out by "&amp;TEXT($AO151+$AP151+$AQ151-$AD151,"$0.00")))</f>
      </c>
    </row>
    <row r="152" spans="1:58" ht="18.75" customHeight="1" x14ac:dyDescent="0.25">
      <c r="A152" s="46" t="inlineStr">
        <is>
          <t xml:space="preserve">CANON-202606-008611</t>
        </is>
      </c>
      <c r="B152" s="46" t="inlineStr">
        <is>
          <t xml:space="preserve">Leopold Bellandi</t>
        </is>
      </c>
      <c r="C152" s="47">
        <v>46196</v>
      </c>
      <c r="D152" s="48" t="inlineStr">
        <is>
          <t xml:space="preserve">Bound - within authority</t>
        </is>
      </c>
      <c r="E152" s="48" t="inlineStr">
        <is>
          <t xml:space="preserve">New business</t>
        </is>
      </c>
      <c r="F152" s="46" t="inlineStr">
        <is>
          <t xml:space="preserve">B1234EXOTIC26</t>
        </is>
      </c>
      <c r="G152" s="33">
        <f>IF($A152="","",IF($C152="","",YEAR($C152)))</f>
      </c>
      <c r="H152" s="49">
        <v>1979</v>
      </c>
      <c r="I152" s="46" t="inlineStr">
        <is>
          <t xml:space="preserve">Ferrari</t>
        </is>
      </c>
      <c r="J152" s="46" t="inlineStr">
        <is>
          <t xml:space="preserve">SF90 Stradale</t>
        </is>
      </c>
      <c r="K152" s="46" t="inlineStr">
        <is>
          <t xml:space="preserve">MPY74P7E318ETU8Y7</t>
        </is>
      </c>
      <c r="L152" s="48" t="inlineStr">
        <is>
          <t xml:space="preserve">03 - Supercar</t>
        </is>
      </c>
      <c r="M152" s="50">
        <v>1770000</v>
      </c>
      <c r="N152" s="48" t="inlineStr">
        <is>
          <t xml:space="preserve">Personal</t>
        </is>
      </c>
      <c r="O152" s="46" t="inlineStr">
        <is>
          <t xml:space="preserve">Personal - regular use</t>
        </is>
      </c>
      <c r="P152" s="46" t="inlineStr">
        <is>
          <t xml:space="preserve">Under 1,000</t>
        </is>
      </c>
      <c r="Q152" s="46" t="inlineStr">
        <is>
          <t xml:space="preserve">California</t>
        </is>
      </c>
      <c r="R152" s="46" t="inlineStr">
        <is>
          <t xml:space="preserve">90012</t>
        </is>
      </c>
      <c r="S152" s="48" t="inlineStr">
        <is>
          <t xml:space="preserve">Earthquake - high (CA, Cascadia, New Madrid)</t>
        </is>
      </c>
      <c r="T152" s="36">
        <f>IF($A152="","",IF($S152="","",IFERROR(INDEX('[1]natural catastrophe'!$D$6:$D$17,MATCH($S152,'[1]natural catastrophe'!$B$6:$B$17,0)),"?")))</f>
      </c>
      <c r="U152" s="46" t="inlineStr">
        <is>
          <t xml:space="preserve">$5,000</t>
        </is>
      </c>
      <c r="V152" s="48" t="inlineStr">
        <is>
          <t xml:space="preserve">Agreed Value</t>
        </is>
      </c>
      <c r="W152" s="46" t="inlineStr">
        <is>
          <t xml:space="preserve">$1,000</t>
        </is>
      </c>
      <c r="X152" s="48" t="inlineStr">
        <is>
          <t xml:space="preserve">$1,000,000 CSL</t>
        </is>
      </c>
      <c r="Y152" s="46"/>
      <c r="Z152" s="46"/>
      <c r="AA152" s="48" t="inlineStr">
        <is>
          <t xml:space="preserve">Surplus Lines</t>
        </is>
      </c>
      <c r="AB152" s="50">
        <v>27584.75</v>
      </c>
      <c r="AC152" s="51">
        <v>0</v>
      </c>
      <c r="AD152" s="38">
        <f>IF(ISNUMBER($AB152),$AB152*(1+N($AC152)),"")</f>
      </c>
      <c r="AE152" s="50">
        <v>350</v>
      </c>
      <c r="AF152" s="50">
        <v>250</v>
      </c>
      <c r="AG152" s="51"/>
      <c r="AH152" s="39">
        <f>IF(ISNUMBER($AD152),($AD152+$AE152+$AF152)*$AG152,"")</f>
      </c>
      <c r="AI152" s="50"/>
      <c r="AJ152" s="38">
        <f>IF(ISNUMBER($AD152),SUM($AD152:$AH152),"")</f>
      </c>
      <c r="AK152" s="40">
        <f>IF(AND(ISNUMBER($AB152),ISNUMBER($AD152)),IF($AB152&gt;0,$AD152/$AB152,""),"")</f>
      </c>
      <c r="AL152" s="48" t="inlineStr">
        <is>
          <t xml:space="preserve">At technical</t>
        </is>
      </c>
      <c r="AM152" s="41">
        <f>IF(ISNUMBER($AD152),Header!$I$3,"")</f>
      </c>
      <c r="AN152" s="39">
        <f>IF(ISNUMBER($AD152),$AO152+$AP152,"")</f>
      </c>
      <c r="AO152" s="39">
        <f>IF(ISNUMBER($AD152),ROUND($AD152*Header!$K$3,2),"")</f>
      </c>
      <c r="AP152" s="39">
        <f>IF(ISNUMBER($AD152),ROUND($AD152*Header!$M$3,2),"")</f>
      </c>
      <c r="AQ152" s="38">
        <f>IF(ISNUMBER($AD152),ROUND($AD152,2)-$AO152-$AP152,"")</f>
      </c>
      <c r="AR152" s="39">
        <f>IF(ISNUMBER($AD152),IF(Header!$D$34="","?",$AD152*Header!$D$34),"")</f>
      </c>
      <c r="AS152" s="39">
        <f>IF(ISNUMBER($AB152),IF(Header!$D$34="","?",$AB152*Header!$D$34),"")</f>
      </c>
      <c r="AT152" s="42">
        <f>IF(AND(ISNUMBER($AB152),$M152&gt;0),$AB152/$M152*100,"")</f>
      </c>
      <c r="AU152" s="42">
        <f>IF(AND(ISNUMBER($AD152),$M152&gt;0),$AD152/$M152*100,"")</f>
      </c>
      <c r="AV152" s="40">
        <f>IF(AND(ISNUMBER($AB152),ISNUMBER($AD152),ABS($AB152)&gt;0),$AD152/$AB152,"")</f>
      </c>
      <c r="AW152" s="39">
        <f>IF(ISNUMBER($AD152),MAX(0,(1-0.55-Header!$O$3)*Header!$Q$3*$AQ152),"")</f>
      </c>
      <c r="AX152" s="43">
        <f>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c>
      <c r="AY152" s="44">
        <f>IF($M152="","",IF(ISNUMBER($M152),IF($M152&gt;=Header!$C$18,"YES — refer","No"),""))</f>
      </c>
      <c r="AZ152" s="44">
        <f>IF($AD152="","",IF(ISNUMBER($AD152),IF($AD152&lt;Header!$C$20,"BELOW MIN PREMIUM","OK"),""))</f>
      </c>
      <c r="BA152" s="48" t="inlineStr">
        <is>
          <t xml:space="preserve">Yes</t>
        </is>
      </c>
      <c r="BB152" s="48" t="inlineStr">
        <is>
          <t xml:space="preserve">Yes</t>
        </is>
      </c>
      <c r="BC152" s="46" t="inlineStr">
        <is>
          <t xml:space="preserve">Synthetic demo data</t>
        </is>
      </c>
      <c r="BE152" s="45">
        <f>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c>
      <c r="BF152" s="45">
        <f>IF($AD152="","",IF(ROUND($AO152+$AP152+$AQ152-$AD152,2)=0,"OK","FAIL - out by "&amp;TEXT($AO152+$AP152+$AQ152-$AD152,"$0.00")))</f>
      </c>
    </row>
    <row r="153" spans="1:58" ht="18.75" customHeight="1" x14ac:dyDescent="0.25">
      <c r="A153" s="30" t="inlineStr">
        <is>
          <t xml:space="preserve">CANON-202606-008612</t>
        </is>
      </c>
      <c r="B153" s="30" t="inlineStr">
        <is>
          <t xml:space="preserve">Ottilie Pennington</t>
        </is>
      </c>
      <c r="C153" s="31">
        <v>46184</v>
      </c>
      <c r="D153" s="32" t="inlineStr">
        <is>
          <t xml:space="preserve">Bound - within authority</t>
        </is>
      </c>
      <c r="E153" s="32" t="inlineStr">
        <is>
          <t xml:space="preserve">New business</t>
        </is>
      </c>
      <c r="F153" s="30" t="inlineStr">
        <is>
          <t xml:space="preserve">B1234EXOTIC26</t>
        </is>
      </c>
      <c r="G153" s="33">
        <f>IF($A153="","",IF($C153="","",YEAR($C153)))</f>
      </c>
      <c r="H153" s="34">
        <v>1999</v>
      </c>
      <c r="I153" s="30" t="inlineStr">
        <is>
          <t xml:space="preserve">Singer</t>
        </is>
      </c>
      <c r="J153" s="30" t="inlineStr">
        <is>
          <t xml:space="preserve">911 Reimagined</t>
        </is>
      </c>
      <c r="K153" s="30" t="inlineStr">
        <is>
          <t xml:space="preserve">6EV4EJSPRJT8U6PW8</t>
        </is>
      </c>
      <c r="L153" s="32" t="inlineStr">
        <is>
          <t xml:space="preserve">11 - Restomod / Coachbuilt / Bespoke</t>
        </is>
      </c>
      <c r="M153" s="35">
        <v>810000</v>
      </c>
      <c r="N153" s="32" t="inlineStr">
        <is>
          <t xml:space="preserve">Personal</t>
        </is>
      </c>
      <c r="O153" s="30" t="inlineStr">
        <is>
          <t xml:space="preserve">Personal - regular use</t>
        </is>
      </c>
      <c r="P153" s="30" t="inlineStr">
        <is>
          <t xml:space="preserve">Under 1,000</t>
        </is>
      </c>
      <c r="Q153" s="30" t="inlineStr">
        <is>
          <t xml:space="preserve">Pennsylvania</t>
        </is>
      </c>
      <c r="R153" s="30" t="inlineStr">
        <is>
          <t xml:space="preserve">19103</t>
        </is>
      </c>
      <c r="S153" s="32" t="inlineStr">
        <is>
          <t xml:space="preserve">Low hazard - inland benign</t>
        </is>
      </c>
      <c r="T153" s="36">
        <f>IF($A153="","",IF($S153="","",IFERROR(INDEX('[1]natural catastrophe'!$D$6:$D$17,MATCH($S153,'[1]natural catastrophe'!$B$6:$B$17,0)),"?")))</f>
      </c>
      <c r="U153" s="30" t="inlineStr">
        <is>
          <t xml:space="preserve">$5,000</t>
        </is>
      </c>
      <c r="V153" s="32" t="inlineStr">
        <is>
          <t xml:space="preserve">Agreed Value</t>
        </is>
      </c>
      <c r="W153" s="30" t="inlineStr">
        <is>
          <t xml:space="preserve">$1,000</t>
        </is>
      </c>
      <c r="X153" s="32" t="inlineStr">
        <is>
          <t xml:space="preserve">$1,000,000 CSL</t>
        </is>
      </c>
      <c r="Y153" s="30"/>
      <c r="Z153" s="30"/>
      <c r="AA153" s="32" t="inlineStr">
        <is>
          <t xml:space="preserve">Surplus Lines</t>
        </is>
      </c>
      <c r="AB153" s="35">
        <v>9116.99</v>
      </c>
      <c r="AC153" s="37">
        <v>0</v>
      </c>
      <c r="AD153" s="38">
        <f>IF(ISNUMBER($AB153),$AB153*(1+N($AC153)),"")</f>
      </c>
      <c r="AE153" s="35">
        <v>350</v>
      </c>
      <c r="AF153" s="35">
        <v>0</v>
      </c>
      <c r="AG153" s="37"/>
      <c r="AH153" s="39">
        <f>IF(ISNUMBER($AD153),($AD153+$AE153+$AF153)*$AG153,"")</f>
      </c>
      <c r="AI153" s="35"/>
      <c r="AJ153" s="38">
        <f>IF(ISNUMBER($AD153),SUM($AD153:$AH153),"")</f>
      </c>
      <c r="AK153" s="40">
        <f>IF(AND(ISNUMBER($AB153),ISNUMBER($AD153)),IF($AB153&gt;0,$AD153/$AB153,""),"")</f>
      </c>
      <c r="AL153" s="32" t="inlineStr">
        <is>
          <t xml:space="preserve">At technical</t>
        </is>
      </c>
      <c r="AM153" s="41">
        <f>IF(ISNUMBER($AD153),Header!$I$3,"")</f>
      </c>
      <c r="AN153" s="39">
        <f>IF(ISNUMBER($AD153),$AO153+$AP153,"")</f>
      </c>
      <c r="AO153" s="39">
        <f>IF(ISNUMBER($AD153),ROUND($AD153*Header!$K$3,2),"")</f>
      </c>
      <c r="AP153" s="39">
        <f>IF(ISNUMBER($AD153),ROUND($AD153*Header!$M$3,2),"")</f>
      </c>
      <c r="AQ153" s="38">
        <f>IF(ISNUMBER($AD153),ROUND($AD153,2)-$AO153-$AP153,"")</f>
      </c>
      <c r="AR153" s="39">
        <f>IF(ISNUMBER($AD153),IF(Header!$D$34="","?",$AD153*Header!$D$34),"")</f>
      </c>
      <c r="AS153" s="39">
        <f>IF(ISNUMBER($AB153),IF(Header!$D$34="","?",$AB153*Header!$D$34),"")</f>
      </c>
      <c r="AT153" s="42">
        <f>IF(AND(ISNUMBER($AB153),$M153&gt;0),$AB153/$M153*100,"")</f>
      </c>
      <c r="AU153" s="42">
        <f>IF(AND(ISNUMBER($AD153),$M153&gt;0),$AD153/$M153*100,"")</f>
      </c>
      <c r="AV153" s="40">
        <f>IF(AND(ISNUMBER($AB153),ISNUMBER($AD153),ABS($AB153)&gt;0),$AD153/$AB153,"")</f>
      </c>
      <c r="AW153" s="39">
        <f>IF(ISNUMBER($AD153),MAX(0,(1-0.55-Header!$O$3)*Header!$Q$3*$AQ153),"")</f>
      </c>
      <c r="AX153" s="43">
        <f>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c>
      <c r="AY153" s="44">
        <f>IF($M153="","",IF(ISNUMBER($M153),IF($M153&gt;=Header!$C$18,"YES — refer","No"),""))</f>
      </c>
      <c r="AZ153" s="44">
        <f>IF($AD153="","",IF(ISNUMBER($AD153),IF($AD153&lt;Header!$C$20,"BELOW MIN PREMIUM","OK"),""))</f>
      </c>
      <c r="BA153" s="32" t="inlineStr">
        <is>
          <t xml:space="preserve">Yes</t>
        </is>
      </c>
      <c r="BB153" s="32" t="inlineStr">
        <is>
          <t xml:space="preserve">Yes</t>
        </is>
      </c>
      <c r="BC153" s="30" t="inlineStr">
        <is>
          <t xml:space="preserve">Synthetic demo data</t>
        </is>
      </c>
      <c r="BE153" s="45">
        <f>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c>
      <c r="BF153" s="45">
        <f>IF($AD153="","",IF(ROUND($AO153+$AP153+$AQ153-$AD153,2)=0,"OK","FAIL - out by "&amp;TEXT($AO153+$AP153+$AQ153-$AD153,"$0.00")))</f>
      </c>
    </row>
    <row r="154" spans="1:58" ht="18.75" customHeight="1" x14ac:dyDescent="0.25">
      <c r="A154" s="46" t="inlineStr">
        <is>
          <t xml:space="preserve">CANON-202606-008613</t>
        </is>
      </c>
      <c r="B154" s="46" t="inlineStr">
        <is>
          <t xml:space="preserve">Saoirse Kingsford</t>
        </is>
      </c>
      <c r="C154" s="47">
        <v>46177</v>
      </c>
      <c r="D154" s="48" t="inlineStr">
        <is>
          <t xml:space="preserve">Bound - within authority</t>
        </is>
      </c>
      <c r="E154" s="48" t="inlineStr">
        <is>
          <t xml:space="preserve">New business</t>
        </is>
      </c>
      <c r="F154" s="46" t="inlineStr">
        <is>
          <t xml:space="preserve">B1234EXOTIC26</t>
        </is>
      </c>
      <c r="G154" s="33">
        <f>IF($A154="","",IF($C154="","",YEAR($C154)))</f>
      </c>
      <c r="H154" s="49">
        <v>1987</v>
      </c>
      <c r="I154" s="46" t="inlineStr">
        <is>
          <t xml:space="preserve">Porsche</t>
        </is>
      </c>
      <c r="J154" s="46" t="inlineStr">
        <is>
          <t xml:space="preserve">911 Turbo S</t>
        </is>
      </c>
      <c r="K154" s="46" t="inlineStr">
        <is>
          <t xml:space="preserve">7D8726K365YK8R6YB</t>
        </is>
      </c>
      <c r="L154" s="48" t="inlineStr">
        <is>
          <t xml:space="preserve">02 - Sports / GT</t>
        </is>
      </c>
      <c r="M154" s="50">
        <v>1550000</v>
      </c>
      <c r="N154" s="48" t="inlineStr">
        <is>
          <t xml:space="preserve">Personal</t>
        </is>
      </c>
      <c r="O154" s="46" t="inlineStr">
        <is>
          <t xml:space="preserve">Personal - regular use</t>
        </is>
      </c>
      <c r="P154" s="46" t="inlineStr">
        <is>
          <t xml:space="preserve">2,500 - 5,000</t>
        </is>
      </c>
      <c r="Q154" s="46" t="inlineStr">
        <is>
          <t xml:space="preserve">Florida</t>
        </is>
      </c>
      <c r="R154" s="46" t="inlineStr">
        <is>
          <t xml:space="preserve">33139</t>
        </is>
      </c>
      <c r="S154" s="48" t="inlineStr">
        <is>
          <t xml:space="preserve">Tier 2 - Coastal wind (1-25 miles)</t>
        </is>
      </c>
      <c r="T154" s="36">
        <f>IF($A154="","",IF($S154="","",IFERROR(INDEX('[1]natural catastrophe'!$D$6:$D$17,MATCH($S154,'[1]natural catastrophe'!$B$6:$B$17,0)),"?")))</f>
      </c>
      <c r="U154" s="46" t="inlineStr">
        <is>
          <t xml:space="preserve">2% of agreed value, minimum $10,000</t>
        </is>
      </c>
      <c r="V154" s="48" t="inlineStr">
        <is>
          <t xml:space="preserve">Agreed Value</t>
        </is>
      </c>
      <c r="W154" s="46" t="inlineStr">
        <is>
          <t xml:space="preserve">$1,000</t>
        </is>
      </c>
      <c r="X154" s="48" t="inlineStr">
        <is>
          <t xml:space="preserve">$1,000,000 CSL</t>
        </is>
      </c>
      <c r="Y154" s="46"/>
      <c r="Z154" s="46"/>
      <c r="AA154" s="48" t="inlineStr">
        <is>
          <t xml:space="preserve">Surplus Lines</t>
        </is>
      </c>
      <c r="AB154" s="50">
        <v>17468.47</v>
      </c>
      <c r="AC154" s="51">
        <v>0</v>
      </c>
      <c r="AD154" s="38">
        <f>IF(ISNUMBER($AB154),$AB154*(1+N($AC154)),"")</f>
      </c>
      <c r="AE154" s="50">
        <v>350</v>
      </c>
      <c r="AF154" s="50">
        <v>250</v>
      </c>
      <c r="AG154" s="51"/>
      <c r="AH154" s="39">
        <f>IF(ISNUMBER($AD154),($AD154+$AE154+$AF154)*$AG154,"")</f>
      </c>
      <c r="AI154" s="50"/>
      <c r="AJ154" s="38">
        <f>IF(ISNUMBER($AD154),SUM($AD154:$AH154),"")</f>
      </c>
      <c r="AK154" s="40">
        <f>IF(AND(ISNUMBER($AB154),ISNUMBER($AD154)),IF($AB154&gt;0,$AD154/$AB154,""),"")</f>
      </c>
      <c r="AL154" s="48" t="inlineStr">
        <is>
          <t xml:space="preserve">At technical</t>
        </is>
      </c>
      <c r="AM154" s="41">
        <f>IF(ISNUMBER($AD154),Header!$I$3,"")</f>
      </c>
      <c r="AN154" s="39">
        <f>IF(ISNUMBER($AD154),$AO154+$AP154,"")</f>
      </c>
      <c r="AO154" s="39">
        <f>IF(ISNUMBER($AD154),ROUND($AD154*Header!$K$3,2),"")</f>
      </c>
      <c r="AP154" s="39">
        <f>IF(ISNUMBER($AD154),ROUND($AD154*Header!$M$3,2),"")</f>
      </c>
      <c r="AQ154" s="38">
        <f>IF(ISNUMBER($AD154),ROUND($AD154,2)-$AO154-$AP154,"")</f>
      </c>
      <c r="AR154" s="39">
        <f>IF(ISNUMBER($AD154),IF(Header!$D$34="","?",$AD154*Header!$D$34),"")</f>
      </c>
      <c r="AS154" s="39">
        <f>IF(ISNUMBER($AB154),IF(Header!$D$34="","?",$AB154*Header!$D$34),"")</f>
      </c>
      <c r="AT154" s="42">
        <f>IF(AND(ISNUMBER($AB154),$M154&gt;0),$AB154/$M154*100,"")</f>
      </c>
      <c r="AU154" s="42">
        <f>IF(AND(ISNUMBER($AD154),$M154&gt;0),$AD154/$M154*100,"")</f>
      </c>
      <c r="AV154" s="40">
        <f>IF(AND(ISNUMBER($AB154),ISNUMBER($AD154),ABS($AB154)&gt;0),$AD154/$AB154,"")</f>
      </c>
      <c r="AW154" s="39">
        <f>IF(ISNUMBER($AD154),MAX(0,(1-0.55-Header!$O$3)*Header!$Q$3*$AQ154),"")</f>
      </c>
      <c r="AX154" s="43">
        <f>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c>
      <c r="AY154" s="44">
        <f>IF($M154="","",IF(ISNUMBER($M154),IF($M154&gt;=Header!$C$18,"YES — refer","No"),""))</f>
      </c>
      <c r="AZ154" s="44">
        <f>IF($AD154="","",IF(ISNUMBER($AD154),IF($AD154&lt;Header!$C$20,"BELOW MIN PREMIUM","OK"),""))</f>
      </c>
      <c r="BA154" s="48" t="inlineStr">
        <is>
          <t xml:space="preserve">Yes</t>
        </is>
      </c>
      <c r="BB154" s="48" t="inlineStr">
        <is>
          <t xml:space="preserve">Yes</t>
        </is>
      </c>
      <c r="BC154" s="46" t="inlineStr">
        <is>
          <t xml:space="preserve">Synthetic demo data</t>
        </is>
      </c>
      <c r="BE154" s="45">
        <f>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c>
      <c r="BF154" s="45">
        <f>IF($AD154="","",IF(ROUND($AO154+$AP154+$AQ154-$AD154,2)=0,"OK","FAIL - out by "&amp;TEXT($AO154+$AP154+$AQ154-$AD154,"$0.00")))</f>
      </c>
    </row>
    <row r="155" spans="1:58" ht="18.75" customHeight="1" x14ac:dyDescent="0.25">
      <c r="A155" s="30" t="inlineStr">
        <is>
          <t xml:space="preserve">CANON-202606-008614</t>
        </is>
      </c>
      <c r="B155" s="30" t="inlineStr">
        <is>
          <t xml:space="preserve">Noor Rourke</t>
        </is>
      </c>
      <c r="C155" s="31">
        <v>46189</v>
      </c>
      <c r="D155" s="32" t="inlineStr">
        <is>
          <t xml:space="preserve">Bound - within authority</t>
        </is>
      </c>
      <c r="E155" s="32" t="inlineStr">
        <is>
          <t xml:space="preserve">New business</t>
        </is>
      </c>
      <c r="F155" s="30" t="inlineStr">
        <is>
          <t xml:space="preserve">B1234EXOTIC26</t>
        </is>
      </c>
      <c r="G155" s="33">
        <f>IF($A155="","",IF($C155="","",YEAR($C155)))</f>
      </c>
      <c r="H155" s="34">
        <v>1982</v>
      </c>
      <c r="I155" s="30" t="inlineStr">
        <is>
          <t xml:space="preserve">Lamborghini</t>
        </is>
      </c>
      <c r="J155" s="30" t="inlineStr">
        <is>
          <t xml:space="preserve">Huracan EVO</t>
        </is>
      </c>
      <c r="K155" s="30" t="inlineStr">
        <is>
          <t xml:space="preserve">8CP6UUBL8U1XFC77C</t>
        </is>
      </c>
      <c r="L155" s="32" t="inlineStr">
        <is>
          <t xml:space="preserve">03 - Supercar</t>
        </is>
      </c>
      <c r="M155" s="35">
        <v>200000</v>
      </c>
      <c r="N155" s="32" t="inlineStr">
        <is>
          <t xml:space="preserve">Personal</t>
        </is>
      </c>
      <c r="O155" s="30" t="inlineStr">
        <is>
          <t xml:space="preserve">Personal - regular use</t>
        </is>
      </c>
      <c r="P155" s="30" t="inlineStr">
        <is>
          <t xml:space="preserve">Under 1,000</t>
        </is>
      </c>
      <c r="Q155" s="30" t="inlineStr">
        <is>
          <t xml:space="preserve">Nevada</t>
        </is>
      </c>
      <c r="R155" s="30" t="inlineStr">
        <is>
          <t xml:space="preserve">89101</t>
        </is>
      </c>
      <c r="S155" s="32" t="inlineStr">
        <is>
          <t xml:space="preserve">Wildfire - WUI high hazard</t>
        </is>
      </c>
      <c r="T155" s="36">
        <f>IF($A155="","",IF($S155="","",IFERROR(INDEX('[1]natural catastrophe'!$D$6:$D$17,MATCH($S155,'[1]natural catastrophe'!$B$6:$B$17,0)),"?")))</f>
      </c>
      <c r="U155" s="30" t="inlineStr">
        <is>
          <t xml:space="preserve">$5,000</t>
        </is>
      </c>
      <c r="V155" s="32" t="inlineStr">
        <is>
          <t xml:space="preserve">Agreed Value</t>
        </is>
      </c>
      <c r="W155" s="30" t="inlineStr">
        <is>
          <t xml:space="preserve">$1,000</t>
        </is>
      </c>
      <c r="X155" s="32" t="inlineStr">
        <is>
          <t xml:space="preserve">$1,000,000 CSL</t>
        </is>
      </c>
      <c r="Y155" s="30"/>
      <c r="Z155" s="30"/>
      <c r="AA155" s="32" t="inlineStr">
        <is>
          <t xml:space="preserve">Surplus Lines</t>
        </is>
      </c>
      <c r="AB155" s="35">
        <v>4794.86</v>
      </c>
      <c r="AC155" s="37">
        <v>0</v>
      </c>
      <c r="AD155" s="38">
        <f>IF(ISNUMBER($AB155),$AB155*(1+N($AC155)),"")</f>
      </c>
      <c r="AE155" s="35">
        <v>350</v>
      </c>
      <c r="AF155" s="35">
        <v>0</v>
      </c>
      <c r="AG155" s="37"/>
      <c r="AH155" s="39">
        <f>IF(ISNUMBER($AD155),($AD155+$AE155+$AF155)*$AG155,"")</f>
      </c>
      <c r="AI155" s="35"/>
      <c r="AJ155" s="38">
        <f>IF(ISNUMBER($AD155),SUM($AD155:$AH155),"")</f>
      </c>
      <c r="AK155" s="40">
        <f>IF(AND(ISNUMBER($AB155),ISNUMBER($AD155)),IF($AB155&gt;0,$AD155/$AB155,""),"")</f>
      </c>
      <c r="AL155" s="32" t="inlineStr">
        <is>
          <t xml:space="preserve">At technical</t>
        </is>
      </c>
      <c r="AM155" s="41">
        <f>IF(ISNUMBER($AD155),Header!$I$3,"")</f>
      </c>
      <c r="AN155" s="39">
        <f>IF(ISNUMBER($AD155),$AO155+$AP155,"")</f>
      </c>
      <c r="AO155" s="39">
        <f>IF(ISNUMBER($AD155),ROUND($AD155*Header!$K$3,2),"")</f>
      </c>
      <c r="AP155" s="39">
        <f>IF(ISNUMBER($AD155),ROUND($AD155*Header!$M$3,2),"")</f>
      </c>
      <c r="AQ155" s="38">
        <f>IF(ISNUMBER($AD155),ROUND($AD155,2)-$AO155-$AP155,"")</f>
      </c>
      <c r="AR155" s="39">
        <f>IF(ISNUMBER($AD155),IF(Header!$D$34="","?",$AD155*Header!$D$34),"")</f>
      </c>
      <c r="AS155" s="39">
        <f>IF(ISNUMBER($AB155),IF(Header!$D$34="","?",$AB155*Header!$D$34),"")</f>
      </c>
      <c r="AT155" s="42">
        <f>IF(AND(ISNUMBER($AB155),$M155&gt;0),$AB155/$M155*100,"")</f>
      </c>
      <c r="AU155" s="42">
        <f>IF(AND(ISNUMBER($AD155),$M155&gt;0),$AD155/$M155*100,"")</f>
      </c>
      <c r="AV155" s="40">
        <f>IF(AND(ISNUMBER($AB155),ISNUMBER($AD155),ABS($AB155)&gt;0),$AD155/$AB155,"")</f>
      </c>
      <c r="AW155" s="39">
        <f>IF(ISNUMBER($AD155),MAX(0,(1-0.55-Header!$O$3)*Header!$Q$3*$AQ155),"")</f>
      </c>
      <c r="AX155" s="43">
        <f>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c>
      <c r="AY155" s="44">
        <f>IF($M155="","",IF(ISNUMBER($M155),IF($M155&gt;=Header!$C$18,"YES — refer","No"),""))</f>
      </c>
      <c r="AZ155" s="44">
        <f>IF($AD155="","",IF(ISNUMBER($AD155),IF($AD155&lt;Header!$C$20,"BELOW MIN PREMIUM","OK"),""))</f>
      </c>
      <c r="BA155" s="32" t="inlineStr">
        <is>
          <t xml:space="preserve">Yes</t>
        </is>
      </c>
      <c r="BB155" s="32" t="inlineStr">
        <is>
          <t xml:space="preserve">Yes</t>
        </is>
      </c>
      <c r="BC155" s="30" t="inlineStr">
        <is>
          <t xml:space="preserve">Synthetic demo data</t>
        </is>
      </c>
      <c r="BE155" s="45">
        <f>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c>
      <c r="BF155" s="45">
        <f>IF($AD155="","",IF(ROUND($AO155+$AP155+$AQ155-$AD155,2)=0,"OK","FAIL - out by "&amp;TEXT($AO155+$AP155+$AQ155-$AD155,"$0.00")))</f>
      </c>
    </row>
    <row r="156" spans="1:58" ht="18.75" customHeight="1" x14ac:dyDescent="0.25">
      <c r="A156" s="46" t="inlineStr">
        <is>
          <t xml:space="preserve">CANON-202606-008615</t>
        </is>
      </c>
      <c r="B156" s="46" t="inlineStr">
        <is>
          <t xml:space="preserve">Aurelio Merriweather</t>
        </is>
      </c>
      <c r="C156" s="47">
        <v>46182</v>
      </c>
      <c r="D156" s="48" t="inlineStr">
        <is>
          <t xml:space="preserve">Bound - within authority</t>
        </is>
      </c>
      <c r="E156" s="48" t="inlineStr">
        <is>
          <t xml:space="preserve">New business</t>
        </is>
      </c>
      <c r="F156" s="46" t="inlineStr">
        <is>
          <t xml:space="preserve">B1234EXOTIC26</t>
        </is>
      </c>
      <c r="G156" s="33">
        <f>IF($A156="","",IF($C156="","",YEAR($C156)))</f>
      </c>
      <c r="H156" s="49">
        <v>1996</v>
      </c>
      <c r="I156" s="46" t="inlineStr">
        <is>
          <t xml:space="preserve">McLaren</t>
        </is>
      </c>
      <c r="J156" s="46" t="inlineStr">
        <is>
          <t xml:space="preserve">750S</t>
        </is>
      </c>
      <c r="K156" s="46" t="inlineStr">
        <is>
          <t xml:space="preserve">RG6C9CC2MU2G7T8LF</t>
        </is>
      </c>
      <c r="L156" s="48" t="inlineStr">
        <is>
          <t xml:space="preserve">03 - Supercar</t>
        </is>
      </c>
      <c r="M156" s="50">
        <v>265000</v>
      </c>
      <c r="N156" s="48" t="inlineStr">
        <is>
          <t xml:space="preserve">Personal</t>
        </is>
      </c>
      <c r="O156" s="46" t="inlineStr">
        <is>
          <t xml:space="preserve">Personal - regular use</t>
        </is>
      </c>
      <c r="P156" s="46" t="inlineStr">
        <is>
          <t xml:space="preserve">1,000 - 2,500</t>
        </is>
      </c>
      <c r="Q156" s="46" t="inlineStr">
        <is>
          <t xml:space="preserve">Pennsylvania</t>
        </is>
      </c>
      <c r="R156" s="46" t="inlineStr">
        <is>
          <t xml:space="preserve">19103</t>
        </is>
      </c>
      <c r="S156" s="48" t="inlineStr">
        <is>
          <t xml:space="preserve">Low hazard - inland benign</t>
        </is>
      </c>
      <c r="T156" s="36">
        <f>IF($A156="","",IF($S156="","",IFERROR(INDEX('[1]natural catastrophe'!$D$6:$D$17,MATCH($S156,'[1]natural catastrophe'!$B$6:$B$17,0)),"?")))</f>
      </c>
      <c r="U156" s="46" t="inlineStr">
        <is>
          <t xml:space="preserve">$5,000</t>
        </is>
      </c>
      <c r="V156" s="48" t="inlineStr">
        <is>
          <t xml:space="preserve">Agreed Value</t>
        </is>
      </c>
      <c r="W156" s="46" t="inlineStr">
        <is>
          <t xml:space="preserve">$1,000</t>
        </is>
      </c>
      <c r="X156" s="48" t="inlineStr">
        <is>
          <t xml:space="preserve">$1,000,000 CSL</t>
        </is>
      </c>
      <c r="Y156" s="46"/>
      <c r="Z156" s="46"/>
      <c r="AA156" s="48" t="inlineStr">
        <is>
          <t xml:space="preserve">Surplus Lines</t>
        </is>
      </c>
      <c r="AB156" s="50">
        <v>4397.6</v>
      </c>
      <c r="AC156" s="51">
        <v>0</v>
      </c>
      <c r="AD156" s="38">
        <f>IF(ISNUMBER($AB156),$AB156*(1+N($AC156)),"")</f>
      </c>
      <c r="AE156" s="50">
        <v>350</v>
      </c>
      <c r="AF156" s="50">
        <v>0</v>
      </c>
      <c r="AG156" s="51"/>
      <c r="AH156" s="39">
        <f>IF(ISNUMBER($AD156),($AD156+$AE156+$AF156)*$AG156,"")</f>
      </c>
      <c r="AI156" s="50"/>
      <c r="AJ156" s="38">
        <f>IF(ISNUMBER($AD156),SUM($AD156:$AH156),"")</f>
      </c>
      <c r="AK156" s="40">
        <f>IF(AND(ISNUMBER($AB156),ISNUMBER($AD156)),IF($AB156&gt;0,$AD156/$AB156,""),"")</f>
      </c>
      <c r="AL156" s="48" t="inlineStr">
        <is>
          <t xml:space="preserve">At technical</t>
        </is>
      </c>
      <c r="AM156" s="41">
        <f>IF(ISNUMBER($AD156),Header!$I$3,"")</f>
      </c>
      <c r="AN156" s="39">
        <f>IF(ISNUMBER($AD156),$AO156+$AP156,"")</f>
      </c>
      <c r="AO156" s="39">
        <f>IF(ISNUMBER($AD156),ROUND($AD156*Header!$K$3,2),"")</f>
      </c>
      <c r="AP156" s="39">
        <f>IF(ISNUMBER($AD156),ROUND($AD156*Header!$M$3,2),"")</f>
      </c>
      <c r="AQ156" s="38">
        <f>IF(ISNUMBER($AD156),ROUND($AD156,2)-$AO156-$AP156,"")</f>
      </c>
      <c r="AR156" s="39">
        <f>IF(ISNUMBER($AD156),IF(Header!$D$34="","?",$AD156*Header!$D$34),"")</f>
      </c>
      <c r="AS156" s="39">
        <f>IF(ISNUMBER($AB156),IF(Header!$D$34="","?",$AB156*Header!$D$34),"")</f>
      </c>
      <c r="AT156" s="42">
        <f>IF(AND(ISNUMBER($AB156),$M156&gt;0),$AB156/$M156*100,"")</f>
      </c>
      <c r="AU156" s="42">
        <f>IF(AND(ISNUMBER($AD156),$M156&gt;0),$AD156/$M156*100,"")</f>
      </c>
      <c r="AV156" s="40">
        <f>IF(AND(ISNUMBER($AB156),ISNUMBER($AD156),ABS($AB156)&gt;0),$AD156/$AB156,"")</f>
      </c>
      <c r="AW156" s="39">
        <f>IF(ISNUMBER($AD156),MAX(0,(1-0.55-Header!$O$3)*Header!$Q$3*$AQ156),"")</f>
      </c>
      <c r="AX156" s="43">
        <f>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c>
      <c r="AY156" s="44">
        <f>IF($M156="","",IF(ISNUMBER($M156),IF($M156&gt;=Header!$C$18,"YES — refer","No"),""))</f>
      </c>
      <c r="AZ156" s="44">
        <f>IF($AD156="","",IF(ISNUMBER($AD156),IF($AD156&lt;Header!$C$20,"BELOW MIN PREMIUM","OK"),""))</f>
      </c>
      <c r="BA156" s="48" t="inlineStr">
        <is>
          <t xml:space="preserve">Yes</t>
        </is>
      </c>
      <c r="BB156" s="48" t="inlineStr">
        <is>
          <t xml:space="preserve">Yes</t>
        </is>
      </c>
      <c r="BC156" s="46" t="inlineStr">
        <is>
          <t xml:space="preserve">Synthetic demo data</t>
        </is>
      </c>
      <c r="BE156" s="45">
        <f>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c>
      <c r="BF156" s="45">
        <f>IF($AD156="","",IF(ROUND($AO156+$AP156+$AQ156-$AD156,2)=0,"OK","FAIL - out by "&amp;TEXT($AO156+$AP156+$AQ156-$AD156,"$0.00")))</f>
      </c>
    </row>
    <row r="157" spans="1:58" ht="18.75" customHeight="1" x14ac:dyDescent="0.25">
      <c r="A157" s="30" t="inlineStr">
        <is>
          <t xml:space="preserve">CANON-202606-008616</t>
        </is>
      </c>
      <c r="B157" s="30" t="inlineStr">
        <is>
          <t xml:space="preserve">Ramona Fairweather</t>
        </is>
      </c>
      <c r="C157" s="31">
        <v>46200</v>
      </c>
      <c r="D157" s="32" t="inlineStr">
        <is>
          <t xml:space="preserve">Bound - within authority</t>
        </is>
      </c>
      <c r="E157" s="32" t="inlineStr">
        <is>
          <t xml:space="preserve">New business</t>
        </is>
      </c>
      <c r="F157" s="30" t="inlineStr">
        <is>
          <t xml:space="preserve">B1234EXOTIC26</t>
        </is>
      </c>
      <c r="G157" s="33">
        <f>IF($A157="","",IF($C157="","",YEAR($C157)))</f>
      </c>
      <c r="H157" s="34">
        <v>2010</v>
      </c>
      <c r="I157" s="30" t="inlineStr">
        <is>
          <t xml:space="preserve">McLaren</t>
        </is>
      </c>
      <c r="J157" s="30" t="inlineStr">
        <is>
          <t xml:space="preserve">750S</t>
        </is>
      </c>
      <c r="K157" s="30" t="inlineStr">
        <is>
          <t xml:space="preserve">E14GVCF24NLADD3T2</t>
        </is>
      </c>
      <c r="L157" s="32" t="inlineStr">
        <is>
          <t xml:space="preserve">03 - Supercar</t>
        </is>
      </c>
      <c r="M157" s="35">
        <v>1450000</v>
      </c>
      <c r="N157" s="32" t="inlineStr">
        <is>
          <t xml:space="preserve">Personal</t>
        </is>
      </c>
      <c r="O157" s="30" t="inlineStr">
        <is>
          <t xml:space="preserve">Personal - regular use</t>
        </is>
      </c>
      <c r="P157" s="30" t="inlineStr">
        <is>
          <t xml:space="preserve">Under 1,000</t>
        </is>
      </c>
      <c r="Q157" s="30" t="inlineStr">
        <is>
          <t xml:space="preserve">Illinois</t>
        </is>
      </c>
      <c r="R157" s="30" t="inlineStr">
        <is>
          <t xml:space="preserve">60601</t>
        </is>
      </c>
      <c r="S157" s="32" t="inlineStr">
        <is>
          <t xml:space="preserve">Severe convective - hail / tornado (moderate)</t>
        </is>
      </c>
      <c r="T157" s="36">
        <f>IF($A157="","",IF($S157="","",IFERROR(INDEX('[1]natural catastrophe'!$D$6:$D$17,MATCH($S157,'[1]natural catastrophe'!$B$6:$B$17,0)),"?")))</f>
      </c>
      <c r="U157" s="30" t="inlineStr">
        <is>
          <t xml:space="preserve">$5,000</t>
        </is>
      </c>
      <c r="V157" s="32" t="inlineStr">
        <is>
          <t xml:space="preserve">Agreed Value</t>
        </is>
      </c>
      <c r="W157" s="30" t="inlineStr">
        <is>
          <t xml:space="preserve">$1,000</t>
        </is>
      </c>
      <c r="X157" s="32" t="inlineStr">
        <is>
          <t xml:space="preserve">$1,000,000 CSL</t>
        </is>
      </c>
      <c r="Y157" s="30"/>
      <c r="Z157" s="30"/>
      <c r="AA157" s="32" t="inlineStr">
        <is>
          <t xml:space="preserve">Surplus Lines</t>
        </is>
      </c>
      <c r="AB157" s="35">
        <v>22765.07</v>
      </c>
      <c r="AC157" s="37">
        <v>0</v>
      </c>
      <c r="AD157" s="38">
        <f>IF(ISNUMBER($AB157),$AB157*(1+N($AC157)),"")</f>
      </c>
      <c r="AE157" s="35">
        <v>350</v>
      </c>
      <c r="AF157" s="35">
        <v>250</v>
      </c>
      <c r="AG157" s="37"/>
      <c r="AH157" s="39">
        <f>IF(ISNUMBER($AD157),($AD157+$AE157+$AF157)*$AG157,"")</f>
      </c>
      <c r="AI157" s="35"/>
      <c r="AJ157" s="38">
        <f>IF(ISNUMBER($AD157),SUM($AD157:$AH157),"")</f>
      </c>
      <c r="AK157" s="40">
        <f>IF(AND(ISNUMBER($AB157),ISNUMBER($AD157)),IF($AB157&gt;0,$AD157/$AB157,""),"")</f>
      </c>
      <c r="AL157" s="32" t="inlineStr">
        <is>
          <t xml:space="preserve">At technical</t>
        </is>
      </c>
      <c r="AM157" s="41">
        <f>IF(ISNUMBER($AD157),Header!$I$3,"")</f>
      </c>
      <c r="AN157" s="39">
        <f>IF(ISNUMBER($AD157),$AO157+$AP157,"")</f>
      </c>
      <c r="AO157" s="39">
        <f>IF(ISNUMBER($AD157),ROUND($AD157*Header!$K$3,2),"")</f>
      </c>
      <c r="AP157" s="39">
        <f>IF(ISNUMBER($AD157),ROUND($AD157*Header!$M$3,2),"")</f>
      </c>
      <c r="AQ157" s="38">
        <f>IF(ISNUMBER($AD157),ROUND($AD157,2)-$AO157-$AP157,"")</f>
      </c>
      <c r="AR157" s="39">
        <f>IF(ISNUMBER($AD157),IF(Header!$D$34="","?",$AD157*Header!$D$34),"")</f>
      </c>
      <c r="AS157" s="39">
        <f>IF(ISNUMBER($AB157),IF(Header!$D$34="","?",$AB157*Header!$D$34),"")</f>
      </c>
      <c r="AT157" s="42">
        <f>IF(AND(ISNUMBER($AB157),$M157&gt;0),$AB157/$M157*100,"")</f>
      </c>
      <c r="AU157" s="42">
        <f>IF(AND(ISNUMBER($AD157),$M157&gt;0),$AD157/$M157*100,"")</f>
      </c>
      <c r="AV157" s="40">
        <f>IF(AND(ISNUMBER($AB157),ISNUMBER($AD157),ABS($AB157)&gt;0),$AD157/$AB157,"")</f>
      </c>
      <c r="AW157" s="39">
        <f>IF(ISNUMBER($AD157),MAX(0,(1-0.55-Header!$O$3)*Header!$Q$3*$AQ157),"")</f>
      </c>
      <c r="AX157" s="43">
        <f>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c>
      <c r="AY157" s="44">
        <f>IF($M157="","",IF(ISNUMBER($M157),IF($M157&gt;=Header!$C$18,"YES — refer","No"),""))</f>
      </c>
      <c r="AZ157" s="44">
        <f>IF($AD157="","",IF(ISNUMBER($AD157),IF($AD157&lt;Header!$C$20,"BELOW MIN PREMIUM","OK"),""))</f>
      </c>
      <c r="BA157" s="32" t="inlineStr">
        <is>
          <t xml:space="preserve">Yes</t>
        </is>
      </c>
      <c r="BB157" s="32" t="inlineStr">
        <is>
          <t xml:space="preserve">Yes</t>
        </is>
      </c>
      <c r="BC157" s="30" t="inlineStr">
        <is>
          <t xml:space="preserve">Synthetic demo data</t>
        </is>
      </c>
      <c r="BE157" s="45">
        <f>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c>
      <c r="BF157" s="45">
        <f>IF($AD157="","",IF(ROUND($AO157+$AP157+$AQ157-$AD157,2)=0,"OK","FAIL - out by "&amp;TEXT($AO157+$AP157+$AQ157-$AD157,"$0.00")))</f>
      </c>
    </row>
    <row r="158" spans="1:58" ht="18.75" customHeight="1" x14ac:dyDescent="0.25">
      <c r="A158" s="46" t="inlineStr">
        <is>
          <t xml:space="preserve">CANON-202606-008618</t>
        </is>
      </c>
      <c r="B158" s="46" t="inlineStr">
        <is>
          <t xml:space="preserve">Ottilie Whitlock</t>
        </is>
      </c>
      <c r="C158" s="47">
        <v>46187</v>
      </c>
      <c r="D158" s="48" t="inlineStr">
        <is>
          <t xml:space="preserve">Bound - within authority</t>
        </is>
      </c>
      <c r="E158" s="48" t="inlineStr">
        <is>
          <t xml:space="preserve">New business</t>
        </is>
      </c>
      <c r="F158" s="46" t="inlineStr">
        <is>
          <t xml:space="preserve">B1234EXOTIC26</t>
        </is>
      </c>
      <c r="G158" s="33">
        <f>IF($A158="","",IF($C158="","",YEAR($C158)))</f>
      </c>
      <c r="H158" s="49">
        <v>2011</v>
      </c>
      <c r="I158" s="46" t="inlineStr">
        <is>
          <t xml:space="preserve">Icon</t>
        </is>
      </c>
      <c r="J158" s="46" t="inlineStr">
        <is>
          <t xml:space="preserve">Derelict</t>
        </is>
      </c>
      <c r="K158" s="46" t="inlineStr">
        <is>
          <t xml:space="preserve">R6GD2F5F01M9P60R9</t>
        </is>
      </c>
      <c r="L158" s="48" t="inlineStr">
        <is>
          <t xml:space="preserve">11 - Restomod / Coachbuilt / Bespoke</t>
        </is>
      </c>
      <c r="M158" s="50">
        <v>630000</v>
      </c>
      <c r="N158" s="48" t="inlineStr">
        <is>
          <t xml:space="preserve">Personal</t>
        </is>
      </c>
      <c r="O158" s="46" t="inlineStr">
        <is>
          <t xml:space="preserve">Personal - regular use</t>
        </is>
      </c>
      <c r="P158" s="46" t="inlineStr">
        <is>
          <t xml:space="preserve">Under 1,000</t>
        </is>
      </c>
      <c r="Q158" s="46" t="inlineStr">
        <is>
          <t xml:space="preserve">New York</t>
        </is>
      </c>
      <c r="R158" s="46" t="inlineStr">
        <is>
          <t xml:space="preserve">10022</t>
        </is>
      </c>
      <c r="S158" s="48" t="inlineStr">
        <is>
          <t xml:space="preserve">Tier 3 - Coastal wind (25-100 miles)</t>
        </is>
      </c>
      <c r="T158" s="36">
        <f>IF($A158="","",IF($S158="","",IFERROR(INDEX('[1]natural catastrophe'!$D$6:$D$17,MATCH($S158,'[1]natural catastrophe'!$B$6:$B$17,0)),"?")))</f>
      </c>
      <c r="U158" s="46" t="inlineStr">
        <is>
          <t xml:space="preserve">2% of agreed value, minimum $10,000</t>
        </is>
      </c>
      <c r="V158" s="48" t="inlineStr">
        <is>
          <t xml:space="preserve">Agreed Value</t>
        </is>
      </c>
      <c r="W158" s="46" t="inlineStr">
        <is>
          <t xml:space="preserve">$1,000</t>
        </is>
      </c>
      <c r="X158" s="48" t="inlineStr">
        <is>
          <t xml:space="preserve">$1,000,000 CSL</t>
        </is>
      </c>
      <c r="Y158" s="46"/>
      <c r="Z158" s="46"/>
      <c r="AA158" s="48" t="inlineStr">
        <is>
          <t xml:space="preserve">Surplus Lines</t>
        </is>
      </c>
      <c r="AB158" s="50">
        <v>9076.47</v>
      </c>
      <c r="AC158" s="51">
        <v>0</v>
      </c>
      <c r="AD158" s="38">
        <f>IF(ISNUMBER($AB158),$AB158*(1+N($AC158)),"")</f>
      </c>
      <c r="AE158" s="50">
        <v>350</v>
      </c>
      <c r="AF158" s="50">
        <v>0</v>
      </c>
      <c r="AG158" s="51"/>
      <c r="AH158" s="39">
        <f>IF(ISNUMBER($AD158),($AD158+$AE158+$AF158)*$AG158,"")</f>
      </c>
      <c r="AI158" s="50"/>
      <c r="AJ158" s="38">
        <f>IF(ISNUMBER($AD158),SUM($AD158:$AH158),"")</f>
      </c>
      <c r="AK158" s="40">
        <f>IF(AND(ISNUMBER($AB158),ISNUMBER($AD158)),IF($AB158&gt;0,$AD158/$AB158,""),"")</f>
      </c>
      <c r="AL158" s="48" t="inlineStr">
        <is>
          <t xml:space="preserve">At technical</t>
        </is>
      </c>
      <c r="AM158" s="41">
        <f>IF(ISNUMBER($AD158),Header!$I$3,"")</f>
      </c>
      <c r="AN158" s="39">
        <f>IF(ISNUMBER($AD158),$AO158+$AP158,"")</f>
      </c>
      <c r="AO158" s="39">
        <f>IF(ISNUMBER($AD158),ROUND($AD158*Header!$K$3,2),"")</f>
      </c>
      <c r="AP158" s="39">
        <f>IF(ISNUMBER($AD158),ROUND($AD158*Header!$M$3,2),"")</f>
      </c>
      <c r="AQ158" s="38">
        <f>IF(ISNUMBER($AD158),ROUND($AD158,2)-$AO158-$AP158,"")</f>
      </c>
      <c r="AR158" s="39">
        <f>IF(ISNUMBER($AD158),IF(Header!$D$34="","?",$AD158*Header!$D$34),"")</f>
      </c>
      <c r="AS158" s="39">
        <f>IF(ISNUMBER($AB158),IF(Header!$D$34="","?",$AB158*Header!$D$34),"")</f>
      </c>
      <c r="AT158" s="42">
        <f>IF(AND(ISNUMBER($AB158),$M158&gt;0),$AB158/$M158*100,"")</f>
      </c>
      <c r="AU158" s="42">
        <f>IF(AND(ISNUMBER($AD158),$M158&gt;0),$AD158/$M158*100,"")</f>
      </c>
      <c r="AV158" s="40">
        <f>IF(AND(ISNUMBER($AB158),ISNUMBER($AD158),ABS($AB158)&gt;0),$AD158/$AB158,"")</f>
      </c>
      <c r="AW158" s="39">
        <f>IF(ISNUMBER($AD158),MAX(0,(1-0.55-Header!$O$3)*Header!$Q$3*$AQ158),"")</f>
      </c>
      <c r="AX158" s="43">
        <f>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c>
      <c r="AY158" s="44">
        <f>IF($M158="","",IF(ISNUMBER($M158),IF($M158&gt;=Header!$C$18,"YES — refer","No"),""))</f>
      </c>
      <c r="AZ158" s="44">
        <f>IF($AD158="","",IF(ISNUMBER($AD158),IF($AD158&lt;Header!$C$20,"BELOW MIN PREMIUM","OK"),""))</f>
      </c>
      <c r="BA158" s="48" t="inlineStr">
        <is>
          <t xml:space="preserve">Yes</t>
        </is>
      </c>
      <c r="BB158" s="48" t="inlineStr">
        <is>
          <t xml:space="preserve">Yes</t>
        </is>
      </c>
      <c r="BC158" s="46" t="inlineStr">
        <is>
          <t xml:space="preserve">Synthetic demo data</t>
        </is>
      </c>
      <c r="BE158" s="45">
        <f>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c>
      <c r="BF158" s="45">
        <f>IF($AD158="","",IF(ROUND($AO158+$AP158+$AQ158-$AD158,2)=0,"OK","FAIL - out by "&amp;TEXT($AO158+$AP158+$AQ158-$AD158,"$0.00")))</f>
      </c>
    </row>
    <row r="159" spans="1:58" ht="18.75" customHeight="1" x14ac:dyDescent="0.25">
      <c r="A159" s="30" t="inlineStr">
        <is>
          <t xml:space="preserve">CANON-202606-008619</t>
        </is>
      </c>
      <c r="B159" s="30" t="inlineStr">
        <is>
          <t xml:space="preserve">Mireille Underwood</t>
        </is>
      </c>
      <c r="C159" s="31">
        <v>46199</v>
      </c>
      <c r="D159" s="32" t="inlineStr">
        <is>
          <t xml:space="preserve">Bound - within authority</t>
        </is>
      </c>
      <c r="E159" s="32" t="inlineStr">
        <is>
          <t xml:space="preserve">New business</t>
        </is>
      </c>
      <c r="F159" s="30" t="inlineStr">
        <is>
          <t xml:space="preserve">B1234EXOTIC26</t>
        </is>
      </c>
      <c r="G159" s="33">
        <f>IF($A159="","",IF($C159="","",YEAR($C159)))</f>
      </c>
      <c r="H159" s="34">
        <v>1977</v>
      </c>
      <c r="I159" s="30" t="inlineStr">
        <is>
          <t xml:space="preserve">Aston Martin</t>
        </is>
      </c>
      <c r="J159" s="30" t="inlineStr">
        <is>
          <t xml:space="preserve">DB12</t>
        </is>
      </c>
      <c r="K159" s="30" t="inlineStr">
        <is>
          <t xml:space="preserve">7L0C48ZTV3BWCXEVS</t>
        </is>
      </c>
      <c r="L159" s="32" t="inlineStr">
        <is>
          <t xml:space="preserve">02 - Sports / GT</t>
        </is>
      </c>
      <c r="M159" s="35">
        <v>1060000</v>
      </c>
      <c r="N159" s="32" t="inlineStr">
        <is>
          <t xml:space="preserve">Personal</t>
        </is>
      </c>
      <c r="O159" s="30" t="inlineStr">
        <is>
          <t xml:space="preserve">Personal - regular use</t>
        </is>
      </c>
      <c r="P159" s="30" t="inlineStr">
        <is>
          <t xml:space="preserve">Under 1,000</t>
        </is>
      </c>
      <c r="Q159" s="30" t="inlineStr">
        <is>
          <t xml:space="preserve">Colorado</t>
        </is>
      </c>
      <c r="R159" s="30" t="inlineStr">
        <is>
          <t xml:space="preserve">80202</t>
        </is>
      </c>
      <c r="S159" s="32" t="inlineStr">
        <is>
          <t xml:space="preserve">Severe convective - hail alley (high)</t>
        </is>
      </c>
      <c r="T159" s="36">
        <f>IF($A159="","",IF($S159="","",IFERROR(INDEX('[1]natural catastrophe'!$D$6:$D$17,MATCH($S159,'[1]natural catastrophe'!$B$6:$B$17,0)),"?")))</f>
      </c>
      <c r="U159" s="30" t="inlineStr">
        <is>
          <t xml:space="preserve">$5,000</t>
        </is>
      </c>
      <c r="V159" s="32" t="inlineStr">
        <is>
          <t xml:space="preserve">Agreed Value</t>
        </is>
      </c>
      <c r="W159" s="30" t="inlineStr">
        <is>
          <t xml:space="preserve">$1,000</t>
        </is>
      </c>
      <c r="X159" s="32" t="inlineStr">
        <is>
          <t xml:space="preserve">$1,000,000 CSL</t>
        </is>
      </c>
      <c r="Y159" s="30"/>
      <c r="Z159" s="30"/>
      <c r="AA159" s="32" t="inlineStr">
        <is>
          <t xml:space="preserve">Surplus Lines</t>
        </is>
      </c>
      <c r="AB159" s="35">
        <v>9254.08</v>
      </c>
      <c r="AC159" s="37">
        <v>0</v>
      </c>
      <c r="AD159" s="38">
        <f>IF(ISNUMBER($AB159),$AB159*(1+N($AC159)),"")</f>
      </c>
      <c r="AE159" s="35">
        <v>350</v>
      </c>
      <c r="AF159" s="35">
        <v>250</v>
      </c>
      <c r="AG159" s="37"/>
      <c r="AH159" s="39">
        <f>IF(ISNUMBER($AD159),($AD159+$AE159+$AF159)*$AG159,"")</f>
      </c>
      <c r="AI159" s="35"/>
      <c r="AJ159" s="38">
        <f>IF(ISNUMBER($AD159),SUM($AD159:$AH159),"")</f>
      </c>
      <c r="AK159" s="40">
        <f>IF(AND(ISNUMBER($AB159),ISNUMBER($AD159)),IF($AB159&gt;0,$AD159/$AB159,""),"")</f>
      </c>
      <c r="AL159" s="32" t="inlineStr">
        <is>
          <t xml:space="preserve">At technical</t>
        </is>
      </c>
      <c r="AM159" s="41">
        <f>IF(ISNUMBER($AD159),Header!$I$3,"")</f>
      </c>
      <c r="AN159" s="39">
        <f>IF(ISNUMBER($AD159),$AO159+$AP159,"")</f>
      </c>
      <c r="AO159" s="39">
        <f>IF(ISNUMBER($AD159),ROUND($AD159*Header!$K$3,2),"")</f>
      </c>
      <c r="AP159" s="39">
        <f>IF(ISNUMBER($AD159),ROUND($AD159*Header!$M$3,2),"")</f>
      </c>
      <c r="AQ159" s="38">
        <f>IF(ISNUMBER($AD159),ROUND($AD159,2)-$AO159-$AP159,"")</f>
      </c>
      <c r="AR159" s="39">
        <f>IF(ISNUMBER($AD159),IF(Header!$D$34="","?",$AD159*Header!$D$34),"")</f>
      </c>
      <c r="AS159" s="39">
        <f>IF(ISNUMBER($AB159),IF(Header!$D$34="","?",$AB159*Header!$D$34),"")</f>
      </c>
      <c r="AT159" s="42">
        <f>IF(AND(ISNUMBER($AB159),$M159&gt;0),$AB159/$M159*100,"")</f>
      </c>
      <c r="AU159" s="42">
        <f>IF(AND(ISNUMBER($AD159),$M159&gt;0),$AD159/$M159*100,"")</f>
      </c>
      <c r="AV159" s="40">
        <f>IF(AND(ISNUMBER($AB159),ISNUMBER($AD159),ABS($AB159)&gt;0),$AD159/$AB159,"")</f>
      </c>
      <c r="AW159" s="39">
        <f>IF(ISNUMBER($AD159),MAX(0,(1-0.55-Header!$O$3)*Header!$Q$3*$AQ159),"")</f>
      </c>
      <c r="AX159" s="43">
        <f>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c>
      <c r="AY159" s="44">
        <f>IF($M159="","",IF(ISNUMBER($M159),IF($M159&gt;=Header!$C$18,"YES — refer","No"),""))</f>
      </c>
      <c r="AZ159" s="44">
        <f>IF($AD159="","",IF(ISNUMBER($AD159),IF($AD159&lt;Header!$C$20,"BELOW MIN PREMIUM","OK"),""))</f>
      </c>
      <c r="BA159" s="32" t="inlineStr">
        <is>
          <t xml:space="preserve">Yes</t>
        </is>
      </c>
      <c r="BB159" s="32" t="inlineStr">
        <is>
          <t xml:space="preserve">Yes</t>
        </is>
      </c>
      <c r="BC159" s="30" t="inlineStr">
        <is>
          <t xml:space="preserve">Synthetic demo data</t>
        </is>
      </c>
      <c r="BE159" s="45">
        <f>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c>
      <c r="BF159" s="45">
        <f>IF($AD159="","",IF(ROUND($AO159+$AP159+$AQ159-$AD159,2)=0,"OK","FAIL - out by "&amp;TEXT($AO159+$AP159+$AQ159-$AD159,"$0.00")))</f>
      </c>
    </row>
    <row r="160" spans="1:58" ht="18.75" customHeight="1" x14ac:dyDescent="0.25">
      <c r="A160" s="46" t="inlineStr">
        <is>
          <t xml:space="preserve">CANON-202606-008620</t>
        </is>
      </c>
      <c r="B160" s="46" t="inlineStr">
        <is>
          <t xml:space="preserve">Aurelio Castellanos</t>
        </is>
      </c>
      <c r="C160" s="47">
        <v>46192</v>
      </c>
      <c r="D160" s="48" t="inlineStr">
        <is>
          <t xml:space="preserve">Bound - within authority</t>
        </is>
      </c>
      <c r="E160" s="48" t="inlineStr">
        <is>
          <t xml:space="preserve">New business</t>
        </is>
      </c>
      <c r="F160" s="46" t="inlineStr">
        <is>
          <t xml:space="preserve">B1234EXOTIC26</t>
        </is>
      </c>
      <c r="G160" s="33">
        <f>IF($A160="","",IF($C160="","",YEAR($C160)))</f>
      </c>
      <c r="H160" s="49">
        <v>2001</v>
      </c>
      <c r="I160" s="46" t="inlineStr">
        <is>
          <t xml:space="preserve">Ferrari</t>
        </is>
      </c>
      <c r="J160" s="46" t="inlineStr">
        <is>
          <t xml:space="preserve">SF90 Stradale</t>
        </is>
      </c>
      <c r="K160" s="46" t="inlineStr">
        <is>
          <t xml:space="preserve">WPZTFWYWNKX5ZBN7W</t>
        </is>
      </c>
      <c r="L160" s="48" t="inlineStr">
        <is>
          <t xml:space="preserve">03 - Supercar</t>
        </is>
      </c>
      <c r="M160" s="50">
        <v>880000</v>
      </c>
      <c r="N160" s="48" t="inlineStr">
        <is>
          <t xml:space="preserve">Personal</t>
        </is>
      </c>
      <c r="O160" s="46" t="inlineStr">
        <is>
          <t xml:space="preserve">Personal - regular use</t>
        </is>
      </c>
      <c r="P160" s="46" t="inlineStr">
        <is>
          <t xml:space="preserve">1,000 - 2,500</t>
        </is>
      </c>
      <c r="Q160" s="46" t="inlineStr">
        <is>
          <t xml:space="preserve">Minnesota</t>
        </is>
      </c>
      <c r="R160" s="46" t="inlineStr">
        <is>
          <t xml:space="preserve">55401</t>
        </is>
      </c>
      <c r="S160" s="48" t="inlineStr">
        <is>
          <t xml:space="preserve">Severe convective - hail / tornado (moderate)</t>
        </is>
      </c>
      <c r="T160" s="36">
        <f>IF($A160="","",IF($S160="","",IFERROR(INDEX('[1]natural catastrophe'!$D$6:$D$17,MATCH($S160,'[1]natural catastrophe'!$B$6:$B$17,0)),"?")))</f>
      </c>
      <c r="U160" s="46" t="inlineStr">
        <is>
          <t xml:space="preserve">$5,000</t>
        </is>
      </c>
      <c r="V160" s="48" t="inlineStr">
        <is>
          <t xml:space="preserve">Agreed Value</t>
        </is>
      </c>
      <c r="W160" s="46" t="inlineStr">
        <is>
          <t xml:space="preserve">$1,000</t>
        </is>
      </c>
      <c r="X160" s="48" t="inlineStr">
        <is>
          <t xml:space="preserve">$1,000,000 CSL</t>
        </is>
      </c>
      <c r="Y160" s="46"/>
      <c r="Z160" s="46"/>
      <c r="AA160" s="48" t="inlineStr">
        <is>
          <t xml:space="preserve">Surplus Lines</t>
        </is>
      </c>
      <c r="AB160" s="50">
        <v>15924</v>
      </c>
      <c r="AC160" s="51">
        <v>0</v>
      </c>
      <c r="AD160" s="38">
        <f>IF(ISNUMBER($AB160),$AB160*(1+N($AC160)),"")</f>
      </c>
      <c r="AE160" s="50">
        <v>350</v>
      </c>
      <c r="AF160" s="50">
        <v>0</v>
      </c>
      <c r="AG160" s="51"/>
      <c r="AH160" s="39">
        <f>IF(ISNUMBER($AD160),($AD160+$AE160+$AF160)*$AG160,"")</f>
      </c>
      <c r="AI160" s="50"/>
      <c r="AJ160" s="38">
        <f>IF(ISNUMBER($AD160),SUM($AD160:$AH160),"")</f>
      </c>
      <c r="AK160" s="40">
        <f>IF(AND(ISNUMBER($AB160),ISNUMBER($AD160)),IF($AB160&gt;0,$AD160/$AB160,""),"")</f>
      </c>
      <c r="AL160" s="48" t="inlineStr">
        <is>
          <t xml:space="preserve">At technical</t>
        </is>
      </c>
      <c r="AM160" s="41">
        <f>IF(ISNUMBER($AD160),Header!$I$3,"")</f>
      </c>
      <c r="AN160" s="39">
        <f>IF(ISNUMBER($AD160),$AO160+$AP160,"")</f>
      </c>
      <c r="AO160" s="39">
        <f>IF(ISNUMBER($AD160),ROUND($AD160*Header!$K$3,2),"")</f>
      </c>
      <c r="AP160" s="39">
        <f>IF(ISNUMBER($AD160),ROUND($AD160*Header!$M$3,2),"")</f>
      </c>
      <c r="AQ160" s="38">
        <f>IF(ISNUMBER($AD160),ROUND($AD160,2)-$AO160-$AP160,"")</f>
      </c>
      <c r="AR160" s="39">
        <f>IF(ISNUMBER($AD160),IF(Header!$D$34="","?",$AD160*Header!$D$34),"")</f>
      </c>
      <c r="AS160" s="39">
        <f>IF(ISNUMBER($AB160),IF(Header!$D$34="","?",$AB160*Header!$D$34),"")</f>
      </c>
      <c r="AT160" s="42">
        <f>IF(AND(ISNUMBER($AB160),$M160&gt;0),$AB160/$M160*100,"")</f>
      </c>
      <c r="AU160" s="42">
        <f>IF(AND(ISNUMBER($AD160),$M160&gt;0),$AD160/$M160*100,"")</f>
      </c>
      <c r="AV160" s="40">
        <f>IF(AND(ISNUMBER($AB160),ISNUMBER($AD160),ABS($AB160)&gt;0),$AD160/$AB160,"")</f>
      </c>
      <c r="AW160" s="39">
        <f>IF(ISNUMBER($AD160),MAX(0,(1-0.55-Header!$O$3)*Header!$Q$3*$AQ160),"")</f>
      </c>
      <c r="AX160" s="43">
        <f>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c>
      <c r="AY160" s="44">
        <f>IF($M160="","",IF(ISNUMBER($M160),IF($M160&gt;=Header!$C$18,"YES — refer","No"),""))</f>
      </c>
      <c r="AZ160" s="44">
        <f>IF($AD160="","",IF(ISNUMBER($AD160),IF($AD160&lt;Header!$C$20,"BELOW MIN PREMIUM","OK"),""))</f>
      </c>
      <c r="BA160" s="48" t="inlineStr">
        <is>
          <t xml:space="preserve">Yes</t>
        </is>
      </c>
      <c r="BB160" s="48" t="inlineStr">
        <is>
          <t xml:space="preserve">Yes</t>
        </is>
      </c>
      <c r="BC160" s="46" t="inlineStr">
        <is>
          <t xml:space="preserve">Synthetic demo data</t>
        </is>
      </c>
      <c r="BE160" s="45">
        <f>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c>
      <c r="BF160" s="45">
        <f>IF($AD160="","",IF(ROUND($AO160+$AP160+$AQ160-$AD160,2)=0,"OK","FAIL - out by "&amp;TEXT($AO160+$AP160+$AQ160-$AD160,"$0.00")))</f>
      </c>
    </row>
    <row r="161" spans="1:58" ht="18.75" customHeight="1" x14ac:dyDescent="0.25">
      <c r="A161" s="30" t="inlineStr">
        <is>
          <t xml:space="preserve">CANON-202606-008621</t>
        </is>
      </c>
      <c r="B161" s="30" t="inlineStr">
        <is>
          <t xml:space="preserve">Everett Rourke</t>
        </is>
      </c>
      <c r="C161" s="31">
        <v>46198</v>
      </c>
      <c r="D161" s="32" t="inlineStr">
        <is>
          <t xml:space="preserve">Bound - within authority</t>
        </is>
      </c>
      <c r="E161" s="32" t="inlineStr">
        <is>
          <t xml:space="preserve">New business</t>
        </is>
      </c>
      <c r="F161" s="30" t="inlineStr">
        <is>
          <t xml:space="preserve">B1234EXOTIC26</t>
        </is>
      </c>
      <c r="G161" s="33">
        <f>IF($A161="","",IF($C161="","",YEAR($C161)))</f>
      </c>
      <c r="H161" s="34">
        <v>1960</v>
      </c>
      <c r="I161" s="30" t="inlineStr">
        <is>
          <t xml:space="preserve">Aston Martin</t>
        </is>
      </c>
      <c r="J161" s="30" t="inlineStr">
        <is>
          <t xml:space="preserve">DB12</t>
        </is>
      </c>
      <c r="K161" s="30" t="inlineStr">
        <is>
          <t xml:space="preserve">MGUW70ZCYUF17JTC6</t>
        </is>
      </c>
      <c r="L161" s="32" t="inlineStr">
        <is>
          <t xml:space="preserve">02 - Sports / GT</t>
        </is>
      </c>
      <c r="M161" s="35">
        <v>790000</v>
      </c>
      <c r="N161" s="32" t="inlineStr">
        <is>
          <t xml:space="preserve">Personal</t>
        </is>
      </c>
      <c r="O161" s="30" t="inlineStr">
        <is>
          <t xml:space="preserve">Personal - regular use</t>
        </is>
      </c>
      <c r="P161" s="30" t="inlineStr">
        <is>
          <t xml:space="preserve">1,000 - 2,500</t>
        </is>
      </c>
      <c r="Q161" s="30" t="inlineStr">
        <is>
          <t xml:space="preserve">New York</t>
        </is>
      </c>
      <c r="R161" s="30" t="inlineStr">
        <is>
          <t xml:space="preserve">10022</t>
        </is>
      </c>
      <c r="S161" s="32" t="inlineStr">
        <is>
          <t xml:space="preserve">Tier 3 - Coastal wind (25-100 miles)</t>
        </is>
      </c>
      <c r="T161" s="36">
        <f>IF($A161="","",IF($S161="","",IFERROR(INDEX('[1]natural catastrophe'!$D$6:$D$17,MATCH($S161,'[1]natural catastrophe'!$B$6:$B$17,0)),"?")))</f>
      </c>
      <c r="U161" s="30" t="inlineStr">
        <is>
          <t xml:space="preserve">2% of agreed value, minimum $10,000</t>
        </is>
      </c>
      <c r="V161" s="32" t="inlineStr">
        <is>
          <t xml:space="preserve">Agreed Value</t>
        </is>
      </c>
      <c r="W161" s="30" t="inlineStr">
        <is>
          <t xml:space="preserve">$1,000</t>
        </is>
      </c>
      <c r="X161" s="32" t="inlineStr">
        <is>
          <t xml:space="preserve">$1,000,000 CSL</t>
        </is>
      </c>
      <c r="Y161" s="30"/>
      <c r="Z161" s="30"/>
      <c r="AA161" s="32" t="inlineStr">
        <is>
          <t xml:space="preserve">Surplus Lines</t>
        </is>
      </c>
      <c r="AB161" s="35">
        <v>9484.67</v>
      </c>
      <c r="AC161" s="37">
        <v>0</v>
      </c>
      <c r="AD161" s="38">
        <f>IF(ISNUMBER($AB161),$AB161*(1+N($AC161)),"")</f>
      </c>
      <c r="AE161" s="35">
        <v>350</v>
      </c>
      <c r="AF161" s="35">
        <v>0</v>
      </c>
      <c r="AG161" s="37"/>
      <c r="AH161" s="39">
        <f>IF(ISNUMBER($AD161),($AD161+$AE161+$AF161)*$AG161,"")</f>
      </c>
      <c r="AI161" s="35"/>
      <c r="AJ161" s="38">
        <f>IF(ISNUMBER($AD161),SUM($AD161:$AH161),"")</f>
      </c>
      <c r="AK161" s="40">
        <f>IF(AND(ISNUMBER($AB161),ISNUMBER($AD161)),IF($AB161&gt;0,$AD161/$AB161,""),"")</f>
      </c>
      <c r="AL161" s="32" t="inlineStr">
        <is>
          <t xml:space="preserve">At technical</t>
        </is>
      </c>
      <c r="AM161" s="41">
        <f>IF(ISNUMBER($AD161),Header!$I$3,"")</f>
      </c>
      <c r="AN161" s="39">
        <f>IF(ISNUMBER($AD161),$AO161+$AP161,"")</f>
      </c>
      <c r="AO161" s="39">
        <f>IF(ISNUMBER($AD161),ROUND($AD161*Header!$K$3,2),"")</f>
      </c>
      <c r="AP161" s="39">
        <f>IF(ISNUMBER($AD161),ROUND($AD161*Header!$M$3,2),"")</f>
      </c>
      <c r="AQ161" s="38">
        <f>IF(ISNUMBER($AD161),ROUND($AD161,2)-$AO161-$AP161,"")</f>
      </c>
      <c r="AR161" s="39">
        <f>IF(ISNUMBER($AD161),IF(Header!$D$34="","?",$AD161*Header!$D$34),"")</f>
      </c>
      <c r="AS161" s="39">
        <f>IF(ISNUMBER($AB161),IF(Header!$D$34="","?",$AB161*Header!$D$34),"")</f>
      </c>
      <c r="AT161" s="42">
        <f>IF(AND(ISNUMBER($AB161),$M161&gt;0),$AB161/$M161*100,"")</f>
      </c>
      <c r="AU161" s="42">
        <f>IF(AND(ISNUMBER($AD161),$M161&gt;0),$AD161/$M161*100,"")</f>
      </c>
      <c r="AV161" s="40">
        <f>IF(AND(ISNUMBER($AB161),ISNUMBER($AD161),ABS($AB161)&gt;0),$AD161/$AB161,"")</f>
      </c>
      <c r="AW161" s="39">
        <f>IF(ISNUMBER($AD161),MAX(0,(1-0.55-Header!$O$3)*Header!$Q$3*$AQ161),"")</f>
      </c>
      <c r="AX161" s="43">
        <f>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c>
      <c r="AY161" s="44">
        <f>IF($M161="","",IF(ISNUMBER($M161),IF($M161&gt;=Header!$C$18,"YES — refer","No"),""))</f>
      </c>
      <c r="AZ161" s="44">
        <f>IF($AD161="","",IF(ISNUMBER($AD161),IF($AD161&lt;Header!$C$20,"BELOW MIN PREMIUM","OK"),""))</f>
      </c>
      <c r="BA161" s="32" t="inlineStr">
        <is>
          <t xml:space="preserve">Yes</t>
        </is>
      </c>
      <c r="BB161" s="32" t="inlineStr">
        <is>
          <t xml:space="preserve">Yes</t>
        </is>
      </c>
      <c r="BC161" s="30" t="inlineStr">
        <is>
          <t xml:space="preserve">Synthetic demo data</t>
        </is>
      </c>
      <c r="BE161" s="45">
        <f>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c>
      <c r="BF161" s="45">
        <f>IF($AD161="","",IF(ROUND($AO161+$AP161+$AQ161-$AD161,2)=0,"OK","FAIL - out by "&amp;TEXT($AO161+$AP161+$AQ161-$AD161,"$0.00")))</f>
      </c>
    </row>
    <row r="162" spans="1:58" ht="18.75" customHeight="1" x14ac:dyDescent="0.25">
      <c r="A162" s="46" t="inlineStr">
        <is>
          <t xml:space="preserve">CANON-202606-008622</t>
        </is>
      </c>
      <c r="B162" s="46" t="inlineStr">
        <is>
          <t xml:space="preserve">Aurelio Whitlock</t>
        </is>
      </c>
      <c r="C162" s="47">
        <v>46189</v>
      </c>
      <c r="D162" s="48" t="inlineStr">
        <is>
          <t xml:space="preserve">Bound - within authority</t>
        </is>
      </c>
      <c r="E162" s="48" t="inlineStr">
        <is>
          <t xml:space="preserve">New business</t>
        </is>
      </c>
      <c r="F162" s="46" t="inlineStr">
        <is>
          <t xml:space="preserve">B1234EXOTIC26</t>
        </is>
      </c>
      <c r="G162" s="33">
        <f>IF($A162="","",IF($C162="","",YEAR($C162)))</f>
      </c>
      <c r="H162" s="49">
        <v>2004</v>
      </c>
      <c r="I162" s="46" t="inlineStr">
        <is>
          <t xml:space="preserve">McLaren</t>
        </is>
      </c>
      <c r="J162" s="46" t="inlineStr">
        <is>
          <t xml:space="preserve">750S</t>
        </is>
      </c>
      <c r="K162" s="46" t="inlineStr">
        <is>
          <t xml:space="preserve">SX5ZHCP57D43S3677</t>
        </is>
      </c>
      <c r="L162" s="48" t="inlineStr">
        <is>
          <t xml:space="preserve">03 - Supercar</t>
        </is>
      </c>
      <c r="M162" s="50">
        <v>680000</v>
      </c>
      <c r="N162" s="48" t="inlineStr">
        <is>
          <t xml:space="preserve">Personal</t>
        </is>
      </c>
      <c r="O162" s="46" t="inlineStr">
        <is>
          <t xml:space="preserve">Personal - regular use</t>
        </is>
      </c>
      <c r="P162" s="46" t="inlineStr">
        <is>
          <t xml:space="preserve">2,500 - 5,000</t>
        </is>
      </c>
      <c r="Q162" s="46" t="inlineStr">
        <is>
          <t xml:space="preserve">Virginia</t>
        </is>
      </c>
      <c r="R162" s="46" t="inlineStr">
        <is>
          <t xml:space="preserve">23219</t>
        </is>
      </c>
      <c r="S162" s="48" t="inlineStr">
        <is>
          <t xml:space="preserve">Tier 3 - Coastal wind (25-100 miles)</t>
        </is>
      </c>
      <c r="T162" s="36">
        <f>IF($A162="","",IF($S162="","",IFERROR(INDEX('[1]natural catastrophe'!$D$6:$D$17,MATCH($S162,'[1]natural catastrophe'!$B$6:$B$17,0)),"?")))</f>
      </c>
      <c r="U162" s="46" t="inlineStr">
        <is>
          <t xml:space="preserve">2% of agreed value, minimum $10,000</t>
        </is>
      </c>
      <c r="V162" s="48" t="inlineStr">
        <is>
          <t xml:space="preserve">Agreed Value</t>
        </is>
      </c>
      <c r="W162" s="46" t="inlineStr">
        <is>
          <t xml:space="preserve">$1,000</t>
        </is>
      </c>
      <c r="X162" s="48" t="inlineStr">
        <is>
          <t xml:space="preserve">$1,000,000 CSL</t>
        </is>
      </c>
      <c r="Y162" s="46"/>
      <c r="Z162" s="46"/>
      <c r="AA162" s="48" t="inlineStr">
        <is>
          <t xml:space="preserve">Surplus Lines</t>
        </is>
      </c>
      <c r="AB162" s="50">
        <v>10160.87</v>
      </c>
      <c r="AC162" s="51">
        <v>0</v>
      </c>
      <c r="AD162" s="38">
        <f>IF(ISNUMBER($AB162),$AB162*(1+N($AC162)),"")</f>
      </c>
      <c r="AE162" s="50">
        <v>350</v>
      </c>
      <c r="AF162" s="50">
        <v>0</v>
      </c>
      <c r="AG162" s="51"/>
      <c r="AH162" s="39">
        <f>IF(ISNUMBER($AD162),($AD162+$AE162+$AF162)*$AG162,"")</f>
      </c>
      <c r="AI162" s="50"/>
      <c r="AJ162" s="38">
        <f>IF(ISNUMBER($AD162),SUM($AD162:$AH162),"")</f>
      </c>
      <c r="AK162" s="40">
        <f>IF(AND(ISNUMBER($AB162),ISNUMBER($AD162)),IF($AB162&gt;0,$AD162/$AB162,""),"")</f>
      </c>
      <c r="AL162" s="48" t="inlineStr">
        <is>
          <t xml:space="preserve">At technical</t>
        </is>
      </c>
      <c r="AM162" s="41">
        <f>IF(ISNUMBER($AD162),Header!$I$3,"")</f>
      </c>
      <c r="AN162" s="39">
        <f>IF(ISNUMBER($AD162),$AO162+$AP162,"")</f>
      </c>
      <c r="AO162" s="39">
        <f>IF(ISNUMBER($AD162),ROUND($AD162*Header!$K$3,2),"")</f>
      </c>
      <c r="AP162" s="39">
        <f>IF(ISNUMBER($AD162),ROUND($AD162*Header!$M$3,2),"")</f>
      </c>
      <c r="AQ162" s="38">
        <f>IF(ISNUMBER($AD162),ROUND($AD162,2)-$AO162-$AP162,"")</f>
      </c>
      <c r="AR162" s="39">
        <f>IF(ISNUMBER($AD162),IF(Header!$D$34="","?",$AD162*Header!$D$34),"")</f>
      </c>
      <c r="AS162" s="39">
        <f>IF(ISNUMBER($AB162),IF(Header!$D$34="","?",$AB162*Header!$D$34),"")</f>
      </c>
      <c r="AT162" s="42">
        <f>IF(AND(ISNUMBER($AB162),$M162&gt;0),$AB162/$M162*100,"")</f>
      </c>
      <c r="AU162" s="42">
        <f>IF(AND(ISNUMBER($AD162),$M162&gt;0),$AD162/$M162*100,"")</f>
      </c>
      <c r="AV162" s="40">
        <f>IF(AND(ISNUMBER($AB162),ISNUMBER($AD162),ABS($AB162)&gt;0),$AD162/$AB162,"")</f>
      </c>
      <c r="AW162" s="39">
        <f>IF(ISNUMBER($AD162),MAX(0,(1-0.55-Header!$O$3)*Header!$Q$3*$AQ162),"")</f>
      </c>
      <c r="AX162" s="43">
        <f>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c>
      <c r="AY162" s="44">
        <f>IF($M162="","",IF(ISNUMBER($M162),IF($M162&gt;=Header!$C$18,"YES — refer","No"),""))</f>
      </c>
      <c r="AZ162" s="44">
        <f>IF($AD162="","",IF(ISNUMBER($AD162),IF($AD162&lt;Header!$C$20,"BELOW MIN PREMIUM","OK"),""))</f>
      </c>
      <c r="BA162" s="48" t="inlineStr">
        <is>
          <t xml:space="preserve">Yes</t>
        </is>
      </c>
      <c r="BB162" s="48" t="inlineStr">
        <is>
          <t xml:space="preserve">Yes</t>
        </is>
      </c>
      <c r="BC162" s="46" t="inlineStr">
        <is>
          <t xml:space="preserve">Synthetic demo data</t>
        </is>
      </c>
      <c r="BE162" s="45">
        <f>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c>
      <c r="BF162" s="45">
        <f>IF($AD162="","",IF(ROUND($AO162+$AP162+$AQ162-$AD162,2)=0,"OK","FAIL - out by "&amp;TEXT($AO162+$AP162+$AQ162-$AD162,"$0.00")))</f>
      </c>
    </row>
    <row r="163" spans="1:58" ht="18.75" customHeight="1" x14ac:dyDescent="0.25">
      <c r="A163" s="30" t="inlineStr">
        <is>
          <t xml:space="preserve">CANON-202606-008623</t>
        </is>
      </c>
      <c r="B163" s="30" t="inlineStr">
        <is>
          <t xml:space="preserve">Fenwick Ashcombe</t>
        </is>
      </c>
      <c r="C163" s="31">
        <v>46200</v>
      </c>
      <c r="D163" s="32" t="inlineStr">
        <is>
          <t xml:space="preserve">Bound - within authority</t>
        </is>
      </c>
      <c r="E163" s="32" t="inlineStr">
        <is>
          <t xml:space="preserve">New business</t>
        </is>
      </c>
      <c r="F163" s="30" t="inlineStr">
        <is>
          <t xml:space="preserve">B1234EXOTIC26</t>
        </is>
      </c>
      <c r="G163" s="33">
        <f>IF($A163="","",IF($C163="","",YEAR($C163)))</f>
      </c>
      <c r="H163" s="34">
        <v>1964</v>
      </c>
      <c r="I163" s="30" t="inlineStr">
        <is>
          <t xml:space="preserve">Porsche</t>
        </is>
      </c>
      <c r="J163" s="30" t="inlineStr">
        <is>
          <t xml:space="preserve">911 Turbo S</t>
        </is>
      </c>
      <c r="K163" s="30" t="inlineStr">
        <is>
          <t xml:space="preserve">AZNZ5X1XGVYC4NSB9</t>
        </is>
      </c>
      <c r="L163" s="32" t="inlineStr">
        <is>
          <t xml:space="preserve">02 - Sports / GT</t>
        </is>
      </c>
      <c r="M163" s="35">
        <v>320000</v>
      </c>
      <c r="N163" s="32" t="inlineStr">
        <is>
          <t xml:space="preserve">Personal</t>
        </is>
      </c>
      <c r="O163" s="30" t="inlineStr">
        <is>
          <t xml:space="preserve">Personal - regular use</t>
        </is>
      </c>
      <c r="P163" s="30" t="inlineStr">
        <is>
          <t xml:space="preserve">2,500 - 5,000</t>
        </is>
      </c>
      <c r="Q163" s="30" t="inlineStr">
        <is>
          <t xml:space="preserve">Kentucky</t>
        </is>
      </c>
      <c r="R163" s="30" t="inlineStr">
        <is>
          <t xml:space="preserve">40202</t>
        </is>
      </c>
      <c r="S163" s="32" t="inlineStr">
        <is>
          <t xml:space="preserve">Severe convective - hail / tornado (moderate)</t>
        </is>
      </c>
      <c r="T163" s="36">
        <f>IF($A163="","",IF($S163="","",IFERROR(INDEX('[1]natural catastrophe'!$D$6:$D$17,MATCH($S163,'[1]natural catastrophe'!$B$6:$B$17,0)),"?")))</f>
      </c>
      <c r="U163" s="30" t="inlineStr">
        <is>
          <t xml:space="preserve">$5,000</t>
        </is>
      </c>
      <c r="V163" s="32" t="inlineStr">
        <is>
          <t xml:space="preserve">Agreed Value</t>
        </is>
      </c>
      <c r="W163" s="30" t="inlineStr">
        <is>
          <t xml:space="preserve">$1,000</t>
        </is>
      </c>
      <c r="X163" s="32" t="inlineStr">
        <is>
          <t xml:space="preserve">$1,000,000 CSL</t>
        </is>
      </c>
      <c r="Y163" s="30"/>
      <c r="Z163" s="30"/>
      <c r="AA163" s="32" t="inlineStr">
        <is>
          <t xml:space="preserve">Surplus Lines</t>
        </is>
      </c>
      <c r="AB163" s="35">
        <v>4640.75</v>
      </c>
      <c r="AC163" s="37">
        <v>0</v>
      </c>
      <c r="AD163" s="38">
        <f>IF(ISNUMBER($AB163),$AB163*(1+N($AC163)),"")</f>
      </c>
      <c r="AE163" s="35">
        <v>350</v>
      </c>
      <c r="AF163" s="35">
        <v>0</v>
      </c>
      <c r="AG163" s="37"/>
      <c r="AH163" s="39">
        <f>IF(ISNUMBER($AD163),($AD163+$AE163+$AF163)*$AG163,"")</f>
      </c>
      <c r="AI163" s="35"/>
      <c r="AJ163" s="38">
        <f>IF(ISNUMBER($AD163),SUM($AD163:$AH163),"")</f>
      </c>
      <c r="AK163" s="40">
        <f>IF(AND(ISNUMBER($AB163),ISNUMBER($AD163)),IF($AB163&gt;0,$AD163/$AB163,""),"")</f>
      </c>
      <c r="AL163" s="32" t="inlineStr">
        <is>
          <t xml:space="preserve">At technical</t>
        </is>
      </c>
      <c r="AM163" s="41">
        <f>IF(ISNUMBER($AD163),Header!$I$3,"")</f>
      </c>
      <c r="AN163" s="39">
        <f>IF(ISNUMBER($AD163),$AO163+$AP163,"")</f>
      </c>
      <c r="AO163" s="39">
        <f>IF(ISNUMBER($AD163),ROUND($AD163*Header!$K$3,2),"")</f>
      </c>
      <c r="AP163" s="39">
        <f>IF(ISNUMBER($AD163),ROUND($AD163*Header!$M$3,2),"")</f>
      </c>
      <c r="AQ163" s="38">
        <f>IF(ISNUMBER($AD163),ROUND($AD163,2)-$AO163-$AP163,"")</f>
      </c>
      <c r="AR163" s="39">
        <f>IF(ISNUMBER($AD163),IF(Header!$D$34="","?",$AD163*Header!$D$34),"")</f>
      </c>
      <c r="AS163" s="39">
        <f>IF(ISNUMBER($AB163),IF(Header!$D$34="","?",$AB163*Header!$D$34),"")</f>
      </c>
      <c r="AT163" s="42">
        <f>IF(AND(ISNUMBER($AB163),$M163&gt;0),$AB163/$M163*100,"")</f>
      </c>
      <c r="AU163" s="42">
        <f>IF(AND(ISNUMBER($AD163),$M163&gt;0),$AD163/$M163*100,"")</f>
      </c>
      <c r="AV163" s="40">
        <f>IF(AND(ISNUMBER($AB163),ISNUMBER($AD163),ABS($AB163)&gt;0),$AD163/$AB163,"")</f>
      </c>
      <c r="AW163" s="39">
        <f>IF(ISNUMBER($AD163),MAX(0,(1-0.55-Header!$O$3)*Header!$Q$3*$AQ163),"")</f>
      </c>
      <c r="AX163" s="43">
        <f>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c>
      <c r="AY163" s="44">
        <f>IF($M163="","",IF(ISNUMBER($M163),IF($M163&gt;=Header!$C$18,"YES — refer","No"),""))</f>
      </c>
      <c r="AZ163" s="44">
        <f>IF($AD163="","",IF(ISNUMBER($AD163),IF($AD163&lt;Header!$C$20,"BELOW MIN PREMIUM","OK"),""))</f>
      </c>
      <c r="BA163" s="32" t="inlineStr">
        <is>
          <t xml:space="preserve">Yes</t>
        </is>
      </c>
      <c r="BB163" s="32" t="inlineStr">
        <is>
          <t xml:space="preserve">Yes</t>
        </is>
      </c>
      <c r="BC163" s="30" t="inlineStr">
        <is>
          <t xml:space="preserve">Synthetic demo data</t>
        </is>
      </c>
      <c r="BE163" s="45">
        <f>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c>
      <c r="BF163" s="45">
        <f>IF($AD163="","",IF(ROUND($AO163+$AP163+$AQ163-$AD163,2)=0,"OK","FAIL - out by "&amp;TEXT($AO163+$AP163+$AQ163-$AD163,"$0.00")))</f>
      </c>
    </row>
    <row r="164" spans="1:58" ht="18.75" customHeight="1" x14ac:dyDescent="0.25">
      <c r="A164" s="46" t="inlineStr">
        <is>
          <t xml:space="preserve">CANON-202606-008624</t>
        </is>
      </c>
      <c r="B164" s="46" t="inlineStr">
        <is>
          <t xml:space="preserve">Lorenzo Montoya</t>
        </is>
      </c>
      <c r="C164" s="47">
        <v>46198</v>
      </c>
      <c r="D164" s="48" t="inlineStr">
        <is>
          <t xml:space="preserve">Bound - within authority</t>
        </is>
      </c>
      <c r="E164" s="48" t="inlineStr">
        <is>
          <t xml:space="preserve">New business</t>
        </is>
      </c>
      <c r="F164" s="46" t="inlineStr">
        <is>
          <t xml:space="preserve">B1234EXOTIC26</t>
        </is>
      </c>
      <c r="G164" s="33">
        <f>IF($A164="","",IF($C164="","",YEAR($C164)))</f>
      </c>
      <c r="H164" s="49">
        <v>1965</v>
      </c>
      <c r="I164" s="46" t="inlineStr">
        <is>
          <t xml:space="preserve">Mercedes-Benz</t>
        </is>
      </c>
      <c r="J164" s="46" t="inlineStr">
        <is>
          <t xml:space="preserve">280SL Pagoda</t>
        </is>
      </c>
      <c r="K164" s="46" t="inlineStr">
        <is>
          <t xml:space="preserve">NRDKSZ0FHXHXEDV9H</t>
        </is>
      </c>
      <c r="L164" s="48" t="inlineStr">
        <is>
          <t xml:space="preserve">07 - Post-War Classic (1946-1972)</t>
        </is>
      </c>
      <c r="M164" s="50">
        <v>505000</v>
      </c>
      <c r="N164" s="48" t="inlineStr">
        <is>
          <t xml:space="preserve">Personal</t>
        </is>
      </c>
      <c r="O164" s="46" t="inlineStr">
        <is>
          <t xml:space="preserve">Personal - regular use</t>
        </is>
      </c>
      <c r="P164" s="46" t="inlineStr">
        <is>
          <t xml:space="preserve">Under 1,000</t>
        </is>
      </c>
      <c r="Q164" s="46" t="inlineStr">
        <is>
          <t xml:space="preserve">Texas</t>
        </is>
      </c>
      <c r="R164" s="46" t="inlineStr">
        <is>
          <t xml:space="preserve">75201</t>
        </is>
      </c>
      <c r="S164" s="48" t="inlineStr">
        <is>
          <t xml:space="preserve">Tier 2 - Coastal wind (1-25 miles)</t>
        </is>
      </c>
      <c r="T164" s="36">
        <f>IF($A164="","",IF($S164="","",IFERROR(INDEX('[1]natural catastrophe'!$D$6:$D$17,MATCH($S164,'[1]natural catastrophe'!$B$6:$B$17,0)),"?")))</f>
      </c>
      <c r="U164" s="46" t="inlineStr">
        <is>
          <t xml:space="preserve">2% of agreed value, minimum $10,000</t>
        </is>
      </c>
      <c r="V164" s="48" t="inlineStr">
        <is>
          <t xml:space="preserve">Agreed Value</t>
        </is>
      </c>
      <c r="W164" s="46" t="inlineStr">
        <is>
          <t xml:space="preserve">$1,000</t>
        </is>
      </c>
      <c r="X164" s="48" t="inlineStr">
        <is>
          <t xml:space="preserve">$1,000,000 CSL</t>
        </is>
      </c>
      <c r="Y164" s="46"/>
      <c r="Z164" s="46"/>
      <c r="AA164" s="48" t="inlineStr">
        <is>
          <t xml:space="preserve">Surplus Lines</t>
        </is>
      </c>
      <c r="AB164" s="50">
        <v>3603.55</v>
      </c>
      <c r="AC164" s="51">
        <v>0</v>
      </c>
      <c r="AD164" s="38">
        <f>IF(ISNUMBER($AB164),$AB164*(1+N($AC164)),"")</f>
      </c>
      <c r="AE164" s="50">
        <v>350</v>
      </c>
      <c r="AF164" s="50">
        <v>0</v>
      </c>
      <c r="AG164" s="51"/>
      <c r="AH164" s="39">
        <f>IF(ISNUMBER($AD164),($AD164+$AE164+$AF164)*$AG164,"")</f>
      </c>
      <c r="AI164" s="50"/>
      <c r="AJ164" s="38">
        <f>IF(ISNUMBER($AD164),SUM($AD164:$AH164),"")</f>
      </c>
      <c r="AK164" s="40">
        <f>IF(AND(ISNUMBER($AB164),ISNUMBER($AD164)),IF($AB164&gt;0,$AD164/$AB164,""),"")</f>
      </c>
      <c r="AL164" s="48" t="inlineStr">
        <is>
          <t xml:space="preserve">At technical</t>
        </is>
      </c>
      <c r="AM164" s="41">
        <f>IF(ISNUMBER($AD164),Header!$I$3,"")</f>
      </c>
      <c r="AN164" s="39">
        <f>IF(ISNUMBER($AD164),$AO164+$AP164,"")</f>
      </c>
      <c r="AO164" s="39">
        <f>IF(ISNUMBER($AD164),ROUND($AD164*Header!$K$3,2),"")</f>
      </c>
      <c r="AP164" s="39">
        <f>IF(ISNUMBER($AD164),ROUND($AD164*Header!$M$3,2),"")</f>
      </c>
      <c r="AQ164" s="38">
        <f>IF(ISNUMBER($AD164),ROUND($AD164,2)-$AO164-$AP164,"")</f>
      </c>
      <c r="AR164" s="39">
        <f>IF(ISNUMBER($AD164),IF(Header!$D$34="","?",$AD164*Header!$D$34),"")</f>
      </c>
      <c r="AS164" s="39">
        <f>IF(ISNUMBER($AB164),IF(Header!$D$34="","?",$AB164*Header!$D$34),"")</f>
      </c>
      <c r="AT164" s="42">
        <f>IF(AND(ISNUMBER($AB164),$M164&gt;0),$AB164/$M164*100,"")</f>
      </c>
      <c r="AU164" s="42">
        <f>IF(AND(ISNUMBER($AD164),$M164&gt;0),$AD164/$M164*100,"")</f>
      </c>
      <c r="AV164" s="40">
        <f>IF(AND(ISNUMBER($AB164),ISNUMBER($AD164),ABS($AB164)&gt;0),$AD164/$AB164,"")</f>
      </c>
      <c r="AW164" s="39">
        <f>IF(ISNUMBER($AD164),MAX(0,(1-0.55-Header!$O$3)*Header!$Q$3*$AQ164),"")</f>
      </c>
      <c r="AX164" s="43">
        <f>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c>
      <c r="AY164" s="44">
        <f>IF($M164="","",IF(ISNUMBER($M164),IF($M164&gt;=Header!$C$18,"YES — refer","No"),""))</f>
      </c>
      <c r="AZ164" s="44">
        <f>IF($AD164="","",IF(ISNUMBER($AD164),IF($AD164&lt;Header!$C$20,"BELOW MIN PREMIUM","OK"),""))</f>
      </c>
      <c r="BA164" s="48" t="inlineStr">
        <is>
          <t xml:space="preserve">Yes</t>
        </is>
      </c>
      <c r="BB164" s="48" t="inlineStr">
        <is>
          <t xml:space="preserve">Yes</t>
        </is>
      </c>
      <c r="BC164" s="46" t="inlineStr">
        <is>
          <t xml:space="preserve">Synthetic demo data</t>
        </is>
      </c>
      <c r="BE164" s="45">
        <f>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c>
      <c r="BF164" s="45">
        <f>IF($AD164="","",IF(ROUND($AO164+$AP164+$AQ164-$AD164,2)=0,"OK","FAIL - out by "&amp;TEXT($AO164+$AP164+$AQ164-$AD164,"$0.00")))</f>
      </c>
    </row>
    <row r="165" spans="1:58" ht="18.75" customHeight="1" x14ac:dyDescent="0.25">
      <c r="A165" s="30" t="inlineStr">
        <is>
          <t xml:space="preserve">CANON-202606-008628</t>
        </is>
      </c>
      <c r="B165" s="30" t="inlineStr">
        <is>
          <t xml:space="preserve">Priya Farkas</t>
        </is>
      </c>
      <c r="C165" s="31">
        <v>46196</v>
      </c>
      <c r="D165" s="32" t="inlineStr">
        <is>
          <t xml:space="preserve">Bound - within authority</t>
        </is>
      </c>
      <c r="E165" s="32" t="inlineStr">
        <is>
          <t xml:space="preserve">New business</t>
        </is>
      </c>
      <c r="F165" s="30" t="inlineStr">
        <is>
          <t xml:space="preserve">B1234EXOTIC26</t>
        </is>
      </c>
      <c r="G165" s="33">
        <f>IF($A165="","",IF($C165="","",YEAR($C165)))</f>
      </c>
      <c r="H165" s="34">
        <v>2003</v>
      </c>
      <c r="I165" s="30" t="inlineStr">
        <is>
          <t xml:space="preserve">Maserati</t>
        </is>
      </c>
      <c r="J165" s="30" t="inlineStr">
        <is>
          <t xml:space="preserve">GranTurismo</t>
        </is>
      </c>
      <c r="K165" s="30" t="inlineStr">
        <is>
          <t xml:space="preserve">RL52EAR681S4PLV80</t>
        </is>
      </c>
      <c r="L165" s="32" t="inlineStr">
        <is>
          <t xml:space="preserve">02 - Sports / GT</t>
        </is>
      </c>
      <c r="M165" s="35">
        <v>890000</v>
      </c>
      <c r="N165" s="32" t="inlineStr">
        <is>
          <t xml:space="preserve">Personal</t>
        </is>
      </c>
      <c r="O165" s="30" t="inlineStr">
        <is>
          <t xml:space="preserve">Personal - regular use</t>
        </is>
      </c>
      <c r="P165" s="30" t="inlineStr">
        <is>
          <t xml:space="preserve">2,500 - 5,000</t>
        </is>
      </c>
      <c r="Q165" s="30" t="inlineStr">
        <is>
          <t xml:space="preserve">West Virginia</t>
        </is>
      </c>
      <c r="R165" s="30" t="inlineStr">
        <is>
          <t xml:space="preserve">25301</t>
        </is>
      </c>
      <c r="S165" s="32" t="inlineStr">
        <is>
          <t xml:space="preserve">Low hazard - inland benign</t>
        </is>
      </c>
      <c r="T165" s="36">
        <f>IF($A165="","",IF($S165="","",IFERROR(INDEX('[1]natural catastrophe'!$D$6:$D$17,MATCH($S165,'[1]natural catastrophe'!$B$6:$B$17,0)),"?")))</f>
      </c>
      <c r="U165" s="30" t="inlineStr">
        <is>
          <t xml:space="preserve">$5,000</t>
        </is>
      </c>
      <c r="V165" s="32" t="inlineStr">
        <is>
          <t xml:space="preserve">Agreed Value</t>
        </is>
      </c>
      <c r="W165" s="30" t="inlineStr">
        <is>
          <t xml:space="preserve">$1,000</t>
        </is>
      </c>
      <c r="X165" s="32" t="inlineStr">
        <is>
          <t xml:space="preserve">$1,000,000 CSL</t>
        </is>
      </c>
      <c r="Y165" s="30"/>
      <c r="Z165" s="30"/>
      <c r="AA165" s="32" t="inlineStr">
        <is>
          <t xml:space="preserve">Surplus Lines</t>
        </is>
      </c>
      <c r="AB165" s="35">
        <v>11102.66</v>
      </c>
      <c r="AC165" s="37">
        <v>0</v>
      </c>
      <c r="AD165" s="38">
        <f>IF(ISNUMBER($AB165),$AB165*(1+N($AC165)),"")</f>
      </c>
      <c r="AE165" s="35">
        <v>350</v>
      </c>
      <c r="AF165" s="35">
        <v>0</v>
      </c>
      <c r="AG165" s="37"/>
      <c r="AH165" s="39">
        <f>IF(ISNUMBER($AD165),($AD165+$AE165+$AF165)*$AG165,"")</f>
      </c>
      <c r="AI165" s="35"/>
      <c r="AJ165" s="38">
        <f>IF(ISNUMBER($AD165),SUM($AD165:$AH165),"")</f>
      </c>
      <c r="AK165" s="40">
        <f>IF(AND(ISNUMBER($AB165),ISNUMBER($AD165)),IF($AB165&gt;0,$AD165/$AB165,""),"")</f>
      </c>
      <c r="AL165" s="32" t="inlineStr">
        <is>
          <t xml:space="preserve">At technical</t>
        </is>
      </c>
      <c r="AM165" s="41">
        <f>IF(ISNUMBER($AD165),Header!$I$3,"")</f>
      </c>
      <c r="AN165" s="39">
        <f>IF(ISNUMBER($AD165),$AO165+$AP165,"")</f>
      </c>
      <c r="AO165" s="39">
        <f>IF(ISNUMBER($AD165),ROUND($AD165*Header!$K$3,2),"")</f>
      </c>
      <c r="AP165" s="39">
        <f>IF(ISNUMBER($AD165),ROUND($AD165*Header!$M$3,2),"")</f>
      </c>
      <c r="AQ165" s="38">
        <f>IF(ISNUMBER($AD165),ROUND($AD165,2)-$AO165-$AP165,"")</f>
      </c>
      <c r="AR165" s="39">
        <f>IF(ISNUMBER($AD165),IF(Header!$D$34="","?",$AD165*Header!$D$34),"")</f>
      </c>
      <c r="AS165" s="39">
        <f>IF(ISNUMBER($AB165),IF(Header!$D$34="","?",$AB165*Header!$D$34),"")</f>
      </c>
      <c r="AT165" s="42">
        <f>IF(AND(ISNUMBER($AB165),$M165&gt;0),$AB165/$M165*100,"")</f>
      </c>
      <c r="AU165" s="42">
        <f>IF(AND(ISNUMBER($AD165),$M165&gt;0),$AD165/$M165*100,"")</f>
      </c>
      <c r="AV165" s="40">
        <f>IF(AND(ISNUMBER($AB165),ISNUMBER($AD165),ABS($AB165)&gt;0),$AD165/$AB165,"")</f>
      </c>
      <c r="AW165" s="39">
        <f>IF(ISNUMBER($AD165),MAX(0,(1-0.55-Header!$O$3)*Header!$Q$3*$AQ165),"")</f>
      </c>
      <c r="AX165" s="43">
        <f>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c>
      <c r="AY165" s="44">
        <f>IF($M165="","",IF(ISNUMBER($M165),IF($M165&gt;=Header!$C$18,"YES — refer","No"),""))</f>
      </c>
      <c r="AZ165" s="44">
        <f>IF($AD165="","",IF(ISNUMBER($AD165),IF($AD165&lt;Header!$C$20,"BELOW MIN PREMIUM","OK"),""))</f>
      </c>
      <c r="BA165" s="32" t="inlineStr">
        <is>
          <t xml:space="preserve">Yes</t>
        </is>
      </c>
      <c r="BB165" s="32" t="inlineStr">
        <is>
          <t xml:space="preserve">Yes</t>
        </is>
      </c>
      <c r="BC165" s="30" t="inlineStr">
        <is>
          <t xml:space="preserve">Synthetic demo data</t>
        </is>
      </c>
      <c r="BE165" s="45">
        <f>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c>
      <c r="BF165" s="45">
        <f>IF($AD165="","",IF(ROUND($AO165+$AP165+$AQ165-$AD165,2)=0,"OK","FAIL - out by "&amp;TEXT($AO165+$AP165+$AQ165-$AD165,"$0.00")))</f>
      </c>
    </row>
    <row r="166" spans="1:58" ht="18.75" customHeight="1" x14ac:dyDescent="0.25">
      <c r="A166" s="46" t="inlineStr">
        <is>
          <t xml:space="preserve">CANON-202606-008631</t>
        </is>
      </c>
      <c r="B166" s="46" t="inlineStr">
        <is>
          <t xml:space="preserve">Delphine Rourke</t>
        </is>
      </c>
      <c r="C166" s="47">
        <v>46187</v>
      </c>
      <c r="D166" s="48" t="inlineStr">
        <is>
          <t xml:space="preserve">Bound - within authority</t>
        </is>
      </c>
      <c r="E166" s="48" t="inlineStr">
        <is>
          <t xml:space="preserve">New business</t>
        </is>
      </c>
      <c r="F166" s="46" t="inlineStr">
        <is>
          <t xml:space="preserve">B1234EXOTIC26</t>
        </is>
      </c>
      <c r="G166" s="33">
        <f>IF($A166="","",IF($C166="","",YEAR($C166)))</f>
      </c>
      <c r="H166" s="49">
        <v>2013</v>
      </c>
      <c r="I166" s="46" t="inlineStr">
        <is>
          <t xml:space="preserve">BMW</t>
        </is>
      </c>
      <c r="J166" s="46" t="inlineStr">
        <is>
          <t xml:space="preserve">M8 Competition</t>
        </is>
      </c>
      <c r="K166" s="46" t="inlineStr">
        <is>
          <t xml:space="preserve">MKR8ZUL54FRAH5F3W</t>
        </is>
      </c>
      <c r="L166" s="48" t="inlineStr">
        <is>
          <t xml:space="preserve">02 - Sports / GT</t>
        </is>
      </c>
      <c r="M166" s="50">
        <v>405000</v>
      </c>
      <c r="N166" s="48" t="inlineStr">
        <is>
          <t xml:space="preserve">Personal</t>
        </is>
      </c>
      <c r="O166" s="46" t="inlineStr">
        <is>
          <t xml:space="preserve">Personal - regular use</t>
        </is>
      </c>
      <c r="P166" s="46" t="inlineStr">
        <is>
          <t xml:space="preserve">1,000 - 2,500</t>
        </is>
      </c>
      <c r="Q166" s="46" t="inlineStr">
        <is>
          <t xml:space="preserve">Washington</t>
        </is>
      </c>
      <c r="R166" s="46" t="inlineStr">
        <is>
          <t xml:space="preserve">98101</t>
        </is>
      </c>
      <c r="S166" s="48" t="inlineStr">
        <is>
          <t xml:space="preserve">Earthquake - high (CA, Cascadia, New Madrid)</t>
        </is>
      </c>
      <c r="T166" s="36">
        <f>IF($A166="","",IF($S166="","",IFERROR(INDEX('[1]natural catastrophe'!$D$6:$D$17,MATCH($S166,'[1]natural catastrophe'!$B$6:$B$17,0)),"?")))</f>
      </c>
      <c r="U166" s="46" t="inlineStr">
        <is>
          <t xml:space="preserve">$5,000</t>
        </is>
      </c>
      <c r="V166" s="48" t="inlineStr">
        <is>
          <t xml:space="preserve">Agreed Value</t>
        </is>
      </c>
      <c r="W166" s="46" t="inlineStr">
        <is>
          <t xml:space="preserve">$1,000</t>
        </is>
      </c>
      <c r="X166" s="48" t="inlineStr">
        <is>
          <t xml:space="preserve">$1,000,000 CSL</t>
        </is>
      </c>
      <c r="Y166" s="46"/>
      <c r="Z166" s="46"/>
      <c r="AA166" s="48" t="inlineStr">
        <is>
          <t xml:space="preserve">Surplus Lines</t>
        </is>
      </c>
      <c r="AB166" s="50">
        <v>4207.85</v>
      </c>
      <c r="AC166" s="51">
        <v>0</v>
      </c>
      <c r="AD166" s="38">
        <f>IF(ISNUMBER($AB166),$AB166*(1+N($AC166)),"")</f>
      </c>
      <c r="AE166" s="50">
        <v>350</v>
      </c>
      <c r="AF166" s="50">
        <v>0</v>
      </c>
      <c r="AG166" s="51"/>
      <c r="AH166" s="39">
        <f>IF(ISNUMBER($AD166),($AD166+$AE166+$AF166)*$AG166,"")</f>
      </c>
      <c r="AI166" s="50"/>
      <c r="AJ166" s="38">
        <f>IF(ISNUMBER($AD166),SUM($AD166:$AH166),"")</f>
      </c>
      <c r="AK166" s="40">
        <f>IF(AND(ISNUMBER($AB166),ISNUMBER($AD166)),IF($AB166&gt;0,$AD166/$AB166,""),"")</f>
      </c>
      <c r="AL166" s="48" t="inlineStr">
        <is>
          <t xml:space="preserve">At technical</t>
        </is>
      </c>
      <c r="AM166" s="41">
        <f>IF(ISNUMBER($AD166),Header!$I$3,"")</f>
      </c>
      <c r="AN166" s="39">
        <f>IF(ISNUMBER($AD166),$AO166+$AP166,"")</f>
      </c>
      <c r="AO166" s="39">
        <f>IF(ISNUMBER($AD166),ROUND($AD166*Header!$K$3,2),"")</f>
      </c>
      <c r="AP166" s="39">
        <f>IF(ISNUMBER($AD166),ROUND($AD166*Header!$M$3,2),"")</f>
      </c>
      <c r="AQ166" s="38">
        <f>IF(ISNUMBER($AD166),ROUND($AD166,2)-$AO166-$AP166,"")</f>
      </c>
      <c r="AR166" s="39">
        <f>IF(ISNUMBER($AD166),IF(Header!$D$34="","?",$AD166*Header!$D$34),"")</f>
      </c>
      <c r="AS166" s="39">
        <f>IF(ISNUMBER($AB166),IF(Header!$D$34="","?",$AB166*Header!$D$34),"")</f>
      </c>
      <c r="AT166" s="42">
        <f>IF(AND(ISNUMBER($AB166),$M166&gt;0),$AB166/$M166*100,"")</f>
      </c>
      <c r="AU166" s="42">
        <f>IF(AND(ISNUMBER($AD166),$M166&gt;0),$AD166/$M166*100,"")</f>
      </c>
      <c r="AV166" s="40">
        <f>IF(AND(ISNUMBER($AB166),ISNUMBER($AD166),ABS($AB166)&gt;0),$AD166/$AB166,"")</f>
      </c>
      <c r="AW166" s="39">
        <f>IF(ISNUMBER($AD166),MAX(0,(1-0.55-Header!$O$3)*Header!$Q$3*$AQ166),"")</f>
      </c>
      <c r="AX166" s="43">
        <f>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c>
      <c r="AY166" s="44">
        <f>IF($M166="","",IF(ISNUMBER($M166),IF($M166&gt;=Header!$C$18,"YES — refer","No"),""))</f>
      </c>
      <c r="AZ166" s="44">
        <f>IF($AD166="","",IF(ISNUMBER($AD166),IF($AD166&lt;Header!$C$20,"BELOW MIN PREMIUM","OK"),""))</f>
      </c>
      <c r="BA166" s="48" t="inlineStr">
        <is>
          <t xml:space="preserve">Yes</t>
        </is>
      </c>
      <c r="BB166" s="48" t="inlineStr">
        <is>
          <t xml:space="preserve">Yes</t>
        </is>
      </c>
      <c r="BC166" s="46" t="inlineStr">
        <is>
          <t xml:space="preserve">Synthetic demo data</t>
        </is>
      </c>
      <c r="BE166" s="45">
        <f>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c>
      <c r="BF166" s="45">
        <f>IF($AD166="","",IF(ROUND($AO166+$AP166+$AQ166-$AD166,2)=0,"OK","FAIL - out by "&amp;TEXT($AO166+$AP166+$AQ166-$AD166,"$0.00")))</f>
      </c>
    </row>
    <row r="167" spans="1:58" ht="18.75" customHeight="1" x14ac:dyDescent="0.25">
      <c r="A167" s="30" t="inlineStr">
        <is>
          <t xml:space="preserve">CANON-202606-008632</t>
        </is>
      </c>
      <c r="B167" s="30" t="inlineStr">
        <is>
          <t xml:space="preserve">Priya Thistlewood</t>
        </is>
      </c>
      <c r="C167" s="31">
        <v>46196</v>
      </c>
      <c r="D167" s="32" t="inlineStr">
        <is>
          <t xml:space="preserve">Bound - within authority</t>
        </is>
      </c>
      <c r="E167" s="32" t="inlineStr">
        <is>
          <t xml:space="preserve">New business</t>
        </is>
      </c>
      <c r="F167" s="30" t="inlineStr">
        <is>
          <t xml:space="preserve">B1234EXOTIC26</t>
        </is>
      </c>
      <c r="G167" s="33">
        <f>IF($A167="","",IF($C167="","",YEAR($C167)))</f>
      </c>
      <c r="H167" s="34">
        <v>2003</v>
      </c>
      <c r="I167" s="30" t="inlineStr">
        <is>
          <t xml:space="preserve">Porsche</t>
        </is>
      </c>
      <c r="J167" s="30" t="inlineStr">
        <is>
          <t xml:space="preserve">911 Turbo S</t>
        </is>
      </c>
      <c r="K167" s="30" t="inlineStr">
        <is>
          <t xml:space="preserve">EE0VZX1GVEJS8T3MW</t>
        </is>
      </c>
      <c r="L167" s="32" t="inlineStr">
        <is>
          <t xml:space="preserve">02 - Sports / GT</t>
        </is>
      </c>
      <c r="M167" s="35">
        <v>610000</v>
      </c>
      <c r="N167" s="32" t="inlineStr">
        <is>
          <t xml:space="preserve">Personal</t>
        </is>
      </c>
      <c r="O167" s="30" t="inlineStr">
        <is>
          <t xml:space="preserve">Personal - regular use</t>
        </is>
      </c>
      <c r="P167" s="30" t="inlineStr">
        <is>
          <t xml:space="preserve">2,500 - 5,000</t>
        </is>
      </c>
      <c r="Q167" s="30" t="inlineStr">
        <is>
          <t xml:space="preserve">New Jersey</t>
        </is>
      </c>
      <c r="R167" s="30" t="inlineStr">
        <is>
          <t xml:space="preserve">07102</t>
        </is>
      </c>
      <c r="S167" s="32" t="inlineStr">
        <is>
          <t xml:space="preserve">Tier 3 - Coastal wind (25-100 miles)</t>
        </is>
      </c>
      <c r="T167" s="36">
        <f>IF($A167="","",IF($S167="","",IFERROR(INDEX('[1]natural catastrophe'!$D$6:$D$17,MATCH($S167,'[1]natural catastrophe'!$B$6:$B$17,0)),"?")))</f>
      </c>
      <c r="U167" s="30" t="inlineStr">
        <is>
          <t xml:space="preserve">2% of agreed value, minimum $10,000</t>
        </is>
      </c>
      <c r="V167" s="32" t="inlineStr">
        <is>
          <t xml:space="preserve">Agreed Value</t>
        </is>
      </c>
      <c r="W167" s="30" t="inlineStr">
        <is>
          <t xml:space="preserve">$1,000</t>
        </is>
      </c>
      <c r="X167" s="32" t="inlineStr">
        <is>
          <t xml:space="preserve">$1,000,000 CSL</t>
        </is>
      </c>
      <c r="Y167" s="30"/>
      <c r="Z167" s="30"/>
      <c r="AA167" s="32" t="inlineStr">
        <is>
          <t xml:space="preserve">Surplus Lines</t>
        </is>
      </c>
      <c r="AB167" s="35">
        <v>5206.63</v>
      </c>
      <c r="AC167" s="37">
        <v>0</v>
      </c>
      <c r="AD167" s="38">
        <f>IF(ISNUMBER($AB167),$AB167*(1+N($AC167)),"")</f>
      </c>
      <c r="AE167" s="35">
        <v>350</v>
      </c>
      <c r="AF167" s="35">
        <v>0</v>
      </c>
      <c r="AG167" s="37"/>
      <c r="AH167" s="39">
        <f>IF(ISNUMBER($AD167),($AD167+$AE167+$AF167)*$AG167,"")</f>
      </c>
      <c r="AI167" s="35"/>
      <c r="AJ167" s="38">
        <f>IF(ISNUMBER($AD167),SUM($AD167:$AH167),"")</f>
      </c>
      <c r="AK167" s="40">
        <f>IF(AND(ISNUMBER($AB167),ISNUMBER($AD167)),IF($AB167&gt;0,$AD167/$AB167,""),"")</f>
      </c>
      <c r="AL167" s="32" t="inlineStr">
        <is>
          <t xml:space="preserve">At technical</t>
        </is>
      </c>
      <c r="AM167" s="41">
        <f>IF(ISNUMBER($AD167),Header!$I$3,"")</f>
      </c>
      <c r="AN167" s="39">
        <f>IF(ISNUMBER($AD167),$AO167+$AP167,"")</f>
      </c>
      <c r="AO167" s="39">
        <f>IF(ISNUMBER($AD167),ROUND($AD167*Header!$K$3,2),"")</f>
      </c>
      <c r="AP167" s="39">
        <f>IF(ISNUMBER($AD167),ROUND($AD167*Header!$M$3,2),"")</f>
      </c>
      <c r="AQ167" s="38">
        <f>IF(ISNUMBER($AD167),ROUND($AD167,2)-$AO167-$AP167,"")</f>
      </c>
      <c r="AR167" s="39">
        <f>IF(ISNUMBER($AD167),IF(Header!$D$34="","?",$AD167*Header!$D$34),"")</f>
      </c>
      <c r="AS167" s="39">
        <f>IF(ISNUMBER($AB167),IF(Header!$D$34="","?",$AB167*Header!$D$34),"")</f>
      </c>
      <c r="AT167" s="42">
        <f>IF(AND(ISNUMBER($AB167),$M167&gt;0),$AB167/$M167*100,"")</f>
      </c>
      <c r="AU167" s="42">
        <f>IF(AND(ISNUMBER($AD167),$M167&gt;0),$AD167/$M167*100,"")</f>
      </c>
      <c r="AV167" s="40">
        <f>IF(AND(ISNUMBER($AB167),ISNUMBER($AD167),ABS($AB167)&gt;0),$AD167/$AB167,"")</f>
      </c>
      <c r="AW167" s="39">
        <f>IF(ISNUMBER($AD167),MAX(0,(1-0.55-Header!$O$3)*Header!$Q$3*$AQ167),"")</f>
      </c>
      <c r="AX167" s="43">
        <f>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c>
      <c r="AY167" s="44">
        <f>IF($M167="","",IF(ISNUMBER($M167),IF($M167&gt;=Header!$C$18,"YES — refer","No"),""))</f>
      </c>
      <c r="AZ167" s="44">
        <f>IF($AD167="","",IF(ISNUMBER($AD167),IF($AD167&lt;Header!$C$20,"BELOW MIN PREMIUM","OK"),""))</f>
      </c>
      <c r="BA167" s="32" t="inlineStr">
        <is>
          <t xml:space="preserve">Yes</t>
        </is>
      </c>
      <c r="BB167" s="32" t="inlineStr">
        <is>
          <t xml:space="preserve">Yes</t>
        </is>
      </c>
      <c r="BC167" s="30" t="inlineStr">
        <is>
          <t xml:space="preserve">Synthetic demo data</t>
        </is>
      </c>
      <c r="BE167" s="45">
        <f>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c>
      <c r="BF167" s="45">
        <f>IF($AD167="","",IF(ROUND($AO167+$AP167+$AQ167-$AD167,2)=0,"OK","FAIL - out by "&amp;TEXT($AO167+$AP167+$AQ167-$AD167,"$0.00")))</f>
      </c>
    </row>
    <row r="168" spans="1:58" ht="18.75" customHeight="1" x14ac:dyDescent="0.25">
      <c r="A168" s="46" t="inlineStr">
        <is>
          <t xml:space="preserve">CANON-202606-008636</t>
        </is>
      </c>
      <c r="B168" s="46" t="inlineStr">
        <is>
          <t xml:space="preserve">Fitzgerald Delacroix</t>
        </is>
      </c>
      <c r="C168" s="47">
        <v>46193</v>
      </c>
      <c r="D168" s="48" t="inlineStr">
        <is>
          <t xml:space="preserve">Bound - within authority</t>
        </is>
      </c>
      <c r="E168" s="48" t="inlineStr">
        <is>
          <t xml:space="preserve">New business</t>
        </is>
      </c>
      <c r="F168" s="46" t="inlineStr">
        <is>
          <t xml:space="preserve">B1234EXOTIC26</t>
        </is>
      </c>
      <c r="G168" s="33">
        <f>IF($A168="","",IF($C168="","",YEAR($C168)))</f>
      </c>
      <c r="H168" s="49">
        <v>2014</v>
      </c>
      <c r="I168" s="46" t="inlineStr">
        <is>
          <t xml:space="preserve">McLaren</t>
        </is>
      </c>
      <c r="J168" s="46" t="inlineStr">
        <is>
          <t xml:space="preserve">750S</t>
        </is>
      </c>
      <c r="K168" s="46" t="inlineStr">
        <is>
          <t xml:space="preserve">DWV8UZ4CP2XA4L2EZ</t>
        </is>
      </c>
      <c r="L168" s="48" t="inlineStr">
        <is>
          <t xml:space="preserve">03 - Supercar</t>
        </is>
      </c>
      <c r="M168" s="50">
        <v>1485000</v>
      </c>
      <c r="N168" s="48" t="inlineStr">
        <is>
          <t xml:space="preserve">Personal</t>
        </is>
      </c>
      <c r="O168" s="46" t="inlineStr">
        <is>
          <t xml:space="preserve">Personal - regular use</t>
        </is>
      </c>
      <c r="P168" s="46" t="inlineStr">
        <is>
          <t xml:space="preserve">Under 1,000</t>
        </is>
      </c>
      <c r="Q168" s="46" t="inlineStr">
        <is>
          <t xml:space="preserve">Massachusetts</t>
        </is>
      </c>
      <c r="R168" s="46" t="inlineStr">
        <is>
          <t xml:space="preserve">02108</t>
        </is>
      </c>
      <c r="S168" s="48" t="inlineStr">
        <is>
          <t xml:space="preserve">Tier 3 - Coastal wind (25-100 miles)</t>
        </is>
      </c>
      <c r="T168" s="36">
        <f>IF($A168="","",IF($S168="","",IFERROR(INDEX('[1]natural catastrophe'!$D$6:$D$17,MATCH($S168,'[1]natural catastrophe'!$B$6:$B$17,0)),"?")))</f>
      </c>
      <c r="U168" s="46" t="inlineStr">
        <is>
          <t xml:space="preserve">2% of agreed value, minimum $10,000</t>
        </is>
      </c>
      <c r="V168" s="48" t="inlineStr">
        <is>
          <t xml:space="preserve">Agreed Value</t>
        </is>
      </c>
      <c r="W168" s="46" t="inlineStr">
        <is>
          <t xml:space="preserve">$1,000</t>
        </is>
      </c>
      <c r="X168" s="48" t="inlineStr">
        <is>
          <t xml:space="preserve">$1,000,000 CSL</t>
        </is>
      </c>
      <c r="Y168" s="46"/>
      <c r="Z168" s="46"/>
      <c r="AA168" s="48" t="inlineStr">
        <is>
          <t xml:space="preserve">Surplus Lines</t>
        </is>
      </c>
      <c r="AB168" s="50">
        <v>21428.83</v>
      </c>
      <c r="AC168" s="51">
        <v>0</v>
      </c>
      <c r="AD168" s="38">
        <f>IF(ISNUMBER($AB168),$AB168*(1+N($AC168)),"")</f>
      </c>
      <c r="AE168" s="50">
        <v>350</v>
      </c>
      <c r="AF168" s="50">
        <v>250</v>
      </c>
      <c r="AG168" s="51"/>
      <c r="AH168" s="39">
        <f>IF(ISNUMBER($AD168),($AD168+$AE168+$AF168)*$AG168,"")</f>
      </c>
      <c r="AI168" s="50"/>
      <c r="AJ168" s="38">
        <f>IF(ISNUMBER($AD168),SUM($AD168:$AH168),"")</f>
      </c>
      <c r="AK168" s="40">
        <f>IF(AND(ISNUMBER($AB168),ISNUMBER($AD168)),IF($AB168&gt;0,$AD168/$AB168,""),"")</f>
      </c>
      <c r="AL168" s="48" t="inlineStr">
        <is>
          <t xml:space="preserve">At technical</t>
        </is>
      </c>
      <c r="AM168" s="41">
        <f>IF(ISNUMBER($AD168),Header!$I$3,"")</f>
      </c>
      <c r="AN168" s="39">
        <f>IF(ISNUMBER($AD168),$AO168+$AP168,"")</f>
      </c>
      <c r="AO168" s="39">
        <f>IF(ISNUMBER($AD168),ROUND($AD168*Header!$K$3,2),"")</f>
      </c>
      <c r="AP168" s="39">
        <f>IF(ISNUMBER($AD168),ROUND($AD168*Header!$M$3,2),"")</f>
      </c>
      <c r="AQ168" s="38">
        <f>IF(ISNUMBER($AD168),ROUND($AD168,2)-$AO168-$AP168,"")</f>
      </c>
      <c r="AR168" s="39">
        <f>IF(ISNUMBER($AD168),IF(Header!$D$34="","?",$AD168*Header!$D$34),"")</f>
      </c>
      <c r="AS168" s="39">
        <f>IF(ISNUMBER($AB168),IF(Header!$D$34="","?",$AB168*Header!$D$34),"")</f>
      </c>
      <c r="AT168" s="42">
        <f>IF(AND(ISNUMBER($AB168),$M168&gt;0),$AB168/$M168*100,"")</f>
      </c>
      <c r="AU168" s="42">
        <f>IF(AND(ISNUMBER($AD168),$M168&gt;0),$AD168/$M168*100,"")</f>
      </c>
      <c r="AV168" s="40">
        <f>IF(AND(ISNUMBER($AB168),ISNUMBER($AD168),ABS($AB168)&gt;0),$AD168/$AB168,"")</f>
      </c>
      <c r="AW168" s="39">
        <f>IF(ISNUMBER($AD168),MAX(0,(1-0.55-Header!$O$3)*Header!$Q$3*$AQ168),"")</f>
      </c>
      <c r="AX168" s="43">
        <f>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c>
      <c r="AY168" s="44">
        <f>IF($M168="","",IF(ISNUMBER($M168),IF($M168&gt;=Header!$C$18,"YES — refer","No"),""))</f>
      </c>
      <c r="AZ168" s="44">
        <f>IF($AD168="","",IF(ISNUMBER($AD168),IF($AD168&lt;Header!$C$20,"BELOW MIN PREMIUM","OK"),""))</f>
      </c>
      <c r="BA168" s="48" t="inlineStr">
        <is>
          <t xml:space="preserve">Yes</t>
        </is>
      </c>
      <c r="BB168" s="48" t="inlineStr">
        <is>
          <t xml:space="preserve">Yes</t>
        </is>
      </c>
      <c r="BC168" s="46" t="inlineStr">
        <is>
          <t xml:space="preserve">Synthetic demo data</t>
        </is>
      </c>
      <c r="BE168" s="45">
        <f>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c>
      <c r="BF168" s="45">
        <f>IF($AD168="","",IF(ROUND($AO168+$AP168+$AQ168-$AD168,2)=0,"OK","FAIL - out by "&amp;TEXT($AO168+$AP168+$AQ168-$AD168,"$0.00")))</f>
      </c>
    </row>
    <row r="169" spans="1:58" ht="18.75" customHeight="1" x14ac:dyDescent="0.25">
      <c r="A169" s="30" t="inlineStr">
        <is>
          <t xml:space="preserve">CANON-202606-008637</t>
        </is>
      </c>
      <c r="B169" s="30" t="inlineStr">
        <is>
          <t xml:space="preserve">Callum Bellandi</t>
        </is>
      </c>
      <c r="C169" s="31">
        <v>46200</v>
      </c>
      <c r="D169" s="32" t="inlineStr">
        <is>
          <t xml:space="preserve">Bound - within authority</t>
        </is>
      </c>
      <c r="E169" s="32" t="inlineStr">
        <is>
          <t xml:space="preserve">New business</t>
        </is>
      </c>
      <c r="F169" s="30" t="inlineStr">
        <is>
          <t xml:space="preserve">B1234EXOTIC26</t>
        </is>
      </c>
      <c r="G169" s="33">
        <f>IF($A169="","",IF($C169="","",YEAR($C169)))</f>
      </c>
      <c r="H169" s="34">
        <v>2000</v>
      </c>
      <c r="I169" s="30" t="inlineStr">
        <is>
          <t xml:space="preserve">McLaren</t>
        </is>
      </c>
      <c r="J169" s="30" t="inlineStr">
        <is>
          <t xml:space="preserve">750S</t>
        </is>
      </c>
      <c r="K169" s="30" t="inlineStr">
        <is>
          <t xml:space="preserve">60X6T8UDNDL8J63MF</t>
        </is>
      </c>
      <c r="L169" s="32" t="inlineStr">
        <is>
          <t xml:space="preserve">03 - Supercar</t>
        </is>
      </c>
      <c r="M169" s="35">
        <v>1055000</v>
      </c>
      <c r="N169" s="32" t="inlineStr">
        <is>
          <t xml:space="preserve">Personal</t>
        </is>
      </c>
      <c r="O169" s="30" t="inlineStr">
        <is>
          <t xml:space="preserve">Personal - regular use</t>
        </is>
      </c>
      <c r="P169" s="30" t="inlineStr">
        <is>
          <t xml:space="preserve">1,000 - 2,500</t>
        </is>
      </c>
      <c r="Q169" s="30" t="inlineStr">
        <is>
          <t xml:space="preserve">Georgia</t>
        </is>
      </c>
      <c r="R169" s="30" t="inlineStr">
        <is>
          <t xml:space="preserve">30303</t>
        </is>
      </c>
      <c r="S169" s="32" t="inlineStr">
        <is>
          <t xml:space="preserve">Tier 2 - Coastal wind (1-25 miles)</t>
        </is>
      </c>
      <c r="T169" s="36">
        <f>IF($A169="","",IF($S169="","",IFERROR(INDEX('[1]natural catastrophe'!$D$6:$D$17,MATCH($S169,'[1]natural catastrophe'!$B$6:$B$17,0)),"?")))</f>
      </c>
      <c r="U169" s="30" t="inlineStr">
        <is>
          <t xml:space="preserve">2% of agreed value, minimum $10,000</t>
        </is>
      </c>
      <c r="V169" s="32" t="inlineStr">
        <is>
          <t xml:space="preserve">Agreed Value</t>
        </is>
      </c>
      <c r="W169" s="30" t="inlineStr">
        <is>
          <t xml:space="preserve">$1,000</t>
        </is>
      </c>
      <c r="X169" s="32" t="inlineStr">
        <is>
          <t xml:space="preserve">$1,000,000 CSL</t>
        </is>
      </c>
      <c r="Y169" s="30"/>
      <c r="Z169" s="30"/>
      <c r="AA169" s="32" t="inlineStr">
        <is>
          <t xml:space="preserve">Surplus Lines</t>
        </is>
      </c>
      <c r="AB169" s="35">
        <v>13640.57</v>
      </c>
      <c r="AC169" s="37">
        <v>0</v>
      </c>
      <c r="AD169" s="38">
        <f>IF(ISNUMBER($AB169),$AB169*(1+N($AC169)),"")</f>
      </c>
      <c r="AE169" s="35">
        <v>350</v>
      </c>
      <c r="AF169" s="35">
        <v>250</v>
      </c>
      <c r="AG169" s="37"/>
      <c r="AH169" s="39">
        <f>IF(ISNUMBER($AD169),($AD169+$AE169+$AF169)*$AG169,"")</f>
      </c>
      <c r="AI169" s="35"/>
      <c r="AJ169" s="38">
        <f>IF(ISNUMBER($AD169),SUM($AD169:$AH169),"")</f>
      </c>
      <c r="AK169" s="40">
        <f>IF(AND(ISNUMBER($AB169),ISNUMBER($AD169)),IF($AB169&gt;0,$AD169/$AB169,""),"")</f>
      </c>
      <c r="AL169" s="32" t="inlineStr">
        <is>
          <t xml:space="preserve">At technical</t>
        </is>
      </c>
      <c r="AM169" s="41">
        <f>IF(ISNUMBER($AD169),Header!$I$3,"")</f>
      </c>
      <c r="AN169" s="39">
        <f>IF(ISNUMBER($AD169),$AO169+$AP169,"")</f>
      </c>
      <c r="AO169" s="39">
        <f>IF(ISNUMBER($AD169),ROUND($AD169*Header!$K$3,2),"")</f>
      </c>
      <c r="AP169" s="39">
        <f>IF(ISNUMBER($AD169),ROUND($AD169*Header!$M$3,2),"")</f>
      </c>
      <c r="AQ169" s="38">
        <f>IF(ISNUMBER($AD169),ROUND($AD169,2)-$AO169-$AP169,"")</f>
      </c>
      <c r="AR169" s="39">
        <f>IF(ISNUMBER($AD169),IF(Header!$D$34="","?",$AD169*Header!$D$34),"")</f>
      </c>
      <c r="AS169" s="39">
        <f>IF(ISNUMBER($AB169),IF(Header!$D$34="","?",$AB169*Header!$D$34),"")</f>
      </c>
      <c r="AT169" s="42">
        <f>IF(AND(ISNUMBER($AB169),$M169&gt;0),$AB169/$M169*100,"")</f>
      </c>
      <c r="AU169" s="42">
        <f>IF(AND(ISNUMBER($AD169),$M169&gt;0),$AD169/$M169*100,"")</f>
      </c>
      <c r="AV169" s="40">
        <f>IF(AND(ISNUMBER($AB169),ISNUMBER($AD169),ABS($AB169)&gt;0),$AD169/$AB169,"")</f>
      </c>
      <c r="AW169" s="39">
        <f>IF(ISNUMBER($AD169),MAX(0,(1-0.55-Header!$O$3)*Header!$Q$3*$AQ169),"")</f>
      </c>
      <c r="AX169" s="43">
        <f>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c>
      <c r="AY169" s="44">
        <f>IF($M169="","",IF(ISNUMBER($M169),IF($M169&gt;=Header!$C$18,"YES — refer","No"),""))</f>
      </c>
      <c r="AZ169" s="44">
        <f>IF($AD169="","",IF(ISNUMBER($AD169),IF($AD169&lt;Header!$C$20,"BELOW MIN PREMIUM","OK"),""))</f>
      </c>
      <c r="BA169" s="32" t="inlineStr">
        <is>
          <t xml:space="preserve">Yes</t>
        </is>
      </c>
      <c r="BB169" s="32" t="inlineStr">
        <is>
          <t xml:space="preserve">Yes</t>
        </is>
      </c>
      <c r="BC169" s="30" t="inlineStr">
        <is>
          <t xml:space="preserve">Synthetic demo data</t>
        </is>
      </c>
      <c r="BE169" s="45">
        <f>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c>
      <c r="BF169" s="45">
        <f>IF($AD169="","",IF(ROUND($AO169+$AP169+$AQ169-$AD169,2)=0,"OK","FAIL - out by "&amp;TEXT($AO169+$AP169+$AQ169-$AD169,"$0.00")))</f>
      </c>
    </row>
    <row r="170" spans="1:58" ht="18.75" customHeight="1" x14ac:dyDescent="0.25">
      <c r="A170" s="46" t="inlineStr">
        <is>
          <t xml:space="preserve">CANON-202606-008638</t>
        </is>
      </c>
      <c r="B170" s="46" t="inlineStr">
        <is>
          <t xml:space="preserve">Everett Kingsford</t>
        </is>
      </c>
      <c r="C170" s="47">
        <v>46186</v>
      </c>
      <c r="D170" s="48" t="inlineStr">
        <is>
          <t xml:space="preserve">Bound - within authority</t>
        </is>
      </c>
      <c r="E170" s="48" t="inlineStr">
        <is>
          <t xml:space="preserve">New business</t>
        </is>
      </c>
      <c r="F170" s="46" t="inlineStr">
        <is>
          <t xml:space="preserve">B1234EXOTIC26</t>
        </is>
      </c>
      <c r="G170" s="33">
        <f>IF($A170="","",IF($C170="","",YEAR($C170)))</f>
      </c>
      <c r="H170" s="49">
        <v>1972</v>
      </c>
      <c r="I170" s="46" t="inlineStr">
        <is>
          <t xml:space="preserve">Mercedes-Benz</t>
        </is>
      </c>
      <c r="J170" s="46" t="inlineStr">
        <is>
          <t xml:space="preserve">AMG GT</t>
        </is>
      </c>
      <c r="K170" s="46" t="inlineStr">
        <is>
          <t xml:space="preserve">SBX6WE5081G1HDDV5</t>
        </is>
      </c>
      <c r="L170" s="48" t="inlineStr">
        <is>
          <t xml:space="preserve">02 - Sports / GT</t>
        </is>
      </c>
      <c r="M170" s="50">
        <v>465000</v>
      </c>
      <c r="N170" s="48" t="inlineStr">
        <is>
          <t xml:space="preserve">Personal</t>
        </is>
      </c>
      <c r="O170" s="46" t="inlineStr">
        <is>
          <t xml:space="preserve">Personal - regular use</t>
        </is>
      </c>
      <c r="P170" s="46" t="inlineStr">
        <is>
          <t xml:space="preserve">Under 1,000</t>
        </is>
      </c>
      <c r="Q170" s="46" t="inlineStr">
        <is>
          <t xml:space="preserve">New York</t>
        </is>
      </c>
      <c r="R170" s="46" t="inlineStr">
        <is>
          <t xml:space="preserve">10022</t>
        </is>
      </c>
      <c r="S170" s="48" t="inlineStr">
        <is>
          <t xml:space="preserve">Tier 3 - Coastal wind (25-100 miles)</t>
        </is>
      </c>
      <c r="T170" s="36">
        <f>IF($A170="","",IF($S170="","",IFERROR(INDEX('[1]natural catastrophe'!$D$6:$D$17,MATCH($S170,'[1]natural catastrophe'!$B$6:$B$17,0)),"?")))</f>
      </c>
      <c r="U170" s="46" t="inlineStr">
        <is>
          <t xml:space="preserve">2% of agreed value, minimum $10,000</t>
        </is>
      </c>
      <c r="V170" s="48" t="inlineStr">
        <is>
          <t xml:space="preserve">Agreed Value</t>
        </is>
      </c>
      <c r="W170" s="46" t="inlineStr">
        <is>
          <t xml:space="preserve">$1,000</t>
        </is>
      </c>
      <c r="X170" s="48" t="inlineStr">
        <is>
          <t xml:space="preserve">$1,000,000 CSL</t>
        </is>
      </c>
      <c r="Y170" s="46"/>
      <c r="Z170" s="46"/>
      <c r="AA170" s="48" t="inlineStr">
        <is>
          <t xml:space="preserve">Surplus Lines</t>
        </is>
      </c>
      <c r="AB170" s="50">
        <v>6441.64</v>
      </c>
      <c r="AC170" s="51">
        <v>0</v>
      </c>
      <c r="AD170" s="38">
        <f>IF(ISNUMBER($AB170),$AB170*(1+N($AC170)),"")</f>
      </c>
      <c r="AE170" s="50">
        <v>350</v>
      </c>
      <c r="AF170" s="50">
        <v>0</v>
      </c>
      <c r="AG170" s="51"/>
      <c r="AH170" s="39">
        <f>IF(ISNUMBER($AD170),($AD170+$AE170+$AF170)*$AG170,"")</f>
      </c>
      <c r="AI170" s="50"/>
      <c r="AJ170" s="38">
        <f>IF(ISNUMBER($AD170),SUM($AD170:$AH170),"")</f>
      </c>
      <c r="AK170" s="40">
        <f>IF(AND(ISNUMBER($AB170),ISNUMBER($AD170)),IF($AB170&gt;0,$AD170/$AB170,""),"")</f>
      </c>
      <c r="AL170" s="48" t="inlineStr">
        <is>
          <t xml:space="preserve">At technical</t>
        </is>
      </c>
      <c r="AM170" s="41">
        <f>IF(ISNUMBER($AD170),Header!$I$3,"")</f>
      </c>
      <c r="AN170" s="39">
        <f>IF(ISNUMBER($AD170),$AO170+$AP170,"")</f>
      </c>
      <c r="AO170" s="39">
        <f>IF(ISNUMBER($AD170),ROUND($AD170*Header!$K$3,2),"")</f>
      </c>
      <c r="AP170" s="39">
        <f>IF(ISNUMBER($AD170),ROUND($AD170*Header!$M$3,2),"")</f>
      </c>
      <c r="AQ170" s="38">
        <f>IF(ISNUMBER($AD170),ROUND($AD170,2)-$AO170-$AP170,"")</f>
      </c>
      <c r="AR170" s="39">
        <f>IF(ISNUMBER($AD170),IF(Header!$D$34="","?",$AD170*Header!$D$34),"")</f>
      </c>
      <c r="AS170" s="39">
        <f>IF(ISNUMBER($AB170),IF(Header!$D$34="","?",$AB170*Header!$D$34),"")</f>
      </c>
      <c r="AT170" s="42">
        <f>IF(AND(ISNUMBER($AB170),$M170&gt;0),$AB170/$M170*100,"")</f>
      </c>
      <c r="AU170" s="42">
        <f>IF(AND(ISNUMBER($AD170),$M170&gt;0),$AD170/$M170*100,"")</f>
      </c>
      <c r="AV170" s="40">
        <f>IF(AND(ISNUMBER($AB170),ISNUMBER($AD170),ABS($AB170)&gt;0),$AD170/$AB170,"")</f>
      </c>
      <c r="AW170" s="39">
        <f>IF(ISNUMBER($AD170),MAX(0,(1-0.55-Header!$O$3)*Header!$Q$3*$AQ170),"")</f>
      </c>
      <c r="AX170" s="43">
        <f>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c>
      <c r="AY170" s="44">
        <f>IF($M170="","",IF(ISNUMBER($M170),IF($M170&gt;=Header!$C$18,"YES — refer","No"),""))</f>
      </c>
      <c r="AZ170" s="44">
        <f>IF($AD170="","",IF(ISNUMBER($AD170),IF($AD170&lt;Header!$C$20,"BELOW MIN PREMIUM","OK"),""))</f>
      </c>
      <c r="BA170" s="48" t="inlineStr">
        <is>
          <t xml:space="preserve">Yes</t>
        </is>
      </c>
      <c r="BB170" s="48" t="inlineStr">
        <is>
          <t xml:space="preserve">Yes</t>
        </is>
      </c>
      <c r="BC170" s="46" t="inlineStr">
        <is>
          <t xml:space="preserve">Synthetic demo data</t>
        </is>
      </c>
      <c r="BE170" s="45">
        <f>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c>
      <c r="BF170" s="45">
        <f>IF($AD170="","",IF(ROUND($AO170+$AP170+$AQ170-$AD170,2)=0,"OK","FAIL - out by "&amp;TEXT($AO170+$AP170+$AQ170-$AD170,"$0.00")))</f>
      </c>
    </row>
    <row r="171" spans="1:58" ht="18.75" customHeight="1" x14ac:dyDescent="0.25">
      <c r="A171" s="30" t="inlineStr">
        <is>
          <t xml:space="preserve">CANON-202606-008639</t>
        </is>
      </c>
      <c r="B171" s="30" t="inlineStr">
        <is>
          <t xml:space="preserve">Priya Ashcombe</t>
        </is>
      </c>
      <c r="C171" s="31">
        <v>46178</v>
      </c>
      <c r="D171" s="32" t="inlineStr">
        <is>
          <t xml:space="preserve">Bound - within authority</t>
        </is>
      </c>
      <c r="E171" s="32" t="inlineStr">
        <is>
          <t xml:space="preserve">New business</t>
        </is>
      </c>
      <c r="F171" s="30" t="inlineStr">
        <is>
          <t xml:space="preserve">B1234EXOTIC26</t>
        </is>
      </c>
      <c r="G171" s="33">
        <f>IF($A171="","",IF($C171="","",YEAR($C171)))</f>
      </c>
      <c r="H171" s="34">
        <v>1968</v>
      </c>
      <c r="I171" s="30" t="inlineStr">
        <is>
          <t xml:space="preserve">Ringbrothers</t>
        </is>
      </c>
      <c r="J171" s="30" t="inlineStr">
        <is>
          <t xml:space="preserve">Mustang</t>
        </is>
      </c>
      <c r="K171" s="30" t="inlineStr">
        <is>
          <t xml:space="preserve">AKCJ397VAVT9GKZLS</t>
        </is>
      </c>
      <c r="L171" s="32" t="inlineStr">
        <is>
          <t xml:space="preserve">11 - Restomod / Coachbuilt / Bespoke</t>
        </is>
      </c>
      <c r="M171" s="35">
        <v>1265000</v>
      </c>
      <c r="N171" s="32" t="inlineStr">
        <is>
          <t xml:space="preserve">Personal</t>
        </is>
      </c>
      <c r="O171" s="30" t="inlineStr">
        <is>
          <t xml:space="preserve">Personal - regular use</t>
        </is>
      </c>
      <c r="P171" s="30" t="inlineStr">
        <is>
          <t xml:space="preserve">Under 1,000</t>
        </is>
      </c>
      <c r="Q171" s="30" t="inlineStr">
        <is>
          <t xml:space="preserve">Mississippi</t>
        </is>
      </c>
      <c r="R171" s="30" t="inlineStr">
        <is>
          <t xml:space="preserve">39201</t>
        </is>
      </c>
      <c r="S171" s="32" t="inlineStr">
        <is>
          <t xml:space="preserve">Tier 2 - Coastal wind (1-25 miles)</t>
        </is>
      </c>
      <c r="T171" s="36">
        <f>IF($A171="","",IF($S171="","",IFERROR(INDEX('[1]natural catastrophe'!$D$6:$D$17,MATCH($S171,'[1]natural catastrophe'!$B$6:$B$17,0)),"?")))</f>
      </c>
      <c r="U171" s="30" t="inlineStr">
        <is>
          <t xml:space="preserve">2% of agreed value, minimum $10,000</t>
        </is>
      </c>
      <c r="V171" s="32" t="inlineStr">
        <is>
          <t xml:space="preserve">Agreed Value</t>
        </is>
      </c>
      <c r="W171" s="30" t="inlineStr">
        <is>
          <t xml:space="preserve">$1,000</t>
        </is>
      </c>
      <c r="X171" s="32" t="inlineStr">
        <is>
          <t xml:space="preserve">$1,000,000 CSL</t>
        </is>
      </c>
      <c r="Y171" s="30"/>
      <c r="Z171" s="30"/>
      <c r="AA171" s="32" t="inlineStr">
        <is>
          <t xml:space="preserve">Surplus Lines</t>
        </is>
      </c>
      <c r="AB171" s="35">
        <v>14771.29</v>
      </c>
      <c r="AC171" s="37">
        <v>0</v>
      </c>
      <c r="AD171" s="38">
        <f>IF(ISNUMBER($AB171),$AB171*(1+N($AC171)),"")</f>
      </c>
      <c r="AE171" s="35">
        <v>350</v>
      </c>
      <c r="AF171" s="35">
        <v>250</v>
      </c>
      <c r="AG171" s="37"/>
      <c r="AH171" s="39">
        <f>IF(ISNUMBER($AD171),($AD171+$AE171+$AF171)*$AG171,"")</f>
      </c>
      <c r="AI171" s="35"/>
      <c r="AJ171" s="38">
        <f>IF(ISNUMBER($AD171),SUM($AD171:$AH171),"")</f>
      </c>
      <c r="AK171" s="40">
        <f>IF(AND(ISNUMBER($AB171),ISNUMBER($AD171)),IF($AB171&gt;0,$AD171/$AB171,""),"")</f>
      </c>
      <c r="AL171" s="32" t="inlineStr">
        <is>
          <t xml:space="preserve">At technical</t>
        </is>
      </c>
      <c r="AM171" s="41">
        <f>IF(ISNUMBER($AD171),Header!$I$3,"")</f>
      </c>
      <c r="AN171" s="39">
        <f>IF(ISNUMBER($AD171),$AO171+$AP171,"")</f>
      </c>
      <c r="AO171" s="39">
        <f>IF(ISNUMBER($AD171),ROUND($AD171*Header!$K$3,2),"")</f>
      </c>
      <c r="AP171" s="39">
        <f>IF(ISNUMBER($AD171),ROUND($AD171*Header!$M$3,2),"")</f>
      </c>
      <c r="AQ171" s="38">
        <f>IF(ISNUMBER($AD171),ROUND($AD171,2)-$AO171-$AP171,"")</f>
      </c>
      <c r="AR171" s="39">
        <f>IF(ISNUMBER($AD171),IF(Header!$D$34="","?",$AD171*Header!$D$34),"")</f>
      </c>
      <c r="AS171" s="39">
        <f>IF(ISNUMBER($AB171),IF(Header!$D$34="","?",$AB171*Header!$D$34),"")</f>
      </c>
      <c r="AT171" s="42">
        <f>IF(AND(ISNUMBER($AB171),$M171&gt;0),$AB171/$M171*100,"")</f>
      </c>
      <c r="AU171" s="42">
        <f>IF(AND(ISNUMBER($AD171),$M171&gt;0),$AD171/$M171*100,"")</f>
      </c>
      <c r="AV171" s="40">
        <f>IF(AND(ISNUMBER($AB171),ISNUMBER($AD171),ABS($AB171)&gt;0),$AD171/$AB171,"")</f>
      </c>
      <c r="AW171" s="39">
        <f>IF(ISNUMBER($AD171),MAX(0,(1-0.55-Header!$O$3)*Header!$Q$3*$AQ171),"")</f>
      </c>
      <c r="AX171" s="43">
        <f>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c>
      <c r="AY171" s="44">
        <f>IF($M171="","",IF(ISNUMBER($M171),IF($M171&gt;=Header!$C$18,"YES — refer","No"),""))</f>
      </c>
      <c r="AZ171" s="44">
        <f>IF($AD171="","",IF(ISNUMBER($AD171),IF($AD171&lt;Header!$C$20,"BELOW MIN PREMIUM","OK"),""))</f>
      </c>
      <c r="BA171" s="32" t="inlineStr">
        <is>
          <t xml:space="preserve">Yes</t>
        </is>
      </c>
      <c r="BB171" s="32" t="inlineStr">
        <is>
          <t xml:space="preserve">Yes</t>
        </is>
      </c>
      <c r="BC171" s="30" t="inlineStr">
        <is>
          <t xml:space="preserve">Synthetic demo data</t>
        </is>
      </c>
      <c r="BE171" s="45">
        <f>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c>
      <c r="BF171" s="45">
        <f>IF($AD171="","",IF(ROUND($AO171+$AP171+$AQ171-$AD171,2)=0,"OK","FAIL - out by "&amp;TEXT($AO171+$AP171+$AQ171-$AD171,"$0.00")))</f>
      </c>
    </row>
    <row r="172" spans="1:58" ht="18.75" customHeight="1" x14ac:dyDescent="0.25">
      <c r="A172" s="46" t="inlineStr">
        <is>
          <t xml:space="preserve">CANON-202606-008641</t>
        </is>
      </c>
      <c r="B172" s="46" t="inlineStr">
        <is>
          <t xml:space="preserve">Fenwick Whitlock</t>
        </is>
      </c>
      <c r="C172" s="47">
        <v>46194</v>
      </c>
      <c r="D172" s="48" t="inlineStr">
        <is>
          <t xml:space="preserve">Bound - within authority</t>
        </is>
      </c>
      <c r="E172" s="48" t="inlineStr">
        <is>
          <t xml:space="preserve">New business</t>
        </is>
      </c>
      <c r="F172" s="46" t="inlineStr">
        <is>
          <t xml:space="preserve">B1234EXOTIC26</t>
        </is>
      </c>
      <c r="G172" s="33">
        <f>IF($A172="","",IF($C172="","",YEAR($C172)))</f>
      </c>
      <c r="H172" s="49">
        <v>1998</v>
      </c>
      <c r="I172" s="46" t="inlineStr">
        <is>
          <t xml:space="preserve">Ferrari</t>
        </is>
      </c>
      <c r="J172" s="46" t="inlineStr">
        <is>
          <t xml:space="preserve">296 GTB</t>
        </is>
      </c>
      <c r="K172" s="46" t="inlineStr">
        <is>
          <t xml:space="preserve">138HC93KRL86SR1F5</t>
        </is>
      </c>
      <c r="L172" s="48" t="inlineStr">
        <is>
          <t xml:space="preserve">03 - Supercar</t>
        </is>
      </c>
      <c r="M172" s="50">
        <v>550000</v>
      </c>
      <c r="N172" s="48" t="inlineStr">
        <is>
          <t xml:space="preserve">Personal</t>
        </is>
      </c>
      <c r="O172" s="46" t="inlineStr">
        <is>
          <t xml:space="preserve">Personal - regular use</t>
        </is>
      </c>
      <c r="P172" s="46" t="inlineStr">
        <is>
          <t xml:space="preserve">2,500 - 5,000</t>
        </is>
      </c>
      <c r="Q172" s="46" t="inlineStr">
        <is>
          <t xml:space="preserve">Texas</t>
        </is>
      </c>
      <c r="R172" s="46" t="inlineStr">
        <is>
          <t xml:space="preserve">75201</t>
        </is>
      </c>
      <c r="S172" s="48" t="inlineStr">
        <is>
          <t xml:space="preserve">Tier 2 - Coastal wind (1-25 miles)</t>
        </is>
      </c>
      <c r="T172" s="36">
        <f>IF($A172="","",IF($S172="","",IFERROR(INDEX('[1]natural catastrophe'!$D$6:$D$17,MATCH($S172,'[1]natural catastrophe'!$B$6:$B$17,0)),"?")))</f>
      </c>
      <c r="U172" s="46" t="inlineStr">
        <is>
          <t xml:space="preserve">2% of agreed value, minimum $10,000</t>
        </is>
      </c>
      <c r="V172" s="48" t="inlineStr">
        <is>
          <t xml:space="preserve">Agreed Value</t>
        </is>
      </c>
      <c r="W172" s="46" t="inlineStr">
        <is>
          <t xml:space="preserve">$1,000</t>
        </is>
      </c>
      <c r="X172" s="48" t="inlineStr">
        <is>
          <t xml:space="preserve">$1,000,000 CSL</t>
        </is>
      </c>
      <c r="Y172" s="46"/>
      <c r="Z172" s="46"/>
      <c r="AA172" s="48" t="inlineStr">
        <is>
          <t xml:space="preserve">Surplus Lines</t>
        </is>
      </c>
      <c r="AB172" s="50">
        <v>8670.74</v>
      </c>
      <c r="AC172" s="51">
        <v>0</v>
      </c>
      <c r="AD172" s="38">
        <f>IF(ISNUMBER($AB172),$AB172*(1+N($AC172)),"")</f>
      </c>
      <c r="AE172" s="50">
        <v>350</v>
      </c>
      <c r="AF172" s="50">
        <v>0</v>
      </c>
      <c r="AG172" s="51"/>
      <c r="AH172" s="39">
        <f>IF(ISNUMBER($AD172),($AD172+$AE172+$AF172)*$AG172,"")</f>
      </c>
      <c r="AI172" s="50"/>
      <c r="AJ172" s="38">
        <f>IF(ISNUMBER($AD172),SUM($AD172:$AH172),"")</f>
      </c>
      <c r="AK172" s="40">
        <f>IF(AND(ISNUMBER($AB172),ISNUMBER($AD172)),IF($AB172&gt;0,$AD172/$AB172,""),"")</f>
      </c>
      <c r="AL172" s="48" t="inlineStr">
        <is>
          <t xml:space="preserve">At technical</t>
        </is>
      </c>
      <c r="AM172" s="41">
        <f>IF(ISNUMBER($AD172),Header!$I$3,"")</f>
      </c>
      <c r="AN172" s="39">
        <f>IF(ISNUMBER($AD172),$AO172+$AP172,"")</f>
      </c>
      <c r="AO172" s="39">
        <f>IF(ISNUMBER($AD172),ROUND($AD172*Header!$K$3,2),"")</f>
      </c>
      <c r="AP172" s="39">
        <f>IF(ISNUMBER($AD172),ROUND($AD172*Header!$M$3,2),"")</f>
      </c>
      <c r="AQ172" s="38">
        <f>IF(ISNUMBER($AD172),ROUND($AD172,2)-$AO172-$AP172,"")</f>
      </c>
      <c r="AR172" s="39">
        <f>IF(ISNUMBER($AD172),IF(Header!$D$34="","?",$AD172*Header!$D$34),"")</f>
      </c>
      <c r="AS172" s="39">
        <f>IF(ISNUMBER($AB172),IF(Header!$D$34="","?",$AB172*Header!$D$34),"")</f>
      </c>
      <c r="AT172" s="42">
        <f>IF(AND(ISNUMBER($AB172),$M172&gt;0),$AB172/$M172*100,"")</f>
      </c>
      <c r="AU172" s="42">
        <f>IF(AND(ISNUMBER($AD172),$M172&gt;0),$AD172/$M172*100,"")</f>
      </c>
      <c r="AV172" s="40">
        <f>IF(AND(ISNUMBER($AB172),ISNUMBER($AD172),ABS($AB172)&gt;0),$AD172/$AB172,"")</f>
      </c>
      <c r="AW172" s="39">
        <f>IF(ISNUMBER($AD172),MAX(0,(1-0.55-Header!$O$3)*Header!$Q$3*$AQ172),"")</f>
      </c>
      <c r="AX172" s="43">
        <f>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c>
      <c r="AY172" s="44">
        <f>IF($M172="","",IF(ISNUMBER($M172),IF($M172&gt;=Header!$C$18,"YES — refer","No"),""))</f>
      </c>
      <c r="AZ172" s="44">
        <f>IF($AD172="","",IF(ISNUMBER($AD172),IF($AD172&lt;Header!$C$20,"BELOW MIN PREMIUM","OK"),""))</f>
      </c>
      <c r="BA172" s="48" t="inlineStr">
        <is>
          <t xml:space="preserve">Yes</t>
        </is>
      </c>
      <c r="BB172" s="48" t="inlineStr">
        <is>
          <t xml:space="preserve">Yes</t>
        </is>
      </c>
      <c r="BC172" s="46" t="inlineStr">
        <is>
          <t xml:space="preserve">Synthetic demo data</t>
        </is>
      </c>
      <c r="BE172" s="45">
        <f>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c>
      <c r="BF172" s="45">
        <f>IF($AD172="","",IF(ROUND($AO172+$AP172+$AQ172-$AD172,2)=0,"OK","FAIL - out by "&amp;TEXT($AO172+$AP172+$AQ172-$AD172,"$0.00")))</f>
      </c>
    </row>
    <row r="173" spans="1:58" ht="18.75" customHeight="1" x14ac:dyDescent="0.25">
      <c r="A173" s="30" t="inlineStr">
        <is>
          <t xml:space="preserve">CANON-202606-008642</t>
        </is>
      </c>
      <c r="B173" s="30" t="inlineStr">
        <is>
          <t xml:space="preserve">Callum Ashcombe</t>
        </is>
      </c>
      <c r="C173" s="31">
        <v>46181</v>
      </c>
      <c r="D173" s="32" t="inlineStr">
        <is>
          <t xml:space="preserve">Bound - within authority</t>
        </is>
      </c>
      <c r="E173" s="32" t="inlineStr">
        <is>
          <t xml:space="preserve">New business</t>
        </is>
      </c>
      <c r="F173" s="30" t="inlineStr">
        <is>
          <t xml:space="preserve">B1234EXOTIC26</t>
        </is>
      </c>
      <c r="G173" s="33">
        <f>IF($A173="","",IF($C173="","",YEAR($C173)))</f>
      </c>
      <c r="H173" s="34">
        <v>1999</v>
      </c>
      <c r="I173" s="30" t="inlineStr">
        <is>
          <t xml:space="preserve">Ferrari</t>
        </is>
      </c>
      <c r="J173" s="30" t="inlineStr">
        <is>
          <t xml:space="preserve">275 GTB/4</t>
        </is>
      </c>
      <c r="K173" s="30" t="inlineStr">
        <is>
          <t xml:space="preserve">8SEFAKPPUGX4AK0Z5</t>
        </is>
      </c>
      <c r="L173" s="32" t="inlineStr">
        <is>
          <t xml:space="preserve">08 - Modern Classic (1973-1999)</t>
        </is>
      </c>
      <c r="M173" s="35">
        <v>370000</v>
      </c>
      <c r="N173" s="32" t="inlineStr">
        <is>
          <t xml:space="preserve">Personal</t>
        </is>
      </c>
      <c r="O173" s="30" t="inlineStr">
        <is>
          <t xml:space="preserve">Personal - regular use</t>
        </is>
      </c>
      <c r="P173" s="30" t="inlineStr">
        <is>
          <t xml:space="preserve">Under 1,000</t>
        </is>
      </c>
      <c r="Q173" s="30" t="inlineStr">
        <is>
          <t xml:space="preserve">Texas</t>
        </is>
      </c>
      <c r="R173" s="30" t="inlineStr">
        <is>
          <t xml:space="preserve">75201</t>
        </is>
      </c>
      <c r="S173" s="32" t="inlineStr">
        <is>
          <t xml:space="preserve">Tier 2 - Coastal wind (1-25 miles)</t>
        </is>
      </c>
      <c r="T173" s="36">
        <f>IF($A173="","",IF($S173="","",IFERROR(INDEX('[1]natural catastrophe'!$D$6:$D$17,MATCH($S173,'[1]natural catastrophe'!$B$6:$B$17,0)),"?")))</f>
      </c>
      <c r="U173" s="30" t="inlineStr">
        <is>
          <t xml:space="preserve">2% of agreed value, minimum $10,000</t>
        </is>
      </c>
      <c r="V173" s="32" t="inlineStr">
        <is>
          <t xml:space="preserve">Agreed Value</t>
        </is>
      </c>
      <c r="W173" s="30" t="inlineStr">
        <is>
          <t xml:space="preserve">$1,000</t>
        </is>
      </c>
      <c r="X173" s="32" t="inlineStr">
        <is>
          <t xml:space="preserve">$1,000,000 CSL</t>
        </is>
      </c>
      <c r="Y173" s="30"/>
      <c r="Z173" s="30"/>
      <c r="AA173" s="32" t="inlineStr">
        <is>
          <t xml:space="preserve">Surplus Lines</t>
        </is>
      </c>
      <c r="AB173" s="35">
        <v>2947.22</v>
      </c>
      <c r="AC173" s="37">
        <v>0</v>
      </c>
      <c r="AD173" s="38">
        <f>IF(ISNUMBER($AB173),$AB173*(1+N($AC173)),"")</f>
      </c>
      <c r="AE173" s="35">
        <v>350</v>
      </c>
      <c r="AF173" s="35">
        <v>0</v>
      </c>
      <c r="AG173" s="37"/>
      <c r="AH173" s="39">
        <f>IF(ISNUMBER($AD173),($AD173+$AE173+$AF173)*$AG173,"")</f>
      </c>
      <c r="AI173" s="35"/>
      <c r="AJ173" s="38">
        <f>IF(ISNUMBER($AD173),SUM($AD173:$AH173),"")</f>
      </c>
      <c r="AK173" s="40">
        <f>IF(AND(ISNUMBER($AB173),ISNUMBER($AD173)),IF($AB173&gt;0,$AD173/$AB173,""),"")</f>
      </c>
      <c r="AL173" s="32" t="inlineStr">
        <is>
          <t xml:space="preserve">At technical</t>
        </is>
      </c>
      <c r="AM173" s="41">
        <f>IF(ISNUMBER($AD173),Header!$I$3,"")</f>
      </c>
      <c r="AN173" s="39">
        <f>IF(ISNUMBER($AD173),$AO173+$AP173,"")</f>
      </c>
      <c r="AO173" s="39">
        <f>IF(ISNUMBER($AD173),ROUND($AD173*Header!$K$3,2),"")</f>
      </c>
      <c r="AP173" s="39">
        <f>IF(ISNUMBER($AD173),ROUND($AD173*Header!$M$3,2),"")</f>
      </c>
      <c r="AQ173" s="38">
        <f>IF(ISNUMBER($AD173),ROUND($AD173,2)-$AO173-$AP173,"")</f>
      </c>
      <c r="AR173" s="39">
        <f>IF(ISNUMBER($AD173),IF(Header!$D$34="","?",$AD173*Header!$D$34),"")</f>
      </c>
      <c r="AS173" s="39">
        <f>IF(ISNUMBER($AB173),IF(Header!$D$34="","?",$AB173*Header!$D$34),"")</f>
      </c>
      <c r="AT173" s="42">
        <f>IF(AND(ISNUMBER($AB173),$M173&gt;0),$AB173/$M173*100,"")</f>
      </c>
      <c r="AU173" s="42">
        <f>IF(AND(ISNUMBER($AD173),$M173&gt;0),$AD173/$M173*100,"")</f>
      </c>
      <c r="AV173" s="40">
        <f>IF(AND(ISNUMBER($AB173),ISNUMBER($AD173),ABS($AB173)&gt;0),$AD173/$AB173,"")</f>
      </c>
      <c r="AW173" s="39">
        <f>IF(ISNUMBER($AD173),MAX(0,(1-0.55-Header!$O$3)*Header!$Q$3*$AQ173),"")</f>
      </c>
      <c r="AX173" s="43">
        <f>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c>
      <c r="AY173" s="44">
        <f>IF($M173="","",IF(ISNUMBER($M173),IF($M173&gt;=Header!$C$18,"YES — refer","No"),""))</f>
      </c>
      <c r="AZ173" s="44">
        <f>IF($AD173="","",IF(ISNUMBER($AD173),IF($AD173&lt;Header!$C$20,"BELOW MIN PREMIUM","OK"),""))</f>
      </c>
      <c r="BA173" s="32" t="inlineStr">
        <is>
          <t xml:space="preserve">Yes</t>
        </is>
      </c>
      <c r="BB173" s="32" t="inlineStr">
        <is>
          <t xml:space="preserve">Yes</t>
        </is>
      </c>
      <c r="BC173" s="30" t="inlineStr">
        <is>
          <t xml:space="preserve">Synthetic demo data</t>
        </is>
      </c>
      <c r="BE173" s="45">
        <f>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c>
      <c r="BF173" s="45">
        <f>IF($AD173="","",IF(ROUND($AO173+$AP173+$AQ173-$AD173,2)=0,"OK","FAIL - out by "&amp;TEXT($AO173+$AP173+$AQ173-$AD173,"$0.00")))</f>
      </c>
    </row>
    <row r="174" spans="1:58" ht="18.75" customHeight="1" x14ac:dyDescent="0.25">
      <c r="A174" s="46" t="inlineStr">
        <is>
          <t xml:space="preserve">CANON-202606-008643</t>
        </is>
      </c>
      <c r="B174" s="46" t="inlineStr">
        <is>
          <t xml:space="preserve">Everett Nakashima</t>
        </is>
      </c>
      <c r="C174" s="47">
        <v>46179</v>
      </c>
      <c r="D174" s="48" t="inlineStr">
        <is>
          <t xml:space="preserve">Bound - within authority</t>
        </is>
      </c>
      <c r="E174" s="48" t="inlineStr">
        <is>
          <t xml:space="preserve">New business</t>
        </is>
      </c>
      <c r="F174" s="46" t="inlineStr">
        <is>
          <t xml:space="preserve">B1234EXOTIC26</t>
        </is>
      </c>
      <c r="G174" s="33">
        <f>IF($A174="","",IF($C174="","",YEAR($C174)))</f>
      </c>
      <c r="H174" s="49">
        <v>1981</v>
      </c>
      <c r="I174" s="46" t="inlineStr">
        <is>
          <t xml:space="preserve">Mercedes-Benz</t>
        </is>
      </c>
      <c r="J174" s="46" t="inlineStr">
        <is>
          <t xml:space="preserve">AMG GT</t>
        </is>
      </c>
      <c r="K174" s="46" t="inlineStr">
        <is>
          <t xml:space="preserve">R7ZNEY8F2MJ0LYEXG</t>
        </is>
      </c>
      <c r="L174" s="48" t="inlineStr">
        <is>
          <t xml:space="preserve">02 - Sports / GT</t>
        </is>
      </c>
      <c r="M174" s="50">
        <v>305000</v>
      </c>
      <c r="N174" s="48" t="inlineStr">
        <is>
          <t xml:space="preserve">Personal</t>
        </is>
      </c>
      <c r="O174" s="46" t="inlineStr">
        <is>
          <t xml:space="preserve">Personal - regular use</t>
        </is>
      </c>
      <c r="P174" s="46" t="inlineStr">
        <is>
          <t xml:space="preserve">2,500 - 5,000</t>
        </is>
      </c>
      <c r="Q174" s="46" t="inlineStr">
        <is>
          <t xml:space="preserve">Oregon</t>
        </is>
      </c>
      <c r="R174" s="46" t="inlineStr">
        <is>
          <t xml:space="preserve">97204</t>
        </is>
      </c>
      <c r="S174" s="48" t="inlineStr">
        <is>
          <t xml:space="preserve">Earthquake - high (CA, Cascadia, New Madrid)</t>
        </is>
      </c>
      <c r="T174" s="36">
        <f>IF($A174="","",IF($S174="","",IFERROR(INDEX('[1]natural catastrophe'!$D$6:$D$17,MATCH($S174,'[1]natural catastrophe'!$B$6:$B$17,0)),"?")))</f>
      </c>
      <c r="U174" s="46" t="inlineStr">
        <is>
          <t xml:space="preserve">$5,000</t>
        </is>
      </c>
      <c r="V174" s="48" t="inlineStr">
        <is>
          <t xml:space="preserve">Agreed Value</t>
        </is>
      </c>
      <c r="W174" s="46" t="inlineStr">
        <is>
          <t xml:space="preserve">$1,000</t>
        </is>
      </c>
      <c r="X174" s="48" t="inlineStr">
        <is>
          <t xml:space="preserve">$1,000,000 CSL</t>
        </is>
      </c>
      <c r="Y174" s="46"/>
      <c r="Z174" s="46"/>
      <c r="AA174" s="48" t="inlineStr">
        <is>
          <t xml:space="preserve">Surplus Lines</t>
        </is>
      </c>
      <c r="AB174" s="50">
        <v>3730.02</v>
      </c>
      <c r="AC174" s="51">
        <v>0</v>
      </c>
      <c r="AD174" s="38">
        <f>IF(ISNUMBER($AB174),$AB174*(1+N($AC174)),"")</f>
      </c>
      <c r="AE174" s="50">
        <v>350</v>
      </c>
      <c r="AF174" s="50">
        <v>0</v>
      </c>
      <c r="AG174" s="51"/>
      <c r="AH174" s="39">
        <f>IF(ISNUMBER($AD174),($AD174+$AE174+$AF174)*$AG174,"")</f>
      </c>
      <c r="AI174" s="50"/>
      <c r="AJ174" s="38">
        <f>IF(ISNUMBER($AD174),SUM($AD174:$AH174),"")</f>
      </c>
      <c r="AK174" s="40">
        <f>IF(AND(ISNUMBER($AB174),ISNUMBER($AD174)),IF($AB174&gt;0,$AD174/$AB174,""),"")</f>
      </c>
      <c r="AL174" s="48" t="inlineStr">
        <is>
          <t xml:space="preserve">At technical</t>
        </is>
      </c>
      <c r="AM174" s="41">
        <f>IF(ISNUMBER($AD174),Header!$I$3,"")</f>
      </c>
      <c r="AN174" s="39">
        <f>IF(ISNUMBER($AD174),$AO174+$AP174,"")</f>
      </c>
      <c r="AO174" s="39">
        <f>IF(ISNUMBER($AD174),ROUND($AD174*Header!$K$3,2),"")</f>
      </c>
      <c r="AP174" s="39">
        <f>IF(ISNUMBER($AD174),ROUND($AD174*Header!$M$3,2),"")</f>
      </c>
      <c r="AQ174" s="38">
        <f>IF(ISNUMBER($AD174),ROUND($AD174,2)-$AO174-$AP174,"")</f>
      </c>
      <c r="AR174" s="39">
        <f>IF(ISNUMBER($AD174),IF(Header!$D$34="","?",$AD174*Header!$D$34),"")</f>
      </c>
      <c r="AS174" s="39">
        <f>IF(ISNUMBER($AB174),IF(Header!$D$34="","?",$AB174*Header!$D$34),"")</f>
      </c>
      <c r="AT174" s="42">
        <f>IF(AND(ISNUMBER($AB174),$M174&gt;0),$AB174/$M174*100,"")</f>
      </c>
      <c r="AU174" s="42">
        <f>IF(AND(ISNUMBER($AD174),$M174&gt;0),$AD174/$M174*100,"")</f>
      </c>
      <c r="AV174" s="40">
        <f>IF(AND(ISNUMBER($AB174),ISNUMBER($AD174),ABS($AB174)&gt;0),$AD174/$AB174,"")</f>
      </c>
      <c r="AW174" s="39">
        <f>IF(ISNUMBER($AD174),MAX(0,(1-0.55-Header!$O$3)*Header!$Q$3*$AQ174),"")</f>
      </c>
      <c r="AX174" s="43">
        <f>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c>
      <c r="AY174" s="44">
        <f>IF($M174="","",IF(ISNUMBER($M174),IF($M174&gt;=Header!$C$18,"YES — refer","No"),""))</f>
      </c>
      <c r="AZ174" s="44">
        <f>IF($AD174="","",IF(ISNUMBER($AD174),IF($AD174&lt;Header!$C$20,"BELOW MIN PREMIUM","OK"),""))</f>
      </c>
      <c r="BA174" s="48" t="inlineStr">
        <is>
          <t xml:space="preserve">Yes</t>
        </is>
      </c>
      <c r="BB174" s="48" t="inlineStr">
        <is>
          <t xml:space="preserve">Yes</t>
        </is>
      </c>
      <c r="BC174" s="46" t="inlineStr">
        <is>
          <t xml:space="preserve">Synthetic demo data</t>
        </is>
      </c>
      <c r="BE174" s="45">
        <f>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c>
      <c r="BF174" s="45">
        <f>IF($AD174="","",IF(ROUND($AO174+$AP174+$AQ174-$AD174,2)=0,"OK","FAIL - out by "&amp;TEXT($AO174+$AP174+$AQ174-$AD174,"$0.00")))</f>
      </c>
    </row>
    <row r="175" spans="1:58" ht="18.75" customHeight="1" x14ac:dyDescent="0.25">
      <c r="A175" s="30" t="inlineStr">
        <is>
          <t xml:space="preserve">CANON-202606-008644</t>
        </is>
      </c>
      <c r="B175" s="30" t="inlineStr">
        <is>
          <t xml:space="preserve">Noor Nakashima</t>
        </is>
      </c>
      <c r="C175" s="31">
        <v>46201</v>
      </c>
      <c r="D175" s="32" t="inlineStr">
        <is>
          <t xml:space="preserve">Bound - within authority</t>
        </is>
      </c>
      <c r="E175" s="32" t="inlineStr">
        <is>
          <t xml:space="preserve">New business</t>
        </is>
      </c>
      <c r="F175" s="30" t="inlineStr">
        <is>
          <t xml:space="preserve">B1234EXOTIC26</t>
        </is>
      </c>
      <c r="G175" s="33">
        <f>IF($A175="","",IF($C175="","",YEAR($C175)))</f>
      </c>
      <c r="H175" s="34">
        <v>1992</v>
      </c>
      <c r="I175" s="30" t="inlineStr">
        <is>
          <t xml:space="preserve">BMW</t>
        </is>
      </c>
      <c r="J175" s="30" t="inlineStr">
        <is>
          <t xml:space="preserve">M8 Competition</t>
        </is>
      </c>
      <c r="K175" s="30" t="inlineStr">
        <is>
          <t xml:space="preserve">GCLXL8M7C2BR02U7E</t>
        </is>
      </c>
      <c r="L175" s="32" t="inlineStr">
        <is>
          <t xml:space="preserve">02 - Sports / GT</t>
        </is>
      </c>
      <c r="M175" s="35">
        <v>555000</v>
      </c>
      <c r="N175" s="32" t="inlineStr">
        <is>
          <t xml:space="preserve">Personal</t>
        </is>
      </c>
      <c r="O175" s="30" t="inlineStr">
        <is>
          <t xml:space="preserve">Personal - regular use</t>
        </is>
      </c>
      <c r="P175" s="30" t="inlineStr">
        <is>
          <t xml:space="preserve">2,500 - 5,000</t>
        </is>
      </c>
      <c r="Q175" s="30" t="inlineStr">
        <is>
          <t xml:space="preserve">Maine</t>
        </is>
      </c>
      <c r="R175" s="30" t="inlineStr">
        <is>
          <t xml:space="preserve">04101</t>
        </is>
      </c>
      <c r="S175" s="32" t="inlineStr">
        <is>
          <t xml:space="preserve">Tier 3 - Coastal wind (25-100 miles)</t>
        </is>
      </c>
      <c r="T175" s="36">
        <f>IF($A175="","",IF($S175="","",IFERROR(INDEX('[1]natural catastrophe'!$D$6:$D$17,MATCH($S175,'[1]natural catastrophe'!$B$6:$B$17,0)),"?")))</f>
      </c>
      <c r="U175" s="30" t="inlineStr">
        <is>
          <t xml:space="preserve">2% of agreed value, minimum $10,000</t>
        </is>
      </c>
      <c r="V175" s="32" t="inlineStr">
        <is>
          <t xml:space="preserve">Agreed Value</t>
        </is>
      </c>
      <c r="W175" s="30" t="inlineStr">
        <is>
          <t xml:space="preserve">$1,000</t>
        </is>
      </c>
      <c r="X175" s="32" t="inlineStr">
        <is>
          <t xml:space="preserve">$1,000,000 CSL</t>
        </is>
      </c>
      <c r="Y175" s="30"/>
      <c r="Z175" s="30"/>
      <c r="AA175" s="32" t="inlineStr">
        <is>
          <t xml:space="preserve">Surplus Lines</t>
        </is>
      </c>
      <c r="AB175" s="35">
        <v>5622.14</v>
      </c>
      <c r="AC175" s="37">
        <v>0</v>
      </c>
      <c r="AD175" s="38">
        <f>IF(ISNUMBER($AB175),$AB175*(1+N($AC175)),"")</f>
      </c>
      <c r="AE175" s="35">
        <v>350</v>
      </c>
      <c r="AF175" s="35">
        <v>0</v>
      </c>
      <c r="AG175" s="37"/>
      <c r="AH175" s="39">
        <f>IF(ISNUMBER($AD175),($AD175+$AE175+$AF175)*$AG175,"")</f>
      </c>
      <c r="AI175" s="35"/>
      <c r="AJ175" s="38">
        <f>IF(ISNUMBER($AD175),SUM($AD175:$AH175),"")</f>
      </c>
      <c r="AK175" s="40">
        <f>IF(AND(ISNUMBER($AB175),ISNUMBER($AD175)),IF($AB175&gt;0,$AD175/$AB175,""),"")</f>
      </c>
      <c r="AL175" s="32" t="inlineStr">
        <is>
          <t xml:space="preserve">At technical</t>
        </is>
      </c>
      <c r="AM175" s="41">
        <f>IF(ISNUMBER($AD175),Header!$I$3,"")</f>
      </c>
      <c r="AN175" s="39">
        <f>IF(ISNUMBER($AD175),$AO175+$AP175,"")</f>
      </c>
      <c r="AO175" s="39">
        <f>IF(ISNUMBER($AD175),ROUND($AD175*Header!$K$3,2),"")</f>
      </c>
      <c r="AP175" s="39">
        <f>IF(ISNUMBER($AD175),ROUND($AD175*Header!$M$3,2),"")</f>
      </c>
      <c r="AQ175" s="38">
        <f>IF(ISNUMBER($AD175),ROUND($AD175,2)-$AO175-$AP175,"")</f>
      </c>
      <c r="AR175" s="39">
        <f>IF(ISNUMBER($AD175),IF(Header!$D$34="","?",$AD175*Header!$D$34),"")</f>
      </c>
      <c r="AS175" s="39">
        <f>IF(ISNUMBER($AB175),IF(Header!$D$34="","?",$AB175*Header!$D$34),"")</f>
      </c>
      <c r="AT175" s="42">
        <f>IF(AND(ISNUMBER($AB175),$M175&gt;0),$AB175/$M175*100,"")</f>
      </c>
      <c r="AU175" s="42">
        <f>IF(AND(ISNUMBER($AD175),$M175&gt;0),$AD175/$M175*100,"")</f>
      </c>
      <c r="AV175" s="40">
        <f>IF(AND(ISNUMBER($AB175),ISNUMBER($AD175),ABS($AB175)&gt;0),$AD175/$AB175,"")</f>
      </c>
      <c r="AW175" s="39">
        <f>IF(ISNUMBER($AD175),MAX(0,(1-0.55-Header!$O$3)*Header!$Q$3*$AQ175),"")</f>
      </c>
      <c r="AX175" s="43">
        <f>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c>
      <c r="AY175" s="44">
        <f>IF($M175="","",IF(ISNUMBER($M175),IF($M175&gt;=Header!$C$18,"YES — refer","No"),""))</f>
      </c>
      <c r="AZ175" s="44">
        <f>IF($AD175="","",IF(ISNUMBER($AD175),IF($AD175&lt;Header!$C$20,"BELOW MIN PREMIUM","OK"),""))</f>
      </c>
      <c r="BA175" s="32" t="inlineStr">
        <is>
          <t xml:space="preserve">Yes</t>
        </is>
      </c>
      <c r="BB175" s="32" t="inlineStr">
        <is>
          <t xml:space="preserve">Yes</t>
        </is>
      </c>
      <c r="BC175" s="30" t="inlineStr">
        <is>
          <t xml:space="preserve">Synthetic demo data</t>
        </is>
      </c>
      <c r="BE175" s="45">
        <f>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c>
      <c r="BF175" s="45">
        <f>IF($AD175="","",IF(ROUND($AO175+$AP175+$AQ175-$AD175,2)=0,"OK","FAIL - out by "&amp;TEXT($AO175+$AP175+$AQ175-$AD175,"$0.00")))</f>
      </c>
    </row>
    <row r="176" spans="1:58" ht="18.75" customHeight="1" x14ac:dyDescent="0.25">
      <c r="A176" s="46" t="inlineStr">
        <is>
          <t xml:space="preserve">CANON-202606-008646</t>
        </is>
      </c>
      <c r="B176" s="46" t="inlineStr">
        <is>
          <t xml:space="preserve">Desmond Rourke</t>
        </is>
      </c>
      <c r="C176" s="47">
        <v>46190</v>
      </c>
      <c r="D176" s="48" t="inlineStr">
        <is>
          <t xml:space="preserve">Bound - within authority</t>
        </is>
      </c>
      <c r="E176" s="48" t="inlineStr">
        <is>
          <t xml:space="preserve">New business</t>
        </is>
      </c>
      <c r="F176" s="46" t="inlineStr">
        <is>
          <t xml:space="preserve">B1234EXOTIC26</t>
        </is>
      </c>
      <c r="G176" s="33">
        <f>IF($A176="","",IF($C176="","",YEAR($C176)))</f>
      </c>
      <c r="H176" s="49">
        <v>1996</v>
      </c>
      <c r="I176" s="46" t="inlineStr">
        <is>
          <t xml:space="preserve">Porsche</t>
        </is>
      </c>
      <c r="J176" s="46" t="inlineStr">
        <is>
          <t xml:space="preserve">911 Turbo S</t>
        </is>
      </c>
      <c r="K176" s="46" t="inlineStr">
        <is>
          <t xml:space="preserve">AFH46MT6J9RP34TNN</t>
        </is>
      </c>
      <c r="L176" s="48" t="inlineStr">
        <is>
          <t xml:space="preserve">02 - Sports / GT</t>
        </is>
      </c>
      <c r="M176" s="50">
        <v>210000</v>
      </c>
      <c r="N176" s="48" t="inlineStr">
        <is>
          <t xml:space="preserve">Personal</t>
        </is>
      </c>
      <c r="O176" s="46" t="inlineStr">
        <is>
          <t xml:space="preserve">Personal - regular use</t>
        </is>
      </c>
      <c r="P176" s="46" t="inlineStr">
        <is>
          <t xml:space="preserve">1,000 - 2,500</t>
        </is>
      </c>
      <c r="Q176" s="46" t="inlineStr">
        <is>
          <t xml:space="preserve">North Dakota</t>
        </is>
      </c>
      <c r="R176" s="46" t="inlineStr">
        <is>
          <t xml:space="preserve">58501</t>
        </is>
      </c>
      <c r="S176" s="48" t="inlineStr">
        <is>
          <t xml:space="preserve">Severe convective - hail alley (high)</t>
        </is>
      </c>
      <c r="T176" s="36">
        <f>IF($A176="","",IF($S176="","",IFERROR(INDEX('[1]natural catastrophe'!$D$6:$D$17,MATCH($S176,'[1]natural catastrophe'!$B$6:$B$17,0)),"?")))</f>
      </c>
      <c r="U176" s="46" t="inlineStr">
        <is>
          <t xml:space="preserve">$5,000</t>
        </is>
      </c>
      <c r="V176" s="48" t="inlineStr">
        <is>
          <t xml:space="preserve">Agreed Value</t>
        </is>
      </c>
      <c r="W176" s="46" t="inlineStr">
        <is>
          <t xml:space="preserve">$1,000</t>
        </is>
      </c>
      <c r="X176" s="48" t="inlineStr">
        <is>
          <t xml:space="preserve">$1,000,000 CSL</t>
        </is>
      </c>
      <c r="Y176" s="46"/>
      <c r="Z176" s="46"/>
      <c r="AA176" s="48" t="inlineStr">
        <is>
          <t xml:space="preserve">Surplus Lines</t>
        </is>
      </c>
      <c r="AB176" s="50">
        <v>2843.67</v>
      </c>
      <c r="AC176" s="51">
        <v>0</v>
      </c>
      <c r="AD176" s="38">
        <f>IF(ISNUMBER($AB176),$AB176*(1+N($AC176)),"")</f>
      </c>
      <c r="AE176" s="50">
        <v>350</v>
      </c>
      <c r="AF176" s="50">
        <v>0</v>
      </c>
      <c r="AG176" s="51"/>
      <c r="AH176" s="39">
        <f>IF(ISNUMBER($AD176),($AD176+$AE176+$AF176)*$AG176,"")</f>
      </c>
      <c r="AI176" s="50"/>
      <c r="AJ176" s="38">
        <f>IF(ISNUMBER($AD176),SUM($AD176:$AH176),"")</f>
      </c>
      <c r="AK176" s="40">
        <f>IF(AND(ISNUMBER($AB176),ISNUMBER($AD176)),IF($AB176&gt;0,$AD176/$AB176,""),"")</f>
      </c>
      <c r="AL176" s="48" t="inlineStr">
        <is>
          <t xml:space="preserve">At technical</t>
        </is>
      </c>
      <c r="AM176" s="41">
        <f>IF(ISNUMBER($AD176),Header!$I$3,"")</f>
      </c>
      <c r="AN176" s="39">
        <f>IF(ISNUMBER($AD176),$AO176+$AP176,"")</f>
      </c>
      <c r="AO176" s="39">
        <f>IF(ISNUMBER($AD176),ROUND($AD176*Header!$K$3,2),"")</f>
      </c>
      <c r="AP176" s="39">
        <f>IF(ISNUMBER($AD176),ROUND($AD176*Header!$M$3,2),"")</f>
      </c>
      <c r="AQ176" s="38">
        <f>IF(ISNUMBER($AD176),ROUND($AD176,2)-$AO176-$AP176,"")</f>
      </c>
      <c r="AR176" s="39">
        <f>IF(ISNUMBER($AD176),IF(Header!$D$34="","?",$AD176*Header!$D$34),"")</f>
      </c>
      <c r="AS176" s="39">
        <f>IF(ISNUMBER($AB176),IF(Header!$D$34="","?",$AB176*Header!$D$34),"")</f>
      </c>
      <c r="AT176" s="42">
        <f>IF(AND(ISNUMBER($AB176),$M176&gt;0),$AB176/$M176*100,"")</f>
      </c>
      <c r="AU176" s="42">
        <f>IF(AND(ISNUMBER($AD176),$M176&gt;0),$AD176/$M176*100,"")</f>
      </c>
      <c r="AV176" s="40">
        <f>IF(AND(ISNUMBER($AB176),ISNUMBER($AD176),ABS($AB176)&gt;0),$AD176/$AB176,"")</f>
      </c>
      <c r="AW176" s="39">
        <f>IF(ISNUMBER($AD176),MAX(0,(1-0.55-Header!$O$3)*Header!$Q$3*$AQ176),"")</f>
      </c>
      <c r="AX176" s="43">
        <f>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c>
      <c r="AY176" s="44">
        <f>IF($M176="","",IF(ISNUMBER($M176),IF($M176&gt;=Header!$C$18,"YES — refer","No"),""))</f>
      </c>
      <c r="AZ176" s="44">
        <f>IF($AD176="","",IF(ISNUMBER($AD176),IF($AD176&lt;Header!$C$20,"BELOW MIN PREMIUM","OK"),""))</f>
      </c>
      <c r="BA176" s="48" t="inlineStr">
        <is>
          <t xml:space="preserve">Yes</t>
        </is>
      </c>
      <c r="BB176" s="48" t="inlineStr">
        <is>
          <t xml:space="preserve">Yes</t>
        </is>
      </c>
      <c r="BC176" s="46" t="inlineStr">
        <is>
          <t xml:space="preserve">Synthetic demo data</t>
        </is>
      </c>
      <c r="BE176" s="45">
        <f>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c>
      <c r="BF176" s="45">
        <f>IF($AD176="","",IF(ROUND($AO176+$AP176+$AQ176-$AD176,2)=0,"OK","FAIL - out by "&amp;TEXT($AO176+$AP176+$AQ176-$AD176,"$0.00")))</f>
      </c>
    </row>
    <row r="177" spans="1:58" ht="18.75" customHeight="1" x14ac:dyDescent="0.25">
      <c r="A177" s="30" t="inlineStr">
        <is>
          <t xml:space="preserve">CANON-202606-008650</t>
        </is>
      </c>
      <c r="B177" s="30" t="inlineStr">
        <is>
          <t xml:space="preserve">Ramona Pennington</t>
        </is>
      </c>
      <c r="C177" s="31">
        <v>46188</v>
      </c>
      <c r="D177" s="32" t="inlineStr">
        <is>
          <t xml:space="preserve">Bound - within authority</t>
        </is>
      </c>
      <c r="E177" s="32" t="inlineStr">
        <is>
          <t xml:space="preserve">New business</t>
        </is>
      </c>
      <c r="F177" s="30" t="inlineStr">
        <is>
          <t xml:space="preserve">B1234EXOTIC26</t>
        </is>
      </c>
      <c r="G177" s="33">
        <f>IF($A177="","",IF($C177="","",YEAR($C177)))</f>
      </c>
      <c r="H177" s="34">
        <v>2014</v>
      </c>
      <c r="I177" s="30" t="inlineStr">
        <is>
          <t xml:space="preserve">Maserati</t>
        </is>
      </c>
      <c r="J177" s="30" t="inlineStr">
        <is>
          <t xml:space="preserve">GranTurismo</t>
        </is>
      </c>
      <c r="K177" s="30" t="inlineStr">
        <is>
          <t xml:space="preserve">A7K25KCJV598W9M38</t>
        </is>
      </c>
      <c r="L177" s="32" t="inlineStr">
        <is>
          <t xml:space="preserve">02 - Sports / GT</t>
        </is>
      </c>
      <c r="M177" s="35">
        <v>690000</v>
      </c>
      <c r="N177" s="32" t="inlineStr">
        <is>
          <t xml:space="preserve">Personal</t>
        </is>
      </c>
      <c r="O177" s="30" t="inlineStr">
        <is>
          <t xml:space="preserve">Personal - regular use</t>
        </is>
      </c>
      <c r="P177" s="30" t="inlineStr">
        <is>
          <t xml:space="preserve">1,000 - 2,500</t>
        </is>
      </c>
      <c r="Q177" s="30" t="inlineStr">
        <is>
          <t xml:space="preserve">Illinois</t>
        </is>
      </c>
      <c r="R177" s="30" t="inlineStr">
        <is>
          <t xml:space="preserve">60601</t>
        </is>
      </c>
      <c r="S177" s="32" t="inlineStr">
        <is>
          <t xml:space="preserve">Severe convective - hail / tornado (moderate)</t>
        </is>
      </c>
      <c r="T177" s="36">
        <f>IF($A177="","",IF($S177="","",IFERROR(INDEX('[1]natural catastrophe'!$D$6:$D$17,MATCH($S177,'[1]natural catastrophe'!$B$6:$B$17,0)),"?")))</f>
      </c>
      <c r="U177" s="30" t="inlineStr">
        <is>
          <t xml:space="preserve">$5,000</t>
        </is>
      </c>
      <c r="V177" s="32" t="inlineStr">
        <is>
          <t xml:space="preserve">Agreed Value</t>
        </is>
      </c>
      <c r="W177" s="30" t="inlineStr">
        <is>
          <t xml:space="preserve">$1,000</t>
        </is>
      </c>
      <c r="X177" s="32" t="inlineStr">
        <is>
          <t xml:space="preserve">$1,000,000 CSL</t>
        </is>
      </c>
      <c r="Y177" s="30"/>
      <c r="Z177" s="30"/>
      <c r="AA177" s="32" t="inlineStr">
        <is>
          <t xml:space="preserve">Surplus Lines</t>
        </is>
      </c>
      <c r="AB177" s="35">
        <v>8801.84</v>
      </c>
      <c r="AC177" s="37">
        <v>0</v>
      </c>
      <c r="AD177" s="38">
        <f>IF(ISNUMBER($AB177),$AB177*(1+N($AC177)),"")</f>
      </c>
      <c r="AE177" s="35">
        <v>350</v>
      </c>
      <c r="AF177" s="35">
        <v>0</v>
      </c>
      <c r="AG177" s="37"/>
      <c r="AH177" s="39">
        <f>IF(ISNUMBER($AD177),($AD177+$AE177+$AF177)*$AG177,"")</f>
      </c>
      <c r="AI177" s="35"/>
      <c r="AJ177" s="38">
        <f>IF(ISNUMBER($AD177),SUM($AD177:$AH177),"")</f>
      </c>
      <c r="AK177" s="40">
        <f>IF(AND(ISNUMBER($AB177),ISNUMBER($AD177)),IF($AB177&gt;0,$AD177/$AB177,""),"")</f>
      </c>
      <c r="AL177" s="32" t="inlineStr">
        <is>
          <t xml:space="preserve">At technical</t>
        </is>
      </c>
      <c r="AM177" s="41">
        <f>IF(ISNUMBER($AD177),Header!$I$3,"")</f>
      </c>
      <c r="AN177" s="39">
        <f>IF(ISNUMBER($AD177),$AO177+$AP177,"")</f>
      </c>
      <c r="AO177" s="39">
        <f>IF(ISNUMBER($AD177),ROUND($AD177*Header!$K$3,2),"")</f>
      </c>
      <c r="AP177" s="39">
        <f>IF(ISNUMBER($AD177),ROUND($AD177*Header!$M$3,2),"")</f>
      </c>
      <c r="AQ177" s="38">
        <f>IF(ISNUMBER($AD177),ROUND($AD177,2)-$AO177-$AP177,"")</f>
      </c>
      <c r="AR177" s="39">
        <f>IF(ISNUMBER($AD177),IF(Header!$D$34="","?",$AD177*Header!$D$34),"")</f>
      </c>
      <c r="AS177" s="39">
        <f>IF(ISNUMBER($AB177),IF(Header!$D$34="","?",$AB177*Header!$D$34),"")</f>
      </c>
      <c r="AT177" s="42">
        <f>IF(AND(ISNUMBER($AB177),$M177&gt;0),$AB177/$M177*100,"")</f>
      </c>
      <c r="AU177" s="42">
        <f>IF(AND(ISNUMBER($AD177),$M177&gt;0),$AD177/$M177*100,"")</f>
      </c>
      <c r="AV177" s="40">
        <f>IF(AND(ISNUMBER($AB177),ISNUMBER($AD177),ABS($AB177)&gt;0),$AD177/$AB177,"")</f>
      </c>
      <c r="AW177" s="39">
        <f>IF(ISNUMBER($AD177),MAX(0,(1-0.55-Header!$O$3)*Header!$Q$3*$AQ177),"")</f>
      </c>
      <c r="AX177" s="43">
        <f>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c>
      <c r="AY177" s="44">
        <f>IF($M177="","",IF(ISNUMBER($M177),IF($M177&gt;=Header!$C$18,"YES — refer","No"),""))</f>
      </c>
      <c r="AZ177" s="44">
        <f>IF($AD177="","",IF(ISNUMBER($AD177),IF($AD177&lt;Header!$C$20,"BELOW MIN PREMIUM","OK"),""))</f>
      </c>
      <c r="BA177" s="32" t="inlineStr">
        <is>
          <t xml:space="preserve">Yes</t>
        </is>
      </c>
      <c r="BB177" s="32" t="inlineStr">
        <is>
          <t xml:space="preserve">Yes</t>
        </is>
      </c>
      <c r="BC177" s="30" t="inlineStr">
        <is>
          <t xml:space="preserve">Synthetic demo data</t>
        </is>
      </c>
      <c r="BE177" s="45">
        <f>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c>
      <c r="BF177" s="45">
        <f>IF($AD177="","",IF(ROUND($AO177+$AP177+$AQ177-$AD177,2)=0,"OK","FAIL - out by "&amp;TEXT($AO177+$AP177+$AQ177-$AD177,"$0.00")))</f>
      </c>
    </row>
    <row r="178" spans="1:58" ht="18.75" customHeight="1" x14ac:dyDescent="0.25">
      <c r="A178" s="46" t="inlineStr">
        <is>
          <t xml:space="preserve">CANON-202606-008652</t>
        </is>
      </c>
      <c r="B178" s="46" t="inlineStr">
        <is>
          <t xml:space="preserve">Leopold Castellanos</t>
        </is>
      </c>
      <c r="C178" s="47">
        <v>46201</v>
      </c>
      <c r="D178" s="48" t="inlineStr">
        <is>
          <t xml:space="preserve">Bound - within authority</t>
        </is>
      </c>
      <c r="E178" s="48" t="inlineStr">
        <is>
          <t xml:space="preserve">New business</t>
        </is>
      </c>
      <c r="F178" s="46" t="inlineStr">
        <is>
          <t xml:space="preserve">B1234EXOTIC26</t>
        </is>
      </c>
      <c r="G178" s="33">
        <f>IF($A178="","",IF($C178="","",YEAR($C178)))</f>
      </c>
      <c r="H178" s="49">
        <v>1989</v>
      </c>
      <c r="I178" s="46" t="inlineStr">
        <is>
          <t xml:space="preserve">Maserati</t>
        </is>
      </c>
      <c r="J178" s="46" t="inlineStr">
        <is>
          <t xml:space="preserve">GranTurismo</t>
        </is>
      </c>
      <c r="K178" s="46" t="inlineStr">
        <is>
          <t xml:space="preserve">3KPY84YX8G6PMLXTS</t>
        </is>
      </c>
      <c r="L178" s="48" t="inlineStr">
        <is>
          <t xml:space="preserve">02 - Sports / GT</t>
        </is>
      </c>
      <c r="M178" s="50">
        <v>670000</v>
      </c>
      <c r="N178" s="48" t="inlineStr">
        <is>
          <t xml:space="preserve">Personal</t>
        </is>
      </c>
      <c r="O178" s="46" t="inlineStr">
        <is>
          <t xml:space="preserve">Personal - regular use</t>
        </is>
      </c>
      <c r="P178" s="46" t="inlineStr">
        <is>
          <t xml:space="preserve">2,500 - 5,000</t>
        </is>
      </c>
      <c r="Q178" s="46" t="inlineStr">
        <is>
          <t xml:space="preserve">New Mexico</t>
        </is>
      </c>
      <c r="R178" s="46" t="inlineStr">
        <is>
          <t xml:space="preserve">87501</t>
        </is>
      </c>
      <c r="S178" s="48" t="inlineStr">
        <is>
          <t xml:space="preserve">Wildfire - WUI high hazard</t>
        </is>
      </c>
      <c r="T178" s="36">
        <f>IF($A178="","",IF($S178="","",IFERROR(INDEX('[1]natural catastrophe'!$D$6:$D$17,MATCH($S178,'[1]natural catastrophe'!$B$6:$B$17,0)),"?")))</f>
      </c>
      <c r="U178" s="46" t="inlineStr">
        <is>
          <t xml:space="preserve">$5,000</t>
        </is>
      </c>
      <c r="V178" s="48" t="inlineStr">
        <is>
          <t xml:space="preserve">Agreed Value</t>
        </is>
      </c>
      <c r="W178" s="46" t="inlineStr">
        <is>
          <t xml:space="preserve">$1,000</t>
        </is>
      </c>
      <c r="X178" s="48" t="inlineStr">
        <is>
          <t xml:space="preserve">$1,000,000 CSL</t>
        </is>
      </c>
      <c r="Y178" s="46"/>
      <c r="Z178" s="46"/>
      <c r="AA178" s="48" t="inlineStr">
        <is>
          <t xml:space="preserve">Surplus Lines</t>
        </is>
      </c>
      <c r="AB178" s="50">
        <v>8043.97</v>
      </c>
      <c r="AC178" s="51">
        <v>0</v>
      </c>
      <c r="AD178" s="38">
        <f>IF(ISNUMBER($AB178),$AB178*(1+N($AC178)),"")</f>
      </c>
      <c r="AE178" s="50">
        <v>350</v>
      </c>
      <c r="AF178" s="50">
        <v>0</v>
      </c>
      <c r="AG178" s="51"/>
      <c r="AH178" s="39">
        <f>IF(ISNUMBER($AD178),($AD178+$AE178+$AF178)*$AG178,"")</f>
      </c>
      <c r="AI178" s="50"/>
      <c r="AJ178" s="38">
        <f>IF(ISNUMBER($AD178),SUM($AD178:$AH178),"")</f>
      </c>
      <c r="AK178" s="40">
        <f>IF(AND(ISNUMBER($AB178),ISNUMBER($AD178)),IF($AB178&gt;0,$AD178/$AB178,""),"")</f>
      </c>
      <c r="AL178" s="48" t="inlineStr">
        <is>
          <t xml:space="preserve">At technical</t>
        </is>
      </c>
      <c r="AM178" s="41">
        <f>IF(ISNUMBER($AD178),Header!$I$3,"")</f>
      </c>
      <c r="AN178" s="39">
        <f>IF(ISNUMBER($AD178),$AO178+$AP178,"")</f>
      </c>
      <c r="AO178" s="39">
        <f>IF(ISNUMBER($AD178),ROUND($AD178*Header!$K$3,2),"")</f>
      </c>
      <c r="AP178" s="39">
        <f>IF(ISNUMBER($AD178),ROUND($AD178*Header!$M$3,2),"")</f>
      </c>
      <c r="AQ178" s="38">
        <f>IF(ISNUMBER($AD178),ROUND($AD178,2)-$AO178-$AP178,"")</f>
      </c>
      <c r="AR178" s="39">
        <f>IF(ISNUMBER($AD178),IF(Header!$D$34="","?",$AD178*Header!$D$34),"")</f>
      </c>
      <c r="AS178" s="39">
        <f>IF(ISNUMBER($AB178),IF(Header!$D$34="","?",$AB178*Header!$D$34),"")</f>
      </c>
      <c r="AT178" s="42">
        <f>IF(AND(ISNUMBER($AB178),$M178&gt;0),$AB178/$M178*100,"")</f>
      </c>
      <c r="AU178" s="42">
        <f>IF(AND(ISNUMBER($AD178),$M178&gt;0),$AD178/$M178*100,"")</f>
      </c>
      <c r="AV178" s="40">
        <f>IF(AND(ISNUMBER($AB178),ISNUMBER($AD178),ABS($AB178)&gt;0),$AD178/$AB178,"")</f>
      </c>
      <c r="AW178" s="39">
        <f>IF(ISNUMBER($AD178),MAX(0,(1-0.55-Header!$O$3)*Header!$Q$3*$AQ178),"")</f>
      </c>
      <c r="AX178" s="43">
        <f>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c>
      <c r="AY178" s="44">
        <f>IF($M178="","",IF(ISNUMBER($M178),IF($M178&gt;=Header!$C$18,"YES — refer","No"),""))</f>
      </c>
      <c r="AZ178" s="44">
        <f>IF($AD178="","",IF(ISNUMBER($AD178),IF($AD178&lt;Header!$C$20,"BELOW MIN PREMIUM","OK"),""))</f>
      </c>
      <c r="BA178" s="48" t="inlineStr">
        <is>
          <t xml:space="preserve">Yes</t>
        </is>
      </c>
      <c r="BB178" s="48" t="inlineStr">
        <is>
          <t xml:space="preserve">Yes</t>
        </is>
      </c>
      <c r="BC178" s="46" t="inlineStr">
        <is>
          <t xml:space="preserve">Synthetic demo data</t>
        </is>
      </c>
      <c r="BE178" s="45">
        <f>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c>
      <c r="BF178" s="45">
        <f>IF($AD178="","",IF(ROUND($AO178+$AP178+$AQ178-$AD178,2)=0,"OK","FAIL - out by "&amp;TEXT($AO178+$AP178+$AQ178-$AD178,"$0.00")))</f>
      </c>
    </row>
    <row r="179" spans="1:58" ht="18.75" customHeight="1" x14ac:dyDescent="0.25">
      <c r="A179" s="30" t="inlineStr">
        <is>
          <t xml:space="preserve">CANON-202606-008653</t>
        </is>
      </c>
      <c r="B179" s="30" t="inlineStr">
        <is>
          <t xml:space="preserve">Ottilie Montoya</t>
        </is>
      </c>
      <c r="C179" s="31">
        <v>46185</v>
      </c>
      <c r="D179" s="32" t="inlineStr">
        <is>
          <t xml:space="preserve">Bound - within authority</t>
        </is>
      </c>
      <c r="E179" s="32" t="inlineStr">
        <is>
          <t xml:space="preserve">New business</t>
        </is>
      </c>
      <c r="F179" s="30" t="inlineStr">
        <is>
          <t xml:space="preserve">B1234EXOTIC26</t>
        </is>
      </c>
      <c r="G179" s="33">
        <f>IF($A179="","",IF($C179="","",YEAR($C179)))</f>
      </c>
      <c r="H179" s="34">
        <v>1973</v>
      </c>
      <c r="I179" s="30" t="inlineStr">
        <is>
          <t xml:space="preserve">Maserati</t>
        </is>
      </c>
      <c r="J179" s="30" t="inlineStr">
        <is>
          <t xml:space="preserve">GranTurismo</t>
        </is>
      </c>
      <c r="K179" s="30" t="inlineStr">
        <is>
          <t xml:space="preserve">199YMCG43GYRRDXDR</t>
        </is>
      </c>
      <c r="L179" s="32" t="inlineStr">
        <is>
          <t xml:space="preserve">02 - Sports / GT</t>
        </is>
      </c>
      <c r="M179" s="35">
        <v>350000</v>
      </c>
      <c r="N179" s="32" t="inlineStr">
        <is>
          <t xml:space="preserve">Personal</t>
        </is>
      </c>
      <c r="O179" s="30" t="inlineStr">
        <is>
          <t xml:space="preserve">Personal - regular use</t>
        </is>
      </c>
      <c r="P179" s="30" t="inlineStr">
        <is>
          <t xml:space="preserve">2,500 - 5,000</t>
        </is>
      </c>
      <c r="Q179" s="30" t="inlineStr">
        <is>
          <t xml:space="preserve">Vermont</t>
        </is>
      </c>
      <c r="R179" s="30" t="inlineStr">
        <is>
          <t xml:space="preserve">05601</t>
        </is>
      </c>
      <c r="S179" s="32" t="inlineStr">
        <is>
          <t xml:space="preserve">Low hazard - inland benign</t>
        </is>
      </c>
      <c r="T179" s="36">
        <f>IF($A179="","",IF($S179="","",IFERROR(INDEX('[1]natural catastrophe'!$D$6:$D$17,MATCH($S179,'[1]natural catastrophe'!$B$6:$B$17,0)),"?")))</f>
      </c>
      <c r="U179" s="30" t="inlineStr">
        <is>
          <t xml:space="preserve">$5,000</t>
        </is>
      </c>
      <c r="V179" s="32" t="inlineStr">
        <is>
          <t xml:space="preserve">Agreed Value</t>
        </is>
      </c>
      <c r="W179" s="30" t="inlineStr">
        <is>
          <t xml:space="preserve">$1,000</t>
        </is>
      </c>
      <c r="X179" s="32" t="inlineStr">
        <is>
          <t xml:space="preserve">$1,000,000 CSL</t>
        </is>
      </c>
      <c r="Y179" s="30"/>
      <c r="Z179" s="30"/>
      <c r="AA179" s="32" t="inlineStr">
        <is>
          <t xml:space="preserve">Surplus Lines</t>
        </is>
      </c>
      <c r="AB179" s="35">
        <v>4621.27</v>
      </c>
      <c r="AC179" s="37">
        <v>0</v>
      </c>
      <c r="AD179" s="38">
        <f>IF(ISNUMBER($AB179),$AB179*(1+N($AC179)),"")</f>
      </c>
      <c r="AE179" s="35">
        <v>350</v>
      </c>
      <c r="AF179" s="35">
        <v>0</v>
      </c>
      <c r="AG179" s="37"/>
      <c r="AH179" s="39">
        <f>IF(ISNUMBER($AD179),($AD179+$AE179+$AF179)*$AG179,"")</f>
      </c>
      <c r="AI179" s="35"/>
      <c r="AJ179" s="38">
        <f>IF(ISNUMBER($AD179),SUM($AD179:$AH179),"")</f>
      </c>
      <c r="AK179" s="40">
        <f>IF(AND(ISNUMBER($AB179),ISNUMBER($AD179)),IF($AB179&gt;0,$AD179/$AB179,""),"")</f>
      </c>
      <c r="AL179" s="32" t="inlineStr">
        <is>
          <t xml:space="preserve">At technical</t>
        </is>
      </c>
      <c r="AM179" s="41">
        <f>IF(ISNUMBER($AD179),Header!$I$3,"")</f>
      </c>
      <c r="AN179" s="39">
        <f>IF(ISNUMBER($AD179),$AO179+$AP179,"")</f>
      </c>
      <c r="AO179" s="39">
        <f>IF(ISNUMBER($AD179),ROUND($AD179*Header!$K$3,2),"")</f>
      </c>
      <c r="AP179" s="39">
        <f>IF(ISNUMBER($AD179),ROUND($AD179*Header!$M$3,2),"")</f>
      </c>
      <c r="AQ179" s="38">
        <f>IF(ISNUMBER($AD179),ROUND($AD179,2)-$AO179-$AP179,"")</f>
      </c>
      <c r="AR179" s="39">
        <f>IF(ISNUMBER($AD179),IF(Header!$D$34="","?",$AD179*Header!$D$34),"")</f>
      </c>
      <c r="AS179" s="39">
        <f>IF(ISNUMBER($AB179),IF(Header!$D$34="","?",$AB179*Header!$D$34),"")</f>
      </c>
      <c r="AT179" s="42">
        <f>IF(AND(ISNUMBER($AB179),$M179&gt;0),$AB179/$M179*100,"")</f>
      </c>
      <c r="AU179" s="42">
        <f>IF(AND(ISNUMBER($AD179),$M179&gt;0),$AD179/$M179*100,"")</f>
      </c>
      <c r="AV179" s="40">
        <f>IF(AND(ISNUMBER($AB179),ISNUMBER($AD179),ABS($AB179)&gt;0),$AD179/$AB179,"")</f>
      </c>
      <c r="AW179" s="39">
        <f>IF(ISNUMBER($AD179),MAX(0,(1-0.55-Header!$O$3)*Header!$Q$3*$AQ179),"")</f>
      </c>
      <c r="AX179" s="43">
        <f>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c>
      <c r="AY179" s="44">
        <f>IF($M179="","",IF(ISNUMBER($M179),IF($M179&gt;=Header!$C$18,"YES — refer","No"),""))</f>
      </c>
      <c r="AZ179" s="44">
        <f>IF($AD179="","",IF(ISNUMBER($AD179),IF($AD179&lt;Header!$C$20,"BELOW MIN PREMIUM","OK"),""))</f>
      </c>
      <c r="BA179" s="32" t="inlineStr">
        <is>
          <t xml:space="preserve">Yes</t>
        </is>
      </c>
      <c r="BB179" s="32" t="inlineStr">
        <is>
          <t xml:space="preserve">Yes</t>
        </is>
      </c>
      <c r="BC179" s="30" t="inlineStr">
        <is>
          <t xml:space="preserve">Synthetic demo data</t>
        </is>
      </c>
      <c r="BE179" s="45">
        <f>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c>
      <c r="BF179" s="45">
        <f>IF($AD179="","",IF(ROUND($AO179+$AP179+$AQ179-$AD179,2)=0,"OK","FAIL - out by "&amp;TEXT($AO179+$AP179+$AQ179-$AD179,"$0.00")))</f>
      </c>
    </row>
    <row r="180" spans="1:58" ht="18.75" customHeight="1" x14ac:dyDescent="0.25">
      <c r="A180" s="46" t="inlineStr">
        <is>
          <t xml:space="preserve">CANON-202606-008655</t>
        </is>
      </c>
      <c r="B180" s="46" t="inlineStr">
        <is>
          <t xml:space="preserve">Saoirse Okonkwo</t>
        </is>
      </c>
      <c r="C180" s="47">
        <v>46193</v>
      </c>
      <c r="D180" s="48" t="inlineStr">
        <is>
          <t xml:space="preserve">Bound - within authority</t>
        </is>
      </c>
      <c r="E180" s="48" t="inlineStr">
        <is>
          <t xml:space="preserve">New business</t>
        </is>
      </c>
      <c r="F180" s="46" t="inlineStr">
        <is>
          <t xml:space="preserve">B1234EXOTIC26</t>
        </is>
      </c>
      <c r="G180" s="33">
        <f>IF($A180="","",IF($C180="","",YEAR($C180)))</f>
      </c>
      <c r="H180" s="49">
        <v>2005</v>
      </c>
      <c r="I180" s="46" t="inlineStr">
        <is>
          <t xml:space="preserve">BMW</t>
        </is>
      </c>
      <c r="J180" s="46" t="inlineStr">
        <is>
          <t xml:space="preserve">M8 Competition</t>
        </is>
      </c>
      <c r="K180" s="46" t="inlineStr">
        <is>
          <t xml:space="preserve">WH71UMG7RXY6U33BV</t>
        </is>
      </c>
      <c r="L180" s="48" t="inlineStr">
        <is>
          <t xml:space="preserve">02 - Sports / GT</t>
        </is>
      </c>
      <c r="M180" s="50">
        <v>1215000</v>
      </c>
      <c r="N180" s="48" t="inlineStr">
        <is>
          <t xml:space="preserve">Personal</t>
        </is>
      </c>
      <c r="O180" s="46" t="inlineStr">
        <is>
          <t xml:space="preserve">Personal - regular use</t>
        </is>
      </c>
      <c r="P180" s="46" t="inlineStr">
        <is>
          <t xml:space="preserve">2,500 - 5,000</t>
        </is>
      </c>
      <c r="Q180" s="46" t="inlineStr">
        <is>
          <t xml:space="preserve">Montana</t>
        </is>
      </c>
      <c r="R180" s="46" t="inlineStr">
        <is>
          <t xml:space="preserve">59601</t>
        </is>
      </c>
      <c r="S180" s="48" t="inlineStr">
        <is>
          <t xml:space="preserve">Wildfire - WUI high hazard</t>
        </is>
      </c>
      <c r="T180" s="36">
        <f>IF($A180="","",IF($S180="","",IFERROR(INDEX('[1]natural catastrophe'!$D$6:$D$17,MATCH($S180,'[1]natural catastrophe'!$B$6:$B$17,0)),"?")))</f>
      </c>
      <c r="U180" s="46" t="inlineStr">
        <is>
          <t xml:space="preserve">$5,000</t>
        </is>
      </c>
      <c r="V180" s="48" t="inlineStr">
        <is>
          <t xml:space="preserve">Agreed Value</t>
        </is>
      </c>
      <c r="W180" s="46" t="inlineStr">
        <is>
          <t xml:space="preserve">$1,000</t>
        </is>
      </c>
      <c r="X180" s="48" t="inlineStr">
        <is>
          <t xml:space="preserve">$1,000,000 CSL</t>
        </is>
      </c>
      <c r="Y180" s="46"/>
      <c r="Z180" s="46"/>
      <c r="AA180" s="48" t="inlineStr">
        <is>
          <t xml:space="preserve">Surplus Lines</t>
        </is>
      </c>
      <c r="AB180" s="50">
        <v>8967.97</v>
      </c>
      <c r="AC180" s="51">
        <v>0</v>
      </c>
      <c r="AD180" s="38">
        <f>IF(ISNUMBER($AB180),$AB180*(1+N($AC180)),"")</f>
      </c>
      <c r="AE180" s="50">
        <v>350</v>
      </c>
      <c r="AF180" s="50">
        <v>250</v>
      </c>
      <c r="AG180" s="51"/>
      <c r="AH180" s="39">
        <f>IF(ISNUMBER($AD180),($AD180+$AE180+$AF180)*$AG180,"")</f>
      </c>
      <c r="AI180" s="50"/>
      <c r="AJ180" s="38">
        <f>IF(ISNUMBER($AD180),SUM($AD180:$AH180),"")</f>
      </c>
      <c r="AK180" s="40">
        <f>IF(AND(ISNUMBER($AB180),ISNUMBER($AD180)),IF($AB180&gt;0,$AD180/$AB180,""),"")</f>
      </c>
      <c r="AL180" s="48" t="inlineStr">
        <is>
          <t xml:space="preserve">At technical</t>
        </is>
      </c>
      <c r="AM180" s="41">
        <f>IF(ISNUMBER($AD180),Header!$I$3,"")</f>
      </c>
      <c r="AN180" s="39">
        <f>IF(ISNUMBER($AD180),$AO180+$AP180,"")</f>
      </c>
      <c r="AO180" s="39">
        <f>IF(ISNUMBER($AD180),ROUND($AD180*Header!$K$3,2),"")</f>
      </c>
      <c r="AP180" s="39">
        <f>IF(ISNUMBER($AD180),ROUND($AD180*Header!$M$3,2),"")</f>
      </c>
      <c r="AQ180" s="38">
        <f>IF(ISNUMBER($AD180),ROUND($AD180,2)-$AO180-$AP180,"")</f>
      </c>
      <c r="AR180" s="39">
        <f>IF(ISNUMBER($AD180),IF(Header!$D$34="","?",$AD180*Header!$D$34),"")</f>
      </c>
      <c r="AS180" s="39">
        <f>IF(ISNUMBER($AB180),IF(Header!$D$34="","?",$AB180*Header!$D$34),"")</f>
      </c>
      <c r="AT180" s="42">
        <f>IF(AND(ISNUMBER($AB180),$M180&gt;0),$AB180/$M180*100,"")</f>
      </c>
      <c r="AU180" s="42">
        <f>IF(AND(ISNUMBER($AD180),$M180&gt;0),$AD180/$M180*100,"")</f>
      </c>
      <c r="AV180" s="40">
        <f>IF(AND(ISNUMBER($AB180),ISNUMBER($AD180),ABS($AB180)&gt;0),$AD180/$AB180,"")</f>
      </c>
      <c r="AW180" s="39">
        <f>IF(ISNUMBER($AD180),MAX(0,(1-0.55-Header!$O$3)*Header!$Q$3*$AQ180),"")</f>
      </c>
      <c r="AX180" s="43">
        <f>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c>
      <c r="AY180" s="44">
        <f>IF($M180="","",IF(ISNUMBER($M180),IF($M180&gt;=Header!$C$18,"YES — refer","No"),""))</f>
      </c>
      <c r="AZ180" s="44">
        <f>IF($AD180="","",IF(ISNUMBER($AD180),IF($AD180&lt;Header!$C$20,"BELOW MIN PREMIUM","OK"),""))</f>
      </c>
      <c r="BA180" s="48" t="inlineStr">
        <is>
          <t xml:space="preserve">Yes</t>
        </is>
      </c>
      <c r="BB180" s="48" t="inlineStr">
        <is>
          <t xml:space="preserve">Yes</t>
        </is>
      </c>
      <c r="BC180" s="46" t="inlineStr">
        <is>
          <t xml:space="preserve">Synthetic demo data</t>
        </is>
      </c>
      <c r="BE180" s="45">
        <f>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c>
      <c r="BF180" s="45">
        <f>IF($AD180="","",IF(ROUND($AO180+$AP180+$AQ180-$AD180,2)=0,"OK","FAIL - out by "&amp;TEXT($AO180+$AP180+$AQ180-$AD180,"$0.00")))</f>
      </c>
    </row>
    <row r="181" spans="1:58" ht="18.75" customHeight="1" x14ac:dyDescent="0.25">
      <c r="A181" s="30" t="inlineStr">
        <is>
          <t xml:space="preserve">CANON-202606-008656</t>
        </is>
      </c>
      <c r="B181" s="30" t="inlineStr">
        <is>
          <t xml:space="preserve">Noor Chattopadhyay</t>
        </is>
      </c>
      <c r="C181" s="31">
        <v>46181</v>
      </c>
      <c r="D181" s="32" t="inlineStr">
        <is>
          <t xml:space="preserve">Bound - within authority</t>
        </is>
      </c>
      <c r="E181" s="32" t="inlineStr">
        <is>
          <t xml:space="preserve">New business</t>
        </is>
      </c>
      <c r="F181" s="30" t="inlineStr">
        <is>
          <t xml:space="preserve">B1234EXOTIC26</t>
        </is>
      </c>
      <c r="G181" s="33">
        <f>IF($A181="","",IF($C181="","",YEAR($C181)))</f>
      </c>
      <c r="H181" s="34">
        <v>2013</v>
      </c>
      <c r="I181" s="30" t="inlineStr">
        <is>
          <t xml:space="preserve">BMW</t>
        </is>
      </c>
      <c r="J181" s="30" t="inlineStr">
        <is>
          <t xml:space="preserve">M8 Competition</t>
        </is>
      </c>
      <c r="K181" s="30" t="inlineStr">
        <is>
          <t xml:space="preserve">MZ7MPW8AU0R21CVL9</t>
        </is>
      </c>
      <c r="L181" s="32" t="inlineStr">
        <is>
          <t xml:space="preserve">02 - Sports / GT</t>
        </is>
      </c>
      <c r="M181" s="35">
        <v>245000</v>
      </c>
      <c r="N181" s="32" t="inlineStr">
        <is>
          <t xml:space="preserve">Personal</t>
        </is>
      </c>
      <c r="O181" s="30" t="inlineStr">
        <is>
          <t xml:space="preserve">Personal - regular use</t>
        </is>
      </c>
      <c r="P181" s="30" t="inlineStr">
        <is>
          <t xml:space="preserve">1,000 - 2,500</t>
        </is>
      </c>
      <c r="Q181" s="30" t="inlineStr">
        <is>
          <t xml:space="preserve">Georgia</t>
        </is>
      </c>
      <c r="R181" s="30" t="inlineStr">
        <is>
          <t xml:space="preserve">30303</t>
        </is>
      </c>
      <c r="S181" s="32" t="inlineStr">
        <is>
          <t xml:space="preserve">Tier 2 - Coastal wind (1-25 miles)</t>
        </is>
      </c>
      <c r="T181" s="36">
        <f>IF($A181="","",IF($S181="","",IFERROR(INDEX('[1]natural catastrophe'!$D$6:$D$17,MATCH($S181,'[1]natural catastrophe'!$B$6:$B$17,0)),"?")))</f>
      </c>
      <c r="U181" s="30" t="inlineStr">
        <is>
          <t xml:space="preserve">2% of agreed value, minimum $10,000</t>
        </is>
      </c>
      <c r="V181" s="32" t="inlineStr">
        <is>
          <t xml:space="preserve">Agreed Value</t>
        </is>
      </c>
      <c r="W181" s="30" t="inlineStr">
        <is>
          <t xml:space="preserve">$1,000</t>
        </is>
      </c>
      <c r="X181" s="32" t="inlineStr">
        <is>
          <t xml:space="preserve">$1,000,000 CSL</t>
        </is>
      </c>
      <c r="Y181" s="30"/>
      <c r="Z181" s="30"/>
      <c r="AA181" s="32" t="inlineStr">
        <is>
          <t xml:space="preserve">Surplus Lines</t>
        </is>
      </c>
      <c r="AB181" s="35">
        <v>3642.87</v>
      </c>
      <c r="AC181" s="37">
        <v>0</v>
      </c>
      <c r="AD181" s="38">
        <f>IF(ISNUMBER($AB181),$AB181*(1+N($AC181)),"")</f>
      </c>
      <c r="AE181" s="35">
        <v>350</v>
      </c>
      <c r="AF181" s="35">
        <v>0</v>
      </c>
      <c r="AG181" s="37"/>
      <c r="AH181" s="39">
        <f>IF(ISNUMBER($AD181),($AD181+$AE181+$AF181)*$AG181,"")</f>
      </c>
      <c r="AI181" s="35"/>
      <c r="AJ181" s="38">
        <f>IF(ISNUMBER($AD181),SUM($AD181:$AH181),"")</f>
      </c>
      <c r="AK181" s="40">
        <f>IF(AND(ISNUMBER($AB181),ISNUMBER($AD181)),IF($AB181&gt;0,$AD181/$AB181,""),"")</f>
      </c>
      <c r="AL181" s="32" t="inlineStr">
        <is>
          <t xml:space="preserve">At technical</t>
        </is>
      </c>
      <c r="AM181" s="41">
        <f>IF(ISNUMBER($AD181),Header!$I$3,"")</f>
      </c>
      <c r="AN181" s="39">
        <f>IF(ISNUMBER($AD181),$AO181+$AP181,"")</f>
      </c>
      <c r="AO181" s="39">
        <f>IF(ISNUMBER($AD181),ROUND($AD181*Header!$K$3,2),"")</f>
      </c>
      <c r="AP181" s="39">
        <f>IF(ISNUMBER($AD181),ROUND($AD181*Header!$M$3,2),"")</f>
      </c>
      <c r="AQ181" s="38">
        <f>IF(ISNUMBER($AD181),ROUND($AD181,2)-$AO181-$AP181,"")</f>
      </c>
      <c r="AR181" s="39">
        <f>IF(ISNUMBER($AD181),IF(Header!$D$34="","?",$AD181*Header!$D$34),"")</f>
      </c>
      <c r="AS181" s="39">
        <f>IF(ISNUMBER($AB181),IF(Header!$D$34="","?",$AB181*Header!$D$34),"")</f>
      </c>
      <c r="AT181" s="42">
        <f>IF(AND(ISNUMBER($AB181),$M181&gt;0),$AB181/$M181*100,"")</f>
      </c>
      <c r="AU181" s="42">
        <f>IF(AND(ISNUMBER($AD181),$M181&gt;0),$AD181/$M181*100,"")</f>
      </c>
      <c r="AV181" s="40">
        <f>IF(AND(ISNUMBER($AB181),ISNUMBER($AD181),ABS($AB181)&gt;0),$AD181/$AB181,"")</f>
      </c>
      <c r="AW181" s="39">
        <f>IF(ISNUMBER($AD181),MAX(0,(1-0.55-Header!$O$3)*Header!$Q$3*$AQ181),"")</f>
      </c>
      <c r="AX181" s="43">
        <f>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c>
      <c r="AY181" s="44">
        <f>IF($M181="","",IF(ISNUMBER($M181),IF($M181&gt;=Header!$C$18,"YES — refer","No"),""))</f>
      </c>
      <c r="AZ181" s="44">
        <f>IF($AD181="","",IF(ISNUMBER($AD181),IF($AD181&lt;Header!$C$20,"BELOW MIN PREMIUM","OK"),""))</f>
      </c>
      <c r="BA181" s="32" t="inlineStr">
        <is>
          <t xml:space="preserve">Yes</t>
        </is>
      </c>
      <c r="BB181" s="32" t="inlineStr">
        <is>
          <t xml:space="preserve">Yes</t>
        </is>
      </c>
      <c r="BC181" s="30" t="inlineStr">
        <is>
          <t xml:space="preserve">Synthetic demo data</t>
        </is>
      </c>
      <c r="BE181" s="45">
        <f>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c>
      <c r="BF181" s="45">
        <f>IF($AD181="","",IF(ROUND($AO181+$AP181+$AQ181-$AD181,2)=0,"OK","FAIL - out by "&amp;TEXT($AO181+$AP181+$AQ181-$AD181,"$0.00")))</f>
      </c>
    </row>
    <row r="182" spans="1:58" ht="18.75" customHeight="1" x14ac:dyDescent="0.25">
      <c r="A182" s="46" t="inlineStr">
        <is>
          <t xml:space="preserve">CANON-202606-008657</t>
        </is>
      </c>
      <c r="B182" s="46" t="inlineStr">
        <is>
          <t xml:space="preserve">Beatrix Rourke</t>
        </is>
      </c>
      <c r="C182" s="47">
        <v>46185</v>
      </c>
      <c r="D182" s="48" t="inlineStr">
        <is>
          <t xml:space="preserve">Bound - within authority</t>
        </is>
      </c>
      <c r="E182" s="48" t="inlineStr">
        <is>
          <t xml:space="preserve">New business</t>
        </is>
      </c>
      <c r="F182" s="46" t="inlineStr">
        <is>
          <t xml:space="preserve">B1234EXOTIC26</t>
        </is>
      </c>
      <c r="G182" s="33">
        <f>IF($A182="","",IF($C182="","",YEAR($C182)))</f>
      </c>
      <c r="H182" s="49">
        <v>1965</v>
      </c>
      <c r="I182" s="46" t="inlineStr">
        <is>
          <t xml:space="preserve">Porsche</t>
        </is>
      </c>
      <c r="J182" s="46" t="inlineStr">
        <is>
          <t xml:space="preserve">911 Turbo S</t>
        </is>
      </c>
      <c r="K182" s="46" t="inlineStr">
        <is>
          <t xml:space="preserve">V2387X8K7C84L7H1U</t>
        </is>
      </c>
      <c r="L182" s="48" t="inlineStr">
        <is>
          <t xml:space="preserve">02 - Sports / GT</t>
        </is>
      </c>
      <c r="M182" s="50">
        <v>490000</v>
      </c>
      <c r="N182" s="48" t="inlineStr">
        <is>
          <t xml:space="preserve">Personal</t>
        </is>
      </c>
      <c r="O182" s="46" t="inlineStr">
        <is>
          <t xml:space="preserve">Personal - regular use</t>
        </is>
      </c>
      <c r="P182" s="46" t="inlineStr">
        <is>
          <t xml:space="preserve">1,000 - 2,500</t>
        </is>
      </c>
      <c r="Q182" s="46" t="inlineStr">
        <is>
          <t xml:space="preserve">New York</t>
        </is>
      </c>
      <c r="R182" s="46" t="inlineStr">
        <is>
          <t xml:space="preserve">10022</t>
        </is>
      </c>
      <c r="S182" s="48" t="inlineStr">
        <is>
          <t xml:space="preserve">Tier 3 - Coastal wind (25-100 miles)</t>
        </is>
      </c>
      <c r="T182" s="36">
        <f>IF($A182="","",IF($S182="","",IFERROR(INDEX('[1]natural catastrophe'!$D$6:$D$17,MATCH($S182,'[1]natural catastrophe'!$B$6:$B$17,0)),"?")))</f>
      </c>
      <c r="U182" s="46" t="inlineStr">
        <is>
          <t xml:space="preserve">2% of agreed value, minimum $10,000</t>
        </is>
      </c>
      <c r="V182" s="48" t="inlineStr">
        <is>
          <t xml:space="preserve">Agreed Value</t>
        </is>
      </c>
      <c r="W182" s="46" t="inlineStr">
        <is>
          <t xml:space="preserve">$1,000</t>
        </is>
      </c>
      <c r="X182" s="48" t="inlineStr">
        <is>
          <t xml:space="preserve">$1,000,000 CSL</t>
        </is>
      </c>
      <c r="Y182" s="46"/>
      <c r="Z182" s="46"/>
      <c r="AA182" s="48" t="inlineStr">
        <is>
          <t xml:space="preserve">Surplus Lines</t>
        </is>
      </c>
      <c r="AB182" s="50">
        <v>6787.96</v>
      </c>
      <c r="AC182" s="51">
        <v>0</v>
      </c>
      <c r="AD182" s="38">
        <f>IF(ISNUMBER($AB182),$AB182*(1+N($AC182)),"")</f>
      </c>
      <c r="AE182" s="50">
        <v>350</v>
      </c>
      <c r="AF182" s="50">
        <v>0</v>
      </c>
      <c r="AG182" s="51"/>
      <c r="AH182" s="39">
        <f>IF(ISNUMBER($AD182),($AD182+$AE182+$AF182)*$AG182,"")</f>
      </c>
      <c r="AI182" s="50"/>
      <c r="AJ182" s="38">
        <f>IF(ISNUMBER($AD182),SUM($AD182:$AH182),"")</f>
      </c>
      <c r="AK182" s="40">
        <f>IF(AND(ISNUMBER($AB182),ISNUMBER($AD182)),IF($AB182&gt;0,$AD182/$AB182,""),"")</f>
      </c>
      <c r="AL182" s="48" t="inlineStr">
        <is>
          <t xml:space="preserve">At technical</t>
        </is>
      </c>
      <c r="AM182" s="41">
        <f>IF(ISNUMBER($AD182),Header!$I$3,"")</f>
      </c>
      <c r="AN182" s="39">
        <f>IF(ISNUMBER($AD182),$AO182+$AP182,"")</f>
      </c>
      <c r="AO182" s="39">
        <f>IF(ISNUMBER($AD182),ROUND($AD182*Header!$K$3,2),"")</f>
      </c>
      <c r="AP182" s="39">
        <f>IF(ISNUMBER($AD182),ROUND($AD182*Header!$M$3,2),"")</f>
      </c>
      <c r="AQ182" s="38">
        <f>IF(ISNUMBER($AD182),ROUND($AD182,2)-$AO182-$AP182,"")</f>
      </c>
      <c r="AR182" s="39">
        <f>IF(ISNUMBER($AD182),IF(Header!$D$34="","?",$AD182*Header!$D$34),"")</f>
      </c>
      <c r="AS182" s="39">
        <f>IF(ISNUMBER($AB182),IF(Header!$D$34="","?",$AB182*Header!$D$34),"")</f>
      </c>
      <c r="AT182" s="42">
        <f>IF(AND(ISNUMBER($AB182),$M182&gt;0),$AB182/$M182*100,"")</f>
      </c>
      <c r="AU182" s="42">
        <f>IF(AND(ISNUMBER($AD182),$M182&gt;0),$AD182/$M182*100,"")</f>
      </c>
      <c r="AV182" s="40">
        <f>IF(AND(ISNUMBER($AB182),ISNUMBER($AD182),ABS($AB182)&gt;0),$AD182/$AB182,"")</f>
      </c>
      <c r="AW182" s="39">
        <f>IF(ISNUMBER($AD182),MAX(0,(1-0.55-Header!$O$3)*Header!$Q$3*$AQ182),"")</f>
      </c>
      <c r="AX182" s="43">
        <f>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c>
      <c r="AY182" s="44">
        <f>IF($M182="","",IF(ISNUMBER($M182),IF($M182&gt;=Header!$C$18,"YES — refer","No"),""))</f>
      </c>
      <c r="AZ182" s="44">
        <f>IF($AD182="","",IF(ISNUMBER($AD182),IF($AD182&lt;Header!$C$20,"BELOW MIN PREMIUM","OK"),""))</f>
      </c>
      <c r="BA182" s="48" t="inlineStr">
        <is>
          <t xml:space="preserve">Yes</t>
        </is>
      </c>
      <c r="BB182" s="48" t="inlineStr">
        <is>
          <t xml:space="preserve">Yes</t>
        </is>
      </c>
      <c r="BC182" s="46" t="inlineStr">
        <is>
          <t xml:space="preserve">Synthetic demo data</t>
        </is>
      </c>
      <c r="BE182" s="45">
        <f>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c>
      <c r="BF182" s="45">
        <f>IF($AD182="","",IF(ROUND($AO182+$AP182+$AQ182-$AD182,2)=0,"OK","FAIL - out by "&amp;TEXT($AO182+$AP182+$AQ182-$AD182,"$0.00")))</f>
      </c>
    </row>
    <row r="183" spans="1:58" ht="18.75" customHeight="1" x14ac:dyDescent="0.25">
      <c r="A183" s="30" t="inlineStr">
        <is>
          <t xml:space="preserve">CANON-202606-008658</t>
        </is>
      </c>
      <c r="B183" s="30" t="inlineStr">
        <is>
          <t xml:space="preserve">Saoirse Castellanos</t>
        </is>
      </c>
      <c r="C183" s="31">
        <v>46174</v>
      </c>
      <c r="D183" s="32" t="inlineStr">
        <is>
          <t xml:space="preserve">Bound - within authority</t>
        </is>
      </c>
      <c r="E183" s="32" t="inlineStr">
        <is>
          <t xml:space="preserve">New business</t>
        </is>
      </c>
      <c r="F183" s="30" t="inlineStr">
        <is>
          <t xml:space="preserve">B1234EXOTIC26</t>
        </is>
      </c>
      <c r="G183" s="33">
        <f>IF($A183="","",IF($C183="","",YEAR($C183)))</f>
      </c>
      <c r="H183" s="34">
        <v>2000</v>
      </c>
      <c r="I183" s="30" t="inlineStr">
        <is>
          <t xml:space="preserve">Bentley</t>
        </is>
      </c>
      <c r="J183" s="30" t="inlineStr">
        <is>
          <t xml:space="preserve">Continental GT</t>
        </is>
      </c>
      <c r="K183" s="30" t="inlineStr">
        <is>
          <t xml:space="preserve">4D9N88W5RH72LBCHU</t>
        </is>
      </c>
      <c r="L183" s="32" t="inlineStr">
        <is>
          <t xml:space="preserve">02 - Sports / GT</t>
        </is>
      </c>
      <c r="M183" s="35">
        <v>500000</v>
      </c>
      <c r="N183" s="32" t="inlineStr">
        <is>
          <t xml:space="preserve">Personal</t>
        </is>
      </c>
      <c r="O183" s="30" t="inlineStr">
        <is>
          <t xml:space="preserve">Personal - regular use</t>
        </is>
      </c>
      <c r="P183" s="30" t="inlineStr">
        <is>
          <t xml:space="preserve">1,000 - 2,500</t>
        </is>
      </c>
      <c r="Q183" s="30" t="inlineStr">
        <is>
          <t xml:space="preserve">Maryland</t>
        </is>
      </c>
      <c r="R183" s="30" t="inlineStr">
        <is>
          <t xml:space="preserve">21201</t>
        </is>
      </c>
      <c r="S183" s="32" t="inlineStr">
        <is>
          <t xml:space="preserve">Tier 3 - Coastal wind (25-100 miles)</t>
        </is>
      </c>
      <c r="T183" s="36">
        <f>IF($A183="","",IF($S183="","",IFERROR(INDEX('[1]natural catastrophe'!$D$6:$D$17,MATCH($S183,'[1]natural catastrophe'!$B$6:$B$17,0)),"?")))</f>
      </c>
      <c r="U183" s="30" t="inlineStr">
        <is>
          <t xml:space="preserve">2% of agreed value, minimum $10,000</t>
        </is>
      </c>
      <c r="V183" s="32" t="inlineStr">
        <is>
          <t xml:space="preserve">Agreed Value</t>
        </is>
      </c>
      <c r="W183" s="30" t="inlineStr">
        <is>
          <t xml:space="preserve">$1,000</t>
        </is>
      </c>
      <c r="X183" s="32" t="inlineStr">
        <is>
          <t xml:space="preserve">$1,000,000 CSL</t>
        </is>
      </c>
      <c r="Y183" s="30"/>
      <c r="Z183" s="30"/>
      <c r="AA183" s="32" t="inlineStr">
        <is>
          <t xml:space="preserve">Surplus Lines</t>
        </is>
      </c>
      <c r="AB183" s="35">
        <v>4455.32</v>
      </c>
      <c r="AC183" s="37">
        <v>0</v>
      </c>
      <c r="AD183" s="38">
        <f>IF(ISNUMBER($AB183),$AB183*(1+N($AC183)),"")</f>
      </c>
      <c r="AE183" s="35">
        <v>350</v>
      </c>
      <c r="AF183" s="35">
        <v>0</v>
      </c>
      <c r="AG183" s="37"/>
      <c r="AH183" s="39">
        <f>IF(ISNUMBER($AD183),($AD183+$AE183+$AF183)*$AG183,"")</f>
      </c>
      <c r="AI183" s="35"/>
      <c r="AJ183" s="38">
        <f>IF(ISNUMBER($AD183),SUM($AD183:$AH183),"")</f>
      </c>
      <c r="AK183" s="40">
        <f>IF(AND(ISNUMBER($AB183),ISNUMBER($AD183)),IF($AB183&gt;0,$AD183/$AB183,""),"")</f>
      </c>
      <c r="AL183" s="32" t="inlineStr">
        <is>
          <t xml:space="preserve">At technical</t>
        </is>
      </c>
      <c r="AM183" s="41">
        <f>IF(ISNUMBER($AD183),Header!$I$3,"")</f>
      </c>
      <c r="AN183" s="39">
        <f>IF(ISNUMBER($AD183),$AO183+$AP183,"")</f>
      </c>
      <c r="AO183" s="39">
        <f>IF(ISNUMBER($AD183),ROUND($AD183*Header!$K$3,2),"")</f>
      </c>
      <c r="AP183" s="39">
        <f>IF(ISNUMBER($AD183),ROUND($AD183*Header!$M$3,2),"")</f>
      </c>
      <c r="AQ183" s="38">
        <f>IF(ISNUMBER($AD183),ROUND($AD183,2)-$AO183-$AP183,"")</f>
      </c>
      <c r="AR183" s="39">
        <f>IF(ISNUMBER($AD183),IF(Header!$D$34="","?",$AD183*Header!$D$34),"")</f>
      </c>
      <c r="AS183" s="39">
        <f>IF(ISNUMBER($AB183),IF(Header!$D$34="","?",$AB183*Header!$D$34),"")</f>
      </c>
      <c r="AT183" s="42">
        <f>IF(AND(ISNUMBER($AB183),$M183&gt;0),$AB183/$M183*100,"")</f>
      </c>
      <c r="AU183" s="42">
        <f>IF(AND(ISNUMBER($AD183),$M183&gt;0),$AD183/$M183*100,"")</f>
      </c>
      <c r="AV183" s="40">
        <f>IF(AND(ISNUMBER($AB183),ISNUMBER($AD183),ABS($AB183)&gt;0),$AD183/$AB183,"")</f>
      </c>
      <c r="AW183" s="39">
        <f>IF(ISNUMBER($AD183),MAX(0,(1-0.55-Header!$O$3)*Header!$Q$3*$AQ183),"")</f>
      </c>
      <c r="AX183" s="43">
        <f>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c>
      <c r="AY183" s="44">
        <f>IF($M183="","",IF(ISNUMBER($M183),IF($M183&gt;=Header!$C$18,"YES — refer","No"),""))</f>
      </c>
      <c r="AZ183" s="44">
        <f>IF($AD183="","",IF(ISNUMBER($AD183),IF($AD183&lt;Header!$C$20,"BELOW MIN PREMIUM","OK"),""))</f>
      </c>
      <c r="BA183" s="32" t="inlineStr">
        <is>
          <t xml:space="preserve">Yes</t>
        </is>
      </c>
      <c r="BB183" s="32" t="inlineStr">
        <is>
          <t xml:space="preserve">Yes</t>
        </is>
      </c>
      <c r="BC183" s="30" t="inlineStr">
        <is>
          <t xml:space="preserve">Synthetic demo data</t>
        </is>
      </c>
      <c r="BE183" s="45">
        <f>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c>
      <c r="BF183" s="45">
        <f>IF($AD183="","",IF(ROUND($AO183+$AP183+$AQ183-$AD183,2)=0,"OK","FAIL - out by "&amp;TEXT($AO183+$AP183+$AQ183-$AD183,"$0.00")))</f>
      </c>
    </row>
    <row r="184" spans="1:58" ht="18.75" customHeight="1" x14ac:dyDescent="0.25">
      <c r="A184" s="46" t="inlineStr">
        <is>
          <t xml:space="preserve">CANON-202606-008659</t>
        </is>
      </c>
      <c r="B184" s="46" t="inlineStr">
        <is>
          <t xml:space="preserve">Desmond Fairweather</t>
        </is>
      </c>
      <c r="C184" s="47">
        <v>46186</v>
      </c>
      <c r="D184" s="48" t="inlineStr">
        <is>
          <t xml:space="preserve">Bound - within authority</t>
        </is>
      </c>
      <c r="E184" s="48" t="inlineStr">
        <is>
          <t xml:space="preserve">New business</t>
        </is>
      </c>
      <c r="F184" s="46" t="inlineStr">
        <is>
          <t xml:space="preserve">B1234EXOTIC26</t>
        </is>
      </c>
      <c r="G184" s="33">
        <f>IF($A184="","",IF($C184="","",YEAR($C184)))</f>
      </c>
      <c r="H184" s="49">
        <v>2015</v>
      </c>
      <c r="I184" s="46" t="inlineStr">
        <is>
          <t xml:space="preserve">Mercedes-Benz</t>
        </is>
      </c>
      <c r="J184" s="46" t="inlineStr">
        <is>
          <t xml:space="preserve">AMG GT</t>
        </is>
      </c>
      <c r="K184" s="46" t="inlineStr">
        <is>
          <t xml:space="preserve">V7EAC257C9CTZX3A4</t>
        </is>
      </c>
      <c r="L184" s="48" t="inlineStr">
        <is>
          <t xml:space="preserve">02 - Sports / GT</t>
        </is>
      </c>
      <c r="M184" s="50">
        <v>685000</v>
      </c>
      <c r="N184" s="48" t="inlineStr">
        <is>
          <t xml:space="preserve">Personal</t>
        </is>
      </c>
      <c r="O184" s="46" t="inlineStr">
        <is>
          <t xml:space="preserve">Personal - regular use</t>
        </is>
      </c>
      <c r="P184" s="46" t="inlineStr">
        <is>
          <t xml:space="preserve">1,000 - 2,500</t>
        </is>
      </c>
      <c r="Q184" s="46" t="inlineStr">
        <is>
          <t xml:space="preserve">Massachusetts</t>
        </is>
      </c>
      <c r="R184" s="46" t="inlineStr">
        <is>
          <t xml:space="preserve">02108</t>
        </is>
      </c>
      <c r="S184" s="48" t="inlineStr">
        <is>
          <t xml:space="preserve">Tier 3 - Coastal wind (25-100 miles)</t>
        </is>
      </c>
      <c r="T184" s="36">
        <f>IF($A184="","",IF($S184="","",IFERROR(INDEX('[1]natural catastrophe'!$D$6:$D$17,MATCH($S184,'[1]natural catastrophe'!$B$6:$B$17,0)),"?")))</f>
      </c>
      <c r="U184" s="46" t="inlineStr">
        <is>
          <t xml:space="preserve">2% of agreed value, minimum $10,000</t>
        </is>
      </c>
      <c r="V184" s="48" t="inlineStr">
        <is>
          <t xml:space="preserve">Agreed Value</t>
        </is>
      </c>
      <c r="W184" s="46" t="inlineStr">
        <is>
          <t xml:space="preserve">$1,000</t>
        </is>
      </c>
      <c r="X184" s="48" t="inlineStr">
        <is>
          <t xml:space="preserve">$1,000,000 CSL</t>
        </is>
      </c>
      <c r="Y184" s="46"/>
      <c r="Z184" s="46"/>
      <c r="AA184" s="48" t="inlineStr">
        <is>
          <t xml:space="preserve">Surplus Lines</t>
        </is>
      </c>
      <c r="AB184" s="50">
        <v>8031.3</v>
      </c>
      <c r="AC184" s="51">
        <v>0</v>
      </c>
      <c r="AD184" s="38">
        <f>IF(ISNUMBER($AB184),$AB184*(1+N($AC184)),"")</f>
      </c>
      <c r="AE184" s="50">
        <v>350</v>
      </c>
      <c r="AF184" s="50">
        <v>0</v>
      </c>
      <c r="AG184" s="51"/>
      <c r="AH184" s="39">
        <f>IF(ISNUMBER($AD184),($AD184+$AE184+$AF184)*$AG184,"")</f>
      </c>
      <c r="AI184" s="50"/>
      <c r="AJ184" s="38">
        <f>IF(ISNUMBER($AD184),SUM($AD184:$AH184),"")</f>
      </c>
      <c r="AK184" s="40">
        <f>IF(AND(ISNUMBER($AB184),ISNUMBER($AD184)),IF($AB184&gt;0,$AD184/$AB184,""),"")</f>
      </c>
      <c r="AL184" s="48" t="inlineStr">
        <is>
          <t xml:space="preserve">At technical</t>
        </is>
      </c>
      <c r="AM184" s="41">
        <f>IF(ISNUMBER($AD184),Header!$I$3,"")</f>
      </c>
      <c r="AN184" s="39">
        <f>IF(ISNUMBER($AD184),$AO184+$AP184,"")</f>
      </c>
      <c r="AO184" s="39">
        <f>IF(ISNUMBER($AD184),ROUND($AD184*Header!$K$3,2),"")</f>
      </c>
      <c r="AP184" s="39">
        <f>IF(ISNUMBER($AD184),ROUND($AD184*Header!$M$3,2),"")</f>
      </c>
      <c r="AQ184" s="38">
        <f>IF(ISNUMBER($AD184),ROUND($AD184,2)-$AO184-$AP184,"")</f>
      </c>
      <c r="AR184" s="39">
        <f>IF(ISNUMBER($AD184),IF(Header!$D$34="","?",$AD184*Header!$D$34),"")</f>
      </c>
      <c r="AS184" s="39">
        <f>IF(ISNUMBER($AB184),IF(Header!$D$34="","?",$AB184*Header!$D$34),"")</f>
      </c>
      <c r="AT184" s="42">
        <f>IF(AND(ISNUMBER($AB184),$M184&gt;0),$AB184/$M184*100,"")</f>
      </c>
      <c r="AU184" s="42">
        <f>IF(AND(ISNUMBER($AD184),$M184&gt;0),$AD184/$M184*100,"")</f>
      </c>
      <c r="AV184" s="40">
        <f>IF(AND(ISNUMBER($AB184),ISNUMBER($AD184),ABS($AB184)&gt;0),$AD184/$AB184,"")</f>
      </c>
      <c r="AW184" s="39">
        <f>IF(ISNUMBER($AD184),MAX(0,(1-0.55-Header!$O$3)*Header!$Q$3*$AQ184),"")</f>
      </c>
      <c r="AX184" s="43">
        <f>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c>
      <c r="AY184" s="44">
        <f>IF($M184="","",IF(ISNUMBER($M184),IF($M184&gt;=Header!$C$18,"YES — refer","No"),""))</f>
      </c>
      <c r="AZ184" s="44">
        <f>IF($AD184="","",IF(ISNUMBER($AD184),IF($AD184&lt;Header!$C$20,"BELOW MIN PREMIUM","OK"),""))</f>
      </c>
      <c r="BA184" s="48" t="inlineStr">
        <is>
          <t xml:space="preserve">Yes</t>
        </is>
      </c>
      <c r="BB184" s="48" t="inlineStr">
        <is>
          <t xml:space="preserve">Yes</t>
        </is>
      </c>
      <c r="BC184" s="46" t="inlineStr">
        <is>
          <t xml:space="preserve">Synthetic demo data</t>
        </is>
      </c>
      <c r="BE184" s="45">
        <f>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c>
      <c r="BF184" s="45">
        <f>IF($AD184="","",IF(ROUND($AO184+$AP184+$AQ184-$AD184,2)=0,"OK","FAIL - out by "&amp;TEXT($AO184+$AP184+$AQ184-$AD184,"$0.00")))</f>
      </c>
    </row>
    <row r="185" spans="1:58" ht="18.75" customHeight="1" x14ac:dyDescent="0.25">
      <c r="A185" s="30" t="inlineStr">
        <is>
          <t xml:space="preserve">CANON-202606-008660</t>
        </is>
      </c>
      <c r="B185" s="30" t="inlineStr">
        <is>
          <t xml:space="preserve">Delphine Larsson</t>
        </is>
      </c>
      <c r="C185" s="31">
        <v>46184</v>
      </c>
      <c r="D185" s="32" t="inlineStr">
        <is>
          <t xml:space="preserve">Bound - within authority</t>
        </is>
      </c>
      <c r="E185" s="32" t="inlineStr">
        <is>
          <t xml:space="preserve">New business</t>
        </is>
      </c>
      <c r="F185" s="30" t="inlineStr">
        <is>
          <t xml:space="preserve">B1234EXOTIC26</t>
        </is>
      </c>
      <c r="G185" s="33">
        <f>IF($A185="","",IF($C185="","",YEAR($C185)))</f>
      </c>
      <c r="H185" s="34">
        <v>1972</v>
      </c>
      <c r="I185" s="30" t="inlineStr">
        <is>
          <t xml:space="preserve">Maserati</t>
        </is>
      </c>
      <c r="J185" s="30" t="inlineStr">
        <is>
          <t xml:space="preserve">GranTurismo</t>
        </is>
      </c>
      <c r="K185" s="30" t="inlineStr">
        <is>
          <t xml:space="preserve">KDHGZT95KU9J2TU4Z</t>
        </is>
      </c>
      <c r="L185" s="32" t="inlineStr">
        <is>
          <t xml:space="preserve">02 - Sports / GT</t>
        </is>
      </c>
      <c r="M185" s="35">
        <v>225000</v>
      </c>
      <c r="N185" s="32" t="inlineStr">
        <is>
          <t xml:space="preserve">Personal</t>
        </is>
      </c>
      <c r="O185" s="30" t="inlineStr">
        <is>
          <t xml:space="preserve">Personal - regular use</t>
        </is>
      </c>
      <c r="P185" s="30" t="inlineStr">
        <is>
          <t xml:space="preserve">Under 1,000</t>
        </is>
      </c>
      <c r="Q185" s="30" t="inlineStr">
        <is>
          <t xml:space="preserve">Maryland</t>
        </is>
      </c>
      <c r="R185" s="30" t="inlineStr">
        <is>
          <t xml:space="preserve">21201</t>
        </is>
      </c>
      <c r="S185" s="32" t="inlineStr">
        <is>
          <t xml:space="preserve">Tier 3 - Coastal wind (25-100 miles)</t>
        </is>
      </c>
      <c r="T185" s="36">
        <f>IF($A185="","",IF($S185="","",IFERROR(INDEX('[1]natural catastrophe'!$D$6:$D$17,MATCH($S185,'[1]natural catastrophe'!$B$6:$B$17,0)),"?")))</f>
      </c>
      <c r="U185" s="30" t="inlineStr">
        <is>
          <t xml:space="preserve">2% of agreed value, minimum $10,000</t>
        </is>
      </c>
      <c r="V185" s="32" t="inlineStr">
        <is>
          <t xml:space="preserve">Agreed Value</t>
        </is>
      </c>
      <c r="W185" s="30" t="inlineStr">
        <is>
          <t xml:space="preserve">$1,000</t>
        </is>
      </c>
      <c r="X185" s="32" t="inlineStr">
        <is>
          <t xml:space="preserve">$1,000,000 CSL</t>
        </is>
      </c>
      <c r="Y185" s="30"/>
      <c r="Z185" s="30"/>
      <c r="AA185" s="32" t="inlineStr">
        <is>
          <t xml:space="preserve">Surplus Lines</t>
        </is>
      </c>
      <c r="AB185" s="35">
        <v>2837.7</v>
      </c>
      <c r="AC185" s="37">
        <v>0</v>
      </c>
      <c r="AD185" s="38">
        <f>IF(ISNUMBER($AB185),$AB185*(1+N($AC185)),"")</f>
      </c>
      <c r="AE185" s="35">
        <v>350</v>
      </c>
      <c r="AF185" s="35">
        <v>0</v>
      </c>
      <c r="AG185" s="37"/>
      <c r="AH185" s="39">
        <f>IF(ISNUMBER($AD185),($AD185+$AE185+$AF185)*$AG185,"")</f>
      </c>
      <c r="AI185" s="35"/>
      <c r="AJ185" s="38">
        <f>IF(ISNUMBER($AD185),SUM($AD185:$AH185),"")</f>
      </c>
      <c r="AK185" s="40">
        <f>IF(AND(ISNUMBER($AB185),ISNUMBER($AD185)),IF($AB185&gt;0,$AD185/$AB185,""),"")</f>
      </c>
      <c r="AL185" s="32" t="inlineStr">
        <is>
          <t xml:space="preserve">At technical</t>
        </is>
      </c>
      <c r="AM185" s="41">
        <f>IF(ISNUMBER($AD185),Header!$I$3,"")</f>
      </c>
      <c r="AN185" s="39">
        <f>IF(ISNUMBER($AD185),$AO185+$AP185,"")</f>
      </c>
      <c r="AO185" s="39">
        <f>IF(ISNUMBER($AD185),ROUND($AD185*Header!$K$3,2),"")</f>
      </c>
      <c r="AP185" s="39">
        <f>IF(ISNUMBER($AD185),ROUND($AD185*Header!$M$3,2),"")</f>
      </c>
      <c r="AQ185" s="38">
        <f>IF(ISNUMBER($AD185),ROUND($AD185,2)-$AO185-$AP185,"")</f>
      </c>
      <c r="AR185" s="39">
        <f>IF(ISNUMBER($AD185),IF(Header!$D$34="","?",$AD185*Header!$D$34),"")</f>
      </c>
      <c r="AS185" s="39">
        <f>IF(ISNUMBER($AB185),IF(Header!$D$34="","?",$AB185*Header!$D$34),"")</f>
      </c>
      <c r="AT185" s="42">
        <f>IF(AND(ISNUMBER($AB185),$M185&gt;0),$AB185/$M185*100,"")</f>
      </c>
      <c r="AU185" s="42">
        <f>IF(AND(ISNUMBER($AD185),$M185&gt;0),$AD185/$M185*100,"")</f>
      </c>
      <c r="AV185" s="40">
        <f>IF(AND(ISNUMBER($AB185),ISNUMBER($AD185),ABS($AB185)&gt;0),$AD185/$AB185,"")</f>
      </c>
      <c r="AW185" s="39">
        <f>IF(ISNUMBER($AD185),MAX(0,(1-0.55-Header!$O$3)*Header!$Q$3*$AQ185),"")</f>
      </c>
      <c r="AX185" s="43">
        <f>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c>
      <c r="AY185" s="44">
        <f>IF($M185="","",IF(ISNUMBER($M185),IF($M185&gt;=Header!$C$18,"YES — refer","No"),""))</f>
      </c>
      <c r="AZ185" s="44">
        <f>IF($AD185="","",IF(ISNUMBER($AD185),IF($AD185&lt;Header!$C$20,"BELOW MIN PREMIUM","OK"),""))</f>
      </c>
      <c r="BA185" s="32" t="inlineStr">
        <is>
          <t xml:space="preserve">Yes</t>
        </is>
      </c>
      <c r="BB185" s="32" t="inlineStr">
        <is>
          <t xml:space="preserve">Yes</t>
        </is>
      </c>
      <c r="BC185" s="30" t="inlineStr">
        <is>
          <t xml:space="preserve">Synthetic demo data</t>
        </is>
      </c>
      <c r="BE185" s="45">
        <f>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c>
      <c r="BF185" s="45">
        <f>IF($AD185="","",IF(ROUND($AO185+$AP185+$AQ185-$AD185,2)=0,"OK","FAIL - out by "&amp;TEXT($AO185+$AP185+$AQ185-$AD185,"$0.00")))</f>
      </c>
    </row>
    <row r="186" spans="1:58" ht="18.75" customHeight="1" x14ac:dyDescent="0.25">
      <c r="A186" s="46" t="inlineStr">
        <is>
          <t xml:space="preserve">CANON-202606-008661</t>
        </is>
      </c>
      <c r="B186" s="46" t="inlineStr">
        <is>
          <t xml:space="preserve">Ottilie Castellanos</t>
        </is>
      </c>
      <c r="C186" s="47">
        <v>46194</v>
      </c>
      <c r="D186" s="48" t="inlineStr">
        <is>
          <t xml:space="preserve">Bound - within authority</t>
        </is>
      </c>
      <c r="E186" s="48" t="inlineStr">
        <is>
          <t xml:space="preserve">New business</t>
        </is>
      </c>
      <c r="F186" s="46" t="inlineStr">
        <is>
          <t xml:space="preserve">B1234EXOTIC26</t>
        </is>
      </c>
      <c r="G186" s="33">
        <f>IF($A186="","",IF($C186="","",YEAR($C186)))</f>
      </c>
      <c r="H186" s="49">
        <v>1976</v>
      </c>
      <c r="I186" s="46" t="inlineStr">
        <is>
          <t xml:space="preserve">Porsche</t>
        </is>
      </c>
      <c r="J186" s="46" t="inlineStr">
        <is>
          <t xml:space="preserve">911 Turbo S</t>
        </is>
      </c>
      <c r="K186" s="46" t="inlineStr">
        <is>
          <t xml:space="preserve">80GNRUK8HF14Z2K0R</t>
        </is>
      </c>
      <c r="L186" s="48" t="inlineStr">
        <is>
          <t xml:space="preserve">02 - Sports / GT</t>
        </is>
      </c>
      <c r="M186" s="50">
        <v>480000</v>
      </c>
      <c r="N186" s="48" t="inlineStr">
        <is>
          <t xml:space="preserve">Personal</t>
        </is>
      </c>
      <c r="O186" s="46" t="inlineStr">
        <is>
          <t xml:space="preserve">Personal - regular use</t>
        </is>
      </c>
      <c r="P186" s="46" t="inlineStr">
        <is>
          <t xml:space="preserve">1,000 - 2,500</t>
        </is>
      </c>
      <c r="Q186" s="46" t="inlineStr">
        <is>
          <t xml:space="preserve">Ohio</t>
        </is>
      </c>
      <c r="R186" s="46" t="inlineStr">
        <is>
          <t xml:space="preserve">43215</t>
        </is>
      </c>
      <c r="S186" s="48" t="inlineStr">
        <is>
          <t xml:space="preserve">Severe convective - hail / tornado (moderate)</t>
        </is>
      </c>
      <c r="T186" s="36">
        <f>IF($A186="","",IF($S186="","",IFERROR(INDEX('[1]natural catastrophe'!$D$6:$D$17,MATCH($S186,'[1]natural catastrophe'!$B$6:$B$17,0)),"?")))</f>
      </c>
      <c r="U186" s="46" t="inlineStr">
        <is>
          <t xml:space="preserve">$5,000</t>
        </is>
      </c>
      <c r="V186" s="48" t="inlineStr">
        <is>
          <t xml:space="preserve">Agreed Value</t>
        </is>
      </c>
      <c r="W186" s="46" t="inlineStr">
        <is>
          <t xml:space="preserve">$1,000</t>
        </is>
      </c>
      <c r="X186" s="48" t="inlineStr">
        <is>
          <t xml:space="preserve">$1,000,000 CSL</t>
        </is>
      </c>
      <c r="Y186" s="46"/>
      <c r="Z186" s="46"/>
      <c r="AA186" s="48" t="inlineStr">
        <is>
          <t xml:space="preserve">Surplus Lines</t>
        </is>
      </c>
      <c r="AB186" s="50">
        <v>7220.87</v>
      </c>
      <c r="AC186" s="51">
        <v>0</v>
      </c>
      <c r="AD186" s="38">
        <f>IF(ISNUMBER($AB186),$AB186*(1+N($AC186)),"")</f>
      </c>
      <c r="AE186" s="50">
        <v>350</v>
      </c>
      <c r="AF186" s="50">
        <v>0</v>
      </c>
      <c r="AG186" s="51"/>
      <c r="AH186" s="39">
        <f>IF(ISNUMBER($AD186),($AD186+$AE186+$AF186)*$AG186,"")</f>
      </c>
      <c r="AI186" s="50"/>
      <c r="AJ186" s="38">
        <f>IF(ISNUMBER($AD186),SUM($AD186:$AH186),"")</f>
      </c>
      <c r="AK186" s="40">
        <f>IF(AND(ISNUMBER($AB186),ISNUMBER($AD186)),IF($AB186&gt;0,$AD186/$AB186,""),"")</f>
      </c>
      <c r="AL186" s="48" t="inlineStr">
        <is>
          <t xml:space="preserve">At technical</t>
        </is>
      </c>
      <c r="AM186" s="41">
        <f>IF(ISNUMBER($AD186),Header!$I$3,"")</f>
      </c>
      <c r="AN186" s="39">
        <f>IF(ISNUMBER($AD186),$AO186+$AP186,"")</f>
      </c>
      <c r="AO186" s="39">
        <f>IF(ISNUMBER($AD186),ROUND($AD186*Header!$K$3,2),"")</f>
      </c>
      <c r="AP186" s="39">
        <f>IF(ISNUMBER($AD186),ROUND($AD186*Header!$M$3,2),"")</f>
      </c>
      <c r="AQ186" s="38">
        <f>IF(ISNUMBER($AD186),ROUND($AD186,2)-$AO186-$AP186,"")</f>
      </c>
      <c r="AR186" s="39">
        <f>IF(ISNUMBER($AD186),IF(Header!$D$34="","?",$AD186*Header!$D$34),"")</f>
      </c>
      <c r="AS186" s="39">
        <f>IF(ISNUMBER($AB186),IF(Header!$D$34="","?",$AB186*Header!$D$34),"")</f>
      </c>
      <c r="AT186" s="42">
        <f>IF(AND(ISNUMBER($AB186),$M186&gt;0),$AB186/$M186*100,"")</f>
      </c>
      <c r="AU186" s="42">
        <f>IF(AND(ISNUMBER($AD186),$M186&gt;0),$AD186/$M186*100,"")</f>
      </c>
      <c r="AV186" s="40">
        <f>IF(AND(ISNUMBER($AB186),ISNUMBER($AD186),ABS($AB186)&gt;0),$AD186/$AB186,"")</f>
      </c>
      <c r="AW186" s="39">
        <f>IF(ISNUMBER($AD186),MAX(0,(1-0.55-Header!$O$3)*Header!$Q$3*$AQ186),"")</f>
      </c>
      <c r="AX186" s="43">
        <f>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c>
      <c r="AY186" s="44">
        <f>IF($M186="","",IF(ISNUMBER($M186),IF($M186&gt;=Header!$C$18,"YES — refer","No"),""))</f>
      </c>
      <c r="AZ186" s="44">
        <f>IF($AD186="","",IF(ISNUMBER($AD186),IF($AD186&lt;Header!$C$20,"BELOW MIN PREMIUM","OK"),""))</f>
      </c>
      <c r="BA186" s="48" t="inlineStr">
        <is>
          <t xml:space="preserve">Yes</t>
        </is>
      </c>
      <c r="BB186" s="48" t="inlineStr">
        <is>
          <t xml:space="preserve">Yes</t>
        </is>
      </c>
      <c r="BC186" s="46" t="inlineStr">
        <is>
          <t xml:space="preserve">Synthetic demo data</t>
        </is>
      </c>
      <c r="BE186" s="45">
        <f>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c>
      <c r="BF186" s="45">
        <f>IF($AD186="","",IF(ROUND($AO186+$AP186+$AQ186-$AD186,2)=0,"OK","FAIL - out by "&amp;TEXT($AO186+$AP186+$AQ186-$AD186,"$0.00")))</f>
      </c>
    </row>
    <row r="187" spans="1:58" ht="18.75" customHeight="1" x14ac:dyDescent="0.25">
      <c r="A187" s="30" t="inlineStr">
        <is>
          <t xml:space="preserve">CANON-202606-008663</t>
        </is>
      </c>
      <c r="B187" s="30" t="inlineStr">
        <is>
          <t xml:space="preserve">Beatrix Larsson</t>
        </is>
      </c>
      <c r="C187" s="31">
        <v>46186</v>
      </c>
      <c r="D187" s="32" t="inlineStr">
        <is>
          <t xml:space="preserve">Bound - within authority</t>
        </is>
      </c>
      <c r="E187" s="32" t="inlineStr">
        <is>
          <t xml:space="preserve">New business</t>
        </is>
      </c>
      <c r="F187" s="30" t="inlineStr">
        <is>
          <t xml:space="preserve">B1234EXOTIC26</t>
        </is>
      </c>
      <c r="G187" s="33">
        <f>IF($A187="","",IF($C187="","",YEAR($C187)))</f>
      </c>
      <c r="H187" s="34">
        <v>2014</v>
      </c>
      <c r="I187" s="30" t="inlineStr">
        <is>
          <t xml:space="preserve">Porsche</t>
        </is>
      </c>
      <c r="J187" s="30" t="inlineStr">
        <is>
          <t xml:space="preserve">911 Turbo S</t>
        </is>
      </c>
      <c r="K187" s="30" t="inlineStr">
        <is>
          <t xml:space="preserve">TT6CXCCJRTK43CKPA</t>
        </is>
      </c>
      <c r="L187" s="32" t="inlineStr">
        <is>
          <t xml:space="preserve">02 - Sports / GT</t>
        </is>
      </c>
      <c r="M187" s="35">
        <v>585000</v>
      </c>
      <c r="N187" s="32" t="inlineStr">
        <is>
          <t xml:space="preserve">Personal</t>
        </is>
      </c>
      <c r="O187" s="30" t="inlineStr">
        <is>
          <t xml:space="preserve">Personal - regular use</t>
        </is>
      </c>
      <c r="P187" s="30" t="inlineStr">
        <is>
          <t xml:space="preserve">1,000 - 2,500</t>
        </is>
      </c>
      <c r="Q187" s="30" t="inlineStr">
        <is>
          <t xml:space="preserve">New York</t>
        </is>
      </c>
      <c r="R187" s="30" t="inlineStr">
        <is>
          <t xml:space="preserve">10022</t>
        </is>
      </c>
      <c r="S187" s="32" t="inlineStr">
        <is>
          <t xml:space="preserve">Tier 3 - Coastal wind (25-100 miles)</t>
        </is>
      </c>
      <c r="T187" s="36">
        <f>IF($A187="","",IF($S187="","",IFERROR(INDEX('[1]natural catastrophe'!$D$6:$D$17,MATCH($S187,'[1]natural catastrophe'!$B$6:$B$17,0)),"?")))</f>
      </c>
      <c r="U187" s="30" t="inlineStr">
        <is>
          <t xml:space="preserve">2% of agreed value, minimum $10,000</t>
        </is>
      </c>
      <c r="V187" s="32" t="inlineStr">
        <is>
          <t xml:space="preserve">Agreed Value</t>
        </is>
      </c>
      <c r="W187" s="30" t="inlineStr">
        <is>
          <t xml:space="preserve">$1,000</t>
        </is>
      </c>
      <c r="X187" s="32" t="inlineStr">
        <is>
          <t xml:space="preserve">$1,000,000 CSL</t>
        </is>
      </c>
      <c r="Y187" s="30"/>
      <c r="Z187" s="30"/>
      <c r="AA187" s="32" t="inlineStr">
        <is>
          <t xml:space="preserve">Surplus Lines</t>
        </is>
      </c>
      <c r="AB187" s="35">
        <v>7023.46</v>
      </c>
      <c r="AC187" s="37">
        <v>0</v>
      </c>
      <c r="AD187" s="38">
        <f>IF(ISNUMBER($AB187),$AB187*(1+N($AC187)),"")</f>
      </c>
      <c r="AE187" s="35">
        <v>350</v>
      </c>
      <c r="AF187" s="35">
        <v>0</v>
      </c>
      <c r="AG187" s="37"/>
      <c r="AH187" s="39">
        <f>IF(ISNUMBER($AD187),($AD187+$AE187+$AF187)*$AG187,"")</f>
      </c>
      <c r="AI187" s="35"/>
      <c r="AJ187" s="38">
        <f>IF(ISNUMBER($AD187),SUM($AD187:$AH187),"")</f>
      </c>
      <c r="AK187" s="40">
        <f>IF(AND(ISNUMBER($AB187),ISNUMBER($AD187)),IF($AB187&gt;0,$AD187/$AB187,""),"")</f>
      </c>
      <c r="AL187" s="32" t="inlineStr">
        <is>
          <t xml:space="preserve">At technical</t>
        </is>
      </c>
      <c r="AM187" s="41">
        <f>IF(ISNUMBER($AD187),Header!$I$3,"")</f>
      </c>
      <c r="AN187" s="39">
        <f>IF(ISNUMBER($AD187),$AO187+$AP187,"")</f>
      </c>
      <c r="AO187" s="39">
        <f>IF(ISNUMBER($AD187),ROUND($AD187*Header!$K$3,2),"")</f>
      </c>
      <c r="AP187" s="39">
        <f>IF(ISNUMBER($AD187),ROUND($AD187*Header!$M$3,2),"")</f>
      </c>
      <c r="AQ187" s="38">
        <f>IF(ISNUMBER($AD187),ROUND($AD187,2)-$AO187-$AP187,"")</f>
      </c>
      <c r="AR187" s="39">
        <f>IF(ISNUMBER($AD187),IF(Header!$D$34="","?",$AD187*Header!$D$34),"")</f>
      </c>
      <c r="AS187" s="39">
        <f>IF(ISNUMBER($AB187),IF(Header!$D$34="","?",$AB187*Header!$D$34),"")</f>
      </c>
      <c r="AT187" s="42">
        <f>IF(AND(ISNUMBER($AB187),$M187&gt;0),$AB187/$M187*100,"")</f>
      </c>
      <c r="AU187" s="42">
        <f>IF(AND(ISNUMBER($AD187),$M187&gt;0),$AD187/$M187*100,"")</f>
      </c>
      <c r="AV187" s="40">
        <f>IF(AND(ISNUMBER($AB187),ISNUMBER($AD187),ABS($AB187)&gt;0),$AD187/$AB187,"")</f>
      </c>
      <c r="AW187" s="39">
        <f>IF(ISNUMBER($AD187),MAX(0,(1-0.55-Header!$O$3)*Header!$Q$3*$AQ187),"")</f>
      </c>
      <c r="AX187" s="43">
        <f>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c>
      <c r="AY187" s="44">
        <f>IF($M187="","",IF(ISNUMBER($M187),IF($M187&gt;=Header!$C$18,"YES — refer","No"),""))</f>
      </c>
      <c r="AZ187" s="44">
        <f>IF($AD187="","",IF(ISNUMBER($AD187),IF($AD187&lt;Header!$C$20,"BELOW MIN PREMIUM","OK"),""))</f>
      </c>
      <c r="BA187" s="32" t="inlineStr">
        <is>
          <t xml:space="preserve">Yes</t>
        </is>
      </c>
      <c r="BB187" s="32" t="inlineStr">
        <is>
          <t xml:space="preserve">Yes</t>
        </is>
      </c>
      <c r="BC187" s="30" t="inlineStr">
        <is>
          <t xml:space="preserve">Synthetic demo data</t>
        </is>
      </c>
      <c r="BE187" s="45">
        <f>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c>
      <c r="BF187" s="45">
        <f>IF($AD187="","",IF(ROUND($AO187+$AP187+$AQ187-$AD187,2)=0,"OK","FAIL - out by "&amp;TEXT($AO187+$AP187+$AQ187-$AD187,"$0.00")))</f>
      </c>
    </row>
    <row r="188" spans="1:58" ht="18.75" customHeight="1" x14ac:dyDescent="0.25">
      <c r="A188" s="46" t="inlineStr">
        <is>
          <t xml:space="preserve">CANON-202606-008664</t>
        </is>
      </c>
      <c r="B188" s="46" t="inlineStr">
        <is>
          <t xml:space="preserve">Ottilie Vasquez</t>
        </is>
      </c>
      <c r="C188" s="47">
        <v>46200</v>
      </c>
      <c r="D188" s="48" t="inlineStr">
        <is>
          <t xml:space="preserve">Bound - within authority</t>
        </is>
      </c>
      <c r="E188" s="48" t="inlineStr">
        <is>
          <t xml:space="preserve">New business</t>
        </is>
      </c>
      <c r="F188" s="46" t="inlineStr">
        <is>
          <t xml:space="preserve">B1234EXOTIC26</t>
        </is>
      </c>
      <c r="G188" s="33">
        <f>IF($A188="","",IF($C188="","",YEAR($C188)))</f>
      </c>
      <c r="H188" s="49">
        <v>2000</v>
      </c>
      <c r="I188" s="46" t="inlineStr">
        <is>
          <t xml:space="preserve">Aston Martin</t>
        </is>
      </c>
      <c r="J188" s="46" t="inlineStr">
        <is>
          <t xml:space="preserve">DB12</t>
        </is>
      </c>
      <c r="K188" s="46" t="inlineStr">
        <is>
          <t xml:space="preserve">349X9RTB71E9G47EK</t>
        </is>
      </c>
      <c r="L188" s="48" t="inlineStr">
        <is>
          <t xml:space="preserve">02 - Sports / GT</t>
        </is>
      </c>
      <c r="M188" s="50">
        <v>1250000</v>
      </c>
      <c r="N188" s="48" t="inlineStr">
        <is>
          <t xml:space="preserve">Personal</t>
        </is>
      </c>
      <c r="O188" s="46" t="inlineStr">
        <is>
          <t xml:space="preserve">Personal - regular use</t>
        </is>
      </c>
      <c r="P188" s="46" t="inlineStr">
        <is>
          <t xml:space="preserve">Under 1,000</t>
        </is>
      </c>
      <c r="Q188" s="46" t="inlineStr">
        <is>
          <t xml:space="preserve">Florida</t>
        </is>
      </c>
      <c r="R188" s="46" t="inlineStr">
        <is>
          <t xml:space="preserve">33139</t>
        </is>
      </c>
      <c r="S188" s="48" t="inlineStr">
        <is>
          <t xml:space="preserve">Tier 2 - Coastal wind (1-25 miles)</t>
        </is>
      </c>
      <c r="T188" s="36">
        <f>IF($A188="","",IF($S188="","",IFERROR(INDEX('[1]natural catastrophe'!$D$6:$D$17,MATCH($S188,'[1]natural catastrophe'!$B$6:$B$17,0)),"?")))</f>
      </c>
      <c r="U188" s="46" t="inlineStr">
        <is>
          <t xml:space="preserve">2% of agreed value, minimum $10,000</t>
        </is>
      </c>
      <c r="V188" s="48" t="inlineStr">
        <is>
          <t xml:space="preserve">Agreed Value</t>
        </is>
      </c>
      <c r="W188" s="46" t="inlineStr">
        <is>
          <t xml:space="preserve">$1,000</t>
        </is>
      </c>
      <c r="X188" s="48" t="inlineStr">
        <is>
          <t xml:space="preserve">$1,000,000 CSL</t>
        </is>
      </c>
      <c r="Y188" s="46"/>
      <c r="Z188" s="46"/>
      <c r="AA188" s="48" t="inlineStr">
        <is>
          <t xml:space="preserve">Surplus Lines</t>
        </is>
      </c>
      <c r="AB188" s="50">
        <v>14087.47</v>
      </c>
      <c r="AC188" s="51">
        <v>0</v>
      </c>
      <c r="AD188" s="38">
        <f>IF(ISNUMBER($AB188),$AB188*(1+N($AC188)),"")</f>
      </c>
      <c r="AE188" s="50">
        <v>350</v>
      </c>
      <c r="AF188" s="50">
        <v>250</v>
      </c>
      <c r="AG188" s="51"/>
      <c r="AH188" s="39">
        <f>IF(ISNUMBER($AD188),($AD188+$AE188+$AF188)*$AG188,"")</f>
      </c>
      <c r="AI188" s="50"/>
      <c r="AJ188" s="38">
        <f>IF(ISNUMBER($AD188),SUM($AD188:$AH188),"")</f>
      </c>
      <c r="AK188" s="40">
        <f>IF(AND(ISNUMBER($AB188),ISNUMBER($AD188)),IF($AB188&gt;0,$AD188/$AB188,""),"")</f>
      </c>
      <c r="AL188" s="48" t="inlineStr">
        <is>
          <t xml:space="preserve">At technical</t>
        </is>
      </c>
      <c r="AM188" s="41">
        <f>IF(ISNUMBER($AD188),Header!$I$3,"")</f>
      </c>
      <c r="AN188" s="39">
        <f>IF(ISNUMBER($AD188),$AO188+$AP188,"")</f>
      </c>
      <c r="AO188" s="39">
        <f>IF(ISNUMBER($AD188),ROUND($AD188*Header!$K$3,2),"")</f>
      </c>
      <c r="AP188" s="39">
        <f>IF(ISNUMBER($AD188),ROUND($AD188*Header!$M$3,2),"")</f>
      </c>
      <c r="AQ188" s="38">
        <f>IF(ISNUMBER($AD188),ROUND($AD188,2)-$AO188-$AP188,"")</f>
      </c>
      <c r="AR188" s="39">
        <f>IF(ISNUMBER($AD188),IF(Header!$D$34="","?",$AD188*Header!$D$34),"")</f>
      </c>
      <c r="AS188" s="39">
        <f>IF(ISNUMBER($AB188),IF(Header!$D$34="","?",$AB188*Header!$D$34),"")</f>
      </c>
      <c r="AT188" s="42">
        <f>IF(AND(ISNUMBER($AB188),$M188&gt;0),$AB188/$M188*100,"")</f>
      </c>
      <c r="AU188" s="42">
        <f>IF(AND(ISNUMBER($AD188),$M188&gt;0),$AD188/$M188*100,"")</f>
      </c>
      <c r="AV188" s="40">
        <f>IF(AND(ISNUMBER($AB188),ISNUMBER($AD188),ABS($AB188)&gt;0),$AD188/$AB188,"")</f>
      </c>
      <c r="AW188" s="39">
        <f>IF(ISNUMBER($AD188),MAX(0,(1-0.55-Header!$O$3)*Header!$Q$3*$AQ188),"")</f>
      </c>
      <c r="AX188" s="43">
        <f>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c>
      <c r="AY188" s="44">
        <f>IF($M188="","",IF(ISNUMBER($M188),IF($M188&gt;=Header!$C$18,"YES — refer","No"),""))</f>
      </c>
      <c r="AZ188" s="44">
        <f>IF($AD188="","",IF(ISNUMBER($AD188),IF($AD188&lt;Header!$C$20,"BELOW MIN PREMIUM","OK"),""))</f>
      </c>
      <c r="BA188" s="48" t="inlineStr">
        <is>
          <t xml:space="preserve">Yes</t>
        </is>
      </c>
      <c r="BB188" s="48" t="inlineStr">
        <is>
          <t xml:space="preserve">Yes</t>
        </is>
      </c>
      <c r="BC188" s="46" t="inlineStr">
        <is>
          <t xml:space="preserve">Synthetic demo data</t>
        </is>
      </c>
      <c r="BE188" s="45">
        <f>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c>
      <c r="BF188" s="45">
        <f>IF($AD188="","",IF(ROUND($AO188+$AP188+$AQ188-$AD188,2)=0,"OK","FAIL - out by "&amp;TEXT($AO188+$AP188+$AQ188-$AD188,"$0.00")))</f>
      </c>
    </row>
    <row r="189" spans="1:58" ht="18.75" customHeight="1" x14ac:dyDescent="0.25">
      <c r="A189" s="30" t="inlineStr">
        <is>
          <t xml:space="preserve">CANON-202606-008667</t>
        </is>
      </c>
      <c r="B189" s="30" t="inlineStr">
        <is>
          <t xml:space="preserve">Delphine Fairweather</t>
        </is>
      </c>
      <c r="C189" s="31">
        <v>46178</v>
      </c>
      <c r="D189" s="32" t="inlineStr">
        <is>
          <t xml:space="preserve">Bound - within authority</t>
        </is>
      </c>
      <c r="E189" s="32" t="inlineStr">
        <is>
          <t xml:space="preserve">New business</t>
        </is>
      </c>
      <c r="F189" s="30" t="inlineStr">
        <is>
          <t xml:space="preserve">B1234EXOTIC26</t>
        </is>
      </c>
      <c r="G189" s="33">
        <f>IF($A189="","",IF($C189="","",YEAR($C189)))</f>
      </c>
      <c r="H189" s="34">
        <v>2005</v>
      </c>
      <c r="I189" s="30" t="inlineStr">
        <is>
          <t xml:space="preserve">Maserati</t>
        </is>
      </c>
      <c r="J189" s="30" t="inlineStr">
        <is>
          <t xml:space="preserve">GranTurismo</t>
        </is>
      </c>
      <c r="K189" s="30" t="inlineStr">
        <is>
          <t xml:space="preserve">2JL3RYZ29Z333VFEL</t>
        </is>
      </c>
      <c r="L189" s="32" t="inlineStr">
        <is>
          <t xml:space="preserve">02 - Sports / GT</t>
        </is>
      </c>
      <c r="M189" s="35">
        <v>215000</v>
      </c>
      <c r="N189" s="32" t="inlineStr">
        <is>
          <t xml:space="preserve">Personal</t>
        </is>
      </c>
      <c r="O189" s="30" t="inlineStr">
        <is>
          <t xml:space="preserve">Personal - regular use</t>
        </is>
      </c>
      <c r="P189" s="30" t="inlineStr">
        <is>
          <t xml:space="preserve">Under 1,000</t>
        </is>
      </c>
      <c r="Q189" s="30" t="inlineStr">
        <is>
          <t xml:space="preserve">Nebraska</t>
        </is>
      </c>
      <c r="R189" s="30" t="inlineStr">
        <is>
          <t xml:space="preserve">68102</t>
        </is>
      </c>
      <c r="S189" s="32" t="inlineStr">
        <is>
          <t xml:space="preserve">Severe convective - hail alley (high)</t>
        </is>
      </c>
      <c r="T189" s="36">
        <f>IF($A189="","",IF($S189="","",IFERROR(INDEX('[1]natural catastrophe'!$D$6:$D$17,MATCH($S189,'[1]natural catastrophe'!$B$6:$B$17,0)),"?")))</f>
      </c>
      <c r="U189" s="30" t="inlineStr">
        <is>
          <t xml:space="preserve">$5,000</t>
        </is>
      </c>
      <c r="V189" s="32" t="inlineStr">
        <is>
          <t xml:space="preserve">Agreed Value</t>
        </is>
      </c>
      <c r="W189" s="30" t="inlineStr">
        <is>
          <t xml:space="preserve">$1,000</t>
        </is>
      </c>
      <c r="X189" s="32" t="inlineStr">
        <is>
          <t xml:space="preserve">$1,000,000 CSL</t>
        </is>
      </c>
      <c r="Y189" s="30"/>
      <c r="Z189" s="30"/>
      <c r="AA189" s="32" t="inlineStr">
        <is>
          <t xml:space="preserve">Surplus Lines</t>
        </is>
      </c>
      <c r="AB189" s="35">
        <v>3710.58</v>
      </c>
      <c r="AC189" s="37">
        <v>0</v>
      </c>
      <c r="AD189" s="38">
        <f>IF(ISNUMBER($AB189),$AB189*(1+N($AC189)),"")</f>
      </c>
      <c r="AE189" s="35">
        <v>350</v>
      </c>
      <c r="AF189" s="35">
        <v>0</v>
      </c>
      <c r="AG189" s="37"/>
      <c r="AH189" s="39">
        <f>IF(ISNUMBER($AD189),($AD189+$AE189+$AF189)*$AG189,"")</f>
      </c>
      <c r="AI189" s="35"/>
      <c r="AJ189" s="38">
        <f>IF(ISNUMBER($AD189),SUM($AD189:$AH189),"")</f>
      </c>
      <c r="AK189" s="40">
        <f>IF(AND(ISNUMBER($AB189),ISNUMBER($AD189)),IF($AB189&gt;0,$AD189/$AB189,""),"")</f>
      </c>
      <c r="AL189" s="32" t="inlineStr">
        <is>
          <t xml:space="preserve">At technical</t>
        </is>
      </c>
      <c r="AM189" s="41">
        <f>IF(ISNUMBER($AD189),Header!$I$3,"")</f>
      </c>
      <c r="AN189" s="39">
        <f>IF(ISNUMBER($AD189),$AO189+$AP189,"")</f>
      </c>
      <c r="AO189" s="39">
        <f>IF(ISNUMBER($AD189),ROUND($AD189*Header!$K$3,2),"")</f>
      </c>
      <c r="AP189" s="39">
        <f>IF(ISNUMBER($AD189),ROUND($AD189*Header!$M$3,2),"")</f>
      </c>
      <c r="AQ189" s="38">
        <f>IF(ISNUMBER($AD189),ROUND($AD189,2)-$AO189-$AP189,"")</f>
      </c>
      <c r="AR189" s="39">
        <f>IF(ISNUMBER($AD189),IF(Header!$D$34="","?",$AD189*Header!$D$34),"")</f>
      </c>
      <c r="AS189" s="39">
        <f>IF(ISNUMBER($AB189),IF(Header!$D$34="","?",$AB189*Header!$D$34),"")</f>
      </c>
      <c r="AT189" s="42">
        <f>IF(AND(ISNUMBER($AB189),$M189&gt;0),$AB189/$M189*100,"")</f>
      </c>
      <c r="AU189" s="42">
        <f>IF(AND(ISNUMBER($AD189),$M189&gt;0),$AD189/$M189*100,"")</f>
      </c>
      <c r="AV189" s="40">
        <f>IF(AND(ISNUMBER($AB189),ISNUMBER($AD189),ABS($AB189)&gt;0),$AD189/$AB189,"")</f>
      </c>
      <c r="AW189" s="39">
        <f>IF(ISNUMBER($AD189),MAX(0,(1-0.55-Header!$O$3)*Header!$Q$3*$AQ189),"")</f>
      </c>
      <c r="AX189" s="43">
        <f>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c>
      <c r="AY189" s="44">
        <f>IF($M189="","",IF(ISNUMBER($M189),IF($M189&gt;=Header!$C$18,"YES — refer","No"),""))</f>
      </c>
      <c r="AZ189" s="44">
        <f>IF($AD189="","",IF(ISNUMBER($AD189),IF($AD189&lt;Header!$C$20,"BELOW MIN PREMIUM","OK"),""))</f>
      </c>
      <c r="BA189" s="32" t="inlineStr">
        <is>
          <t xml:space="preserve">Yes</t>
        </is>
      </c>
      <c r="BB189" s="32" t="inlineStr">
        <is>
          <t xml:space="preserve">Yes</t>
        </is>
      </c>
      <c r="BC189" s="30" t="inlineStr">
        <is>
          <t xml:space="preserve">Synthetic demo data</t>
        </is>
      </c>
      <c r="BE189" s="45">
        <f>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c>
      <c r="BF189" s="45">
        <f>IF($AD189="","",IF(ROUND($AO189+$AP189+$AQ189-$AD189,2)=0,"OK","FAIL - out by "&amp;TEXT($AO189+$AP189+$AQ189-$AD189,"$0.00")))</f>
      </c>
    </row>
    <row r="190" spans="1:58" ht="18.75" customHeight="1" x14ac:dyDescent="0.25">
      <c r="A190" s="46" t="inlineStr">
        <is>
          <t xml:space="preserve">CANON-202606-008668</t>
        </is>
      </c>
      <c r="B190" s="46" t="inlineStr">
        <is>
          <t xml:space="preserve">Thaddeus Merriweather</t>
        </is>
      </c>
      <c r="C190" s="47">
        <v>46180</v>
      </c>
      <c r="D190" s="48" t="inlineStr">
        <is>
          <t xml:space="preserve">Bound - within authority</t>
        </is>
      </c>
      <c r="E190" s="48" t="inlineStr">
        <is>
          <t xml:space="preserve">New business</t>
        </is>
      </c>
      <c r="F190" s="46" t="inlineStr">
        <is>
          <t xml:space="preserve">B1234EXOTIC26</t>
        </is>
      </c>
      <c r="G190" s="33">
        <f>IF($A190="","",IF($C190="","",YEAR($C190)))</f>
      </c>
      <c r="H190" s="49">
        <v>2021</v>
      </c>
      <c r="I190" s="46" t="inlineStr">
        <is>
          <t xml:space="preserve">Maserati</t>
        </is>
      </c>
      <c r="J190" s="46" t="inlineStr">
        <is>
          <t xml:space="preserve">GranTurismo</t>
        </is>
      </c>
      <c r="K190" s="46" t="inlineStr">
        <is>
          <t xml:space="preserve">WPDUHABJR2RFJZXEM</t>
        </is>
      </c>
      <c r="L190" s="48" t="inlineStr">
        <is>
          <t xml:space="preserve">02 - Sports / GT</t>
        </is>
      </c>
      <c r="M190" s="50">
        <v>250000</v>
      </c>
      <c r="N190" s="48" t="inlineStr">
        <is>
          <t xml:space="preserve">Personal</t>
        </is>
      </c>
      <c r="O190" s="46" t="inlineStr">
        <is>
          <t xml:space="preserve">Personal - regular use</t>
        </is>
      </c>
      <c r="P190" s="46" t="inlineStr">
        <is>
          <t xml:space="preserve">2,500 - 5,000</t>
        </is>
      </c>
      <c r="Q190" s="46" t="inlineStr">
        <is>
          <t xml:space="preserve">Oklahoma</t>
        </is>
      </c>
      <c r="R190" s="46" t="inlineStr">
        <is>
          <t xml:space="preserve">73102</t>
        </is>
      </c>
      <c r="S190" s="48" t="inlineStr">
        <is>
          <t xml:space="preserve">Severe convective - hail alley (high)</t>
        </is>
      </c>
      <c r="T190" s="36">
        <f>IF($A190="","",IF($S190="","",IFERROR(INDEX('[1]natural catastrophe'!$D$6:$D$17,MATCH($S190,'[1]natural catastrophe'!$B$6:$B$17,0)),"?")))</f>
      </c>
      <c r="U190" s="46" t="inlineStr">
        <is>
          <t xml:space="preserve">$5,000</t>
        </is>
      </c>
      <c r="V190" s="48" t="inlineStr">
        <is>
          <t xml:space="preserve">Agreed Value</t>
        </is>
      </c>
      <c r="W190" s="46" t="inlineStr">
        <is>
          <t xml:space="preserve">$1,000</t>
        </is>
      </c>
      <c r="X190" s="48" t="inlineStr">
        <is>
          <t xml:space="preserve">$1,000,000 CSL</t>
        </is>
      </c>
      <c r="Y190" s="46"/>
      <c r="Z190" s="46"/>
      <c r="AA190" s="48" t="inlineStr">
        <is>
          <t xml:space="preserve">Surplus Lines</t>
        </is>
      </c>
      <c r="AB190" s="50">
        <v>3409.13</v>
      </c>
      <c r="AC190" s="51">
        <v>0</v>
      </c>
      <c r="AD190" s="38">
        <f>IF(ISNUMBER($AB190),$AB190*(1+N($AC190)),"")</f>
      </c>
      <c r="AE190" s="50">
        <v>350</v>
      </c>
      <c r="AF190" s="50">
        <v>0</v>
      </c>
      <c r="AG190" s="51"/>
      <c r="AH190" s="39">
        <f>IF(ISNUMBER($AD190),($AD190+$AE190+$AF190)*$AG190,"")</f>
      </c>
      <c r="AI190" s="50"/>
      <c r="AJ190" s="38">
        <f>IF(ISNUMBER($AD190),SUM($AD190:$AH190),"")</f>
      </c>
      <c r="AK190" s="40">
        <f>IF(AND(ISNUMBER($AB190),ISNUMBER($AD190)),IF($AB190&gt;0,$AD190/$AB190,""),"")</f>
      </c>
      <c r="AL190" s="48" t="inlineStr">
        <is>
          <t xml:space="preserve">At technical</t>
        </is>
      </c>
      <c r="AM190" s="41">
        <f>IF(ISNUMBER($AD190),Header!$I$3,"")</f>
      </c>
      <c r="AN190" s="39">
        <f>IF(ISNUMBER($AD190),$AO190+$AP190,"")</f>
      </c>
      <c r="AO190" s="39">
        <f>IF(ISNUMBER($AD190),ROUND($AD190*Header!$K$3,2),"")</f>
      </c>
      <c r="AP190" s="39">
        <f>IF(ISNUMBER($AD190),ROUND($AD190*Header!$M$3,2),"")</f>
      </c>
      <c r="AQ190" s="38">
        <f>IF(ISNUMBER($AD190),ROUND($AD190,2)-$AO190-$AP190,"")</f>
      </c>
      <c r="AR190" s="39">
        <f>IF(ISNUMBER($AD190),IF(Header!$D$34="","?",$AD190*Header!$D$34),"")</f>
      </c>
      <c r="AS190" s="39">
        <f>IF(ISNUMBER($AB190),IF(Header!$D$34="","?",$AB190*Header!$D$34),"")</f>
      </c>
      <c r="AT190" s="42">
        <f>IF(AND(ISNUMBER($AB190),$M190&gt;0),$AB190/$M190*100,"")</f>
      </c>
      <c r="AU190" s="42">
        <f>IF(AND(ISNUMBER($AD190),$M190&gt;0),$AD190/$M190*100,"")</f>
      </c>
      <c r="AV190" s="40">
        <f>IF(AND(ISNUMBER($AB190),ISNUMBER($AD190),ABS($AB190)&gt;0),$AD190/$AB190,"")</f>
      </c>
      <c r="AW190" s="39">
        <f>IF(ISNUMBER($AD190),MAX(0,(1-0.55-Header!$O$3)*Header!$Q$3*$AQ190),"")</f>
      </c>
      <c r="AX190" s="43">
        <f>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c>
      <c r="AY190" s="44">
        <f>IF($M190="","",IF(ISNUMBER($M190),IF($M190&gt;=Header!$C$18,"YES — refer","No"),""))</f>
      </c>
      <c r="AZ190" s="44">
        <f>IF($AD190="","",IF(ISNUMBER($AD190),IF($AD190&lt;Header!$C$20,"BELOW MIN PREMIUM","OK"),""))</f>
      </c>
      <c r="BA190" s="48" t="inlineStr">
        <is>
          <t xml:space="preserve">Yes</t>
        </is>
      </c>
      <c r="BB190" s="48" t="inlineStr">
        <is>
          <t xml:space="preserve">Yes</t>
        </is>
      </c>
      <c r="BC190" s="46" t="inlineStr">
        <is>
          <t xml:space="preserve">Synthetic demo data</t>
        </is>
      </c>
      <c r="BE190" s="45">
        <f>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c>
      <c r="BF190" s="45">
        <f>IF($AD190="","",IF(ROUND($AO190+$AP190+$AQ190-$AD190,2)=0,"OK","FAIL - out by "&amp;TEXT($AO190+$AP190+$AQ190-$AD190,"$0.00")))</f>
      </c>
    </row>
    <row r="191" spans="1:58" ht="18.75" customHeight="1" x14ac:dyDescent="0.25">
      <c r="A191" s="30" t="inlineStr">
        <is>
          <t xml:space="preserve">CANON-202606-008670</t>
        </is>
      </c>
      <c r="B191" s="30" t="inlineStr">
        <is>
          <t xml:space="preserve">Delphine Thistlewood</t>
        </is>
      </c>
      <c r="C191" s="31">
        <v>46180</v>
      </c>
      <c r="D191" s="32" t="inlineStr">
        <is>
          <t xml:space="preserve">Bound - within authority</t>
        </is>
      </c>
      <c r="E191" s="32" t="inlineStr">
        <is>
          <t xml:space="preserve">New business</t>
        </is>
      </c>
      <c r="F191" s="30" t="inlineStr">
        <is>
          <t xml:space="preserve">B1234EXOTIC26</t>
        </is>
      </c>
      <c r="G191" s="33">
        <f>IF($A191="","",IF($C191="","",YEAR($C191)))</f>
      </c>
      <c r="H191" s="34">
        <v>2018</v>
      </c>
      <c r="I191" s="30" t="inlineStr">
        <is>
          <t xml:space="preserve">McLaren</t>
        </is>
      </c>
      <c r="J191" s="30" t="inlineStr">
        <is>
          <t xml:space="preserve">750S</t>
        </is>
      </c>
      <c r="K191" s="30" t="inlineStr">
        <is>
          <t xml:space="preserve">PM2XBG7SVYT4YTG04</t>
        </is>
      </c>
      <c r="L191" s="32" t="inlineStr">
        <is>
          <t xml:space="preserve">03 - Supercar</t>
        </is>
      </c>
      <c r="M191" s="35">
        <v>1265000</v>
      </c>
      <c r="N191" s="32" t="inlineStr">
        <is>
          <t xml:space="preserve">Personal</t>
        </is>
      </c>
      <c r="O191" s="30" t="inlineStr">
        <is>
          <t xml:space="preserve">Personal - regular use</t>
        </is>
      </c>
      <c r="P191" s="30" t="inlineStr">
        <is>
          <t xml:space="preserve">Under 1,000</t>
        </is>
      </c>
      <c r="Q191" s="30" t="inlineStr">
        <is>
          <t xml:space="preserve">Virginia</t>
        </is>
      </c>
      <c r="R191" s="30" t="inlineStr">
        <is>
          <t xml:space="preserve">23219</t>
        </is>
      </c>
      <c r="S191" s="32" t="inlineStr">
        <is>
          <t xml:space="preserve">Tier 3 - Coastal wind (25-100 miles)</t>
        </is>
      </c>
      <c r="T191" s="36">
        <f>IF($A191="","",IF($S191="","",IFERROR(INDEX('[1]natural catastrophe'!$D$6:$D$17,MATCH($S191,'[1]natural catastrophe'!$B$6:$B$17,0)),"?")))</f>
      </c>
      <c r="U191" s="30" t="inlineStr">
        <is>
          <t xml:space="preserve">2% of agreed value, minimum $10,000</t>
        </is>
      </c>
      <c r="V191" s="32" t="inlineStr">
        <is>
          <t xml:space="preserve">Agreed Value</t>
        </is>
      </c>
      <c r="W191" s="30" t="inlineStr">
        <is>
          <t xml:space="preserve">$1,000</t>
        </is>
      </c>
      <c r="X191" s="32" t="inlineStr">
        <is>
          <t xml:space="preserve">$1,000,000 CSL</t>
        </is>
      </c>
      <c r="Y191" s="30"/>
      <c r="Z191" s="30"/>
      <c r="AA191" s="32" t="inlineStr">
        <is>
          <t xml:space="preserve">Surplus Lines</t>
        </is>
      </c>
      <c r="AB191" s="35">
        <v>15917.65</v>
      </c>
      <c r="AC191" s="37">
        <v>0</v>
      </c>
      <c r="AD191" s="38">
        <f>IF(ISNUMBER($AB191),$AB191*(1+N($AC191)),"")</f>
      </c>
      <c r="AE191" s="35">
        <v>350</v>
      </c>
      <c r="AF191" s="35">
        <v>250</v>
      </c>
      <c r="AG191" s="37"/>
      <c r="AH191" s="39">
        <f>IF(ISNUMBER($AD191),($AD191+$AE191+$AF191)*$AG191,"")</f>
      </c>
      <c r="AI191" s="35"/>
      <c r="AJ191" s="38">
        <f>IF(ISNUMBER($AD191),SUM($AD191:$AH191),"")</f>
      </c>
      <c r="AK191" s="40">
        <f>IF(AND(ISNUMBER($AB191),ISNUMBER($AD191)),IF($AB191&gt;0,$AD191/$AB191,""),"")</f>
      </c>
      <c r="AL191" s="32" t="inlineStr">
        <is>
          <t xml:space="preserve">At technical</t>
        </is>
      </c>
      <c r="AM191" s="41">
        <f>IF(ISNUMBER($AD191),Header!$I$3,"")</f>
      </c>
      <c r="AN191" s="39">
        <f>IF(ISNUMBER($AD191),$AO191+$AP191,"")</f>
      </c>
      <c r="AO191" s="39">
        <f>IF(ISNUMBER($AD191),ROUND($AD191*Header!$K$3,2),"")</f>
      </c>
      <c r="AP191" s="39">
        <f>IF(ISNUMBER($AD191),ROUND($AD191*Header!$M$3,2),"")</f>
      </c>
      <c r="AQ191" s="38">
        <f>IF(ISNUMBER($AD191),ROUND($AD191,2)-$AO191-$AP191,"")</f>
      </c>
      <c r="AR191" s="39">
        <f>IF(ISNUMBER($AD191),IF(Header!$D$34="","?",$AD191*Header!$D$34),"")</f>
      </c>
      <c r="AS191" s="39">
        <f>IF(ISNUMBER($AB191),IF(Header!$D$34="","?",$AB191*Header!$D$34),"")</f>
      </c>
      <c r="AT191" s="42">
        <f>IF(AND(ISNUMBER($AB191),$M191&gt;0),$AB191/$M191*100,"")</f>
      </c>
      <c r="AU191" s="42">
        <f>IF(AND(ISNUMBER($AD191),$M191&gt;0),$AD191/$M191*100,"")</f>
      </c>
      <c r="AV191" s="40">
        <f>IF(AND(ISNUMBER($AB191),ISNUMBER($AD191),ABS($AB191)&gt;0),$AD191/$AB191,"")</f>
      </c>
      <c r="AW191" s="39">
        <f>IF(ISNUMBER($AD191),MAX(0,(1-0.55-Header!$O$3)*Header!$Q$3*$AQ191),"")</f>
      </c>
      <c r="AX191" s="43">
        <f>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c>
      <c r="AY191" s="44">
        <f>IF($M191="","",IF(ISNUMBER($M191),IF($M191&gt;=Header!$C$18,"YES — refer","No"),""))</f>
      </c>
      <c r="AZ191" s="44">
        <f>IF($AD191="","",IF(ISNUMBER($AD191),IF($AD191&lt;Header!$C$20,"BELOW MIN PREMIUM","OK"),""))</f>
      </c>
      <c r="BA191" s="32" t="inlineStr">
        <is>
          <t xml:space="preserve">Yes</t>
        </is>
      </c>
      <c r="BB191" s="32" t="inlineStr">
        <is>
          <t xml:space="preserve">Yes</t>
        </is>
      </c>
      <c r="BC191" s="30" t="inlineStr">
        <is>
          <t xml:space="preserve">Synthetic demo data</t>
        </is>
      </c>
      <c r="BE191" s="45">
        <f>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c>
      <c r="BF191" s="45">
        <f>IF($AD191="","",IF(ROUND($AO191+$AP191+$AQ191-$AD191,2)=0,"OK","FAIL - out by "&amp;TEXT($AO191+$AP191+$AQ191-$AD191,"$0.00")))</f>
      </c>
    </row>
    <row r="192" spans="1:58" ht="18.75" customHeight="1" x14ac:dyDescent="0.25">
      <c r="A192" s="46" t="inlineStr">
        <is>
          <t xml:space="preserve">CANON-202606-008672</t>
        </is>
      </c>
      <c r="B192" s="46" t="inlineStr">
        <is>
          <t xml:space="preserve">Callum Bellandi</t>
        </is>
      </c>
      <c r="C192" s="47">
        <v>46192</v>
      </c>
      <c r="D192" s="48" t="inlineStr">
        <is>
          <t xml:space="preserve">Bound - within authority</t>
        </is>
      </c>
      <c r="E192" s="48" t="inlineStr">
        <is>
          <t xml:space="preserve">New business</t>
        </is>
      </c>
      <c r="F192" s="46" t="inlineStr">
        <is>
          <t xml:space="preserve">B1234EXOTIC26</t>
        </is>
      </c>
      <c r="G192" s="33">
        <f>IF($A192="","",IF($C192="","",YEAR($C192)))</f>
      </c>
      <c r="H192" s="49">
        <v>1956</v>
      </c>
      <c r="I192" s="46" t="inlineStr">
        <is>
          <t xml:space="preserve">Porsche</t>
        </is>
      </c>
      <c r="J192" s="46" t="inlineStr">
        <is>
          <t xml:space="preserve">911 Turbo S</t>
        </is>
      </c>
      <c r="K192" s="46" t="inlineStr">
        <is>
          <t xml:space="preserve">ND5VSA32PFF6SN3H2</t>
        </is>
      </c>
      <c r="L192" s="48" t="inlineStr">
        <is>
          <t xml:space="preserve">02 - Sports / GT</t>
        </is>
      </c>
      <c r="M192" s="50">
        <v>1135000</v>
      </c>
      <c r="N192" s="48" t="inlineStr">
        <is>
          <t xml:space="preserve">Personal</t>
        </is>
      </c>
      <c r="O192" s="46" t="inlineStr">
        <is>
          <t xml:space="preserve">Personal - regular use</t>
        </is>
      </c>
      <c r="P192" s="46" t="inlineStr">
        <is>
          <t xml:space="preserve">1,000 - 2,500</t>
        </is>
      </c>
      <c r="Q192" s="46" t="inlineStr">
        <is>
          <t xml:space="preserve">Oklahoma</t>
        </is>
      </c>
      <c r="R192" s="46" t="inlineStr">
        <is>
          <t xml:space="preserve">73102</t>
        </is>
      </c>
      <c r="S192" s="48" t="inlineStr">
        <is>
          <t xml:space="preserve">Severe convective - hail alley (high)</t>
        </is>
      </c>
      <c r="T192" s="36">
        <f>IF($A192="","",IF($S192="","",IFERROR(INDEX('[1]natural catastrophe'!$D$6:$D$17,MATCH($S192,'[1]natural catastrophe'!$B$6:$B$17,0)),"?")))</f>
      </c>
      <c r="U192" s="46" t="inlineStr">
        <is>
          <t xml:space="preserve">$5,000</t>
        </is>
      </c>
      <c r="V192" s="48" t="inlineStr">
        <is>
          <t xml:space="preserve">Agreed Value</t>
        </is>
      </c>
      <c r="W192" s="46" t="inlineStr">
        <is>
          <t xml:space="preserve">$1,000</t>
        </is>
      </c>
      <c r="X192" s="48" t="inlineStr">
        <is>
          <t xml:space="preserve">$1,000,000 CSL</t>
        </is>
      </c>
      <c r="Y192" s="46"/>
      <c r="Z192" s="46"/>
      <c r="AA192" s="48" t="inlineStr">
        <is>
          <t xml:space="preserve">Surplus Lines</t>
        </is>
      </c>
      <c r="AB192" s="50">
        <v>11350.14</v>
      </c>
      <c r="AC192" s="51">
        <v>0</v>
      </c>
      <c r="AD192" s="38">
        <f>IF(ISNUMBER($AB192),$AB192*(1+N($AC192)),"")</f>
      </c>
      <c r="AE192" s="50">
        <v>350</v>
      </c>
      <c r="AF192" s="50">
        <v>250</v>
      </c>
      <c r="AG192" s="51"/>
      <c r="AH192" s="39">
        <f>IF(ISNUMBER($AD192),($AD192+$AE192+$AF192)*$AG192,"")</f>
      </c>
      <c r="AI192" s="50"/>
      <c r="AJ192" s="38">
        <f>IF(ISNUMBER($AD192),SUM($AD192:$AH192),"")</f>
      </c>
      <c r="AK192" s="40">
        <f>IF(AND(ISNUMBER($AB192),ISNUMBER($AD192)),IF($AB192&gt;0,$AD192/$AB192,""),"")</f>
      </c>
      <c r="AL192" s="48" t="inlineStr">
        <is>
          <t xml:space="preserve">At technical</t>
        </is>
      </c>
      <c r="AM192" s="41">
        <f>IF(ISNUMBER($AD192),Header!$I$3,"")</f>
      </c>
      <c r="AN192" s="39">
        <f>IF(ISNUMBER($AD192),$AO192+$AP192,"")</f>
      </c>
      <c r="AO192" s="39">
        <f>IF(ISNUMBER($AD192),ROUND($AD192*Header!$K$3,2),"")</f>
      </c>
      <c r="AP192" s="39">
        <f>IF(ISNUMBER($AD192),ROUND($AD192*Header!$M$3,2),"")</f>
      </c>
      <c r="AQ192" s="38">
        <f>IF(ISNUMBER($AD192),ROUND($AD192,2)-$AO192-$AP192,"")</f>
      </c>
      <c r="AR192" s="39">
        <f>IF(ISNUMBER($AD192),IF(Header!$D$34="","?",$AD192*Header!$D$34),"")</f>
      </c>
      <c r="AS192" s="39">
        <f>IF(ISNUMBER($AB192),IF(Header!$D$34="","?",$AB192*Header!$D$34),"")</f>
      </c>
      <c r="AT192" s="42">
        <f>IF(AND(ISNUMBER($AB192),$M192&gt;0),$AB192/$M192*100,"")</f>
      </c>
      <c r="AU192" s="42">
        <f>IF(AND(ISNUMBER($AD192),$M192&gt;0),$AD192/$M192*100,"")</f>
      </c>
      <c r="AV192" s="40">
        <f>IF(AND(ISNUMBER($AB192),ISNUMBER($AD192),ABS($AB192)&gt;0),$AD192/$AB192,"")</f>
      </c>
      <c r="AW192" s="39">
        <f>IF(ISNUMBER($AD192),MAX(0,(1-0.55-Header!$O$3)*Header!$Q$3*$AQ192),"")</f>
      </c>
      <c r="AX192" s="43">
        <f>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c>
      <c r="AY192" s="44">
        <f>IF($M192="","",IF(ISNUMBER($M192),IF($M192&gt;=Header!$C$18,"YES — refer","No"),""))</f>
      </c>
      <c r="AZ192" s="44">
        <f>IF($AD192="","",IF(ISNUMBER($AD192),IF($AD192&lt;Header!$C$20,"BELOW MIN PREMIUM","OK"),""))</f>
      </c>
      <c r="BA192" s="48" t="inlineStr">
        <is>
          <t xml:space="preserve">Yes</t>
        </is>
      </c>
      <c r="BB192" s="48" t="inlineStr">
        <is>
          <t xml:space="preserve">Yes</t>
        </is>
      </c>
      <c r="BC192" s="46" t="inlineStr">
        <is>
          <t xml:space="preserve">Synthetic demo data</t>
        </is>
      </c>
      <c r="BE192" s="45">
        <f>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c>
      <c r="BF192" s="45">
        <f>IF($AD192="","",IF(ROUND($AO192+$AP192+$AQ192-$AD192,2)=0,"OK","FAIL - out by "&amp;TEXT($AO192+$AP192+$AQ192-$AD192,"$0.00")))</f>
      </c>
    </row>
    <row r="193" spans="1:58" ht="18.75" customHeight="1" x14ac:dyDescent="0.25">
      <c r="A193" s="30" t="inlineStr">
        <is>
          <t xml:space="preserve">CANON-202606-008674</t>
        </is>
      </c>
      <c r="B193" s="30" t="inlineStr">
        <is>
          <t xml:space="preserve">Thaddeus Castellanos</t>
        </is>
      </c>
      <c r="C193" s="31">
        <v>46174</v>
      </c>
      <c r="D193" s="32" t="inlineStr">
        <is>
          <t xml:space="preserve">Bound - within authority</t>
        </is>
      </c>
      <c r="E193" s="32" t="inlineStr">
        <is>
          <t xml:space="preserve">New business</t>
        </is>
      </c>
      <c r="F193" s="30" t="inlineStr">
        <is>
          <t xml:space="preserve">B1234EXOTIC26</t>
        </is>
      </c>
      <c r="G193" s="33">
        <f>IF($A193="","",IF($C193="","",YEAR($C193)))</f>
      </c>
      <c r="H193" s="34">
        <v>1964</v>
      </c>
      <c r="I193" s="30" t="inlineStr">
        <is>
          <t xml:space="preserve">Bugatti</t>
        </is>
      </c>
      <c r="J193" s="30" t="inlineStr">
        <is>
          <t xml:space="preserve">Type 57</t>
        </is>
      </c>
      <c r="K193" s="30" t="inlineStr">
        <is>
          <t xml:space="preserve">2ULDH36BFEFCTRXGY</t>
        </is>
      </c>
      <c r="L193" s="32" t="inlineStr">
        <is>
          <t xml:space="preserve">07 - Post-War Classic (1946-1972)</t>
        </is>
      </c>
      <c r="M193" s="35">
        <v>1035000</v>
      </c>
      <c r="N193" s="32" t="inlineStr">
        <is>
          <t xml:space="preserve">Personal</t>
        </is>
      </c>
      <c r="O193" s="30" t="inlineStr">
        <is>
          <t xml:space="preserve">Personal - regular use</t>
        </is>
      </c>
      <c r="P193" s="30" t="inlineStr">
        <is>
          <t xml:space="preserve">1,000 - 2,500</t>
        </is>
      </c>
      <c r="Q193" s="30" t="inlineStr">
        <is>
          <t xml:space="preserve">Virginia</t>
        </is>
      </c>
      <c r="R193" s="30" t="inlineStr">
        <is>
          <t xml:space="preserve">23219</t>
        </is>
      </c>
      <c r="S193" s="32" t="inlineStr">
        <is>
          <t xml:space="preserve">Tier 3 - Coastal wind (25-100 miles)</t>
        </is>
      </c>
      <c r="T193" s="36">
        <f>IF($A193="","",IF($S193="","",IFERROR(INDEX('[1]natural catastrophe'!$D$6:$D$17,MATCH($S193,'[1]natural catastrophe'!$B$6:$B$17,0)),"?")))</f>
      </c>
      <c r="U193" s="30" t="inlineStr">
        <is>
          <t xml:space="preserve">2% of agreed value, minimum $10,000</t>
        </is>
      </c>
      <c r="V193" s="32" t="inlineStr">
        <is>
          <t xml:space="preserve">Agreed Value</t>
        </is>
      </c>
      <c r="W193" s="30" t="inlineStr">
        <is>
          <t xml:space="preserve">$1,000</t>
        </is>
      </c>
      <c r="X193" s="32" t="inlineStr">
        <is>
          <t xml:space="preserve">$1,000,000 CSL</t>
        </is>
      </c>
      <c r="Y193" s="30"/>
      <c r="Z193" s="30"/>
      <c r="AA193" s="32" t="inlineStr">
        <is>
          <t xml:space="preserve">Surplus Lines</t>
        </is>
      </c>
      <c r="AB193" s="35">
        <v>5535</v>
      </c>
      <c r="AC193" s="37">
        <v>0</v>
      </c>
      <c r="AD193" s="38">
        <f>IF(ISNUMBER($AB193),$AB193*(1+N($AC193)),"")</f>
      </c>
      <c r="AE193" s="35">
        <v>350</v>
      </c>
      <c r="AF193" s="35">
        <v>250</v>
      </c>
      <c r="AG193" s="37"/>
      <c r="AH193" s="39">
        <f>IF(ISNUMBER($AD193),($AD193+$AE193+$AF193)*$AG193,"")</f>
      </c>
      <c r="AI193" s="35"/>
      <c r="AJ193" s="38">
        <f>IF(ISNUMBER($AD193),SUM($AD193:$AH193),"")</f>
      </c>
      <c r="AK193" s="40">
        <f>IF(AND(ISNUMBER($AB193),ISNUMBER($AD193)),IF($AB193&gt;0,$AD193/$AB193,""),"")</f>
      </c>
      <c r="AL193" s="32" t="inlineStr">
        <is>
          <t xml:space="preserve">At technical</t>
        </is>
      </c>
      <c r="AM193" s="41">
        <f>IF(ISNUMBER($AD193),Header!$I$3,"")</f>
      </c>
      <c r="AN193" s="39">
        <f>IF(ISNUMBER($AD193),$AO193+$AP193,"")</f>
      </c>
      <c r="AO193" s="39">
        <f>IF(ISNUMBER($AD193),ROUND($AD193*Header!$K$3,2),"")</f>
      </c>
      <c r="AP193" s="39">
        <f>IF(ISNUMBER($AD193),ROUND($AD193*Header!$M$3,2),"")</f>
      </c>
      <c r="AQ193" s="38">
        <f>IF(ISNUMBER($AD193),ROUND($AD193,2)-$AO193-$AP193,"")</f>
      </c>
      <c r="AR193" s="39">
        <f>IF(ISNUMBER($AD193),IF(Header!$D$34="","?",$AD193*Header!$D$34),"")</f>
      </c>
      <c r="AS193" s="39">
        <f>IF(ISNUMBER($AB193),IF(Header!$D$34="","?",$AB193*Header!$D$34),"")</f>
      </c>
      <c r="AT193" s="42">
        <f>IF(AND(ISNUMBER($AB193),$M193&gt;0),$AB193/$M193*100,"")</f>
      </c>
      <c r="AU193" s="42">
        <f>IF(AND(ISNUMBER($AD193),$M193&gt;0),$AD193/$M193*100,"")</f>
      </c>
      <c r="AV193" s="40">
        <f>IF(AND(ISNUMBER($AB193),ISNUMBER($AD193),ABS($AB193)&gt;0),$AD193/$AB193,"")</f>
      </c>
      <c r="AW193" s="39">
        <f>IF(ISNUMBER($AD193),MAX(0,(1-0.55-Header!$O$3)*Header!$Q$3*$AQ193),"")</f>
      </c>
      <c r="AX193" s="43">
        <f>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c>
      <c r="AY193" s="44">
        <f>IF($M193="","",IF(ISNUMBER($M193),IF($M193&gt;=Header!$C$18,"YES — refer","No"),""))</f>
      </c>
      <c r="AZ193" s="44">
        <f>IF($AD193="","",IF(ISNUMBER($AD193),IF($AD193&lt;Header!$C$20,"BELOW MIN PREMIUM","OK"),""))</f>
      </c>
      <c r="BA193" s="32" t="inlineStr">
        <is>
          <t xml:space="preserve">Yes</t>
        </is>
      </c>
      <c r="BB193" s="32" t="inlineStr">
        <is>
          <t xml:space="preserve">Yes</t>
        </is>
      </c>
      <c r="BC193" s="30" t="inlineStr">
        <is>
          <t xml:space="preserve">Synthetic demo data</t>
        </is>
      </c>
      <c r="BE193" s="45">
        <f>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c>
      <c r="BF193" s="45">
        <f>IF($AD193="","",IF(ROUND($AO193+$AP193+$AQ193-$AD193,2)=0,"OK","FAIL - out by "&amp;TEXT($AO193+$AP193+$AQ193-$AD193,"$0.00")))</f>
      </c>
    </row>
    <row r="194" spans="1:58" ht="18.75" customHeight="1" x14ac:dyDescent="0.25">
      <c r="A194" s="46" t="inlineStr">
        <is>
          <t xml:space="preserve">CANON-202606-008675</t>
        </is>
      </c>
      <c r="B194" s="46" t="inlineStr">
        <is>
          <t xml:space="preserve">Thaddeus Larsson</t>
        </is>
      </c>
      <c r="C194" s="47">
        <v>46191</v>
      </c>
      <c r="D194" s="48" t="inlineStr">
        <is>
          <t xml:space="preserve">Bound - within authority</t>
        </is>
      </c>
      <c r="E194" s="48" t="inlineStr">
        <is>
          <t xml:space="preserve">New business</t>
        </is>
      </c>
      <c r="F194" s="46" t="inlineStr">
        <is>
          <t xml:space="preserve">B1234EXOTIC26</t>
        </is>
      </c>
      <c r="G194" s="33">
        <f>IF($A194="","",IF($C194="","",YEAR($C194)))</f>
      </c>
      <c r="H194" s="49">
        <v>2013</v>
      </c>
      <c r="I194" s="46" t="inlineStr">
        <is>
          <t xml:space="preserve">Porsche</t>
        </is>
      </c>
      <c r="J194" s="46" t="inlineStr">
        <is>
          <t xml:space="preserve">911 Turbo S</t>
        </is>
      </c>
      <c r="K194" s="46" t="inlineStr">
        <is>
          <t xml:space="preserve">331JWZJMJ560USGTZ</t>
        </is>
      </c>
      <c r="L194" s="48" t="inlineStr">
        <is>
          <t xml:space="preserve">02 - Sports / GT</t>
        </is>
      </c>
      <c r="M194" s="50">
        <v>295000</v>
      </c>
      <c r="N194" s="48" t="inlineStr">
        <is>
          <t xml:space="preserve">Personal</t>
        </is>
      </c>
      <c r="O194" s="46" t="inlineStr">
        <is>
          <t xml:space="preserve">Personal - regular use</t>
        </is>
      </c>
      <c r="P194" s="46" t="inlineStr">
        <is>
          <t xml:space="preserve">Under 1,000</t>
        </is>
      </c>
      <c r="Q194" s="46" t="inlineStr">
        <is>
          <t xml:space="preserve">Texas</t>
        </is>
      </c>
      <c r="R194" s="46" t="inlineStr">
        <is>
          <t xml:space="preserve">75201</t>
        </is>
      </c>
      <c r="S194" s="48" t="inlineStr">
        <is>
          <t xml:space="preserve">Tier 2 - Coastal wind (1-25 miles)</t>
        </is>
      </c>
      <c r="T194" s="36">
        <f>IF($A194="","",IF($S194="","",IFERROR(INDEX('[1]natural catastrophe'!$D$6:$D$17,MATCH($S194,'[1]natural catastrophe'!$B$6:$B$17,0)),"?")))</f>
      </c>
      <c r="U194" s="46" t="inlineStr">
        <is>
          <t xml:space="preserve">2% of agreed value, minimum $10,000</t>
        </is>
      </c>
      <c r="V194" s="48" t="inlineStr">
        <is>
          <t xml:space="preserve">Agreed Value</t>
        </is>
      </c>
      <c r="W194" s="46" t="inlineStr">
        <is>
          <t xml:space="preserve">$1,000</t>
        </is>
      </c>
      <c r="X194" s="48" t="inlineStr">
        <is>
          <t xml:space="preserve">$1,000,000 CSL</t>
        </is>
      </c>
      <c r="Y194" s="46"/>
      <c r="Z194" s="46"/>
      <c r="AA194" s="48" t="inlineStr">
        <is>
          <t xml:space="preserve">Surplus Lines</t>
        </is>
      </c>
      <c r="AB194" s="50">
        <v>3671.58</v>
      </c>
      <c r="AC194" s="51">
        <v>0</v>
      </c>
      <c r="AD194" s="38">
        <f>IF(ISNUMBER($AB194),$AB194*(1+N($AC194)),"")</f>
      </c>
      <c r="AE194" s="50">
        <v>350</v>
      </c>
      <c r="AF194" s="50">
        <v>0</v>
      </c>
      <c r="AG194" s="51"/>
      <c r="AH194" s="39">
        <f>IF(ISNUMBER($AD194),($AD194+$AE194+$AF194)*$AG194,"")</f>
      </c>
      <c r="AI194" s="50"/>
      <c r="AJ194" s="38">
        <f>IF(ISNUMBER($AD194),SUM($AD194:$AH194),"")</f>
      </c>
      <c r="AK194" s="40">
        <f>IF(AND(ISNUMBER($AB194),ISNUMBER($AD194)),IF($AB194&gt;0,$AD194/$AB194,""),"")</f>
      </c>
      <c r="AL194" s="48" t="inlineStr">
        <is>
          <t xml:space="preserve">At technical</t>
        </is>
      </c>
      <c r="AM194" s="41">
        <f>IF(ISNUMBER($AD194),Header!$I$3,"")</f>
      </c>
      <c r="AN194" s="39">
        <f>IF(ISNUMBER($AD194),$AO194+$AP194,"")</f>
      </c>
      <c r="AO194" s="39">
        <f>IF(ISNUMBER($AD194),ROUND($AD194*Header!$K$3,2),"")</f>
      </c>
      <c r="AP194" s="39">
        <f>IF(ISNUMBER($AD194),ROUND($AD194*Header!$M$3,2),"")</f>
      </c>
      <c r="AQ194" s="38">
        <f>IF(ISNUMBER($AD194),ROUND($AD194,2)-$AO194-$AP194,"")</f>
      </c>
      <c r="AR194" s="39">
        <f>IF(ISNUMBER($AD194),IF(Header!$D$34="","?",$AD194*Header!$D$34),"")</f>
      </c>
      <c r="AS194" s="39">
        <f>IF(ISNUMBER($AB194),IF(Header!$D$34="","?",$AB194*Header!$D$34),"")</f>
      </c>
      <c r="AT194" s="42">
        <f>IF(AND(ISNUMBER($AB194),$M194&gt;0),$AB194/$M194*100,"")</f>
      </c>
      <c r="AU194" s="42">
        <f>IF(AND(ISNUMBER($AD194),$M194&gt;0),$AD194/$M194*100,"")</f>
      </c>
      <c r="AV194" s="40">
        <f>IF(AND(ISNUMBER($AB194),ISNUMBER($AD194),ABS($AB194)&gt;0),$AD194/$AB194,"")</f>
      </c>
      <c r="AW194" s="39">
        <f>IF(ISNUMBER($AD194),MAX(0,(1-0.55-Header!$O$3)*Header!$Q$3*$AQ194),"")</f>
      </c>
      <c r="AX194" s="43">
        <f>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c>
      <c r="AY194" s="44">
        <f>IF($M194="","",IF(ISNUMBER($M194),IF($M194&gt;=Header!$C$18,"YES — refer","No"),""))</f>
      </c>
      <c r="AZ194" s="44">
        <f>IF($AD194="","",IF(ISNUMBER($AD194),IF($AD194&lt;Header!$C$20,"BELOW MIN PREMIUM","OK"),""))</f>
      </c>
      <c r="BA194" s="48" t="inlineStr">
        <is>
          <t xml:space="preserve">Yes</t>
        </is>
      </c>
      <c r="BB194" s="48" t="inlineStr">
        <is>
          <t xml:space="preserve">Yes</t>
        </is>
      </c>
      <c r="BC194" s="46" t="inlineStr">
        <is>
          <t xml:space="preserve">Synthetic demo data</t>
        </is>
      </c>
      <c r="BE194" s="45">
        <f>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c>
      <c r="BF194" s="45">
        <f>IF($AD194="","",IF(ROUND($AO194+$AP194+$AQ194-$AD194,2)=0,"OK","FAIL - out by "&amp;TEXT($AO194+$AP194+$AQ194-$AD194,"$0.00")))</f>
      </c>
    </row>
    <row r="195" spans="1:58" ht="18.75" customHeight="1" x14ac:dyDescent="0.25">
      <c r="A195" s="30" t="inlineStr">
        <is>
          <t xml:space="preserve">CANON-202606-008676</t>
        </is>
      </c>
      <c r="B195" s="30" t="inlineStr">
        <is>
          <t xml:space="preserve">Fenwick Larsson</t>
        </is>
      </c>
      <c r="C195" s="31">
        <v>46202</v>
      </c>
      <c r="D195" s="32" t="inlineStr">
        <is>
          <t xml:space="preserve">Bound - within authority</t>
        </is>
      </c>
      <c r="E195" s="32" t="inlineStr">
        <is>
          <t xml:space="preserve">New business</t>
        </is>
      </c>
      <c r="F195" s="30" t="inlineStr">
        <is>
          <t xml:space="preserve">B1234EXOTIC26</t>
        </is>
      </c>
      <c r="G195" s="33">
        <f>IF($A195="","",IF($C195="","",YEAR($C195)))</f>
      </c>
      <c r="H195" s="34">
        <v>2021</v>
      </c>
      <c r="I195" s="30" t="inlineStr">
        <is>
          <t xml:space="preserve">BMW</t>
        </is>
      </c>
      <c r="J195" s="30" t="inlineStr">
        <is>
          <t xml:space="preserve">M8 Competition</t>
        </is>
      </c>
      <c r="K195" s="30" t="inlineStr">
        <is>
          <t xml:space="preserve">PVEW8TV2J3RP85Y1V</t>
        </is>
      </c>
      <c r="L195" s="32" t="inlineStr">
        <is>
          <t xml:space="preserve">02 - Sports / GT</t>
        </is>
      </c>
      <c r="M195" s="35">
        <v>525000</v>
      </c>
      <c r="N195" s="32" t="inlineStr">
        <is>
          <t xml:space="preserve">Personal</t>
        </is>
      </c>
      <c r="O195" s="30" t="inlineStr">
        <is>
          <t xml:space="preserve">Personal - regular use</t>
        </is>
      </c>
      <c r="P195" s="30" t="inlineStr">
        <is>
          <t xml:space="preserve">1,000 - 2,500</t>
        </is>
      </c>
      <c r="Q195" s="30" t="inlineStr">
        <is>
          <t xml:space="preserve">South Carolina</t>
        </is>
      </c>
      <c r="R195" s="30" t="inlineStr">
        <is>
          <t xml:space="preserve">29401</t>
        </is>
      </c>
      <c r="S195" s="32" t="inlineStr">
        <is>
          <t xml:space="preserve">Tier 2 - Coastal wind (1-25 miles)</t>
        </is>
      </c>
      <c r="T195" s="36">
        <f>IF($A195="","",IF($S195="","",IFERROR(INDEX('[1]natural catastrophe'!$D$6:$D$17,MATCH($S195,'[1]natural catastrophe'!$B$6:$B$17,0)),"?")))</f>
      </c>
      <c r="U195" s="30" t="inlineStr">
        <is>
          <t xml:space="preserve">2% of agreed value, minimum $10,000</t>
        </is>
      </c>
      <c r="V195" s="32" t="inlineStr">
        <is>
          <t xml:space="preserve">Agreed Value</t>
        </is>
      </c>
      <c r="W195" s="30" t="inlineStr">
        <is>
          <t xml:space="preserve">$1,000</t>
        </is>
      </c>
      <c r="X195" s="32" t="inlineStr">
        <is>
          <t xml:space="preserve">$1,000,000 CSL</t>
        </is>
      </c>
      <c r="Y195" s="30"/>
      <c r="Z195" s="30"/>
      <c r="AA195" s="32" t="inlineStr">
        <is>
          <t xml:space="preserve">Surplus Lines</t>
        </is>
      </c>
      <c r="AB195" s="35">
        <v>6106.13</v>
      </c>
      <c r="AC195" s="37">
        <v>0</v>
      </c>
      <c r="AD195" s="38">
        <f>IF(ISNUMBER($AB195),$AB195*(1+N($AC195)),"")</f>
      </c>
      <c r="AE195" s="35">
        <v>350</v>
      </c>
      <c r="AF195" s="35">
        <v>0</v>
      </c>
      <c r="AG195" s="37"/>
      <c r="AH195" s="39">
        <f>IF(ISNUMBER($AD195),($AD195+$AE195+$AF195)*$AG195,"")</f>
      </c>
      <c r="AI195" s="35"/>
      <c r="AJ195" s="38">
        <f>IF(ISNUMBER($AD195),SUM($AD195:$AH195),"")</f>
      </c>
      <c r="AK195" s="40">
        <f>IF(AND(ISNUMBER($AB195),ISNUMBER($AD195)),IF($AB195&gt;0,$AD195/$AB195,""),"")</f>
      </c>
      <c r="AL195" s="32" t="inlineStr">
        <is>
          <t xml:space="preserve">At technical</t>
        </is>
      </c>
      <c r="AM195" s="41">
        <f>IF(ISNUMBER($AD195),Header!$I$3,"")</f>
      </c>
      <c r="AN195" s="39">
        <f>IF(ISNUMBER($AD195),$AO195+$AP195,"")</f>
      </c>
      <c r="AO195" s="39">
        <f>IF(ISNUMBER($AD195),ROUND($AD195*Header!$K$3,2),"")</f>
      </c>
      <c r="AP195" s="39">
        <f>IF(ISNUMBER($AD195),ROUND($AD195*Header!$M$3,2),"")</f>
      </c>
      <c r="AQ195" s="38">
        <f>IF(ISNUMBER($AD195),ROUND($AD195,2)-$AO195-$AP195,"")</f>
      </c>
      <c r="AR195" s="39">
        <f>IF(ISNUMBER($AD195),IF(Header!$D$34="","?",$AD195*Header!$D$34),"")</f>
      </c>
      <c r="AS195" s="39">
        <f>IF(ISNUMBER($AB195),IF(Header!$D$34="","?",$AB195*Header!$D$34),"")</f>
      </c>
      <c r="AT195" s="42">
        <f>IF(AND(ISNUMBER($AB195),$M195&gt;0),$AB195/$M195*100,"")</f>
      </c>
      <c r="AU195" s="42">
        <f>IF(AND(ISNUMBER($AD195),$M195&gt;0),$AD195/$M195*100,"")</f>
      </c>
      <c r="AV195" s="40">
        <f>IF(AND(ISNUMBER($AB195),ISNUMBER($AD195),ABS($AB195)&gt;0),$AD195/$AB195,"")</f>
      </c>
      <c r="AW195" s="39">
        <f>IF(ISNUMBER($AD195),MAX(0,(1-0.55-Header!$O$3)*Header!$Q$3*$AQ195),"")</f>
      </c>
      <c r="AX195" s="43">
        <f>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c>
      <c r="AY195" s="44">
        <f>IF($M195="","",IF(ISNUMBER($M195),IF($M195&gt;=Header!$C$18,"YES — refer","No"),""))</f>
      </c>
      <c r="AZ195" s="44">
        <f>IF($AD195="","",IF(ISNUMBER($AD195),IF($AD195&lt;Header!$C$20,"BELOW MIN PREMIUM","OK"),""))</f>
      </c>
      <c r="BA195" s="32" t="inlineStr">
        <is>
          <t xml:space="preserve">Yes</t>
        </is>
      </c>
      <c r="BB195" s="32" t="inlineStr">
        <is>
          <t xml:space="preserve">Yes</t>
        </is>
      </c>
      <c r="BC195" s="30" t="inlineStr">
        <is>
          <t xml:space="preserve">Synthetic demo data</t>
        </is>
      </c>
      <c r="BE195" s="45">
        <f>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c>
      <c r="BF195" s="45">
        <f>IF($AD195="","",IF(ROUND($AO195+$AP195+$AQ195-$AD195,2)=0,"OK","FAIL - out by "&amp;TEXT($AO195+$AP195+$AQ195-$AD195,"$0.00")))</f>
      </c>
    </row>
    <row r="196" spans="1:58" ht="18.75" customHeight="1" x14ac:dyDescent="0.25">
      <c r="A196" s="46" t="inlineStr">
        <is>
          <t xml:space="preserve">CANON-202606-008677</t>
        </is>
      </c>
      <c r="B196" s="46" t="inlineStr">
        <is>
          <t xml:space="preserve">Callum Kingsford</t>
        </is>
      </c>
      <c r="C196" s="47">
        <v>46181</v>
      </c>
      <c r="D196" s="48" t="inlineStr">
        <is>
          <t xml:space="preserve">Bound - within authority</t>
        </is>
      </c>
      <c r="E196" s="48" t="inlineStr">
        <is>
          <t xml:space="preserve">New business</t>
        </is>
      </c>
      <c r="F196" s="46" t="inlineStr">
        <is>
          <t xml:space="preserve">B1234EXOTIC26</t>
        </is>
      </c>
      <c r="G196" s="33">
        <f>IF($A196="","",IF($C196="","",YEAR($C196)))</f>
      </c>
      <c r="H196" s="49">
        <v>1984</v>
      </c>
      <c r="I196" s="46" t="inlineStr">
        <is>
          <t xml:space="preserve">Bentley</t>
        </is>
      </c>
      <c r="J196" s="46" t="inlineStr">
        <is>
          <t xml:space="preserve">Continental GT</t>
        </is>
      </c>
      <c r="K196" s="46" t="inlineStr">
        <is>
          <t xml:space="preserve">7XH3L2UY3LGHJ0ZRM</t>
        </is>
      </c>
      <c r="L196" s="48" t="inlineStr">
        <is>
          <t xml:space="preserve">02 - Sports / GT</t>
        </is>
      </c>
      <c r="M196" s="50">
        <v>715000</v>
      </c>
      <c r="N196" s="48" t="inlineStr">
        <is>
          <t xml:space="preserve">Personal</t>
        </is>
      </c>
      <c r="O196" s="46" t="inlineStr">
        <is>
          <t xml:space="preserve">Personal - regular use</t>
        </is>
      </c>
      <c r="P196" s="46" t="inlineStr">
        <is>
          <t xml:space="preserve">2,500 - 5,000</t>
        </is>
      </c>
      <c r="Q196" s="46" t="inlineStr">
        <is>
          <t xml:space="preserve">Illinois</t>
        </is>
      </c>
      <c r="R196" s="46" t="inlineStr">
        <is>
          <t xml:space="preserve">60601</t>
        </is>
      </c>
      <c r="S196" s="48" t="inlineStr">
        <is>
          <t xml:space="preserve">Severe convective - hail / tornado (moderate)</t>
        </is>
      </c>
      <c r="T196" s="36">
        <f>IF($A196="","",IF($S196="","",IFERROR(INDEX('[1]natural catastrophe'!$D$6:$D$17,MATCH($S196,'[1]natural catastrophe'!$B$6:$B$17,0)),"?")))</f>
      </c>
      <c r="U196" s="46" t="inlineStr">
        <is>
          <t xml:space="preserve">$5,000</t>
        </is>
      </c>
      <c r="V196" s="48" t="inlineStr">
        <is>
          <t xml:space="preserve">Agreed Value</t>
        </is>
      </c>
      <c r="W196" s="46" t="inlineStr">
        <is>
          <t xml:space="preserve">$1,000</t>
        </is>
      </c>
      <c r="X196" s="48" t="inlineStr">
        <is>
          <t xml:space="preserve">$1,000,000 CSL</t>
        </is>
      </c>
      <c r="Y196" s="46"/>
      <c r="Z196" s="46"/>
      <c r="AA196" s="48" t="inlineStr">
        <is>
          <t xml:space="preserve">Surplus Lines</t>
        </is>
      </c>
      <c r="AB196" s="50">
        <v>9120.74</v>
      </c>
      <c r="AC196" s="51">
        <v>0</v>
      </c>
      <c r="AD196" s="38">
        <f>IF(ISNUMBER($AB196),$AB196*(1+N($AC196)),"")</f>
      </c>
      <c r="AE196" s="50">
        <v>350</v>
      </c>
      <c r="AF196" s="50">
        <v>0</v>
      </c>
      <c r="AG196" s="51"/>
      <c r="AH196" s="39">
        <f>IF(ISNUMBER($AD196),($AD196+$AE196+$AF196)*$AG196,"")</f>
      </c>
      <c r="AI196" s="50"/>
      <c r="AJ196" s="38">
        <f>IF(ISNUMBER($AD196),SUM($AD196:$AH196),"")</f>
      </c>
      <c r="AK196" s="40">
        <f>IF(AND(ISNUMBER($AB196),ISNUMBER($AD196)),IF($AB196&gt;0,$AD196/$AB196,""),"")</f>
      </c>
      <c r="AL196" s="48" t="inlineStr">
        <is>
          <t xml:space="preserve">At technical</t>
        </is>
      </c>
      <c r="AM196" s="41">
        <f>IF(ISNUMBER($AD196),Header!$I$3,"")</f>
      </c>
      <c r="AN196" s="39">
        <f>IF(ISNUMBER($AD196),$AO196+$AP196,"")</f>
      </c>
      <c r="AO196" s="39">
        <f>IF(ISNUMBER($AD196),ROUND($AD196*Header!$K$3,2),"")</f>
      </c>
      <c r="AP196" s="39">
        <f>IF(ISNUMBER($AD196),ROUND($AD196*Header!$M$3,2),"")</f>
      </c>
      <c r="AQ196" s="38">
        <f>IF(ISNUMBER($AD196),ROUND($AD196,2)-$AO196-$AP196,"")</f>
      </c>
      <c r="AR196" s="39">
        <f>IF(ISNUMBER($AD196),IF(Header!$D$34="","?",$AD196*Header!$D$34),"")</f>
      </c>
      <c r="AS196" s="39">
        <f>IF(ISNUMBER($AB196),IF(Header!$D$34="","?",$AB196*Header!$D$34),"")</f>
      </c>
      <c r="AT196" s="42">
        <f>IF(AND(ISNUMBER($AB196),$M196&gt;0),$AB196/$M196*100,"")</f>
      </c>
      <c r="AU196" s="42">
        <f>IF(AND(ISNUMBER($AD196),$M196&gt;0),$AD196/$M196*100,"")</f>
      </c>
      <c r="AV196" s="40">
        <f>IF(AND(ISNUMBER($AB196),ISNUMBER($AD196),ABS($AB196)&gt;0),$AD196/$AB196,"")</f>
      </c>
      <c r="AW196" s="39">
        <f>IF(ISNUMBER($AD196),MAX(0,(1-0.55-Header!$O$3)*Header!$Q$3*$AQ196),"")</f>
      </c>
      <c r="AX196" s="43">
        <f>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c>
      <c r="AY196" s="44">
        <f>IF($M196="","",IF(ISNUMBER($M196),IF($M196&gt;=Header!$C$18,"YES — refer","No"),""))</f>
      </c>
      <c r="AZ196" s="44">
        <f>IF($AD196="","",IF(ISNUMBER($AD196),IF($AD196&lt;Header!$C$20,"BELOW MIN PREMIUM","OK"),""))</f>
      </c>
      <c r="BA196" s="48" t="inlineStr">
        <is>
          <t xml:space="preserve">Yes</t>
        </is>
      </c>
      <c r="BB196" s="48" t="inlineStr">
        <is>
          <t xml:space="preserve">Yes</t>
        </is>
      </c>
      <c r="BC196" s="46" t="inlineStr">
        <is>
          <t xml:space="preserve">Synthetic demo data</t>
        </is>
      </c>
      <c r="BE196" s="45">
        <f>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c>
      <c r="BF196" s="45">
        <f>IF($AD196="","",IF(ROUND($AO196+$AP196+$AQ196-$AD196,2)=0,"OK","FAIL - out by "&amp;TEXT($AO196+$AP196+$AQ196-$AD196,"$0.00")))</f>
      </c>
    </row>
    <row r="197" spans="1:58" ht="18.75" customHeight="1" x14ac:dyDescent="0.25">
      <c r="A197" s="30" t="inlineStr">
        <is>
          <t xml:space="preserve">CANON-202606-008680</t>
        </is>
      </c>
      <c r="B197" s="30" t="inlineStr">
        <is>
          <t xml:space="preserve">Anouk Kingsford</t>
        </is>
      </c>
      <c r="C197" s="31">
        <v>46178</v>
      </c>
      <c r="D197" s="32" t="inlineStr">
        <is>
          <t xml:space="preserve">Bound - within authority</t>
        </is>
      </c>
      <c r="E197" s="32" t="inlineStr">
        <is>
          <t xml:space="preserve">New business</t>
        </is>
      </c>
      <c r="F197" s="30" t="inlineStr">
        <is>
          <t xml:space="preserve">B1234EXOTIC26</t>
        </is>
      </c>
      <c r="G197" s="33">
        <f>IF($A197="","",IF($C197="","",YEAR($C197)))</f>
      </c>
      <c r="H197" s="34">
        <v>1981</v>
      </c>
      <c r="I197" s="30" t="inlineStr">
        <is>
          <t xml:space="preserve">Maserati</t>
        </is>
      </c>
      <c r="J197" s="30" t="inlineStr">
        <is>
          <t xml:space="preserve">GranTurismo</t>
        </is>
      </c>
      <c r="K197" s="30" t="inlineStr">
        <is>
          <t xml:space="preserve">WXNN81TVJFNM5EUEU</t>
        </is>
      </c>
      <c r="L197" s="32" t="inlineStr">
        <is>
          <t xml:space="preserve">02 - Sports / GT</t>
        </is>
      </c>
      <c r="M197" s="35">
        <v>555000</v>
      </c>
      <c r="N197" s="32" t="inlineStr">
        <is>
          <t xml:space="preserve">Personal</t>
        </is>
      </c>
      <c r="O197" s="30" t="inlineStr">
        <is>
          <t xml:space="preserve">Personal - regular use</t>
        </is>
      </c>
      <c r="P197" s="30" t="inlineStr">
        <is>
          <t xml:space="preserve">Under 1,000</t>
        </is>
      </c>
      <c r="Q197" s="30" t="inlineStr">
        <is>
          <t xml:space="preserve">Kentucky</t>
        </is>
      </c>
      <c r="R197" s="30" t="inlineStr">
        <is>
          <t xml:space="preserve">40202</t>
        </is>
      </c>
      <c r="S197" s="32" t="inlineStr">
        <is>
          <t xml:space="preserve">Severe convective - hail / tornado (moderate)</t>
        </is>
      </c>
      <c r="T197" s="36">
        <f>IF($A197="","",IF($S197="","",IFERROR(INDEX('[1]natural catastrophe'!$D$6:$D$17,MATCH($S197,'[1]natural catastrophe'!$B$6:$B$17,0)),"?")))</f>
      </c>
      <c r="U197" s="30" t="inlineStr">
        <is>
          <t xml:space="preserve">$5,000</t>
        </is>
      </c>
      <c r="V197" s="32" t="inlineStr">
        <is>
          <t xml:space="preserve">Agreed Value</t>
        </is>
      </c>
      <c r="W197" s="30" t="inlineStr">
        <is>
          <t xml:space="preserve">$1,000</t>
        </is>
      </c>
      <c r="X197" s="32" t="inlineStr">
        <is>
          <t xml:space="preserve">$1,000,000 CSL</t>
        </is>
      </c>
      <c r="Y197" s="30"/>
      <c r="Z197" s="30"/>
      <c r="AA197" s="32" t="inlineStr">
        <is>
          <t xml:space="preserve">Surplus Lines</t>
        </is>
      </c>
      <c r="AB197" s="35">
        <v>6975.63</v>
      </c>
      <c r="AC197" s="37">
        <v>0</v>
      </c>
      <c r="AD197" s="38">
        <f>IF(ISNUMBER($AB197),$AB197*(1+N($AC197)),"")</f>
      </c>
      <c r="AE197" s="35">
        <v>350</v>
      </c>
      <c r="AF197" s="35">
        <v>0</v>
      </c>
      <c r="AG197" s="37"/>
      <c r="AH197" s="39">
        <f>IF(ISNUMBER($AD197),($AD197+$AE197+$AF197)*$AG197,"")</f>
      </c>
      <c r="AI197" s="35"/>
      <c r="AJ197" s="38">
        <f>IF(ISNUMBER($AD197),SUM($AD197:$AH197),"")</f>
      </c>
      <c r="AK197" s="40">
        <f>IF(AND(ISNUMBER($AB197),ISNUMBER($AD197)),IF($AB197&gt;0,$AD197/$AB197,""),"")</f>
      </c>
      <c r="AL197" s="32" t="inlineStr">
        <is>
          <t xml:space="preserve">At technical</t>
        </is>
      </c>
      <c r="AM197" s="41">
        <f>IF(ISNUMBER($AD197),Header!$I$3,"")</f>
      </c>
      <c r="AN197" s="39">
        <f>IF(ISNUMBER($AD197),$AO197+$AP197,"")</f>
      </c>
      <c r="AO197" s="39">
        <f>IF(ISNUMBER($AD197),ROUND($AD197*Header!$K$3,2),"")</f>
      </c>
      <c r="AP197" s="39">
        <f>IF(ISNUMBER($AD197),ROUND($AD197*Header!$M$3,2),"")</f>
      </c>
      <c r="AQ197" s="38">
        <f>IF(ISNUMBER($AD197),ROUND($AD197,2)-$AO197-$AP197,"")</f>
      </c>
      <c r="AR197" s="39">
        <f>IF(ISNUMBER($AD197),IF(Header!$D$34="","?",$AD197*Header!$D$34),"")</f>
      </c>
      <c r="AS197" s="39">
        <f>IF(ISNUMBER($AB197),IF(Header!$D$34="","?",$AB197*Header!$D$34),"")</f>
      </c>
      <c r="AT197" s="42">
        <f>IF(AND(ISNUMBER($AB197),$M197&gt;0),$AB197/$M197*100,"")</f>
      </c>
      <c r="AU197" s="42">
        <f>IF(AND(ISNUMBER($AD197),$M197&gt;0),$AD197/$M197*100,"")</f>
      </c>
      <c r="AV197" s="40">
        <f>IF(AND(ISNUMBER($AB197),ISNUMBER($AD197),ABS($AB197)&gt;0),$AD197/$AB197,"")</f>
      </c>
      <c r="AW197" s="39">
        <f>IF(ISNUMBER($AD197),MAX(0,(1-0.55-Header!$O$3)*Header!$Q$3*$AQ197),"")</f>
      </c>
      <c r="AX197" s="43">
        <f>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c>
      <c r="AY197" s="44">
        <f>IF($M197="","",IF(ISNUMBER($M197),IF($M197&gt;=Header!$C$18,"YES — refer","No"),""))</f>
      </c>
      <c r="AZ197" s="44">
        <f>IF($AD197="","",IF(ISNUMBER($AD197),IF($AD197&lt;Header!$C$20,"BELOW MIN PREMIUM","OK"),""))</f>
      </c>
      <c r="BA197" s="32" t="inlineStr">
        <is>
          <t xml:space="preserve">Yes</t>
        </is>
      </c>
      <c r="BB197" s="32" t="inlineStr">
        <is>
          <t xml:space="preserve">Yes</t>
        </is>
      </c>
      <c r="BC197" s="30" t="inlineStr">
        <is>
          <t xml:space="preserve">Synthetic demo data</t>
        </is>
      </c>
      <c r="BE197" s="45">
        <f>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c>
      <c r="BF197" s="45">
        <f>IF($AD197="","",IF(ROUND($AO197+$AP197+$AQ197-$AD197,2)=0,"OK","FAIL - out by "&amp;TEXT($AO197+$AP197+$AQ197-$AD197,"$0.00")))</f>
      </c>
    </row>
    <row r="198" spans="1:58" ht="18.75" customHeight="1" x14ac:dyDescent="0.25">
      <c r="A198" s="46" t="inlineStr">
        <is>
          <t xml:space="preserve">CANON-202606-008681</t>
        </is>
      </c>
      <c r="B198" s="46" t="inlineStr">
        <is>
          <t xml:space="preserve">Mireille Vandermeer</t>
        </is>
      </c>
      <c r="C198" s="47">
        <v>46185</v>
      </c>
      <c r="D198" s="48" t="inlineStr">
        <is>
          <t xml:space="preserve">Bound - within authority</t>
        </is>
      </c>
      <c r="E198" s="48" t="inlineStr">
        <is>
          <t xml:space="preserve">New business</t>
        </is>
      </c>
      <c r="F198" s="46" t="inlineStr">
        <is>
          <t xml:space="preserve">B1234EXOTIC26</t>
        </is>
      </c>
      <c r="G198" s="33">
        <f>IF($A198="","",IF($C198="","",YEAR($C198)))</f>
      </c>
      <c r="H198" s="49">
        <v>1971</v>
      </c>
      <c r="I198" s="46" t="inlineStr">
        <is>
          <t xml:space="preserve">Lamborghini</t>
        </is>
      </c>
      <c r="J198" s="46" t="inlineStr">
        <is>
          <t xml:space="preserve">Huracan EVO</t>
        </is>
      </c>
      <c r="K198" s="46" t="inlineStr">
        <is>
          <t xml:space="preserve">JN8AJJZX9BHWGJDGD</t>
        </is>
      </c>
      <c r="L198" s="48" t="inlineStr">
        <is>
          <t xml:space="preserve">03 - Supercar</t>
        </is>
      </c>
      <c r="M198" s="50">
        <v>1800000</v>
      </c>
      <c r="N198" s="48" t="inlineStr">
        <is>
          <t xml:space="preserve">Personal</t>
        </is>
      </c>
      <c r="O198" s="46" t="inlineStr">
        <is>
          <t xml:space="preserve">Personal - regular use</t>
        </is>
      </c>
      <c r="P198" s="46" t="inlineStr">
        <is>
          <t xml:space="preserve">1,000 - 2,500</t>
        </is>
      </c>
      <c r="Q198" s="46" t="inlineStr">
        <is>
          <t xml:space="preserve">Oregon</t>
        </is>
      </c>
      <c r="R198" s="46" t="inlineStr">
        <is>
          <t xml:space="preserve">97204</t>
        </is>
      </c>
      <c r="S198" s="48" t="inlineStr">
        <is>
          <t xml:space="preserve">Earthquake - high (CA, Cascadia, New Madrid)</t>
        </is>
      </c>
      <c r="T198" s="36">
        <f>IF($A198="","",IF($S198="","",IFERROR(INDEX('[1]natural catastrophe'!$D$6:$D$17,MATCH($S198,'[1]natural catastrophe'!$B$6:$B$17,0)),"?")))</f>
      </c>
      <c r="U198" s="46" t="inlineStr">
        <is>
          <t xml:space="preserve">$5,000</t>
        </is>
      </c>
      <c r="V198" s="48" t="inlineStr">
        <is>
          <t xml:space="preserve">Agreed Value</t>
        </is>
      </c>
      <c r="W198" s="46" t="inlineStr">
        <is>
          <t xml:space="preserve">$1,000</t>
        </is>
      </c>
      <c r="X198" s="48" t="inlineStr">
        <is>
          <t xml:space="preserve">$1,000,000 CSL</t>
        </is>
      </c>
      <c r="Y198" s="46"/>
      <c r="Z198" s="46"/>
      <c r="AA198" s="48" t="inlineStr">
        <is>
          <t xml:space="preserve">Surplus Lines</t>
        </is>
      </c>
      <c r="AB198" s="50">
        <v>23480.81</v>
      </c>
      <c r="AC198" s="51">
        <v>0</v>
      </c>
      <c r="AD198" s="38">
        <f>IF(ISNUMBER($AB198),$AB198*(1+N($AC198)),"")</f>
      </c>
      <c r="AE198" s="50">
        <v>350</v>
      </c>
      <c r="AF198" s="50">
        <v>250</v>
      </c>
      <c r="AG198" s="51"/>
      <c r="AH198" s="39">
        <f>IF(ISNUMBER($AD198),($AD198+$AE198+$AF198)*$AG198,"")</f>
      </c>
      <c r="AI198" s="50"/>
      <c r="AJ198" s="38">
        <f>IF(ISNUMBER($AD198),SUM($AD198:$AH198),"")</f>
      </c>
      <c r="AK198" s="40">
        <f>IF(AND(ISNUMBER($AB198),ISNUMBER($AD198)),IF($AB198&gt;0,$AD198/$AB198,""),"")</f>
      </c>
      <c r="AL198" s="48" t="inlineStr">
        <is>
          <t xml:space="preserve">At technical</t>
        </is>
      </c>
      <c r="AM198" s="41">
        <f>IF(ISNUMBER($AD198),Header!$I$3,"")</f>
      </c>
      <c r="AN198" s="39">
        <f>IF(ISNUMBER($AD198),$AO198+$AP198,"")</f>
      </c>
      <c r="AO198" s="39">
        <f>IF(ISNUMBER($AD198),ROUND($AD198*Header!$K$3,2),"")</f>
      </c>
      <c r="AP198" s="39">
        <f>IF(ISNUMBER($AD198),ROUND($AD198*Header!$M$3,2),"")</f>
      </c>
      <c r="AQ198" s="38">
        <f>IF(ISNUMBER($AD198),ROUND($AD198,2)-$AO198-$AP198,"")</f>
      </c>
      <c r="AR198" s="39">
        <f>IF(ISNUMBER($AD198),IF(Header!$D$34="","?",$AD198*Header!$D$34),"")</f>
      </c>
      <c r="AS198" s="39">
        <f>IF(ISNUMBER($AB198),IF(Header!$D$34="","?",$AB198*Header!$D$34),"")</f>
      </c>
      <c r="AT198" s="42">
        <f>IF(AND(ISNUMBER($AB198),$M198&gt;0),$AB198/$M198*100,"")</f>
      </c>
      <c r="AU198" s="42">
        <f>IF(AND(ISNUMBER($AD198),$M198&gt;0),$AD198/$M198*100,"")</f>
      </c>
      <c r="AV198" s="40">
        <f>IF(AND(ISNUMBER($AB198),ISNUMBER($AD198),ABS($AB198)&gt;0),$AD198/$AB198,"")</f>
      </c>
      <c r="AW198" s="39">
        <f>IF(ISNUMBER($AD198),MAX(0,(1-0.55-Header!$O$3)*Header!$Q$3*$AQ198),"")</f>
      </c>
      <c r="AX198" s="43">
        <f>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c>
      <c r="AY198" s="44">
        <f>IF($M198="","",IF(ISNUMBER($M198),IF($M198&gt;=Header!$C$18,"YES — refer","No"),""))</f>
      </c>
      <c r="AZ198" s="44">
        <f>IF($AD198="","",IF(ISNUMBER($AD198),IF($AD198&lt;Header!$C$20,"BELOW MIN PREMIUM","OK"),""))</f>
      </c>
      <c r="BA198" s="48" t="inlineStr">
        <is>
          <t xml:space="preserve">Yes</t>
        </is>
      </c>
      <c r="BB198" s="48" t="inlineStr">
        <is>
          <t xml:space="preserve">Yes</t>
        </is>
      </c>
      <c r="BC198" s="46" t="inlineStr">
        <is>
          <t xml:space="preserve">Synthetic demo data</t>
        </is>
      </c>
      <c r="BE198" s="45">
        <f>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c>
      <c r="BF198" s="45">
        <f>IF($AD198="","",IF(ROUND($AO198+$AP198+$AQ198-$AD198,2)=0,"OK","FAIL - out by "&amp;TEXT($AO198+$AP198+$AQ198-$AD198,"$0.00")))</f>
      </c>
    </row>
    <row r="199" spans="1:58" ht="18.75" customHeight="1" x14ac:dyDescent="0.25">
      <c r="A199" s="30" t="inlineStr">
        <is>
          <t xml:space="preserve">CANON-202606-008684</t>
        </is>
      </c>
      <c r="B199" s="30" t="inlineStr">
        <is>
          <t xml:space="preserve">Mireille Larsson</t>
        </is>
      </c>
      <c r="C199" s="31">
        <v>46194</v>
      </c>
      <c r="D199" s="32" t="inlineStr">
        <is>
          <t xml:space="preserve">Bound - within authority</t>
        </is>
      </c>
      <c r="E199" s="32" t="inlineStr">
        <is>
          <t xml:space="preserve">New business</t>
        </is>
      </c>
      <c r="F199" s="30" t="inlineStr">
        <is>
          <t xml:space="preserve">B1234EXOTIC26</t>
        </is>
      </c>
      <c r="G199" s="33">
        <f>IF($A199="","",IF($C199="","",YEAR($C199)))</f>
      </c>
      <c r="H199" s="34">
        <v>2022</v>
      </c>
      <c r="I199" s="30" t="inlineStr">
        <is>
          <t xml:space="preserve">Lamborghini</t>
        </is>
      </c>
      <c r="J199" s="30" t="inlineStr">
        <is>
          <t xml:space="preserve">Huracan EVO</t>
        </is>
      </c>
      <c r="K199" s="30" t="inlineStr">
        <is>
          <t xml:space="preserve">5M67GMYD1MP6FUVPR</t>
        </is>
      </c>
      <c r="L199" s="32" t="inlineStr">
        <is>
          <t xml:space="preserve">03 - Supercar</t>
        </is>
      </c>
      <c r="M199" s="35">
        <v>660000</v>
      </c>
      <c r="N199" s="32" t="inlineStr">
        <is>
          <t xml:space="preserve">Personal</t>
        </is>
      </c>
      <c r="O199" s="30" t="inlineStr">
        <is>
          <t xml:space="preserve">Personal - regular use</t>
        </is>
      </c>
      <c r="P199" s="30" t="inlineStr">
        <is>
          <t xml:space="preserve">2,500 - 5,000</t>
        </is>
      </c>
      <c r="Q199" s="30" t="inlineStr">
        <is>
          <t xml:space="preserve">Mississippi</t>
        </is>
      </c>
      <c r="R199" s="30" t="inlineStr">
        <is>
          <t xml:space="preserve">39201</t>
        </is>
      </c>
      <c r="S199" s="32" t="inlineStr">
        <is>
          <t xml:space="preserve">Tier 2 - Coastal wind (1-25 miles)</t>
        </is>
      </c>
      <c r="T199" s="36">
        <f>IF($A199="","",IF($S199="","",IFERROR(INDEX('[1]natural catastrophe'!$D$6:$D$17,MATCH($S199,'[1]natural catastrophe'!$B$6:$B$17,0)),"?")))</f>
      </c>
      <c r="U199" s="30" t="inlineStr">
        <is>
          <t xml:space="preserve">2% of agreed value, minimum $10,000</t>
        </is>
      </c>
      <c r="V199" s="32" t="inlineStr">
        <is>
          <t xml:space="preserve">Agreed Value</t>
        </is>
      </c>
      <c r="W199" s="30" t="inlineStr">
        <is>
          <t xml:space="preserve">$1,000</t>
        </is>
      </c>
      <c r="X199" s="32" t="inlineStr">
        <is>
          <t xml:space="preserve">$1,000,000 CSL</t>
        </is>
      </c>
      <c r="Y199" s="30"/>
      <c r="Z199" s="30"/>
      <c r="AA199" s="32" t="inlineStr">
        <is>
          <t xml:space="preserve">Surplus Lines</t>
        </is>
      </c>
      <c r="AB199" s="35">
        <v>10766.79</v>
      </c>
      <c r="AC199" s="37">
        <v>0</v>
      </c>
      <c r="AD199" s="38">
        <f>IF(ISNUMBER($AB199),$AB199*(1+N($AC199)),"")</f>
      </c>
      <c r="AE199" s="35">
        <v>350</v>
      </c>
      <c r="AF199" s="35">
        <v>0</v>
      </c>
      <c r="AG199" s="37"/>
      <c r="AH199" s="39">
        <f>IF(ISNUMBER($AD199),($AD199+$AE199+$AF199)*$AG199,"")</f>
      </c>
      <c r="AI199" s="35"/>
      <c r="AJ199" s="38">
        <f>IF(ISNUMBER($AD199),SUM($AD199:$AH199),"")</f>
      </c>
      <c r="AK199" s="40">
        <f>IF(AND(ISNUMBER($AB199),ISNUMBER($AD199)),IF($AB199&gt;0,$AD199/$AB199,""),"")</f>
      </c>
      <c r="AL199" s="32" t="inlineStr">
        <is>
          <t xml:space="preserve">At technical</t>
        </is>
      </c>
      <c r="AM199" s="41">
        <f>IF(ISNUMBER($AD199),Header!$I$3,"")</f>
      </c>
      <c r="AN199" s="39">
        <f>IF(ISNUMBER($AD199),$AO199+$AP199,"")</f>
      </c>
      <c r="AO199" s="39">
        <f>IF(ISNUMBER($AD199),ROUND($AD199*Header!$K$3,2),"")</f>
      </c>
      <c r="AP199" s="39">
        <f>IF(ISNUMBER($AD199),ROUND($AD199*Header!$M$3,2),"")</f>
      </c>
      <c r="AQ199" s="38">
        <f>IF(ISNUMBER($AD199),ROUND($AD199,2)-$AO199-$AP199,"")</f>
      </c>
      <c r="AR199" s="39">
        <f>IF(ISNUMBER($AD199),IF(Header!$D$34="","?",$AD199*Header!$D$34),"")</f>
      </c>
      <c r="AS199" s="39">
        <f>IF(ISNUMBER($AB199),IF(Header!$D$34="","?",$AB199*Header!$D$34),"")</f>
      </c>
      <c r="AT199" s="42">
        <f>IF(AND(ISNUMBER($AB199),$M199&gt;0),$AB199/$M199*100,"")</f>
      </c>
      <c r="AU199" s="42">
        <f>IF(AND(ISNUMBER($AD199),$M199&gt;0),$AD199/$M199*100,"")</f>
      </c>
      <c r="AV199" s="40">
        <f>IF(AND(ISNUMBER($AB199),ISNUMBER($AD199),ABS($AB199)&gt;0),$AD199/$AB199,"")</f>
      </c>
      <c r="AW199" s="39">
        <f>IF(ISNUMBER($AD199),MAX(0,(1-0.55-Header!$O$3)*Header!$Q$3*$AQ199),"")</f>
      </c>
      <c r="AX199" s="43">
        <f>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c>
      <c r="AY199" s="44">
        <f>IF($M199="","",IF(ISNUMBER($M199),IF($M199&gt;=Header!$C$18,"YES — refer","No"),""))</f>
      </c>
      <c r="AZ199" s="44">
        <f>IF($AD199="","",IF(ISNUMBER($AD199),IF($AD199&lt;Header!$C$20,"BELOW MIN PREMIUM","OK"),""))</f>
      </c>
      <c r="BA199" s="32" t="inlineStr">
        <is>
          <t xml:space="preserve">Yes</t>
        </is>
      </c>
      <c r="BB199" s="32" t="inlineStr">
        <is>
          <t xml:space="preserve">Yes</t>
        </is>
      </c>
      <c r="BC199" s="30" t="inlineStr">
        <is>
          <t xml:space="preserve">Synthetic demo data</t>
        </is>
      </c>
      <c r="BE199" s="45">
        <f>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c>
      <c r="BF199" s="45">
        <f>IF($AD199="","",IF(ROUND($AO199+$AP199+$AQ199-$AD199,2)=0,"OK","FAIL - out by "&amp;TEXT($AO199+$AP199+$AQ199-$AD199,"$0.00")))</f>
      </c>
    </row>
    <row r="200" spans="1:58" ht="18.75" customHeight="1" x14ac:dyDescent="0.25">
      <c r="A200" s="46" t="inlineStr">
        <is>
          <t xml:space="preserve">CANON-202606-008685</t>
        </is>
      </c>
      <c r="B200" s="46" t="inlineStr">
        <is>
          <t xml:space="preserve">Priya Rourke</t>
        </is>
      </c>
      <c r="C200" s="47">
        <v>46200</v>
      </c>
      <c r="D200" s="48" t="inlineStr">
        <is>
          <t xml:space="preserve">Bound - within authority</t>
        </is>
      </c>
      <c r="E200" s="48" t="inlineStr">
        <is>
          <t xml:space="preserve">New business</t>
        </is>
      </c>
      <c r="F200" s="46" t="inlineStr">
        <is>
          <t xml:space="preserve">B1234EXOTIC26</t>
        </is>
      </c>
      <c r="G200" s="33">
        <f>IF($A200="","",IF($C200="","",YEAR($C200)))</f>
      </c>
      <c r="H200" s="49">
        <v>1975</v>
      </c>
      <c r="I200" s="46" t="inlineStr">
        <is>
          <t xml:space="preserve">Bentley</t>
        </is>
      </c>
      <c r="J200" s="46" t="inlineStr">
        <is>
          <t xml:space="preserve">Continental GT</t>
        </is>
      </c>
      <c r="K200" s="46" t="inlineStr">
        <is>
          <t xml:space="preserve">7G8B2MCB0KNZ5J5SN</t>
        </is>
      </c>
      <c r="L200" s="48" t="inlineStr">
        <is>
          <t xml:space="preserve">02 - Sports / GT</t>
        </is>
      </c>
      <c r="M200" s="50">
        <v>705000</v>
      </c>
      <c r="N200" s="48" t="inlineStr">
        <is>
          <t xml:space="preserve">Personal</t>
        </is>
      </c>
      <c r="O200" s="46" t="inlineStr">
        <is>
          <t xml:space="preserve">Personal - regular use</t>
        </is>
      </c>
      <c r="P200" s="46" t="inlineStr">
        <is>
          <t xml:space="preserve">2,500 - 5,000</t>
        </is>
      </c>
      <c r="Q200" s="46" t="inlineStr">
        <is>
          <t xml:space="preserve">Nebraska</t>
        </is>
      </c>
      <c r="R200" s="46" t="inlineStr">
        <is>
          <t xml:space="preserve">68102</t>
        </is>
      </c>
      <c r="S200" s="48" t="inlineStr">
        <is>
          <t xml:space="preserve">Severe convective - hail alley (high)</t>
        </is>
      </c>
      <c r="T200" s="36">
        <f>IF($A200="","",IF($S200="","",IFERROR(INDEX('[1]natural catastrophe'!$D$6:$D$17,MATCH($S200,'[1]natural catastrophe'!$B$6:$B$17,0)),"?")))</f>
      </c>
      <c r="U200" s="46" t="inlineStr">
        <is>
          <t xml:space="preserve">$5,000</t>
        </is>
      </c>
      <c r="V200" s="48" t="inlineStr">
        <is>
          <t xml:space="preserve">Agreed Value</t>
        </is>
      </c>
      <c r="W200" s="46" t="inlineStr">
        <is>
          <t xml:space="preserve">$1,000</t>
        </is>
      </c>
      <c r="X200" s="48" t="inlineStr">
        <is>
          <t xml:space="preserve">$1,000,000 CSL</t>
        </is>
      </c>
      <c r="Y200" s="46"/>
      <c r="Z200" s="46"/>
      <c r="AA200" s="48" t="inlineStr">
        <is>
          <t xml:space="preserve">Surplus Lines</t>
        </is>
      </c>
      <c r="AB200" s="50">
        <v>8596.42</v>
      </c>
      <c r="AC200" s="51">
        <v>0</v>
      </c>
      <c r="AD200" s="38">
        <f>IF(ISNUMBER($AB200),$AB200*(1+N($AC200)),"")</f>
      </c>
      <c r="AE200" s="50">
        <v>350</v>
      </c>
      <c r="AF200" s="50">
        <v>0</v>
      </c>
      <c r="AG200" s="51"/>
      <c r="AH200" s="39">
        <f>IF(ISNUMBER($AD200),($AD200+$AE200+$AF200)*$AG200,"")</f>
      </c>
      <c r="AI200" s="50"/>
      <c r="AJ200" s="38">
        <f>IF(ISNUMBER($AD200),SUM($AD200:$AH200),"")</f>
      </c>
      <c r="AK200" s="40">
        <f>IF(AND(ISNUMBER($AB200),ISNUMBER($AD200)),IF($AB200&gt;0,$AD200/$AB200,""),"")</f>
      </c>
      <c r="AL200" s="48" t="inlineStr">
        <is>
          <t xml:space="preserve">At technical</t>
        </is>
      </c>
      <c r="AM200" s="41">
        <f>IF(ISNUMBER($AD200),Header!$I$3,"")</f>
      </c>
      <c r="AN200" s="39">
        <f>IF(ISNUMBER($AD200),$AO200+$AP200,"")</f>
      </c>
      <c r="AO200" s="39">
        <f>IF(ISNUMBER($AD200),ROUND($AD200*Header!$K$3,2),"")</f>
      </c>
      <c r="AP200" s="39">
        <f>IF(ISNUMBER($AD200),ROUND($AD200*Header!$M$3,2),"")</f>
      </c>
      <c r="AQ200" s="38">
        <f>IF(ISNUMBER($AD200),ROUND($AD200,2)-$AO200-$AP200,"")</f>
      </c>
      <c r="AR200" s="39">
        <f>IF(ISNUMBER($AD200),IF(Header!$D$34="","?",$AD200*Header!$D$34),"")</f>
      </c>
      <c r="AS200" s="39">
        <f>IF(ISNUMBER($AB200),IF(Header!$D$34="","?",$AB200*Header!$D$34),"")</f>
      </c>
      <c r="AT200" s="42">
        <f>IF(AND(ISNUMBER($AB200),$M200&gt;0),$AB200/$M200*100,"")</f>
      </c>
      <c r="AU200" s="42">
        <f>IF(AND(ISNUMBER($AD200),$M200&gt;0),$AD200/$M200*100,"")</f>
      </c>
      <c r="AV200" s="40">
        <f>IF(AND(ISNUMBER($AB200),ISNUMBER($AD200),ABS($AB200)&gt;0),$AD200/$AB200,"")</f>
      </c>
      <c r="AW200" s="39">
        <f>IF(ISNUMBER($AD200),MAX(0,(1-0.55-Header!$O$3)*Header!$Q$3*$AQ200),"")</f>
      </c>
      <c r="AX200" s="43">
        <f>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c>
      <c r="AY200" s="44">
        <f>IF($M200="","",IF(ISNUMBER($M200),IF($M200&gt;=Header!$C$18,"YES — refer","No"),""))</f>
      </c>
      <c r="AZ200" s="44">
        <f>IF($AD200="","",IF(ISNUMBER($AD200),IF($AD200&lt;Header!$C$20,"BELOW MIN PREMIUM","OK"),""))</f>
      </c>
      <c r="BA200" s="48" t="inlineStr">
        <is>
          <t xml:space="preserve">Yes</t>
        </is>
      </c>
      <c r="BB200" s="48" t="inlineStr">
        <is>
          <t xml:space="preserve">Yes</t>
        </is>
      </c>
      <c r="BC200" s="46" t="inlineStr">
        <is>
          <t xml:space="preserve">Synthetic demo data</t>
        </is>
      </c>
      <c r="BE200" s="45">
        <f>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c>
      <c r="BF200" s="45">
        <f>IF($AD200="","",IF(ROUND($AO200+$AP200+$AQ200-$AD200,2)=0,"OK","FAIL - out by "&amp;TEXT($AO200+$AP200+$AQ200-$AD200,"$0.00")))</f>
      </c>
    </row>
    <row r="201" spans="1:58" ht="18.75" customHeight="1" x14ac:dyDescent="0.25">
      <c r="A201" s="30" t="inlineStr">
        <is>
          <t xml:space="preserve">CANON-202606-008686</t>
        </is>
      </c>
      <c r="B201" s="30" t="inlineStr">
        <is>
          <t xml:space="preserve">Desmond Delacroix</t>
        </is>
      </c>
      <c r="C201" s="31">
        <v>46180</v>
      </c>
      <c r="D201" s="32" t="inlineStr">
        <is>
          <t xml:space="preserve">Bound - within authority</t>
        </is>
      </c>
      <c r="E201" s="32" t="inlineStr">
        <is>
          <t xml:space="preserve">New business</t>
        </is>
      </c>
      <c r="F201" s="30" t="inlineStr">
        <is>
          <t xml:space="preserve">B1234EXOTIC26</t>
        </is>
      </c>
      <c r="G201" s="33">
        <f>IF($A201="","",IF($C201="","",YEAR($C201)))</f>
      </c>
      <c r="H201" s="34">
        <v>1996</v>
      </c>
      <c r="I201" s="30" t="inlineStr">
        <is>
          <t xml:space="preserve">Ferrari</t>
        </is>
      </c>
      <c r="J201" s="30" t="inlineStr">
        <is>
          <t xml:space="preserve">SF90 Stradale</t>
        </is>
      </c>
      <c r="K201" s="30" t="inlineStr">
        <is>
          <t xml:space="preserve">9LK0XYF6VHUF5TKFU</t>
        </is>
      </c>
      <c r="L201" s="32" t="inlineStr">
        <is>
          <t xml:space="preserve">03 - Supercar</t>
        </is>
      </c>
      <c r="M201" s="35">
        <v>740000</v>
      </c>
      <c r="N201" s="32" t="inlineStr">
        <is>
          <t xml:space="preserve">Personal</t>
        </is>
      </c>
      <c r="O201" s="30" t="inlineStr">
        <is>
          <t xml:space="preserve">Personal - regular use</t>
        </is>
      </c>
      <c r="P201" s="30" t="inlineStr">
        <is>
          <t xml:space="preserve">1,000 - 2,500</t>
        </is>
      </c>
      <c r="Q201" s="30" t="inlineStr">
        <is>
          <t xml:space="preserve">Louisiana</t>
        </is>
      </c>
      <c r="R201" s="30" t="inlineStr">
        <is>
          <t xml:space="preserve">70112</t>
        </is>
      </c>
      <c r="S201" s="32" t="inlineStr">
        <is>
          <t xml:space="preserve">Tier 2 - Coastal wind (1-25 miles)</t>
        </is>
      </c>
      <c r="T201" s="36">
        <f>IF($A201="","",IF($S201="","",IFERROR(INDEX('[1]natural catastrophe'!$D$6:$D$17,MATCH($S201,'[1]natural catastrophe'!$B$6:$B$17,0)),"?")))</f>
      </c>
      <c r="U201" s="30" t="inlineStr">
        <is>
          <t xml:space="preserve">2% of agreed value, minimum $10,000</t>
        </is>
      </c>
      <c r="V201" s="32" t="inlineStr">
        <is>
          <t xml:space="preserve">Agreed Value</t>
        </is>
      </c>
      <c r="W201" s="30" t="inlineStr">
        <is>
          <t xml:space="preserve">$1,000</t>
        </is>
      </c>
      <c r="X201" s="32" t="inlineStr">
        <is>
          <t xml:space="preserve">$1,000,000 CSL</t>
        </is>
      </c>
      <c r="Y201" s="30"/>
      <c r="Z201" s="30"/>
      <c r="AA201" s="32" t="inlineStr">
        <is>
          <t xml:space="preserve">Surplus Lines</t>
        </is>
      </c>
      <c r="AB201" s="35">
        <v>12274.75</v>
      </c>
      <c r="AC201" s="37">
        <v>0</v>
      </c>
      <c r="AD201" s="38">
        <f>IF(ISNUMBER($AB201),$AB201*(1+N($AC201)),"")</f>
      </c>
      <c r="AE201" s="35">
        <v>350</v>
      </c>
      <c r="AF201" s="35">
        <v>0</v>
      </c>
      <c r="AG201" s="37"/>
      <c r="AH201" s="39">
        <f>IF(ISNUMBER($AD201),($AD201+$AE201+$AF201)*$AG201,"")</f>
      </c>
      <c r="AI201" s="35"/>
      <c r="AJ201" s="38">
        <f>IF(ISNUMBER($AD201),SUM($AD201:$AH201),"")</f>
      </c>
      <c r="AK201" s="40">
        <f>IF(AND(ISNUMBER($AB201),ISNUMBER($AD201)),IF($AB201&gt;0,$AD201/$AB201,""),"")</f>
      </c>
      <c r="AL201" s="32" t="inlineStr">
        <is>
          <t xml:space="preserve">At technical</t>
        </is>
      </c>
      <c r="AM201" s="41">
        <f>IF(ISNUMBER($AD201),Header!$I$3,"")</f>
      </c>
      <c r="AN201" s="39">
        <f>IF(ISNUMBER($AD201),$AO201+$AP201,"")</f>
      </c>
      <c r="AO201" s="39">
        <f>IF(ISNUMBER($AD201),ROUND($AD201*Header!$K$3,2),"")</f>
      </c>
      <c r="AP201" s="39">
        <f>IF(ISNUMBER($AD201),ROUND($AD201*Header!$M$3,2),"")</f>
      </c>
      <c r="AQ201" s="38">
        <f>IF(ISNUMBER($AD201),ROUND($AD201,2)-$AO201-$AP201,"")</f>
      </c>
      <c r="AR201" s="39">
        <f>IF(ISNUMBER($AD201),IF(Header!$D$34="","?",$AD201*Header!$D$34),"")</f>
      </c>
      <c r="AS201" s="39">
        <f>IF(ISNUMBER($AB201),IF(Header!$D$34="","?",$AB201*Header!$D$34),"")</f>
      </c>
      <c r="AT201" s="42">
        <f>IF(AND(ISNUMBER($AB201),$M201&gt;0),$AB201/$M201*100,"")</f>
      </c>
      <c r="AU201" s="42">
        <f>IF(AND(ISNUMBER($AD201),$M201&gt;0),$AD201/$M201*100,"")</f>
      </c>
      <c r="AV201" s="40">
        <f>IF(AND(ISNUMBER($AB201),ISNUMBER($AD201),ABS($AB201)&gt;0),$AD201/$AB201,"")</f>
      </c>
      <c r="AW201" s="39">
        <f>IF(ISNUMBER($AD201),MAX(0,(1-0.55-Header!$O$3)*Header!$Q$3*$AQ201),"")</f>
      </c>
      <c r="AX201" s="43">
        <f>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c>
      <c r="AY201" s="44">
        <f>IF($M201="","",IF(ISNUMBER($M201),IF($M201&gt;=Header!$C$18,"YES — refer","No"),""))</f>
      </c>
      <c r="AZ201" s="44">
        <f>IF($AD201="","",IF(ISNUMBER($AD201),IF($AD201&lt;Header!$C$20,"BELOW MIN PREMIUM","OK"),""))</f>
      </c>
      <c r="BA201" s="32" t="inlineStr">
        <is>
          <t xml:space="preserve">Yes</t>
        </is>
      </c>
      <c r="BB201" s="32" t="inlineStr">
        <is>
          <t xml:space="preserve">Yes</t>
        </is>
      </c>
      <c r="BC201" s="30" t="inlineStr">
        <is>
          <t xml:space="preserve">Synthetic demo data</t>
        </is>
      </c>
      <c r="BE201" s="45">
        <f>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c>
      <c r="BF201" s="45">
        <f>IF($AD201="","",IF(ROUND($AO201+$AP201+$AQ201-$AD201,2)=0,"OK","FAIL - out by "&amp;TEXT($AO201+$AP201+$AQ201-$AD201,"$0.00")))</f>
      </c>
    </row>
    <row r="202" spans="1:58" ht="18.75" customHeight="1" x14ac:dyDescent="0.25">
      <c r="A202" s="46" t="inlineStr">
        <is>
          <t xml:space="preserve">CANON-202606-008687</t>
        </is>
      </c>
      <c r="B202" s="46" t="inlineStr">
        <is>
          <t xml:space="preserve">Beatrix Nakashima</t>
        </is>
      </c>
      <c r="C202" s="47">
        <v>46174</v>
      </c>
      <c r="D202" s="48" t="inlineStr">
        <is>
          <t xml:space="preserve">Bound - within authority</t>
        </is>
      </c>
      <c r="E202" s="48" t="inlineStr">
        <is>
          <t xml:space="preserve">New business</t>
        </is>
      </c>
      <c r="F202" s="46" t="inlineStr">
        <is>
          <t xml:space="preserve">B1234EXOTIC26</t>
        </is>
      </c>
      <c r="G202" s="33">
        <f>IF($A202="","",IF($C202="","",YEAR($C202)))</f>
      </c>
      <c r="H202" s="49">
        <v>1996</v>
      </c>
      <c r="I202" s="46" t="inlineStr">
        <is>
          <t xml:space="preserve">Mercedes-Benz</t>
        </is>
      </c>
      <c r="J202" s="46" t="inlineStr">
        <is>
          <t xml:space="preserve">AMG GT</t>
        </is>
      </c>
      <c r="K202" s="46" t="inlineStr">
        <is>
          <t xml:space="preserve">6YTABLVW7EPR34H3V</t>
        </is>
      </c>
      <c r="L202" s="48" t="inlineStr">
        <is>
          <t xml:space="preserve">02 - Sports / GT</t>
        </is>
      </c>
      <c r="M202" s="50">
        <v>385000</v>
      </c>
      <c r="N202" s="48" t="inlineStr">
        <is>
          <t xml:space="preserve">Personal</t>
        </is>
      </c>
      <c r="O202" s="46" t="inlineStr">
        <is>
          <t xml:space="preserve">Personal - regular use</t>
        </is>
      </c>
      <c r="P202" s="46" t="inlineStr">
        <is>
          <t xml:space="preserve">2,500 - 5,000</t>
        </is>
      </c>
      <c r="Q202" s="46" t="inlineStr">
        <is>
          <t xml:space="preserve">North Dakota</t>
        </is>
      </c>
      <c r="R202" s="46" t="inlineStr">
        <is>
          <t xml:space="preserve">58501</t>
        </is>
      </c>
      <c r="S202" s="48" t="inlineStr">
        <is>
          <t xml:space="preserve">Severe convective - hail alley (high)</t>
        </is>
      </c>
      <c r="T202" s="36">
        <f>IF($A202="","",IF($S202="","",IFERROR(INDEX('[1]natural catastrophe'!$D$6:$D$17,MATCH($S202,'[1]natural catastrophe'!$B$6:$B$17,0)),"?")))</f>
      </c>
      <c r="U202" s="46" t="inlineStr">
        <is>
          <t xml:space="preserve">$5,000</t>
        </is>
      </c>
      <c r="V202" s="48" t="inlineStr">
        <is>
          <t xml:space="preserve">Agreed Value</t>
        </is>
      </c>
      <c r="W202" s="46" t="inlineStr">
        <is>
          <t xml:space="preserve">$1,000</t>
        </is>
      </c>
      <c r="X202" s="48" t="inlineStr">
        <is>
          <t xml:space="preserve">$1,000,000 CSL</t>
        </is>
      </c>
      <c r="Y202" s="46"/>
      <c r="Z202" s="46"/>
      <c r="AA202" s="48" t="inlineStr">
        <is>
          <t xml:space="preserve">Surplus Lines</t>
        </is>
      </c>
      <c r="AB202" s="50">
        <v>4250.05</v>
      </c>
      <c r="AC202" s="51">
        <v>0</v>
      </c>
      <c r="AD202" s="38">
        <f>IF(ISNUMBER($AB202),$AB202*(1+N($AC202)),"")</f>
      </c>
      <c r="AE202" s="50">
        <v>350</v>
      </c>
      <c r="AF202" s="50">
        <v>0</v>
      </c>
      <c r="AG202" s="51"/>
      <c r="AH202" s="39">
        <f>IF(ISNUMBER($AD202),($AD202+$AE202+$AF202)*$AG202,"")</f>
      </c>
      <c r="AI202" s="50"/>
      <c r="AJ202" s="38">
        <f>IF(ISNUMBER($AD202),SUM($AD202:$AH202),"")</f>
      </c>
      <c r="AK202" s="40">
        <f>IF(AND(ISNUMBER($AB202),ISNUMBER($AD202)),IF($AB202&gt;0,$AD202/$AB202,""),"")</f>
      </c>
      <c r="AL202" s="48" t="inlineStr">
        <is>
          <t xml:space="preserve">At technical</t>
        </is>
      </c>
      <c r="AM202" s="41">
        <f>IF(ISNUMBER($AD202),Header!$I$3,"")</f>
      </c>
      <c r="AN202" s="39">
        <f>IF(ISNUMBER($AD202),$AO202+$AP202,"")</f>
      </c>
      <c r="AO202" s="39">
        <f>IF(ISNUMBER($AD202),ROUND($AD202*Header!$K$3,2),"")</f>
      </c>
      <c r="AP202" s="39">
        <f>IF(ISNUMBER($AD202),ROUND($AD202*Header!$M$3,2),"")</f>
      </c>
      <c r="AQ202" s="38">
        <f>IF(ISNUMBER($AD202),ROUND($AD202,2)-$AO202-$AP202,"")</f>
      </c>
      <c r="AR202" s="39">
        <f>IF(ISNUMBER($AD202),IF(Header!$D$34="","?",$AD202*Header!$D$34),"")</f>
      </c>
      <c r="AS202" s="39">
        <f>IF(ISNUMBER($AB202),IF(Header!$D$34="","?",$AB202*Header!$D$34),"")</f>
      </c>
      <c r="AT202" s="42">
        <f>IF(AND(ISNUMBER($AB202),$M202&gt;0),$AB202/$M202*100,"")</f>
      </c>
      <c r="AU202" s="42">
        <f>IF(AND(ISNUMBER($AD202),$M202&gt;0),$AD202/$M202*100,"")</f>
      </c>
      <c r="AV202" s="40">
        <f>IF(AND(ISNUMBER($AB202),ISNUMBER($AD202),ABS($AB202)&gt;0),$AD202/$AB202,"")</f>
      </c>
      <c r="AW202" s="39">
        <f>IF(ISNUMBER($AD202),MAX(0,(1-0.55-Header!$O$3)*Header!$Q$3*$AQ202),"")</f>
      </c>
      <c r="AX202" s="43">
        <f>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c>
      <c r="AY202" s="44">
        <f>IF($M202="","",IF(ISNUMBER($M202),IF($M202&gt;=Header!$C$18,"YES — refer","No"),""))</f>
      </c>
      <c r="AZ202" s="44">
        <f>IF($AD202="","",IF(ISNUMBER($AD202),IF($AD202&lt;Header!$C$20,"BELOW MIN PREMIUM","OK"),""))</f>
      </c>
      <c r="BA202" s="48" t="inlineStr">
        <is>
          <t xml:space="preserve">Yes</t>
        </is>
      </c>
      <c r="BB202" s="48" t="inlineStr">
        <is>
          <t xml:space="preserve">Yes</t>
        </is>
      </c>
      <c r="BC202" s="46" t="inlineStr">
        <is>
          <t xml:space="preserve">Synthetic demo data</t>
        </is>
      </c>
      <c r="BE202" s="45">
        <f>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c>
      <c r="BF202" s="45">
        <f>IF($AD202="","",IF(ROUND($AO202+$AP202+$AQ202-$AD202,2)=0,"OK","FAIL - out by "&amp;TEXT($AO202+$AP202+$AQ202-$AD202,"$0.00")))</f>
      </c>
    </row>
    <row r="203" spans="1:58" ht="18.75" customHeight="1" x14ac:dyDescent="0.25">
      <c r="A203" s="30" t="inlineStr">
        <is>
          <t xml:space="preserve">CANON-202606-008688</t>
        </is>
      </c>
      <c r="B203" s="30" t="inlineStr">
        <is>
          <t xml:space="preserve">Cassius Delacroix</t>
        </is>
      </c>
      <c r="C203" s="31">
        <v>46193</v>
      </c>
      <c r="D203" s="32" t="inlineStr">
        <is>
          <t xml:space="preserve">Bound - within authority</t>
        </is>
      </c>
      <c r="E203" s="32" t="inlineStr">
        <is>
          <t xml:space="preserve">New business</t>
        </is>
      </c>
      <c r="F203" s="30" t="inlineStr">
        <is>
          <t xml:space="preserve">B1234EXOTIC26</t>
        </is>
      </c>
      <c r="G203" s="33">
        <f>IF($A203="","",IF($C203="","",YEAR($C203)))</f>
      </c>
      <c r="H203" s="34">
        <v>1961</v>
      </c>
      <c r="I203" s="30" t="inlineStr">
        <is>
          <t xml:space="preserve">BMW</t>
        </is>
      </c>
      <c r="J203" s="30" t="inlineStr">
        <is>
          <t xml:space="preserve">M8 Competition</t>
        </is>
      </c>
      <c r="K203" s="30" t="inlineStr">
        <is>
          <t xml:space="preserve">KMMFHLTZH2XX3JKLW</t>
        </is>
      </c>
      <c r="L203" s="32" t="inlineStr">
        <is>
          <t xml:space="preserve">02 - Sports / GT</t>
        </is>
      </c>
      <c r="M203" s="35">
        <v>925000</v>
      </c>
      <c r="N203" s="32" t="inlineStr">
        <is>
          <t xml:space="preserve">Personal</t>
        </is>
      </c>
      <c r="O203" s="30" t="inlineStr">
        <is>
          <t xml:space="preserve">Personal - regular use</t>
        </is>
      </c>
      <c r="P203" s="30" t="inlineStr">
        <is>
          <t xml:space="preserve">2,500 - 5,000</t>
        </is>
      </c>
      <c r="Q203" s="30" t="inlineStr">
        <is>
          <t xml:space="preserve">Connecticut</t>
        </is>
      </c>
      <c r="R203" s="30" t="inlineStr">
        <is>
          <t xml:space="preserve">06103</t>
        </is>
      </c>
      <c r="S203" s="32" t="inlineStr">
        <is>
          <t xml:space="preserve">Tier 3 - Coastal wind (25-100 miles)</t>
        </is>
      </c>
      <c r="T203" s="36">
        <f>IF($A203="","",IF($S203="","",IFERROR(INDEX('[1]natural catastrophe'!$D$6:$D$17,MATCH($S203,'[1]natural catastrophe'!$B$6:$B$17,0)),"?")))</f>
      </c>
      <c r="U203" s="30" t="inlineStr">
        <is>
          <t xml:space="preserve">2% of agreed value, minimum $10,000</t>
        </is>
      </c>
      <c r="V203" s="32" t="inlineStr">
        <is>
          <t xml:space="preserve">Agreed Value</t>
        </is>
      </c>
      <c r="W203" s="30" t="inlineStr">
        <is>
          <t xml:space="preserve">$1,000</t>
        </is>
      </c>
      <c r="X203" s="32" t="inlineStr">
        <is>
          <t xml:space="preserve">$1,000,000 CSL</t>
        </is>
      </c>
      <c r="Y203" s="30"/>
      <c r="Z203" s="30"/>
      <c r="AA203" s="32" t="inlineStr">
        <is>
          <t xml:space="preserve">Surplus Lines</t>
        </is>
      </c>
      <c r="AB203" s="35">
        <v>9717.29</v>
      </c>
      <c r="AC203" s="37">
        <v>0</v>
      </c>
      <c r="AD203" s="38">
        <f>IF(ISNUMBER($AB203),$AB203*(1+N($AC203)),"")</f>
      </c>
      <c r="AE203" s="35">
        <v>350</v>
      </c>
      <c r="AF203" s="35">
        <v>0</v>
      </c>
      <c r="AG203" s="37"/>
      <c r="AH203" s="39">
        <f>IF(ISNUMBER($AD203),($AD203+$AE203+$AF203)*$AG203,"")</f>
      </c>
      <c r="AI203" s="35"/>
      <c r="AJ203" s="38">
        <f>IF(ISNUMBER($AD203),SUM($AD203:$AH203),"")</f>
      </c>
      <c r="AK203" s="40">
        <f>IF(AND(ISNUMBER($AB203),ISNUMBER($AD203)),IF($AB203&gt;0,$AD203/$AB203,""),"")</f>
      </c>
      <c r="AL203" s="32" t="inlineStr">
        <is>
          <t xml:space="preserve">At technical</t>
        </is>
      </c>
      <c r="AM203" s="41">
        <f>IF(ISNUMBER($AD203),Header!$I$3,"")</f>
      </c>
      <c r="AN203" s="39">
        <f>IF(ISNUMBER($AD203),$AO203+$AP203,"")</f>
      </c>
      <c r="AO203" s="39">
        <f>IF(ISNUMBER($AD203),ROUND($AD203*Header!$K$3,2),"")</f>
      </c>
      <c r="AP203" s="39">
        <f>IF(ISNUMBER($AD203),ROUND($AD203*Header!$M$3,2),"")</f>
      </c>
      <c r="AQ203" s="38">
        <f>IF(ISNUMBER($AD203),ROUND($AD203,2)-$AO203-$AP203,"")</f>
      </c>
      <c r="AR203" s="39">
        <f>IF(ISNUMBER($AD203),IF(Header!$D$34="","?",$AD203*Header!$D$34),"")</f>
      </c>
      <c r="AS203" s="39">
        <f>IF(ISNUMBER($AB203),IF(Header!$D$34="","?",$AB203*Header!$D$34),"")</f>
      </c>
      <c r="AT203" s="42">
        <f>IF(AND(ISNUMBER($AB203),$M203&gt;0),$AB203/$M203*100,"")</f>
      </c>
      <c r="AU203" s="42">
        <f>IF(AND(ISNUMBER($AD203),$M203&gt;0),$AD203/$M203*100,"")</f>
      </c>
      <c r="AV203" s="40">
        <f>IF(AND(ISNUMBER($AB203),ISNUMBER($AD203),ABS($AB203)&gt;0),$AD203/$AB203,"")</f>
      </c>
      <c r="AW203" s="39">
        <f>IF(ISNUMBER($AD203),MAX(0,(1-0.55-Header!$O$3)*Header!$Q$3*$AQ203),"")</f>
      </c>
      <c r="AX203" s="43">
        <f>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c>
      <c r="AY203" s="44">
        <f>IF($M203="","",IF(ISNUMBER($M203),IF($M203&gt;=Header!$C$18,"YES — refer","No"),""))</f>
      </c>
      <c r="AZ203" s="44">
        <f>IF($AD203="","",IF(ISNUMBER($AD203),IF($AD203&lt;Header!$C$20,"BELOW MIN PREMIUM","OK"),""))</f>
      </c>
      <c r="BA203" s="32" t="inlineStr">
        <is>
          <t xml:space="preserve">Yes</t>
        </is>
      </c>
      <c r="BB203" s="32" t="inlineStr">
        <is>
          <t xml:space="preserve">Yes</t>
        </is>
      </c>
      <c r="BC203" s="30" t="inlineStr">
        <is>
          <t xml:space="preserve">Synthetic demo data</t>
        </is>
      </c>
      <c r="BE203" s="45">
        <f>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c>
      <c r="BF203" s="45">
        <f>IF($AD203="","",IF(ROUND($AO203+$AP203+$AQ203-$AD203,2)=0,"OK","FAIL - out by "&amp;TEXT($AO203+$AP203+$AQ203-$AD203,"$0.00")))</f>
      </c>
    </row>
    <row r="204" spans="1:58" ht="18.75" customHeight="1" x14ac:dyDescent="0.25">
      <c r="A204" s="46" t="inlineStr">
        <is>
          <t xml:space="preserve">CANON-202606-008689</t>
        </is>
      </c>
      <c r="B204" s="46" t="inlineStr">
        <is>
          <t xml:space="preserve">Mireille Farkas</t>
        </is>
      </c>
      <c r="C204" s="47">
        <v>46199</v>
      </c>
      <c r="D204" s="48" t="inlineStr">
        <is>
          <t xml:space="preserve">Bound - within authority</t>
        </is>
      </c>
      <c r="E204" s="48" t="inlineStr">
        <is>
          <t xml:space="preserve">New business</t>
        </is>
      </c>
      <c r="F204" s="46" t="inlineStr">
        <is>
          <t xml:space="preserve">B1234EXOTIC26</t>
        </is>
      </c>
      <c r="G204" s="33">
        <f>IF($A204="","",IF($C204="","",YEAR($C204)))</f>
      </c>
      <c r="H204" s="49">
        <v>2021</v>
      </c>
      <c r="I204" s="46" t="inlineStr">
        <is>
          <t xml:space="preserve">Aston Martin</t>
        </is>
      </c>
      <c r="J204" s="46" t="inlineStr">
        <is>
          <t xml:space="preserve">DB12</t>
        </is>
      </c>
      <c r="K204" s="46" t="inlineStr">
        <is>
          <t xml:space="preserve">DK5PVL9351B8MN1PR</t>
        </is>
      </c>
      <c r="L204" s="48" t="inlineStr">
        <is>
          <t xml:space="preserve">02 - Sports / GT</t>
        </is>
      </c>
      <c r="M204" s="50">
        <v>395000</v>
      </c>
      <c r="N204" s="48" t="inlineStr">
        <is>
          <t xml:space="preserve">Personal</t>
        </is>
      </c>
      <c r="O204" s="46" t="inlineStr">
        <is>
          <t xml:space="preserve">Personal - regular use</t>
        </is>
      </c>
      <c r="P204" s="46" t="inlineStr">
        <is>
          <t xml:space="preserve">Under 1,000</t>
        </is>
      </c>
      <c r="Q204" s="46" t="inlineStr">
        <is>
          <t xml:space="preserve">New Jersey</t>
        </is>
      </c>
      <c r="R204" s="46" t="inlineStr">
        <is>
          <t xml:space="preserve">07102</t>
        </is>
      </c>
      <c r="S204" s="48" t="inlineStr">
        <is>
          <t xml:space="preserve">Tier 3 - Coastal wind (25-100 miles)</t>
        </is>
      </c>
      <c r="T204" s="36">
        <f>IF($A204="","",IF($S204="","",IFERROR(INDEX('[1]natural catastrophe'!$D$6:$D$17,MATCH($S204,'[1]natural catastrophe'!$B$6:$B$17,0)),"?")))</f>
      </c>
      <c r="U204" s="46" t="inlineStr">
        <is>
          <t xml:space="preserve">2% of agreed value, minimum $10,000</t>
        </is>
      </c>
      <c r="V204" s="48" t="inlineStr">
        <is>
          <t xml:space="preserve">Agreed Value</t>
        </is>
      </c>
      <c r="W204" s="46" t="inlineStr">
        <is>
          <t xml:space="preserve">$1,000</t>
        </is>
      </c>
      <c r="X204" s="48" t="inlineStr">
        <is>
          <t xml:space="preserve">$1,000,000 CSL</t>
        </is>
      </c>
      <c r="Y204" s="46"/>
      <c r="Z204" s="46"/>
      <c r="AA204" s="48" t="inlineStr">
        <is>
          <t xml:space="preserve">Surplus Lines</t>
        </is>
      </c>
      <c r="AB204" s="50">
        <v>3890.2</v>
      </c>
      <c r="AC204" s="51">
        <v>0</v>
      </c>
      <c r="AD204" s="38">
        <f>IF(ISNUMBER($AB204),$AB204*(1+N($AC204)),"")</f>
      </c>
      <c r="AE204" s="50">
        <v>350</v>
      </c>
      <c r="AF204" s="50">
        <v>0</v>
      </c>
      <c r="AG204" s="51"/>
      <c r="AH204" s="39">
        <f>IF(ISNUMBER($AD204),($AD204+$AE204+$AF204)*$AG204,"")</f>
      </c>
      <c r="AI204" s="50"/>
      <c r="AJ204" s="38">
        <f>IF(ISNUMBER($AD204),SUM($AD204:$AH204),"")</f>
      </c>
      <c r="AK204" s="40">
        <f>IF(AND(ISNUMBER($AB204),ISNUMBER($AD204)),IF($AB204&gt;0,$AD204/$AB204,""),"")</f>
      </c>
      <c r="AL204" s="48" t="inlineStr">
        <is>
          <t xml:space="preserve">At technical</t>
        </is>
      </c>
      <c r="AM204" s="41">
        <f>IF(ISNUMBER($AD204),Header!$I$3,"")</f>
      </c>
      <c r="AN204" s="39">
        <f>IF(ISNUMBER($AD204),$AO204+$AP204,"")</f>
      </c>
      <c r="AO204" s="39">
        <f>IF(ISNUMBER($AD204),ROUND($AD204*Header!$K$3,2),"")</f>
      </c>
      <c r="AP204" s="39">
        <f>IF(ISNUMBER($AD204),ROUND($AD204*Header!$M$3,2),"")</f>
      </c>
      <c r="AQ204" s="38">
        <f>IF(ISNUMBER($AD204),ROUND($AD204,2)-$AO204-$AP204,"")</f>
      </c>
      <c r="AR204" s="39">
        <f>IF(ISNUMBER($AD204),IF(Header!$D$34="","?",$AD204*Header!$D$34),"")</f>
      </c>
      <c r="AS204" s="39">
        <f>IF(ISNUMBER($AB204),IF(Header!$D$34="","?",$AB204*Header!$D$34),"")</f>
      </c>
      <c r="AT204" s="42">
        <f>IF(AND(ISNUMBER($AB204),$M204&gt;0),$AB204/$M204*100,"")</f>
      </c>
      <c r="AU204" s="42">
        <f>IF(AND(ISNUMBER($AD204),$M204&gt;0),$AD204/$M204*100,"")</f>
      </c>
      <c r="AV204" s="40">
        <f>IF(AND(ISNUMBER($AB204),ISNUMBER($AD204),ABS($AB204)&gt;0),$AD204/$AB204,"")</f>
      </c>
      <c r="AW204" s="39">
        <f>IF(ISNUMBER($AD204),MAX(0,(1-0.55-Header!$O$3)*Header!$Q$3*$AQ204),"")</f>
      </c>
      <c r="AX204" s="43">
        <f>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c>
      <c r="AY204" s="44">
        <f>IF($M204="","",IF(ISNUMBER($M204),IF($M204&gt;=Header!$C$18,"YES — refer","No"),""))</f>
      </c>
      <c r="AZ204" s="44">
        <f>IF($AD204="","",IF(ISNUMBER($AD204),IF($AD204&lt;Header!$C$20,"BELOW MIN PREMIUM","OK"),""))</f>
      </c>
      <c r="BA204" s="48" t="inlineStr">
        <is>
          <t xml:space="preserve">Yes</t>
        </is>
      </c>
      <c r="BB204" s="48" t="inlineStr">
        <is>
          <t xml:space="preserve">Yes</t>
        </is>
      </c>
      <c r="BC204" s="46" t="inlineStr">
        <is>
          <t xml:space="preserve">Synthetic demo data</t>
        </is>
      </c>
      <c r="BE204" s="45">
        <f>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c>
      <c r="BF204" s="45">
        <f>IF($AD204="","",IF(ROUND($AO204+$AP204+$AQ204-$AD204,2)=0,"OK","FAIL - out by "&amp;TEXT($AO204+$AP204+$AQ204-$AD204,"$0.00")))</f>
      </c>
    </row>
    <row r="205" spans="1:58" ht="18.75" customHeight="1" x14ac:dyDescent="0.25">
      <c r="A205" s="30" t="inlineStr">
        <is>
          <t xml:space="preserve">CANON-202606-008690</t>
        </is>
      </c>
      <c r="B205" s="30" t="inlineStr">
        <is>
          <t xml:space="preserve">Delphine Underwood</t>
        </is>
      </c>
      <c r="C205" s="31">
        <v>46176</v>
      </c>
      <c r="D205" s="32" t="inlineStr">
        <is>
          <t xml:space="preserve">Bound - within authority</t>
        </is>
      </c>
      <c r="E205" s="32" t="inlineStr">
        <is>
          <t xml:space="preserve">New business</t>
        </is>
      </c>
      <c r="F205" s="30" t="inlineStr">
        <is>
          <t xml:space="preserve">B1234EXOTIC26</t>
        </is>
      </c>
      <c r="G205" s="33">
        <f>IF($A205="","",IF($C205="","",YEAR($C205)))</f>
      </c>
      <c r="H205" s="34">
        <v>2004</v>
      </c>
      <c r="I205" s="30" t="inlineStr">
        <is>
          <t xml:space="preserve">Mercedes-Benz</t>
        </is>
      </c>
      <c r="J205" s="30" t="inlineStr">
        <is>
          <t xml:space="preserve">280SL Pagoda</t>
        </is>
      </c>
      <c r="K205" s="30" t="inlineStr">
        <is>
          <t xml:space="preserve">Z05N7S14MAKZJ2NCR</t>
        </is>
      </c>
      <c r="L205" s="32" t="inlineStr">
        <is>
          <t xml:space="preserve">09 - Youngtimer / Collectible (2000-2010)</t>
        </is>
      </c>
      <c r="M205" s="35">
        <v>270000</v>
      </c>
      <c r="N205" s="32" t="inlineStr">
        <is>
          <t xml:space="preserve">Personal</t>
        </is>
      </c>
      <c r="O205" s="30" t="inlineStr">
        <is>
          <t xml:space="preserve">Personal - regular use</t>
        </is>
      </c>
      <c r="P205" s="30" t="inlineStr">
        <is>
          <t xml:space="preserve">2,500 - 5,000</t>
        </is>
      </c>
      <c r="Q205" s="30" t="inlineStr">
        <is>
          <t xml:space="preserve">Tennessee</t>
        </is>
      </c>
      <c r="R205" s="30" t="inlineStr">
        <is>
          <t xml:space="preserve">37203</t>
        </is>
      </c>
      <c r="S205" s="32" t="inlineStr">
        <is>
          <t xml:space="preserve">Severe convective - hail / tornado (moderate)</t>
        </is>
      </c>
      <c r="T205" s="36">
        <f>IF($A205="","",IF($S205="","",IFERROR(INDEX('[1]natural catastrophe'!$D$6:$D$17,MATCH($S205,'[1]natural catastrophe'!$B$6:$B$17,0)),"?")))</f>
      </c>
      <c r="U205" s="30" t="inlineStr">
        <is>
          <t xml:space="preserve">$5,000</t>
        </is>
      </c>
      <c r="V205" s="32" t="inlineStr">
        <is>
          <t xml:space="preserve">Agreed Value</t>
        </is>
      </c>
      <c r="W205" s="30" t="inlineStr">
        <is>
          <t xml:space="preserve">$1,000</t>
        </is>
      </c>
      <c r="X205" s="32" t="inlineStr">
        <is>
          <t xml:space="preserve">$1,000,000 CSL</t>
        </is>
      </c>
      <c r="Y205" s="30"/>
      <c r="Z205" s="30"/>
      <c r="AA205" s="32" t="inlineStr">
        <is>
          <t xml:space="preserve">Surplus Lines</t>
        </is>
      </c>
      <c r="AB205" s="35">
        <v>1832.75</v>
      </c>
      <c r="AC205" s="37">
        <v>0</v>
      </c>
      <c r="AD205" s="38">
        <f>IF(ISNUMBER($AB205),$AB205*(1+N($AC205)),"")</f>
      </c>
      <c r="AE205" s="35">
        <v>350</v>
      </c>
      <c r="AF205" s="35">
        <v>0</v>
      </c>
      <c r="AG205" s="37"/>
      <c r="AH205" s="39">
        <f>IF(ISNUMBER($AD205),($AD205+$AE205+$AF205)*$AG205,"")</f>
      </c>
      <c r="AI205" s="35"/>
      <c r="AJ205" s="38">
        <f>IF(ISNUMBER($AD205),SUM($AD205:$AH205),"")</f>
      </c>
      <c r="AK205" s="40">
        <f>IF(AND(ISNUMBER($AB205),ISNUMBER($AD205)),IF($AB205&gt;0,$AD205/$AB205,""),"")</f>
      </c>
      <c r="AL205" s="32" t="inlineStr">
        <is>
          <t xml:space="preserve">At technical</t>
        </is>
      </c>
      <c r="AM205" s="41">
        <f>IF(ISNUMBER($AD205),Header!$I$3,"")</f>
      </c>
      <c r="AN205" s="39">
        <f>IF(ISNUMBER($AD205),$AO205+$AP205,"")</f>
      </c>
      <c r="AO205" s="39">
        <f>IF(ISNUMBER($AD205),ROUND($AD205*Header!$K$3,2),"")</f>
      </c>
      <c r="AP205" s="39">
        <f>IF(ISNUMBER($AD205),ROUND($AD205*Header!$M$3,2),"")</f>
      </c>
      <c r="AQ205" s="38">
        <f>IF(ISNUMBER($AD205),ROUND($AD205,2)-$AO205-$AP205,"")</f>
      </c>
      <c r="AR205" s="39">
        <f>IF(ISNUMBER($AD205),IF(Header!$D$34="","?",$AD205*Header!$D$34),"")</f>
      </c>
      <c r="AS205" s="39">
        <f>IF(ISNUMBER($AB205),IF(Header!$D$34="","?",$AB205*Header!$D$34),"")</f>
      </c>
      <c r="AT205" s="42">
        <f>IF(AND(ISNUMBER($AB205),$M205&gt;0),$AB205/$M205*100,"")</f>
      </c>
      <c r="AU205" s="42">
        <f>IF(AND(ISNUMBER($AD205),$M205&gt;0),$AD205/$M205*100,"")</f>
      </c>
      <c r="AV205" s="40">
        <f>IF(AND(ISNUMBER($AB205),ISNUMBER($AD205),ABS($AB205)&gt;0),$AD205/$AB205,"")</f>
      </c>
      <c r="AW205" s="39">
        <f>IF(ISNUMBER($AD205),MAX(0,(1-0.55-Header!$O$3)*Header!$Q$3*$AQ205),"")</f>
      </c>
      <c r="AX205" s="43">
        <f>IF($A205="","",IF(TRIM(IF($A205="","Missing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",""))="","PASS","FAIL: "&amp;TRIM(IF($A205="","Missing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f>
      </c>
      <c r="AY205" s="44">
        <f>IF($M205="","",IF(ISNUMBER($M205),IF($M205&gt;=Header!$C$18,"YES — refer","No"),""))</f>
      </c>
      <c r="AZ205" s="44">
        <f>IF($AD205="","",IF(ISNUMBER($AD205),IF($AD205&lt;Header!$C$20,"BELOW MIN PREMIUM","OK"),""))</f>
      </c>
      <c r="BA205" s="32" t="inlineStr">
        <is>
          <t xml:space="preserve">Yes</t>
        </is>
      </c>
      <c r="BB205" s="32" t="inlineStr">
        <is>
          <t xml:space="preserve">Yes</t>
        </is>
      </c>
      <c r="BC205" s="30" t="inlineStr">
        <is>
          <t xml:space="preserve">Synthetic demo data</t>
        </is>
      </c>
      <c r="BE205" s="45">
        <f>IF(OR($A205="",$L205="",$H205=""),"",IF(AND(LEFT($L205,2)="06",$H205&gt;1945),"FAIL - pre-war class, year "&amp;$H205,IF(AND(LEFT($L205,2)="07",OR($H205&lt;1946,$H205&gt;1972)),"FAIL - 1946-72 class, year "&amp;$H205,IF(AND(LEFT($L205,2)="08",OR($H205&lt;1973,$H205&gt;1999)),"FAIL - 1973-99 class, year "&amp;$H205,IF(AND(LEFT($L205,2)="09",OR($H205&lt;2000,$H205&gt;2010)),"FAIL - 2000-10 class, year "&amp;$H205,"OK")))))</f>
      </c>
      <c r="BF205" s="45">
        <f>IF($AD205="","",IF(ROUND($AO205+$AP205+$AQ205-$AD205,2)=0,"OK","FAIL - out by "&amp;TEXT($AO205+$AP205+$AQ205-$AD205,"$0.00")))</f>
      </c>
    </row>
    <row r="206" spans="1:58" ht="18.75" customHeight="1" x14ac:dyDescent="0.25">
      <c r="A206" s="46" t="inlineStr">
        <is>
          <t xml:space="preserve">CANON-202606-008691</t>
        </is>
      </c>
      <c r="B206" s="46" t="inlineStr">
        <is>
          <t xml:space="preserve">Desmond Merriweather</t>
        </is>
      </c>
      <c r="C206" s="47">
        <v>46199</v>
      </c>
      <c r="D206" s="48" t="inlineStr">
        <is>
          <t xml:space="preserve">Bound - within authority</t>
        </is>
      </c>
      <c r="E206" s="48" t="inlineStr">
        <is>
          <t xml:space="preserve">New business</t>
        </is>
      </c>
      <c r="F206" s="46" t="inlineStr">
        <is>
          <t xml:space="preserve">B1234EXOTIC26</t>
        </is>
      </c>
      <c r="G206" s="33">
        <f>IF($A206="","",IF($C206="","",YEAR($C206)))</f>
      </c>
      <c r="H206" s="49">
        <v>1971</v>
      </c>
      <c r="I206" s="46" t="inlineStr">
        <is>
          <t xml:space="preserve">BMW</t>
        </is>
      </c>
      <c r="J206" s="46" t="inlineStr">
        <is>
          <t xml:space="preserve">M8 Competition</t>
        </is>
      </c>
      <c r="K206" s="46" t="inlineStr">
        <is>
          <t xml:space="preserve">E5UUL2GAMKNGD190X</t>
        </is>
      </c>
      <c r="L206" s="48" t="inlineStr">
        <is>
          <t xml:space="preserve">02 - Sports / GT</t>
        </is>
      </c>
      <c r="M206" s="50">
        <v>300000</v>
      </c>
      <c r="N206" s="48" t="inlineStr">
        <is>
          <t xml:space="preserve">Personal</t>
        </is>
      </c>
      <c r="O206" s="46" t="inlineStr">
        <is>
          <t xml:space="preserve">Personal - regular use</t>
        </is>
      </c>
      <c r="P206" s="46" t="inlineStr">
        <is>
          <t xml:space="preserve">Under 1,000</t>
        </is>
      </c>
      <c r="Q206" s="46" t="inlineStr">
        <is>
          <t xml:space="preserve">Oklahoma</t>
        </is>
      </c>
      <c r="R206" s="46" t="inlineStr">
        <is>
          <t xml:space="preserve">73102</t>
        </is>
      </c>
      <c r="S206" s="48" t="inlineStr">
        <is>
          <t xml:space="preserve">Severe convective - hail alley (high)</t>
        </is>
      </c>
      <c r="T206" s="36">
        <f>IF($A206="","",IF($S206="","",IFERROR(INDEX('[1]natural catastrophe'!$D$6:$D$17,MATCH($S206,'[1]natural catastrophe'!$B$6:$B$17,0)),"?")))</f>
      </c>
      <c r="U206" s="46" t="inlineStr">
        <is>
          <t xml:space="preserve">$5,000</t>
        </is>
      </c>
      <c r="V206" s="48" t="inlineStr">
        <is>
          <t xml:space="preserve">Agreed Value</t>
        </is>
      </c>
      <c r="W206" s="46" t="inlineStr">
        <is>
          <t xml:space="preserve">$1,000</t>
        </is>
      </c>
      <c r="X206" s="48" t="inlineStr">
        <is>
          <t xml:space="preserve">$1,000,000 CSL</t>
        </is>
      </c>
      <c r="Y206" s="46"/>
      <c r="Z206" s="46"/>
      <c r="AA206" s="48" t="inlineStr">
        <is>
          <t xml:space="preserve">Surplus Lines</t>
        </is>
      </c>
      <c r="AB206" s="50">
        <v>4090.96</v>
      </c>
      <c r="AC206" s="51">
        <v>0</v>
      </c>
      <c r="AD206" s="38">
        <f>IF(ISNUMBER($AB206),$AB206*(1+N($AC206)),"")</f>
      </c>
      <c r="AE206" s="50">
        <v>350</v>
      </c>
      <c r="AF206" s="50">
        <v>0</v>
      </c>
      <c r="AG206" s="51"/>
      <c r="AH206" s="39">
        <f>IF(ISNUMBER($AD206),($AD206+$AE206+$AF206)*$AG206,"")</f>
      </c>
      <c r="AI206" s="50"/>
      <c r="AJ206" s="38">
        <f>IF(ISNUMBER($AD206),SUM($AD206:$AH206),"")</f>
      </c>
      <c r="AK206" s="40">
        <f>IF(AND(ISNUMBER($AB206),ISNUMBER($AD206)),IF($AB206&gt;0,$AD206/$AB206,""),"")</f>
      </c>
      <c r="AL206" s="48" t="inlineStr">
        <is>
          <t xml:space="preserve">At technical</t>
        </is>
      </c>
      <c r="AM206" s="41">
        <f>IF(ISNUMBER($AD206),Header!$I$3,"")</f>
      </c>
      <c r="AN206" s="39">
        <f>IF(ISNUMBER($AD206),$AO206+$AP206,"")</f>
      </c>
      <c r="AO206" s="39">
        <f>IF(ISNUMBER($AD206),ROUND($AD206*Header!$K$3,2),"")</f>
      </c>
      <c r="AP206" s="39">
        <f>IF(ISNUMBER($AD206),ROUND($AD206*Header!$M$3,2),"")</f>
      </c>
      <c r="AQ206" s="38">
        <f>IF(ISNUMBER($AD206),ROUND($AD206,2)-$AO206-$AP206,"")</f>
      </c>
      <c r="AR206" s="39">
        <f>IF(ISNUMBER($AD206),IF(Header!$D$34="","?",$AD206*Header!$D$34),"")</f>
      </c>
      <c r="AS206" s="39">
        <f>IF(ISNUMBER($AB206),IF(Header!$D$34="","?",$AB206*Header!$D$34),"")</f>
      </c>
      <c r="AT206" s="42">
        <f>IF(AND(ISNUMBER($AB206),$M206&gt;0),$AB206/$M206*100,"")</f>
      </c>
      <c r="AU206" s="42">
        <f>IF(AND(ISNUMBER($AD206),$M206&gt;0),$AD206/$M206*100,"")</f>
      </c>
      <c r="AV206" s="40">
        <f>IF(AND(ISNUMBER($AB206),ISNUMBER($AD206),ABS($AB206)&gt;0),$AD206/$AB206,"")</f>
      </c>
      <c r="AW206" s="39">
        <f>IF(ISNUMBER($AD206),MAX(0,(1-0.55-Header!$O$3)*Header!$Q$3*$AQ206),"")</f>
      </c>
      <c r="AX206" s="43">
        <f>IF($A206="","",IF(TRIM(IF($A206="","Missing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",""))="","PASS","FAIL: "&amp;TRIM(IF($A206="","Missing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f>
      </c>
      <c r="AY206" s="44">
        <f>IF($M206="","",IF(ISNUMBER($M206),IF($M206&gt;=Header!$C$18,"YES — refer","No"),""))</f>
      </c>
      <c r="AZ206" s="44">
        <f>IF($AD206="","",IF(ISNUMBER($AD206),IF($AD206&lt;Header!$C$20,"BELOW MIN PREMIUM","OK"),""))</f>
      </c>
      <c r="BA206" s="48" t="inlineStr">
        <is>
          <t xml:space="preserve">Yes</t>
        </is>
      </c>
      <c r="BB206" s="48" t="inlineStr">
        <is>
          <t xml:space="preserve">Yes</t>
        </is>
      </c>
      <c r="BC206" s="46" t="inlineStr">
        <is>
          <t xml:space="preserve">Synthetic demo data</t>
        </is>
      </c>
      <c r="BE206" s="45">
        <f>IF(OR($A206="",$L206="",$H206=""),"",IF(AND(LEFT($L206,2)="06",$H206&gt;1945),"FAIL - pre-war class, year "&amp;$H206,IF(AND(LEFT($L206,2)="07",OR($H206&lt;1946,$H206&gt;1972)),"FAIL - 1946-72 class, year "&amp;$H206,IF(AND(LEFT($L206,2)="08",OR($H206&lt;1973,$H206&gt;1999)),"FAIL - 1973-99 class, year "&amp;$H206,IF(AND(LEFT($L206,2)="09",OR($H206&lt;2000,$H206&gt;2010)),"FAIL - 2000-10 class, year "&amp;$H206,"OK")))))</f>
      </c>
      <c r="BF206" s="45">
        <f>IF($AD206="","",IF(ROUND($AO206+$AP206+$AQ206-$AD206,2)=0,"OK","FAIL - out by "&amp;TEXT($AO206+$AP206+$AQ206-$AD206,"$0.00")))</f>
      </c>
    </row>
    <row r="207" spans="1:58" ht="18.75" customHeight="1" x14ac:dyDescent="0.25">
      <c r="A207" s="30" t="inlineStr">
        <is>
          <t xml:space="preserve">CANON-202606-008692</t>
        </is>
      </c>
      <c r="B207" s="30" t="inlineStr">
        <is>
          <t xml:space="preserve">Saoirse Okonkwo</t>
        </is>
      </c>
      <c r="C207" s="31">
        <v>46178</v>
      </c>
      <c r="D207" s="32" t="inlineStr">
        <is>
          <t xml:space="preserve">Bound - within authority</t>
        </is>
      </c>
      <c r="E207" s="32" t="inlineStr">
        <is>
          <t xml:space="preserve">New business</t>
        </is>
      </c>
      <c r="F207" s="30" t="inlineStr">
        <is>
          <t xml:space="preserve">B1234EXOTIC26</t>
        </is>
      </c>
      <c r="G207" s="33">
        <f>IF($A207="","",IF($C207="","",YEAR($C207)))</f>
      </c>
      <c r="H207" s="34">
        <v>1957</v>
      </c>
      <c r="I207" s="30" t="inlineStr">
        <is>
          <t xml:space="preserve">Bentley</t>
        </is>
      </c>
      <c r="J207" s="30" t="inlineStr">
        <is>
          <t xml:space="preserve">Continental GT</t>
        </is>
      </c>
      <c r="K207" s="30" t="inlineStr">
        <is>
          <t xml:space="preserve">UUZAGJXA40TZ5HFVY</t>
        </is>
      </c>
      <c r="L207" s="32" t="inlineStr">
        <is>
          <t xml:space="preserve">02 - Sports / GT</t>
        </is>
      </c>
      <c r="M207" s="35">
        <v>470000</v>
      </c>
      <c r="N207" s="32" t="inlineStr">
        <is>
          <t xml:space="preserve">Personal</t>
        </is>
      </c>
      <c r="O207" s="30" t="inlineStr">
        <is>
          <t xml:space="preserve">Personal - regular use</t>
        </is>
      </c>
      <c r="P207" s="30" t="inlineStr">
        <is>
          <t xml:space="preserve">Under 1,000</t>
        </is>
      </c>
      <c r="Q207" s="30" t="inlineStr">
        <is>
          <t xml:space="preserve">Michigan</t>
        </is>
      </c>
      <c r="R207" s="30" t="inlineStr">
        <is>
          <t xml:space="preserve">48226</t>
        </is>
      </c>
      <c r="S207" s="32" t="inlineStr">
        <is>
          <t xml:space="preserve">Severe convective - hail / tornado (moderate)</t>
        </is>
      </c>
      <c r="T207" s="36">
        <f>IF($A207="","",IF($S207="","",IFERROR(INDEX('[1]natural catastrophe'!$D$6:$D$17,MATCH($S207,'[1]natural catastrophe'!$B$6:$B$17,0)),"?")))</f>
      </c>
      <c r="U207" s="30" t="inlineStr">
        <is>
          <t xml:space="preserve">$5,000</t>
        </is>
      </c>
      <c r="V207" s="32" t="inlineStr">
        <is>
          <t xml:space="preserve">Agreed Value</t>
        </is>
      </c>
      <c r="W207" s="30" t="inlineStr">
        <is>
          <t xml:space="preserve">$1,000</t>
        </is>
      </c>
      <c r="X207" s="32" t="inlineStr">
        <is>
          <t xml:space="preserve">$1,000,000 CSL</t>
        </is>
      </c>
      <c r="Y207" s="30"/>
      <c r="Z207" s="30"/>
      <c r="AA207" s="32" t="inlineStr">
        <is>
          <t xml:space="preserve">Surplus Lines</t>
        </is>
      </c>
      <c r="AB207" s="35">
        <v>7884.29</v>
      </c>
      <c r="AC207" s="37">
        <v>0</v>
      </c>
      <c r="AD207" s="38">
        <f>IF(ISNUMBER($AB207),$AB207*(1+N($AC207)),"")</f>
      </c>
      <c r="AE207" s="35">
        <v>350</v>
      </c>
      <c r="AF207" s="35">
        <v>0</v>
      </c>
      <c r="AG207" s="37"/>
      <c r="AH207" s="39">
        <f>IF(ISNUMBER($AD207),($AD207+$AE207+$AF207)*$AG207,"")</f>
      </c>
      <c r="AI207" s="35"/>
      <c r="AJ207" s="38">
        <f>IF(ISNUMBER($AD207),SUM($AD207:$AH207),"")</f>
      </c>
      <c r="AK207" s="40">
        <f>IF(AND(ISNUMBER($AB207),ISNUMBER($AD207)),IF($AB207&gt;0,$AD207/$AB207,""),"")</f>
      </c>
      <c r="AL207" s="32" t="inlineStr">
        <is>
          <t xml:space="preserve">At technical</t>
        </is>
      </c>
      <c r="AM207" s="41">
        <f>IF(ISNUMBER($AD207),Header!$I$3,"")</f>
      </c>
      <c r="AN207" s="39">
        <f>IF(ISNUMBER($AD207),$AO207+$AP207,"")</f>
      </c>
      <c r="AO207" s="39">
        <f>IF(ISNUMBER($AD207),ROUND($AD207*Header!$K$3,2),"")</f>
      </c>
      <c r="AP207" s="39">
        <f>IF(ISNUMBER($AD207),ROUND($AD207*Header!$M$3,2),"")</f>
      </c>
      <c r="AQ207" s="38">
        <f>IF(ISNUMBER($AD207),ROUND($AD207,2)-$AO207-$AP207,"")</f>
      </c>
      <c r="AR207" s="39">
        <f>IF(ISNUMBER($AD207),IF(Header!$D$34="","?",$AD207*Header!$D$34),"")</f>
      </c>
      <c r="AS207" s="39">
        <f>IF(ISNUMBER($AB207),IF(Header!$D$34="","?",$AB207*Header!$D$34),"")</f>
      </c>
      <c r="AT207" s="42">
        <f>IF(AND(ISNUMBER($AB207),$M207&gt;0),$AB207/$M207*100,"")</f>
      </c>
      <c r="AU207" s="42">
        <f>IF(AND(ISNUMBER($AD207),$M207&gt;0),$AD207/$M207*100,"")</f>
      </c>
      <c r="AV207" s="40">
        <f>IF(AND(ISNUMBER($AB207),ISNUMBER($AD207),ABS($AB207)&gt;0),$AD207/$AB207,"")</f>
      </c>
      <c r="AW207" s="39">
        <f>IF(ISNUMBER($AD207),MAX(0,(1-0.55-Header!$O$3)*Header!$Q$3*$AQ207),"")</f>
      </c>
      <c r="AX207" s="43">
        <f>IF($A207="","",IF(TRIM(IF($A207="","Missing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",""))="","PASS","FAIL: "&amp;TRIM(IF($A207="","Missing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f>
      </c>
      <c r="AY207" s="44">
        <f>IF($M207="","",IF(ISNUMBER($M207),IF($M207&gt;=Header!$C$18,"YES — refer","No"),""))</f>
      </c>
      <c r="AZ207" s="44">
        <f>IF($AD207="","",IF(ISNUMBER($AD207),IF($AD207&lt;Header!$C$20,"BELOW MIN PREMIUM","OK"),""))</f>
      </c>
      <c r="BA207" s="32" t="inlineStr">
        <is>
          <t xml:space="preserve">Yes</t>
        </is>
      </c>
      <c r="BB207" s="32" t="inlineStr">
        <is>
          <t xml:space="preserve">Yes</t>
        </is>
      </c>
      <c r="BC207" s="30" t="inlineStr">
        <is>
          <t xml:space="preserve">Synthetic demo data</t>
        </is>
      </c>
      <c r="BE207" s="45">
        <f>IF(OR($A207="",$L207="",$H207=""),"",IF(AND(LEFT($L207,2)="06",$H207&gt;1945),"FAIL - pre-war class, year "&amp;$H207,IF(AND(LEFT($L207,2)="07",OR($H207&lt;1946,$H207&gt;1972)),"FAIL - 1946-72 class, year "&amp;$H207,IF(AND(LEFT($L207,2)="08",OR($H207&lt;1973,$H207&gt;1999)),"FAIL - 1973-99 class, year "&amp;$H207,IF(AND(LEFT($L207,2)="09",OR($H207&lt;2000,$H207&gt;2010)),"FAIL - 2000-10 class, year "&amp;$H207,"OK")))))</f>
      </c>
      <c r="BF207" s="45">
        <f>IF($AD207="","",IF(ROUND($AO207+$AP207+$AQ207-$AD207,2)=0,"OK","FAIL - out by "&amp;TEXT($AO207+$AP207+$AQ207-$AD207,"$0.00")))</f>
      </c>
    </row>
    <row r="208" spans="1:58" ht="18.75" customHeight="1" x14ac:dyDescent="0.25">
      <c r="A208" s="46" t="inlineStr">
        <is>
          <t xml:space="preserve">CANON-202606-008693</t>
        </is>
      </c>
      <c r="B208" s="46" t="inlineStr">
        <is>
          <t xml:space="preserve">Everett Nakashima</t>
        </is>
      </c>
      <c r="C208" s="47">
        <v>46198</v>
      </c>
      <c r="D208" s="48" t="inlineStr">
        <is>
          <t xml:space="preserve">Bound - within authority</t>
        </is>
      </c>
      <c r="E208" s="48" t="inlineStr">
        <is>
          <t xml:space="preserve">New business</t>
        </is>
      </c>
      <c r="F208" s="46" t="inlineStr">
        <is>
          <t xml:space="preserve">B1234EXOTIC26</t>
        </is>
      </c>
      <c r="G208" s="33">
        <f>IF($A208="","",IF($C208="","",YEAR($C208)))</f>
      </c>
      <c r="H208" s="49">
        <v>2009</v>
      </c>
      <c r="I208" s="46" t="inlineStr">
        <is>
          <t xml:space="preserve">Aston Martin</t>
        </is>
      </c>
      <c r="J208" s="46" t="inlineStr">
        <is>
          <t xml:space="preserve">DB12</t>
        </is>
      </c>
      <c r="K208" s="46" t="inlineStr">
        <is>
          <t xml:space="preserve">4J50Z6HC9X6WZAJFY</t>
        </is>
      </c>
      <c r="L208" s="48" t="inlineStr">
        <is>
          <t xml:space="preserve">02 - Sports / GT</t>
        </is>
      </c>
      <c r="M208" s="50">
        <v>340000</v>
      </c>
      <c r="N208" s="48" t="inlineStr">
        <is>
          <t xml:space="preserve">Personal</t>
        </is>
      </c>
      <c r="O208" s="46" t="inlineStr">
        <is>
          <t xml:space="preserve">Personal - regular use</t>
        </is>
      </c>
      <c r="P208" s="46" t="inlineStr">
        <is>
          <t xml:space="preserve">2,500 - 5,000</t>
        </is>
      </c>
      <c r="Q208" s="46" t="inlineStr">
        <is>
          <t xml:space="preserve">New Hampshire</t>
        </is>
      </c>
      <c r="R208" s="46" t="inlineStr">
        <is>
          <t xml:space="preserve">03301</t>
        </is>
      </c>
      <c r="S208" s="48" t="inlineStr">
        <is>
          <t xml:space="preserve">Tier 3 - Coastal wind (25-100 miles)</t>
        </is>
      </c>
      <c r="T208" s="36">
        <f>IF($A208="","",IF($S208="","",IFERROR(INDEX('[1]natural catastrophe'!$D$6:$D$17,MATCH($S208,'[1]natural catastrophe'!$B$6:$B$17,0)),"?")))</f>
      </c>
      <c r="U208" s="46" t="inlineStr">
        <is>
          <t xml:space="preserve">2% of agreed value, minimum $10,000</t>
        </is>
      </c>
      <c r="V208" s="48" t="inlineStr">
        <is>
          <t xml:space="preserve">Agreed Value</t>
        </is>
      </c>
      <c r="W208" s="46" t="inlineStr">
        <is>
          <t xml:space="preserve">$1,000</t>
        </is>
      </c>
      <c r="X208" s="48" t="inlineStr">
        <is>
          <t xml:space="preserve">$1,000,000 CSL</t>
        </is>
      </c>
      <c r="Y208" s="46"/>
      <c r="Z208" s="46"/>
      <c r="AA208" s="48" t="inlineStr">
        <is>
          <t xml:space="preserve">Surplus Lines</t>
        </is>
      </c>
      <c r="AB208" s="50">
        <v>3826.88</v>
      </c>
      <c r="AC208" s="51">
        <v>0</v>
      </c>
      <c r="AD208" s="38">
        <f>IF(ISNUMBER($AB208),$AB208*(1+N($AC208)),"")</f>
      </c>
      <c r="AE208" s="50">
        <v>350</v>
      </c>
      <c r="AF208" s="50">
        <v>0</v>
      </c>
      <c r="AG208" s="51"/>
      <c r="AH208" s="39">
        <f>IF(ISNUMBER($AD208),($AD208+$AE208+$AF208)*$AG208,"")</f>
      </c>
      <c r="AI208" s="50"/>
      <c r="AJ208" s="38">
        <f>IF(ISNUMBER($AD208),SUM($AD208:$AH208),"")</f>
      </c>
      <c r="AK208" s="40">
        <f>IF(AND(ISNUMBER($AB208),ISNUMBER($AD208)),IF($AB208&gt;0,$AD208/$AB208,""),"")</f>
      </c>
      <c r="AL208" s="48" t="inlineStr">
        <is>
          <t xml:space="preserve">At technical</t>
        </is>
      </c>
      <c r="AM208" s="41">
        <f>IF(ISNUMBER($AD208),Header!$I$3,"")</f>
      </c>
      <c r="AN208" s="39">
        <f>IF(ISNUMBER($AD208),$AO208+$AP208,"")</f>
      </c>
      <c r="AO208" s="39">
        <f>IF(ISNUMBER($AD208),ROUND($AD208*Header!$K$3,2),"")</f>
      </c>
      <c r="AP208" s="39">
        <f>IF(ISNUMBER($AD208),ROUND($AD208*Header!$M$3,2),"")</f>
      </c>
      <c r="AQ208" s="38">
        <f>IF(ISNUMBER($AD208),ROUND($AD208,2)-$AO208-$AP208,"")</f>
      </c>
      <c r="AR208" s="39">
        <f>IF(ISNUMBER($AD208),IF(Header!$D$34="","?",$AD208*Header!$D$34),"")</f>
      </c>
      <c r="AS208" s="39">
        <f>IF(ISNUMBER($AB208),IF(Header!$D$34="","?",$AB208*Header!$D$34),"")</f>
      </c>
      <c r="AT208" s="42">
        <f>IF(AND(ISNUMBER($AB208),$M208&gt;0),$AB208/$M208*100,"")</f>
      </c>
      <c r="AU208" s="42">
        <f>IF(AND(ISNUMBER($AD208),$M208&gt;0),$AD208/$M208*100,"")</f>
      </c>
      <c r="AV208" s="40">
        <f>IF(AND(ISNUMBER($AB208),ISNUMBER($AD208),ABS($AB208)&gt;0),$AD208/$AB208,"")</f>
      </c>
      <c r="AW208" s="39">
        <f>IF(ISNUMBER($AD208),MAX(0,(1-0.55-Header!$O$3)*Header!$Q$3*$AQ208),"")</f>
      </c>
      <c r="AX208" s="43">
        <f>IF($A208="","",IF(TRIM(IF($A208="","Missing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",""))="","PASS","FAIL: "&amp;TRIM(IF($A208="","Missing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f>
      </c>
      <c r="AY208" s="44">
        <f>IF($M208="","",IF(ISNUMBER($M208),IF($M208&gt;=Header!$C$18,"YES — refer","No"),""))</f>
      </c>
      <c r="AZ208" s="44">
        <f>IF($AD208="","",IF(ISNUMBER($AD208),IF($AD208&lt;Header!$C$20,"BELOW MIN PREMIUM","OK"),""))</f>
      </c>
      <c r="BA208" s="48" t="inlineStr">
        <is>
          <t xml:space="preserve">Yes</t>
        </is>
      </c>
      <c r="BB208" s="48" t="inlineStr">
        <is>
          <t xml:space="preserve">Yes</t>
        </is>
      </c>
      <c r="BC208" s="46" t="inlineStr">
        <is>
          <t xml:space="preserve">Synthetic demo data</t>
        </is>
      </c>
      <c r="BE208" s="45">
        <f>IF(OR($A208="",$L208="",$H208=""),"",IF(AND(LEFT($L208,2)="06",$H208&gt;1945),"FAIL - pre-war class, year "&amp;$H208,IF(AND(LEFT($L208,2)="07",OR($H208&lt;1946,$H208&gt;1972)),"FAIL - 1946-72 class, year "&amp;$H208,IF(AND(LEFT($L208,2)="08",OR($H208&lt;1973,$H208&gt;1999)),"FAIL - 1973-99 class, year "&amp;$H208,IF(AND(LEFT($L208,2)="09",OR($H208&lt;2000,$H208&gt;2010)),"FAIL - 2000-10 class, year "&amp;$H208,"OK")))))</f>
      </c>
      <c r="BF208" s="45">
        <f>IF($AD208="","",IF(ROUND($AO208+$AP208+$AQ208-$AD208,2)=0,"OK","FAIL - out by "&amp;TEXT($AO208+$AP208+$AQ208-$AD208,"$0.00")))</f>
      </c>
    </row>
    <row r="209" spans="1:58" ht="18.75" customHeight="1" x14ac:dyDescent="0.25">
      <c r="A209" s="30" t="inlineStr">
        <is>
          <t xml:space="preserve">CANON-202606-008695</t>
        </is>
      </c>
      <c r="B209" s="30" t="inlineStr">
        <is>
          <t xml:space="preserve">Ramona Whitlock</t>
        </is>
      </c>
      <c r="C209" s="31">
        <v>46181</v>
      </c>
      <c r="D209" s="32" t="inlineStr">
        <is>
          <t xml:space="preserve">Bound - within authority</t>
        </is>
      </c>
      <c r="E209" s="32" t="inlineStr">
        <is>
          <t xml:space="preserve">New business</t>
        </is>
      </c>
      <c r="F209" s="30" t="inlineStr">
        <is>
          <t xml:space="preserve">B1234EXOTIC26</t>
        </is>
      </c>
      <c r="G209" s="33">
        <f>IF($A209="","",IF($C209="","",YEAR($C209)))</f>
      </c>
      <c r="H209" s="34">
        <v>1985</v>
      </c>
      <c r="I209" s="30" t="inlineStr">
        <is>
          <t xml:space="preserve">Ferrari</t>
        </is>
      </c>
      <c r="J209" s="30" t="inlineStr">
        <is>
          <t xml:space="preserve">SF90 Stradale</t>
        </is>
      </c>
      <c r="K209" s="30" t="inlineStr">
        <is>
          <t xml:space="preserve">ZV96C7FDRKJ3D51LA</t>
        </is>
      </c>
      <c r="L209" s="32" t="inlineStr">
        <is>
          <t xml:space="preserve">03 - Supercar</t>
        </is>
      </c>
      <c r="M209" s="35">
        <v>1000000</v>
      </c>
      <c r="N209" s="32" t="inlineStr">
        <is>
          <t xml:space="preserve">Personal</t>
        </is>
      </c>
      <c r="O209" s="30" t="inlineStr">
        <is>
          <t xml:space="preserve">Personal - regular use</t>
        </is>
      </c>
      <c r="P209" s="30" t="inlineStr">
        <is>
          <t xml:space="preserve">1,000 - 2,500</t>
        </is>
      </c>
      <c r="Q209" s="30" t="inlineStr">
        <is>
          <t xml:space="preserve">Indiana</t>
        </is>
      </c>
      <c r="R209" s="30" t="inlineStr">
        <is>
          <t xml:space="preserve">46204</t>
        </is>
      </c>
      <c r="S209" s="32" t="inlineStr">
        <is>
          <t xml:space="preserve">Severe convective - hail / tornado (moderate)</t>
        </is>
      </c>
      <c r="T209" s="36">
        <f>IF($A209="","",IF($S209="","",IFERROR(INDEX('[1]natural catastrophe'!$D$6:$D$17,MATCH($S209,'[1]natural catastrophe'!$B$6:$B$17,0)),"?")))</f>
      </c>
      <c r="U209" s="30" t="inlineStr">
        <is>
          <t xml:space="preserve">$5,000</t>
        </is>
      </c>
      <c r="V209" s="32" t="inlineStr">
        <is>
          <t xml:space="preserve">Agreed Value</t>
        </is>
      </c>
      <c r="W209" s="30" t="inlineStr">
        <is>
          <t xml:space="preserve">$1,000</t>
        </is>
      </c>
      <c r="X209" s="32" t="inlineStr">
        <is>
          <t xml:space="preserve">$1,000,000 CSL</t>
        </is>
      </c>
      <c r="Y209" s="30"/>
      <c r="Z209" s="30"/>
      <c r="AA209" s="32" t="inlineStr">
        <is>
          <t xml:space="preserve">Surplus Lines</t>
        </is>
      </c>
      <c r="AB209" s="35">
        <v>14199.31</v>
      </c>
      <c r="AC209" s="37">
        <v>0</v>
      </c>
      <c r="AD209" s="38">
        <f>IF(ISNUMBER($AB209),$AB209*(1+N($AC209)),"")</f>
      </c>
      <c r="AE209" s="35">
        <v>350</v>
      </c>
      <c r="AF209" s="35">
        <v>250</v>
      </c>
      <c r="AG209" s="37"/>
      <c r="AH209" s="39">
        <f>IF(ISNUMBER($AD209),($AD209+$AE209+$AF209)*$AG209,"")</f>
      </c>
      <c r="AI209" s="35"/>
      <c r="AJ209" s="38">
        <f>IF(ISNUMBER($AD209),SUM($AD209:$AH209),"")</f>
      </c>
      <c r="AK209" s="40">
        <f>IF(AND(ISNUMBER($AB209),ISNUMBER($AD209)),IF($AB209&gt;0,$AD209/$AB209,""),"")</f>
      </c>
      <c r="AL209" s="32" t="inlineStr">
        <is>
          <t xml:space="preserve">At technical</t>
        </is>
      </c>
      <c r="AM209" s="41">
        <f>IF(ISNUMBER($AD209),Header!$I$3,"")</f>
      </c>
      <c r="AN209" s="39">
        <f>IF(ISNUMBER($AD209),$AO209+$AP209,"")</f>
      </c>
      <c r="AO209" s="39">
        <f>IF(ISNUMBER($AD209),ROUND($AD209*Header!$K$3,2),"")</f>
      </c>
      <c r="AP209" s="39">
        <f>IF(ISNUMBER($AD209),ROUND($AD209*Header!$M$3,2),"")</f>
      </c>
      <c r="AQ209" s="38">
        <f>IF(ISNUMBER($AD209),ROUND($AD209,2)-$AO209-$AP209,"")</f>
      </c>
      <c r="AR209" s="39">
        <f>IF(ISNUMBER($AD209),IF(Header!$D$34="","?",$AD209*Header!$D$34),"")</f>
      </c>
      <c r="AS209" s="39">
        <f>IF(ISNUMBER($AB209),IF(Header!$D$34="","?",$AB209*Header!$D$34),"")</f>
      </c>
      <c r="AT209" s="42">
        <f>IF(AND(ISNUMBER($AB209),$M209&gt;0),$AB209/$M209*100,"")</f>
      </c>
      <c r="AU209" s="42">
        <f>IF(AND(ISNUMBER($AD209),$M209&gt;0),$AD209/$M209*100,"")</f>
      </c>
      <c r="AV209" s="40">
        <f>IF(AND(ISNUMBER($AB209),ISNUMBER($AD209),ABS($AB209)&gt;0),$AD209/$AB209,"")</f>
      </c>
      <c r="AW209" s="39">
        <f>IF(ISNUMBER($AD209),MAX(0,(1-0.55-Header!$O$3)*Header!$Q$3*$AQ209),"")</f>
      </c>
      <c r="AX209" s="43">
        <f>IF($A209="","",IF(TRIM(IF($A209="","Missing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",""))="","PASS","FAIL: "&amp;TRIM(IF($A209="","Missing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f>
      </c>
      <c r="AY209" s="44">
        <f>IF($M209="","",IF(ISNUMBER($M209),IF($M209&gt;=Header!$C$18,"YES — refer","No"),""))</f>
      </c>
      <c r="AZ209" s="44">
        <f>IF($AD209="","",IF(ISNUMBER($AD209),IF($AD209&lt;Header!$C$20,"BELOW MIN PREMIUM","OK"),""))</f>
      </c>
      <c r="BA209" s="32" t="inlineStr">
        <is>
          <t xml:space="preserve">Yes</t>
        </is>
      </c>
      <c r="BB209" s="32" t="inlineStr">
        <is>
          <t xml:space="preserve">Yes</t>
        </is>
      </c>
      <c r="BC209" s="30" t="inlineStr">
        <is>
          <t xml:space="preserve">Synthetic demo data</t>
        </is>
      </c>
      <c r="BE209" s="45">
        <f>IF(OR($A209="",$L209="",$H209=""),"",IF(AND(LEFT($L209,2)="06",$H209&gt;1945),"FAIL - pre-war class, year "&amp;$H209,IF(AND(LEFT($L209,2)="07",OR($H209&lt;1946,$H209&gt;1972)),"FAIL - 1946-72 class, year "&amp;$H209,IF(AND(LEFT($L209,2)="08",OR($H209&lt;1973,$H209&gt;1999)),"FAIL - 1973-99 class, year "&amp;$H209,IF(AND(LEFT($L209,2)="09",OR($H209&lt;2000,$H209&gt;2010)),"FAIL - 2000-10 class, year "&amp;$H209,"OK")))))</f>
      </c>
      <c r="BF209" s="45">
        <f>IF($AD209="","",IF(ROUND($AO209+$AP209+$AQ209-$AD209,2)=0,"OK","FAIL - out by "&amp;TEXT($AO209+$AP209+$AQ209-$AD209,"$0.00")))</f>
      </c>
    </row>
    <row r="210" spans="1:58" ht="18.75" customHeight="1" x14ac:dyDescent="0.25">
      <c r="A210" s="46" t="inlineStr">
        <is>
          <t xml:space="preserve">CANON-202606-008696</t>
        </is>
      </c>
      <c r="B210" s="46" t="inlineStr">
        <is>
          <t xml:space="preserve">Sunniva Harrington</t>
        </is>
      </c>
      <c r="C210" s="47">
        <v>46180</v>
      </c>
      <c r="D210" s="48" t="inlineStr">
        <is>
          <t xml:space="preserve">Bound - within authority</t>
        </is>
      </c>
      <c r="E210" s="48" t="inlineStr">
        <is>
          <t xml:space="preserve">New business</t>
        </is>
      </c>
      <c r="F210" s="46" t="inlineStr">
        <is>
          <t xml:space="preserve">B1234EXOTIC26</t>
        </is>
      </c>
      <c r="G210" s="33">
        <f>IF($A210="","",IF($C210="","",YEAR($C210)))</f>
      </c>
      <c r="H210" s="49">
        <v>1975</v>
      </c>
      <c r="I210" s="46" t="inlineStr">
        <is>
          <t xml:space="preserve">Bentley</t>
        </is>
      </c>
      <c r="J210" s="46" t="inlineStr">
        <is>
          <t xml:space="preserve">Continental GT</t>
        </is>
      </c>
      <c r="K210" s="46" t="inlineStr">
        <is>
          <t xml:space="preserve">ZSAW6DP2JGRX0BC3H</t>
        </is>
      </c>
      <c r="L210" s="48" t="inlineStr">
        <is>
          <t xml:space="preserve">02 - Sports / GT</t>
        </is>
      </c>
      <c r="M210" s="50">
        <v>360000</v>
      </c>
      <c r="N210" s="48" t="inlineStr">
        <is>
          <t xml:space="preserve">Personal</t>
        </is>
      </c>
      <c r="O210" s="46" t="inlineStr">
        <is>
          <t xml:space="preserve">Personal - regular use</t>
        </is>
      </c>
      <c r="P210" s="46" t="inlineStr">
        <is>
          <t xml:space="preserve">Under 1,000</t>
        </is>
      </c>
      <c r="Q210" s="46" t="inlineStr">
        <is>
          <t xml:space="preserve">North Carolina</t>
        </is>
      </c>
      <c r="R210" s="46" t="inlineStr">
        <is>
          <t xml:space="preserve">28202</t>
        </is>
      </c>
      <c r="S210" s="48" t="inlineStr">
        <is>
          <t xml:space="preserve">Tier 2 - Coastal wind (1-25 miles)</t>
        </is>
      </c>
      <c r="T210" s="36">
        <f>IF($A210="","",IF($S210="","",IFERROR(INDEX('[1]natural catastrophe'!$D$6:$D$17,MATCH($S210,'[1]natural catastrophe'!$B$6:$B$17,0)),"?")))</f>
      </c>
      <c r="U210" s="46" t="inlineStr">
        <is>
          <t xml:space="preserve">2% of agreed value, minimum $10,000</t>
        </is>
      </c>
      <c r="V210" s="48" t="inlineStr">
        <is>
          <t xml:space="preserve">Agreed Value</t>
        </is>
      </c>
      <c r="W210" s="46" t="inlineStr">
        <is>
          <t xml:space="preserve">$1,000</t>
        </is>
      </c>
      <c r="X210" s="48" t="inlineStr">
        <is>
          <t xml:space="preserve">$1,000,000 CSL</t>
        </is>
      </c>
      <c r="Y210" s="46"/>
      <c r="Z210" s="46"/>
      <c r="AA210" s="48" t="inlineStr">
        <is>
          <t xml:space="preserve">Surplus Lines</t>
        </is>
      </c>
      <c r="AB210" s="50">
        <v>4480.57</v>
      </c>
      <c r="AC210" s="51">
        <v>0</v>
      </c>
      <c r="AD210" s="38">
        <f>IF(ISNUMBER($AB210),$AB210*(1+N($AC210)),"")</f>
      </c>
      <c r="AE210" s="50">
        <v>350</v>
      </c>
      <c r="AF210" s="50">
        <v>0</v>
      </c>
      <c r="AG210" s="51"/>
      <c r="AH210" s="39">
        <f>IF(ISNUMBER($AD210),($AD210+$AE210+$AF210)*$AG210,"")</f>
      </c>
      <c r="AI210" s="50"/>
      <c r="AJ210" s="38">
        <f>IF(ISNUMBER($AD210),SUM($AD210:$AH210),"")</f>
      </c>
      <c r="AK210" s="40">
        <f>IF(AND(ISNUMBER($AB210),ISNUMBER($AD210)),IF($AB210&gt;0,$AD210/$AB210,""),"")</f>
      </c>
      <c r="AL210" s="48" t="inlineStr">
        <is>
          <t xml:space="preserve">At technical</t>
        </is>
      </c>
      <c r="AM210" s="41">
        <f>IF(ISNUMBER($AD210),Header!$I$3,"")</f>
      </c>
      <c r="AN210" s="39">
        <f>IF(ISNUMBER($AD210),$AO210+$AP210,"")</f>
      </c>
      <c r="AO210" s="39">
        <f>IF(ISNUMBER($AD210),ROUND($AD210*Header!$K$3,2),"")</f>
      </c>
      <c r="AP210" s="39">
        <f>IF(ISNUMBER($AD210),ROUND($AD210*Header!$M$3,2),"")</f>
      </c>
      <c r="AQ210" s="38">
        <f>IF(ISNUMBER($AD210),ROUND($AD210,2)-$AO210-$AP210,"")</f>
      </c>
      <c r="AR210" s="39">
        <f>IF(ISNUMBER($AD210),IF(Header!$D$34="","?",$AD210*Header!$D$34),"")</f>
      </c>
      <c r="AS210" s="39">
        <f>IF(ISNUMBER($AB210),IF(Header!$D$34="","?",$AB210*Header!$D$34),"")</f>
      </c>
      <c r="AT210" s="42">
        <f>IF(AND(ISNUMBER($AB210),$M210&gt;0),$AB210/$M210*100,"")</f>
      </c>
      <c r="AU210" s="42">
        <f>IF(AND(ISNUMBER($AD210),$M210&gt;0),$AD210/$M210*100,"")</f>
      </c>
      <c r="AV210" s="40">
        <f>IF(AND(ISNUMBER($AB210),ISNUMBER($AD210),ABS($AB210)&gt;0),$AD210/$AB210,"")</f>
      </c>
      <c r="AW210" s="39">
        <f>IF(ISNUMBER($AD210),MAX(0,(1-0.55-Header!$O$3)*Header!$Q$3*$AQ210),"")</f>
      </c>
      <c r="AX210" s="43">
        <f>IF($A210="","",IF(TRIM(IF($A210="","Missing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",""))="","PASS","FAIL: "&amp;TRIM(IF($A210="","Missing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f>
      </c>
      <c r="AY210" s="44">
        <f>IF($M210="","",IF(ISNUMBER($M210),IF($M210&gt;=Header!$C$18,"YES — refer","No"),""))</f>
      </c>
      <c r="AZ210" s="44">
        <f>IF($AD210="","",IF(ISNUMBER($AD210),IF($AD210&lt;Header!$C$20,"BELOW MIN PREMIUM","OK"),""))</f>
      </c>
      <c r="BA210" s="48" t="inlineStr">
        <is>
          <t xml:space="preserve">Yes</t>
        </is>
      </c>
      <c r="BB210" s="48" t="inlineStr">
        <is>
          <t xml:space="preserve">Yes</t>
        </is>
      </c>
      <c r="BC210" s="46" t="inlineStr">
        <is>
          <t xml:space="preserve">Synthetic demo data</t>
        </is>
      </c>
      <c r="BE210" s="45">
        <f>IF(OR($A210="",$L210="",$H210=""),"",IF(AND(LEFT($L210,2)="06",$H210&gt;1945),"FAIL - pre-war class, year "&amp;$H210,IF(AND(LEFT($L210,2)="07",OR($H210&lt;1946,$H210&gt;1972)),"FAIL - 1946-72 class, year "&amp;$H210,IF(AND(LEFT($L210,2)="08",OR($H210&lt;1973,$H210&gt;1999)),"FAIL - 1973-99 class, year "&amp;$H210,IF(AND(LEFT($L210,2)="09",OR($H210&lt;2000,$H210&gt;2010)),"FAIL - 2000-10 class, year "&amp;$H210,"OK")))))</f>
      </c>
      <c r="BF210" s="45">
        <f>IF($AD210="","",IF(ROUND($AO210+$AP210+$AQ210-$AD210,2)=0,"OK","FAIL - out by "&amp;TEXT($AO210+$AP210+$AQ210-$AD210,"$0.00")))</f>
      </c>
    </row>
    <row r="211" spans="1:58" ht="18.75" customHeight="1" x14ac:dyDescent="0.25">
      <c r="A211" s="30" t="inlineStr">
        <is>
          <t xml:space="preserve">CANON-202606-008697</t>
        </is>
      </c>
      <c r="B211" s="30" t="inlineStr">
        <is>
          <t xml:space="preserve">Cassius Merriweather</t>
        </is>
      </c>
      <c r="C211" s="31">
        <v>46177</v>
      </c>
      <c r="D211" s="32" t="inlineStr">
        <is>
          <t xml:space="preserve">Bound - within authority</t>
        </is>
      </c>
      <c r="E211" s="32" t="inlineStr">
        <is>
          <t xml:space="preserve">New business</t>
        </is>
      </c>
      <c r="F211" s="30" t="inlineStr">
        <is>
          <t xml:space="preserve">B1234EXOTIC26</t>
        </is>
      </c>
      <c r="G211" s="33">
        <f>IF($A211="","",IF($C211="","",YEAR($C211)))</f>
      </c>
      <c r="H211" s="34">
        <v>1955</v>
      </c>
      <c r="I211" s="30" t="inlineStr">
        <is>
          <t xml:space="preserve">Maserati</t>
        </is>
      </c>
      <c r="J211" s="30" t="inlineStr">
        <is>
          <t xml:space="preserve">GranTurismo</t>
        </is>
      </c>
      <c r="K211" s="30" t="inlineStr">
        <is>
          <t xml:space="preserve">WYT4JVRA4WMRHTZJL</t>
        </is>
      </c>
      <c r="L211" s="32" t="inlineStr">
        <is>
          <t xml:space="preserve">02 - Sports / GT</t>
        </is>
      </c>
      <c r="M211" s="35">
        <v>525000</v>
      </c>
      <c r="N211" s="32" t="inlineStr">
        <is>
          <t xml:space="preserve">Personal</t>
        </is>
      </c>
      <c r="O211" s="30" t="inlineStr">
        <is>
          <t xml:space="preserve">Personal - regular use</t>
        </is>
      </c>
      <c r="P211" s="30" t="inlineStr">
        <is>
          <t xml:space="preserve">2,500 - 5,000</t>
        </is>
      </c>
      <c r="Q211" s="30" t="inlineStr">
        <is>
          <t xml:space="preserve">Florida</t>
        </is>
      </c>
      <c r="R211" s="30" t="inlineStr">
        <is>
          <t xml:space="preserve">33139</t>
        </is>
      </c>
      <c r="S211" s="32" t="inlineStr">
        <is>
          <t xml:space="preserve">Tier 2 - Coastal wind (1-25 miles)</t>
        </is>
      </c>
      <c r="T211" s="36">
        <f>IF($A211="","",IF($S211="","",IFERROR(INDEX('[1]natural catastrophe'!$D$6:$D$17,MATCH($S211,'[1]natural catastrophe'!$B$6:$B$17,0)),"?")))</f>
      </c>
      <c r="U211" s="30" t="inlineStr">
        <is>
          <t xml:space="preserve">2% of agreed value, minimum $10,000</t>
        </is>
      </c>
      <c r="V211" s="32" t="inlineStr">
        <is>
          <t xml:space="preserve">Agreed Value</t>
        </is>
      </c>
      <c r="W211" s="30" t="inlineStr">
        <is>
          <t xml:space="preserve">$1,000</t>
        </is>
      </c>
      <c r="X211" s="32" t="inlineStr">
        <is>
          <t xml:space="preserve">$1,000,000 CSL</t>
        </is>
      </c>
      <c r="Y211" s="30"/>
      <c r="Z211" s="30"/>
      <c r="AA211" s="32" t="inlineStr">
        <is>
          <t xml:space="preserve">Surplus Lines</t>
        </is>
      </c>
      <c r="AB211" s="35">
        <v>6992.51</v>
      </c>
      <c r="AC211" s="37">
        <v>0</v>
      </c>
      <c r="AD211" s="38">
        <f>IF(ISNUMBER($AB211),$AB211*(1+N($AC211)),"")</f>
      </c>
      <c r="AE211" s="35">
        <v>350</v>
      </c>
      <c r="AF211" s="35">
        <v>0</v>
      </c>
      <c r="AG211" s="37"/>
      <c r="AH211" s="39">
        <f>IF(ISNUMBER($AD211),($AD211+$AE211+$AF211)*$AG211,"")</f>
      </c>
      <c r="AI211" s="35"/>
      <c r="AJ211" s="38">
        <f>IF(ISNUMBER($AD211),SUM($AD211:$AH211),"")</f>
      </c>
      <c r="AK211" s="40">
        <f>IF(AND(ISNUMBER($AB211),ISNUMBER($AD211)),IF($AB211&gt;0,$AD211/$AB211,""),"")</f>
      </c>
      <c r="AL211" s="32" t="inlineStr">
        <is>
          <t xml:space="preserve">At technical</t>
        </is>
      </c>
      <c r="AM211" s="41">
        <f>IF(ISNUMBER($AD211),Header!$I$3,"")</f>
      </c>
      <c r="AN211" s="39">
        <f>IF(ISNUMBER($AD211),$AO211+$AP211,"")</f>
      </c>
      <c r="AO211" s="39">
        <f>IF(ISNUMBER($AD211),ROUND($AD211*Header!$K$3,2),"")</f>
      </c>
      <c r="AP211" s="39">
        <f>IF(ISNUMBER($AD211),ROUND($AD211*Header!$M$3,2),"")</f>
      </c>
      <c r="AQ211" s="38">
        <f>IF(ISNUMBER($AD211),ROUND($AD211,2)-$AO211-$AP211,"")</f>
      </c>
      <c r="AR211" s="39">
        <f>IF(ISNUMBER($AD211),IF(Header!$D$34="","?",$AD211*Header!$D$34),"")</f>
      </c>
      <c r="AS211" s="39">
        <f>IF(ISNUMBER($AB211),IF(Header!$D$34="","?",$AB211*Header!$D$34),"")</f>
      </c>
      <c r="AT211" s="42">
        <f>IF(AND(ISNUMBER($AB211),$M211&gt;0),$AB211/$M211*100,"")</f>
      </c>
      <c r="AU211" s="42">
        <f>IF(AND(ISNUMBER($AD211),$M211&gt;0),$AD211/$M211*100,"")</f>
      </c>
      <c r="AV211" s="40">
        <f>IF(AND(ISNUMBER($AB211),ISNUMBER($AD211),ABS($AB211)&gt;0),$AD211/$AB211,"")</f>
      </c>
      <c r="AW211" s="39">
        <f>IF(ISNUMBER($AD211),MAX(0,(1-0.55-Header!$O$3)*Header!$Q$3*$AQ211),"")</f>
      </c>
      <c r="AX211" s="43">
        <f>IF($A211="","",IF(TRIM(IF($A211="","Missing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",""))="","PASS","FAIL: "&amp;TRIM(IF($A211="","Missing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f>
      </c>
      <c r="AY211" s="44">
        <f>IF($M211="","",IF(ISNUMBER($M211),IF($M211&gt;=Header!$C$18,"YES — refer","No"),""))</f>
      </c>
      <c r="AZ211" s="44">
        <f>IF($AD211="","",IF(ISNUMBER($AD211),IF($AD211&lt;Header!$C$20,"BELOW MIN PREMIUM","OK"),""))</f>
      </c>
      <c r="BA211" s="32" t="inlineStr">
        <is>
          <t xml:space="preserve">Yes</t>
        </is>
      </c>
      <c r="BB211" s="32" t="inlineStr">
        <is>
          <t xml:space="preserve">Yes</t>
        </is>
      </c>
      <c r="BC211" s="30" t="inlineStr">
        <is>
          <t xml:space="preserve">Synthetic demo data</t>
        </is>
      </c>
      <c r="BE211" s="45">
        <f>IF(OR($A211="",$L211="",$H211=""),"",IF(AND(LEFT($L211,2)="06",$H211&gt;1945),"FAIL - pre-war class, year "&amp;$H211,IF(AND(LEFT($L211,2)="07",OR($H211&lt;1946,$H211&gt;1972)),"FAIL - 1946-72 class, year "&amp;$H211,IF(AND(LEFT($L211,2)="08",OR($H211&lt;1973,$H211&gt;1999)),"FAIL - 1973-99 class, year "&amp;$H211,IF(AND(LEFT($L211,2)="09",OR($H211&lt;2000,$H211&gt;2010)),"FAIL - 2000-10 class, year "&amp;$H211,"OK")))))</f>
      </c>
      <c r="BF211" s="45">
        <f>IF($AD211="","",IF(ROUND($AO211+$AP211+$AQ211-$AD211,2)=0,"OK","FAIL - out by "&amp;TEXT($AO211+$AP211+$AQ211-$AD211,"$0.00")))</f>
      </c>
    </row>
    <row r="212" spans="1:58" ht="18.75" customHeight="1" x14ac:dyDescent="0.25">
      <c r="A212" s="46" t="inlineStr">
        <is>
          <t xml:space="preserve">CANON-202606-008698</t>
        </is>
      </c>
      <c r="B212" s="46" t="inlineStr">
        <is>
          <t xml:space="preserve">Anouk Fairweather</t>
        </is>
      </c>
      <c r="C212" s="47">
        <v>46201</v>
      </c>
      <c r="D212" s="48" t="inlineStr">
        <is>
          <t xml:space="preserve">Bound - within authority</t>
        </is>
      </c>
      <c r="E212" s="48" t="inlineStr">
        <is>
          <t xml:space="preserve">New business</t>
        </is>
      </c>
      <c r="F212" s="46" t="inlineStr">
        <is>
          <t xml:space="preserve">B1234EXOTIC26</t>
        </is>
      </c>
      <c r="G212" s="33">
        <f>IF($A212="","",IF($C212="","",YEAR($C212)))</f>
      </c>
      <c r="H212" s="49">
        <v>1960</v>
      </c>
      <c r="I212" s="46" t="inlineStr">
        <is>
          <t xml:space="preserve">Mercedes-Benz</t>
        </is>
      </c>
      <c r="J212" s="46" t="inlineStr">
        <is>
          <t xml:space="preserve">AMG GT</t>
        </is>
      </c>
      <c r="K212" s="46" t="inlineStr">
        <is>
          <t xml:space="preserve">U8JUT94JSZCKT5VAX</t>
        </is>
      </c>
      <c r="L212" s="48" t="inlineStr">
        <is>
          <t xml:space="preserve">02 - Sports / GT</t>
        </is>
      </c>
      <c r="M212" s="50">
        <v>870000</v>
      </c>
      <c r="N212" s="48" t="inlineStr">
        <is>
          <t xml:space="preserve">Personal</t>
        </is>
      </c>
      <c r="O212" s="46" t="inlineStr">
        <is>
          <t xml:space="preserve">Personal - regular use</t>
        </is>
      </c>
      <c r="P212" s="46" t="inlineStr">
        <is>
          <t xml:space="preserve">1,000 - 2,500</t>
        </is>
      </c>
      <c r="Q212" s="46" t="inlineStr">
        <is>
          <t xml:space="preserve">Maryland</t>
        </is>
      </c>
      <c r="R212" s="46" t="inlineStr">
        <is>
          <t xml:space="preserve">21201</t>
        </is>
      </c>
      <c r="S212" s="48" t="inlineStr">
        <is>
          <t xml:space="preserve">Tier 3 - Coastal wind (25-100 miles)</t>
        </is>
      </c>
      <c r="T212" s="36">
        <f>IF($A212="","",IF($S212="","",IFERROR(INDEX('[1]natural catastrophe'!$D$6:$D$17,MATCH($S212,'[1]natural catastrophe'!$B$6:$B$17,0)),"?")))</f>
      </c>
      <c r="U212" s="46" t="inlineStr">
        <is>
          <t xml:space="preserve">2% of agreed value, minimum $10,000</t>
        </is>
      </c>
      <c r="V212" s="48" t="inlineStr">
        <is>
          <t xml:space="preserve">Agreed Value</t>
        </is>
      </c>
      <c r="W212" s="46" t="inlineStr">
        <is>
          <t xml:space="preserve">$1,000</t>
        </is>
      </c>
      <c r="X212" s="48" t="inlineStr">
        <is>
          <t xml:space="preserve">$1,000,000 CSL</t>
        </is>
      </c>
      <c r="Y212" s="46"/>
      <c r="Z212" s="46"/>
      <c r="AA212" s="48" t="inlineStr">
        <is>
          <t xml:space="preserve">Surplus Lines</t>
        </is>
      </c>
      <c r="AB212" s="50">
        <v>7752.26</v>
      </c>
      <c r="AC212" s="51">
        <v>0</v>
      </c>
      <c r="AD212" s="38">
        <f>IF(ISNUMBER($AB212),$AB212*(1+N($AC212)),"")</f>
      </c>
      <c r="AE212" s="50">
        <v>350</v>
      </c>
      <c r="AF212" s="50">
        <v>0</v>
      </c>
      <c r="AG212" s="51"/>
      <c r="AH212" s="39">
        <f>IF(ISNUMBER($AD212),($AD212+$AE212+$AF212)*$AG212,"")</f>
      </c>
      <c r="AI212" s="50"/>
      <c r="AJ212" s="38">
        <f>IF(ISNUMBER($AD212),SUM($AD212:$AH212),"")</f>
      </c>
      <c r="AK212" s="40">
        <f>IF(AND(ISNUMBER($AB212),ISNUMBER($AD212)),IF($AB212&gt;0,$AD212/$AB212,""),"")</f>
      </c>
      <c r="AL212" s="48" t="inlineStr">
        <is>
          <t xml:space="preserve">At technical</t>
        </is>
      </c>
      <c r="AM212" s="41">
        <f>IF(ISNUMBER($AD212),Header!$I$3,"")</f>
      </c>
      <c r="AN212" s="39">
        <f>IF(ISNUMBER($AD212),$AO212+$AP212,"")</f>
      </c>
      <c r="AO212" s="39">
        <f>IF(ISNUMBER($AD212),ROUND($AD212*Header!$K$3,2),"")</f>
      </c>
      <c r="AP212" s="39">
        <f>IF(ISNUMBER($AD212),ROUND($AD212*Header!$M$3,2),"")</f>
      </c>
      <c r="AQ212" s="38">
        <f>IF(ISNUMBER($AD212),ROUND($AD212,2)-$AO212-$AP212,"")</f>
      </c>
      <c r="AR212" s="39">
        <f>IF(ISNUMBER($AD212),IF(Header!$D$34="","?",$AD212*Header!$D$34),"")</f>
      </c>
      <c r="AS212" s="39">
        <f>IF(ISNUMBER($AB212),IF(Header!$D$34="","?",$AB212*Header!$D$34),"")</f>
      </c>
      <c r="AT212" s="42">
        <f>IF(AND(ISNUMBER($AB212),$M212&gt;0),$AB212/$M212*100,"")</f>
      </c>
      <c r="AU212" s="42">
        <f>IF(AND(ISNUMBER($AD212),$M212&gt;0),$AD212/$M212*100,"")</f>
      </c>
      <c r="AV212" s="40">
        <f>IF(AND(ISNUMBER($AB212),ISNUMBER($AD212),ABS($AB212)&gt;0),$AD212/$AB212,"")</f>
      </c>
      <c r="AW212" s="39">
        <f>IF(ISNUMBER($AD212),MAX(0,(1-0.55-Header!$O$3)*Header!$Q$3*$AQ212),"")</f>
      </c>
      <c r="AX212" s="43">
        <f>IF($A212="","",IF(TRIM(IF($A212="","Missing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",""))="","PASS","FAIL: "&amp;TRIM(IF($A212="","Missing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f>
      </c>
      <c r="AY212" s="44">
        <f>IF($M212="","",IF(ISNUMBER($M212),IF($M212&gt;=Header!$C$18,"YES — refer","No"),""))</f>
      </c>
      <c r="AZ212" s="44">
        <f>IF($AD212="","",IF(ISNUMBER($AD212),IF($AD212&lt;Header!$C$20,"BELOW MIN PREMIUM","OK"),""))</f>
      </c>
      <c r="BA212" s="48" t="inlineStr">
        <is>
          <t xml:space="preserve">Yes</t>
        </is>
      </c>
      <c r="BB212" s="48" t="inlineStr">
        <is>
          <t xml:space="preserve">Yes</t>
        </is>
      </c>
      <c r="BC212" s="46" t="inlineStr">
        <is>
          <t xml:space="preserve">Synthetic demo data</t>
        </is>
      </c>
      <c r="BE212" s="45">
        <f>IF(OR($A212="",$L212="",$H212=""),"",IF(AND(LEFT($L212,2)="06",$H212&gt;1945),"FAIL - pre-war class, year "&amp;$H212,IF(AND(LEFT($L212,2)="07",OR($H212&lt;1946,$H212&gt;1972)),"FAIL - 1946-72 class, year "&amp;$H212,IF(AND(LEFT($L212,2)="08",OR($H212&lt;1973,$H212&gt;1999)),"FAIL - 1973-99 class, year "&amp;$H212,IF(AND(LEFT($L212,2)="09",OR($H212&lt;2000,$H212&gt;2010)),"FAIL - 2000-10 class, year "&amp;$H212,"OK")))))</f>
      </c>
      <c r="BF212" s="45">
        <f>IF($AD212="","",IF(ROUND($AO212+$AP212+$AQ212-$AD212,2)=0,"OK","FAIL - out by "&amp;TEXT($AO212+$AP212+$AQ212-$AD212,"$0.00")))</f>
      </c>
    </row>
    <row r="213" spans="1:58" ht="18.75" customHeight="1" x14ac:dyDescent="0.25">
      <c r="A213" s="30" t="inlineStr">
        <is>
          <t xml:space="preserve">CANON-202606-008699</t>
        </is>
      </c>
      <c r="B213" s="30" t="inlineStr">
        <is>
          <t xml:space="preserve">Wilhelmina Farkas</t>
        </is>
      </c>
      <c r="C213" s="31">
        <v>46174</v>
      </c>
      <c r="D213" s="32" t="inlineStr">
        <is>
          <t xml:space="preserve">Bound - within authority</t>
        </is>
      </c>
      <c r="E213" s="32" t="inlineStr">
        <is>
          <t xml:space="preserve">New business</t>
        </is>
      </c>
      <c r="F213" s="30" t="inlineStr">
        <is>
          <t xml:space="preserve">B1234EXOTIC26</t>
        </is>
      </c>
      <c r="G213" s="33">
        <f>IF($A213="","",IF($C213="","",YEAR($C213)))</f>
      </c>
      <c r="H213" s="34">
        <v>1992</v>
      </c>
      <c r="I213" s="30" t="inlineStr">
        <is>
          <t xml:space="preserve">Porsche</t>
        </is>
      </c>
      <c r="J213" s="30" t="inlineStr">
        <is>
          <t xml:space="preserve">911 Turbo S</t>
        </is>
      </c>
      <c r="K213" s="30" t="inlineStr">
        <is>
          <t xml:space="preserve">663ETGRSGN7Z8TEVZ</t>
        </is>
      </c>
      <c r="L213" s="32" t="inlineStr">
        <is>
          <t xml:space="preserve">02 - Sports / GT</t>
        </is>
      </c>
      <c r="M213" s="35">
        <v>540000</v>
      </c>
      <c r="N213" s="32" t="inlineStr">
        <is>
          <t xml:space="preserve">Personal</t>
        </is>
      </c>
      <c r="O213" s="30" t="inlineStr">
        <is>
          <t xml:space="preserve">Personal - regular use</t>
        </is>
      </c>
      <c r="P213" s="30" t="inlineStr">
        <is>
          <t xml:space="preserve">2,500 - 5,000</t>
        </is>
      </c>
      <c r="Q213" s="30" t="inlineStr">
        <is>
          <t xml:space="preserve">Minnesota</t>
        </is>
      </c>
      <c r="R213" s="30" t="inlineStr">
        <is>
          <t xml:space="preserve">55401</t>
        </is>
      </c>
      <c r="S213" s="32" t="inlineStr">
        <is>
          <t xml:space="preserve">Severe convective - hail / tornado (moderate)</t>
        </is>
      </c>
      <c r="T213" s="36">
        <f>IF($A213="","",IF($S213="","",IFERROR(INDEX('[1]natural catastrophe'!$D$6:$D$17,MATCH($S213,'[1]natural catastrophe'!$B$6:$B$17,0)),"?")))</f>
      </c>
      <c r="U213" s="30" t="inlineStr">
        <is>
          <t xml:space="preserve">$5,000</t>
        </is>
      </c>
      <c r="V213" s="32" t="inlineStr">
        <is>
          <t xml:space="preserve">Agreed Value</t>
        </is>
      </c>
      <c r="W213" s="30" t="inlineStr">
        <is>
          <t xml:space="preserve">$1,000</t>
        </is>
      </c>
      <c r="X213" s="32" t="inlineStr">
        <is>
          <t xml:space="preserve">$1,000,000 CSL</t>
        </is>
      </c>
      <c r="Y213" s="30"/>
      <c r="Z213" s="30"/>
      <c r="AA213" s="32" t="inlineStr">
        <is>
          <t xml:space="preserve">Surplus Lines</t>
        </is>
      </c>
      <c r="AB213" s="35">
        <v>6685.8</v>
      </c>
      <c r="AC213" s="37">
        <v>0</v>
      </c>
      <c r="AD213" s="38">
        <f>IF(ISNUMBER($AB213),$AB213*(1+N($AC213)),"")</f>
      </c>
      <c r="AE213" s="35">
        <v>350</v>
      </c>
      <c r="AF213" s="35">
        <v>0</v>
      </c>
      <c r="AG213" s="37"/>
      <c r="AH213" s="39">
        <f>IF(ISNUMBER($AD213),($AD213+$AE213+$AF213)*$AG213,"")</f>
      </c>
      <c r="AI213" s="35"/>
      <c r="AJ213" s="38">
        <f>IF(ISNUMBER($AD213),SUM($AD213:$AH213),"")</f>
      </c>
      <c r="AK213" s="40">
        <f>IF(AND(ISNUMBER($AB213),ISNUMBER($AD213)),IF($AB213&gt;0,$AD213/$AB213,""),"")</f>
      </c>
      <c r="AL213" s="32" t="inlineStr">
        <is>
          <t xml:space="preserve">At technical</t>
        </is>
      </c>
      <c r="AM213" s="41">
        <f>IF(ISNUMBER($AD213),Header!$I$3,"")</f>
      </c>
      <c r="AN213" s="39">
        <f>IF(ISNUMBER($AD213),$AO213+$AP213,"")</f>
      </c>
      <c r="AO213" s="39">
        <f>IF(ISNUMBER($AD213),ROUND($AD213*Header!$K$3,2),"")</f>
      </c>
      <c r="AP213" s="39">
        <f>IF(ISNUMBER($AD213),ROUND($AD213*Header!$M$3,2),"")</f>
      </c>
      <c r="AQ213" s="38">
        <f>IF(ISNUMBER($AD213),ROUND($AD213,2)-$AO213-$AP213,"")</f>
      </c>
      <c r="AR213" s="39">
        <f>IF(ISNUMBER($AD213),IF(Header!$D$34="","?",$AD213*Header!$D$34),"")</f>
      </c>
      <c r="AS213" s="39">
        <f>IF(ISNUMBER($AB213),IF(Header!$D$34="","?",$AB213*Header!$D$34),"")</f>
      </c>
      <c r="AT213" s="42">
        <f>IF(AND(ISNUMBER($AB213),$M213&gt;0),$AB213/$M213*100,"")</f>
      </c>
      <c r="AU213" s="42">
        <f>IF(AND(ISNUMBER($AD213),$M213&gt;0),$AD213/$M213*100,"")</f>
      </c>
      <c r="AV213" s="40">
        <f>IF(AND(ISNUMBER($AB213),ISNUMBER($AD213),ABS($AB213)&gt;0),$AD213/$AB213,"")</f>
      </c>
      <c r="AW213" s="39">
        <f>IF(ISNUMBER($AD213),MAX(0,(1-0.55-Header!$O$3)*Header!$Q$3*$AQ213),"")</f>
      </c>
      <c r="AX213" s="43">
        <f>IF($A213="","",IF(TRIM(IF($A213="","Missing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",""))="","PASS","FAIL: "&amp;TRIM(IF($A213="","Missing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f>
      </c>
      <c r="AY213" s="44">
        <f>IF($M213="","",IF(ISNUMBER($M213),IF($M213&gt;=Header!$C$18,"YES — refer","No"),""))</f>
      </c>
      <c r="AZ213" s="44">
        <f>IF($AD213="","",IF(ISNUMBER($AD213),IF($AD213&lt;Header!$C$20,"BELOW MIN PREMIUM","OK"),""))</f>
      </c>
      <c r="BA213" s="32" t="inlineStr">
        <is>
          <t xml:space="preserve">Yes</t>
        </is>
      </c>
      <c r="BB213" s="32" t="inlineStr">
        <is>
          <t xml:space="preserve">Yes</t>
        </is>
      </c>
      <c r="BC213" s="30" t="inlineStr">
        <is>
          <t xml:space="preserve">Synthetic demo data</t>
        </is>
      </c>
      <c r="BE213" s="45">
        <f>IF(OR($A213="",$L213="",$H213=""),"",IF(AND(LEFT($L213,2)="06",$H213&gt;1945),"FAIL - pre-war class, year "&amp;$H213,IF(AND(LEFT($L213,2)="07",OR($H213&lt;1946,$H213&gt;1972)),"FAIL - 1946-72 class, year "&amp;$H213,IF(AND(LEFT($L213,2)="08",OR($H213&lt;1973,$H213&gt;1999)),"FAIL - 1973-99 class, year "&amp;$H213,IF(AND(LEFT($L213,2)="09",OR($H213&lt;2000,$H213&gt;2010)),"FAIL - 2000-10 class, year "&amp;$H213,"OK")))))</f>
      </c>
      <c r="BF213" s="45">
        <f>IF($AD213="","",IF(ROUND($AO213+$AP213+$AQ213-$AD213,2)=0,"OK","FAIL - out by "&amp;TEXT($AO213+$AP213+$AQ213-$AD213,"$0.00")))</f>
      </c>
    </row>
    <row r="214" spans="1:58" ht="18.75" customHeight="1" x14ac:dyDescent="0.25">
      <c r="A214" s="46" t="inlineStr">
        <is>
          <t xml:space="preserve">CANON-202606-008701</t>
        </is>
      </c>
      <c r="B214" s="46" t="inlineStr">
        <is>
          <t xml:space="preserve">Saoirse Pennington</t>
        </is>
      </c>
      <c r="C214" s="47">
        <v>46190</v>
      </c>
      <c r="D214" s="48" t="inlineStr">
        <is>
          <t xml:space="preserve">Bound - within authority</t>
        </is>
      </c>
      <c r="E214" s="48" t="inlineStr">
        <is>
          <t xml:space="preserve">New business</t>
        </is>
      </c>
      <c r="F214" s="46" t="inlineStr">
        <is>
          <t xml:space="preserve">B1234EXOTIC26</t>
        </is>
      </c>
      <c r="G214" s="33">
        <f>IF($A214="","",IF($C214="","",YEAR($C214)))</f>
      </c>
      <c r="H214" s="49">
        <v>2000</v>
      </c>
      <c r="I214" s="46" t="inlineStr">
        <is>
          <t xml:space="preserve">BMW</t>
        </is>
      </c>
      <c r="J214" s="46" t="inlineStr">
        <is>
          <t xml:space="preserve">M8 Competition</t>
        </is>
      </c>
      <c r="K214" s="46" t="inlineStr">
        <is>
          <t xml:space="preserve">KPG19U2PZWR19VUYR</t>
        </is>
      </c>
      <c r="L214" s="48" t="inlineStr">
        <is>
          <t xml:space="preserve">02 - Sports / GT</t>
        </is>
      </c>
      <c r="M214" s="50">
        <v>355000</v>
      </c>
      <c r="N214" s="48" t="inlineStr">
        <is>
          <t xml:space="preserve">Personal</t>
        </is>
      </c>
      <c r="O214" s="46" t="inlineStr">
        <is>
          <t xml:space="preserve">Personal - regular use</t>
        </is>
      </c>
      <c r="P214" s="46" t="inlineStr">
        <is>
          <t xml:space="preserve">Under 1,000</t>
        </is>
      </c>
      <c r="Q214" s="46" t="inlineStr">
        <is>
          <t xml:space="preserve">West Virginia</t>
        </is>
      </c>
      <c r="R214" s="46" t="inlineStr">
        <is>
          <t xml:space="preserve">25301</t>
        </is>
      </c>
      <c r="S214" s="48" t="inlineStr">
        <is>
          <t xml:space="preserve">Low hazard - inland benign</t>
        </is>
      </c>
      <c r="T214" s="36">
        <f>IF($A214="","",IF($S214="","",IFERROR(INDEX('[1]natural catastrophe'!$D$6:$D$17,MATCH($S214,'[1]natural catastrophe'!$B$6:$B$17,0)),"?")))</f>
      </c>
      <c r="U214" s="46" t="inlineStr">
        <is>
          <t xml:space="preserve">$5,000</t>
        </is>
      </c>
      <c r="V214" s="48" t="inlineStr">
        <is>
          <t xml:space="preserve">Agreed Value</t>
        </is>
      </c>
      <c r="W214" s="46" t="inlineStr">
        <is>
          <t xml:space="preserve">$1,000</t>
        </is>
      </c>
      <c r="X214" s="48" t="inlineStr">
        <is>
          <t xml:space="preserve">$1,000,000 CSL</t>
        </is>
      </c>
      <c r="Y214" s="46"/>
      <c r="Z214" s="46"/>
      <c r="AA214" s="48" t="inlineStr">
        <is>
          <t xml:space="preserve">Surplus Lines</t>
        </is>
      </c>
      <c r="AB214" s="50">
        <v>5109.91</v>
      </c>
      <c r="AC214" s="51">
        <v>0</v>
      </c>
      <c r="AD214" s="38">
        <f>IF(ISNUMBER($AB214),$AB214*(1+N($AC214)),"")</f>
      </c>
      <c r="AE214" s="50">
        <v>350</v>
      </c>
      <c r="AF214" s="50">
        <v>0</v>
      </c>
      <c r="AG214" s="51"/>
      <c r="AH214" s="39">
        <f>IF(ISNUMBER($AD214),($AD214+$AE214+$AF214)*$AG214,"")</f>
      </c>
      <c r="AI214" s="50"/>
      <c r="AJ214" s="38">
        <f>IF(ISNUMBER($AD214),SUM($AD214:$AH214),"")</f>
      </c>
      <c r="AK214" s="40">
        <f>IF(AND(ISNUMBER($AB214),ISNUMBER($AD214)),IF($AB214&gt;0,$AD214/$AB214,""),"")</f>
      </c>
      <c r="AL214" s="48" t="inlineStr">
        <is>
          <t xml:space="preserve">At technical</t>
        </is>
      </c>
      <c r="AM214" s="41">
        <f>IF(ISNUMBER($AD214),Header!$I$3,"")</f>
      </c>
      <c r="AN214" s="39">
        <f>IF(ISNUMBER($AD214),$AO214+$AP214,"")</f>
      </c>
      <c r="AO214" s="39">
        <f>IF(ISNUMBER($AD214),ROUND($AD214*Header!$K$3,2),"")</f>
      </c>
      <c r="AP214" s="39">
        <f>IF(ISNUMBER($AD214),ROUND($AD214*Header!$M$3,2),"")</f>
      </c>
      <c r="AQ214" s="38">
        <f>IF(ISNUMBER($AD214),ROUND($AD214,2)-$AO214-$AP214,"")</f>
      </c>
      <c r="AR214" s="39">
        <f>IF(ISNUMBER($AD214),IF(Header!$D$34="","?",$AD214*Header!$D$34),"")</f>
      </c>
      <c r="AS214" s="39">
        <f>IF(ISNUMBER($AB214),IF(Header!$D$34="","?",$AB214*Header!$D$34),"")</f>
      </c>
      <c r="AT214" s="42">
        <f>IF(AND(ISNUMBER($AB214),$M214&gt;0),$AB214/$M214*100,"")</f>
      </c>
      <c r="AU214" s="42">
        <f>IF(AND(ISNUMBER($AD214),$M214&gt;0),$AD214/$M214*100,"")</f>
      </c>
      <c r="AV214" s="40">
        <f>IF(AND(ISNUMBER($AB214),ISNUMBER($AD214),ABS($AB214)&gt;0),$AD214/$AB214,"")</f>
      </c>
      <c r="AW214" s="39">
        <f>IF(ISNUMBER($AD214),MAX(0,(1-0.55-Header!$O$3)*Header!$Q$3*$AQ214),"")</f>
      </c>
      <c r="AX214" s="43">
        <f>IF($A214="","",IF(TRIM(IF($A214="","Missing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",""))="","PASS","FAIL: "&amp;TRIM(IF($A214="","Missing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f>
      </c>
      <c r="AY214" s="44">
        <f>IF($M214="","",IF(ISNUMBER($M214),IF($M214&gt;=Header!$C$18,"YES — refer","No"),""))</f>
      </c>
      <c r="AZ214" s="44">
        <f>IF($AD214="","",IF(ISNUMBER($AD214),IF($AD214&lt;Header!$C$20,"BELOW MIN PREMIUM","OK"),""))</f>
      </c>
      <c r="BA214" s="48" t="inlineStr">
        <is>
          <t xml:space="preserve">Yes</t>
        </is>
      </c>
      <c r="BB214" s="48" t="inlineStr">
        <is>
          <t xml:space="preserve">Yes</t>
        </is>
      </c>
      <c r="BC214" s="46" t="inlineStr">
        <is>
          <t xml:space="preserve">Synthetic demo data</t>
        </is>
      </c>
      <c r="BE214" s="45">
        <f>IF(OR($A214="",$L214="",$H214=""),"",IF(AND(LEFT($L214,2)="06",$H214&gt;1945),"FAIL - pre-war class, year "&amp;$H214,IF(AND(LEFT($L214,2)="07",OR($H214&lt;1946,$H214&gt;1972)),"FAIL - 1946-72 class, year "&amp;$H214,IF(AND(LEFT($L214,2)="08",OR($H214&lt;1973,$H214&gt;1999)),"FAIL - 1973-99 class, year "&amp;$H214,IF(AND(LEFT($L214,2)="09",OR($H214&lt;2000,$H214&gt;2010)),"FAIL - 2000-10 class, year "&amp;$H214,"OK")))))</f>
      </c>
      <c r="BF214" s="45">
        <f>IF($AD214="","",IF(ROUND($AO214+$AP214+$AQ214-$AD214,2)=0,"OK","FAIL - out by "&amp;TEXT($AO214+$AP214+$AQ214-$AD214,"$0.00")))</f>
      </c>
    </row>
    <row r="215" spans="1:58" ht="18.75" customHeight="1" x14ac:dyDescent="0.25">
      <c r="A215" s="30" t="inlineStr">
        <is>
          <t xml:space="preserve">CANON-202606-008703</t>
        </is>
      </c>
      <c r="B215" s="30" t="inlineStr">
        <is>
          <t xml:space="preserve">Ramona Rourke</t>
        </is>
      </c>
      <c r="C215" s="31">
        <v>46183</v>
      </c>
      <c r="D215" s="32" t="inlineStr">
        <is>
          <t xml:space="preserve">Bound - within authority</t>
        </is>
      </c>
      <c r="E215" s="32" t="inlineStr">
        <is>
          <t xml:space="preserve">New business</t>
        </is>
      </c>
      <c r="F215" s="30" t="inlineStr">
        <is>
          <t xml:space="preserve">B1234EXOTIC26</t>
        </is>
      </c>
      <c r="G215" s="33">
        <f>IF($A215="","",IF($C215="","",YEAR($C215)))</f>
      </c>
      <c r="H215" s="34">
        <v>2021</v>
      </c>
      <c r="I215" s="30" t="inlineStr">
        <is>
          <t xml:space="preserve">McLaren</t>
        </is>
      </c>
      <c r="J215" s="30" t="inlineStr">
        <is>
          <t xml:space="preserve">750S</t>
        </is>
      </c>
      <c r="K215" s="30" t="inlineStr">
        <is>
          <t xml:space="preserve">BUP7FEFKCU1M9TRSF</t>
        </is>
      </c>
      <c r="L215" s="32" t="inlineStr">
        <is>
          <t xml:space="preserve">03 - Supercar</t>
        </is>
      </c>
      <c r="M215" s="35">
        <v>285000</v>
      </c>
      <c r="N215" s="32" t="inlineStr">
        <is>
          <t xml:space="preserve">Personal</t>
        </is>
      </c>
      <c r="O215" s="30" t="inlineStr">
        <is>
          <t xml:space="preserve">Personal - regular use</t>
        </is>
      </c>
      <c r="P215" s="30" t="inlineStr">
        <is>
          <t xml:space="preserve">Under 1,000</t>
        </is>
      </c>
      <c r="Q215" s="30" t="inlineStr">
        <is>
          <t xml:space="preserve">Colorado</t>
        </is>
      </c>
      <c r="R215" s="30" t="inlineStr">
        <is>
          <t xml:space="preserve">80202</t>
        </is>
      </c>
      <c r="S215" s="32" t="inlineStr">
        <is>
          <t xml:space="preserve">Severe convective - hail alley (high)</t>
        </is>
      </c>
      <c r="T215" s="36">
        <f>IF($A215="","",IF($S215="","",IFERROR(INDEX('[1]natural catastrophe'!$D$6:$D$17,MATCH($S215,'[1]natural catastrophe'!$B$6:$B$17,0)),"?")))</f>
      </c>
      <c r="U215" s="30" t="inlineStr">
        <is>
          <t xml:space="preserve">$5,000</t>
        </is>
      </c>
      <c r="V215" s="32" t="inlineStr">
        <is>
          <t xml:space="preserve">Agreed Value</t>
        </is>
      </c>
      <c r="W215" s="30" t="inlineStr">
        <is>
          <t xml:space="preserve">$1,000</t>
        </is>
      </c>
      <c r="X215" s="32" t="inlineStr">
        <is>
          <t xml:space="preserve">$1,000,000 CSL</t>
        </is>
      </c>
      <c r="Y215" s="30"/>
      <c r="Z215" s="30"/>
      <c r="AA215" s="32" t="inlineStr">
        <is>
          <t xml:space="preserve">Surplus Lines</t>
        </is>
      </c>
      <c r="AB215" s="35">
        <v>5202.44</v>
      </c>
      <c r="AC215" s="37">
        <v>0</v>
      </c>
      <c r="AD215" s="38">
        <f>IF(ISNUMBER($AB215),$AB215*(1+N($AC215)),"")</f>
      </c>
      <c r="AE215" s="35">
        <v>350</v>
      </c>
      <c r="AF215" s="35">
        <v>0</v>
      </c>
      <c r="AG215" s="37"/>
      <c r="AH215" s="39">
        <f>IF(ISNUMBER($AD215),($AD215+$AE215+$AF215)*$AG215,"")</f>
      </c>
      <c r="AI215" s="35"/>
      <c r="AJ215" s="38">
        <f>IF(ISNUMBER($AD215),SUM($AD215:$AH215),"")</f>
      </c>
      <c r="AK215" s="40">
        <f>IF(AND(ISNUMBER($AB215),ISNUMBER($AD215)),IF($AB215&gt;0,$AD215/$AB215,""),"")</f>
      </c>
      <c r="AL215" s="32" t="inlineStr">
        <is>
          <t xml:space="preserve">At technical</t>
        </is>
      </c>
      <c r="AM215" s="41">
        <f>IF(ISNUMBER($AD215),Header!$I$3,"")</f>
      </c>
      <c r="AN215" s="39">
        <f>IF(ISNUMBER($AD215),$AO215+$AP215,"")</f>
      </c>
      <c r="AO215" s="39">
        <f>IF(ISNUMBER($AD215),ROUND($AD215*Header!$K$3,2),"")</f>
      </c>
      <c r="AP215" s="39">
        <f>IF(ISNUMBER($AD215),ROUND($AD215*Header!$M$3,2),"")</f>
      </c>
      <c r="AQ215" s="38">
        <f>IF(ISNUMBER($AD215),ROUND($AD215,2)-$AO215-$AP215,"")</f>
      </c>
      <c r="AR215" s="39">
        <f>IF(ISNUMBER($AD215),IF(Header!$D$34="","?",$AD215*Header!$D$34),"")</f>
      </c>
      <c r="AS215" s="39">
        <f>IF(ISNUMBER($AB215),IF(Header!$D$34="","?",$AB215*Header!$D$34),"")</f>
      </c>
      <c r="AT215" s="42">
        <f>IF(AND(ISNUMBER($AB215),$M215&gt;0),$AB215/$M215*100,"")</f>
      </c>
      <c r="AU215" s="42">
        <f>IF(AND(ISNUMBER($AD215),$M215&gt;0),$AD215/$M215*100,"")</f>
      </c>
      <c r="AV215" s="40">
        <f>IF(AND(ISNUMBER($AB215),ISNUMBER($AD215),ABS($AB215)&gt;0),$AD215/$AB215,"")</f>
      </c>
      <c r="AW215" s="39">
        <f>IF(ISNUMBER($AD215),MAX(0,(1-0.55-Header!$O$3)*Header!$Q$3*$AQ215),"")</f>
      </c>
      <c r="AX215" s="43">
        <f>IF($A215="","",IF(TRIM(IF($A215="","Missing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",""))="","PASS","FAIL: "&amp;TRIM(IF($A215="","Missing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f>
      </c>
      <c r="AY215" s="44">
        <f>IF($M215="","",IF(ISNUMBER($M215),IF($M215&gt;=Header!$C$18,"YES — refer","No"),""))</f>
      </c>
      <c r="AZ215" s="44">
        <f>IF($AD215="","",IF(ISNUMBER($AD215),IF($AD215&lt;Header!$C$20,"BELOW MIN PREMIUM","OK"),""))</f>
      </c>
      <c r="BA215" s="32" t="inlineStr">
        <is>
          <t xml:space="preserve">Yes</t>
        </is>
      </c>
      <c r="BB215" s="32" t="inlineStr">
        <is>
          <t xml:space="preserve">Yes</t>
        </is>
      </c>
      <c r="BC215" s="30" t="inlineStr">
        <is>
          <t xml:space="preserve">Synthetic demo data</t>
        </is>
      </c>
      <c r="BE215" s="45">
        <f>IF(OR($A215="",$L215="",$H215=""),"",IF(AND(LEFT($L215,2)="06",$H215&gt;1945),"FAIL - pre-war class, year "&amp;$H215,IF(AND(LEFT($L215,2)="07",OR($H215&lt;1946,$H215&gt;1972)),"FAIL - 1946-72 class, year "&amp;$H215,IF(AND(LEFT($L215,2)="08",OR($H215&lt;1973,$H215&gt;1999)),"FAIL - 1973-99 class, year "&amp;$H215,IF(AND(LEFT($L215,2)="09",OR($H215&lt;2000,$H215&gt;2010)),"FAIL - 2000-10 class, year "&amp;$H215,"OK")))))</f>
      </c>
      <c r="BF215" s="45">
        <f>IF($AD215="","",IF(ROUND($AO215+$AP215+$AQ215-$AD215,2)=0,"OK","FAIL - out by "&amp;TEXT($AO215+$AP215+$AQ215-$AD215,"$0.00")))</f>
      </c>
    </row>
    <row r="216" spans="1:58" ht="18.75" customHeight="1" x14ac:dyDescent="0.25">
      <c r="A216" s="46" t="inlineStr">
        <is>
          <t xml:space="preserve">CANON-202606-008704</t>
        </is>
      </c>
      <c r="B216" s="46" t="inlineStr">
        <is>
          <t xml:space="preserve">Noor Okonkwo</t>
        </is>
      </c>
      <c r="C216" s="47">
        <v>46186</v>
      </c>
      <c r="D216" s="48" t="inlineStr">
        <is>
          <t xml:space="preserve">Bound - within authority</t>
        </is>
      </c>
      <c r="E216" s="48" t="inlineStr">
        <is>
          <t xml:space="preserve">New business</t>
        </is>
      </c>
      <c r="F216" s="46" t="inlineStr">
        <is>
          <t xml:space="preserve">B1234EXOTIC26</t>
        </is>
      </c>
      <c r="G216" s="33">
        <f>IF($A216="","",IF($C216="","",YEAR($C216)))</f>
      </c>
      <c r="H216" s="49">
        <v>1996</v>
      </c>
      <c r="I216" s="46" t="inlineStr">
        <is>
          <t xml:space="preserve">Ferrari</t>
        </is>
      </c>
      <c r="J216" s="46" t="inlineStr">
        <is>
          <t xml:space="preserve">SF90 Stradale</t>
        </is>
      </c>
      <c r="K216" s="46" t="inlineStr">
        <is>
          <t xml:space="preserve">PJMK8R2YYE6K79TM1</t>
        </is>
      </c>
      <c r="L216" s="48" t="inlineStr">
        <is>
          <t xml:space="preserve">03 - Supercar</t>
        </is>
      </c>
      <c r="M216" s="50">
        <v>635000</v>
      </c>
      <c r="N216" s="48" t="inlineStr">
        <is>
          <t xml:space="preserve">Personal</t>
        </is>
      </c>
      <c r="O216" s="46" t="inlineStr">
        <is>
          <t xml:space="preserve">Personal - regular use</t>
        </is>
      </c>
      <c r="P216" s="46" t="inlineStr">
        <is>
          <t xml:space="preserve">Under 1,000</t>
        </is>
      </c>
      <c r="Q216" s="46" t="inlineStr">
        <is>
          <t xml:space="preserve">Kansas</t>
        </is>
      </c>
      <c r="R216" s="46" t="inlineStr">
        <is>
          <t xml:space="preserve">66603</t>
        </is>
      </c>
      <c r="S216" s="48" t="inlineStr">
        <is>
          <t xml:space="preserve">Severe convective - hail alley (high)</t>
        </is>
      </c>
      <c r="T216" s="36">
        <f>IF($A216="","",IF($S216="","",IFERROR(INDEX('[1]natural catastrophe'!$D$6:$D$17,MATCH($S216,'[1]natural catastrophe'!$B$6:$B$17,0)),"?")))</f>
      </c>
      <c r="U216" s="46" t="inlineStr">
        <is>
          <t xml:space="preserve">$5,000</t>
        </is>
      </c>
      <c r="V216" s="48" t="inlineStr">
        <is>
          <t xml:space="preserve">Agreed Value</t>
        </is>
      </c>
      <c r="W216" s="46" t="inlineStr">
        <is>
          <t xml:space="preserve">$1,000</t>
        </is>
      </c>
      <c r="X216" s="48" t="inlineStr">
        <is>
          <t xml:space="preserve">$1,000,000 CSL</t>
        </is>
      </c>
      <c r="Y216" s="46"/>
      <c r="Z216" s="46"/>
      <c r="AA216" s="48" t="inlineStr">
        <is>
          <t xml:space="preserve">Surplus Lines</t>
        </is>
      </c>
      <c r="AB216" s="50">
        <v>8443.86</v>
      </c>
      <c r="AC216" s="51">
        <v>0</v>
      </c>
      <c r="AD216" s="38">
        <f>IF(ISNUMBER($AB216),$AB216*(1+N($AC216)),"")</f>
      </c>
      <c r="AE216" s="50">
        <v>350</v>
      </c>
      <c r="AF216" s="50">
        <v>0</v>
      </c>
      <c r="AG216" s="51"/>
      <c r="AH216" s="39">
        <f>IF(ISNUMBER($AD216),($AD216+$AE216+$AF216)*$AG216,"")</f>
      </c>
      <c r="AI216" s="50"/>
      <c r="AJ216" s="38">
        <f>IF(ISNUMBER($AD216),SUM($AD216:$AH216),"")</f>
      </c>
      <c r="AK216" s="40">
        <f>IF(AND(ISNUMBER($AB216),ISNUMBER($AD216)),IF($AB216&gt;0,$AD216/$AB216,""),"")</f>
      </c>
      <c r="AL216" s="48" t="inlineStr">
        <is>
          <t xml:space="preserve">At technical</t>
        </is>
      </c>
      <c r="AM216" s="41">
        <f>IF(ISNUMBER($AD216),Header!$I$3,"")</f>
      </c>
      <c r="AN216" s="39">
        <f>IF(ISNUMBER($AD216),$AO216+$AP216,"")</f>
      </c>
      <c r="AO216" s="39">
        <f>IF(ISNUMBER($AD216),ROUND($AD216*Header!$K$3,2),"")</f>
      </c>
      <c r="AP216" s="39">
        <f>IF(ISNUMBER($AD216),ROUND($AD216*Header!$M$3,2),"")</f>
      </c>
      <c r="AQ216" s="38">
        <f>IF(ISNUMBER($AD216),ROUND($AD216,2)-$AO216-$AP216,"")</f>
      </c>
      <c r="AR216" s="39">
        <f>IF(ISNUMBER($AD216),IF(Header!$D$34="","?",$AD216*Header!$D$34),"")</f>
      </c>
      <c r="AS216" s="39">
        <f>IF(ISNUMBER($AB216),IF(Header!$D$34="","?",$AB216*Header!$D$34),"")</f>
      </c>
      <c r="AT216" s="42">
        <f>IF(AND(ISNUMBER($AB216),$M216&gt;0),$AB216/$M216*100,"")</f>
      </c>
      <c r="AU216" s="42">
        <f>IF(AND(ISNUMBER($AD216),$M216&gt;0),$AD216/$M216*100,"")</f>
      </c>
      <c r="AV216" s="40">
        <f>IF(AND(ISNUMBER($AB216),ISNUMBER($AD216),ABS($AB216)&gt;0),$AD216/$AB216,"")</f>
      </c>
      <c r="AW216" s="39">
        <f>IF(ISNUMBER($AD216),MAX(0,(1-0.55-Header!$O$3)*Header!$Q$3*$AQ216),"")</f>
      </c>
      <c r="AX216" s="43">
        <f>IF($A216="","",IF(TRIM(IF($A216="","Missing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",""))="","PASS","FAIL: "&amp;TRIM(IF($A216="","Missing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f>
      </c>
      <c r="AY216" s="44">
        <f>IF($M216="","",IF(ISNUMBER($M216),IF($M216&gt;=Header!$C$18,"YES — refer","No"),""))</f>
      </c>
      <c r="AZ216" s="44">
        <f>IF($AD216="","",IF(ISNUMBER($AD216),IF($AD216&lt;Header!$C$20,"BELOW MIN PREMIUM","OK"),""))</f>
      </c>
      <c r="BA216" s="48" t="inlineStr">
        <is>
          <t xml:space="preserve">Yes</t>
        </is>
      </c>
      <c r="BB216" s="48" t="inlineStr">
        <is>
          <t xml:space="preserve">Yes</t>
        </is>
      </c>
      <c r="BC216" s="46" t="inlineStr">
        <is>
          <t xml:space="preserve">Synthetic demo data</t>
        </is>
      </c>
      <c r="BE216" s="45">
        <f>IF(OR($A216="",$L216="",$H216=""),"",IF(AND(LEFT($L216,2)="06",$H216&gt;1945),"FAIL - pre-war class, year "&amp;$H216,IF(AND(LEFT($L216,2)="07",OR($H216&lt;1946,$H216&gt;1972)),"FAIL - 1946-72 class, year "&amp;$H216,IF(AND(LEFT($L216,2)="08",OR($H216&lt;1973,$H216&gt;1999)),"FAIL - 1973-99 class, year "&amp;$H216,IF(AND(LEFT($L216,2)="09",OR($H216&lt;2000,$H216&gt;2010)),"FAIL - 2000-10 class, year "&amp;$H216,"OK")))))</f>
      </c>
      <c r="BF216" s="45">
        <f>IF($AD216="","",IF(ROUND($AO216+$AP216+$AQ216-$AD216,2)=0,"OK","FAIL - out by "&amp;TEXT($AO216+$AP216+$AQ216-$AD216,"$0.00")))</f>
      </c>
    </row>
    <row r="217" spans="1:58" ht="18.75" customHeight="1" x14ac:dyDescent="0.25">
      <c r="A217" s="30" t="inlineStr">
        <is>
          <t xml:space="preserve">CANON-202606-008705</t>
        </is>
      </c>
      <c r="B217" s="30" t="inlineStr">
        <is>
          <t xml:space="preserve">Aurelio Larsson</t>
        </is>
      </c>
      <c r="C217" s="31">
        <v>46179</v>
      </c>
      <c r="D217" s="32" t="inlineStr">
        <is>
          <t xml:space="preserve">Bound - within authority</t>
        </is>
      </c>
      <c r="E217" s="32" t="inlineStr">
        <is>
          <t xml:space="preserve">New business</t>
        </is>
      </c>
      <c r="F217" s="30" t="inlineStr">
        <is>
          <t xml:space="preserve">B1234EXOTIC26</t>
        </is>
      </c>
      <c r="G217" s="33">
        <f>IF($A217="","",IF($C217="","",YEAR($C217)))</f>
      </c>
      <c r="H217" s="34">
        <v>2008</v>
      </c>
      <c r="I217" s="30" t="inlineStr">
        <is>
          <t xml:space="preserve">Aston Martin</t>
        </is>
      </c>
      <c r="J217" s="30" t="inlineStr">
        <is>
          <t xml:space="preserve">DB12</t>
        </is>
      </c>
      <c r="K217" s="30" t="inlineStr">
        <is>
          <t xml:space="preserve">RYUD0S0X1KXHTH1XJ</t>
        </is>
      </c>
      <c r="L217" s="32" t="inlineStr">
        <is>
          <t xml:space="preserve">02 - Sports / GT</t>
        </is>
      </c>
      <c r="M217" s="35">
        <v>375000</v>
      </c>
      <c r="N217" s="32" t="inlineStr">
        <is>
          <t xml:space="preserve">Personal</t>
        </is>
      </c>
      <c r="O217" s="30" t="inlineStr">
        <is>
          <t xml:space="preserve">Personal - regular use</t>
        </is>
      </c>
      <c r="P217" s="30" t="inlineStr">
        <is>
          <t xml:space="preserve">2,500 - 5,000</t>
        </is>
      </c>
      <c r="Q217" s="30" t="inlineStr">
        <is>
          <t xml:space="preserve">New Mexico</t>
        </is>
      </c>
      <c r="R217" s="30" t="inlineStr">
        <is>
          <t xml:space="preserve">87501</t>
        </is>
      </c>
      <c r="S217" s="32" t="inlineStr">
        <is>
          <t xml:space="preserve">Wildfire - WUI high hazard</t>
        </is>
      </c>
      <c r="T217" s="36">
        <f>IF($A217="","",IF($S217="","",IFERROR(INDEX('[1]natural catastrophe'!$D$6:$D$17,MATCH($S217,'[1]natural catastrophe'!$B$6:$B$17,0)),"?")))</f>
      </c>
      <c r="U217" s="30" t="inlineStr">
        <is>
          <t xml:space="preserve">$5,000</t>
        </is>
      </c>
      <c r="V217" s="32" t="inlineStr">
        <is>
          <t xml:space="preserve">Agreed Value</t>
        </is>
      </c>
      <c r="W217" s="30" t="inlineStr">
        <is>
          <t xml:space="preserve">$1,000</t>
        </is>
      </c>
      <c r="X217" s="32" t="inlineStr">
        <is>
          <t xml:space="preserve">$1,000,000 CSL</t>
        </is>
      </c>
      <c r="Y217" s="30"/>
      <c r="Z217" s="30"/>
      <c r="AA217" s="32" t="inlineStr">
        <is>
          <t xml:space="preserve">Surplus Lines</t>
        </is>
      </c>
      <c r="AB217" s="35">
        <v>5194.87</v>
      </c>
      <c r="AC217" s="37">
        <v>0</v>
      </c>
      <c r="AD217" s="38">
        <f>IF(ISNUMBER($AB217),$AB217*(1+N($AC217)),"")</f>
      </c>
      <c r="AE217" s="35">
        <v>350</v>
      </c>
      <c r="AF217" s="35">
        <v>0</v>
      </c>
      <c r="AG217" s="37"/>
      <c r="AH217" s="39">
        <f>IF(ISNUMBER($AD217),($AD217+$AE217+$AF217)*$AG217,"")</f>
      </c>
      <c r="AI217" s="35"/>
      <c r="AJ217" s="38">
        <f>IF(ISNUMBER($AD217),SUM($AD217:$AH217),"")</f>
      </c>
      <c r="AK217" s="40">
        <f>IF(AND(ISNUMBER($AB217),ISNUMBER($AD217)),IF($AB217&gt;0,$AD217/$AB217,""),"")</f>
      </c>
      <c r="AL217" s="32" t="inlineStr">
        <is>
          <t xml:space="preserve">At technical</t>
        </is>
      </c>
      <c r="AM217" s="41">
        <f>IF(ISNUMBER($AD217),Header!$I$3,"")</f>
      </c>
      <c r="AN217" s="39">
        <f>IF(ISNUMBER($AD217),$AO217+$AP217,"")</f>
      </c>
      <c r="AO217" s="39">
        <f>IF(ISNUMBER($AD217),ROUND($AD217*Header!$K$3,2),"")</f>
      </c>
      <c r="AP217" s="39">
        <f>IF(ISNUMBER($AD217),ROUND($AD217*Header!$M$3,2),"")</f>
      </c>
      <c r="AQ217" s="38">
        <f>IF(ISNUMBER($AD217),ROUND($AD217,2)-$AO217-$AP217,"")</f>
      </c>
      <c r="AR217" s="39">
        <f>IF(ISNUMBER($AD217),IF(Header!$D$34="","?",$AD217*Header!$D$34),"")</f>
      </c>
      <c r="AS217" s="39">
        <f>IF(ISNUMBER($AB217),IF(Header!$D$34="","?",$AB217*Header!$D$34),"")</f>
      </c>
      <c r="AT217" s="42">
        <f>IF(AND(ISNUMBER($AB217),$M217&gt;0),$AB217/$M217*100,"")</f>
      </c>
      <c r="AU217" s="42">
        <f>IF(AND(ISNUMBER($AD217),$M217&gt;0),$AD217/$M217*100,"")</f>
      </c>
      <c r="AV217" s="40">
        <f>IF(AND(ISNUMBER($AB217),ISNUMBER($AD217),ABS($AB217)&gt;0),$AD217/$AB217,"")</f>
      </c>
      <c r="AW217" s="39">
        <f>IF(ISNUMBER($AD217),MAX(0,(1-0.55-Header!$O$3)*Header!$Q$3*$AQ217),"")</f>
      </c>
      <c r="AX217" s="43">
        <f>IF($A217="","",IF(TRIM(IF($A217="","Missing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",""))="","PASS","FAIL: "&amp;TRIM(IF($A217="","Missing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f>
      </c>
      <c r="AY217" s="44">
        <f>IF($M217="","",IF(ISNUMBER($M217),IF($M217&gt;=Header!$C$18,"YES — refer","No"),""))</f>
      </c>
      <c r="AZ217" s="44">
        <f>IF($AD217="","",IF(ISNUMBER($AD217),IF($AD217&lt;Header!$C$20,"BELOW MIN PREMIUM","OK"),""))</f>
      </c>
      <c r="BA217" s="32" t="inlineStr">
        <is>
          <t xml:space="preserve">Yes</t>
        </is>
      </c>
      <c r="BB217" s="32" t="inlineStr">
        <is>
          <t xml:space="preserve">Yes</t>
        </is>
      </c>
      <c r="BC217" s="30" t="inlineStr">
        <is>
          <t xml:space="preserve">Synthetic demo data</t>
        </is>
      </c>
      <c r="BE217" s="45">
        <f>IF(OR($A217="",$L217="",$H217=""),"",IF(AND(LEFT($L217,2)="06",$H217&gt;1945),"FAIL - pre-war class, year "&amp;$H217,IF(AND(LEFT($L217,2)="07",OR($H217&lt;1946,$H217&gt;1972)),"FAIL - 1946-72 class, year "&amp;$H217,IF(AND(LEFT($L217,2)="08",OR($H217&lt;1973,$H217&gt;1999)),"FAIL - 1973-99 class, year "&amp;$H217,IF(AND(LEFT($L217,2)="09",OR($H217&lt;2000,$H217&gt;2010)),"FAIL - 2000-10 class, year "&amp;$H217,"OK")))))</f>
      </c>
      <c r="BF217" s="45">
        <f>IF($AD217="","",IF(ROUND($AO217+$AP217+$AQ217-$AD217,2)=0,"OK","FAIL - out by "&amp;TEXT($AO217+$AP217+$AQ217-$AD217,"$0.00")))</f>
      </c>
    </row>
    <row r="218" spans="1:58" ht="18.75" customHeight="1" x14ac:dyDescent="0.25">
      <c r="A218" s="46" t="inlineStr">
        <is>
          <t xml:space="preserve">CANON-202606-008706</t>
        </is>
      </c>
      <c r="B218" s="46" t="inlineStr">
        <is>
          <t xml:space="preserve">Horace Pennington</t>
        </is>
      </c>
      <c r="C218" s="47">
        <v>46191</v>
      </c>
      <c r="D218" s="48" t="inlineStr">
        <is>
          <t xml:space="preserve">Bound - within authority</t>
        </is>
      </c>
      <c r="E218" s="48" t="inlineStr">
        <is>
          <t xml:space="preserve">New business</t>
        </is>
      </c>
      <c r="F218" s="46" t="inlineStr">
        <is>
          <t xml:space="preserve">B1234EXOTIC26</t>
        </is>
      </c>
      <c r="G218" s="33">
        <f>IF($A218="","",IF($C218="","",YEAR($C218)))</f>
      </c>
      <c r="H218" s="49">
        <v>2007</v>
      </c>
      <c r="I218" s="46" t="inlineStr">
        <is>
          <t xml:space="preserve">Aston Martin</t>
        </is>
      </c>
      <c r="J218" s="46" t="inlineStr">
        <is>
          <t xml:space="preserve">DB12</t>
        </is>
      </c>
      <c r="K218" s="46" t="inlineStr">
        <is>
          <t xml:space="preserve">JDCDPC4PVPTLG78TR</t>
        </is>
      </c>
      <c r="L218" s="48" t="inlineStr">
        <is>
          <t xml:space="preserve">02 - Sports / GT</t>
        </is>
      </c>
      <c r="M218" s="50">
        <v>750000</v>
      </c>
      <c r="N218" s="48" t="inlineStr">
        <is>
          <t xml:space="preserve">Personal</t>
        </is>
      </c>
      <c r="O218" s="46" t="inlineStr">
        <is>
          <t xml:space="preserve">Personal - regular use</t>
        </is>
      </c>
      <c r="P218" s="46" t="inlineStr">
        <is>
          <t xml:space="preserve">2,500 - 5,000</t>
        </is>
      </c>
      <c r="Q218" s="46" t="inlineStr">
        <is>
          <t xml:space="preserve">Idaho</t>
        </is>
      </c>
      <c r="R218" s="46" t="inlineStr">
        <is>
          <t xml:space="preserve">83702</t>
        </is>
      </c>
      <c r="S218" s="48" t="inlineStr">
        <is>
          <t xml:space="preserve">Wildfire - WUI high hazard</t>
        </is>
      </c>
      <c r="T218" s="36">
        <f>IF($A218="","",IF($S218="","",IFERROR(INDEX('[1]natural catastrophe'!$D$6:$D$17,MATCH($S218,'[1]natural catastrophe'!$B$6:$B$17,0)),"?")))</f>
      </c>
      <c r="U218" s="46" t="inlineStr">
        <is>
          <t xml:space="preserve">$5,000</t>
        </is>
      </c>
      <c r="V218" s="48" t="inlineStr">
        <is>
          <t xml:space="preserve">Agreed Value</t>
        </is>
      </c>
      <c r="W218" s="46" t="inlineStr">
        <is>
          <t xml:space="preserve">$1,000</t>
        </is>
      </c>
      <c r="X218" s="48" t="inlineStr">
        <is>
          <t xml:space="preserve">$1,000,000 CSL</t>
        </is>
      </c>
      <c r="Y218" s="46"/>
      <c r="Z218" s="46"/>
      <c r="AA218" s="48" t="inlineStr">
        <is>
          <t xml:space="preserve">Surplus Lines</t>
        </is>
      </c>
      <c r="AB218" s="50">
        <v>6964.37</v>
      </c>
      <c r="AC218" s="51">
        <v>0</v>
      </c>
      <c r="AD218" s="38">
        <f>IF(ISNUMBER($AB218),$AB218*(1+N($AC218)),"")</f>
      </c>
      <c r="AE218" s="50">
        <v>350</v>
      </c>
      <c r="AF218" s="50">
        <v>0</v>
      </c>
      <c r="AG218" s="51"/>
      <c r="AH218" s="39">
        <f>IF(ISNUMBER($AD218),($AD218+$AE218+$AF218)*$AG218,"")</f>
      </c>
      <c r="AI218" s="50"/>
      <c r="AJ218" s="38">
        <f>IF(ISNUMBER($AD218),SUM($AD218:$AH218),"")</f>
      </c>
      <c r="AK218" s="40">
        <f>IF(AND(ISNUMBER($AB218),ISNUMBER($AD218)),IF($AB218&gt;0,$AD218/$AB218,""),"")</f>
      </c>
      <c r="AL218" s="48" t="inlineStr">
        <is>
          <t xml:space="preserve">At technical</t>
        </is>
      </c>
      <c r="AM218" s="41">
        <f>IF(ISNUMBER($AD218),Header!$I$3,"")</f>
      </c>
      <c r="AN218" s="39">
        <f>IF(ISNUMBER($AD218),$AO218+$AP218,"")</f>
      </c>
      <c r="AO218" s="39">
        <f>IF(ISNUMBER($AD218),ROUND($AD218*Header!$K$3,2),"")</f>
      </c>
      <c r="AP218" s="39">
        <f>IF(ISNUMBER($AD218),ROUND($AD218*Header!$M$3,2),"")</f>
      </c>
      <c r="AQ218" s="38">
        <f>IF(ISNUMBER($AD218),ROUND($AD218,2)-$AO218-$AP218,"")</f>
      </c>
      <c r="AR218" s="39">
        <f>IF(ISNUMBER($AD218),IF(Header!$D$34="","?",$AD218*Header!$D$34),"")</f>
      </c>
      <c r="AS218" s="39">
        <f>IF(ISNUMBER($AB218),IF(Header!$D$34="","?",$AB218*Header!$D$34),"")</f>
      </c>
      <c r="AT218" s="42">
        <f>IF(AND(ISNUMBER($AB218),$M218&gt;0),$AB218/$M218*100,"")</f>
      </c>
      <c r="AU218" s="42">
        <f>IF(AND(ISNUMBER($AD218),$M218&gt;0),$AD218/$M218*100,"")</f>
      </c>
      <c r="AV218" s="40">
        <f>IF(AND(ISNUMBER($AB218),ISNUMBER($AD218),ABS($AB218)&gt;0),$AD218/$AB218,"")</f>
      </c>
      <c r="AW218" s="39">
        <f>IF(ISNUMBER($AD218),MAX(0,(1-0.55-Header!$O$3)*Header!$Q$3*$AQ218),"")</f>
      </c>
      <c r="AX218" s="43">
        <f>IF($A218="","",IF(TRIM(IF($A218="","Missing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",""))="","PASS","FAIL: "&amp;TRIM(IF($A218="","Missing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f>
      </c>
      <c r="AY218" s="44">
        <f>IF($M218="","",IF(ISNUMBER($M218),IF($M218&gt;=Header!$C$18,"YES — refer","No"),""))</f>
      </c>
      <c r="AZ218" s="44">
        <f>IF($AD218="","",IF(ISNUMBER($AD218),IF($AD218&lt;Header!$C$20,"BELOW MIN PREMIUM","OK"),""))</f>
      </c>
      <c r="BA218" s="48" t="inlineStr">
        <is>
          <t xml:space="preserve">Yes</t>
        </is>
      </c>
      <c r="BB218" s="48" t="inlineStr">
        <is>
          <t xml:space="preserve">Yes</t>
        </is>
      </c>
      <c r="BC218" s="46" t="inlineStr">
        <is>
          <t xml:space="preserve">Synthetic demo data</t>
        </is>
      </c>
      <c r="BE218" s="45">
        <f>IF(OR($A218="",$L218="",$H218=""),"",IF(AND(LEFT($L218,2)="06",$H218&gt;1945),"FAIL - pre-war class, year "&amp;$H218,IF(AND(LEFT($L218,2)="07",OR($H218&lt;1946,$H218&gt;1972)),"FAIL - 1946-72 class, year "&amp;$H218,IF(AND(LEFT($L218,2)="08",OR($H218&lt;1973,$H218&gt;1999)),"FAIL - 1973-99 class, year "&amp;$H218,IF(AND(LEFT($L218,2)="09",OR($H218&lt;2000,$H218&gt;2010)),"FAIL - 2000-10 class, year "&amp;$H218,"OK")))))</f>
      </c>
      <c r="BF218" s="45">
        <f>IF($AD218="","",IF(ROUND($AO218+$AP218+$AQ218-$AD218,2)=0,"OK","FAIL - out by "&amp;TEXT($AO218+$AP218+$AQ218-$AD218,"$0.00")))</f>
      </c>
    </row>
    <row r="219" spans="1:58" ht="18.75" customHeight="1" x14ac:dyDescent="0.25">
      <c r="A219" s="30" t="inlineStr">
        <is>
          <t xml:space="preserve">CANON-202606-008708</t>
        </is>
      </c>
      <c r="B219" s="30" t="inlineStr">
        <is>
          <t xml:space="preserve">Horace Vasquez</t>
        </is>
      </c>
      <c r="C219" s="31">
        <v>46195</v>
      </c>
      <c r="D219" s="32" t="inlineStr">
        <is>
          <t xml:space="preserve">Bound - within authority</t>
        </is>
      </c>
      <c r="E219" s="32" t="inlineStr">
        <is>
          <t xml:space="preserve">New business</t>
        </is>
      </c>
      <c r="F219" s="30" t="inlineStr">
        <is>
          <t xml:space="preserve">B1234EXOTIC26</t>
        </is>
      </c>
      <c r="G219" s="33">
        <f>IF($A219="","",IF($C219="","",YEAR($C219)))</f>
      </c>
      <c r="H219" s="34">
        <v>1990</v>
      </c>
      <c r="I219" s="30" t="inlineStr">
        <is>
          <t xml:space="preserve">Lamborghini</t>
        </is>
      </c>
      <c r="J219" s="30" t="inlineStr">
        <is>
          <t xml:space="preserve">Huracan EVO</t>
        </is>
      </c>
      <c r="K219" s="30" t="inlineStr">
        <is>
          <t xml:space="preserve">3GAUJ4EJ765WD76EW</t>
        </is>
      </c>
      <c r="L219" s="32" t="inlineStr">
        <is>
          <t xml:space="preserve">03 - Supercar</t>
        </is>
      </c>
      <c r="M219" s="35">
        <v>1950000</v>
      </c>
      <c r="N219" s="32" t="inlineStr">
        <is>
          <t xml:space="preserve">Personal</t>
        </is>
      </c>
      <c r="O219" s="30" t="inlineStr">
        <is>
          <t xml:space="preserve">Personal - regular use</t>
        </is>
      </c>
      <c r="P219" s="30" t="inlineStr">
        <is>
          <t xml:space="preserve">Under 1,000</t>
        </is>
      </c>
      <c r="Q219" s="30" t="inlineStr">
        <is>
          <t xml:space="preserve">Kentucky</t>
        </is>
      </c>
      <c r="R219" s="30" t="inlineStr">
        <is>
          <t xml:space="preserve">40202</t>
        </is>
      </c>
      <c r="S219" s="32" t="inlineStr">
        <is>
          <t xml:space="preserve">Severe convective - hail / tornado (moderate)</t>
        </is>
      </c>
      <c r="T219" s="36">
        <f>IF($A219="","",IF($S219="","",IFERROR(INDEX('[1]natural catastrophe'!$D$6:$D$17,MATCH($S219,'[1]natural catastrophe'!$B$6:$B$17,0)),"?")))</f>
      </c>
      <c r="U219" s="30" t="inlineStr">
        <is>
          <t xml:space="preserve">$5,000</t>
        </is>
      </c>
      <c r="V219" s="32" t="inlineStr">
        <is>
          <t xml:space="preserve">Agreed Value</t>
        </is>
      </c>
      <c r="W219" s="30" t="inlineStr">
        <is>
          <t xml:space="preserve">$1,000</t>
        </is>
      </c>
      <c r="X219" s="32" t="inlineStr">
        <is>
          <t xml:space="preserve">$1,000,000 CSL</t>
        </is>
      </c>
      <c r="Y219" s="30"/>
      <c r="Z219" s="30"/>
      <c r="AA219" s="32" t="inlineStr">
        <is>
          <t xml:space="preserve">Surplus Lines</t>
        </is>
      </c>
      <c r="AB219" s="35">
        <v>30164.87</v>
      </c>
      <c r="AC219" s="37">
        <v>0</v>
      </c>
      <c r="AD219" s="38">
        <f>IF(ISNUMBER($AB219),$AB219*(1+N($AC219)),"")</f>
      </c>
      <c r="AE219" s="35">
        <v>350</v>
      </c>
      <c r="AF219" s="35">
        <v>250</v>
      </c>
      <c r="AG219" s="37"/>
      <c r="AH219" s="39">
        <f>IF(ISNUMBER($AD219),($AD219+$AE219+$AF219)*$AG219,"")</f>
      </c>
      <c r="AI219" s="35"/>
      <c r="AJ219" s="38">
        <f>IF(ISNUMBER($AD219),SUM($AD219:$AH219),"")</f>
      </c>
      <c r="AK219" s="40">
        <f>IF(AND(ISNUMBER($AB219),ISNUMBER($AD219)),IF($AB219&gt;0,$AD219/$AB219,""),"")</f>
      </c>
      <c r="AL219" s="32" t="inlineStr">
        <is>
          <t xml:space="preserve">At technical</t>
        </is>
      </c>
      <c r="AM219" s="41">
        <f>IF(ISNUMBER($AD219),Header!$I$3,"")</f>
      </c>
      <c r="AN219" s="39">
        <f>IF(ISNUMBER($AD219),$AO219+$AP219,"")</f>
      </c>
      <c r="AO219" s="39">
        <f>IF(ISNUMBER($AD219),ROUND($AD219*Header!$K$3,2),"")</f>
      </c>
      <c r="AP219" s="39">
        <f>IF(ISNUMBER($AD219),ROUND($AD219*Header!$M$3,2),"")</f>
      </c>
      <c r="AQ219" s="38">
        <f>IF(ISNUMBER($AD219),ROUND($AD219,2)-$AO219-$AP219,"")</f>
      </c>
      <c r="AR219" s="39">
        <f>IF(ISNUMBER($AD219),IF(Header!$D$34="","?",$AD219*Header!$D$34),"")</f>
      </c>
      <c r="AS219" s="39">
        <f>IF(ISNUMBER($AB219),IF(Header!$D$34="","?",$AB219*Header!$D$34),"")</f>
      </c>
      <c r="AT219" s="42">
        <f>IF(AND(ISNUMBER($AB219),$M219&gt;0),$AB219/$M219*100,"")</f>
      </c>
      <c r="AU219" s="42">
        <f>IF(AND(ISNUMBER($AD219),$M219&gt;0),$AD219/$M219*100,"")</f>
      </c>
      <c r="AV219" s="40">
        <f>IF(AND(ISNUMBER($AB219),ISNUMBER($AD219),ABS($AB219)&gt;0),$AD219/$AB219,"")</f>
      </c>
      <c r="AW219" s="39">
        <f>IF(ISNUMBER($AD219),MAX(0,(1-0.55-Header!$O$3)*Header!$Q$3*$AQ219),"")</f>
      </c>
      <c r="AX219" s="43">
        <f>IF($A219="","",IF(TRIM(IF($A219="","Missing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",""))="","PASS","FAIL: "&amp;TRIM(IF($A219="","Missing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f>
      </c>
      <c r="AY219" s="44">
        <f>IF($M219="","",IF(ISNUMBER($M219),IF($M219&gt;=Header!$C$18,"YES — refer","No"),""))</f>
      </c>
      <c r="AZ219" s="44">
        <f>IF($AD219="","",IF(ISNUMBER($AD219),IF($AD219&lt;Header!$C$20,"BELOW MIN PREMIUM","OK"),""))</f>
      </c>
      <c r="BA219" s="32" t="inlineStr">
        <is>
          <t xml:space="preserve">Yes</t>
        </is>
      </c>
      <c r="BB219" s="32" t="inlineStr">
        <is>
          <t xml:space="preserve">Yes</t>
        </is>
      </c>
      <c r="BC219" s="30" t="inlineStr">
        <is>
          <t xml:space="preserve">Synthetic demo data</t>
        </is>
      </c>
      <c r="BE219" s="45">
        <f>IF(OR($A219="",$L219="",$H219=""),"",IF(AND(LEFT($L219,2)="06",$H219&gt;1945),"FAIL - pre-war class, year "&amp;$H219,IF(AND(LEFT($L219,2)="07",OR($H219&lt;1946,$H219&gt;1972)),"FAIL - 1946-72 class, year "&amp;$H219,IF(AND(LEFT($L219,2)="08",OR($H219&lt;1973,$H219&gt;1999)),"FAIL - 1973-99 class, year "&amp;$H219,IF(AND(LEFT($L219,2)="09",OR($H219&lt;2000,$H219&gt;2010)),"FAIL - 2000-10 class, year "&amp;$H219,"OK")))))</f>
      </c>
      <c r="BF219" s="45">
        <f>IF($AD219="","",IF(ROUND($AO219+$AP219+$AQ219-$AD219,2)=0,"OK","FAIL - out by "&amp;TEXT($AO219+$AP219+$AQ219-$AD219,"$0.00")))</f>
      </c>
    </row>
    <row r="220" spans="1:58" ht="18.75" customHeight="1" x14ac:dyDescent="0.25">
      <c r="A220" s="46" t="inlineStr">
        <is>
          <t xml:space="preserve">CANON-202606-008709</t>
        </is>
      </c>
      <c r="B220" s="46" t="inlineStr">
        <is>
          <t xml:space="preserve">Sunniva Underwood</t>
        </is>
      </c>
      <c r="C220" s="47">
        <v>46175</v>
      </c>
      <c r="D220" s="48" t="inlineStr">
        <is>
          <t xml:space="preserve">Bound - within authority</t>
        </is>
      </c>
      <c r="E220" s="48" t="inlineStr">
        <is>
          <t xml:space="preserve">New business</t>
        </is>
      </c>
      <c r="F220" s="46" t="inlineStr">
        <is>
          <t xml:space="preserve">B1234EXOTIC26</t>
        </is>
      </c>
      <c r="G220" s="33">
        <f>IF($A220="","",IF($C220="","",YEAR($C220)))</f>
      </c>
      <c r="H220" s="49">
        <v>2017</v>
      </c>
      <c r="I220" s="46" t="inlineStr">
        <is>
          <t xml:space="preserve">Ferrari</t>
        </is>
      </c>
      <c r="J220" s="46" t="inlineStr">
        <is>
          <t xml:space="preserve">SF90 Stradale</t>
        </is>
      </c>
      <c r="K220" s="46" t="inlineStr">
        <is>
          <t xml:space="preserve">S71JYH2D3YUNY6DA0</t>
        </is>
      </c>
      <c r="L220" s="48" t="inlineStr">
        <is>
          <t xml:space="preserve">03 - Supercar</t>
        </is>
      </c>
      <c r="M220" s="50">
        <v>700000</v>
      </c>
      <c r="N220" s="48" t="inlineStr">
        <is>
          <t xml:space="preserve">Personal</t>
        </is>
      </c>
      <c r="O220" s="46" t="inlineStr">
        <is>
          <t xml:space="preserve">Personal - regular use</t>
        </is>
      </c>
      <c r="P220" s="46" t="inlineStr">
        <is>
          <t xml:space="preserve">2,500 - 5,000</t>
        </is>
      </c>
      <c r="Q220" s="46" t="inlineStr">
        <is>
          <t xml:space="preserve">California</t>
        </is>
      </c>
      <c r="R220" s="46" t="inlineStr">
        <is>
          <t xml:space="preserve">90012</t>
        </is>
      </c>
      <c r="S220" s="48" t="inlineStr">
        <is>
          <t xml:space="preserve">Earthquake - high (CA, Cascadia, New Madrid)</t>
        </is>
      </c>
      <c r="T220" s="36">
        <f>IF($A220="","",IF($S220="","",IFERROR(INDEX('[1]natural catastrophe'!$D$6:$D$17,MATCH($S220,'[1]natural catastrophe'!$B$6:$B$17,0)),"?")))</f>
      </c>
      <c r="U220" s="46" t="inlineStr">
        <is>
          <t xml:space="preserve">$5,000</t>
        </is>
      </c>
      <c r="V220" s="48" t="inlineStr">
        <is>
          <t xml:space="preserve">Agreed Value</t>
        </is>
      </c>
      <c r="W220" s="46" t="inlineStr">
        <is>
          <t xml:space="preserve">$1,000</t>
        </is>
      </c>
      <c r="X220" s="48" t="inlineStr">
        <is>
          <t xml:space="preserve">$1,000,000 CSL</t>
        </is>
      </c>
      <c r="Y220" s="46"/>
      <c r="Z220" s="46"/>
      <c r="AA220" s="48" t="inlineStr">
        <is>
          <t xml:space="preserve">Surplus Lines</t>
        </is>
      </c>
      <c r="AB220" s="50">
        <v>12954.7</v>
      </c>
      <c r="AC220" s="51">
        <v>0</v>
      </c>
      <c r="AD220" s="38">
        <f>IF(ISNUMBER($AB220),$AB220*(1+N($AC220)),"")</f>
      </c>
      <c r="AE220" s="50">
        <v>350</v>
      </c>
      <c r="AF220" s="50">
        <v>0</v>
      </c>
      <c r="AG220" s="51"/>
      <c r="AH220" s="39">
        <f>IF(ISNUMBER($AD220),($AD220+$AE220+$AF220)*$AG220,"")</f>
      </c>
      <c r="AI220" s="50"/>
      <c r="AJ220" s="38">
        <f>IF(ISNUMBER($AD220),SUM($AD220:$AH220),"")</f>
      </c>
      <c r="AK220" s="40">
        <f>IF(AND(ISNUMBER($AB220),ISNUMBER($AD220)),IF($AB220&gt;0,$AD220/$AB220,""),"")</f>
      </c>
      <c r="AL220" s="48" t="inlineStr">
        <is>
          <t xml:space="preserve">At technical</t>
        </is>
      </c>
      <c r="AM220" s="41">
        <f>IF(ISNUMBER($AD220),Header!$I$3,"")</f>
      </c>
      <c r="AN220" s="39">
        <f>IF(ISNUMBER($AD220),$AO220+$AP220,"")</f>
      </c>
      <c r="AO220" s="39">
        <f>IF(ISNUMBER($AD220),ROUND($AD220*Header!$K$3,2),"")</f>
      </c>
      <c r="AP220" s="39">
        <f>IF(ISNUMBER($AD220),ROUND($AD220*Header!$M$3,2),"")</f>
      </c>
      <c r="AQ220" s="38">
        <f>IF(ISNUMBER($AD220),ROUND($AD220,2)-$AO220-$AP220,"")</f>
      </c>
      <c r="AR220" s="39">
        <f>IF(ISNUMBER($AD220),IF(Header!$D$34="","?",$AD220*Header!$D$34),"")</f>
      </c>
      <c r="AS220" s="39">
        <f>IF(ISNUMBER($AB220),IF(Header!$D$34="","?",$AB220*Header!$D$34),"")</f>
      </c>
      <c r="AT220" s="42">
        <f>IF(AND(ISNUMBER($AB220),$M220&gt;0),$AB220/$M220*100,"")</f>
      </c>
      <c r="AU220" s="42">
        <f>IF(AND(ISNUMBER($AD220),$M220&gt;0),$AD220/$M220*100,"")</f>
      </c>
      <c r="AV220" s="40">
        <f>IF(AND(ISNUMBER($AB220),ISNUMBER($AD220),ABS($AB220)&gt;0),$AD220/$AB220,"")</f>
      </c>
      <c r="AW220" s="39">
        <f>IF(ISNUMBER($AD220),MAX(0,(1-0.55-Header!$O$3)*Header!$Q$3*$AQ220),"")</f>
      </c>
      <c r="AX220" s="43">
        <f>IF($A220="","",IF(TRIM(IF($A220="","Missing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",""))="","PASS","FAIL: "&amp;TRIM(IF($A220="","Missing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f>
      </c>
      <c r="AY220" s="44">
        <f>IF($M220="","",IF(ISNUMBER($M220),IF($M220&gt;=Header!$C$18,"YES — refer","No"),""))</f>
      </c>
      <c r="AZ220" s="44">
        <f>IF($AD220="","",IF(ISNUMBER($AD220),IF($AD220&lt;Header!$C$20,"BELOW MIN PREMIUM","OK"),""))</f>
      </c>
      <c r="BA220" s="48" t="inlineStr">
        <is>
          <t xml:space="preserve">Yes</t>
        </is>
      </c>
      <c r="BB220" s="48" t="inlineStr">
        <is>
          <t xml:space="preserve">Yes</t>
        </is>
      </c>
      <c r="BC220" s="46" t="inlineStr">
        <is>
          <t xml:space="preserve">Synthetic demo data</t>
        </is>
      </c>
      <c r="BE220" s="45">
        <f>IF(OR($A220="",$L220="",$H220=""),"",IF(AND(LEFT($L220,2)="06",$H220&gt;1945),"FAIL - pre-war class, year "&amp;$H220,IF(AND(LEFT($L220,2)="07",OR($H220&lt;1946,$H220&gt;1972)),"FAIL - 1946-72 class, year "&amp;$H220,IF(AND(LEFT($L220,2)="08",OR($H220&lt;1973,$H220&gt;1999)),"FAIL - 1973-99 class, year "&amp;$H220,IF(AND(LEFT($L220,2)="09",OR($H220&lt;2000,$H220&gt;2010)),"FAIL - 2000-10 class, year "&amp;$H220,"OK")))))</f>
      </c>
      <c r="BF220" s="45">
        <f>IF($AD220="","",IF(ROUND($AO220+$AP220+$AQ220-$AD220,2)=0,"OK","FAIL - out by "&amp;TEXT($AO220+$AP220+$AQ220-$AD220,"$0.00")))</f>
      </c>
    </row>
    <row r="221" spans="1:58" ht="18.75" customHeight="1" x14ac:dyDescent="0.25">
      <c r="A221" s="30" t="inlineStr">
        <is>
          <t xml:space="preserve">CANON-202606-008710</t>
        </is>
      </c>
      <c r="B221" s="30" t="inlineStr">
        <is>
          <t xml:space="preserve">Emiliano Whitlock</t>
        </is>
      </c>
      <c r="C221" s="31">
        <v>46191</v>
      </c>
      <c r="D221" s="32" t="inlineStr">
        <is>
          <t xml:space="preserve">Bound - within authority</t>
        </is>
      </c>
      <c r="E221" s="32" t="inlineStr">
        <is>
          <t xml:space="preserve">New business</t>
        </is>
      </c>
      <c r="F221" s="30" t="inlineStr">
        <is>
          <t xml:space="preserve">B1234EXOTIC26</t>
        </is>
      </c>
      <c r="G221" s="33">
        <f>IF($A221="","",IF($C221="","",YEAR($C221)))</f>
      </c>
      <c r="H221" s="34">
        <v>1967</v>
      </c>
      <c r="I221" s="30" t="inlineStr">
        <is>
          <t xml:space="preserve">Ringbrothers</t>
        </is>
      </c>
      <c r="J221" s="30" t="inlineStr">
        <is>
          <t xml:space="preserve">Mustang</t>
        </is>
      </c>
      <c r="K221" s="30" t="inlineStr">
        <is>
          <t xml:space="preserve">FMLN75ECEG25S4TZ8</t>
        </is>
      </c>
      <c r="L221" s="32" t="inlineStr">
        <is>
          <t xml:space="preserve">11 - Restomod / Coachbuilt / Bespoke</t>
        </is>
      </c>
      <c r="M221" s="35">
        <v>455000</v>
      </c>
      <c r="N221" s="32" t="inlineStr">
        <is>
          <t xml:space="preserve">Personal</t>
        </is>
      </c>
      <c r="O221" s="30" t="inlineStr">
        <is>
          <t xml:space="preserve">Personal - regular use</t>
        </is>
      </c>
      <c r="P221" s="30" t="inlineStr">
        <is>
          <t xml:space="preserve">Under 1,000</t>
        </is>
      </c>
      <c r="Q221" s="30" t="inlineStr">
        <is>
          <t xml:space="preserve">Washington</t>
        </is>
      </c>
      <c r="R221" s="30" t="inlineStr">
        <is>
          <t xml:space="preserve">98101</t>
        </is>
      </c>
      <c r="S221" s="32" t="inlineStr">
        <is>
          <t xml:space="preserve">Earthquake - high (CA, Cascadia, New Madrid)</t>
        </is>
      </c>
      <c r="T221" s="36">
        <f>IF($A221="","",IF($S221="","",IFERROR(INDEX('[1]natural catastrophe'!$D$6:$D$17,MATCH($S221,'[1]natural catastrophe'!$B$6:$B$17,0)),"?")))</f>
      </c>
      <c r="U221" s="30" t="inlineStr">
        <is>
          <t xml:space="preserve">$5,000</t>
        </is>
      </c>
      <c r="V221" s="32" t="inlineStr">
        <is>
          <t xml:space="preserve">Agreed Value</t>
        </is>
      </c>
      <c r="W221" s="30" t="inlineStr">
        <is>
          <t xml:space="preserve">$1,000</t>
        </is>
      </c>
      <c r="X221" s="32" t="inlineStr">
        <is>
          <t xml:space="preserve">$1,000,000 CSL</t>
        </is>
      </c>
      <c r="Y221" s="30"/>
      <c r="Z221" s="30"/>
      <c r="AA221" s="32" t="inlineStr">
        <is>
          <t xml:space="preserve">Surplus Lines</t>
        </is>
      </c>
      <c r="AB221" s="35">
        <v>5546.73</v>
      </c>
      <c r="AC221" s="37">
        <v>0</v>
      </c>
      <c r="AD221" s="38">
        <f>IF(ISNUMBER($AB221),$AB221*(1+N($AC221)),"")</f>
      </c>
      <c r="AE221" s="35">
        <v>350</v>
      </c>
      <c r="AF221" s="35">
        <v>0</v>
      </c>
      <c r="AG221" s="37"/>
      <c r="AH221" s="39">
        <f>IF(ISNUMBER($AD221),($AD221+$AE221+$AF221)*$AG221,"")</f>
      </c>
      <c r="AI221" s="35"/>
      <c r="AJ221" s="38">
        <f>IF(ISNUMBER($AD221),SUM($AD221:$AH221),"")</f>
      </c>
      <c r="AK221" s="40">
        <f>IF(AND(ISNUMBER($AB221),ISNUMBER($AD221)),IF($AB221&gt;0,$AD221/$AB221,""),"")</f>
      </c>
      <c r="AL221" s="32" t="inlineStr">
        <is>
          <t xml:space="preserve">At technical</t>
        </is>
      </c>
      <c r="AM221" s="41">
        <f>IF(ISNUMBER($AD221),Header!$I$3,"")</f>
      </c>
      <c r="AN221" s="39">
        <f>IF(ISNUMBER($AD221),$AO221+$AP221,"")</f>
      </c>
      <c r="AO221" s="39">
        <f>IF(ISNUMBER($AD221),ROUND($AD221*Header!$K$3,2),"")</f>
      </c>
      <c r="AP221" s="39">
        <f>IF(ISNUMBER($AD221),ROUND($AD221*Header!$M$3,2),"")</f>
      </c>
      <c r="AQ221" s="38">
        <f>IF(ISNUMBER($AD221),ROUND($AD221,2)-$AO221-$AP221,"")</f>
      </c>
      <c r="AR221" s="39">
        <f>IF(ISNUMBER($AD221),IF(Header!$D$34="","?",$AD221*Header!$D$34),"")</f>
      </c>
      <c r="AS221" s="39">
        <f>IF(ISNUMBER($AB221),IF(Header!$D$34="","?",$AB221*Header!$D$34),"")</f>
      </c>
      <c r="AT221" s="42">
        <f>IF(AND(ISNUMBER($AB221),$M221&gt;0),$AB221/$M221*100,"")</f>
      </c>
      <c r="AU221" s="42">
        <f>IF(AND(ISNUMBER($AD221),$M221&gt;0),$AD221/$M221*100,"")</f>
      </c>
      <c r="AV221" s="40">
        <f>IF(AND(ISNUMBER($AB221),ISNUMBER($AD221),ABS($AB221)&gt;0),$AD221/$AB221,"")</f>
      </c>
      <c r="AW221" s="39">
        <f>IF(ISNUMBER($AD221),MAX(0,(1-0.55-Header!$O$3)*Header!$Q$3*$AQ221),"")</f>
      </c>
      <c r="AX221" s="43">
        <f>IF($A221="","",IF(TRIM(IF($A221="","Missing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",""))="","PASS","FAIL: "&amp;TRIM(IF($A221="","Missing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f>
      </c>
      <c r="AY221" s="44">
        <f>IF($M221="","",IF(ISNUMBER($M221),IF($M221&gt;=Header!$C$18,"YES — refer","No"),""))</f>
      </c>
      <c r="AZ221" s="44">
        <f>IF($AD221="","",IF(ISNUMBER($AD221),IF($AD221&lt;Header!$C$20,"BELOW MIN PREMIUM","OK"),""))</f>
      </c>
      <c r="BA221" s="32" t="inlineStr">
        <is>
          <t xml:space="preserve">Yes</t>
        </is>
      </c>
      <c r="BB221" s="32" t="inlineStr">
        <is>
          <t xml:space="preserve">Yes</t>
        </is>
      </c>
      <c r="BC221" s="30" t="inlineStr">
        <is>
          <t xml:space="preserve">Synthetic demo data</t>
        </is>
      </c>
      <c r="BE221" s="45">
        <f>IF(OR($A221="",$L221="",$H221=""),"",IF(AND(LEFT($L221,2)="06",$H221&gt;1945),"FAIL - pre-war class, year "&amp;$H221,IF(AND(LEFT($L221,2)="07",OR($H221&lt;1946,$H221&gt;1972)),"FAIL - 1946-72 class, year "&amp;$H221,IF(AND(LEFT($L221,2)="08",OR($H221&lt;1973,$H221&gt;1999)),"FAIL - 1973-99 class, year "&amp;$H221,IF(AND(LEFT($L221,2)="09",OR($H221&lt;2000,$H221&gt;2010)),"FAIL - 2000-10 class, year "&amp;$H221,"OK")))))</f>
      </c>
      <c r="BF221" s="45">
        <f>IF($AD221="","",IF(ROUND($AO221+$AP221+$AQ221-$AD221,2)=0,"OK","FAIL - out by "&amp;TEXT($AO221+$AP221+$AQ221-$AD221,"$0.00")))</f>
      </c>
    </row>
    <row r="222" spans="1:58" ht="18.75" customHeight="1" x14ac:dyDescent="0.25">
      <c r="A222" s="46" t="inlineStr">
        <is>
          <t xml:space="preserve">CANON-202606-008711</t>
        </is>
      </c>
      <c r="B222" s="46" t="inlineStr">
        <is>
          <t xml:space="preserve">Beatrix Blackwood</t>
        </is>
      </c>
      <c r="C222" s="47">
        <v>46188</v>
      </c>
      <c r="D222" s="48" t="inlineStr">
        <is>
          <t xml:space="preserve">Bound - within authority</t>
        </is>
      </c>
      <c r="E222" s="48" t="inlineStr">
        <is>
          <t xml:space="preserve">New business</t>
        </is>
      </c>
      <c r="F222" s="46" t="inlineStr">
        <is>
          <t xml:space="preserve">B1234EXOTIC26</t>
        </is>
      </c>
      <c r="G222" s="33">
        <f>IF($A222="","",IF($C222="","",YEAR($C222)))</f>
      </c>
      <c r="H222" s="49">
        <v>1968</v>
      </c>
      <c r="I222" s="46" t="inlineStr">
        <is>
          <t xml:space="preserve">Bentley</t>
        </is>
      </c>
      <c r="J222" s="46" t="inlineStr">
        <is>
          <t xml:space="preserve">Continental GT</t>
        </is>
      </c>
      <c r="K222" s="46" t="inlineStr">
        <is>
          <t xml:space="preserve">47Z0YT58KY47J4492</t>
        </is>
      </c>
      <c r="L222" s="48" t="inlineStr">
        <is>
          <t xml:space="preserve">02 - Sports / GT</t>
        </is>
      </c>
      <c r="M222" s="50">
        <v>355000</v>
      </c>
      <c r="N222" s="48" t="inlineStr">
        <is>
          <t xml:space="preserve">Personal</t>
        </is>
      </c>
      <c r="O222" s="46" t="inlineStr">
        <is>
          <t xml:space="preserve">Personal - regular use</t>
        </is>
      </c>
      <c r="P222" s="46" t="inlineStr">
        <is>
          <t xml:space="preserve">2,500 - 5,000</t>
        </is>
      </c>
      <c r="Q222" s="46" t="inlineStr">
        <is>
          <t xml:space="preserve">Tennessee</t>
        </is>
      </c>
      <c r="R222" s="46" t="inlineStr">
        <is>
          <t xml:space="preserve">37203</t>
        </is>
      </c>
      <c r="S222" s="48" t="inlineStr">
        <is>
          <t xml:space="preserve">Severe convective - hail / tornado (moderate)</t>
        </is>
      </c>
      <c r="T222" s="36">
        <f>IF($A222="","",IF($S222="","",IFERROR(INDEX('[1]natural catastrophe'!$D$6:$D$17,MATCH($S222,'[1]natural catastrophe'!$B$6:$B$17,0)),"?")))</f>
      </c>
      <c r="U222" s="46" t="inlineStr">
        <is>
          <t xml:space="preserve">$5,000</t>
        </is>
      </c>
      <c r="V222" s="48" t="inlineStr">
        <is>
          <t xml:space="preserve">Agreed Value</t>
        </is>
      </c>
      <c r="W222" s="46" t="inlineStr">
        <is>
          <t xml:space="preserve">$1,000</t>
        </is>
      </c>
      <c r="X222" s="48" t="inlineStr">
        <is>
          <t xml:space="preserve">$1,000,000 CSL</t>
        </is>
      </c>
      <c r="Y222" s="46"/>
      <c r="Z222" s="46"/>
      <c r="AA222" s="48" t="inlineStr">
        <is>
          <t xml:space="preserve">Surplus Lines</t>
        </is>
      </c>
      <c r="AB222" s="50">
        <v>3765.19</v>
      </c>
      <c r="AC222" s="51">
        <v>0</v>
      </c>
      <c r="AD222" s="38">
        <f>IF(ISNUMBER($AB222),$AB222*(1+N($AC222)),"")</f>
      </c>
      <c r="AE222" s="50">
        <v>350</v>
      </c>
      <c r="AF222" s="50">
        <v>0</v>
      </c>
      <c r="AG222" s="51"/>
      <c r="AH222" s="39">
        <f>IF(ISNUMBER($AD222),($AD222+$AE222+$AF222)*$AG222,"")</f>
      </c>
      <c r="AI222" s="50"/>
      <c r="AJ222" s="38">
        <f>IF(ISNUMBER($AD222),SUM($AD222:$AH222),"")</f>
      </c>
      <c r="AK222" s="40">
        <f>IF(AND(ISNUMBER($AB222),ISNUMBER($AD222)),IF($AB222&gt;0,$AD222/$AB222,""),"")</f>
      </c>
      <c r="AL222" s="48" t="inlineStr">
        <is>
          <t xml:space="preserve">At technical</t>
        </is>
      </c>
      <c r="AM222" s="41">
        <f>IF(ISNUMBER($AD222),Header!$I$3,"")</f>
      </c>
      <c r="AN222" s="39">
        <f>IF(ISNUMBER($AD222),$AO222+$AP222,"")</f>
      </c>
      <c r="AO222" s="39">
        <f>IF(ISNUMBER($AD222),ROUND($AD222*Header!$K$3,2),"")</f>
      </c>
      <c r="AP222" s="39">
        <f>IF(ISNUMBER($AD222),ROUND($AD222*Header!$M$3,2),"")</f>
      </c>
      <c r="AQ222" s="38">
        <f>IF(ISNUMBER($AD222),ROUND($AD222,2)-$AO222-$AP222,"")</f>
      </c>
      <c r="AR222" s="39">
        <f>IF(ISNUMBER($AD222),IF(Header!$D$34="","?",$AD222*Header!$D$34),"")</f>
      </c>
      <c r="AS222" s="39">
        <f>IF(ISNUMBER($AB222),IF(Header!$D$34="","?",$AB222*Header!$D$34),"")</f>
      </c>
      <c r="AT222" s="42">
        <f>IF(AND(ISNUMBER($AB222),$M222&gt;0),$AB222/$M222*100,"")</f>
      </c>
      <c r="AU222" s="42">
        <f>IF(AND(ISNUMBER($AD222),$M222&gt;0),$AD222/$M222*100,"")</f>
      </c>
      <c r="AV222" s="40">
        <f>IF(AND(ISNUMBER($AB222),ISNUMBER($AD222),ABS($AB222)&gt;0),$AD222/$AB222,"")</f>
      </c>
      <c r="AW222" s="39">
        <f>IF(ISNUMBER($AD222),MAX(0,(1-0.55-Header!$O$3)*Header!$Q$3*$AQ222),"")</f>
      </c>
      <c r="AX222" s="43">
        <f>IF($A222="","",IF(TRIM(IF($A222="","Missing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",""))="","PASS","FAIL: "&amp;TRIM(IF($A222="","Missing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f>
      </c>
      <c r="AY222" s="44">
        <f>IF($M222="","",IF(ISNUMBER($M222),IF($M222&gt;=Header!$C$18,"YES — refer","No"),""))</f>
      </c>
      <c r="AZ222" s="44">
        <f>IF($AD222="","",IF(ISNUMBER($AD222),IF($AD222&lt;Header!$C$20,"BELOW MIN PREMIUM","OK"),""))</f>
      </c>
      <c r="BA222" s="48" t="inlineStr">
        <is>
          <t xml:space="preserve">Yes</t>
        </is>
      </c>
      <c r="BB222" s="48" t="inlineStr">
        <is>
          <t xml:space="preserve">Yes</t>
        </is>
      </c>
      <c r="BC222" s="46" t="inlineStr">
        <is>
          <t xml:space="preserve">Synthetic demo data</t>
        </is>
      </c>
      <c r="BE222" s="45">
        <f>IF(OR($A222="",$L222="",$H222=""),"",IF(AND(LEFT($L222,2)="06",$H222&gt;1945),"FAIL - pre-war class, year "&amp;$H222,IF(AND(LEFT($L222,2)="07",OR($H222&lt;1946,$H222&gt;1972)),"FAIL - 1946-72 class, year "&amp;$H222,IF(AND(LEFT($L222,2)="08",OR($H222&lt;1973,$H222&gt;1999)),"FAIL - 1973-99 class, year "&amp;$H222,IF(AND(LEFT($L222,2)="09",OR($H222&lt;2000,$H222&gt;2010)),"FAIL - 2000-10 class, year "&amp;$H222,"OK")))))</f>
      </c>
      <c r="BF222" s="45">
        <f>IF($AD222="","",IF(ROUND($AO222+$AP222+$AQ222-$AD222,2)=0,"OK","FAIL - out by "&amp;TEXT($AO222+$AP222+$AQ222-$AD222,"$0.00")))</f>
      </c>
    </row>
    <row r="223" spans="1:58" ht="18.75" customHeight="1" x14ac:dyDescent="0.25">
      <c r="A223" s="30" t="inlineStr">
        <is>
          <t xml:space="preserve">CANON-202606-008712</t>
        </is>
      </c>
      <c r="B223" s="30" t="inlineStr">
        <is>
          <t xml:space="preserve">Everett Farkas</t>
        </is>
      </c>
      <c r="C223" s="31">
        <v>46192</v>
      </c>
      <c r="D223" s="32" t="inlineStr">
        <is>
          <t xml:space="preserve">Bound - within authority</t>
        </is>
      </c>
      <c r="E223" s="32" t="inlineStr">
        <is>
          <t xml:space="preserve">New business</t>
        </is>
      </c>
      <c r="F223" s="30" t="inlineStr">
        <is>
          <t xml:space="preserve">B1234EXOTIC26</t>
        </is>
      </c>
      <c r="G223" s="33">
        <f>IF($A223="","",IF($C223="","",YEAR($C223)))</f>
      </c>
      <c r="H223" s="34">
        <v>1986</v>
      </c>
      <c r="I223" s="30" t="inlineStr">
        <is>
          <t xml:space="preserve">McLaren</t>
        </is>
      </c>
      <c r="J223" s="30" t="inlineStr">
        <is>
          <t xml:space="preserve">750S</t>
        </is>
      </c>
      <c r="K223" s="30" t="inlineStr">
        <is>
          <t xml:space="preserve">494FRCA02UAHF11ER</t>
        </is>
      </c>
      <c r="L223" s="32" t="inlineStr">
        <is>
          <t xml:space="preserve">03 - Supercar</t>
        </is>
      </c>
      <c r="M223" s="35">
        <v>965000</v>
      </c>
      <c r="N223" s="32" t="inlineStr">
        <is>
          <t xml:space="preserve">Personal</t>
        </is>
      </c>
      <c r="O223" s="30" t="inlineStr">
        <is>
          <t xml:space="preserve">Personal - regular use</t>
        </is>
      </c>
      <c r="P223" s="30" t="inlineStr">
        <is>
          <t xml:space="preserve">2,500 - 5,000</t>
        </is>
      </c>
      <c r="Q223" s="30" t="inlineStr">
        <is>
          <t xml:space="preserve">New Mexico</t>
        </is>
      </c>
      <c r="R223" s="30" t="inlineStr">
        <is>
          <t xml:space="preserve">87501</t>
        </is>
      </c>
      <c r="S223" s="32" t="inlineStr">
        <is>
          <t xml:space="preserve">Wildfire - WUI high hazard</t>
        </is>
      </c>
      <c r="T223" s="36">
        <f>IF($A223="","",IF($S223="","",IFERROR(INDEX('[1]natural catastrophe'!$D$6:$D$17,MATCH($S223,'[1]natural catastrophe'!$B$6:$B$17,0)),"?")))</f>
      </c>
      <c r="U223" s="30" t="inlineStr">
        <is>
          <t xml:space="preserve">$5,000</t>
        </is>
      </c>
      <c r="V223" s="32" t="inlineStr">
        <is>
          <t xml:space="preserve">Agreed Value</t>
        </is>
      </c>
      <c r="W223" s="30" t="inlineStr">
        <is>
          <t xml:space="preserve">$1,000</t>
        </is>
      </c>
      <c r="X223" s="32" t="inlineStr">
        <is>
          <t xml:space="preserve">$1,000,000 CSL</t>
        </is>
      </c>
      <c r="Y223" s="30"/>
      <c r="Z223" s="30"/>
      <c r="AA223" s="32" t="inlineStr">
        <is>
          <t xml:space="preserve">Surplus Lines</t>
        </is>
      </c>
      <c r="AB223" s="35">
        <v>16932.96</v>
      </c>
      <c r="AC223" s="37">
        <v>0</v>
      </c>
      <c r="AD223" s="38">
        <f>IF(ISNUMBER($AB223),$AB223*(1+N($AC223)),"")</f>
      </c>
      <c r="AE223" s="35">
        <v>350</v>
      </c>
      <c r="AF223" s="35">
        <v>0</v>
      </c>
      <c r="AG223" s="37"/>
      <c r="AH223" s="39">
        <f>IF(ISNUMBER($AD223),($AD223+$AE223+$AF223)*$AG223,"")</f>
      </c>
      <c r="AI223" s="35"/>
      <c r="AJ223" s="38">
        <f>IF(ISNUMBER($AD223),SUM($AD223:$AH223),"")</f>
      </c>
      <c r="AK223" s="40">
        <f>IF(AND(ISNUMBER($AB223),ISNUMBER($AD223)),IF($AB223&gt;0,$AD223/$AB223,""),"")</f>
      </c>
      <c r="AL223" s="32" t="inlineStr">
        <is>
          <t xml:space="preserve">At technical</t>
        </is>
      </c>
      <c r="AM223" s="41">
        <f>IF(ISNUMBER($AD223),Header!$I$3,"")</f>
      </c>
      <c r="AN223" s="39">
        <f>IF(ISNUMBER($AD223),$AO223+$AP223,"")</f>
      </c>
      <c r="AO223" s="39">
        <f>IF(ISNUMBER($AD223),ROUND($AD223*Header!$K$3,2),"")</f>
      </c>
      <c r="AP223" s="39">
        <f>IF(ISNUMBER($AD223),ROUND($AD223*Header!$M$3,2),"")</f>
      </c>
      <c r="AQ223" s="38">
        <f>IF(ISNUMBER($AD223),ROUND($AD223,2)-$AO223-$AP223,"")</f>
      </c>
      <c r="AR223" s="39">
        <f>IF(ISNUMBER($AD223),IF(Header!$D$34="","?",$AD223*Header!$D$34),"")</f>
      </c>
      <c r="AS223" s="39">
        <f>IF(ISNUMBER($AB223),IF(Header!$D$34="","?",$AB223*Header!$D$34),"")</f>
      </c>
      <c r="AT223" s="42">
        <f>IF(AND(ISNUMBER($AB223),$M223&gt;0),$AB223/$M223*100,"")</f>
      </c>
      <c r="AU223" s="42">
        <f>IF(AND(ISNUMBER($AD223),$M223&gt;0),$AD223/$M223*100,"")</f>
      </c>
      <c r="AV223" s="40">
        <f>IF(AND(ISNUMBER($AB223),ISNUMBER($AD223),ABS($AB223)&gt;0),$AD223/$AB223,"")</f>
      </c>
      <c r="AW223" s="39">
        <f>IF(ISNUMBER($AD223),MAX(0,(1-0.55-Header!$O$3)*Header!$Q$3*$AQ223),"")</f>
      </c>
      <c r="AX223" s="43">
        <f>IF($A223="","",IF(TRIM(IF($A223="","Missing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",""))="","PASS","FAIL: "&amp;TRIM(IF($A223="","Missing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f>
      </c>
      <c r="AY223" s="44">
        <f>IF($M223="","",IF(ISNUMBER($M223),IF($M223&gt;=Header!$C$18,"YES — refer","No"),""))</f>
      </c>
      <c r="AZ223" s="44">
        <f>IF($AD223="","",IF(ISNUMBER($AD223),IF($AD223&lt;Header!$C$20,"BELOW MIN PREMIUM","OK"),""))</f>
      </c>
      <c r="BA223" s="32" t="inlineStr">
        <is>
          <t xml:space="preserve">Yes</t>
        </is>
      </c>
      <c r="BB223" s="32" t="inlineStr">
        <is>
          <t xml:space="preserve">Yes</t>
        </is>
      </c>
      <c r="BC223" s="30" t="inlineStr">
        <is>
          <t xml:space="preserve">Synthetic demo data</t>
        </is>
      </c>
      <c r="BE223" s="45">
        <f>IF(OR($A223="",$L223="",$H223=""),"",IF(AND(LEFT($L223,2)="06",$H223&gt;1945),"FAIL - pre-war class, year "&amp;$H223,IF(AND(LEFT($L223,2)="07",OR($H223&lt;1946,$H223&gt;1972)),"FAIL - 1946-72 class, year "&amp;$H223,IF(AND(LEFT($L223,2)="08",OR($H223&lt;1973,$H223&gt;1999)),"FAIL - 1973-99 class, year "&amp;$H223,IF(AND(LEFT($L223,2)="09",OR($H223&lt;2000,$H223&gt;2010)),"FAIL - 2000-10 class, year "&amp;$H223,"OK")))))</f>
      </c>
      <c r="BF223" s="45">
        <f>IF($AD223="","",IF(ROUND($AO223+$AP223+$AQ223-$AD223,2)=0,"OK","FAIL - out by "&amp;TEXT($AO223+$AP223+$AQ223-$AD223,"$0.00")))</f>
      </c>
    </row>
    <row r="224" spans="1:58" ht="18.75" customHeight="1" x14ac:dyDescent="0.25">
      <c r="A224" s="46" t="inlineStr">
        <is>
          <t xml:space="preserve">CANON-202606-008713</t>
        </is>
      </c>
      <c r="B224" s="46" t="inlineStr">
        <is>
          <t xml:space="preserve">Emiliano Delacroix</t>
        </is>
      </c>
      <c r="C224" s="47">
        <v>46178</v>
      </c>
      <c r="D224" s="48" t="inlineStr">
        <is>
          <t xml:space="preserve">Bound - within authority</t>
        </is>
      </c>
      <c r="E224" s="48" t="inlineStr">
        <is>
          <t xml:space="preserve">New business</t>
        </is>
      </c>
      <c r="F224" s="46" t="inlineStr">
        <is>
          <t xml:space="preserve">B1234EXOTIC26</t>
        </is>
      </c>
      <c r="G224" s="33">
        <f>IF($A224="","",IF($C224="","",YEAR($C224)))</f>
      </c>
      <c r="H224" s="49">
        <v>2000</v>
      </c>
      <c r="I224" s="46" t="inlineStr">
        <is>
          <t xml:space="preserve">Mercedes-Benz</t>
        </is>
      </c>
      <c r="J224" s="46" t="inlineStr">
        <is>
          <t xml:space="preserve">280SL Pagoda</t>
        </is>
      </c>
      <c r="K224" s="46" t="inlineStr">
        <is>
          <t xml:space="preserve">0U8JTE3B4WA98XZMB</t>
        </is>
      </c>
      <c r="L224" s="48" t="inlineStr">
        <is>
          <t xml:space="preserve">09 - Youngtimer / Collectible (2000-2010)</t>
        </is>
      </c>
      <c r="M224" s="50">
        <v>1665000</v>
      </c>
      <c r="N224" s="48" t="inlineStr">
        <is>
          <t xml:space="preserve">Personal</t>
        </is>
      </c>
      <c r="O224" s="46" t="inlineStr">
        <is>
          <t xml:space="preserve">Personal - regular use</t>
        </is>
      </c>
      <c r="P224" s="46" t="inlineStr">
        <is>
          <t xml:space="preserve">1,000 - 2,500</t>
        </is>
      </c>
      <c r="Q224" s="46" t="inlineStr">
        <is>
          <t xml:space="preserve">New Mexico</t>
        </is>
      </c>
      <c r="R224" s="46" t="inlineStr">
        <is>
          <t xml:space="preserve">87501</t>
        </is>
      </c>
      <c r="S224" s="48" t="inlineStr">
        <is>
          <t xml:space="preserve">Wildfire - WUI high hazard</t>
        </is>
      </c>
      <c r="T224" s="36">
        <f>IF($A224="","",IF($S224="","",IFERROR(INDEX('[1]natural catastrophe'!$D$6:$D$17,MATCH($S224,'[1]natural catastrophe'!$B$6:$B$17,0)),"?")))</f>
      </c>
      <c r="U224" s="46" t="inlineStr">
        <is>
          <t xml:space="preserve">$5,000</t>
        </is>
      </c>
      <c r="V224" s="48" t="inlineStr">
        <is>
          <t xml:space="preserve">Agreed Value</t>
        </is>
      </c>
      <c r="W224" s="46" t="inlineStr">
        <is>
          <t xml:space="preserve">$1,000</t>
        </is>
      </c>
      <c r="X224" s="48" t="inlineStr">
        <is>
          <t xml:space="preserve">$1,000,000 CSL</t>
        </is>
      </c>
      <c r="Y224" s="46"/>
      <c r="Z224" s="46"/>
      <c r="AA224" s="48" t="inlineStr">
        <is>
          <t xml:space="preserve">Surplus Lines</t>
        </is>
      </c>
      <c r="AB224" s="50">
        <v>11686.37</v>
      </c>
      <c r="AC224" s="51">
        <v>0</v>
      </c>
      <c r="AD224" s="38">
        <f>IF(ISNUMBER($AB224),$AB224*(1+N($AC224)),"")</f>
      </c>
      <c r="AE224" s="50">
        <v>350</v>
      </c>
      <c r="AF224" s="50">
        <v>250</v>
      </c>
      <c r="AG224" s="51"/>
      <c r="AH224" s="39">
        <f>IF(ISNUMBER($AD224),($AD224+$AE224+$AF224)*$AG224,"")</f>
      </c>
      <c r="AI224" s="50"/>
      <c r="AJ224" s="38">
        <f>IF(ISNUMBER($AD224),SUM($AD224:$AH224),"")</f>
      </c>
      <c r="AK224" s="40">
        <f>IF(AND(ISNUMBER($AB224),ISNUMBER($AD224)),IF($AB224&gt;0,$AD224/$AB224,""),"")</f>
      </c>
      <c r="AL224" s="48" t="inlineStr">
        <is>
          <t xml:space="preserve">At technical</t>
        </is>
      </c>
      <c r="AM224" s="41">
        <f>IF(ISNUMBER($AD224),Header!$I$3,"")</f>
      </c>
      <c r="AN224" s="39">
        <f>IF(ISNUMBER($AD224),$AO224+$AP224,"")</f>
      </c>
      <c r="AO224" s="39">
        <f>IF(ISNUMBER($AD224),ROUND($AD224*Header!$K$3,2),"")</f>
      </c>
      <c r="AP224" s="39">
        <f>IF(ISNUMBER($AD224),ROUND($AD224*Header!$M$3,2),"")</f>
      </c>
      <c r="AQ224" s="38">
        <f>IF(ISNUMBER($AD224),ROUND($AD224,2)-$AO224-$AP224,"")</f>
      </c>
      <c r="AR224" s="39">
        <f>IF(ISNUMBER($AD224),IF(Header!$D$34="","?",$AD224*Header!$D$34),"")</f>
      </c>
      <c r="AS224" s="39">
        <f>IF(ISNUMBER($AB224),IF(Header!$D$34="","?",$AB224*Header!$D$34),"")</f>
      </c>
      <c r="AT224" s="42">
        <f>IF(AND(ISNUMBER($AB224),$M224&gt;0),$AB224/$M224*100,"")</f>
      </c>
      <c r="AU224" s="42">
        <f>IF(AND(ISNUMBER($AD224),$M224&gt;0),$AD224/$M224*100,"")</f>
      </c>
      <c r="AV224" s="40">
        <f>IF(AND(ISNUMBER($AB224),ISNUMBER($AD224),ABS($AB224)&gt;0),$AD224/$AB224,"")</f>
      </c>
      <c r="AW224" s="39">
        <f>IF(ISNUMBER($AD224),MAX(0,(1-0.55-Header!$O$3)*Header!$Q$3*$AQ224),"")</f>
      </c>
      <c r="AX224" s="43">
        <f>IF($A224="","",IF(TRIM(IF($A224="","Missing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",""))="","PASS","FAIL: "&amp;TRIM(IF($A224="","Missing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f>
      </c>
      <c r="AY224" s="44">
        <f>IF($M224="","",IF(ISNUMBER($M224),IF($M224&gt;=Header!$C$18,"YES — refer","No"),""))</f>
      </c>
      <c r="AZ224" s="44">
        <f>IF($AD224="","",IF(ISNUMBER($AD224),IF($AD224&lt;Header!$C$20,"BELOW MIN PREMIUM","OK"),""))</f>
      </c>
      <c r="BA224" s="48" t="inlineStr">
        <is>
          <t xml:space="preserve">Yes</t>
        </is>
      </c>
      <c r="BB224" s="48" t="inlineStr">
        <is>
          <t xml:space="preserve">Yes</t>
        </is>
      </c>
      <c r="BC224" s="46" t="inlineStr">
        <is>
          <t xml:space="preserve">Synthetic demo data</t>
        </is>
      </c>
      <c r="BE224" s="45">
        <f>IF(OR($A224="",$L224="",$H224=""),"",IF(AND(LEFT($L224,2)="06",$H224&gt;1945),"FAIL - pre-war class, year "&amp;$H224,IF(AND(LEFT($L224,2)="07",OR($H224&lt;1946,$H224&gt;1972)),"FAIL - 1946-72 class, year "&amp;$H224,IF(AND(LEFT($L224,2)="08",OR($H224&lt;1973,$H224&gt;1999)),"FAIL - 1973-99 class, year "&amp;$H224,IF(AND(LEFT($L224,2)="09",OR($H224&lt;2000,$H224&gt;2010)),"FAIL - 2000-10 class, year "&amp;$H224,"OK")))))</f>
      </c>
      <c r="BF224" s="45">
        <f>IF($AD224="","",IF(ROUND($AO224+$AP224+$AQ224-$AD224,2)=0,"OK","FAIL - out by "&amp;TEXT($AO224+$AP224+$AQ224-$AD224,"$0.00")))</f>
      </c>
    </row>
    <row r="225" spans="1:58" ht="18.75" customHeight="1" x14ac:dyDescent="0.25">
      <c r="A225" s="30" t="inlineStr">
        <is>
          <t xml:space="preserve">CANON-202606-008714</t>
        </is>
      </c>
      <c r="B225" s="30" t="inlineStr">
        <is>
          <t xml:space="preserve">Fenwick Thistlewood</t>
        </is>
      </c>
      <c r="C225" s="31">
        <v>46191</v>
      </c>
      <c r="D225" s="32" t="inlineStr">
        <is>
          <t xml:space="preserve">Bound - within authority</t>
        </is>
      </c>
      <c r="E225" s="32" t="inlineStr">
        <is>
          <t xml:space="preserve">New business</t>
        </is>
      </c>
      <c r="F225" s="30" t="inlineStr">
        <is>
          <t xml:space="preserve">B1234EXOTIC26</t>
        </is>
      </c>
      <c r="G225" s="33">
        <f>IF($A225="","",IF($C225="","",YEAR($C225)))</f>
      </c>
      <c r="H225" s="34">
        <v>1973</v>
      </c>
      <c r="I225" s="30" t="inlineStr">
        <is>
          <t xml:space="preserve">Singer</t>
        </is>
      </c>
      <c r="J225" s="30" t="inlineStr">
        <is>
          <t xml:space="preserve">911 Reimagined</t>
        </is>
      </c>
      <c r="K225" s="30" t="inlineStr">
        <is>
          <t xml:space="preserve">TFW3PXKGKK047VWCN</t>
        </is>
      </c>
      <c r="L225" s="32" t="inlineStr">
        <is>
          <t xml:space="preserve">11 - Restomod / Coachbuilt / Bespoke</t>
        </is>
      </c>
      <c r="M225" s="35">
        <v>255000</v>
      </c>
      <c r="N225" s="32" t="inlineStr">
        <is>
          <t xml:space="preserve">Personal</t>
        </is>
      </c>
      <c r="O225" s="30" t="inlineStr">
        <is>
          <t xml:space="preserve">Personal - regular use</t>
        </is>
      </c>
      <c r="P225" s="30" t="inlineStr">
        <is>
          <t xml:space="preserve">Under 1,000</t>
        </is>
      </c>
      <c r="Q225" s="30" t="inlineStr">
        <is>
          <t xml:space="preserve">Idaho</t>
        </is>
      </c>
      <c r="R225" s="30" t="inlineStr">
        <is>
          <t xml:space="preserve">83702</t>
        </is>
      </c>
      <c r="S225" s="32" t="inlineStr">
        <is>
          <t xml:space="preserve">Wildfire - WUI high hazard</t>
        </is>
      </c>
      <c r="T225" s="36">
        <f>IF($A225="","",IF($S225="","",IFERROR(INDEX('[1]natural catastrophe'!$D$6:$D$17,MATCH($S225,'[1]natural catastrophe'!$B$6:$B$17,0)),"?")))</f>
      </c>
      <c r="U225" s="30" t="inlineStr">
        <is>
          <t xml:space="preserve">$5,000</t>
        </is>
      </c>
      <c r="V225" s="32" t="inlineStr">
        <is>
          <t xml:space="preserve">Agreed Value</t>
        </is>
      </c>
      <c r="W225" s="30" t="inlineStr">
        <is>
          <t xml:space="preserve">$1,000</t>
        </is>
      </c>
      <c r="X225" s="32" t="inlineStr">
        <is>
          <t xml:space="preserve">$1,000,000 CSL</t>
        </is>
      </c>
      <c r="Y225" s="30"/>
      <c r="Z225" s="30"/>
      <c r="AA225" s="32" t="inlineStr">
        <is>
          <t xml:space="preserve">Surplus Lines</t>
        </is>
      </c>
      <c r="AB225" s="35">
        <v>3205.75</v>
      </c>
      <c r="AC225" s="37">
        <v>0</v>
      </c>
      <c r="AD225" s="38">
        <f>IF(ISNUMBER($AB225),$AB225*(1+N($AC225)),"")</f>
      </c>
      <c r="AE225" s="35">
        <v>350</v>
      </c>
      <c r="AF225" s="35">
        <v>0</v>
      </c>
      <c r="AG225" s="37"/>
      <c r="AH225" s="39">
        <f>IF(ISNUMBER($AD225),($AD225+$AE225+$AF225)*$AG225,"")</f>
      </c>
      <c r="AI225" s="35"/>
      <c r="AJ225" s="38">
        <f>IF(ISNUMBER($AD225),SUM($AD225:$AH225),"")</f>
      </c>
      <c r="AK225" s="40">
        <f>IF(AND(ISNUMBER($AB225),ISNUMBER($AD225)),IF($AB225&gt;0,$AD225/$AB225,""),"")</f>
      </c>
      <c r="AL225" s="32" t="inlineStr">
        <is>
          <t xml:space="preserve">At technical</t>
        </is>
      </c>
      <c r="AM225" s="41">
        <f>IF(ISNUMBER($AD225),Header!$I$3,"")</f>
      </c>
      <c r="AN225" s="39">
        <f>IF(ISNUMBER($AD225),$AO225+$AP225,"")</f>
      </c>
      <c r="AO225" s="39">
        <f>IF(ISNUMBER($AD225),ROUND($AD225*Header!$K$3,2),"")</f>
      </c>
      <c r="AP225" s="39">
        <f>IF(ISNUMBER($AD225),ROUND($AD225*Header!$M$3,2),"")</f>
      </c>
      <c r="AQ225" s="38">
        <f>IF(ISNUMBER($AD225),ROUND($AD225,2)-$AO225-$AP225,"")</f>
      </c>
      <c r="AR225" s="39">
        <f>IF(ISNUMBER($AD225),IF(Header!$D$34="","?",$AD225*Header!$D$34),"")</f>
      </c>
      <c r="AS225" s="39">
        <f>IF(ISNUMBER($AB225),IF(Header!$D$34="","?",$AB225*Header!$D$34),"")</f>
      </c>
      <c r="AT225" s="42">
        <f>IF(AND(ISNUMBER($AB225),$M225&gt;0),$AB225/$M225*100,"")</f>
      </c>
      <c r="AU225" s="42">
        <f>IF(AND(ISNUMBER($AD225),$M225&gt;0),$AD225/$M225*100,"")</f>
      </c>
      <c r="AV225" s="40">
        <f>IF(AND(ISNUMBER($AB225),ISNUMBER($AD225),ABS($AB225)&gt;0),$AD225/$AB225,"")</f>
      </c>
      <c r="AW225" s="39">
        <f>IF(ISNUMBER($AD225),MAX(0,(1-0.55-Header!$O$3)*Header!$Q$3*$AQ225),"")</f>
      </c>
      <c r="AX225" s="43">
        <f>IF($A225="","",IF(TRIM(IF($A225="","Missing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",""))="","PASS","FAIL: "&amp;TRIM(IF($A225="","Missing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f>
      </c>
      <c r="AY225" s="44">
        <f>IF($M225="","",IF(ISNUMBER($M225),IF($M225&gt;=Header!$C$18,"YES — refer","No"),""))</f>
      </c>
      <c r="AZ225" s="44">
        <f>IF($AD225="","",IF(ISNUMBER($AD225),IF($AD225&lt;Header!$C$20,"BELOW MIN PREMIUM","OK"),""))</f>
      </c>
      <c r="BA225" s="32" t="inlineStr">
        <is>
          <t xml:space="preserve">Yes</t>
        </is>
      </c>
      <c r="BB225" s="32" t="inlineStr">
        <is>
          <t xml:space="preserve">Yes</t>
        </is>
      </c>
      <c r="BC225" s="30" t="inlineStr">
        <is>
          <t xml:space="preserve">Synthetic demo data</t>
        </is>
      </c>
      <c r="BE225" s="45">
        <f>IF(OR($A225="",$L225="",$H225=""),"",IF(AND(LEFT($L225,2)="06",$H225&gt;1945),"FAIL - pre-war class, year "&amp;$H225,IF(AND(LEFT($L225,2)="07",OR($H225&lt;1946,$H225&gt;1972)),"FAIL - 1946-72 class, year "&amp;$H225,IF(AND(LEFT($L225,2)="08",OR($H225&lt;1973,$H225&gt;1999)),"FAIL - 1973-99 class, year "&amp;$H225,IF(AND(LEFT($L225,2)="09",OR($H225&lt;2000,$H225&gt;2010)),"FAIL - 2000-10 class, year "&amp;$H225,"OK")))))</f>
      </c>
      <c r="BF225" s="45">
        <f>IF($AD225="","",IF(ROUND($AO225+$AP225+$AQ225-$AD225,2)=0,"OK","FAIL - out by "&amp;TEXT($AO225+$AP225+$AQ225-$AD225,"$0.00")))</f>
      </c>
    </row>
    <row r="226" spans="1:58" ht="18.75" customHeight="1" x14ac:dyDescent="0.25">
      <c r="A226" s="46" t="inlineStr">
        <is>
          <t xml:space="preserve">CANON-202606-008715</t>
        </is>
      </c>
      <c r="B226" s="46" t="inlineStr">
        <is>
          <t xml:space="preserve">Mireille Nakashima</t>
        </is>
      </c>
      <c r="C226" s="47">
        <v>46189</v>
      </c>
      <c r="D226" s="48" t="inlineStr">
        <is>
          <t xml:space="preserve">Bound - within authority</t>
        </is>
      </c>
      <c r="E226" s="48" t="inlineStr">
        <is>
          <t xml:space="preserve">New business</t>
        </is>
      </c>
      <c r="F226" s="46" t="inlineStr">
        <is>
          <t xml:space="preserve">B1234EXOTIC26</t>
        </is>
      </c>
      <c r="G226" s="33">
        <f>IF($A226="","",IF($C226="","",YEAR($C226)))</f>
      </c>
      <c r="H226" s="49">
        <v>1973</v>
      </c>
      <c r="I226" s="46" t="inlineStr">
        <is>
          <t xml:space="preserve">Bentley</t>
        </is>
      </c>
      <c r="J226" s="46" t="inlineStr">
        <is>
          <t xml:space="preserve">Continental GT</t>
        </is>
      </c>
      <c r="K226" s="46" t="inlineStr">
        <is>
          <t xml:space="preserve">JCTLSR2EY3LRU70VP</t>
        </is>
      </c>
      <c r="L226" s="48" t="inlineStr">
        <is>
          <t xml:space="preserve">02 - Sports / GT</t>
        </is>
      </c>
      <c r="M226" s="50">
        <v>785000</v>
      </c>
      <c r="N226" s="48" t="inlineStr">
        <is>
          <t xml:space="preserve">Personal</t>
        </is>
      </c>
      <c r="O226" s="46" t="inlineStr">
        <is>
          <t xml:space="preserve">Personal - regular use</t>
        </is>
      </c>
      <c r="P226" s="46" t="inlineStr">
        <is>
          <t xml:space="preserve">1,000 - 2,500</t>
        </is>
      </c>
      <c r="Q226" s="46" t="inlineStr">
        <is>
          <t xml:space="preserve">Ohio</t>
        </is>
      </c>
      <c r="R226" s="46" t="inlineStr">
        <is>
          <t xml:space="preserve">43215</t>
        </is>
      </c>
      <c r="S226" s="48" t="inlineStr">
        <is>
          <t xml:space="preserve">Severe convective - hail / tornado (moderate)</t>
        </is>
      </c>
      <c r="T226" s="36">
        <f>IF($A226="","",IF($S226="","",IFERROR(INDEX('[1]natural catastrophe'!$D$6:$D$17,MATCH($S226,'[1]natural catastrophe'!$B$6:$B$17,0)),"?")))</f>
      </c>
      <c r="U226" s="46" t="inlineStr">
        <is>
          <t xml:space="preserve">$5,000</t>
        </is>
      </c>
      <c r="V226" s="48" t="inlineStr">
        <is>
          <t xml:space="preserve">Agreed Value</t>
        </is>
      </c>
      <c r="W226" s="46" t="inlineStr">
        <is>
          <t xml:space="preserve">$1,000</t>
        </is>
      </c>
      <c r="X226" s="48" t="inlineStr">
        <is>
          <t xml:space="preserve">$1,000,000 CSL</t>
        </is>
      </c>
      <c r="Y226" s="46"/>
      <c r="Z226" s="46"/>
      <c r="AA226" s="48" t="inlineStr">
        <is>
          <t xml:space="preserve">Surplus Lines</t>
        </is>
      </c>
      <c r="AB226" s="50">
        <v>10234.58</v>
      </c>
      <c r="AC226" s="51">
        <v>0</v>
      </c>
      <c r="AD226" s="38">
        <f>IF(ISNUMBER($AB226),$AB226*(1+N($AC226)),"")</f>
      </c>
      <c r="AE226" s="50">
        <v>350</v>
      </c>
      <c r="AF226" s="50">
        <v>0</v>
      </c>
      <c r="AG226" s="51"/>
      <c r="AH226" s="39">
        <f>IF(ISNUMBER($AD226),($AD226+$AE226+$AF226)*$AG226,"")</f>
      </c>
      <c r="AI226" s="50"/>
      <c r="AJ226" s="38">
        <f>IF(ISNUMBER($AD226),SUM($AD226:$AH226),"")</f>
      </c>
      <c r="AK226" s="40">
        <f>IF(AND(ISNUMBER($AB226),ISNUMBER($AD226)),IF($AB226&gt;0,$AD226/$AB226,""),"")</f>
      </c>
      <c r="AL226" s="48" t="inlineStr">
        <is>
          <t xml:space="preserve">At technical</t>
        </is>
      </c>
      <c r="AM226" s="41">
        <f>IF(ISNUMBER($AD226),Header!$I$3,"")</f>
      </c>
      <c r="AN226" s="39">
        <f>IF(ISNUMBER($AD226),$AO226+$AP226,"")</f>
      </c>
      <c r="AO226" s="39">
        <f>IF(ISNUMBER($AD226),ROUND($AD226*Header!$K$3,2),"")</f>
      </c>
      <c r="AP226" s="39">
        <f>IF(ISNUMBER($AD226),ROUND($AD226*Header!$M$3,2),"")</f>
      </c>
      <c r="AQ226" s="38">
        <f>IF(ISNUMBER($AD226),ROUND($AD226,2)-$AO226-$AP226,"")</f>
      </c>
      <c r="AR226" s="39">
        <f>IF(ISNUMBER($AD226),IF(Header!$D$34="","?",$AD226*Header!$D$34),"")</f>
      </c>
      <c r="AS226" s="39">
        <f>IF(ISNUMBER($AB226),IF(Header!$D$34="","?",$AB226*Header!$D$34),"")</f>
      </c>
      <c r="AT226" s="42">
        <f>IF(AND(ISNUMBER($AB226),$M226&gt;0),$AB226/$M226*100,"")</f>
      </c>
      <c r="AU226" s="42">
        <f>IF(AND(ISNUMBER($AD226),$M226&gt;0),$AD226/$M226*100,"")</f>
      </c>
      <c r="AV226" s="40">
        <f>IF(AND(ISNUMBER($AB226),ISNUMBER($AD226),ABS($AB226)&gt;0),$AD226/$AB226,"")</f>
      </c>
      <c r="AW226" s="39">
        <f>IF(ISNUMBER($AD226),MAX(0,(1-0.55-Header!$O$3)*Header!$Q$3*$AQ226),"")</f>
      </c>
      <c r="AX226" s="43">
        <f>IF($A226="","",IF(TRIM(IF($A226="","Missing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",""))="","PASS","FAIL: "&amp;TRIM(IF($A226="","Missing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f>
      </c>
      <c r="AY226" s="44">
        <f>IF($M226="","",IF(ISNUMBER($M226),IF($M226&gt;=Header!$C$18,"YES — refer","No"),""))</f>
      </c>
      <c r="AZ226" s="44">
        <f>IF($AD226="","",IF(ISNUMBER($AD226),IF($AD226&lt;Header!$C$20,"BELOW MIN PREMIUM","OK"),""))</f>
      </c>
      <c r="BA226" s="48" t="inlineStr">
        <is>
          <t xml:space="preserve">Yes</t>
        </is>
      </c>
      <c r="BB226" s="48" t="inlineStr">
        <is>
          <t xml:space="preserve">Yes</t>
        </is>
      </c>
      <c r="BC226" s="46" t="inlineStr">
        <is>
          <t xml:space="preserve">Synthetic demo data</t>
        </is>
      </c>
      <c r="BE226" s="45">
        <f>IF(OR($A226="",$L226="",$H226=""),"",IF(AND(LEFT($L226,2)="06",$H226&gt;1945),"FAIL - pre-war class, year "&amp;$H226,IF(AND(LEFT($L226,2)="07",OR($H226&lt;1946,$H226&gt;1972)),"FAIL - 1946-72 class, year "&amp;$H226,IF(AND(LEFT($L226,2)="08",OR($H226&lt;1973,$H226&gt;1999)),"FAIL - 1973-99 class, year "&amp;$H226,IF(AND(LEFT($L226,2)="09",OR($H226&lt;2000,$H226&gt;2010)),"FAIL - 2000-10 class, year "&amp;$H226,"OK")))))</f>
      </c>
      <c r="BF226" s="45">
        <f>IF($AD226="","",IF(ROUND($AO226+$AP226+$AQ226-$AD226,2)=0,"OK","FAIL - out by "&amp;TEXT($AO226+$AP226+$AQ226-$AD226,"$0.00")))</f>
      </c>
    </row>
    <row r="227" spans="1:58" ht="18.75" customHeight="1" x14ac:dyDescent="0.25">
      <c r="A227" s="30" t="inlineStr">
        <is>
          <t xml:space="preserve">CANON-202606-008716</t>
        </is>
      </c>
      <c r="B227" s="30" t="inlineStr">
        <is>
          <t xml:space="preserve">Anouk Chattopadhyay</t>
        </is>
      </c>
      <c r="C227" s="31">
        <v>46191</v>
      </c>
      <c r="D227" s="32" t="inlineStr">
        <is>
          <t xml:space="preserve">Bound - within authority</t>
        </is>
      </c>
      <c r="E227" s="32" t="inlineStr">
        <is>
          <t xml:space="preserve">New business</t>
        </is>
      </c>
      <c r="F227" s="30" t="inlineStr">
        <is>
          <t xml:space="preserve">B1234EXOTIC26</t>
        </is>
      </c>
      <c r="G227" s="33">
        <f>IF($A227="","",IF($C227="","",YEAR($C227)))</f>
      </c>
      <c r="H227" s="34">
        <v>1976</v>
      </c>
      <c r="I227" s="30" t="inlineStr">
        <is>
          <t xml:space="preserve">Porsche</t>
        </is>
      </c>
      <c r="J227" s="30" t="inlineStr">
        <is>
          <t xml:space="preserve">911 Turbo S</t>
        </is>
      </c>
      <c r="K227" s="30" t="inlineStr">
        <is>
          <t xml:space="preserve">5PBW9XK6YA284RF9M</t>
        </is>
      </c>
      <c r="L227" s="32" t="inlineStr">
        <is>
          <t xml:space="preserve">02 - Sports / GT</t>
        </is>
      </c>
      <c r="M227" s="35">
        <v>600000</v>
      </c>
      <c r="N227" s="32" t="inlineStr">
        <is>
          <t xml:space="preserve">Personal</t>
        </is>
      </c>
      <c r="O227" s="30" t="inlineStr">
        <is>
          <t xml:space="preserve">Personal - regular use</t>
        </is>
      </c>
      <c r="P227" s="30" t="inlineStr">
        <is>
          <t xml:space="preserve">1,000 - 2,500</t>
        </is>
      </c>
      <c r="Q227" s="30" t="inlineStr">
        <is>
          <t xml:space="preserve">Massachusetts</t>
        </is>
      </c>
      <c r="R227" s="30" t="inlineStr">
        <is>
          <t xml:space="preserve">02108</t>
        </is>
      </c>
      <c r="S227" s="32" t="inlineStr">
        <is>
          <t xml:space="preserve">Tier 3 - Coastal wind (25-100 miles)</t>
        </is>
      </c>
      <c r="T227" s="36">
        <f>IF($A227="","",IF($S227="","",IFERROR(INDEX('[1]natural catastrophe'!$D$6:$D$17,MATCH($S227,'[1]natural catastrophe'!$B$6:$B$17,0)),"?")))</f>
      </c>
      <c r="U227" s="30" t="inlineStr">
        <is>
          <t xml:space="preserve">2% of agreed value, minimum $10,000</t>
        </is>
      </c>
      <c r="V227" s="32" t="inlineStr">
        <is>
          <t xml:space="preserve">Agreed Value</t>
        </is>
      </c>
      <c r="W227" s="30" t="inlineStr">
        <is>
          <t xml:space="preserve">$1,000</t>
        </is>
      </c>
      <c r="X227" s="32" t="inlineStr">
        <is>
          <t xml:space="preserve">$1,000,000 CSL</t>
        </is>
      </c>
      <c r="Y227" s="30"/>
      <c r="Z227" s="30"/>
      <c r="AA227" s="32" t="inlineStr">
        <is>
          <t xml:space="preserve">Surplus Lines</t>
        </is>
      </c>
      <c r="AB227" s="35">
        <v>7034.71</v>
      </c>
      <c r="AC227" s="37">
        <v>0</v>
      </c>
      <c r="AD227" s="38">
        <f>IF(ISNUMBER($AB227),$AB227*(1+N($AC227)),"")</f>
      </c>
      <c r="AE227" s="35">
        <v>350</v>
      </c>
      <c r="AF227" s="35">
        <v>0</v>
      </c>
      <c r="AG227" s="37"/>
      <c r="AH227" s="39">
        <f>IF(ISNUMBER($AD227),($AD227+$AE227+$AF227)*$AG227,"")</f>
      </c>
      <c r="AI227" s="35"/>
      <c r="AJ227" s="38">
        <f>IF(ISNUMBER($AD227),SUM($AD227:$AH227),"")</f>
      </c>
      <c r="AK227" s="40">
        <f>IF(AND(ISNUMBER($AB227),ISNUMBER($AD227)),IF($AB227&gt;0,$AD227/$AB227,""),"")</f>
      </c>
      <c r="AL227" s="32" t="inlineStr">
        <is>
          <t xml:space="preserve">At technical</t>
        </is>
      </c>
      <c r="AM227" s="41">
        <f>IF(ISNUMBER($AD227),Header!$I$3,"")</f>
      </c>
      <c r="AN227" s="39">
        <f>IF(ISNUMBER($AD227),$AO227+$AP227,"")</f>
      </c>
      <c r="AO227" s="39">
        <f>IF(ISNUMBER($AD227),ROUND($AD227*Header!$K$3,2),"")</f>
      </c>
      <c r="AP227" s="39">
        <f>IF(ISNUMBER($AD227),ROUND($AD227*Header!$M$3,2),"")</f>
      </c>
      <c r="AQ227" s="38">
        <f>IF(ISNUMBER($AD227),ROUND($AD227,2)-$AO227-$AP227,"")</f>
      </c>
      <c r="AR227" s="39">
        <f>IF(ISNUMBER($AD227),IF(Header!$D$34="","?",$AD227*Header!$D$34),"")</f>
      </c>
      <c r="AS227" s="39">
        <f>IF(ISNUMBER($AB227),IF(Header!$D$34="","?",$AB227*Header!$D$34),"")</f>
      </c>
      <c r="AT227" s="42">
        <f>IF(AND(ISNUMBER($AB227),$M227&gt;0),$AB227/$M227*100,"")</f>
      </c>
      <c r="AU227" s="42">
        <f>IF(AND(ISNUMBER($AD227),$M227&gt;0),$AD227/$M227*100,"")</f>
      </c>
      <c r="AV227" s="40">
        <f>IF(AND(ISNUMBER($AB227),ISNUMBER($AD227),ABS($AB227)&gt;0),$AD227/$AB227,"")</f>
      </c>
      <c r="AW227" s="39">
        <f>IF(ISNUMBER($AD227),MAX(0,(1-0.55-Header!$O$3)*Header!$Q$3*$AQ227),"")</f>
      </c>
      <c r="AX227" s="43">
        <f>IF($A227="","",IF(TRIM(IF($A227="","Missing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",""))="","PASS","FAIL: "&amp;TRIM(IF($A227="","Missing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f>
      </c>
      <c r="AY227" s="44">
        <f>IF($M227="","",IF(ISNUMBER($M227),IF($M227&gt;=Header!$C$18,"YES — refer","No"),""))</f>
      </c>
      <c r="AZ227" s="44">
        <f>IF($AD227="","",IF(ISNUMBER($AD227),IF($AD227&lt;Header!$C$20,"BELOW MIN PREMIUM","OK"),""))</f>
      </c>
      <c r="BA227" s="32" t="inlineStr">
        <is>
          <t xml:space="preserve">Yes</t>
        </is>
      </c>
      <c r="BB227" s="32" t="inlineStr">
        <is>
          <t xml:space="preserve">Yes</t>
        </is>
      </c>
      <c r="BC227" s="30" t="inlineStr">
        <is>
          <t xml:space="preserve">Synthetic demo data</t>
        </is>
      </c>
      <c r="BE227" s="45">
        <f>IF(OR($A227="",$L227="",$H227=""),"",IF(AND(LEFT($L227,2)="06",$H227&gt;1945),"FAIL - pre-war class, year "&amp;$H227,IF(AND(LEFT($L227,2)="07",OR($H227&lt;1946,$H227&gt;1972)),"FAIL - 1946-72 class, year "&amp;$H227,IF(AND(LEFT($L227,2)="08",OR($H227&lt;1973,$H227&gt;1999)),"FAIL - 1973-99 class, year "&amp;$H227,IF(AND(LEFT($L227,2)="09",OR($H227&lt;2000,$H227&gt;2010)),"FAIL - 2000-10 class, year "&amp;$H227,"OK")))))</f>
      </c>
      <c r="BF227" s="45">
        <f>IF($AD227="","",IF(ROUND($AO227+$AP227+$AQ227-$AD227,2)=0,"OK","FAIL - out by "&amp;TEXT($AO227+$AP227+$AQ227-$AD227,"$0.00")))</f>
      </c>
    </row>
    <row r="228" spans="1:58" ht="18.75" customHeight="1" x14ac:dyDescent="0.25">
      <c r="A228" s="46" t="inlineStr">
        <is>
          <t xml:space="preserve">CANON-202606-008717</t>
        </is>
      </c>
      <c r="B228" s="46" t="inlineStr">
        <is>
          <t xml:space="preserve">Mireille Farkas</t>
        </is>
      </c>
      <c r="C228" s="47">
        <v>46174</v>
      </c>
      <c r="D228" s="48" t="inlineStr">
        <is>
          <t xml:space="preserve">Bound - within authority</t>
        </is>
      </c>
      <c r="E228" s="48" t="inlineStr">
        <is>
          <t xml:space="preserve">New business</t>
        </is>
      </c>
      <c r="F228" s="46" t="inlineStr">
        <is>
          <t xml:space="preserve">B1234EXOTIC26</t>
        </is>
      </c>
      <c r="G228" s="33">
        <f>IF($A228="","",IF($C228="","",YEAR($C228)))</f>
      </c>
      <c r="H228" s="49">
        <v>1962</v>
      </c>
      <c r="I228" s="46" t="inlineStr">
        <is>
          <t xml:space="preserve">Mercedes-Benz</t>
        </is>
      </c>
      <c r="J228" s="46" t="inlineStr">
        <is>
          <t xml:space="preserve">AMG GT</t>
        </is>
      </c>
      <c r="K228" s="46" t="inlineStr">
        <is>
          <t xml:space="preserve">ZKXAEUGK0FL5BJMJ0</t>
        </is>
      </c>
      <c r="L228" s="48" t="inlineStr">
        <is>
          <t xml:space="preserve">02 - Sports / GT</t>
        </is>
      </c>
      <c r="M228" s="50">
        <v>1035000</v>
      </c>
      <c r="N228" s="48" t="inlineStr">
        <is>
          <t xml:space="preserve">Personal</t>
        </is>
      </c>
      <c r="O228" s="46" t="inlineStr">
        <is>
          <t xml:space="preserve">Personal - regular use</t>
        </is>
      </c>
      <c r="P228" s="46" t="inlineStr">
        <is>
          <t xml:space="preserve">Under 1,000</t>
        </is>
      </c>
      <c r="Q228" s="46" t="inlineStr">
        <is>
          <t xml:space="preserve">Massachusetts</t>
        </is>
      </c>
      <c r="R228" s="46" t="inlineStr">
        <is>
          <t xml:space="preserve">02108</t>
        </is>
      </c>
      <c r="S228" s="48" t="inlineStr">
        <is>
          <t xml:space="preserve">Tier 3 - Coastal wind (25-100 miles)</t>
        </is>
      </c>
      <c r="T228" s="36">
        <f>IF($A228="","",IF($S228="","",IFERROR(INDEX('[1]natural catastrophe'!$D$6:$D$17,MATCH($S228,'[1]natural catastrophe'!$B$6:$B$17,0)),"?")))</f>
      </c>
      <c r="U228" s="46" t="inlineStr">
        <is>
          <t xml:space="preserve">2% of agreed value, minimum $10,000</t>
        </is>
      </c>
      <c r="V228" s="48" t="inlineStr">
        <is>
          <t xml:space="preserve">Agreed Value</t>
        </is>
      </c>
      <c r="W228" s="46" t="inlineStr">
        <is>
          <t xml:space="preserve">$1,000</t>
        </is>
      </c>
      <c r="X228" s="48" t="inlineStr">
        <is>
          <t xml:space="preserve">$1,000,000 CSL</t>
        </is>
      </c>
      <c r="Y228" s="46"/>
      <c r="Z228" s="46"/>
      <c r="AA228" s="48" t="inlineStr">
        <is>
          <t xml:space="preserve">Surplus Lines</t>
        </is>
      </c>
      <c r="AB228" s="50">
        <v>10267.98</v>
      </c>
      <c r="AC228" s="51">
        <v>0</v>
      </c>
      <c r="AD228" s="38">
        <f>IF(ISNUMBER($AB228),$AB228*(1+N($AC228)),"")</f>
      </c>
      <c r="AE228" s="50">
        <v>350</v>
      </c>
      <c r="AF228" s="50">
        <v>250</v>
      </c>
      <c r="AG228" s="51"/>
      <c r="AH228" s="39">
        <f>IF(ISNUMBER($AD228),($AD228+$AE228+$AF228)*$AG228,"")</f>
      </c>
      <c r="AI228" s="50"/>
      <c r="AJ228" s="38">
        <f>IF(ISNUMBER($AD228),SUM($AD228:$AH228),"")</f>
      </c>
      <c r="AK228" s="40">
        <f>IF(AND(ISNUMBER($AB228),ISNUMBER($AD228)),IF($AB228&gt;0,$AD228/$AB228,""),"")</f>
      </c>
      <c r="AL228" s="48" t="inlineStr">
        <is>
          <t xml:space="preserve">At technical</t>
        </is>
      </c>
      <c r="AM228" s="41">
        <f>IF(ISNUMBER($AD228),Header!$I$3,"")</f>
      </c>
      <c r="AN228" s="39">
        <f>IF(ISNUMBER($AD228),$AO228+$AP228,"")</f>
      </c>
      <c r="AO228" s="39">
        <f>IF(ISNUMBER($AD228),ROUND($AD228*Header!$K$3,2),"")</f>
      </c>
      <c r="AP228" s="39">
        <f>IF(ISNUMBER($AD228),ROUND($AD228*Header!$M$3,2),"")</f>
      </c>
      <c r="AQ228" s="38">
        <f>IF(ISNUMBER($AD228),ROUND($AD228,2)-$AO228-$AP228,"")</f>
      </c>
      <c r="AR228" s="39">
        <f>IF(ISNUMBER($AD228),IF(Header!$D$34="","?",$AD228*Header!$D$34),"")</f>
      </c>
      <c r="AS228" s="39">
        <f>IF(ISNUMBER($AB228),IF(Header!$D$34="","?",$AB228*Header!$D$34),"")</f>
      </c>
      <c r="AT228" s="42">
        <f>IF(AND(ISNUMBER($AB228),$M228&gt;0),$AB228/$M228*100,"")</f>
      </c>
      <c r="AU228" s="42">
        <f>IF(AND(ISNUMBER($AD228),$M228&gt;0),$AD228/$M228*100,"")</f>
      </c>
      <c r="AV228" s="40">
        <f>IF(AND(ISNUMBER($AB228),ISNUMBER($AD228),ABS($AB228)&gt;0),$AD228/$AB228,"")</f>
      </c>
      <c r="AW228" s="39">
        <f>IF(ISNUMBER($AD228),MAX(0,(1-0.55-Header!$O$3)*Header!$Q$3*$AQ228),"")</f>
      </c>
      <c r="AX228" s="43">
        <f>IF($A228="","",IF(TRIM(IF($A228="","Missing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",""))="","PASS","FAIL: "&amp;TRIM(IF($A228="","Missing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f>
      </c>
      <c r="AY228" s="44">
        <f>IF($M228="","",IF(ISNUMBER($M228),IF($M228&gt;=Header!$C$18,"YES — refer","No"),""))</f>
      </c>
      <c r="AZ228" s="44">
        <f>IF($AD228="","",IF(ISNUMBER($AD228),IF($AD228&lt;Header!$C$20,"BELOW MIN PREMIUM","OK"),""))</f>
      </c>
      <c r="BA228" s="48" t="inlineStr">
        <is>
          <t xml:space="preserve">Yes</t>
        </is>
      </c>
      <c r="BB228" s="48" t="inlineStr">
        <is>
          <t xml:space="preserve">Yes</t>
        </is>
      </c>
      <c r="BC228" s="46" t="inlineStr">
        <is>
          <t xml:space="preserve">Synthetic demo data</t>
        </is>
      </c>
      <c r="BE228" s="45">
        <f>IF(OR($A228="",$L228="",$H228=""),"",IF(AND(LEFT($L228,2)="06",$H228&gt;1945),"FAIL - pre-war class, year "&amp;$H228,IF(AND(LEFT($L228,2)="07",OR($H228&lt;1946,$H228&gt;1972)),"FAIL - 1946-72 class, year "&amp;$H228,IF(AND(LEFT($L228,2)="08",OR($H228&lt;1973,$H228&gt;1999)),"FAIL - 1973-99 class, year "&amp;$H228,IF(AND(LEFT($L228,2)="09",OR($H228&lt;2000,$H228&gt;2010)),"FAIL - 2000-10 class, year "&amp;$H228,"OK")))))</f>
      </c>
      <c r="BF228" s="45">
        <f>IF($AD228="","",IF(ROUND($AO228+$AP228+$AQ228-$AD228,2)=0,"OK","FAIL - out by "&amp;TEXT($AO228+$AP228+$AQ228-$AD228,"$0.00")))</f>
      </c>
    </row>
    <row r="229" spans="1:58" ht="18.75" customHeight="1" x14ac:dyDescent="0.25">
      <c r="A229" s="30" t="inlineStr">
        <is>
          <t xml:space="preserve">CANON-202606-008720</t>
        </is>
      </c>
      <c r="B229" s="30" t="inlineStr">
        <is>
          <t xml:space="preserve">Saoirse Rourke</t>
        </is>
      </c>
      <c r="C229" s="31">
        <v>46200</v>
      </c>
      <c r="D229" s="32" t="inlineStr">
        <is>
          <t xml:space="preserve">Bound - within authority</t>
        </is>
      </c>
      <c r="E229" s="32" t="inlineStr">
        <is>
          <t xml:space="preserve">New business</t>
        </is>
      </c>
      <c r="F229" s="30" t="inlineStr">
        <is>
          <t xml:space="preserve">B1234EXOTIC26</t>
        </is>
      </c>
      <c r="G229" s="33">
        <f>IF($A229="","",IF($C229="","",YEAR($C229)))</f>
      </c>
      <c r="H229" s="34">
        <v>2019</v>
      </c>
      <c r="I229" s="30" t="inlineStr">
        <is>
          <t xml:space="preserve">Maserati</t>
        </is>
      </c>
      <c r="J229" s="30" t="inlineStr">
        <is>
          <t xml:space="preserve">GranTurismo</t>
        </is>
      </c>
      <c r="K229" s="30" t="inlineStr">
        <is>
          <t xml:space="preserve">B5UJS648CC4ZL22PS</t>
        </is>
      </c>
      <c r="L229" s="32" t="inlineStr">
        <is>
          <t xml:space="preserve">02 - Sports / GT</t>
        </is>
      </c>
      <c r="M229" s="35">
        <v>400000</v>
      </c>
      <c r="N229" s="32" t="inlineStr">
        <is>
          <t xml:space="preserve">Personal</t>
        </is>
      </c>
      <c r="O229" s="30" t="inlineStr">
        <is>
          <t xml:space="preserve">Personal - regular use</t>
        </is>
      </c>
      <c r="P229" s="30" t="inlineStr">
        <is>
          <t xml:space="preserve">Under 1,000</t>
        </is>
      </c>
      <c r="Q229" s="30" t="inlineStr">
        <is>
          <t xml:space="preserve">Texas</t>
        </is>
      </c>
      <c r="R229" s="30" t="inlineStr">
        <is>
          <t xml:space="preserve">75201</t>
        </is>
      </c>
      <c r="S229" s="32" t="inlineStr">
        <is>
          <t xml:space="preserve">Tier 2 - Coastal wind (1-25 miles)</t>
        </is>
      </c>
      <c r="T229" s="36">
        <f>IF($A229="","",IF($S229="","",IFERROR(INDEX('[1]natural catastrophe'!$D$6:$D$17,MATCH($S229,'[1]natural catastrophe'!$B$6:$B$17,0)),"?")))</f>
      </c>
      <c r="U229" s="30" t="inlineStr">
        <is>
          <t xml:space="preserve">2% of agreed value, minimum $10,000</t>
        </is>
      </c>
      <c r="V229" s="32" t="inlineStr">
        <is>
          <t xml:space="preserve">Agreed Value</t>
        </is>
      </c>
      <c r="W229" s="30" t="inlineStr">
        <is>
          <t xml:space="preserve">$1,000</t>
        </is>
      </c>
      <c r="X229" s="32" t="inlineStr">
        <is>
          <t xml:space="preserve">$1,000,000 CSL</t>
        </is>
      </c>
      <c r="Y229" s="30"/>
      <c r="Z229" s="30"/>
      <c r="AA229" s="32" t="inlineStr">
        <is>
          <t xml:space="preserve">Surplus Lines</t>
        </is>
      </c>
      <c r="AB229" s="35">
        <v>4978.41</v>
      </c>
      <c r="AC229" s="37">
        <v>0</v>
      </c>
      <c r="AD229" s="38">
        <f>IF(ISNUMBER($AB229),$AB229*(1+N($AC229)),"")</f>
      </c>
      <c r="AE229" s="35">
        <v>350</v>
      </c>
      <c r="AF229" s="35">
        <v>0</v>
      </c>
      <c r="AG229" s="37"/>
      <c r="AH229" s="39">
        <f>IF(ISNUMBER($AD229),($AD229+$AE229+$AF229)*$AG229,"")</f>
      </c>
      <c r="AI229" s="35"/>
      <c r="AJ229" s="38">
        <f>IF(ISNUMBER($AD229),SUM($AD229:$AH229),"")</f>
      </c>
      <c r="AK229" s="40">
        <f>IF(AND(ISNUMBER($AB229),ISNUMBER($AD229)),IF($AB229&gt;0,$AD229/$AB229,""),"")</f>
      </c>
      <c r="AL229" s="32" t="inlineStr">
        <is>
          <t xml:space="preserve">At technical</t>
        </is>
      </c>
      <c r="AM229" s="41">
        <f>IF(ISNUMBER($AD229),Header!$I$3,"")</f>
      </c>
      <c r="AN229" s="39">
        <f>IF(ISNUMBER($AD229),$AO229+$AP229,"")</f>
      </c>
      <c r="AO229" s="39">
        <f>IF(ISNUMBER($AD229),ROUND($AD229*Header!$K$3,2),"")</f>
      </c>
      <c r="AP229" s="39">
        <f>IF(ISNUMBER($AD229),ROUND($AD229*Header!$M$3,2),"")</f>
      </c>
      <c r="AQ229" s="38">
        <f>IF(ISNUMBER($AD229),ROUND($AD229,2)-$AO229-$AP229,"")</f>
      </c>
      <c r="AR229" s="39">
        <f>IF(ISNUMBER($AD229),IF(Header!$D$34="","?",$AD229*Header!$D$34),"")</f>
      </c>
      <c r="AS229" s="39">
        <f>IF(ISNUMBER($AB229),IF(Header!$D$34="","?",$AB229*Header!$D$34),"")</f>
      </c>
      <c r="AT229" s="42">
        <f>IF(AND(ISNUMBER($AB229),$M229&gt;0),$AB229/$M229*100,"")</f>
      </c>
      <c r="AU229" s="42">
        <f>IF(AND(ISNUMBER($AD229),$M229&gt;0),$AD229/$M229*100,"")</f>
      </c>
      <c r="AV229" s="40">
        <f>IF(AND(ISNUMBER($AB229),ISNUMBER($AD229),ABS($AB229)&gt;0),$AD229/$AB229,"")</f>
      </c>
      <c r="AW229" s="39">
        <f>IF(ISNUMBER($AD229),MAX(0,(1-0.55-Header!$O$3)*Header!$Q$3*$AQ229),"")</f>
      </c>
      <c r="AX229" s="43">
        <f>IF($A229="","",IF(TRIM(IF($A229="","Missing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",""))="","PASS","FAIL: "&amp;TRIM(IF($A229="","Missing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f>
      </c>
      <c r="AY229" s="44">
        <f>IF($M229="","",IF(ISNUMBER($M229),IF($M229&gt;=Header!$C$18,"YES — refer","No"),""))</f>
      </c>
      <c r="AZ229" s="44">
        <f>IF($AD229="","",IF(ISNUMBER($AD229),IF($AD229&lt;Header!$C$20,"BELOW MIN PREMIUM","OK"),""))</f>
      </c>
      <c r="BA229" s="32" t="inlineStr">
        <is>
          <t xml:space="preserve">Yes</t>
        </is>
      </c>
      <c r="BB229" s="32" t="inlineStr">
        <is>
          <t xml:space="preserve">Yes</t>
        </is>
      </c>
      <c r="BC229" s="30" t="inlineStr">
        <is>
          <t xml:space="preserve">Synthetic demo data</t>
        </is>
      </c>
      <c r="BE229" s="45">
        <f>IF(OR($A229="",$L229="",$H229=""),"",IF(AND(LEFT($L229,2)="06",$H229&gt;1945),"FAIL - pre-war class, year "&amp;$H229,IF(AND(LEFT($L229,2)="07",OR($H229&lt;1946,$H229&gt;1972)),"FAIL - 1946-72 class, year "&amp;$H229,IF(AND(LEFT($L229,2)="08",OR($H229&lt;1973,$H229&gt;1999)),"FAIL - 1973-99 class, year "&amp;$H229,IF(AND(LEFT($L229,2)="09",OR($H229&lt;2000,$H229&gt;2010)),"FAIL - 2000-10 class, year "&amp;$H229,"OK")))))</f>
      </c>
      <c r="BF229" s="45">
        <f>IF($AD229="","",IF(ROUND($AO229+$AP229+$AQ229-$AD229,2)=0,"OK","FAIL - out by "&amp;TEXT($AO229+$AP229+$AQ229-$AD229,"$0.00")))</f>
      </c>
    </row>
    <row r="230" spans="1:58" ht="18.75" customHeight="1" x14ac:dyDescent="0.25">
      <c r="A230" s="46" t="inlineStr">
        <is>
          <t xml:space="preserve">CANON-202606-008721</t>
        </is>
      </c>
      <c r="B230" s="46" t="inlineStr">
        <is>
          <t xml:space="preserve">Leopold Larsson</t>
        </is>
      </c>
      <c r="C230" s="47">
        <v>46191</v>
      </c>
      <c r="D230" s="48" t="inlineStr">
        <is>
          <t xml:space="preserve">Bound - within authority</t>
        </is>
      </c>
      <c r="E230" s="48" t="inlineStr">
        <is>
          <t xml:space="preserve">New business</t>
        </is>
      </c>
      <c r="F230" s="46" t="inlineStr">
        <is>
          <t xml:space="preserve">B1234EXOTIC26</t>
        </is>
      </c>
      <c r="G230" s="33">
        <f>IF($A230="","",IF($C230="","",YEAR($C230)))</f>
      </c>
      <c r="H230" s="49">
        <v>1957</v>
      </c>
      <c r="I230" s="46" t="inlineStr">
        <is>
          <t xml:space="preserve">Bentley</t>
        </is>
      </c>
      <c r="J230" s="46" t="inlineStr">
        <is>
          <t xml:space="preserve">Continental GT</t>
        </is>
      </c>
      <c r="K230" s="46" t="inlineStr">
        <is>
          <t xml:space="preserve">AA794EBZ0B7DA4B5S</t>
        </is>
      </c>
      <c r="L230" s="48" t="inlineStr">
        <is>
          <t xml:space="preserve">02 - Sports / GT</t>
        </is>
      </c>
      <c r="M230" s="50">
        <v>425000</v>
      </c>
      <c r="N230" s="48" t="inlineStr">
        <is>
          <t xml:space="preserve">Personal</t>
        </is>
      </c>
      <c r="O230" s="46" t="inlineStr">
        <is>
          <t xml:space="preserve">Personal - regular use</t>
        </is>
      </c>
      <c r="P230" s="46" t="inlineStr">
        <is>
          <t xml:space="preserve">1,000 - 2,500</t>
        </is>
      </c>
      <c r="Q230" s="46" t="inlineStr">
        <is>
          <t xml:space="preserve">West Virginia</t>
        </is>
      </c>
      <c r="R230" s="46" t="inlineStr">
        <is>
          <t xml:space="preserve">25301</t>
        </is>
      </c>
      <c r="S230" s="48" t="inlineStr">
        <is>
          <t xml:space="preserve">Low hazard - inland benign</t>
        </is>
      </c>
      <c r="T230" s="36">
        <f>IF($A230="","",IF($S230="","",IFERROR(INDEX('[1]natural catastrophe'!$D$6:$D$17,MATCH($S230,'[1]natural catastrophe'!$B$6:$B$17,0)),"?")))</f>
      </c>
      <c r="U230" s="46" t="inlineStr">
        <is>
          <t xml:space="preserve">$5,000</t>
        </is>
      </c>
      <c r="V230" s="48" t="inlineStr">
        <is>
          <t xml:space="preserve">Agreed Value</t>
        </is>
      </c>
      <c r="W230" s="46" t="inlineStr">
        <is>
          <t xml:space="preserve">$1,000</t>
        </is>
      </c>
      <c r="X230" s="48" t="inlineStr">
        <is>
          <t xml:space="preserve">$1,000,000 CSL</t>
        </is>
      </c>
      <c r="Y230" s="46"/>
      <c r="Z230" s="46"/>
      <c r="AA230" s="48" t="inlineStr">
        <is>
          <t xml:space="preserve">Surplus Lines</t>
        </is>
      </c>
      <c r="AB230" s="50">
        <v>6117.5</v>
      </c>
      <c r="AC230" s="51">
        <v>0</v>
      </c>
      <c r="AD230" s="38">
        <f>IF(ISNUMBER($AB230),$AB230*(1+N($AC230)),"")</f>
      </c>
      <c r="AE230" s="50">
        <v>350</v>
      </c>
      <c r="AF230" s="50">
        <v>0</v>
      </c>
      <c r="AG230" s="51"/>
      <c r="AH230" s="39">
        <f>IF(ISNUMBER($AD230),($AD230+$AE230+$AF230)*$AG230,"")</f>
      </c>
      <c r="AI230" s="50"/>
      <c r="AJ230" s="38">
        <f>IF(ISNUMBER($AD230),SUM($AD230:$AH230),"")</f>
      </c>
      <c r="AK230" s="40">
        <f>IF(AND(ISNUMBER($AB230),ISNUMBER($AD230)),IF($AB230&gt;0,$AD230/$AB230,""),"")</f>
      </c>
      <c r="AL230" s="48" t="inlineStr">
        <is>
          <t xml:space="preserve">At technical</t>
        </is>
      </c>
      <c r="AM230" s="41">
        <f>IF(ISNUMBER($AD230),Header!$I$3,"")</f>
      </c>
      <c r="AN230" s="39">
        <f>IF(ISNUMBER($AD230),$AO230+$AP230,"")</f>
      </c>
      <c r="AO230" s="39">
        <f>IF(ISNUMBER($AD230),ROUND($AD230*Header!$K$3,2),"")</f>
      </c>
      <c r="AP230" s="39">
        <f>IF(ISNUMBER($AD230),ROUND($AD230*Header!$M$3,2),"")</f>
      </c>
      <c r="AQ230" s="38">
        <f>IF(ISNUMBER($AD230),ROUND($AD230,2)-$AO230-$AP230,"")</f>
      </c>
      <c r="AR230" s="39">
        <f>IF(ISNUMBER($AD230),IF(Header!$D$34="","?",$AD230*Header!$D$34),"")</f>
      </c>
      <c r="AS230" s="39">
        <f>IF(ISNUMBER($AB230),IF(Header!$D$34="","?",$AB230*Header!$D$34),"")</f>
      </c>
      <c r="AT230" s="42">
        <f>IF(AND(ISNUMBER($AB230),$M230&gt;0),$AB230/$M230*100,"")</f>
      </c>
      <c r="AU230" s="42">
        <f>IF(AND(ISNUMBER($AD230),$M230&gt;0),$AD230/$M230*100,"")</f>
      </c>
      <c r="AV230" s="40">
        <f>IF(AND(ISNUMBER($AB230),ISNUMBER($AD230),ABS($AB230)&gt;0),$AD230/$AB230,"")</f>
      </c>
      <c r="AW230" s="39">
        <f>IF(ISNUMBER($AD230),MAX(0,(1-0.55-Header!$O$3)*Header!$Q$3*$AQ230),"")</f>
      </c>
      <c r="AX230" s="43">
        <f>IF($A230="","",IF(TRIM(IF($A230="","Missing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",""))="","PASS","FAIL: "&amp;TRIM(IF($A230="","Missing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f>
      </c>
      <c r="AY230" s="44">
        <f>IF($M230="","",IF(ISNUMBER($M230),IF($M230&gt;=Header!$C$18,"YES — refer","No"),""))</f>
      </c>
      <c r="AZ230" s="44">
        <f>IF($AD230="","",IF(ISNUMBER($AD230),IF($AD230&lt;Header!$C$20,"BELOW MIN PREMIUM","OK"),""))</f>
      </c>
      <c r="BA230" s="48" t="inlineStr">
        <is>
          <t xml:space="preserve">Yes</t>
        </is>
      </c>
      <c r="BB230" s="48" t="inlineStr">
        <is>
          <t xml:space="preserve">Yes</t>
        </is>
      </c>
      <c r="BC230" s="46" t="inlineStr">
        <is>
          <t xml:space="preserve">Synthetic demo data</t>
        </is>
      </c>
      <c r="BE230" s="45">
        <f>IF(OR($A230="",$L230="",$H230=""),"",IF(AND(LEFT($L230,2)="06",$H230&gt;1945),"FAIL - pre-war class, year "&amp;$H230,IF(AND(LEFT($L230,2)="07",OR($H230&lt;1946,$H230&gt;1972)),"FAIL - 1946-72 class, year "&amp;$H230,IF(AND(LEFT($L230,2)="08",OR($H230&lt;1973,$H230&gt;1999)),"FAIL - 1973-99 class, year "&amp;$H230,IF(AND(LEFT($L230,2)="09",OR($H230&lt;2000,$H230&gt;2010)),"FAIL - 2000-10 class, year "&amp;$H230,"OK")))))</f>
      </c>
      <c r="BF230" s="45">
        <f>IF($AD230="","",IF(ROUND($AO230+$AP230+$AQ230-$AD230,2)=0,"OK","FAIL - out by "&amp;TEXT($AO230+$AP230+$AQ230-$AD230,"$0.00")))</f>
      </c>
    </row>
    <row r="231" spans="1:58" ht="18.75" customHeight="1" x14ac:dyDescent="0.25">
      <c r="A231" s="30" t="inlineStr">
        <is>
          <t xml:space="preserve">CANON-202606-008722</t>
        </is>
      </c>
      <c r="B231" s="30" t="inlineStr">
        <is>
          <t xml:space="preserve">Ingrid Ashcombe</t>
        </is>
      </c>
      <c r="C231" s="31">
        <v>46200</v>
      </c>
      <c r="D231" s="32" t="inlineStr">
        <is>
          <t xml:space="preserve">Bound - within authority</t>
        </is>
      </c>
      <c r="E231" s="32" t="inlineStr">
        <is>
          <t xml:space="preserve">New business</t>
        </is>
      </c>
      <c r="F231" s="30" t="inlineStr">
        <is>
          <t xml:space="preserve">B1234EXOTIC26</t>
        </is>
      </c>
      <c r="G231" s="33">
        <f>IF($A231="","",IF($C231="","",YEAR($C231)))</f>
      </c>
      <c r="H231" s="34">
        <v>2020</v>
      </c>
      <c r="I231" s="30" t="inlineStr">
        <is>
          <t xml:space="preserve">Bentley</t>
        </is>
      </c>
      <c r="J231" s="30" t="inlineStr">
        <is>
          <t xml:space="preserve">Continental GT</t>
        </is>
      </c>
      <c r="K231" s="30" t="inlineStr">
        <is>
          <t xml:space="preserve">WCPALVBLSSML2NPSE</t>
        </is>
      </c>
      <c r="L231" s="32" t="inlineStr">
        <is>
          <t xml:space="preserve">02 - Sports / GT</t>
        </is>
      </c>
      <c r="M231" s="35">
        <v>420000</v>
      </c>
      <c r="N231" s="32" t="inlineStr">
        <is>
          <t xml:space="preserve">Personal</t>
        </is>
      </c>
      <c r="O231" s="30" t="inlineStr">
        <is>
          <t xml:space="preserve">Personal - regular use</t>
        </is>
      </c>
      <c r="P231" s="30" t="inlineStr">
        <is>
          <t xml:space="preserve">Under 1,000</t>
        </is>
      </c>
      <c r="Q231" s="30" t="inlineStr">
        <is>
          <t xml:space="preserve">Tennessee</t>
        </is>
      </c>
      <c r="R231" s="30" t="inlineStr">
        <is>
          <t xml:space="preserve">37203</t>
        </is>
      </c>
      <c r="S231" s="32" t="inlineStr">
        <is>
          <t xml:space="preserve">Severe convective - hail / tornado (moderate)</t>
        </is>
      </c>
      <c r="T231" s="36">
        <f>IF($A231="","",IF($S231="","",IFERROR(INDEX('[1]natural catastrophe'!$D$6:$D$17,MATCH($S231,'[1]natural catastrophe'!$B$6:$B$17,0)),"?")))</f>
      </c>
      <c r="U231" s="30" t="inlineStr">
        <is>
          <t xml:space="preserve">$5,000</t>
        </is>
      </c>
      <c r="V231" s="32" t="inlineStr">
        <is>
          <t xml:space="preserve">Agreed Value</t>
        </is>
      </c>
      <c r="W231" s="30" t="inlineStr">
        <is>
          <t xml:space="preserve">$1,000</t>
        </is>
      </c>
      <c r="X231" s="32" t="inlineStr">
        <is>
          <t xml:space="preserve">$1,000,000 CSL</t>
        </is>
      </c>
      <c r="Y231" s="30"/>
      <c r="Z231" s="30"/>
      <c r="AA231" s="32" t="inlineStr">
        <is>
          <t xml:space="preserve">Surplus Lines</t>
        </is>
      </c>
      <c r="AB231" s="35">
        <v>4454.6</v>
      </c>
      <c r="AC231" s="37">
        <v>0</v>
      </c>
      <c r="AD231" s="38">
        <f>IF(ISNUMBER($AB231),$AB231*(1+N($AC231)),"")</f>
      </c>
      <c r="AE231" s="35">
        <v>350</v>
      </c>
      <c r="AF231" s="35">
        <v>0</v>
      </c>
      <c r="AG231" s="37"/>
      <c r="AH231" s="39">
        <f>IF(ISNUMBER($AD231),($AD231+$AE231+$AF231)*$AG231,"")</f>
      </c>
      <c r="AI231" s="35"/>
      <c r="AJ231" s="38">
        <f>IF(ISNUMBER($AD231),SUM($AD231:$AH231),"")</f>
      </c>
      <c r="AK231" s="40">
        <f>IF(AND(ISNUMBER($AB231),ISNUMBER($AD231)),IF($AB231&gt;0,$AD231/$AB231,""),"")</f>
      </c>
      <c r="AL231" s="32" t="inlineStr">
        <is>
          <t xml:space="preserve">At technical</t>
        </is>
      </c>
      <c r="AM231" s="41">
        <f>IF(ISNUMBER($AD231),Header!$I$3,"")</f>
      </c>
      <c r="AN231" s="39">
        <f>IF(ISNUMBER($AD231),$AO231+$AP231,"")</f>
      </c>
      <c r="AO231" s="39">
        <f>IF(ISNUMBER($AD231),ROUND($AD231*Header!$K$3,2),"")</f>
      </c>
      <c r="AP231" s="39">
        <f>IF(ISNUMBER($AD231),ROUND($AD231*Header!$M$3,2),"")</f>
      </c>
      <c r="AQ231" s="38">
        <f>IF(ISNUMBER($AD231),ROUND($AD231,2)-$AO231-$AP231,"")</f>
      </c>
      <c r="AR231" s="39">
        <f>IF(ISNUMBER($AD231),IF(Header!$D$34="","?",$AD231*Header!$D$34),"")</f>
      </c>
      <c r="AS231" s="39">
        <f>IF(ISNUMBER($AB231),IF(Header!$D$34="","?",$AB231*Header!$D$34),"")</f>
      </c>
      <c r="AT231" s="42">
        <f>IF(AND(ISNUMBER($AB231),$M231&gt;0),$AB231/$M231*100,"")</f>
      </c>
      <c r="AU231" s="42">
        <f>IF(AND(ISNUMBER($AD231),$M231&gt;0),$AD231/$M231*100,"")</f>
      </c>
      <c r="AV231" s="40">
        <f>IF(AND(ISNUMBER($AB231),ISNUMBER($AD231),ABS($AB231)&gt;0),$AD231/$AB231,"")</f>
      </c>
      <c r="AW231" s="39">
        <f>IF(ISNUMBER($AD231),MAX(0,(1-0.55-Header!$O$3)*Header!$Q$3*$AQ231),"")</f>
      </c>
      <c r="AX231" s="43">
        <f>IF($A231="","",IF(TRIM(IF($A231="","Missing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",""))="","PASS","FAIL: "&amp;TRIM(IF($A231="","Missing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f>
      </c>
      <c r="AY231" s="44">
        <f>IF($M231="","",IF(ISNUMBER($M231),IF($M231&gt;=Header!$C$18,"YES — refer","No"),""))</f>
      </c>
      <c r="AZ231" s="44">
        <f>IF($AD231="","",IF(ISNUMBER($AD231),IF($AD231&lt;Header!$C$20,"BELOW MIN PREMIUM","OK"),""))</f>
      </c>
      <c r="BA231" s="32" t="inlineStr">
        <is>
          <t xml:space="preserve">Yes</t>
        </is>
      </c>
      <c r="BB231" s="32" t="inlineStr">
        <is>
          <t xml:space="preserve">Yes</t>
        </is>
      </c>
      <c r="BC231" s="30" t="inlineStr">
        <is>
          <t xml:space="preserve">Synthetic demo data</t>
        </is>
      </c>
      <c r="BE231" s="45">
        <f>IF(OR($A231="",$L231="",$H231=""),"",IF(AND(LEFT($L231,2)="06",$H231&gt;1945),"FAIL - pre-war class, year "&amp;$H231,IF(AND(LEFT($L231,2)="07",OR($H231&lt;1946,$H231&gt;1972)),"FAIL - 1946-72 class, year "&amp;$H231,IF(AND(LEFT($L231,2)="08",OR($H231&lt;1973,$H231&gt;1999)),"FAIL - 1973-99 class, year "&amp;$H231,IF(AND(LEFT($L231,2)="09",OR($H231&lt;2000,$H231&gt;2010)),"FAIL - 2000-10 class, year "&amp;$H231,"OK")))))</f>
      </c>
      <c r="BF231" s="45">
        <f>IF($AD231="","",IF(ROUND($AO231+$AP231+$AQ231-$AD231,2)=0,"OK","FAIL - out by "&amp;TEXT($AO231+$AP231+$AQ231-$AD231,"$0.00")))</f>
      </c>
    </row>
    <row r="232" spans="1:58" ht="18.75" customHeight="1" x14ac:dyDescent="0.25">
      <c r="A232" s="46" t="inlineStr">
        <is>
          <t xml:space="preserve">CANON-202606-008723</t>
        </is>
      </c>
      <c r="B232" s="46" t="inlineStr">
        <is>
          <t xml:space="preserve">Mireille Vandermeer</t>
        </is>
      </c>
      <c r="C232" s="47">
        <v>46189</v>
      </c>
      <c r="D232" s="48" t="inlineStr">
        <is>
          <t xml:space="preserve">Bound - within authority</t>
        </is>
      </c>
      <c r="E232" s="48" t="inlineStr">
        <is>
          <t xml:space="preserve">New business</t>
        </is>
      </c>
      <c r="F232" s="46" t="inlineStr">
        <is>
          <t xml:space="preserve">B1234EXOTIC26</t>
        </is>
      </c>
      <c r="G232" s="33">
        <f>IF($A232="","",IF($C232="","",YEAR($C232)))</f>
      </c>
      <c r="H232" s="49">
        <v>1977</v>
      </c>
      <c r="I232" s="46" t="inlineStr">
        <is>
          <t xml:space="preserve">Bentley</t>
        </is>
      </c>
      <c r="J232" s="46" t="inlineStr">
        <is>
          <t xml:space="preserve">Continental GT</t>
        </is>
      </c>
      <c r="K232" s="46" t="inlineStr">
        <is>
          <t xml:space="preserve">38421V3VKB3GFZ16W</t>
        </is>
      </c>
      <c r="L232" s="48" t="inlineStr">
        <is>
          <t xml:space="preserve">02 - Sports / GT</t>
        </is>
      </c>
      <c r="M232" s="50">
        <v>845000</v>
      </c>
      <c r="N232" s="48" t="inlineStr">
        <is>
          <t xml:space="preserve">Personal</t>
        </is>
      </c>
      <c r="O232" s="46" t="inlineStr">
        <is>
          <t xml:space="preserve">Personal - regular use</t>
        </is>
      </c>
      <c r="P232" s="46" t="inlineStr">
        <is>
          <t xml:space="preserve">1,000 - 2,500</t>
        </is>
      </c>
      <c r="Q232" s="46" t="inlineStr">
        <is>
          <t xml:space="preserve">New Jersey</t>
        </is>
      </c>
      <c r="R232" s="46" t="inlineStr">
        <is>
          <t xml:space="preserve">07102</t>
        </is>
      </c>
      <c r="S232" s="48" t="inlineStr">
        <is>
          <t xml:space="preserve">Tier 3 - Coastal wind (25-100 miles)</t>
        </is>
      </c>
      <c r="T232" s="36">
        <f>IF($A232="","",IF($S232="","",IFERROR(INDEX('[1]natural catastrophe'!$D$6:$D$17,MATCH($S232,'[1]natural catastrophe'!$B$6:$B$17,0)),"?")))</f>
      </c>
      <c r="U232" s="46" t="inlineStr">
        <is>
          <t xml:space="preserve">2% of agreed value, minimum $10,000</t>
        </is>
      </c>
      <c r="V232" s="48" t="inlineStr">
        <is>
          <t xml:space="preserve">Agreed Value</t>
        </is>
      </c>
      <c r="W232" s="46" t="inlineStr">
        <is>
          <t xml:space="preserve">$1,000</t>
        </is>
      </c>
      <c r="X232" s="48" t="inlineStr">
        <is>
          <t xml:space="preserve">$1,000,000 CSL</t>
        </is>
      </c>
      <c r="Y232" s="46"/>
      <c r="Z232" s="46"/>
      <c r="AA232" s="48" t="inlineStr">
        <is>
          <t xml:space="preserve">Surplus Lines</t>
        </is>
      </c>
      <c r="AB232" s="50">
        <v>7212.46</v>
      </c>
      <c r="AC232" s="51">
        <v>0</v>
      </c>
      <c r="AD232" s="38">
        <f>IF(ISNUMBER($AB232),$AB232*(1+N($AC232)),"")</f>
      </c>
      <c r="AE232" s="50">
        <v>350</v>
      </c>
      <c r="AF232" s="50">
        <v>0</v>
      </c>
      <c r="AG232" s="51"/>
      <c r="AH232" s="39">
        <f>IF(ISNUMBER($AD232),($AD232+$AE232+$AF232)*$AG232,"")</f>
      </c>
      <c r="AI232" s="50"/>
      <c r="AJ232" s="38">
        <f>IF(ISNUMBER($AD232),SUM($AD232:$AH232),"")</f>
      </c>
      <c r="AK232" s="40">
        <f>IF(AND(ISNUMBER($AB232),ISNUMBER($AD232)),IF($AB232&gt;0,$AD232/$AB232,""),"")</f>
      </c>
      <c r="AL232" s="48" t="inlineStr">
        <is>
          <t xml:space="preserve">At technical</t>
        </is>
      </c>
      <c r="AM232" s="41">
        <f>IF(ISNUMBER($AD232),Header!$I$3,"")</f>
      </c>
      <c r="AN232" s="39">
        <f>IF(ISNUMBER($AD232),$AO232+$AP232,"")</f>
      </c>
      <c r="AO232" s="39">
        <f>IF(ISNUMBER($AD232),ROUND($AD232*Header!$K$3,2),"")</f>
      </c>
      <c r="AP232" s="39">
        <f>IF(ISNUMBER($AD232),ROUND($AD232*Header!$M$3,2),"")</f>
      </c>
      <c r="AQ232" s="38">
        <f>IF(ISNUMBER($AD232),ROUND($AD232,2)-$AO232-$AP232,"")</f>
      </c>
      <c r="AR232" s="39">
        <f>IF(ISNUMBER($AD232),IF(Header!$D$34="","?",$AD232*Header!$D$34),"")</f>
      </c>
      <c r="AS232" s="39">
        <f>IF(ISNUMBER($AB232),IF(Header!$D$34="","?",$AB232*Header!$D$34),"")</f>
      </c>
      <c r="AT232" s="42">
        <f>IF(AND(ISNUMBER($AB232),$M232&gt;0),$AB232/$M232*100,"")</f>
      </c>
      <c r="AU232" s="42">
        <f>IF(AND(ISNUMBER($AD232),$M232&gt;0),$AD232/$M232*100,"")</f>
      </c>
      <c r="AV232" s="40">
        <f>IF(AND(ISNUMBER($AB232),ISNUMBER($AD232),ABS($AB232)&gt;0),$AD232/$AB232,"")</f>
      </c>
      <c r="AW232" s="39">
        <f>IF(ISNUMBER($AD232),MAX(0,(1-0.55-Header!$O$3)*Header!$Q$3*$AQ232),"")</f>
      </c>
      <c r="AX232" s="43">
        <f>IF($A232="","",IF(TRIM(IF($A232="","Missing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",""))="","PASS","FAIL: "&amp;TRIM(IF($A232="","Missing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f>
      </c>
      <c r="AY232" s="44">
        <f>IF($M232="","",IF(ISNUMBER($M232),IF($M232&gt;=Header!$C$18,"YES — refer","No"),""))</f>
      </c>
      <c r="AZ232" s="44">
        <f>IF($AD232="","",IF(ISNUMBER($AD232),IF($AD232&lt;Header!$C$20,"BELOW MIN PREMIUM","OK"),""))</f>
      </c>
      <c r="BA232" s="48" t="inlineStr">
        <is>
          <t xml:space="preserve">Yes</t>
        </is>
      </c>
      <c r="BB232" s="48" t="inlineStr">
        <is>
          <t xml:space="preserve">Yes</t>
        </is>
      </c>
      <c r="BC232" s="46" t="inlineStr">
        <is>
          <t xml:space="preserve">Synthetic demo data</t>
        </is>
      </c>
      <c r="BE232" s="45">
        <f>IF(OR($A232="",$L232="",$H232=""),"",IF(AND(LEFT($L232,2)="06",$H232&gt;1945),"FAIL - pre-war class, year "&amp;$H232,IF(AND(LEFT($L232,2)="07",OR($H232&lt;1946,$H232&gt;1972)),"FAIL - 1946-72 class, year "&amp;$H232,IF(AND(LEFT($L232,2)="08",OR($H232&lt;1973,$H232&gt;1999)),"FAIL - 1973-99 class, year "&amp;$H232,IF(AND(LEFT($L232,2)="09",OR($H232&lt;2000,$H232&gt;2010)),"FAIL - 2000-10 class, year "&amp;$H232,"OK")))))</f>
      </c>
      <c r="BF232" s="45">
        <f>IF($AD232="","",IF(ROUND($AO232+$AP232+$AQ232-$AD232,2)=0,"OK","FAIL - out by "&amp;TEXT($AO232+$AP232+$AQ232-$AD232,"$0.00")))</f>
      </c>
    </row>
    <row r="233" spans="1:58" ht="18.75" customHeight="1" x14ac:dyDescent="0.25">
      <c r="A233" s="30" t="inlineStr">
        <is>
          <t xml:space="preserve">CANON-202606-008724</t>
        </is>
      </c>
      <c r="B233" s="30" t="inlineStr">
        <is>
          <t xml:space="preserve">Sunniva Okonkwo</t>
        </is>
      </c>
      <c r="C233" s="31">
        <v>46199</v>
      </c>
      <c r="D233" s="32" t="inlineStr">
        <is>
          <t xml:space="preserve">Bound - within authority</t>
        </is>
      </c>
      <c r="E233" s="32" t="inlineStr">
        <is>
          <t xml:space="preserve">New business</t>
        </is>
      </c>
      <c r="F233" s="30" t="inlineStr">
        <is>
          <t xml:space="preserve">B1234EXOTIC26</t>
        </is>
      </c>
      <c r="G233" s="33">
        <f>IF($A233="","",IF($C233="","",YEAR($C233)))</f>
      </c>
      <c r="H233" s="34">
        <v>2022</v>
      </c>
      <c r="I233" s="30" t="inlineStr">
        <is>
          <t xml:space="preserve">Bentley</t>
        </is>
      </c>
      <c r="J233" s="30" t="inlineStr">
        <is>
          <t xml:space="preserve">Continental GT</t>
        </is>
      </c>
      <c r="K233" s="30" t="inlineStr">
        <is>
          <t xml:space="preserve">R8YNB26R5REGMN8BW</t>
        </is>
      </c>
      <c r="L233" s="32" t="inlineStr">
        <is>
          <t xml:space="preserve">02 - Sports / GT</t>
        </is>
      </c>
      <c r="M233" s="35">
        <v>680000</v>
      </c>
      <c r="N233" s="32" t="inlineStr">
        <is>
          <t xml:space="preserve">Personal</t>
        </is>
      </c>
      <c r="O233" s="30" t="inlineStr">
        <is>
          <t xml:space="preserve">Personal - regular use</t>
        </is>
      </c>
      <c r="P233" s="30" t="inlineStr">
        <is>
          <t xml:space="preserve">2,500 - 5,000</t>
        </is>
      </c>
      <c r="Q233" s="30" t="inlineStr">
        <is>
          <t xml:space="preserve">Nebraska</t>
        </is>
      </c>
      <c r="R233" s="30" t="inlineStr">
        <is>
          <t xml:space="preserve">68102</t>
        </is>
      </c>
      <c r="S233" s="32" t="inlineStr">
        <is>
          <t xml:space="preserve">Severe convective - hail alley (high)</t>
        </is>
      </c>
      <c r="T233" s="36">
        <f>IF($A233="","",IF($S233="","",IFERROR(INDEX('[1]natural catastrophe'!$D$6:$D$17,MATCH($S233,'[1]natural catastrophe'!$B$6:$B$17,0)),"?")))</f>
      </c>
      <c r="U233" s="30" t="inlineStr">
        <is>
          <t xml:space="preserve">$5,000</t>
        </is>
      </c>
      <c r="V233" s="32" t="inlineStr">
        <is>
          <t xml:space="preserve">Agreed Value</t>
        </is>
      </c>
      <c r="W233" s="30" t="inlineStr">
        <is>
          <t xml:space="preserve">$1,000</t>
        </is>
      </c>
      <c r="X233" s="32" t="inlineStr">
        <is>
          <t xml:space="preserve">$1,000,000 CSL</t>
        </is>
      </c>
      <c r="Y233" s="30"/>
      <c r="Z233" s="30"/>
      <c r="AA233" s="32" t="inlineStr">
        <is>
          <t xml:space="preserve">Surplus Lines</t>
        </is>
      </c>
      <c r="AB233" s="35">
        <v>8291.59</v>
      </c>
      <c r="AC233" s="37">
        <v>0</v>
      </c>
      <c r="AD233" s="38">
        <f>IF(ISNUMBER($AB233),$AB233*(1+N($AC233)),"")</f>
      </c>
      <c r="AE233" s="35">
        <v>350</v>
      </c>
      <c r="AF233" s="35">
        <v>0</v>
      </c>
      <c r="AG233" s="37"/>
      <c r="AH233" s="39">
        <f>IF(ISNUMBER($AD233),($AD233+$AE233+$AF233)*$AG233,"")</f>
      </c>
      <c r="AI233" s="35"/>
      <c r="AJ233" s="38">
        <f>IF(ISNUMBER($AD233),SUM($AD233:$AH233),"")</f>
      </c>
      <c r="AK233" s="40">
        <f>IF(AND(ISNUMBER($AB233),ISNUMBER($AD233)),IF($AB233&gt;0,$AD233/$AB233,""),"")</f>
      </c>
      <c r="AL233" s="32" t="inlineStr">
        <is>
          <t xml:space="preserve">At technical</t>
        </is>
      </c>
      <c r="AM233" s="41">
        <f>IF(ISNUMBER($AD233),Header!$I$3,"")</f>
      </c>
      <c r="AN233" s="39">
        <f>IF(ISNUMBER($AD233),$AO233+$AP233,"")</f>
      </c>
      <c r="AO233" s="39">
        <f>IF(ISNUMBER($AD233),ROUND($AD233*Header!$K$3,2),"")</f>
      </c>
      <c r="AP233" s="39">
        <f>IF(ISNUMBER($AD233),ROUND($AD233*Header!$M$3,2),"")</f>
      </c>
      <c r="AQ233" s="38">
        <f>IF(ISNUMBER($AD233),ROUND($AD233,2)-$AO233-$AP233,"")</f>
      </c>
      <c r="AR233" s="39">
        <f>IF(ISNUMBER($AD233),IF(Header!$D$34="","?",$AD233*Header!$D$34),"")</f>
      </c>
      <c r="AS233" s="39">
        <f>IF(ISNUMBER($AB233),IF(Header!$D$34="","?",$AB233*Header!$D$34),"")</f>
      </c>
      <c r="AT233" s="42">
        <f>IF(AND(ISNUMBER($AB233),$M233&gt;0),$AB233/$M233*100,"")</f>
      </c>
      <c r="AU233" s="42">
        <f>IF(AND(ISNUMBER($AD233),$M233&gt;0),$AD233/$M233*100,"")</f>
      </c>
      <c r="AV233" s="40">
        <f>IF(AND(ISNUMBER($AB233),ISNUMBER($AD233),ABS($AB233)&gt;0),$AD233/$AB233,"")</f>
      </c>
      <c r="AW233" s="39">
        <f>IF(ISNUMBER($AD233),MAX(0,(1-0.55-Header!$O$3)*Header!$Q$3*$AQ233),"")</f>
      </c>
      <c r="AX233" s="43">
        <f>IF($A233="","",IF(TRIM(IF($A233="","Missing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",""))="","PASS","FAIL: "&amp;TRIM(IF($A233="","Missing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f>
      </c>
      <c r="AY233" s="44">
        <f>IF($M233="","",IF(ISNUMBER($M233),IF($M233&gt;=Header!$C$18,"YES — refer","No"),""))</f>
      </c>
      <c r="AZ233" s="44">
        <f>IF($AD233="","",IF(ISNUMBER($AD233),IF($AD233&lt;Header!$C$20,"BELOW MIN PREMIUM","OK"),""))</f>
      </c>
      <c r="BA233" s="32" t="inlineStr">
        <is>
          <t xml:space="preserve">Yes</t>
        </is>
      </c>
      <c r="BB233" s="32" t="inlineStr">
        <is>
          <t xml:space="preserve">Yes</t>
        </is>
      </c>
      <c r="BC233" s="30" t="inlineStr">
        <is>
          <t xml:space="preserve">Synthetic demo data</t>
        </is>
      </c>
      <c r="BE233" s="45">
        <f>IF(OR($A233="",$L233="",$H233=""),"",IF(AND(LEFT($L233,2)="06",$H233&gt;1945),"FAIL - pre-war class, year "&amp;$H233,IF(AND(LEFT($L233,2)="07",OR($H233&lt;1946,$H233&gt;1972)),"FAIL - 1946-72 class, year "&amp;$H233,IF(AND(LEFT($L233,2)="08",OR($H233&lt;1973,$H233&gt;1999)),"FAIL - 1973-99 class, year "&amp;$H233,IF(AND(LEFT($L233,2)="09",OR($H233&lt;2000,$H233&gt;2010)),"FAIL - 2000-10 class, year "&amp;$H233,"OK")))))</f>
      </c>
      <c r="BF233" s="45">
        <f>IF($AD233="","",IF(ROUND($AO233+$AP233+$AQ233-$AD233,2)=0,"OK","FAIL - out by "&amp;TEXT($AO233+$AP233+$AQ233-$AD233,"$0.00")))</f>
      </c>
    </row>
    <row r="234" spans="1:58" ht="18.75" customHeight="1" x14ac:dyDescent="0.25">
      <c r="A234" s="46" t="inlineStr">
        <is>
          <t xml:space="preserve">CANON-202606-008729</t>
        </is>
      </c>
      <c r="B234" s="46" t="inlineStr">
        <is>
          <t xml:space="preserve">Cassius Nakashima</t>
        </is>
      </c>
      <c r="C234" s="47">
        <v>46197</v>
      </c>
      <c r="D234" s="48" t="inlineStr">
        <is>
          <t xml:space="preserve">Bound - within authority</t>
        </is>
      </c>
      <c r="E234" s="48" t="inlineStr">
        <is>
          <t xml:space="preserve">New business</t>
        </is>
      </c>
      <c r="F234" s="46" t="inlineStr">
        <is>
          <t xml:space="preserve">B1234EXOTIC26</t>
        </is>
      </c>
      <c r="G234" s="33">
        <f>IF($A234="","",IF($C234="","",YEAR($C234)))</f>
      </c>
      <c r="H234" s="49">
        <v>1988</v>
      </c>
      <c r="I234" s="46" t="inlineStr">
        <is>
          <t xml:space="preserve">Aston Martin</t>
        </is>
      </c>
      <c r="J234" s="46" t="inlineStr">
        <is>
          <t xml:space="preserve">DB5</t>
        </is>
      </c>
      <c r="K234" s="46" t="inlineStr">
        <is>
          <t xml:space="preserve">KDAZWGC39VHP3HJNE</t>
        </is>
      </c>
      <c r="L234" s="48" t="inlineStr">
        <is>
          <t xml:space="preserve">08 - Modern Classic (1973-1999)</t>
        </is>
      </c>
      <c r="M234" s="50">
        <v>925000</v>
      </c>
      <c r="N234" s="48" t="inlineStr">
        <is>
          <t xml:space="preserve">Personal</t>
        </is>
      </c>
      <c r="O234" s="46" t="inlineStr">
        <is>
          <t xml:space="preserve">Personal - regular use</t>
        </is>
      </c>
      <c r="P234" s="46" t="inlineStr">
        <is>
          <t xml:space="preserve">1,000 - 2,500</t>
        </is>
      </c>
      <c r="Q234" s="46" t="inlineStr">
        <is>
          <t xml:space="preserve">Kansas</t>
        </is>
      </c>
      <c r="R234" s="46" t="inlineStr">
        <is>
          <t xml:space="preserve">66603</t>
        </is>
      </c>
      <c r="S234" s="48" t="inlineStr">
        <is>
          <t xml:space="preserve">Severe convective - hail alley (high)</t>
        </is>
      </c>
      <c r="T234" s="36">
        <f>IF($A234="","",IF($S234="","",IFERROR(INDEX('[1]natural catastrophe'!$D$6:$D$17,MATCH($S234,'[1]natural catastrophe'!$B$6:$B$17,0)),"?")))</f>
      </c>
      <c r="U234" s="46" t="inlineStr">
        <is>
          <t xml:space="preserve">$5,000</t>
        </is>
      </c>
      <c r="V234" s="48" t="inlineStr">
        <is>
          <t xml:space="preserve">Agreed Value</t>
        </is>
      </c>
      <c r="W234" s="46" t="inlineStr">
        <is>
          <t xml:space="preserve">$1,000</t>
        </is>
      </c>
      <c r="X234" s="48" t="inlineStr">
        <is>
          <t xml:space="preserve">$1,000,000 CSL</t>
        </is>
      </c>
      <c r="Y234" s="46"/>
      <c r="Z234" s="46"/>
      <c r="AA234" s="48" t="inlineStr">
        <is>
          <t xml:space="preserve">Surplus Lines</t>
        </is>
      </c>
      <c r="AB234" s="50">
        <v>5567.42</v>
      </c>
      <c r="AC234" s="51">
        <v>0</v>
      </c>
      <c r="AD234" s="38">
        <f>IF(ISNUMBER($AB234),$AB234*(1+N($AC234)),"")</f>
      </c>
      <c r="AE234" s="50">
        <v>350</v>
      </c>
      <c r="AF234" s="50">
        <v>0</v>
      </c>
      <c r="AG234" s="51"/>
      <c r="AH234" s="39">
        <f>IF(ISNUMBER($AD234),($AD234+$AE234+$AF234)*$AG234,"")</f>
      </c>
      <c r="AI234" s="50"/>
      <c r="AJ234" s="38">
        <f>IF(ISNUMBER($AD234),SUM($AD234:$AH234),"")</f>
      </c>
      <c r="AK234" s="40">
        <f>IF(AND(ISNUMBER($AB234),ISNUMBER($AD234)),IF($AB234&gt;0,$AD234/$AB234,""),"")</f>
      </c>
      <c r="AL234" s="48" t="inlineStr">
        <is>
          <t xml:space="preserve">At technical</t>
        </is>
      </c>
      <c r="AM234" s="41">
        <f>IF(ISNUMBER($AD234),Header!$I$3,"")</f>
      </c>
      <c r="AN234" s="39">
        <f>IF(ISNUMBER($AD234),$AO234+$AP234,"")</f>
      </c>
      <c r="AO234" s="39">
        <f>IF(ISNUMBER($AD234),ROUND($AD234*Header!$K$3,2),"")</f>
      </c>
      <c r="AP234" s="39">
        <f>IF(ISNUMBER($AD234),ROUND($AD234*Header!$M$3,2),"")</f>
      </c>
      <c r="AQ234" s="38">
        <f>IF(ISNUMBER($AD234),ROUND($AD234,2)-$AO234-$AP234,"")</f>
      </c>
      <c r="AR234" s="39">
        <f>IF(ISNUMBER($AD234),IF(Header!$D$34="","?",$AD234*Header!$D$34),"")</f>
      </c>
      <c r="AS234" s="39">
        <f>IF(ISNUMBER($AB234),IF(Header!$D$34="","?",$AB234*Header!$D$34),"")</f>
      </c>
      <c r="AT234" s="42">
        <f>IF(AND(ISNUMBER($AB234),$M234&gt;0),$AB234/$M234*100,"")</f>
      </c>
      <c r="AU234" s="42">
        <f>IF(AND(ISNUMBER($AD234),$M234&gt;0),$AD234/$M234*100,"")</f>
      </c>
      <c r="AV234" s="40">
        <f>IF(AND(ISNUMBER($AB234),ISNUMBER($AD234),ABS($AB234)&gt;0),$AD234/$AB234,"")</f>
      </c>
      <c r="AW234" s="39">
        <f>IF(ISNUMBER($AD234),MAX(0,(1-0.55-Header!$O$3)*Header!$Q$3*$AQ234),"")</f>
      </c>
      <c r="AX234" s="43">
        <f>IF($A234="","",IF(TRIM(IF($A234="","Missing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",""))="","PASS","FAIL: "&amp;TRIM(IF($A234="","Missing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f>
      </c>
      <c r="AY234" s="44">
        <f>IF($M234="","",IF(ISNUMBER($M234),IF($M234&gt;=Header!$C$18,"YES — refer","No"),""))</f>
      </c>
      <c r="AZ234" s="44">
        <f>IF($AD234="","",IF(ISNUMBER($AD234),IF($AD234&lt;Header!$C$20,"BELOW MIN PREMIUM","OK"),""))</f>
      </c>
      <c r="BA234" s="48" t="inlineStr">
        <is>
          <t xml:space="preserve">Yes</t>
        </is>
      </c>
      <c r="BB234" s="48" t="inlineStr">
        <is>
          <t xml:space="preserve">Yes</t>
        </is>
      </c>
      <c r="BC234" s="46" t="inlineStr">
        <is>
          <t xml:space="preserve">Synthetic demo data</t>
        </is>
      </c>
      <c r="BE234" s="45">
        <f>IF(OR($A234="",$L234="",$H234=""),"",IF(AND(LEFT($L234,2)="06",$H234&gt;1945),"FAIL - pre-war class, year "&amp;$H234,IF(AND(LEFT($L234,2)="07",OR($H234&lt;1946,$H234&gt;1972)),"FAIL - 1946-72 class, year "&amp;$H234,IF(AND(LEFT($L234,2)="08",OR($H234&lt;1973,$H234&gt;1999)),"FAIL - 1973-99 class, year "&amp;$H234,IF(AND(LEFT($L234,2)="09",OR($H234&lt;2000,$H234&gt;2010)),"FAIL - 2000-10 class, year "&amp;$H234,"OK")))))</f>
      </c>
      <c r="BF234" s="45">
        <f>IF($AD234="","",IF(ROUND($AO234+$AP234+$AQ234-$AD234,2)=0,"OK","FAIL - out by "&amp;TEXT($AO234+$AP234+$AQ234-$AD234,"$0.00")))</f>
      </c>
    </row>
    <row r="235" spans="1:58" ht="18.75" customHeight="1" x14ac:dyDescent="0.25">
      <c r="A235" s="30" t="inlineStr">
        <is>
          <t xml:space="preserve">CANON-202606-008731</t>
        </is>
      </c>
      <c r="B235" s="30" t="inlineStr">
        <is>
          <t xml:space="preserve">Ottilie Thistlewood</t>
        </is>
      </c>
      <c r="C235" s="31">
        <v>46191</v>
      </c>
      <c r="D235" s="32" t="inlineStr">
        <is>
          <t xml:space="preserve">Bound - within authority</t>
        </is>
      </c>
      <c r="E235" s="32" t="inlineStr">
        <is>
          <t xml:space="preserve">New business</t>
        </is>
      </c>
      <c r="F235" s="30" t="inlineStr">
        <is>
          <t xml:space="preserve">B1234EXOTIC26</t>
        </is>
      </c>
      <c r="G235" s="33">
        <f>IF($A235="","",IF($C235="","",YEAR($C235)))</f>
      </c>
      <c r="H235" s="34">
        <v>2013</v>
      </c>
      <c r="I235" s="30" t="inlineStr">
        <is>
          <t xml:space="preserve">Maserati</t>
        </is>
      </c>
      <c r="J235" s="30" t="inlineStr">
        <is>
          <t xml:space="preserve">GranTurismo</t>
        </is>
      </c>
      <c r="K235" s="30" t="inlineStr">
        <is>
          <t xml:space="preserve">DR284KFUB0606P3NT</t>
        </is>
      </c>
      <c r="L235" s="32" t="inlineStr">
        <is>
          <t xml:space="preserve">02 - Sports / GT</t>
        </is>
      </c>
      <c r="M235" s="35">
        <v>305000</v>
      </c>
      <c r="N235" s="32" t="inlineStr">
        <is>
          <t xml:space="preserve">Personal</t>
        </is>
      </c>
      <c r="O235" s="30" t="inlineStr">
        <is>
          <t xml:space="preserve">Personal - regular use</t>
        </is>
      </c>
      <c r="P235" s="30" t="inlineStr">
        <is>
          <t xml:space="preserve">1,000 - 2,500</t>
        </is>
      </c>
      <c r="Q235" s="30" t="inlineStr">
        <is>
          <t xml:space="preserve">Texas</t>
        </is>
      </c>
      <c r="R235" s="30" t="inlineStr">
        <is>
          <t xml:space="preserve">75201</t>
        </is>
      </c>
      <c r="S235" s="32" t="inlineStr">
        <is>
          <t xml:space="preserve">Tier 2 - Coastal wind (1-25 miles)</t>
        </is>
      </c>
      <c r="T235" s="36">
        <f>IF($A235="","",IF($S235="","",IFERROR(INDEX('[1]natural catastrophe'!$D$6:$D$17,MATCH($S235,'[1]natural catastrophe'!$B$6:$B$17,0)),"?")))</f>
      </c>
      <c r="U235" s="30" t="inlineStr">
        <is>
          <t xml:space="preserve">2% of agreed value, minimum $10,000</t>
        </is>
      </c>
      <c r="V235" s="32" t="inlineStr">
        <is>
          <t xml:space="preserve">Agreed Value</t>
        </is>
      </c>
      <c r="W235" s="30" t="inlineStr">
        <is>
          <t xml:space="preserve">$1,000</t>
        </is>
      </c>
      <c r="X235" s="32" t="inlineStr">
        <is>
          <t xml:space="preserve">$1,000,000 CSL</t>
        </is>
      </c>
      <c r="Y235" s="30"/>
      <c r="Z235" s="30"/>
      <c r="AA235" s="32" t="inlineStr">
        <is>
          <t xml:space="preserve">Surplus Lines</t>
        </is>
      </c>
      <c r="AB235" s="35">
        <v>3796.04</v>
      </c>
      <c r="AC235" s="37">
        <v>0</v>
      </c>
      <c r="AD235" s="38">
        <f>IF(ISNUMBER($AB235),$AB235*(1+N($AC235)),"")</f>
      </c>
      <c r="AE235" s="35">
        <v>350</v>
      </c>
      <c r="AF235" s="35">
        <v>0</v>
      </c>
      <c r="AG235" s="37"/>
      <c r="AH235" s="39">
        <f>IF(ISNUMBER($AD235),($AD235+$AE235+$AF235)*$AG235,"")</f>
      </c>
      <c r="AI235" s="35"/>
      <c r="AJ235" s="38">
        <f>IF(ISNUMBER($AD235),SUM($AD235:$AH235),"")</f>
      </c>
      <c r="AK235" s="40">
        <f>IF(AND(ISNUMBER($AB235),ISNUMBER($AD235)),IF($AB235&gt;0,$AD235/$AB235,""),"")</f>
      </c>
      <c r="AL235" s="32" t="inlineStr">
        <is>
          <t xml:space="preserve">At technical</t>
        </is>
      </c>
      <c r="AM235" s="41">
        <f>IF(ISNUMBER($AD235),Header!$I$3,"")</f>
      </c>
      <c r="AN235" s="39">
        <f>IF(ISNUMBER($AD235),$AO235+$AP235,"")</f>
      </c>
      <c r="AO235" s="39">
        <f>IF(ISNUMBER($AD235),ROUND($AD235*Header!$K$3,2),"")</f>
      </c>
      <c r="AP235" s="39">
        <f>IF(ISNUMBER($AD235),ROUND($AD235*Header!$M$3,2),"")</f>
      </c>
      <c r="AQ235" s="38">
        <f>IF(ISNUMBER($AD235),ROUND($AD235,2)-$AO235-$AP235,"")</f>
      </c>
      <c r="AR235" s="39">
        <f>IF(ISNUMBER($AD235),IF(Header!$D$34="","?",$AD235*Header!$D$34),"")</f>
      </c>
      <c r="AS235" s="39">
        <f>IF(ISNUMBER($AB235),IF(Header!$D$34="","?",$AB235*Header!$D$34),"")</f>
      </c>
      <c r="AT235" s="42">
        <f>IF(AND(ISNUMBER($AB235),$M235&gt;0),$AB235/$M235*100,"")</f>
      </c>
      <c r="AU235" s="42">
        <f>IF(AND(ISNUMBER($AD235),$M235&gt;0),$AD235/$M235*100,"")</f>
      </c>
      <c r="AV235" s="40">
        <f>IF(AND(ISNUMBER($AB235),ISNUMBER($AD235),ABS($AB235)&gt;0),$AD235/$AB235,"")</f>
      </c>
      <c r="AW235" s="39">
        <f>IF(ISNUMBER($AD235),MAX(0,(1-0.55-Header!$O$3)*Header!$Q$3*$AQ235),"")</f>
      </c>
      <c r="AX235" s="43">
        <f>IF($A235="","",IF(TRIM(IF($A235="","Missing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",""))="","PASS","FAIL: "&amp;TRIM(IF($A235="","Missing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f>
      </c>
      <c r="AY235" s="44">
        <f>IF($M235="","",IF(ISNUMBER($M235),IF($M235&gt;=Header!$C$18,"YES — refer","No"),""))</f>
      </c>
      <c r="AZ235" s="44">
        <f>IF($AD235="","",IF(ISNUMBER($AD235),IF($AD235&lt;Header!$C$20,"BELOW MIN PREMIUM","OK"),""))</f>
      </c>
      <c r="BA235" s="32" t="inlineStr">
        <is>
          <t xml:space="preserve">Yes</t>
        </is>
      </c>
      <c r="BB235" s="32" t="inlineStr">
        <is>
          <t xml:space="preserve">Yes</t>
        </is>
      </c>
      <c r="BC235" s="30" t="inlineStr">
        <is>
          <t xml:space="preserve">Synthetic demo data</t>
        </is>
      </c>
      <c r="BE235" s="45">
        <f>IF(OR($A235="",$L235="",$H235=""),"",IF(AND(LEFT($L235,2)="06",$H235&gt;1945),"FAIL - pre-war class, year "&amp;$H235,IF(AND(LEFT($L235,2)="07",OR($H235&lt;1946,$H235&gt;1972)),"FAIL - 1946-72 class, year "&amp;$H235,IF(AND(LEFT($L235,2)="08",OR($H235&lt;1973,$H235&gt;1999)),"FAIL - 1973-99 class, year "&amp;$H235,IF(AND(LEFT($L235,2)="09",OR($H235&lt;2000,$H235&gt;2010)),"FAIL - 2000-10 class, year "&amp;$H235,"OK")))))</f>
      </c>
      <c r="BF235" s="45">
        <f>IF($AD235="","",IF(ROUND($AO235+$AP235+$AQ235-$AD235,2)=0,"OK","FAIL - out by "&amp;TEXT($AO235+$AP235+$AQ235-$AD235,"$0.00")))</f>
      </c>
    </row>
    <row r="236" spans="1:58" ht="18.75" customHeight="1" x14ac:dyDescent="0.25">
      <c r="A236" s="46" t="inlineStr">
        <is>
          <t xml:space="preserve">CANON-202606-008732</t>
        </is>
      </c>
      <c r="B236" s="46" t="inlineStr">
        <is>
          <t xml:space="preserve">Marisol Delacroix</t>
        </is>
      </c>
      <c r="C236" s="47">
        <v>46195</v>
      </c>
      <c r="D236" s="48" t="inlineStr">
        <is>
          <t xml:space="preserve">Bound - within authority</t>
        </is>
      </c>
      <c r="E236" s="48" t="inlineStr">
        <is>
          <t xml:space="preserve">New business</t>
        </is>
      </c>
      <c r="F236" s="46" t="inlineStr">
        <is>
          <t xml:space="preserve">B1234EXOTIC26</t>
        </is>
      </c>
      <c r="G236" s="33">
        <f>IF($A236="","",IF($C236="","",YEAR($C236)))</f>
      </c>
      <c r="H236" s="49">
        <v>1984</v>
      </c>
      <c r="I236" s="46" t="inlineStr">
        <is>
          <t xml:space="preserve">Aston Martin</t>
        </is>
      </c>
      <c r="J236" s="46" t="inlineStr">
        <is>
          <t xml:space="preserve">DB5</t>
        </is>
      </c>
      <c r="K236" s="46" t="inlineStr">
        <is>
          <t xml:space="preserve">KEGT1A2LUR2WEC3EB</t>
        </is>
      </c>
      <c r="L236" s="48" t="inlineStr">
        <is>
          <t xml:space="preserve">08 - Modern Classic (1973-1999)</t>
        </is>
      </c>
      <c r="M236" s="50">
        <v>385000</v>
      </c>
      <c r="N236" s="48" t="inlineStr">
        <is>
          <t xml:space="preserve">Personal</t>
        </is>
      </c>
      <c r="O236" s="46" t="inlineStr">
        <is>
          <t xml:space="preserve">Personal - regular use</t>
        </is>
      </c>
      <c r="P236" s="46" t="inlineStr">
        <is>
          <t xml:space="preserve">Under 1,000</t>
        </is>
      </c>
      <c r="Q236" s="46" t="inlineStr">
        <is>
          <t xml:space="preserve">Utah</t>
        </is>
      </c>
      <c r="R236" s="46" t="inlineStr">
        <is>
          <t xml:space="preserve">84101</t>
        </is>
      </c>
      <c r="S236" s="48" t="inlineStr">
        <is>
          <t xml:space="preserve">Wildfire - WUI high hazard</t>
        </is>
      </c>
      <c r="T236" s="36">
        <f>IF($A236="","",IF($S236="","",IFERROR(INDEX('[1]natural catastrophe'!$D$6:$D$17,MATCH($S236,'[1]natural catastrophe'!$B$6:$B$17,0)),"?")))</f>
      </c>
      <c r="U236" s="46" t="inlineStr">
        <is>
          <t xml:space="preserve">$5,000</t>
        </is>
      </c>
      <c r="V236" s="48" t="inlineStr">
        <is>
          <t xml:space="preserve">Agreed Value</t>
        </is>
      </c>
      <c r="W236" s="46" t="inlineStr">
        <is>
          <t xml:space="preserve">$1,000</t>
        </is>
      </c>
      <c r="X236" s="48" t="inlineStr">
        <is>
          <t xml:space="preserve">$1,000,000 CSL</t>
        </is>
      </c>
      <c r="Y236" s="46"/>
      <c r="Z236" s="46"/>
      <c r="AA236" s="48" t="inlineStr">
        <is>
          <t xml:space="preserve">Surplus Lines</t>
        </is>
      </c>
      <c r="AB236" s="50">
        <v>3600.04</v>
      </c>
      <c r="AC236" s="51">
        <v>0</v>
      </c>
      <c r="AD236" s="38">
        <f>IF(ISNUMBER($AB236),$AB236*(1+N($AC236)),"")</f>
      </c>
      <c r="AE236" s="50">
        <v>350</v>
      </c>
      <c r="AF236" s="50">
        <v>0</v>
      </c>
      <c r="AG236" s="51"/>
      <c r="AH236" s="39">
        <f>IF(ISNUMBER($AD236),($AD236+$AE236+$AF236)*$AG236,"")</f>
      </c>
      <c r="AI236" s="50"/>
      <c r="AJ236" s="38">
        <f>IF(ISNUMBER($AD236),SUM($AD236:$AH236),"")</f>
      </c>
      <c r="AK236" s="40">
        <f>IF(AND(ISNUMBER($AB236),ISNUMBER($AD236)),IF($AB236&gt;0,$AD236/$AB236,""),"")</f>
      </c>
      <c r="AL236" s="48" t="inlineStr">
        <is>
          <t xml:space="preserve">At technical</t>
        </is>
      </c>
      <c r="AM236" s="41">
        <f>IF(ISNUMBER($AD236),Header!$I$3,"")</f>
      </c>
      <c r="AN236" s="39">
        <f>IF(ISNUMBER($AD236),$AO236+$AP236,"")</f>
      </c>
      <c r="AO236" s="39">
        <f>IF(ISNUMBER($AD236),ROUND($AD236*Header!$K$3,2),"")</f>
      </c>
      <c r="AP236" s="39">
        <f>IF(ISNUMBER($AD236),ROUND($AD236*Header!$M$3,2),"")</f>
      </c>
      <c r="AQ236" s="38">
        <f>IF(ISNUMBER($AD236),ROUND($AD236,2)-$AO236-$AP236,"")</f>
      </c>
      <c r="AR236" s="39">
        <f>IF(ISNUMBER($AD236),IF(Header!$D$34="","?",$AD236*Header!$D$34),"")</f>
      </c>
      <c r="AS236" s="39">
        <f>IF(ISNUMBER($AB236),IF(Header!$D$34="","?",$AB236*Header!$D$34),"")</f>
      </c>
      <c r="AT236" s="42">
        <f>IF(AND(ISNUMBER($AB236),$M236&gt;0),$AB236/$M236*100,"")</f>
      </c>
      <c r="AU236" s="42">
        <f>IF(AND(ISNUMBER($AD236),$M236&gt;0),$AD236/$M236*100,"")</f>
      </c>
      <c r="AV236" s="40">
        <f>IF(AND(ISNUMBER($AB236),ISNUMBER($AD236),ABS($AB236)&gt;0),$AD236/$AB236,"")</f>
      </c>
      <c r="AW236" s="39">
        <f>IF(ISNUMBER($AD236),MAX(0,(1-0.55-Header!$O$3)*Header!$Q$3*$AQ236),"")</f>
      </c>
      <c r="AX236" s="43">
        <f>IF($A236="","",IF(TRIM(IF($A236="","Missing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",""))="","PASS","FAIL: "&amp;TRIM(IF($A236="","Missing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f>
      </c>
      <c r="AY236" s="44">
        <f>IF($M236="","",IF(ISNUMBER($M236),IF($M236&gt;=Header!$C$18,"YES — refer","No"),""))</f>
      </c>
      <c r="AZ236" s="44">
        <f>IF($AD236="","",IF(ISNUMBER($AD236),IF($AD236&lt;Header!$C$20,"BELOW MIN PREMIUM","OK"),""))</f>
      </c>
      <c r="BA236" s="48" t="inlineStr">
        <is>
          <t xml:space="preserve">Yes</t>
        </is>
      </c>
      <c r="BB236" s="48" t="inlineStr">
        <is>
          <t xml:space="preserve">Yes</t>
        </is>
      </c>
      <c r="BC236" s="46" t="inlineStr">
        <is>
          <t xml:space="preserve">Synthetic demo data</t>
        </is>
      </c>
      <c r="BE236" s="45">
        <f>IF(OR($A236="",$L236="",$H236=""),"",IF(AND(LEFT($L236,2)="06",$H236&gt;1945),"FAIL - pre-war class, year "&amp;$H236,IF(AND(LEFT($L236,2)="07",OR($H236&lt;1946,$H236&gt;1972)),"FAIL - 1946-72 class, year "&amp;$H236,IF(AND(LEFT($L236,2)="08",OR($H236&lt;1973,$H236&gt;1999)),"FAIL - 1973-99 class, year "&amp;$H236,IF(AND(LEFT($L236,2)="09",OR($H236&lt;2000,$H236&gt;2010)),"FAIL - 2000-10 class, year "&amp;$H236,"OK")))))</f>
      </c>
      <c r="BF236" s="45">
        <f>IF($AD236="","",IF(ROUND($AO236+$AP236+$AQ236-$AD236,2)=0,"OK","FAIL - out by "&amp;TEXT($AO236+$AP236+$AQ236-$AD236,"$0.00")))</f>
      </c>
    </row>
    <row r="237" spans="1:58" ht="18.75" customHeight="1" x14ac:dyDescent="0.25">
      <c r="A237" s="30" t="inlineStr">
        <is>
          <t xml:space="preserve">CANON-202606-008733</t>
        </is>
      </c>
      <c r="B237" s="30" t="inlineStr">
        <is>
          <t xml:space="preserve">Ingrid Merriweather</t>
        </is>
      </c>
      <c r="C237" s="31">
        <v>46199</v>
      </c>
      <c r="D237" s="32" t="inlineStr">
        <is>
          <t xml:space="preserve">Bound - within authority</t>
        </is>
      </c>
      <c r="E237" s="32" t="inlineStr">
        <is>
          <t xml:space="preserve">New business</t>
        </is>
      </c>
      <c r="F237" s="30" t="inlineStr">
        <is>
          <t xml:space="preserve">B1234EXOTIC26</t>
        </is>
      </c>
      <c r="G237" s="33">
        <f>IF($A237="","",IF($C237="","",YEAR($C237)))</f>
      </c>
      <c r="H237" s="34">
        <v>1982</v>
      </c>
      <c r="I237" s="30" t="inlineStr">
        <is>
          <t xml:space="preserve">Ferrari</t>
        </is>
      </c>
      <c r="J237" s="30" t="inlineStr">
        <is>
          <t xml:space="preserve">275 GTB/4</t>
        </is>
      </c>
      <c r="K237" s="30" t="inlineStr">
        <is>
          <t xml:space="preserve">C7M7B6EARZKRF64L8</t>
        </is>
      </c>
      <c r="L237" s="32" t="inlineStr">
        <is>
          <t xml:space="preserve">08 - Modern Classic (1973-1999)</t>
        </is>
      </c>
      <c r="M237" s="35">
        <v>470000</v>
      </c>
      <c r="N237" s="32" t="inlineStr">
        <is>
          <t xml:space="preserve">Personal</t>
        </is>
      </c>
      <c r="O237" s="30" t="inlineStr">
        <is>
          <t xml:space="preserve">Personal - regular use</t>
        </is>
      </c>
      <c r="P237" s="30" t="inlineStr">
        <is>
          <t xml:space="preserve">1,000 - 2,500</t>
        </is>
      </c>
      <c r="Q237" s="30" t="inlineStr">
        <is>
          <t xml:space="preserve">Michigan</t>
        </is>
      </c>
      <c r="R237" s="30" t="inlineStr">
        <is>
          <t xml:space="preserve">48226</t>
        </is>
      </c>
      <c r="S237" s="32" t="inlineStr">
        <is>
          <t xml:space="preserve">Severe convective - hail / tornado (moderate)</t>
        </is>
      </c>
      <c r="T237" s="36">
        <f>IF($A237="","",IF($S237="","",IFERROR(INDEX('[1]natural catastrophe'!$D$6:$D$17,MATCH($S237,'[1]natural catastrophe'!$B$6:$B$17,0)),"?")))</f>
      </c>
      <c r="U237" s="30" t="inlineStr">
        <is>
          <t xml:space="preserve">$5,000</t>
        </is>
      </c>
      <c r="V237" s="32" t="inlineStr">
        <is>
          <t xml:space="preserve">Agreed Value</t>
        </is>
      </c>
      <c r="W237" s="30" t="inlineStr">
        <is>
          <t xml:space="preserve">$1,000</t>
        </is>
      </c>
      <c r="X237" s="32" t="inlineStr">
        <is>
          <t xml:space="preserve">$1,000,000 CSL</t>
        </is>
      </c>
      <c r="Y237" s="30"/>
      <c r="Z237" s="30"/>
      <c r="AA237" s="32" t="inlineStr">
        <is>
          <t xml:space="preserve">Surplus Lines</t>
        </is>
      </c>
      <c r="AB237" s="35">
        <v>5045.95</v>
      </c>
      <c r="AC237" s="37">
        <v>0</v>
      </c>
      <c r="AD237" s="38">
        <f>IF(ISNUMBER($AB237),$AB237*(1+N($AC237)),"")</f>
      </c>
      <c r="AE237" s="35">
        <v>350</v>
      </c>
      <c r="AF237" s="35">
        <v>0</v>
      </c>
      <c r="AG237" s="37"/>
      <c r="AH237" s="39">
        <f>IF(ISNUMBER($AD237),($AD237+$AE237+$AF237)*$AG237,"")</f>
      </c>
      <c r="AI237" s="35"/>
      <c r="AJ237" s="38">
        <f>IF(ISNUMBER($AD237),SUM($AD237:$AH237),"")</f>
      </c>
      <c r="AK237" s="40">
        <f>IF(AND(ISNUMBER($AB237),ISNUMBER($AD237)),IF($AB237&gt;0,$AD237/$AB237,""),"")</f>
      </c>
      <c r="AL237" s="32" t="inlineStr">
        <is>
          <t xml:space="preserve">At technical</t>
        </is>
      </c>
      <c r="AM237" s="41">
        <f>IF(ISNUMBER($AD237),Header!$I$3,"")</f>
      </c>
      <c r="AN237" s="39">
        <f>IF(ISNUMBER($AD237),$AO237+$AP237,"")</f>
      </c>
      <c r="AO237" s="39">
        <f>IF(ISNUMBER($AD237),ROUND($AD237*Header!$K$3,2),"")</f>
      </c>
      <c r="AP237" s="39">
        <f>IF(ISNUMBER($AD237),ROUND($AD237*Header!$M$3,2),"")</f>
      </c>
      <c r="AQ237" s="38">
        <f>IF(ISNUMBER($AD237),ROUND($AD237,2)-$AO237-$AP237,"")</f>
      </c>
      <c r="AR237" s="39">
        <f>IF(ISNUMBER($AD237),IF(Header!$D$34="","?",$AD237*Header!$D$34),"")</f>
      </c>
      <c r="AS237" s="39">
        <f>IF(ISNUMBER($AB237),IF(Header!$D$34="","?",$AB237*Header!$D$34),"")</f>
      </c>
      <c r="AT237" s="42">
        <f>IF(AND(ISNUMBER($AB237),$M237&gt;0),$AB237/$M237*100,"")</f>
      </c>
      <c r="AU237" s="42">
        <f>IF(AND(ISNUMBER($AD237),$M237&gt;0),$AD237/$M237*100,"")</f>
      </c>
      <c r="AV237" s="40">
        <f>IF(AND(ISNUMBER($AB237),ISNUMBER($AD237),ABS($AB237)&gt;0),$AD237/$AB237,"")</f>
      </c>
      <c r="AW237" s="39">
        <f>IF(ISNUMBER($AD237),MAX(0,(1-0.55-Header!$O$3)*Header!$Q$3*$AQ237),"")</f>
      </c>
      <c r="AX237" s="43">
        <f>IF($A237="","",IF(TRIM(IF($A237="","Missing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",""))="","PASS","FAIL: "&amp;TRIM(IF($A237="","Missing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f>
      </c>
      <c r="AY237" s="44">
        <f>IF($M237="","",IF(ISNUMBER($M237),IF($M237&gt;=Header!$C$18,"YES — refer","No"),""))</f>
      </c>
      <c r="AZ237" s="44">
        <f>IF($AD237="","",IF(ISNUMBER($AD237),IF($AD237&lt;Header!$C$20,"BELOW MIN PREMIUM","OK"),""))</f>
      </c>
      <c r="BA237" s="32" t="inlineStr">
        <is>
          <t xml:space="preserve">Yes</t>
        </is>
      </c>
      <c r="BB237" s="32" t="inlineStr">
        <is>
          <t xml:space="preserve">Yes</t>
        </is>
      </c>
      <c r="BC237" s="30" t="inlineStr">
        <is>
          <t xml:space="preserve">Synthetic demo data</t>
        </is>
      </c>
      <c r="BE237" s="45">
        <f>IF(OR($A237="",$L237="",$H237=""),"",IF(AND(LEFT($L237,2)="06",$H237&gt;1945),"FAIL - pre-war class, year "&amp;$H237,IF(AND(LEFT($L237,2)="07",OR($H237&lt;1946,$H237&gt;1972)),"FAIL - 1946-72 class, year "&amp;$H237,IF(AND(LEFT($L237,2)="08",OR($H237&lt;1973,$H237&gt;1999)),"FAIL - 1973-99 class, year "&amp;$H237,IF(AND(LEFT($L237,2)="09",OR($H237&lt;2000,$H237&gt;2010)),"FAIL - 2000-10 class, year "&amp;$H237,"OK")))))</f>
      </c>
      <c r="BF237" s="45">
        <f>IF($AD237="","",IF(ROUND($AO237+$AP237+$AQ237-$AD237,2)=0,"OK","FAIL - out by "&amp;TEXT($AO237+$AP237+$AQ237-$AD237,"$0.00")))</f>
      </c>
    </row>
    <row r="238" spans="1:58" ht="18.75" customHeight="1" x14ac:dyDescent="0.25">
      <c r="A238" s="46" t="inlineStr">
        <is>
          <t xml:space="preserve">CANON-202606-008734</t>
        </is>
      </c>
      <c r="B238" s="46" t="inlineStr">
        <is>
          <t xml:space="preserve">Mireille Rourke</t>
        </is>
      </c>
      <c r="C238" s="47">
        <v>46176</v>
      </c>
      <c r="D238" s="48" t="inlineStr">
        <is>
          <t xml:space="preserve">Bound - within authority</t>
        </is>
      </c>
      <c r="E238" s="48" t="inlineStr">
        <is>
          <t xml:space="preserve">New business</t>
        </is>
      </c>
      <c r="F238" s="46" t="inlineStr">
        <is>
          <t xml:space="preserve">B1234EXOTIC26</t>
        </is>
      </c>
      <c r="G238" s="33">
        <f>IF($A238="","",IF($C238="","",YEAR($C238)))</f>
      </c>
      <c r="H238" s="49">
        <v>1998</v>
      </c>
      <c r="I238" s="46" t="inlineStr">
        <is>
          <t xml:space="preserve">BMW</t>
        </is>
      </c>
      <c r="J238" s="46" t="inlineStr">
        <is>
          <t xml:space="preserve">M8 Competition</t>
        </is>
      </c>
      <c r="K238" s="46" t="inlineStr">
        <is>
          <t xml:space="preserve">NGC2TW2U5B401GNF8</t>
        </is>
      </c>
      <c r="L238" s="48" t="inlineStr">
        <is>
          <t xml:space="preserve">02 - Sports / GT</t>
        </is>
      </c>
      <c r="M238" s="50">
        <v>205000</v>
      </c>
      <c r="N238" s="48" t="inlineStr">
        <is>
          <t xml:space="preserve">Personal</t>
        </is>
      </c>
      <c r="O238" s="46" t="inlineStr">
        <is>
          <t xml:space="preserve">Personal - regular use</t>
        </is>
      </c>
      <c r="P238" s="46" t="inlineStr">
        <is>
          <t xml:space="preserve">2,500 - 5,000</t>
        </is>
      </c>
      <c r="Q238" s="46" t="inlineStr">
        <is>
          <t xml:space="preserve">Mississippi</t>
        </is>
      </c>
      <c r="R238" s="46" t="inlineStr">
        <is>
          <t xml:space="preserve">39201</t>
        </is>
      </c>
      <c r="S238" s="48" t="inlineStr">
        <is>
          <t xml:space="preserve">Tier 2 - Coastal wind (1-25 miles)</t>
        </is>
      </c>
      <c r="T238" s="36">
        <f>IF($A238="","",IF($S238="","",IFERROR(INDEX('[1]natural catastrophe'!$D$6:$D$17,MATCH($S238,'[1]natural catastrophe'!$B$6:$B$17,0)),"?")))</f>
      </c>
      <c r="U238" s="46" t="inlineStr">
        <is>
          <t xml:space="preserve">2% of agreed value, minimum $10,000</t>
        </is>
      </c>
      <c r="V238" s="48" t="inlineStr">
        <is>
          <t xml:space="preserve">Agreed Value</t>
        </is>
      </c>
      <c r="W238" s="46" t="inlineStr">
        <is>
          <t xml:space="preserve">$1,000</t>
        </is>
      </c>
      <c r="X238" s="48" t="inlineStr">
        <is>
          <t xml:space="preserve">$1,000,000 CSL</t>
        </is>
      </c>
      <c r="Y238" s="46"/>
      <c r="Z238" s="46"/>
      <c r="AA238" s="48" t="inlineStr">
        <is>
          <t xml:space="preserve">Surplus Lines</t>
        </is>
      </c>
      <c r="AB238" s="50">
        <v>3238.62</v>
      </c>
      <c r="AC238" s="51">
        <v>0</v>
      </c>
      <c r="AD238" s="38">
        <f>IF(ISNUMBER($AB238),$AB238*(1+N($AC238)),"")</f>
      </c>
      <c r="AE238" s="50">
        <v>350</v>
      </c>
      <c r="AF238" s="50">
        <v>0</v>
      </c>
      <c r="AG238" s="51"/>
      <c r="AH238" s="39">
        <f>IF(ISNUMBER($AD238),($AD238+$AE238+$AF238)*$AG238,"")</f>
      </c>
      <c r="AI238" s="50"/>
      <c r="AJ238" s="38">
        <f>IF(ISNUMBER($AD238),SUM($AD238:$AH238),"")</f>
      </c>
      <c r="AK238" s="40">
        <f>IF(AND(ISNUMBER($AB238),ISNUMBER($AD238)),IF($AB238&gt;0,$AD238/$AB238,""),"")</f>
      </c>
      <c r="AL238" s="48" t="inlineStr">
        <is>
          <t xml:space="preserve">At technical</t>
        </is>
      </c>
      <c r="AM238" s="41">
        <f>IF(ISNUMBER($AD238),Header!$I$3,"")</f>
      </c>
      <c r="AN238" s="39">
        <f>IF(ISNUMBER($AD238),$AO238+$AP238,"")</f>
      </c>
      <c r="AO238" s="39">
        <f>IF(ISNUMBER($AD238),ROUND($AD238*Header!$K$3,2),"")</f>
      </c>
      <c r="AP238" s="39">
        <f>IF(ISNUMBER($AD238),ROUND($AD238*Header!$M$3,2),"")</f>
      </c>
      <c r="AQ238" s="38">
        <f>IF(ISNUMBER($AD238),ROUND($AD238,2)-$AO238-$AP238,"")</f>
      </c>
      <c r="AR238" s="39">
        <f>IF(ISNUMBER($AD238),IF(Header!$D$34="","?",$AD238*Header!$D$34),"")</f>
      </c>
      <c r="AS238" s="39">
        <f>IF(ISNUMBER($AB238),IF(Header!$D$34="","?",$AB238*Header!$D$34),"")</f>
      </c>
      <c r="AT238" s="42">
        <f>IF(AND(ISNUMBER($AB238),$M238&gt;0),$AB238/$M238*100,"")</f>
      </c>
      <c r="AU238" s="42">
        <f>IF(AND(ISNUMBER($AD238),$M238&gt;0),$AD238/$M238*100,"")</f>
      </c>
      <c r="AV238" s="40">
        <f>IF(AND(ISNUMBER($AB238),ISNUMBER($AD238),ABS($AB238)&gt;0),$AD238/$AB238,"")</f>
      </c>
      <c r="AW238" s="39">
        <f>IF(ISNUMBER($AD238),MAX(0,(1-0.55-Header!$O$3)*Header!$Q$3*$AQ238),"")</f>
      </c>
      <c r="AX238" s="43">
        <f>IF($A238="","",IF(TRIM(IF($A238="","Missing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",""))="","PASS","FAIL: "&amp;TRIM(IF($A238="","Missing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f>
      </c>
      <c r="AY238" s="44">
        <f>IF($M238="","",IF(ISNUMBER($M238),IF($M238&gt;=Header!$C$18,"YES — refer","No"),""))</f>
      </c>
      <c r="AZ238" s="44">
        <f>IF($AD238="","",IF(ISNUMBER($AD238),IF($AD238&lt;Header!$C$20,"BELOW MIN PREMIUM","OK"),""))</f>
      </c>
      <c r="BA238" s="48" t="inlineStr">
        <is>
          <t xml:space="preserve">Yes</t>
        </is>
      </c>
      <c r="BB238" s="48" t="inlineStr">
        <is>
          <t xml:space="preserve">Yes</t>
        </is>
      </c>
      <c r="BC238" s="46" t="inlineStr">
        <is>
          <t xml:space="preserve">Synthetic demo data</t>
        </is>
      </c>
      <c r="BE238" s="45">
        <f>IF(OR($A238="",$L238="",$H238=""),"",IF(AND(LEFT($L238,2)="06",$H238&gt;1945),"FAIL - pre-war class, year "&amp;$H238,IF(AND(LEFT($L238,2)="07",OR($H238&lt;1946,$H238&gt;1972)),"FAIL - 1946-72 class, year "&amp;$H238,IF(AND(LEFT($L238,2)="08",OR($H238&lt;1973,$H238&gt;1999)),"FAIL - 1973-99 class, year "&amp;$H238,IF(AND(LEFT($L238,2)="09",OR($H238&lt;2000,$H238&gt;2010)),"FAIL - 2000-10 class, year "&amp;$H238,"OK")))))</f>
      </c>
      <c r="BF238" s="45">
        <f>IF($AD238="","",IF(ROUND($AO238+$AP238+$AQ238-$AD238,2)=0,"OK","FAIL - out by "&amp;TEXT($AO238+$AP238+$AQ238-$AD238,"$0.00")))</f>
      </c>
    </row>
    <row r="239" spans="1:58" ht="18.75" customHeight="1" x14ac:dyDescent="0.25">
      <c r="A239" s="30" t="inlineStr">
        <is>
          <t xml:space="preserve">CANON-202606-008735</t>
        </is>
      </c>
      <c r="B239" s="30" t="inlineStr">
        <is>
          <t xml:space="preserve">Ottilie Whitlock</t>
        </is>
      </c>
      <c r="C239" s="31">
        <v>46202</v>
      </c>
      <c r="D239" s="32" t="inlineStr">
        <is>
          <t xml:space="preserve">Bound - within authority</t>
        </is>
      </c>
      <c r="E239" s="32" t="inlineStr">
        <is>
          <t xml:space="preserve">New business</t>
        </is>
      </c>
      <c r="F239" s="30" t="inlineStr">
        <is>
          <t xml:space="preserve">B1234EXOTIC26</t>
        </is>
      </c>
      <c r="G239" s="33">
        <f>IF($A239="","",IF($C239="","",YEAR($C239)))</f>
      </c>
      <c r="H239" s="34">
        <v>1968</v>
      </c>
      <c r="I239" s="30" t="inlineStr">
        <is>
          <t xml:space="preserve">Porsche</t>
        </is>
      </c>
      <c r="J239" s="30" t="inlineStr">
        <is>
          <t xml:space="preserve">911 Turbo S</t>
        </is>
      </c>
      <c r="K239" s="30" t="inlineStr">
        <is>
          <t xml:space="preserve">RV0CNJELSW3X566NL</t>
        </is>
      </c>
      <c r="L239" s="32" t="inlineStr">
        <is>
          <t xml:space="preserve">02 - Sports / GT</t>
        </is>
      </c>
      <c r="M239" s="35">
        <v>575000</v>
      </c>
      <c r="N239" s="32" t="inlineStr">
        <is>
          <t xml:space="preserve">Personal</t>
        </is>
      </c>
      <c r="O239" s="30" t="inlineStr">
        <is>
          <t xml:space="preserve">Personal - regular use</t>
        </is>
      </c>
      <c r="P239" s="30" t="inlineStr">
        <is>
          <t xml:space="preserve">1,000 - 2,500</t>
        </is>
      </c>
      <c r="Q239" s="30" t="inlineStr">
        <is>
          <t xml:space="preserve">Ohio</t>
        </is>
      </c>
      <c r="R239" s="30" t="inlineStr">
        <is>
          <t xml:space="preserve">43215</t>
        </is>
      </c>
      <c r="S239" s="32" t="inlineStr">
        <is>
          <t xml:space="preserve">Severe convective - hail / tornado (moderate)</t>
        </is>
      </c>
      <c r="T239" s="36">
        <f>IF($A239="","",IF($S239="","",IFERROR(INDEX('[1]natural catastrophe'!$D$6:$D$17,MATCH($S239,'[1]natural catastrophe'!$B$6:$B$17,0)),"?")))</f>
      </c>
      <c r="U239" s="30" t="inlineStr">
        <is>
          <t xml:space="preserve">$5,000</t>
        </is>
      </c>
      <c r="V239" s="32" t="inlineStr">
        <is>
          <t xml:space="preserve">Agreed Value</t>
        </is>
      </c>
      <c r="W239" s="30" t="inlineStr">
        <is>
          <t xml:space="preserve">$1,000</t>
        </is>
      </c>
      <c r="X239" s="32" t="inlineStr">
        <is>
          <t xml:space="preserve">$1,000,000 CSL</t>
        </is>
      </c>
      <c r="Y239" s="30"/>
      <c r="Z239" s="30"/>
      <c r="AA239" s="32" t="inlineStr">
        <is>
          <t xml:space="preserve">Surplus Lines</t>
        </is>
      </c>
      <c r="AB239" s="35">
        <v>7496.66</v>
      </c>
      <c r="AC239" s="37">
        <v>0</v>
      </c>
      <c r="AD239" s="38">
        <f>IF(ISNUMBER($AB239),$AB239*(1+N($AC239)),"")</f>
      </c>
      <c r="AE239" s="35">
        <v>350</v>
      </c>
      <c r="AF239" s="35">
        <v>0</v>
      </c>
      <c r="AG239" s="37"/>
      <c r="AH239" s="39">
        <f>IF(ISNUMBER($AD239),($AD239+$AE239+$AF239)*$AG239,"")</f>
      </c>
      <c r="AI239" s="35"/>
      <c r="AJ239" s="38">
        <f>IF(ISNUMBER($AD239),SUM($AD239:$AH239),"")</f>
      </c>
      <c r="AK239" s="40">
        <f>IF(AND(ISNUMBER($AB239),ISNUMBER($AD239)),IF($AB239&gt;0,$AD239/$AB239,""),"")</f>
      </c>
      <c r="AL239" s="32" t="inlineStr">
        <is>
          <t xml:space="preserve">At technical</t>
        </is>
      </c>
      <c r="AM239" s="41">
        <f>IF(ISNUMBER($AD239),Header!$I$3,"")</f>
      </c>
      <c r="AN239" s="39">
        <f>IF(ISNUMBER($AD239),$AO239+$AP239,"")</f>
      </c>
      <c r="AO239" s="39">
        <f>IF(ISNUMBER($AD239),ROUND($AD239*Header!$K$3,2),"")</f>
      </c>
      <c r="AP239" s="39">
        <f>IF(ISNUMBER($AD239),ROUND($AD239*Header!$M$3,2),"")</f>
      </c>
      <c r="AQ239" s="38">
        <f>IF(ISNUMBER($AD239),ROUND($AD239,2)-$AO239-$AP239,"")</f>
      </c>
      <c r="AR239" s="39">
        <f>IF(ISNUMBER($AD239),IF(Header!$D$34="","?",$AD239*Header!$D$34),"")</f>
      </c>
      <c r="AS239" s="39">
        <f>IF(ISNUMBER($AB239),IF(Header!$D$34="","?",$AB239*Header!$D$34),"")</f>
      </c>
      <c r="AT239" s="42">
        <f>IF(AND(ISNUMBER($AB239),$M239&gt;0),$AB239/$M239*100,"")</f>
      </c>
      <c r="AU239" s="42">
        <f>IF(AND(ISNUMBER($AD239),$M239&gt;0),$AD239/$M239*100,"")</f>
      </c>
      <c r="AV239" s="40">
        <f>IF(AND(ISNUMBER($AB239),ISNUMBER($AD239),ABS($AB239)&gt;0),$AD239/$AB239,"")</f>
      </c>
      <c r="AW239" s="39">
        <f>IF(ISNUMBER($AD239),MAX(0,(1-0.55-Header!$O$3)*Header!$Q$3*$AQ239),"")</f>
      </c>
      <c r="AX239" s="43">
        <f>IF($A239="","",IF(TRIM(IF($A239="","Missing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",""))="","PASS","FAIL: "&amp;TRIM(IF($A239="","Missing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f>
      </c>
      <c r="AY239" s="44">
        <f>IF($M239="","",IF(ISNUMBER($M239),IF($M239&gt;=Header!$C$18,"YES — refer","No"),""))</f>
      </c>
      <c r="AZ239" s="44">
        <f>IF($AD239="","",IF(ISNUMBER($AD239),IF($AD239&lt;Header!$C$20,"BELOW MIN PREMIUM","OK"),""))</f>
      </c>
      <c r="BA239" s="32" t="inlineStr">
        <is>
          <t xml:space="preserve">Yes</t>
        </is>
      </c>
      <c r="BB239" s="32" t="inlineStr">
        <is>
          <t xml:space="preserve">Yes</t>
        </is>
      </c>
      <c r="BC239" s="30" t="inlineStr">
        <is>
          <t xml:space="preserve">Synthetic demo data</t>
        </is>
      </c>
      <c r="BE239" s="45">
        <f>IF(OR($A239="",$L239="",$H239=""),"",IF(AND(LEFT($L239,2)="06",$H239&gt;1945),"FAIL - pre-war class, year "&amp;$H239,IF(AND(LEFT($L239,2)="07",OR($H239&lt;1946,$H239&gt;1972)),"FAIL - 1946-72 class, year "&amp;$H239,IF(AND(LEFT($L239,2)="08",OR($H239&lt;1973,$H239&gt;1999)),"FAIL - 1973-99 class, year "&amp;$H239,IF(AND(LEFT($L239,2)="09",OR($H239&lt;2000,$H239&gt;2010)),"FAIL - 2000-10 class, year "&amp;$H239,"OK")))))</f>
      </c>
      <c r="BF239" s="45">
        <f>IF($AD239="","",IF(ROUND($AO239+$AP239+$AQ239-$AD239,2)=0,"OK","FAIL - out by "&amp;TEXT($AO239+$AP239+$AQ239-$AD239,"$0.00")))</f>
      </c>
    </row>
    <row r="240" spans="1:58" ht="18.75" customHeight="1" x14ac:dyDescent="0.25">
      <c r="A240" s="46" t="inlineStr">
        <is>
          <t xml:space="preserve">CANON-202606-008736</t>
        </is>
      </c>
      <c r="B240" s="46" t="inlineStr">
        <is>
          <t xml:space="preserve">Ottilie Vasquez</t>
        </is>
      </c>
      <c r="C240" s="47">
        <v>46184</v>
      </c>
      <c r="D240" s="48" t="inlineStr">
        <is>
          <t xml:space="preserve">Bound - within authority</t>
        </is>
      </c>
      <c r="E240" s="48" t="inlineStr">
        <is>
          <t xml:space="preserve">New business</t>
        </is>
      </c>
      <c r="F240" s="46" t="inlineStr">
        <is>
          <t xml:space="preserve">B1234EXOTIC26</t>
        </is>
      </c>
      <c r="G240" s="33">
        <f>IF($A240="","",IF($C240="","",YEAR($C240)))</f>
      </c>
      <c r="H240" s="49">
        <v>1994</v>
      </c>
      <c r="I240" s="46" t="inlineStr">
        <is>
          <t xml:space="preserve">BMW</t>
        </is>
      </c>
      <c r="J240" s="46" t="inlineStr">
        <is>
          <t xml:space="preserve">M8 Competition</t>
        </is>
      </c>
      <c r="K240" s="46" t="inlineStr">
        <is>
          <t xml:space="preserve">8NFDW58CCX753VKY1</t>
        </is>
      </c>
      <c r="L240" s="48" t="inlineStr">
        <is>
          <t xml:space="preserve">02 - Sports / GT</t>
        </is>
      </c>
      <c r="M240" s="50">
        <v>1055000</v>
      </c>
      <c r="N240" s="48" t="inlineStr">
        <is>
          <t xml:space="preserve">Personal</t>
        </is>
      </c>
      <c r="O240" s="46" t="inlineStr">
        <is>
          <t xml:space="preserve">Personal - regular use</t>
        </is>
      </c>
      <c r="P240" s="46" t="inlineStr">
        <is>
          <t xml:space="preserve">Under 1,000</t>
        </is>
      </c>
      <c r="Q240" s="46" t="inlineStr">
        <is>
          <t xml:space="preserve">New York</t>
        </is>
      </c>
      <c r="R240" s="46" t="inlineStr">
        <is>
          <t xml:space="preserve">10022</t>
        </is>
      </c>
      <c r="S240" s="48" t="inlineStr">
        <is>
          <t xml:space="preserve">Tier 3 - Coastal wind (25-100 miles)</t>
        </is>
      </c>
      <c r="T240" s="36">
        <f>IF($A240="","",IF($S240="","",IFERROR(INDEX('[1]natural catastrophe'!$D$6:$D$17,MATCH($S240,'[1]natural catastrophe'!$B$6:$B$17,0)),"?")))</f>
      </c>
      <c r="U240" s="46" t="inlineStr">
        <is>
          <t xml:space="preserve">2% of agreed value, minimum $10,000</t>
        </is>
      </c>
      <c r="V240" s="48" t="inlineStr">
        <is>
          <t xml:space="preserve">Agreed Value</t>
        </is>
      </c>
      <c r="W240" s="46" t="inlineStr">
        <is>
          <t xml:space="preserve">$1,000</t>
        </is>
      </c>
      <c r="X240" s="48" t="inlineStr">
        <is>
          <t xml:space="preserve">$1,000,000 CSL</t>
        </is>
      </c>
      <c r="Y240" s="46"/>
      <c r="Z240" s="46"/>
      <c r="AA240" s="48" t="inlineStr">
        <is>
          <t xml:space="preserve">Surplus Lines</t>
        </is>
      </c>
      <c r="AB240" s="50">
        <v>10717.59</v>
      </c>
      <c r="AC240" s="51">
        <v>0</v>
      </c>
      <c r="AD240" s="38">
        <f>IF(ISNUMBER($AB240),$AB240*(1+N($AC240)),"")</f>
      </c>
      <c r="AE240" s="50">
        <v>350</v>
      </c>
      <c r="AF240" s="50">
        <v>250</v>
      </c>
      <c r="AG240" s="51"/>
      <c r="AH240" s="39">
        <f>IF(ISNUMBER($AD240),($AD240+$AE240+$AF240)*$AG240,"")</f>
      </c>
      <c r="AI240" s="50"/>
      <c r="AJ240" s="38">
        <f>IF(ISNUMBER($AD240),SUM($AD240:$AH240),"")</f>
      </c>
      <c r="AK240" s="40">
        <f>IF(AND(ISNUMBER($AB240),ISNUMBER($AD240)),IF($AB240&gt;0,$AD240/$AB240,""),"")</f>
      </c>
      <c r="AL240" s="48" t="inlineStr">
        <is>
          <t xml:space="preserve">At technical</t>
        </is>
      </c>
      <c r="AM240" s="41">
        <f>IF(ISNUMBER($AD240),Header!$I$3,"")</f>
      </c>
      <c r="AN240" s="39">
        <f>IF(ISNUMBER($AD240),$AO240+$AP240,"")</f>
      </c>
      <c r="AO240" s="39">
        <f>IF(ISNUMBER($AD240),ROUND($AD240*Header!$K$3,2),"")</f>
      </c>
      <c r="AP240" s="39">
        <f>IF(ISNUMBER($AD240),ROUND($AD240*Header!$M$3,2),"")</f>
      </c>
      <c r="AQ240" s="38">
        <f>IF(ISNUMBER($AD240),ROUND($AD240,2)-$AO240-$AP240,"")</f>
      </c>
      <c r="AR240" s="39">
        <f>IF(ISNUMBER($AD240),IF(Header!$D$34="","?",$AD240*Header!$D$34),"")</f>
      </c>
      <c r="AS240" s="39">
        <f>IF(ISNUMBER($AB240),IF(Header!$D$34="","?",$AB240*Header!$D$34),"")</f>
      </c>
      <c r="AT240" s="42">
        <f>IF(AND(ISNUMBER($AB240),$M240&gt;0),$AB240/$M240*100,"")</f>
      </c>
      <c r="AU240" s="42">
        <f>IF(AND(ISNUMBER($AD240),$M240&gt;0),$AD240/$M240*100,"")</f>
      </c>
      <c r="AV240" s="40">
        <f>IF(AND(ISNUMBER($AB240),ISNUMBER($AD240),ABS($AB240)&gt;0),$AD240/$AB240,"")</f>
      </c>
      <c r="AW240" s="39">
        <f>IF(ISNUMBER($AD240),MAX(0,(1-0.55-Header!$O$3)*Header!$Q$3*$AQ240),"")</f>
      </c>
      <c r="AX240" s="43">
        <f>IF($A240="","",IF(TRIM(IF($A240="","Missing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",""))="","PASS","FAIL: "&amp;TRIM(IF($A240="","Missing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f>
      </c>
      <c r="AY240" s="44">
        <f>IF($M240="","",IF(ISNUMBER($M240),IF($M240&gt;=Header!$C$18,"YES — refer","No"),""))</f>
      </c>
      <c r="AZ240" s="44">
        <f>IF($AD240="","",IF(ISNUMBER($AD240),IF($AD240&lt;Header!$C$20,"BELOW MIN PREMIUM","OK"),""))</f>
      </c>
      <c r="BA240" s="48" t="inlineStr">
        <is>
          <t xml:space="preserve">Yes</t>
        </is>
      </c>
      <c r="BB240" s="48" t="inlineStr">
        <is>
          <t xml:space="preserve">Yes</t>
        </is>
      </c>
      <c r="BC240" s="46" t="inlineStr">
        <is>
          <t xml:space="preserve">Synthetic demo data</t>
        </is>
      </c>
      <c r="BE240" s="45">
        <f>IF(OR($A240="",$L240="",$H240=""),"",IF(AND(LEFT($L240,2)="06",$H240&gt;1945),"FAIL - pre-war class, year "&amp;$H240,IF(AND(LEFT($L240,2)="07",OR($H240&lt;1946,$H240&gt;1972)),"FAIL - 1946-72 class, year "&amp;$H240,IF(AND(LEFT($L240,2)="08",OR($H240&lt;1973,$H240&gt;1999)),"FAIL - 1973-99 class, year "&amp;$H240,IF(AND(LEFT($L240,2)="09",OR($H240&lt;2000,$H240&gt;2010)),"FAIL - 2000-10 class, year "&amp;$H240,"OK")))))</f>
      </c>
      <c r="BF240" s="45">
        <f>IF($AD240="","",IF(ROUND($AO240+$AP240+$AQ240-$AD240,2)=0,"OK","FAIL - out by "&amp;TEXT($AO240+$AP240+$AQ240-$AD240,"$0.00")))</f>
      </c>
    </row>
    <row r="241" spans="1:58" ht="18.75" customHeight="1" x14ac:dyDescent="0.25">
      <c r="A241" s="30" t="inlineStr">
        <is>
          <t xml:space="preserve">CANON-202606-008737</t>
        </is>
      </c>
      <c r="B241" s="30" t="inlineStr">
        <is>
          <t xml:space="preserve">Sunniva Underwood</t>
        </is>
      </c>
      <c r="C241" s="31">
        <v>46184</v>
      </c>
      <c r="D241" s="32" t="inlineStr">
        <is>
          <t xml:space="preserve">Bound - within authority</t>
        </is>
      </c>
      <c r="E241" s="32" t="inlineStr">
        <is>
          <t xml:space="preserve">New business</t>
        </is>
      </c>
      <c r="F241" s="30" t="inlineStr">
        <is>
          <t xml:space="preserve">B1234EXOTIC26</t>
        </is>
      </c>
      <c r="G241" s="33">
        <f>IF($A241="","",IF($C241="","",YEAR($C241)))</f>
      </c>
      <c r="H241" s="34">
        <v>1981</v>
      </c>
      <c r="I241" s="30" t="inlineStr">
        <is>
          <t xml:space="preserve">Aston Martin</t>
        </is>
      </c>
      <c r="J241" s="30" t="inlineStr">
        <is>
          <t xml:space="preserve">DB12</t>
        </is>
      </c>
      <c r="K241" s="30" t="inlineStr">
        <is>
          <t xml:space="preserve">HJCKJ9682Z4HVA9WD</t>
        </is>
      </c>
      <c r="L241" s="32" t="inlineStr">
        <is>
          <t xml:space="preserve">02 - Sports / GT</t>
        </is>
      </c>
      <c r="M241" s="35">
        <v>500000</v>
      </c>
      <c r="N241" s="32" t="inlineStr">
        <is>
          <t xml:space="preserve">Personal</t>
        </is>
      </c>
      <c r="O241" s="30" t="inlineStr">
        <is>
          <t xml:space="preserve">Personal - regular use</t>
        </is>
      </c>
      <c r="P241" s="30" t="inlineStr">
        <is>
          <t xml:space="preserve">1,000 - 2,500</t>
        </is>
      </c>
      <c r="Q241" s="30" t="inlineStr">
        <is>
          <t xml:space="preserve">Vermont</t>
        </is>
      </c>
      <c r="R241" s="30" t="inlineStr">
        <is>
          <t xml:space="preserve">05601</t>
        </is>
      </c>
      <c r="S241" s="32" t="inlineStr">
        <is>
          <t xml:space="preserve">Low hazard - inland benign</t>
        </is>
      </c>
      <c r="T241" s="36">
        <f>IF($A241="","",IF($S241="","",IFERROR(INDEX('[1]natural catastrophe'!$D$6:$D$17,MATCH($S241,'[1]natural catastrophe'!$B$6:$B$17,0)),"?")))</f>
      </c>
      <c r="U241" s="30" t="inlineStr">
        <is>
          <t xml:space="preserve">$5,000</t>
        </is>
      </c>
      <c r="V241" s="32" t="inlineStr">
        <is>
          <t xml:space="preserve">Agreed Value</t>
        </is>
      </c>
      <c r="W241" s="30" t="inlineStr">
        <is>
          <t xml:space="preserve">$1,000</t>
        </is>
      </c>
      <c r="X241" s="32" t="inlineStr">
        <is>
          <t xml:space="preserve">$1,000,000 CSL</t>
        </is>
      </c>
      <c r="Y241" s="30"/>
      <c r="Z241" s="30"/>
      <c r="AA241" s="32" t="inlineStr">
        <is>
          <t xml:space="preserve">Surplus Lines</t>
        </is>
      </c>
      <c r="AB241" s="35">
        <v>5721.57</v>
      </c>
      <c r="AC241" s="37">
        <v>0</v>
      </c>
      <c r="AD241" s="38">
        <f>IF(ISNUMBER($AB241),$AB241*(1+N($AC241)),"")</f>
      </c>
      <c r="AE241" s="35">
        <v>350</v>
      </c>
      <c r="AF241" s="35">
        <v>0</v>
      </c>
      <c r="AG241" s="37"/>
      <c r="AH241" s="39">
        <f>IF(ISNUMBER($AD241),($AD241+$AE241+$AF241)*$AG241,"")</f>
      </c>
      <c r="AI241" s="35"/>
      <c r="AJ241" s="38">
        <f>IF(ISNUMBER($AD241),SUM($AD241:$AH241),"")</f>
      </c>
      <c r="AK241" s="40">
        <f>IF(AND(ISNUMBER($AB241),ISNUMBER($AD241)),IF($AB241&gt;0,$AD241/$AB241,""),"")</f>
      </c>
      <c r="AL241" s="32" t="inlineStr">
        <is>
          <t xml:space="preserve">At technical</t>
        </is>
      </c>
      <c r="AM241" s="41">
        <f>IF(ISNUMBER($AD241),Header!$I$3,"")</f>
      </c>
      <c r="AN241" s="39">
        <f>IF(ISNUMBER($AD241),$AO241+$AP241,"")</f>
      </c>
      <c r="AO241" s="39">
        <f>IF(ISNUMBER($AD241),ROUND($AD241*Header!$K$3,2),"")</f>
      </c>
      <c r="AP241" s="39">
        <f>IF(ISNUMBER($AD241),ROUND($AD241*Header!$M$3,2),"")</f>
      </c>
      <c r="AQ241" s="38">
        <f>IF(ISNUMBER($AD241),ROUND($AD241,2)-$AO241-$AP241,"")</f>
      </c>
      <c r="AR241" s="39">
        <f>IF(ISNUMBER($AD241),IF(Header!$D$34="","?",$AD241*Header!$D$34),"")</f>
      </c>
      <c r="AS241" s="39">
        <f>IF(ISNUMBER($AB241),IF(Header!$D$34="","?",$AB241*Header!$D$34),"")</f>
      </c>
      <c r="AT241" s="42">
        <f>IF(AND(ISNUMBER($AB241),$M241&gt;0),$AB241/$M241*100,"")</f>
      </c>
      <c r="AU241" s="42">
        <f>IF(AND(ISNUMBER($AD241),$M241&gt;0),$AD241/$M241*100,"")</f>
      </c>
      <c r="AV241" s="40">
        <f>IF(AND(ISNUMBER($AB241),ISNUMBER($AD241),ABS($AB241)&gt;0),$AD241/$AB241,"")</f>
      </c>
      <c r="AW241" s="39">
        <f>IF(ISNUMBER($AD241),MAX(0,(1-0.55-Header!$O$3)*Header!$Q$3*$AQ241),"")</f>
      </c>
      <c r="AX241" s="43">
        <f>IF($A241="","",IF(TRIM(IF($A241="","Missing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",""))="","PASS","FAIL: "&amp;TRIM(IF($A241="","Missing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f>
      </c>
      <c r="AY241" s="44">
        <f>IF($M241="","",IF(ISNUMBER($M241),IF($M241&gt;=Header!$C$18,"YES — refer","No"),""))</f>
      </c>
      <c r="AZ241" s="44">
        <f>IF($AD241="","",IF(ISNUMBER($AD241),IF($AD241&lt;Header!$C$20,"BELOW MIN PREMIUM","OK"),""))</f>
      </c>
      <c r="BA241" s="32" t="inlineStr">
        <is>
          <t xml:space="preserve">Yes</t>
        </is>
      </c>
      <c r="BB241" s="32" t="inlineStr">
        <is>
          <t xml:space="preserve">Yes</t>
        </is>
      </c>
      <c r="BC241" s="30" t="inlineStr">
        <is>
          <t xml:space="preserve">Synthetic demo data</t>
        </is>
      </c>
      <c r="BE241" s="45">
        <f>IF(OR($A241="",$L241="",$H241=""),"",IF(AND(LEFT($L241,2)="06",$H241&gt;1945),"FAIL - pre-war class, year "&amp;$H241,IF(AND(LEFT($L241,2)="07",OR($H241&lt;1946,$H241&gt;1972)),"FAIL - 1946-72 class, year "&amp;$H241,IF(AND(LEFT($L241,2)="08",OR($H241&lt;1973,$H241&gt;1999)),"FAIL - 1973-99 class, year "&amp;$H241,IF(AND(LEFT($L241,2)="09",OR($H241&lt;2000,$H241&gt;2010)),"FAIL - 2000-10 class, year "&amp;$H241,"OK")))))</f>
      </c>
      <c r="BF241" s="45">
        <f>IF($AD241="","",IF(ROUND($AO241+$AP241+$AQ241-$AD241,2)=0,"OK","FAIL - out by "&amp;TEXT($AO241+$AP241+$AQ241-$AD241,"$0.00")))</f>
      </c>
    </row>
    <row r="242" spans="1:58" ht="18.75" customHeight="1" x14ac:dyDescent="0.25">
      <c r="A242" s="46" t="inlineStr">
        <is>
          <t xml:space="preserve">CANON-202606-008738</t>
        </is>
      </c>
      <c r="B242" s="46" t="inlineStr">
        <is>
          <t xml:space="preserve">Horace Fairweather</t>
        </is>
      </c>
      <c r="C242" s="47">
        <v>46195</v>
      </c>
      <c r="D242" s="48" t="inlineStr">
        <is>
          <t xml:space="preserve">Bound - within authority</t>
        </is>
      </c>
      <c r="E242" s="48" t="inlineStr">
        <is>
          <t xml:space="preserve">New business</t>
        </is>
      </c>
      <c r="F242" s="46" t="inlineStr">
        <is>
          <t xml:space="preserve">B1234EXOTIC26</t>
        </is>
      </c>
      <c r="G242" s="33">
        <f>IF($A242="","",IF($C242="","",YEAR($C242)))</f>
      </c>
      <c r="H242" s="49">
        <v>1979</v>
      </c>
      <c r="I242" s="46" t="inlineStr">
        <is>
          <t xml:space="preserve">Maserati</t>
        </is>
      </c>
      <c r="J242" s="46" t="inlineStr">
        <is>
          <t xml:space="preserve">GranTurismo</t>
        </is>
      </c>
      <c r="K242" s="46" t="inlineStr">
        <is>
          <t xml:space="preserve">LW4VBSXGLUPMSUY1D</t>
        </is>
      </c>
      <c r="L242" s="48" t="inlineStr">
        <is>
          <t xml:space="preserve">02 - Sports / GT</t>
        </is>
      </c>
      <c r="M242" s="50">
        <v>1260000</v>
      </c>
      <c r="N242" s="48" t="inlineStr">
        <is>
          <t xml:space="preserve">Personal</t>
        </is>
      </c>
      <c r="O242" s="46" t="inlineStr">
        <is>
          <t xml:space="preserve">Personal - regular use</t>
        </is>
      </c>
      <c r="P242" s="46" t="inlineStr">
        <is>
          <t xml:space="preserve">Under 1,000</t>
        </is>
      </c>
      <c r="Q242" s="46" t="inlineStr">
        <is>
          <t xml:space="preserve">Oklahoma</t>
        </is>
      </c>
      <c r="R242" s="46" t="inlineStr">
        <is>
          <t xml:space="preserve">73102</t>
        </is>
      </c>
      <c r="S242" s="48" t="inlineStr">
        <is>
          <t xml:space="preserve">Severe convective - hail alley (high)</t>
        </is>
      </c>
      <c r="T242" s="36">
        <f>IF($A242="","",IF($S242="","",IFERROR(INDEX('[1]natural catastrophe'!$D$6:$D$17,MATCH($S242,'[1]natural catastrophe'!$B$6:$B$17,0)),"?")))</f>
      </c>
      <c r="U242" s="46" t="inlineStr">
        <is>
          <t xml:space="preserve">$5,000</t>
        </is>
      </c>
      <c r="V242" s="48" t="inlineStr">
        <is>
          <t xml:space="preserve">Agreed Value</t>
        </is>
      </c>
      <c r="W242" s="46" t="inlineStr">
        <is>
          <t xml:space="preserve">$1,000</t>
        </is>
      </c>
      <c r="X242" s="48" t="inlineStr">
        <is>
          <t xml:space="preserve">$1,000,000 CSL</t>
        </is>
      </c>
      <c r="Y242" s="46"/>
      <c r="Z242" s="46"/>
      <c r="AA242" s="48" t="inlineStr">
        <is>
          <t xml:space="preserve">Surplus Lines</t>
        </is>
      </c>
      <c r="AB242" s="50">
        <v>12600.15</v>
      </c>
      <c r="AC242" s="51">
        <v>0</v>
      </c>
      <c r="AD242" s="38">
        <f>IF(ISNUMBER($AB242),$AB242*(1+N($AC242)),"")</f>
      </c>
      <c r="AE242" s="50">
        <v>350</v>
      </c>
      <c r="AF242" s="50">
        <v>250</v>
      </c>
      <c r="AG242" s="51"/>
      <c r="AH242" s="39">
        <f>IF(ISNUMBER($AD242),($AD242+$AE242+$AF242)*$AG242,"")</f>
      </c>
      <c r="AI242" s="50"/>
      <c r="AJ242" s="38">
        <f>IF(ISNUMBER($AD242),SUM($AD242:$AH242),"")</f>
      </c>
      <c r="AK242" s="40">
        <f>IF(AND(ISNUMBER($AB242),ISNUMBER($AD242)),IF($AB242&gt;0,$AD242/$AB242,""),"")</f>
      </c>
      <c r="AL242" s="48" t="inlineStr">
        <is>
          <t xml:space="preserve">At technical</t>
        </is>
      </c>
      <c r="AM242" s="41">
        <f>IF(ISNUMBER($AD242),Header!$I$3,"")</f>
      </c>
      <c r="AN242" s="39">
        <f>IF(ISNUMBER($AD242),$AO242+$AP242,"")</f>
      </c>
      <c r="AO242" s="39">
        <f>IF(ISNUMBER($AD242),ROUND($AD242*Header!$K$3,2),"")</f>
      </c>
      <c r="AP242" s="39">
        <f>IF(ISNUMBER($AD242),ROUND($AD242*Header!$M$3,2),"")</f>
      </c>
      <c r="AQ242" s="38">
        <f>IF(ISNUMBER($AD242),ROUND($AD242,2)-$AO242-$AP242,"")</f>
      </c>
      <c r="AR242" s="39">
        <f>IF(ISNUMBER($AD242),IF(Header!$D$34="","?",$AD242*Header!$D$34),"")</f>
      </c>
      <c r="AS242" s="39">
        <f>IF(ISNUMBER($AB242),IF(Header!$D$34="","?",$AB242*Header!$D$34),"")</f>
      </c>
      <c r="AT242" s="42">
        <f>IF(AND(ISNUMBER($AB242),$M242&gt;0),$AB242/$M242*100,"")</f>
      </c>
      <c r="AU242" s="42">
        <f>IF(AND(ISNUMBER($AD242),$M242&gt;0),$AD242/$M242*100,"")</f>
      </c>
      <c r="AV242" s="40">
        <f>IF(AND(ISNUMBER($AB242),ISNUMBER($AD242),ABS($AB242)&gt;0),$AD242/$AB242,"")</f>
      </c>
      <c r="AW242" s="39">
        <f>IF(ISNUMBER($AD242),MAX(0,(1-0.55-Header!$O$3)*Header!$Q$3*$AQ242),"")</f>
      </c>
      <c r="AX242" s="43">
        <f>IF($A242="","",IF(TRIM(IF($A242="","Missing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",""))="","PASS","FAIL: "&amp;TRIM(IF($A242="","Missing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f>
      </c>
      <c r="AY242" s="44">
        <f>IF($M242="","",IF(ISNUMBER($M242),IF($M242&gt;=Header!$C$18,"YES — refer","No"),""))</f>
      </c>
      <c r="AZ242" s="44">
        <f>IF($AD242="","",IF(ISNUMBER($AD242),IF($AD242&lt;Header!$C$20,"BELOW MIN PREMIUM","OK"),""))</f>
      </c>
      <c r="BA242" s="48" t="inlineStr">
        <is>
          <t xml:space="preserve">Yes</t>
        </is>
      </c>
      <c r="BB242" s="48" t="inlineStr">
        <is>
          <t xml:space="preserve">Yes</t>
        </is>
      </c>
      <c r="BC242" s="46" t="inlineStr">
        <is>
          <t xml:space="preserve">Synthetic demo data</t>
        </is>
      </c>
      <c r="BE242" s="45">
        <f>IF(OR($A242="",$L242="",$H242=""),"",IF(AND(LEFT($L242,2)="06",$H242&gt;1945),"FAIL - pre-war class, year "&amp;$H242,IF(AND(LEFT($L242,2)="07",OR($H242&lt;1946,$H242&gt;1972)),"FAIL - 1946-72 class, year "&amp;$H242,IF(AND(LEFT($L242,2)="08",OR($H242&lt;1973,$H242&gt;1999)),"FAIL - 1973-99 class, year "&amp;$H242,IF(AND(LEFT($L242,2)="09",OR($H242&lt;2000,$H242&gt;2010)),"FAIL - 2000-10 class, year "&amp;$H242,"OK")))))</f>
      </c>
      <c r="BF242" s="45">
        <f>IF($AD242="","",IF(ROUND($AO242+$AP242+$AQ242-$AD242,2)=0,"OK","FAIL - out by "&amp;TEXT($AO242+$AP242+$AQ242-$AD242,"$0.00")))</f>
      </c>
    </row>
    <row r="243" spans="1:58" ht="18.75" customHeight="1" x14ac:dyDescent="0.25">
      <c r="A243" s="30" t="inlineStr">
        <is>
          <t xml:space="preserve">CANON-202606-008739</t>
        </is>
      </c>
      <c r="B243" s="30" t="inlineStr">
        <is>
          <t xml:space="preserve">Ottilie Farkas</t>
        </is>
      </c>
      <c r="C243" s="31">
        <v>46191</v>
      </c>
      <c r="D243" s="32" t="inlineStr">
        <is>
          <t xml:space="preserve">Bound - within authority</t>
        </is>
      </c>
      <c r="E243" s="32" t="inlineStr">
        <is>
          <t xml:space="preserve">New business</t>
        </is>
      </c>
      <c r="F243" s="30" t="inlineStr">
        <is>
          <t xml:space="preserve">B1234EXOTIC26</t>
        </is>
      </c>
      <c r="G243" s="33">
        <f>IF($A243="","",IF($C243="","",YEAR($C243)))</f>
      </c>
      <c r="H243" s="34">
        <v>1966</v>
      </c>
      <c r="I243" s="30" t="inlineStr">
        <is>
          <t xml:space="preserve">BMW</t>
        </is>
      </c>
      <c r="J243" s="30" t="inlineStr">
        <is>
          <t xml:space="preserve">M8 Competition</t>
        </is>
      </c>
      <c r="K243" s="30" t="inlineStr">
        <is>
          <t xml:space="preserve">LR2MXGBW6HECA3GMX</t>
        </is>
      </c>
      <c r="L243" s="32" t="inlineStr">
        <is>
          <t xml:space="preserve">02 - Sports / GT</t>
        </is>
      </c>
      <c r="M243" s="35">
        <v>465000</v>
      </c>
      <c r="N243" s="32" t="inlineStr">
        <is>
          <t xml:space="preserve">Personal</t>
        </is>
      </c>
      <c r="O243" s="30" t="inlineStr">
        <is>
          <t xml:space="preserve">Personal - regular use</t>
        </is>
      </c>
      <c r="P243" s="30" t="inlineStr">
        <is>
          <t xml:space="preserve">2,500 - 5,000</t>
        </is>
      </c>
      <c r="Q243" s="30" t="inlineStr">
        <is>
          <t xml:space="preserve">Georgia</t>
        </is>
      </c>
      <c r="R243" s="30" t="inlineStr">
        <is>
          <t xml:space="preserve">30303</t>
        </is>
      </c>
      <c r="S243" s="32" t="inlineStr">
        <is>
          <t xml:space="preserve">Tier 2 - Coastal wind (1-25 miles)</t>
        </is>
      </c>
      <c r="T243" s="36">
        <f>IF($A243="","",IF($S243="","",IFERROR(INDEX('[1]natural catastrophe'!$D$6:$D$17,MATCH($S243,'[1]natural catastrophe'!$B$6:$B$17,0)),"?")))</f>
      </c>
      <c r="U243" s="30" t="inlineStr">
        <is>
          <t xml:space="preserve">2% of agreed value, minimum $10,000</t>
        </is>
      </c>
      <c r="V243" s="32" t="inlineStr">
        <is>
          <t xml:space="preserve">Agreed Value</t>
        </is>
      </c>
      <c r="W243" s="30" t="inlineStr">
        <is>
          <t xml:space="preserve">$1,000</t>
        </is>
      </c>
      <c r="X243" s="32" t="inlineStr">
        <is>
          <t xml:space="preserve">$1,000,000 CSL</t>
        </is>
      </c>
      <c r="Y243" s="30"/>
      <c r="Z243" s="30"/>
      <c r="AA243" s="32" t="inlineStr">
        <is>
          <t xml:space="preserve">Surplus Lines</t>
        </is>
      </c>
      <c r="AB243" s="35">
        <v>5636.43</v>
      </c>
      <c r="AC243" s="37">
        <v>0</v>
      </c>
      <c r="AD243" s="38">
        <f>IF(ISNUMBER($AB243),$AB243*(1+N($AC243)),"")</f>
      </c>
      <c r="AE243" s="35">
        <v>350</v>
      </c>
      <c r="AF243" s="35">
        <v>0</v>
      </c>
      <c r="AG243" s="37"/>
      <c r="AH243" s="39">
        <f>IF(ISNUMBER($AD243),($AD243+$AE243+$AF243)*$AG243,"")</f>
      </c>
      <c r="AI243" s="35"/>
      <c r="AJ243" s="38">
        <f>IF(ISNUMBER($AD243),SUM($AD243:$AH243),"")</f>
      </c>
      <c r="AK243" s="40">
        <f>IF(AND(ISNUMBER($AB243),ISNUMBER($AD243)),IF($AB243&gt;0,$AD243/$AB243,""),"")</f>
      </c>
      <c r="AL243" s="32" t="inlineStr">
        <is>
          <t xml:space="preserve">At technical</t>
        </is>
      </c>
      <c r="AM243" s="41">
        <f>IF(ISNUMBER($AD243),Header!$I$3,"")</f>
      </c>
      <c r="AN243" s="39">
        <f>IF(ISNUMBER($AD243),$AO243+$AP243,"")</f>
      </c>
      <c r="AO243" s="39">
        <f>IF(ISNUMBER($AD243),ROUND($AD243*Header!$K$3,2),"")</f>
      </c>
      <c r="AP243" s="39">
        <f>IF(ISNUMBER($AD243),ROUND($AD243*Header!$M$3,2),"")</f>
      </c>
      <c r="AQ243" s="38">
        <f>IF(ISNUMBER($AD243),ROUND($AD243,2)-$AO243-$AP243,"")</f>
      </c>
      <c r="AR243" s="39">
        <f>IF(ISNUMBER($AD243),IF(Header!$D$34="","?",$AD243*Header!$D$34),"")</f>
      </c>
      <c r="AS243" s="39">
        <f>IF(ISNUMBER($AB243),IF(Header!$D$34="","?",$AB243*Header!$D$34),"")</f>
      </c>
      <c r="AT243" s="42">
        <f>IF(AND(ISNUMBER($AB243),$M243&gt;0),$AB243/$M243*100,"")</f>
      </c>
      <c r="AU243" s="42">
        <f>IF(AND(ISNUMBER($AD243),$M243&gt;0),$AD243/$M243*100,"")</f>
      </c>
      <c r="AV243" s="40">
        <f>IF(AND(ISNUMBER($AB243),ISNUMBER($AD243),ABS($AB243)&gt;0),$AD243/$AB243,"")</f>
      </c>
      <c r="AW243" s="39">
        <f>IF(ISNUMBER($AD243),MAX(0,(1-0.55-Header!$O$3)*Header!$Q$3*$AQ243),"")</f>
      </c>
      <c r="AX243" s="43">
        <f>IF($A243="","",IF(TRIM(IF($A243="","Missing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",""))="","PASS","FAIL: "&amp;TRIM(IF($A243="","Missing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f>
      </c>
      <c r="AY243" s="44">
        <f>IF($M243="","",IF(ISNUMBER($M243),IF($M243&gt;=Header!$C$18,"YES — refer","No"),""))</f>
      </c>
      <c r="AZ243" s="44">
        <f>IF($AD243="","",IF(ISNUMBER($AD243),IF($AD243&lt;Header!$C$20,"BELOW MIN PREMIUM","OK"),""))</f>
      </c>
      <c r="BA243" s="32" t="inlineStr">
        <is>
          <t xml:space="preserve">Yes</t>
        </is>
      </c>
      <c r="BB243" s="32" t="inlineStr">
        <is>
          <t xml:space="preserve">Yes</t>
        </is>
      </c>
      <c r="BC243" s="30" t="inlineStr">
        <is>
          <t xml:space="preserve">Synthetic demo data</t>
        </is>
      </c>
      <c r="BE243" s="45">
        <f>IF(OR($A243="",$L243="",$H243=""),"",IF(AND(LEFT($L243,2)="06",$H243&gt;1945),"FAIL - pre-war class, year "&amp;$H243,IF(AND(LEFT($L243,2)="07",OR($H243&lt;1946,$H243&gt;1972)),"FAIL - 1946-72 class, year "&amp;$H243,IF(AND(LEFT($L243,2)="08",OR($H243&lt;1973,$H243&gt;1999)),"FAIL - 1973-99 class, year "&amp;$H243,IF(AND(LEFT($L243,2)="09",OR($H243&lt;2000,$H243&gt;2010)),"FAIL - 2000-10 class, year "&amp;$H243,"OK")))))</f>
      </c>
      <c r="BF243" s="45">
        <f>IF($AD243="","",IF(ROUND($AO243+$AP243+$AQ243-$AD243,2)=0,"OK","FAIL - out by "&amp;TEXT($AO243+$AP243+$AQ243-$AD243,"$0.00")))</f>
      </c>
    </row>
    <row r="244" spans="1:58" ht="18.75" customHeight="1" x14ac:dyDescent="0.25">
      <c r="A244" s="46" t="inlineStr">
        <is>
          <t xml:space="preserve">CANON-202606-008740</t>
        </is>
      </c>
      <c r="B244" s="46" t="inlineStr">
        <is>
          <t xml:space="preserve">Saoirse Whitlock</t>
        </is>
      </c>
      <c r="C244" s="47">
        <v>46185</v>
      </c>
      <c r="D244" s="48" t="inlineStr">
        <is>
          <t xml:space="preserve">Bound - within authority</t>
        </is>
      </c>
      <c r="E244" s="48" t="inlineStr">
        <is>
          <t xml:space="preserve">New business</t>
        </is>
      </c>
      <c r="F244" s="46" t="inlineStr">
        <is>
          <t xml:space="preserve">B1234EXOTIC26</t>
        </is>
      </c>
      <c r="G244" s="33">
        <f>IF($A244="","",IF($C244="","",YEAR($C244)))</f>
      </c>
      <c r="H244" s="49">
        <v>2013</v>
      </c>
      <c r="I244" s="46" t="inlineStr">
        <is>
          <t xml:space="preserve">Porsche</t>
        </is>
      </c>
      <c r="J244" s="46" t="inlineStr">
        <is>
          <t xml:space="preserve">911 Turbo S</t>
        </is>
      </c>
      <c r="K244" s="46" t="inlineStr">
        <is>
          <t xml:space="preserve">GBFR6JCMV5T719L0T</t>
        </is>
      </c>
      <c r="L244" s="48" t="inlineStr">
        <is>
          <t xml:space="preserve">02 - Sports / GT</t>
        </is>
      </c>
      <c r="M244" s="50">
        <v>655000</v>
      </c>
      <c r="N244" s="48" t="inlineStr">
        <is>
          <t xml:space="preserve">Personal</t>
        </is>
      </c>
      <c r="O244" s="46" t="inlineStr">
        <is>
          <t xml:space="preserve">Personal - regular use</t>
        </is>
      </c>
      <c r="P244" s="46" t="inlineStr">
        <is>
          <t xml:space="preserve">Under 1,000</t>
        </is>
      </c>
      <c r="Q244" s="46" t="inlineStr">
        <is>
          <t xml:space="preserve">Colorado</t>
        </is>
      </c>
      <c r="R244" s="46" t="inlineStr">
        <is>
          <t xml:space="preserve">80202</t>
        </is>
      </c>
      <c r="S244" s="48" t="inlineStr">
        <is>
          <t xml:space="preserve">Severe convective - hail alley (high)</t>
        </is>
      </c>
      <c r="T244" s="36">
        <f>IF($A244="","",IF($S244="","",IFERROR(INDEX('[1]natural catastrophe'!$D$6:$D$17,MATCH($S244,'[1]natural catastrophe'!$B$6:$B$17,0)),"?")))</f>
      </c>
      <c r="U244" s="46" t="inlineStr">
        <is>
          <t xml:space="preserve">$5,000</t>
        </is>
      </c>
      <c r="V244" s="48" t="inlineStr">
        <is>
          <t xml:space="preserve">Agreed Value</t>
        </is>
      </c>
      <c r="W244" s="46" t="inlineStr">
        <is>
          <t xml:space="preserve">$1,000</t>
        </is>
      </c>
      <c r="X244" s="48" t="inlineStr">
        <is>
          <t xml:space="preserve">$1,000,000 CSL</t>
        </is>
      </c>
      <c r="Y244" s="46"/>
      <c r="Z244" s="46"/>
      <c r="AA244" s="48" t="inlineStr">
        <is>
          <t xml:space="preserve">Surplus Lines</t>
        </is>
      </c>
      <c r="AB244" s="50">
        <v>6758.02</v>
      </c>
      <c r="AC244" s="51">
        <v>0</v>
      </c>
      <c r="AD244" s="38">
        <f>IF(ISNUMBER($AB244),$AB244*(1+N($AC244)),"")</f>
      </c>
      <c r="AE244" s="50">
        <v>350</v>
      </c>
      <c r="AF244" s="50">
        <v>0</v>
      </c>
      <c r="AG244" s="51"/>
      <c r="AH244" s="39">
        <f>IF(ISNUMBER($AD244),($AD244+$AE244+$AF244)*$AG244,"")</f>
      </c>
      <c r="AI244" s="50"/>
      <c r="AJ244" s="38">
        <f>IF(ISNUMBER($AD244),SUM($AD244:$AH244),"")</f>
      </c>
      <c r="AK244" s="40">
        <f>IF(AND(ISNUMBER($AB244),ISNUMBER($AD244)),IF($AB244&gt;0,$AD244/$AB244,""),"")</f>
      </c>
      <c r="AL244" s="48" t="inlineStr">
        <is>
          <t xml:space="preserve">At technical</t>
        </is>
      </c>
      <c r="AM244" s="41">
        <f>IF(ISNUMBER($AD244),Header!$I$3,"")</f>
      </c>
      <c r="AN244" s="39">
        <f>IF(ISNUMBER($AD244),$AO244+$AP244,"")</f>
      </c>
      <c r="AO244" s="39">
        <f>IF(ISNUMBER($AD244),ROUND($AD244*Header!$K$3,2),"")</f>
      </c>
      <c r="AP244" s="39">
        <f>IF(ISNUMBER($AD244),ROUND($AD244*Header!$M$3,2),"")</f>
      </c>
      <c r="AQ244" s="38">
        <f>IF(ISNUMBER($AD244),ROUND($AD244,2)-$AO244-$AP244,"")</f>
      </c>
      <c r="AR244" s="39">
        <f>IF(ISNUMBER($AD244),IF(Header!$D$34="","?",$AD244*Header!$D$34),"")</f>
      </c>
      <c r="AS244" s="39">
        <f>IF(ISNUMBER($AB244),IF(Header!$D$34="","?",$AB244*Header!$D$34),"")</f>
      </c>
      <c r="AT244" s="42">
        <f>IF(AND(ISNUMBER($AB244),$M244&gt;0),$AB244/$M244*100,"")</f>
      </c>
      <c r="AU244" s="42">
        <f>IF(AND(ISNUMBER($AD244),$M244&gt;0),$AD244/$M244*100,"")</f>
      </c>
      <c r="AV244" s="40">
        <f>IF(AND(ISNUMBER($AB244),ISNUMBER($AD244),ABS($AB244)&gt;0),$AD244/$AB244,"")</f>
      </c>
      <c r="AW244" s="39">
        <f>IF(ISNUMBER($AD244),MAX(0,(1-0.55-Header!$O$3)*Header!$Q$3*$AQ244),"")</f>
      </c>
      <c r="AX244" s="43">
        <f>IF($A244="","",IF(TRIM(IF($A244="","Missing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",""))="","PASS","FAIL: "&amp;TRIM(IF($A244="","Missing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f>
      </c>
      <c r="AY244" s="44">
        <f>IF($M244="","",IF(ISNUMBER($M244),IF($M244&gt;=Header!$C$18,"YES — refer","No"),""))</f>
      </c>
      <c r="AZ244" s="44">
        <f>IF($AD244="","",IF(ISNUMBER($AD244),IF($AD244&lt;Header!$C$20,"BELOW MIN PREMIUM","OK"),""))</f>
      </c>
      <c r="BA244" s="48" t="inlineStr">
        <is>
          <t xml:space="preserve">Yes</t>
        </is>
      </c>
      <c r="BB244" s="48" t="inlineStr">
        <is>
          <t xml:space="preserve">Yes</t>
        </is>
      </c>
      <c r="BC244" s="46" t="inlineStr">
        <is>
          <t xml:space="preserve">Synthetic demo data</t>
        </is>
      </c>
      <c r="BE244" s="45">
        <f>IF(OR($A244="",$L244="",$H244=""),"",IF(AND(LEFT($L244,2)="06",$H244&gt;1945),"FAIL - pre-war class, year "&amp;$H244,IF(AND(LEFT($L244,2)="07",OR($H244&lt;1946,$H244&gt;1972)),"FAIL - 1946-72 class, year "&amp;$H244,IF(AND(LEFT($L244,2)="08",OR($H244&lt;1973,$H244&gt;1999)),"FAIL - 1973-99 class, year "&amp;$H244,IF(AND(LEFT($L244,2)="09",OR($H244&lt;2000,$H244&gt;2010)),"FAIL - 2000-10 class, year "&amp;$H244,"OK")))))</f>
      </c>
      <c r="BF244" s="45">
        <f>IF($AD244="","",IF(ROUND($AO244+$AP244+$AQ244-$AD244,2)=0,"OK","FAIL - out by "&amp;TEXT($AO244+$AP244+$AQ244-$AD244,"$0.00")))</f>
      </c>
    </row>
    <row r="245" spans="1:58" ht="18.75" customHeight="1" x14ac:dyDescent="0.25">
      <c r="A245" s="30" t="inlineStr">
        <is>
          <t xml:space="preserve">CANON-202606-008741</t>
        </is>
      </c>
      <c r="B245" s="30" t="inlineStr">
        <is>
          <t xml:space="preserve">Callum Pennington</t>
        </is>
      </c>
      <c r="C245" s="31">
        <v>46191</v>
      </c>
      <c r="D245" s="32" t="inlineStr">
        <is>
          <t xml:space="preserve">Bound - within authority</t>
        </is>
      </c>
      <c r="E245" s="32" t="inlineStr">
        <is>
          <t xml:space="preserve">New business</t>
        </is>
      </c>
      <c r="F245" s="30" t="inlineStr">
        <is>
          <t xml:space="preserve">B1234EXOTIC26</t>
        </is>
      </c>
      <c r="G245" s="33">
        <f>IF($A245="","",IF($C245="","",YEAR($C245)))</f>
      </c>
      <c r="H245" s="34">
        <v>2017</v>
      </c>
      <c r="I245" s="30" t="inlineStr">
        <is>
          <t xml:space="preserve">Maserati</t>
        </is>
      </c>
      <c r="J245" s="30" t="inlineStr">
        <is>
          <t xml:space="preserve">GranTurismo</t>
        </is>
      </c>
      <c r="K245" s="30" t="inlineStr">
        <is>
          <t xml:space="preserve">6AASG3KS4M3E871E5</t>
        </is>
      </c>
      <c r="L245" s="32" t="inlineStr">
        <is>
          <t xml:space="preserve">02 - Sports / GT</t>
        </is>
      </c>
      <c r="M245" s="35">
        <v>515000</v>
      </c>
      <c r="N245" s="32" t="inlineStr">
        <is>
          <t xml:space="preserve">Personal</t>
        </is>
      </c>
      <c r="O245" s="30" t="inlineStr">
        <is>
          <t xml:space="preserve">Personal - regular use</t>
        </is>
      </c>
      <c r="P245" s="30" t="inlineStr">
        <is>
          <t xml:space="preserve">2,500 - 5,000</t>
        </is>
      </c>
      <c r="Q245" s="30" t="inlineStr">
        <is>
          <t xml:space="preserve">Florida</t>
        </is>
      </c>
      <c r="R245" s="30" t="inlineStr">
        <is>
          <t xml:space="preserve">33139</t>
        </is>
      </c>
      <c r="S245" s="32" t="inlineStr">
        <is>
          <t xml:space="preserve">Tier 2 - Coastal wind (1-25 miles)</t>
        </is>
      </c>
      <c r="T245" s="36">
        <f>IF($A245="","",IF($S245="","",IFERROR(INDEX('[1]natural catastrophe'!$D$6:$D$17,MATCH($S245,'[1]natural catastrophe'!$B$6:$B$17,0)),"?")))</f>
      </c>
      <c r="U245" s="30" t="inlineStr">
        <is>
          <t xml:space="preserve">2% of agreed value, minimum $10,000</t>
        </is>
      </c>
      <c r="V245" s="32" t="inlineStr">
        <is>
          <t xml:space="preserve">Agreed Value</t>
        </is>
      </c>
      <c r="W245" s="30" t="inlineStr">
        <is>
          <t xml:space="preserve">$1,000</t>
        </is>
      </c>
      <c r="X245" s="32" t="inlineStr">
        <is>
          <t xml:space="preserve">$1,000,000 CSL</t>
        </is>
      </c>
      <c r="Y245" s="30"/>
      <c r="Z245" s="30"/>
      <c r="AA245" s="32" t="inlineStr">
        <is>
          <t xml:space="preserve">Surplus Lines</t>
        </is>
      </c>
      <c r="AB245" s="35">
        <v>6859.32</v>
      </c>
      <c r="AC245" s="37">
        <v>0</v>
      </c>
      <c r="AD245" s="38">
        <f>IF(ISNUMBER($AB245),$AB245*(1+N($AC245)),"")</f>
      </c>
      <c r="AE245" s="35">
        <v>350</v>
      </c>
      <c r="AF245" s="35">
        <v>0</v>
      </c>
      <c r="AG245" s="37"/>
      <c r="AH245" s="39">
        <f>IF(ISNUMBER($AD245),($AD245+$AE245+$AF245)*$AG245,"")</f>
      </c>
      <c r="AI245" s="35"/>
      <c r="AJ245" s="38">
        <f>IF(ISNUMBER($AD245),SUM($AD245:$AH245),"")</f>
      </c>
      <c r="AK245" s="40">
        <f>IF(AND(ISNUMBER($AB245),ISNUMBER($AD245)),IF($AB245&gt;0,$AD245/$AB245,""),"")</f>
      </c>
      <c r="AL245" s="32" t="inlineStr">
        <is>
          <t xml:space="preserve">At technical</t>
        </is>
      </c>
      <c r="AM245" s="41">
        <f>IF(ISNUMBER($AD245),Header!$I$3,"")</f>
      </c>
      <c r="AN245" s="39">
        <f>IF(ISNUMBER($AD245),$AO245+$AP245,"")</f>
      </c>
      <c r="AO245" s="39">
        <f>IF(ISNUMBER($AD245),ROUND($AD245*Header!$K$3,2),"")</f>
      </c>
      <c r="AP245" s="39">
        <f>IF(ISNUMBER($AD245),ROUND($AD245*Header!$M$3,2),"")</f>
      </c>
      <c r="AQ245" s="38">
        <f>IF(ISNUMBER($AD245),ROUND($AD245,2)-$AO245-$AP245,"")</f>
      </c>
      <c r="AR245" s="39">
        <f>IF(ISNUMBER($AD245),IF(Header!$D$34="","?",$AD245*Header!$D$34),"")</f>
      </c>
      <c r="AS245" s="39">
        <f>IF(ISNUMBER($AB245),IF(Header!$D$34="","?",$AB245*Header!$D$34),"")</f>
      </c>
      <c r="AT245" s="42">
        <f>IF(AND(ISNUMBER($AB245),$M245&gt;0),$AB245/$M245*100,"")</f>
      </c>
      <c r="AU245" s="42">
        <f>IF(AND(ISNUMBER($AD245),$M245&gt;0),$AD245/$M245*100,"")</f>
      </c>
      <c r="AV245" s="40">
        <f>IF(AND(ISNUMBER($AB245),ISNUMBER($AD245),ABS($AB245)&gt;0),$AD245/$AB245,"")</f>
      </c>
      <c r="AW245" s="39">
        <f>IF(ISNUMBER($AD245),MAX(0,(1-0.55-Header!$O$3)*Header!$Q$3*$AQ245),"")</f>
      </c>
      <c r="AX245" s="43">
        <f>IF($A245="","",IF(TRIM(IF($A245="","Missing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",""))="","PASS","FAIL: "&amp;TRIM(IF($A245="","Missing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f>
      </c>
      <c r="AY245" s="44">
        <f>IF($M245="","",IF(ISNUMBER($M245),IF($M245&gt;=Header!$C$18,"YES — refer","No"),""))</f>
      </c>
      <c r="AZ245" s="44">
        <f>IF($AD245="","",IF(ISNUMBER($AD245),IF($AD245&lt;Header!$C$20,"BELOW MIN PREMIUM","OK"),""))</f>
      </c>
      <c r="BA245" s="32" t="inlineStr">
        <is>
          <t xml:space="preserve">Yes</t>
        </is>
      </c>
      <c r="BB245" s="32" t="inlineStr">
        <is>
          <t xml:space="preserve">Yes</t>
        </is>
      </c>
      <c r="BC245" s="30" t="inlineStr">
        <is>
          <t xml:space="preserve">Synthetic demo data</t>
        </is>
      </c>
      <c r="BE245" s="45">
        <f>IF(OR($A245="",$L245="",$H245=""),"",IF(AND(LEFT($L245,2)="06",$H245&gt;1945),"FAIL - pre-war class, year "&amp;$H245,IF(AND(LEFT($L245,2)="07",OR($H245&lt;1946,$H245&gt;1972)),"FAIL - 1946-72 class, year "&amp;$H245,IF(AND(LEFT($L245,2)="08",OR($H245&lt;1973,$H245&gt;1999)),"FAIL - 1973-99 class, year "&amp;$H245,IF(AND(LEFT($L245,2)="09",OR($H245&lt;2000,$H245&gt;2010)),"FAIL - 2000-10 class, year "&amp;$H245,"OK")))))</f>
      </c>
      <c r="BF245" s="45">
        <f>IF($AD245="","",IF(ROUND($AO245+$AP245+$AQ245-$AD245,2)=0,"OK","FAIL - out by "&amp;TEXT($AO245+$AP245+$AQ245-$AD245,"$0.00")))</f>
      </c>
    </row>
    <row r="246" spans="1:58" ht="18.75" customHeight="1" x14ac:dyDescent="0.25">
      <c r="A246" s="46" t="inlineStr">
        <is>
          <t xml:space="preserve">CANON-202606-008742</t>
        </is>
      </c>
      <c r="B246" s="46" t="inlineStr">
        <is>
          <t xml:space="preserve">Anouk Whitlock</t>
        </is>
      </c>
      <c r="C246" s="47">
        <v>46193</v>
      </c>
      <c r="D246" s="48" t="inlineStr">
        <is>
          <t xml:space="preserve">Bound - within authority</t>
        </is>
      </c>
      <c r="E246" s="48" t="inlineStr">
        <is>
          <t xml:space="preserve">New business</t>
        </is>
      </c>
      <c r="F246" s="46" t="inlineStr">
        <is>
          <t xml:space="preserve">B1234EXOTIC26</t>
        </is>
      </c>
      <c r="G246" s="33">
        <f>IF($A246="","",IF($C246="","",YEAR($C246)))</f>
      </c>
      <c r="H246" s="49">
        <v>1999</v>
      </c>
      <c r="I246" s="46" t="inlineStr">
        <is>
          <t xml:space="preserve">Bentley</t>
        </is>
      </c>
      <c r="J246" s="46" t="inlineStr">
        <is>
          <t xml:space="preserve">Continental GT</t>
        </is>
      </c>
      <c r="K246" s="46" t="inlineStr">
        <is>
          <t xml:space="preserve">6EDWH5UXWAC3VVZ18</t>
        </is>
      </c>
      <c r="L246" s="48" t="inlineStr">
        <is>
          <t xml:space="preserve">02 - Sports / GT</t>
        </is>
      </c>
      <c r="M246" s="50">
        <v>910000</v>
      </c>
      <c r="N246" s="48" t="inlineStr">
        <is>
          <t xml:space="preserve">Personal</t>
        </is>
      </c>
      <c r="O246" s="46" t="inlineStr">
        <is>
          <t xml:space="preserve">Personal - regular use</t>
        </is>
      </c>
      <c r="P246" s="46" t="inlineStr">
        <is>
          <t xml:space="preserve">Under 1,000</t>
        </is>
      </c>
      <c r="Q246" s="46" t="inlineStr">
        <is>
          <t xml:space="preserve">Michigan</t>
        </is>
      </c>
      <c r="R246" s="46" t="inlineStr">
        <is>
          <t xml:space="preserve">48226</t>
        </is>
      </c>
      <c r="S246" s="48" t="inlineStr">
        <is>
          <t xml:space="preserve">Severe convective - hail / tornado (moderate)</t>
        </is>
      </c>
      <c r="T246" s="36">
        <f>IF($A246="","",IF($S246="","",IFERROR(INDEX('[1]natural catastrophe'!$D$6:$D$17,MATCH($S246,'[1]natural catastrophe'!$B$6:$B$17,0)),"?")))</f>
      </c>
      <c r="U246" s="46" t="inlineStr">
        <is>
          <t xml:space="preserve">$5,000</t>
        </is>
      </c>
      <c r="V246" s="48" t="inlineStr">
        <is>
          <t xml:space="preserve">Agreed Value</t>
        </is>
      </c>
      <c r="W246" s="46" t="inlineStr">
        <is>
          <t xml:space="preserve">$1,000</t>
        </is>
      </c>
      <c r="X246" s="48" t="inlineStr">
        <is>
          <t xml:space="preserve">$1,000,000 CSL</t>
        </is>
      </c>
      <c r="Y246" s="46"/>
      <c r="Z246" s="46"/>
      <c r="AA246" s="48" t="inlineStr">
        <is>
          <t xml:space="preserve">Surplus Lines</t>
        </is>
      </c>
      <c r="AB246" s="50">
        <v>13229.95</v>
      </c>
      <c r="AC246" s="51">
        <v>0</v>
      </c>
      <c r="AD246" s="38">
        <f>IF(ISNUMBER($AB246),$AB246*(1+N($AC246)),"")</f>
      </c>
      <c r="AE246" s="50">
        <v>350</v>
      </c>
      <c r="AF246" s="50">
        <v>0</v>
      </c>
      <c r="AG246" s="51"/>
      <c r="AH246" s="39">
        <f>IF(ISNUMBER($AD246),($AD246+$AE246+$AF246)*$AG246,"")</f>
      </c>
      <c r="AI246" s="50"/>
      <c r="AJ246" s="38">
        <f>IF(ISNUMBER($AD246),SUM($AD246:$AH246),"")</f>
      </c>
      <c r="AK246" s="40">
        <f>IF(AND(ISNUMBER($AB246),ISNUMBER($AD246)),IF($AB246&gt;0,$AD246/$AB246,""),"")</f>
      </c>
      <c r="AL246" s="48" t="inlineStr">
        <is>
          <t xml:space="preserve">At technical</t>
        </is>
      </c>
      <c r="AM246" s="41">
        <f>IF(ISNUMBER($AD246),Header!$I$3,"")</f>
      </c>
      <c r="AN246" s="39">
        <f>IF(ISNUMBER($AD246),$AO246+$AP246,"")</f>
      </c>
      <c r="AO246" s="39">
        <f>IF(ISNUMBER($AD246),ROUND($AD246*Header!$K$3,2),"")</f>
      </c>
      <c r="AP246" s="39">
        <f>IF(ISNUMBER($AD246),ROUND($AD246*Header!$M$3,2),"")</f>
      </c>
      <c r="AQ246" s="38">
        <f>IF(ISNUMBER($AD246),ROUND($AD246,2)-$AO246-$AP246,"")</f>
      </c>
      <c r="AR246" s="39">
        <f>IF(ISNUMBER($AD246),IF(Header!$D$34="","?",$AD246*Header!$D$34),"")</f>
      </c>
      <c r="AS246" s="39">
        <f>IF(ISNUMBER($AB246),IF(Header!$D$34="","?",$AB246*Header!$D$34),"")</f>
      </c>
      <c r="AT246" s="42">
        <f>IF(AND(ISNUMBER($AB246),$M246&gt;0),$AB246/$M246*100,"")</f>
      </c>
      <c r="AU246" s="42">
        <f>IF(AND(ISNUMBER($AD246),$M246&gt;0),$AD246/$M246*100,"")</f>
      </c>
      <c r="AV246" s="40">
        <f>IF(AND(ISNUMBER($AB246),ISNUMBER($AD246),ABS($AB246)&gt;0),$AD246/$AB246,"")</f>
      </c>
      <c r="AW246" s="39">
        <f>IF(ISNUMBER($AD246),MAX(0,(1-0.55-Header!$O$3)*Header!$Q$3*$AQ246),"")</f>
      </c>
      <c r="AX246" s="43">
        <f>IF($A246="","",IF(TRIM(IF($A246="","Missing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",""))="","PASS","FAIL: "&amp;TRIM(IF($A246="","Missing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f>
      </c>
      <c r="AY246" s="44">
        <f>IF($M246="","",IF(ISNUMBER($M246),IF($M246&gt;=Header!$C$18,"YES — refer","No"),""))</f>
      </c>
      <c r="AZ246" s="44">
        <f>IF($AD246="","",IF(ISNUMBER($AD246),IF($AD246&lt;Header!$C$20,"BELOW MIN PREMIUM","OK"),""))</f>
      </c>
      <c r="BA246" s="48" t="inlineStr">
        <is>
          <t xml:space="preserve">Yes</t>
        </is>
      </c>
      <c r="BB246" s="48" t="inlineStr">
        <is>
          <t xml:space="preserve">Yes</t>
        </is>
      </c>
      <c r="BC246" s="46" t="inlineStr">
        <is>
          <t xml:space="preserve">Synthetic demo data</t>
        </is>
      </c>
      <c r="BE246" s="45">
        <f>IF(OR($A246="",$L246="",$H246=""),"",IF(AND(LEFT($L246,2)="06",$H246&gt;1945),"FAIL - pre-war class, year "&amp;$H246,IF(AND(LEFT($L246,2)="07",OR($H246&lt;1946,$H246&gt;1972)),"FAIL - 1946-72 class, year "&amp;$H246,IF(AND(LEFT($L246,2)="08",OR($H246&lt;1973,$H246&gt;1999)),"FAIL - 1973-99 class, year "&amp;$H246,IF(AND(LEFT($L246,2)="09",OR($H246&lt;2000,$H246&gt;2010)),"FAIL - 2000-10 class, year "&amp;$H246,"OK")))))</f>
      </c>
      <c r="BF246" s="45">
        <f>IF($AD246="","",IF(ROUND($AO246+$AP246+$AQ246-$AD246,2)=0,"OK","FAIL - out by "&amp;TEXT($AO246+$AP246+$AQ246-$AD246,"$0.00")))</f>
      </c>
    </row>
    <row r="247" spans="1:58" ht="18.75" customHeight="1" x14ac:dyDescent="0.25">
      <c r="A247" s="30" t="inlineStr">
        <is>
          <t xml:space="preserve">CANON-202606-008743</t>
        </is>
      </c>
      <c r="B247" s="30" t="inlineStr">
        <is>
          <t xml:space="preserve">Aurelio Montoya</t>
        </is>
      </c>
      <c r="C247" s="31">
        <v>46188</v>
      </c>
      <c r="D247" s="32" t="inlineStr">
        <is>
          <t xml:space="preserve">Bound - within authority</t>
        </is>
      </c>
      <c r="E247" s="32" t="inlineStr">
        <is>
          <t xml:space="preserve">New business</t>
        </is>
      </c>
      <c r="F247" s="30" t="inlineStr">
        <is>
          <t xml:space="preserve">B1234EXOTIC26</t>
        </is>
      </c>
      <c r="G247" s="33">
        <f>IF($A247="","",IF($C247="","",YEAR($C247)))</f>
      </c>
      <c r="H247" s="34">
        <v>1978</v>
      </c>
      <c r="I247" s="30" t="inlineStr">
        <is>
          <t xml:space="preserve">Ferrari</t>
        </is>
      </c>
      <c r="J247" s="30" t="inlineStr">
        <is>
          <t xml:space="preserve">SF90 Stradale</t>
        </is>
      </c>
      <c r="K247" s="30" t="inlineStr">
        <is>
          <t xml:space="preserve">GNWVMX2PXJ0RMBMH3</t>
        </is>
      </c>
      <c r="L247" s="32" t="inlineStr">
        <is>
          <t xml:space="preserve">03 - Supercar</t>
        </is>
      </c>
      <c r="M247" s="35">
        <v>420000</v>
      </c>
      <c r="N247" s="32" t="inlineStr">
        <is>
          <t xml:space="preserve">Personal</t>
        </is>
      </c>
      <c r="O247" s="30" t="inlineStr">
        <is>
          <t xml:space="preserve">Personal - regular use</t>
        </is>
      </c>
      <c r="P247" s="30" t="inlineStr">
        <is>
          <t xml:space="preserve">Under 1,000</t>
        </is>
      </c>
      <c r="Q247" s="30" t="inlineStr">
        <is>
          <t xml:space="preserve">California</t>
        </is>
      </c>
      <c r="R247" s="30" t="inlineStr">
        <is>
          <t xml:space="preserve">90012</t>
        </is>
      </c>
      <c r="S247" s="32" t="inlineStr">
        <is>
          <t xml:space="preserve">Earthquake - high (CA, Cascadia, New Madrid)</t>
        </is>
      </c>
      <c r="T247" s="36">
        <f>IF($A247="","",IF($S247="","",IFERROR(INDEX('[1]natural catastrophe'!$D$6:$D$17,MATCH($S247,'[1]natural catastrophe'!$B$6:$B$17,0)),"?")))</f>
      </c>
      <c r="U247" s="30" t="inlineStr">
        <is>
          <t xml:space="preserve">$5,000</t>
        </is>
      </c>
      <c r="V247" s="32" t="inlineStr">
        <is>
          <t xml:space="preserve">Agreed Value</t>
        </is>
      </c>
      <c r="W247" s="30" t="inlineStr">
        <is>
          <t xml:space="preserve">$1,000</t>
        </is>
      </c>
      <c r="X247" s="32" t="inlineStr">
        <is>
          <t xml:space="preserve">$1,000,000 CSL</t>
        </is>
      </c>
      <c r="Y247" s="30"/>
      <c r="Z247" s="30"/>
      <c r="AA247" s="32" t="inlineStr">
        <is>
          <t xml:space="preserve">Surplus Lines</t>
        </is>
      </c>
      <c r="AB247" s="35">
        <v>9409.2</v>
      </c>
      <c r="AC247" s="37">
        <v>0</v>
      </c>
      <c r="AD247" s="38">
        <f>IF(ISNUMBER($AB247),$AB247*(1+N($AC247)),"")</f>
      </c>
      <c r="AE247" s="35">
        <v>350</v>
      </c>
      <c r="AF247" s="35">
        <v>0</v>
      </c>
      <c r="AG247" s="37"/>
      <c r="AH247" s="39">
        <f>IF(ISNUMBER($AD247),($AD247+$AE247+$AF247)*$AG247,"")</f>
      </c>
      <c r="AI247" s="35"/>
      <c r="AJ247" s="38">
        <f>IF(ISNUMBER($AD247),SUM($AD247:$AH247),"")</f>
      </c>
      <c r="AK247" s="40">
        <f>IF(AND(ISNUMBER($AB247),ISNUMBER($AD247)),IF($AB247&gt;0,$AD247/$AB247,""),"")</f>
      </c>
      <c r="AL247" s="32" t="inlineStr">
        <is>
          <t xml:space="preserve">At technical</t>
        </is>
      </c>
      <c r="AM247" s="41">
        <f>IF(ISNUMBER($AD247),Header!$I$3,"")</f>
      </c>
      <c r="AN247" s="39">
        <f>IF(ISNUMBER($AD247),$AO247+$AP247,"")</f>
      </c>
      <c r="AO247" s="39">
        <f>IF(ISNUMBER($AD247),ROUND($AD247*Header!$K$3,2),"")</f>
      </c>
      <c r="AP247" s="39">
        <f>IF(ISNUMBER($AD247),ROUND($AD247*Header!$M$3,2),"")</f>
      </c>
      <c r="AQ247" s="38">
        <f>IF(ISNUMBER($AD247),ROUND($AD247,2)-$AO247-$AP247,"")</f>
      </c>
      <c r="AR247" s="39">
        <f>IF(ISNUMBER($AD247),IF(Header!$D$34="","?",$AD247*Header!$D$34),"")</f>
      </c>
      <c r="AS247" s="39">
        <f>IF(ISNUMBER($AB247),IF(Header!$D$34="","?",$AB247*Header!$D$34),"")</f>
      </c>
      <c r="AT247" s="42">
        <f>IF(AND(ISNUMBER($AB247),$M247&gt;0),$AB247/$M247*100,"")</f>
      </c>
      <c r="AU247" s="42">
        <f>IF(AND(ISNUMBER($AD247),$M247&gt;0),$AD247/$M247*100,"")</f>
      </c>
      <c r="AV247" s="40">
        <f>IF(AND(ISNUMBER($AB247),ISNUMBER($AD247),ABS($AB247)&gt;0),$AD247/$AB247,"")</f>
      </c>
      <c r="AW247" s="39">
        <f>IF(ISNUMBER($AD247),MAX(0,(1-0.55-Header!$O$3)*Header!$Q$3*$AQ247),"")</f>
      </c>
      <c r="AX247" s="43">
        <f>IF($A247="","",IF(TRIM(IF($A247="","Missing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",""))="","PASS","FAIL: "&amp;TRIM(IF($A247="","Missing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f>
      </c>
      <c r="AY247" s="44">
        <f>IF($M247="","",IF(ISNUMBER($M247),IF($M247&gt;=Header!$C$18,"YES — refer","No"),""))</f>
      </c>
      <c r="AZ247" s="44">
        <f>IF($AD247="","",IF(ISNUMBER($AD247),IF($AD247&lt;Header!$C$20,"BELOW MIN PREMIUM","OK"),""))</f>
      </c>
      <c r="BA247" s="32" t="inlineStr">
        <is>
          <t xml:space="preserve">Yes</t>
        </is>
      </c>
      <c r="BB247" s="32" t="inlineStr">
        <is>
          <t xml:space="preserve">Yes</t>
        </is>
      </c>
      <c r="BC247" s="30" t="inlineStr">
        <is>
          <t xml:space="preserve">Synthetic demo data</t>
        </is>
      </c>
      <c r="BE247" s="45">
        <f>IF(OR($A247="",$L247="",$H247=""),"",IF(AND(LEFT($L247,2)="06",$H247&gt;1945),"FAIL - pre-war class, year "&amp;$H247,IF(AND(LEFT($L247,2)="07",OR($H247&lt;1946,$H247&gt;1972)),"FAIL - 1946-72 class, year "&amp;$H247,IF(AND(LEFT($L247,2)="08",OR($H247&lt;1973,$H247&gt;1999)),"FAIL - 1973-99 class, year "&amp;$H247,IF(AND(LEFT($L247,2)="09",OR($H247&lt;2000,$H247&gt;2010)),"FAIL - 2000-10 class, year "&amp;$H247,"OK")))))</f>
      </c>
      <c r="BF247" s="45">
        <f>IF($AD247="","",IF(ROUND($AO247+$AP247+$AQ247-$AD247,2)=0,"OK","FAIL - out by "&amp;TEXT($AO247+$AP247+$AQ247-$AD247,"$0.00")))</f>
      </c>
    </row>
    <row r="248" spans="1:58" ht="18.75" customHeight="1" x14ac:dyDescent="0.25">
      <c r="A248" s="46" t="inlineStr">
        <is>
          <t xml:space="preserve">CANON-202606-008744</t>
        </is>
      </c>
      <c r="B248" s="46" t="inlineStr">
        <is>
          <t xml:space="preserve">Callum Underwood</t>
        </is>
      </c>
      <c r="C248" s="47">
        <v>46186</v>
      </c>
      <c r="D248" s="48" t="inlineStr">
        <is>
          <t xml:space="preserve">Bound - within authority</t>
        </is>
      </c>
      <c r="E248" s="48" t="inlineStr">
        <is>
          <t xml:space="preserve">New business</t>
        </is>
      </c>
      <c r="F248" s="46" t="inlineStr">
        <is>
          <t xml:space="preserve">B1234EXOTIC26</t>
        </is>
      </c>
      <c r="G248" s="33">
        <f>IF($A248="","",IF($C248="","",YEAR($C248)))</f>
      </c>
      <c r="H248" s="49">
        <v>1999</v>
      </c>
      <c r="I248" s="46" t="inlineStr">
        <is>
          <t xml:space="preserve">McLaren</t>
        </is>
      </c>
      <c r="J248" s="46" t="inlineStr">
        <is>
          <t xml:space="preserve">750S</t>
        </is>
      </c>
      <c r="K248" s="46" t="inlineStr">
        <is>
          <t xml:space="preserve">83DGVLR7S0DH975Z1</t>
        </is>
      </c>
      <c r="L248" s="48" t="inlineStr">
        <is>
          <t xml:space="preserve">03 - Supercar</t>
        </is>
      </c>
      <c r="M248" s="50">
        <v>495000</v>
      </c>
      <c r="N248" s="48" t="inlineStr">
        <is>
          <t xml:space="preserve">Personal</t>
        </is>
      </c>
      <c r="O248" s="46" t="inlineStr">
        <is>
          <t xml:space="preserve">Personal - regular use</t>
        </is>
      </c>
      <c r="P248" s="46" t="inlineStr">
        <is>
          <t xml:space="preserve">1,000 - 2,500</t>
        </is>
      </c>
      <c r="Q248" s="46" t="inlineStr">
        <is>
          <t xml:space="preserve">Rhode Island</t>
        </is>
      </c>
      <c r="R248" s="46" t="inlineStr">
        <is>
          <t xml:space="preserve">02903</t>
        </is>
      </c>
      <c r="S248" s="48" t="inlineStr">
        <is>
          <t xml:space="preserve">Tier 3 - Coastal wind (25-100 miles)</t>
        </is>
      </c>
      <c r="T248" s="36">
        <f>IF($A248="","",IF($S248="","",IFERROR(INDEX('[1]natural catastrophe'!$D$6:$D$17,MATCH($S248,'[1]natural catastrophe'!$B$6:$B$17,0)),"?")))</f>
      </c>
      <c r="U248" s="46" t="inlineStr">
        <is>
          <t xml:space="preserve">2% of agreed value, minimum $10,000</t>
        </is>
      </c>
      <c r="V248" s="48" t="inlineStr">
        <is>
          <t xml:space="preserve">Agreed Value</t>
        </is>
      </c>
      <c r="W248" s="46" t="inlineStr">
        <is>
          <t xml:space="preserve">$1,000</t>
        </is>
      </c>
      <c r="X248" s="48" t="inlineStr">
        <is>
          <t xml:space="preserve">$1,000,000 CSL</t>
        </is>
      </c>
      <c r="Y248" s="46"/>
      <c r="Z248" s="46"/>
      <c r="AA248" s="48" t="inlineStr">
        <is>
          <t xml:space="preserve">Surplus Lines</t>
        </is>
      </c>
      <c r="AB248" s="50">
        <v>11253.71</v>
      </c>
      <c r="AC248" s="51">
        <v>0</v>
      </c>
      <c r="AD248" s="38">
        <f>IF(ISNUMBER($AB248),$AB248*(1+N($AC248)),"")</f>
      </c>
      <c r="AE248" s="50">
        <v>350</v>
      </c>
      <c r="AF248" s="50">
        <v>0</v>
      </c>
      <c r="AG248" s="51"/>
      <c r="AH248" s="39">
        <f>IF(ISNUMBER($AD248),($AD248+$AE248+$AF248)*$AG248,"")</f>
      </c>
      <c r="AI248" s="50"/>
      <c r="AJ248" s="38">
        <f>IF(ISNUMBER($AD248),SUM($AD248:$AH248),"")</f>
      </c>
      <c r="AK248" s="40">
        <f>IF(AND(ISNUMBER($AB248),ISNUMBER($AD248)),IF($AB248&gt;0,$AD248/$AB248,""),"")</f>
      </c>
      <c r="AL248" s="48" t="inlineStr">
        <is>
          <t xml:space="preserve">At technical</t>
        </is>
      </c>
      <c r="AM248" s="41">
        <f>IF(ISNUMBER($AD248),Header!$I$3,"")</f>
      </c>
      <c r="AN248" s="39">
        <f>IF(ISNUMBER($AD248),$AO248+$AP248,"")</f>
      </c>
      <c r="AO248" s="39">
        <f>IF(ISNUMBER($AD248),ROUND($AD248*Header!$K$3,2),"")</f>
      </c>
      <c r="AP248" s="39">
        <f>IF(ISNUMBER($AD248),ROUND($AD248*Header!$M$3,2),"")</f>
      </c>
      <c r="AQ248" s="38">
        <f>IF(ISNUMBER($AD248),ROUND($AD248,2)-$AO248-$AP248,"")</f>
      </c>
      <c r="AR248" s="39">
        <f>IF(ISNUMBER($AD248),IF(Header!$D$34="","?",$AD248*Header!$D$34),"")</f>
      </c>
      <c r="AS248" s="39">
        <f>IF(ISNUMBER($AB248),IF(Header!$D$34="","?",$AB248*Header!$D$34),"")</f>
      </c>
      <c r="AT248" s="42">
        <f>IF(AND(ISNUMBER($AB248),$M248&gt;0),$AB248/$M248*100,"")</f>
      </c>
      <c r="AU248" s="42">
        <f>IF(AND(ISNUMBER($AD248),$M248&gt;0),$AD248/$M248*100,"")</f>
      </c>
      <c r="AV248" s="40">
        <f>IF(AND(ISNUMBER($AB248),ISNUMBER($AD248),ABS($AB248)&gt;0),$AD248/$AB248,"")</f>
      </c>
      <c r="AW248" s="39">
        <f>IF(ISNUMBER($AD248),MAX(0,(1-0.55-Header!$O$3)*Header!$Q$3*$AQ248),"")</f>
      </c>
      <c r="AX248" s="43">
        <f>IF($A248="","",IF(TRIM(IF($A248="","Missing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",""))="","PASS","FAIL: "&amp;TRIM(IF($A248="","Missing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f>
      </c>
      <c r="AY248" s="44">
        <f>IF($M248="","",IF(ISNUMBER($M248),IF($M248&gt;=Header!$C$18,"YES — refer","No"),""))</f>
      </c>
      <c r="AZ248" s="44">
        <f>IF($AD248="","",IF(ISNUMBER($AD248),IF($AD248&lt;Header!$C$20,"BELOW MIN PREMIUM","OK"),""))</f>
      </c>
      <c r="BA248" s="48" t="inlineStr">
        <is>
          <t xml:space="preserve">Yes</t>
        </is>
      </c>
      <c r="BB248" s="48" t="inlineStr">
        <is>
          <t xml:space="preserve">Yes</t>
        </is>
      </c>
      <c r="BC248" s="46" t="inlineStr">
        <is>
          <t xml:space="preserve">Synthetic demo data</t>
        </is>
      </c>
      <c r="BE248" s="45">
        <f>IF(OR($A248="",$L248="",$H248=""),"",IF(AND(LEFT($L248,2)="06",$H248&gt;1945),"FAIL - pre-war class, year "&amp;$H248,IF(AND(LEFT($L248,2)="07",OR($H248&lt;1946,$H248&gt;1972)),"FAIL - 1946-72 class, year "&amp;$H248,IF(AND(LEFT($L248,2)="08",OR($H248&lt;1973,$H248&gt;1999)),"FAIL - 1973-99 class, year "&amp;$H248,IF(AND(LEFT($L248,2)="09",OR($H248&lt;2000,$H248&gt;2010)),"FAIL - 2000-10 class, year "&amp;$H248,"OK")))))</f>
      </c>
      <c r="BF248" s="45">
        <f>IF($AD248="","",IF(ROUND($AO248+$AP248+$AQ248-$AD248,2)=0,"OK","FAIL - out by "&amp;TEXT($AO248+$AP248+$AQ248-$AD248,"$0.00")))</f>
      </c>
    </row>
    <row r="249" spans="1:58" ht="18.75" customHeight="1" x14ac:dyDescent="0.25">
      <c r="A249" s="30" t="inlineStr">
        <is>
          <t xml:space="preserve">CANON-202606-008745</t>
        </is>
      </c>
      <c r="B249" s="30" t="inlineStr">
        <is>
          <t xml:space="preserve">Mireille Farkas</t>
        </is>
      </c>
      <c r="C249" s="31">
        <v>46202</v>
      </c>
      <c r="D249" s="32" t="inlineStr">
        <is>
          <t xml:space="preserve">Bound - within authority</t>
        </is>
      </c>
      <c r="E249" s="32" t="inlineStr">
        <is>
          <t xml:space="preserve">New business</t>
        </is>
      </c>
      <c r="F249" s="30" t="inlineStr">
        <is>
          <t xml:space="preserve">B1234EXOTIC26</t>
        </is>
      </c>
      <c r="G249" s="33">
        <f>IF($A249="","",IF($C249="","",YEAR($C249)))</f>
      </c>
      <c r="H249" s="34">
        <v>1993</v>
      </c>
      <c r="I249" s="30" t="inlineStr">
        <is>
          <t xml:space="preserve">Ferrari</t>
        </is>
      </c>
      <c r="J249" s="30" t="inlineStr">
        <is>
          <t xml:space="preserve">275 GTB/4</t>
        </is>
      </c>
      <c r="K249" s="30" t="inlineStr">
        <is>
          <t xml:space="preserve">N8HMX3VL7PRKPJAGB</t>
        </is>
      </c>
      <c r="L249" s="32" t="inlineStr">
        <is>
          <t xml:space="preserve">08 - Modern Classic (1973-1999)</t>
        </is>
      </c>
      <c r="M249" s="35">
        <v>170000</v>
      </c>
      <c r="N249" s="32" t="inlineStr">
        <is>
          <t xml:space="preserve">Personal</t>
        </is>
      </c>
      <c r="O249" s="30" t="inlineStr">
        <is>
          <t xml:space="preserve">Personal - regular use</t>
        </is>
      </c>
      <c r="P249" s="30" t="inlineStr">
        <is>
          <t xml:space="preserve">2,500 - 5,000</t>
        </is>
      </c>
      <c r="Q249" s="30" t="inlineStr">
        <is>
          <t xml:space="preserve">New Mexico</t>
        </is>
      </c>
      <c r="R249" s="30" t="inlineStr">
        <is>
          <t xml:space="preserve">87501</t>
        </is>
      </c>
      <c r="S249" s="32" t="inlineStr">
        <is>
          <t xml:space="preserve">Wildfire - WUI high hazard</t>
        </is>
      </c>
      <c r="T249" s="36">
        <f>IF($A249="","",IF($S249="","",IFERROR(INDEX('[1]natural catastrophe'!$D$6:$D$17,MATCH($S249,'[1]natural catastrophe'!$B$6:$B$17,0)),"?")))</f>
      </c>
      <c r="U249" s="30" t="inlineStr">
        <is>
          <t xml:space="preserve">$5,000</t>
        </is>
      </c>
      <c r="V249" s="32" t="inlineStr">
        <is>
          <t xml:space="preserve">Agreed Value</t>
        </is>
      </c>
      <c r="W249" s="30" t="inlineStr">
        <is>
          <t xml:space="preserve">$1,000</t>
        </is>
      </c>
      <c r="X249" s="32" t="inlineStr">
        <is>
          <t xml:space="preserve">$1,000,000 CSL</t>
        </is>
      </c>
      <c r="Y249" s="30"/>
      <c r="Z249" s="30"/>
      <c r="AA249" s="32" t="inlineStr">
        <is>
          <t xml:space="preserve">Surplus Lines</t>
        </is>
      </c>
      <c r="AB249" s="35">
        <v>1789.81</v>
      </c>
      <c r="AC249" s="37">
        <v>0</v>
      </c>
      <c r="AD249" s="38">
        <f>IF(ISNUMBER($AB249),$AB249*(1+N($AC249)),"")</f>
      </c>
      <c r="AE249" s="35">
        <v>350</v>
      </c>
      <c r="AF249" s="35">
        <v>0</v>
      </c>
      <c r="AG249" s="37"/>
      <c r="AH249" s="39">
        <f>IF(ISNUMBER($AD249),($AD249+$AE249+$AF249)*$AG249,"")</f>
      </c>
      <c r="AI249" s="35"/>
      <c r="AJ249" s="38">
        <f>IF(ISNUMBER($AD249),SUM($AD249:$AH249),"")</f>
      </c>
      <c r="AK249" s="40">
        <f>IF(AND(ISNUMBER($AB249),ISNUMBER($AD249)),IF($AB249&gt;0,$AD249/$AB249,""),"")</f>
      </c>
      <c r="AL249" s="32" t="inlineStr">
        <is>
          <t xml:space="preserve">At technical</t>
        </is>
      </c>
      <c r="AM249" s="41">
        <f>IF(ISNUMBER($AD249),Header!$I$3,"")</f>
      </c>
      <c r="AN249" s="39">
        <f>IF(ISNUMBER($AD249),$AO249+$AP249,"")</f>
      </c>
      <c r="AO249" s="39">
        <f>IF(ISNUMBER($AD249),ROUND($AD249*Header!$K$3,2),"")</f>
      </c>
      <c r="AP249" s="39">
        <f>IF(ISNUMBER($AD249),ROUND($AD249*Header!$M$3,2),"")</f>
      </c>
      <c r="AQ249" s="38">
        <f>IF(ISNUMBER($AD249),ROUND($AD249,2)-$AO249-$AP249,"")</f>
      </c>
      <c r="AR249" s="39">
        <f>IF(ISNUMBER($AD249),IF(Header!$D$34="","?",$AD249*Header!$D$34),"")</f>
      </c>
      <c r="AS249" s="39">
        <f>IF(ISNUMBER($AB249),IF(Header!$D$34="","?",$AB249*Header!$D$34),"")</f>
      </c>
      <c r="AT249" s="42">
        <f>IF(AND(ISNUMBER($AB249),$M249&gt;0),$AB249/$M249*100,"")</f>
      </c>
      <c r="AU249" s="42">
        <f>IF(AND(ISNUMBER($AD249),$M249&gt;0),$AD249/$M249*100,"")</f>
      </c>
      <c r="AV249" s="40">
        <f>IF(AND(ISNUMBER($AB249),ISNUMBER($AD249),ABS($AB249)&gt;0),$AD249/$AB249,"")</f>
      </c>
      <c r="AW249" s="39">
        <f>IF(ISNUMBER($AD249),MAX(0,(1-0.55-Header!$O$3)*Header!$Q$3*$AQ249),"")</f>
      </c>
      <c r="AX249" s="43">
        <f>IF($A249="","",IF(TRIM(IF($A249="","Missing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",""))="","PASS","FAIL: "&amp;TRIM(IF($A249="","Missing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f>
      </c>
      <c r="AY249" s="44">
        <f>IF($M249="","",IF(ISNUMBER($M249),IF($M249&gt;=Header!$C$18,"YES — refer","No"),""))</f>
      </c>
      <c r="AZ249" s="44">
        <f>IF($AD249="","",IF(ISNUMBER($AD249),IF($AD249&lt;Header!$C$20,"BELOW MIN PREMIUM","OK"),""))</f>
      </c>
      <c r="BA249" s="32" t="inlineStr">
        <is>
          <t xml:space="preserve">Yes</t>
        </is>
      </c>
      <c r="BB249" s="32" t="inlineStr">
        <is>
          <t xml:space="preserve">Yes</t>
        </is>
      </c>
      <c r="BC249" s="30" t="inlineStr">
        <is>
          <t xml:space="preserve">Synthetic demo data</t>
        </is>
      </c>
      <c r="BE249" s="45">
        <f>IF(OR($A249="",$L249="",$H249=""),"",IF(AND(LEFT($L249,2)="06",$H249&gt;1945),"FAIL - pre-war class, year "&amp;$H249,IF(AND(LEFT($L249,2)="07",OR($H249&lt;1946,$H249&gt;1972)),"FAIL - 1946-72 class, year "&amp;$H249,IF(AND(LEFT($L249,2)="08",OR($H249&lt;1973,$H249&gt;1999)),"FAIL - 1973-99 class, year "&amp;$H249,IF(AND(LEFT($L249,2)="09",OR($H249&lt;2000,$H249&gt;2010)),"FAIL - 2000-10 class, year "&amp;$H249,"OK")))))</f>
      </c>
      <c r="BF249" s="45">
        <f>IF($AD249="","",IF(ROUND($AO249+$AP249+$AQ249-$AD249,2)=0,"OK","FAIL - out by "&amp;TEXT($AO249+$AP249+$AQ249-$AD249,"$0.00")))</f>
      </c>
    </row>
    <row r="250" spans="1:58" ht="18.75" customHeight="1" x14ac:dyDescent="0.25">
      <c r="A250" s="46" t="inlineStr">
        <is>
          <t xml:space="preserve">CANON-202606-008746</t>
        </is>
      </c>
      <c r="B250" s="46" t="inlineStr">
        <is>
          <t xml:space="preserve">Ottilie Rourke</t>
        </is>
      </c>
      <c r="C250" s="47">
        <v>46196</v>
      </c>
      <c r="D250" s="48" t="inlineStr">
        <is>
          <t xml:space="preserve">Bound - within authority</t>
        </is>
      </c>
      <c r="E250" s="48" t="inlineStr">
        <is>
          <t xml:space="preserve">New business</t>
        </is>
      </c>
      <c r="F250" s="46" t="inlineStr">
        <is>
          <t xml:space="preserve">B1234EXOTIC26</t>
        </is>
      </c>
      <c r="G250" s="33">
        <f>IF($A250="","",IF($C250="","",YEAR($C250)))</f>
      </c>
      <c r="H250" s="49">
        <v>2006</v>
      </c>
      <c r="I250" s="46" t="inlineStr">
        <is>
          <t xml:space="preserve">BMW</t>
        </is>
      </c>
      <c r="J250" s="46" t="inlineStr">
        <is>
          <t xml:space="preserve">M8 Competition</t>
        </is>
      </c>
      <c r="K250" s="46" t="inlineStr">
        <is>
          <t xml:space="preserve">ZFF51SCE0B72HFUMY</t>
        </is>
      </c>
      <c r="L250" s="48" t="inlineStr">
        <is>
          <t xml:space="preserve">02 - Sports / GT</t>
        </is>
      </c>
      <c r="M250" s="50">
        <v>585000</v>
      </c>
      <c r="N250" s="48" t="inlineStr">
        <is>
          <t xml:space="preserve">Personal</t>
        </is>
      </c>
      <c r="O250" s="46" t="inlineStr">
        <is>
          <t xml:space="preserve">Personal - regular use</t>
        </is>
      </c>
      <c r="P250" s="46" t="inlineStr">
        <is>
          <t xml:space="preserve">2,500 - 5,000</t>
        </is>
      </c>
      <c r="Q250" s="46" t="inlineStr">
        <is>
          <t xml:space="preserve">Texas</t>
        </is>
      </c>
      <c r="R250" s="46" t="inlineStr">
        <is>
          <t xml:space="preserve">75201</t>
        </is>
      </c>
      <c r="S250" s="48" t="inlineStr">
        <is>
          <t xml:space="preserve">Tier 2 - Coastal wind (1-25 miles)</t>
        </is>
      </c>
      <c r="T250" s="36">
        <f>IF($A250="","",IF($S250="","",IFERROR(INDEX('[1]natural catastrophe'!$D$6:$D$17,MATCH($S250,'[1]natural catastrophe'!$B$6:$B$17,0)),"?")))</f>
      </c>
      <c r="U250" s="46" t="inlineStr">
        <is>
          <t xml:space="preserve">2% of agreed value, minimum $10,000</t>
        </is>
      </c>
      <c r="V250" s="48" t="inlineStr">
        <is>
          <t xml:space="preserve">Agreed Value</t>
        </is>
      </c>
      <c r="W250" s="46" t="inlineStr">
        <is>
          <t xml:space="preserve">$1,000</t>
        </is>
      </c>
      <c r="X250" s="48" t="inlineStr">
        <is>
          <t xml:space="preserve">$1,000,000 CSL</t>
        </is>
      </c>
      <c r="Y250" s="46"/>
      <c r="Z250" s="46"/>
      <c r="AA250" s="48" t="inlineStr">
        <is>
          <t xml:space="preserve">Surplus Lines</t>
        </is>
      </c>
      <c r="AB250" s="50">
        <v>6310.14</v>
      </c>
      <c r="AC250" s="51">
        <v>0</v>
      </c>
      <c r="AD250" s="38">
        <f>IF(ISNUMBER($AB250),$AB250*(1+N($AC250)),"")</f>
      </c>
      <c r="AE250" s="50">
        <v>350</v>
      </c>
      <c r="AF250" s="50">
        <v>0</v>
      </c>
      <c r="AG250" s="51"/>
      <c r="AH250" s="39">
        <f>IF(ISNUMBER($AD250),($AD250+$AE250+$AF250)*$AG250,"")</f>
      </c>
      <c r="AI250" s="50"/>
      <c r="AJ250" s="38">
        <f>IF(ISNUMBER($AD250),SUM($AD250:$AH250),"")</f>
      </c>
      <c r="AK250" s="40">
        <f>IF(AND(ISNUMBER($AB250),ISNUMBER($AD250)),IF($AB250&gt;0,$AD250/$AB250,""),"")</f>
      </c>
      <c r="AL250" s="48" t="inlineStr">
        <is>
          <t xml:space="preserve">At technical</t>
        </is>
      </c>
      <c r="AM250" s="41">
        <f>IF(ISNUMBER($AD250),Header!$I$3,"")</f>
      </c>
      <c r="AN250" s="39">
        <f>IF(ISNUMBER($AD250),$AO250+$AP250,"")</f>
      </c>
      <c r="AO250" s="39">
        <f>IF(ISNUMBER($AD250),ROUND($AD250*Header!$K$3,2),"")</f>
      </c>
      <c r="AP250" s="39">
        <f>IF(ISNUMBER($AD250),ROUND($AD250*Header!$M$3,2),"")</f>
      </c>
      <c r="AQ250" s="38">
        <f>IF(ISNUMBER($AD250),ROUND($AD250,2)-$AO250-$AP250,"")</f>
      </c>
      <c r="AR250" s="39">
        <f>IF(ISNUMBER($AD250),IF(Header!$D$34="","?",$AD250*Header!$D$34),"")</f>
      </c>
      <c r="AS250" s="39">
        <f>IF(ISNUMBER($AB250),IF(Header!$D$34="","?",$AB250*Header!$D$34),"")</f>
      </c>
      <c r="AT250" s="42">
        <f>IF(AND(ISNUMBER($AB250),$M250&gt;0),$AB250/$M250*100,"")</f>
      </c>
      <c r="AU250" s="42">
        <f>IF(AND(ISNUMBER($AD250),$M250&gt;0),$AD250/$M250*100,"")</f>
      </c>
      <c r="AV250" s="40">
        <f>IF(AND(ISNUMBER($AB250),ISNUMBER($AD250),ABS($AB250)&gt;0),$AD250/$AB250,"")</f>
      </c>
      <c r="AW250" s="39">
        <f>IF(ISNUMBER($AD250),MAX(0,(1-0.55-Header!$O$3)*Header!$Q$3*$AQ250),"")</f>
      </c>
      <c r="AX250" s="43">
        <f>IF($A250="","",IF(TRIM(IF($A250="","Missing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",""))="","PASS","FAIL: "&amp;TRIM(IF($A250="","Missing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f>
      </c>
      <c r="AY250" s="44">
        <f>IF($M250="","",IF(ISNUMBER($M250),IF($M250&gt;=Header!$C$18,"YES — refer","No"),""))</f>
      </c>
      <c r="AZ250" s="44">
        <f>IF($AD250="","",IF(ISNUMBER($AD250),IF($AD250&lt;Header!$C$20,"BELOW MIN PREMIUM","OK"),""))</f>
      </c>
      <c r="BA250" s="48" t="inlineStr">
        <is>
          <t xml:space="preserve">Yes</t>
        </is>
      </c>
      <c r="BB250" s="48" t="inlineStr">
        <is>
          <t xml:space="preserve">Yes</t>
        </is>
      </c>
      <c r="BC250" s="46" t="inlineStr">
        <is>
          <t xml:space="preserve">Synthetic demo data</t>
        </is>
      </c>
      <c r="BE250" s="45">
        <f>IF(OR($A250="",$L250="",$H250=""),"",IF(AND(LEFT($L250,2)="06",$H250&gt;1945),"FAIL - pre-war class, year "&amp;$H250,IF(AND(LEFT($L250,2)="07",OR($H250&lt;1946,$H250&gt;1972)),"FAIL - 1946-72 class, year "&amp;$H250,IF(AND(LEFT($L250,2)="08",OR($H250&lt;1973,$H250&gt;1999)),"FAIL - 1973-99 class, year "&amp;$H250,IF(AND(LEFT($L250,2)="09",OR($H250&lt;2000,$H250&gt;2010)),"FAIL - 2000-10 class, year "&amp;$H250,"OK")))))</f>
      </c>
      <c r="BF250" s="45">
        <f>IF($AD250="","",IF(ROUND($AO250+$AP250+$AQ250-$AD250,2)=0,"OK","FAIL - out by "&amp;TEXT($AO250+$AP250+$AQ250-$AD250,"$0.00")))</f>
      </c>
    </row>
    <row r="251" spans="1:58" ht="18.75" customHeight="1" x14ac:dyDescent="0.25">
      <c r="A251" s="30" t="inlineStr">
        <is>
          <t xml:space="preserve">CANON-202606-008747</t>
        </is>
      </c>
      <c r="B251" s="30" t="inlineStr">
        <is>
          <t xml:space="preserve">Anouk Farkas</t>
        </is>
      </c>
      <c r="C251" s="31">
        <v>46201</v>
      </c>
      <c r="D251" s="32" t="inlineStr">
        <is>
          <t xml:space="preserve">Bound - within authority</t>
        </is>
      </c>
      <c r="E251" s="32" t="inlineStr">
        <is>
          <t xml:space="preserve">New business</t>
        </is>
      </c>
      <c r="F251" s="30" t="inlineStr">
        <is>
          <t xml:space="preserve">B1234EXOTIC26</t>
        </is>
      </c>
      <c r="G251" s="33">
        <f>IF($A251="","",IF($C251="","",YEAR($C251)))</f>
      </c>
      <c r="H251" s="34">
        <v>2007</v>
      </c>
      <c r="I251" s="30" t="inlineStr">
        <is>
          <t xml:space="preserve">Aston Martin</t>
        </is>
      </c>
      <c r="J251" s="30" t="inlineStr">
        <is>
          <t xml:space="preserve">DB12</t>
        </is>
      </c>
      <c r="K251" s="30" t="inlineStr">
        <is>
          <t xml:space="preserve">K4X8XSXG14RZBYZUW</t>
        </is>
      </c>
      <c r="L251" s="32" t="inlineStr">
        <is>
          <t xml:space="preserve">02 - Sports / GT</t>
        </is>
      </c>
      <c r="M251" s="35">
        <v>1195000</v>
      </c>
      <c r="N251" s="32" t="inlineStr">
        <is>
          <t xml:space="preserve">Personal</t>
        </is>
      </c>
      <c r="O251" s="30" t="inlineStr">
        <is>
          <t xml:space="preserve">Personal - regular use</t>
        </is>
      </c>
      <c r="P251" s="30" t="inlineStr">
        <is>
          <t xml:space="preserve">Under 1,000</t>
        </is>
      </c>
      <c r="Q251" s="30" t="inlineStr">
        <is>
          <t xml:space="preserve">Idaho</t>
        </is>
      </c>
      <c r="R251" s="30" t="inlineStr">
        <is>
          <t xml:space="preserve">83702</t>
        </is>
      </c>
      <c r="S251" s="32" t="inlineStr">
        <is>
          <t xml:space="preserve">Wildfire - WUI high hazard</t>
        </is>
      </c>
      <c r="T251" s="36">
        <f>IF($A251="","",IF($S251="","",IFERROR(INDEX('[1]natural catastrophe'!$D$6:$D$17,MATCH($S251,'[1]natural catastrophe'!$B$6:$B$17,0)),"?")))</f>
      </c>
      <c r="U251" s="30" t="inlineStr">
        <is>
          <t xml:space="preserve">$5,000</t>
        </is>
      </c>
      <c r="V251" s="32" t="inlineStr">
        <is>
          <t xml:space="preserve">Agreed Value</t>
        </is>
      </c>
      <c r="W251" s="30" t="inlineStr">
        <is>
          <t xml:space="preserve">$1,000</t>
        </is>
      </c>
      <c r="X251" s="32" t="inlineStr">
        <is>
          <t xml:space="preserve">$1,000,000 CSL</t>
        </is>
      </c>
      <c r="Y251" s="30"/>
      <c r="Z251" s="30"/>
      <c r="AA251" s="32" t="inlineStr">
        <is>
          <t xml:space="preserve">Surplus Lines</t>
        </is>
      </c>
      <c r="AB251" s="35">
        <v>9389.4</v>
      </c>
      <c r="AC251" s="37">
        <v>0</v>
      </c>
      <c r="AD251" s="38">
        <f>IF(ISNUMBER($AB251),$AB251*(1+N($AC251)),"")</f>
      </c>
      <c r="AE251" s="35">
        <v>350</v>
      </c>
      <c r="AF251" s="35">
        <v>250</v>
      </c>
      <c r="AG251" s="37"/>
      <c r="AH251" s="39">
        <f>IF(ISNUMBER($AD251),($AD251+$AE251+$AF251)*$AG251,"")</f>
      </c>
      <c r="AI251" s="35"/>
      <c r="AJ251" s="38">
        <f>IF(ISNUMBER($AD251),SUM($AD251:$AH251),"")</f>
      </c>
      <c r="AK251" s="40">
        <f>IF(AND(ISNUMBER($AB251),ISNUMBER($AD251)),IF($AB251&gt;0,$AD251/$AB251,""),"")</f>
      </c>
      <c r="AL251" s="32" t="inlineStr">
        <is>
          <t xml:space="preserve">At technical</t>
        </is>
      </c>
      <c r="AM251" s="41">
        <f>IF(ISNUMBER($AD251),Header!$I$3,"")</f>
      </c>
      <c r="AN251" s="39">
        <f>IF(ISNUMBER($AD251),$AO251+$AP251,"")</f>
      </c>
      <c r="AO251" s="39">
        <f>IF(ISNUMBER($AD251),ROUND($AD251*Header!$K$3,2),"")</f>
      </c>
      <c r="AP251" s="39">
        <f>IF(ISNUMBER($AD251),ROUND($AD251*Header!$M$3,2),"")</f>
      </c>
      <c r="AQ251" s="38">
        <f>IF(ISNUMBER($AD251),ROUND($AD251,2)-$AO251-$AP251,"")</f>
      </c>
      <c r="AR251" s="39">
        <f>IF(ISNUMBER($AD251),IF(Header!$D$34="","?",$AD251*Header!$D$34),"")</f>
      </c>
      <c r="AS251" s="39">
        <f>IF(ISNUMBER($AB251),IF(Header!$D$34="","?",$AB251*Header!$D$34),"")</f>
      </c>
      <c r="AT251" s="42">
        <f>IF(AND(ISNUMBER($AB251),$M251&gt;0),$AB251/$M251*100,"")</f>
      </c>
      <c r="AU251" s="42">
        <f>IF(AND(ISNUMBER($AD251),$M251&gt;0),$AD251/$M251*100,"")</f>
      </c>
      <c r="AV251" s="40">
        <f>IF(AND(ISNUMBER($AB251),ISNUMBER($AD251),ABS($AB251)&gt;0),$AD251/$AB251,"")</f>
      </c>
      <c r="AW251" s="39">
        <f>IF(ISNUMBER($AD251),MAX(0,(1-0.55-Header!$O$3)*Header!$Q$3*$AQ251),"")</f>
      </c>
      <c r="AX251" s="43">
        <f>IF($A251="","",IF(TRIM(IF($A251="","Missing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",""))="","PASS","FAIL: "&amp;TRIM(IF($A251="","Missing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f>
      </c>
      <c r="AY251" s="44">
        <f>IF($M251="","",IF(ISNUMBER($M251),IF($M251&gt;=Header!$C$18,"YES — refer","No"),""))</f>
      </c>
      <c r="AZ251" s="44">
        <f>IF($AD251="","",IF(ISNUMBER($AD251),IF($AD251&lt;Header!$C$20,"BELOW MIN PREMIUM","OK"),""))</f>
      </c>
      <c r="BA251" s="32" t="inlineStr">
        <is>
          <t xml:space="preserve">Yes</t>
        </is>
      </c>
      <c r="BB251" s="32" t="inlineStr">
        <is>
          <t xml:space="preserve">Yes</t>
        </is>
      </c>
      <c r="BC251" s="30" t="inlineStr">
        <is>
          <t xml:space="preserve">Synthetic demo data</t>
        </is>
      </c>
      <c r="BE251" s="45">
        <f>IF(OR($A251="",$L251="",$H251=""),"",IF(AND(LEFT($L251,2)="06",$H251&gt;1945),"FAIL - pre-war class, year "&amp;$H251,IF(AND(LEFT($L251,2)="07",OR($H251&lt;1946,$H251&gt;1972)),"FAIL - 1946-72 class, year "&amp;$H251,IF(AND(LEFT($L251,2)="08",OR($H251&lt;1973,$H251&gt;1999)),"FAIL - 1973-99 class, year "&amp;$H251,IF(AND(LEFT($L251,2)="09",OR($H251&lt;2000,$H251&gt;2010)),"FAIL - 2000-10 class, year "&amp;$H251,"OK")))))</f>
      </c>
      <c r="BF251" s="45">
        <f>IF($AD251="","",IF(ROUND($AO251+$AP251+$AQ251-$AD251,2)=0,"OK","FAIL - out by "&amp;TEXT($AO251+$AP251+$AQ251-$AD251,"$0.00")))</f>
      </c>
    </row>
    <row r="252" spans="1:58" ht="18.75" customHeight="1" x14ac:dyDescent="0.25">
      <c r="A252" s="46" t="inlineStr">
        <is>
          <t xml:space="preserve">CANON-202606-008748</t>
        </is>
      </c>
      <c r="B252" s="46" t="inlineStr">
        <is>
          <t xml:space="preserve">Sunniva Castellanos</t>
        </is>
      </c>
      <c r="C252" s="47">
        <v>46184</v>
      </c>
      <c r="D252" s="48" t="inlineStr">
        <is>
          <t xml:space="preserve">Bound - within authority</t>
        </is>
      </c>
      <c r="E252" s="48" t="inlineStr">
        <is>
          <t xml:space="preserve">New business</t>
        </is>
      </c>
      <c r="F252" s="46" t="inlineStr">
        <is>
          <t xml:space="preserve">B1234EXOTIC26</t>
        </is>
      </c>
      <c r="G252" s="33">
        <f>IF($A252="","",IF($C252="","",YEAR($C252)))</f>
      </c>
      <c r="H252" s="49">
        <v>2016</v>
      </c>
      <c r="I252" s="46" t="inlineStr">
        <is>
          <t xml:space="preserve">Mercedes-Benz</t>
        </is>
      </c>
      <c r="J252" s="46" t="inlineStr">
        <is>
          <t xml:space="preserve">AMG GT</t>
        </is>
      </c>
      <c r="K252" s="46" t="inlineStr">
        <is>
          <t xml:space="preserve">UG69K5D7B96PE76EH</t>
        </is>
      </c>
      <c r="L252" s="48" t="inlineStr">
        <is>
          <t xml:space="preserve">02 - Sports / GT</t>
        </is>
      </c>
      <c r="M252" s="50">
        <v>410000</v>
      </c>
      <c r="N252" s="48" t="inlineStr">
        <is>
          <t xml:space="preserve">Personal</t>
        </is>
      </c>
      <c r="O252" s="46" t="inlineStr">
        <is>
          <t xml:space="preserve">Personal - regular use</t>
        </is>
      </c>
      <c r="P252" s="46" t="inlineStr">
        <is>
          <t xml:space="preserve">Under 1,000</t>
        </is>
      </c>
      <c r="Q252" s="46" t="inlineStr">
        <is>
          <t xml:space="preserve">Idaho</t>
        </is>
      </c>
      <c r="R252" s="46" t="inlineStr">
        <is>
          <t xml:space="preserve">83702</t>
        </is>
      </c>
      <c r="S252" s="48" t="inlineStr">
        <is>
          <t xml:space="preserve">Wildfire - WUI high hazard</t>
        </is>
      </c>
      <c r="T252" s="36">
        <f>IF($A252="","",IF($S252="","",IFERROR(INDEX('[1]natural catastrophe'!$D$6:$D$17,MATCH($S252,'[1]natural catastrophe'!$B$6:$B$17,0)),"?")))</f>
      </c>
      <c r="U252" s="46" t="inlineStr">
        <is>
          <t xml:space="preserve">$5,000</t>
        </is>
      </c>
      <c r="V252" s="48" t="inlineStr">
        <is>
          <t xml:space="preserve">Agreed Value</t>
        </is>
      </c>
      <c r="W252" s="46" t="inlineStr">
        <is>
          <t xml:space="preserve">$1,000</t>
        </is>
      </c>
      <c r="X252" s="48" t="inlineStr">
        <is>
          <t xml:space="preserve">$1,000,000 CSL</t>
        </is>
      </c>
      <c r="Y252" s="46"/>
      <c r="Z252" s="46"/>
      <c r="AA252" s="48" t="inlineStr">
        <is>
          <t xml:space="preserve">Surplus Lines</t>
        </is>
      </c>
      <c r="AB252" s="50">
        <v>4392.91</v>
      </c>
      <c r="AC252" s="51">
        <v>0</v>
      </c>
      <c r="AD252" s="38">
        <f>IF(ISNUMBER($AB252),$AB252*(1+N($AC252)),"")</f>
      </c>
      <c r="AE252" s="50">
        <v>350</v>
      </c>
      <c r="AF252" s="50">
        <v>0</v>
      </c>
      <c r="AG252" s="51"/>
      <c r="AH252" s="39">
        <f>IF(ISNUMBER($AD252),($AD252+$AE252+$AF252)*$AG252,"")</f>
      </c>
      <c r="AI252" s="50"/>
      <c r="AJ252" s="38">
        <f>IF(ISNUMBER($AD252),SUM($AD252:$AH252),"")</f>
      </c>
      <c r="AK252" s="40">
        <f>IF(AND(ISNUMBER($AB252),ISNUMBER($AD252)),IF($AB252&gt;0,$AD252/$AB252,""),"")</f>
      </c>
      <c r="AL252" s="48" t="inlineStr">
        <is>
          <t xml:space="preserve">At technical</t>
        </is>
      </c>
      <c r="AM252" s="41">
        <f>IF(ISNUMBER($AD252),Header!$I$3,"")</f>
      </c>
      <c r="AN252" s="39">
        <f>IF(ISNUMBER($AD252),$AO252+$AP252,"")</f>
      </c>
      <c r="AO252" s="39">
        <f>IF(ISNUMBER($AD252),ROUND($AD252*Header!$K$3,2),"")</f>
      </c>
      <c r="AP252" s="39">
        <f>IF(ISNUMBER($AD252),ROUND($AD252*Header!$M$3,2),"")</f>
      </c>
      <c r="AQ252" s="38">
        <f>IF(ISNUMBER($AD252),ROUND($AD252,2)-$AO252-$AP252,"")</f>
      </c>
      <c r="AR252" s="39">
        <f>IF(ISNUMBER($AD252),IF(Header!$D$34="","?",$AD252*Header!$D$34),"")</f>
      </c>
      <c r="AS252" s="39">
        <f>IF(ISNUMBER($AB252),IF(Header!$D$34="","?",$AB252*Header!$D$34),"")</f>
      </c>
      <c r="AT252" s="42">
        <f>IF(AND(ISNUMBER($AB252),$M252&gt;0),$AB252/$M252*100,"")</f>
      </c>
      <c r="AU252" s="42">
        <f>IF(AND(ISNUMBER($AD252),$M252&gt;0),$AD252/$M252*100,"")</f>
      </c>
      <c r="AV252" s="40">
        <f>IF(AND(ISNUMBER($AB252),ISNUMBER($AD252),ABS($AB252)&gt;0),$AD252/$AB252,"")</f>
      </c>
      <c r="AW252" s="39">
        <f>IF(ISNUMBER($AD252),MAX(0,(1-0.55-Header!$O$3)*Header!$Q$3*$AQ252),"")</f>
      </c>
      <c r="AX252" s="43">
        <f>IF($A252="","",IF(TRIM(IF($A252="","Missing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",""))="","PASS","FAIL: "&amp;TRIM(IF($A252="","Missing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f>
      </c>
      <c r="AY252" s="44">
        <f>IF($M252="","",IF(ISNUMBER($M252),IF($M252&gt;=Header!$C$18,"YES — refer","No"),""))</f>
      </c>
      <c r="AZ252" s="44">
        <f>IF($AD252="","",IF(ISNUMBER($AD252),IF($AD252&lt;Header!$C$20,"BELOW MIN PREMIUM","OK"),""))</f>
      </c>
      <c r="BA252" s="48" t="inlineStr">
        <is>
          <t xml:space="preserve">Yes</t>
        </is>
      </c>
      <c r="BB252" s="48" t="inlineStr">
        <is>
          <t xml:space="preserve">Yes</t>
        </is>
      </c>
      <c r="BC252" s="46" t="inlineStr">
        <is>
          <t xml:space="preserve">Synthetic demo data</t>
        </is>
      </c>
      <c r="BE252" s="45">
        <f>IF(OR($A252="",$L252="",$H252=""),"",IF(AND(LEFT($L252,2)="06",$H252&gt;1945),"FAIL - pre-war class, year "&amp;$H252,IF(AND(LEFT($L252,2)="07",OR($H252&lt;1946,$H252&gt;1972)),"FAIL - 1946-72 class, year "&amp;$H252,IF(AND(LEFT($L252,2)="08",OR($H252&lt;1973,$H252&gt;1999)),"FAIL - 1973-99 class, year "&amp;$H252,IF(AND(LEFT($L252,2)="09",OR($H252&lt;2000,$H252&gt;2010)),"FAIL - 2000-10 class, year "&amp;$H252,"OK")))))</f>
      </c>
      <c r="BF252" s="45">
        <f>IF($AD252="","",IF(ROUND($AO252+$AP252+$AQ252-$AD252,2)=0,"OK","FAIL - out by "&amp;TEXT($AO252+$AP252+$AQ252-$AD252,"$0.00")))</f>
      </c>
    </row>
    <row r="253" spans="1:58" ht="18.75" customHeight="1" x14ac:dyDescent="0.25">
      <c r="A253" s="30" t="inlineStr">
        <is>
          <t xml:space="preserve">CANON-202606-008749</t>
        </is>
      </c>
      <c r="B253" s="30" t="inlineStr">
        <is>
          <t xml:space="preserve">Emiliano Larsson</t>
        </is>
      </c>
      <c r="C253" s="31">
        <v>46187</v>
      </c>
      <c r="D253" s="32" t="inlineStr">
        <is>
          <t xml:space="preserve">Bound - within authority</t>
        </is>
      </c>
      <c r="E253" s="32" t="inlineStr">
        <is>
          <t xml:space="preserve">New business</t>
        </is>
      </c>
      <c r="F253" s="30" t="inlineStr">
        <is>
          <t xml:space="preserve">B1234EXOTIC26</t>
        </is>
      </c>
      <c r="G253" s="33">
        <f>IF($A253="","",IF($C253="","",YEAR($C253)))</f>
      </c>
      <c r="H253" s="34">
        <v>1987</v>
      </c>
      <c r="I253" s="30" t="inlineStr">
        <is>
          <t xml:space="preserve">Mercedes-Benz</t>
        </is>
      </c>
      <c r="J253" s="30" t="inlineStr">
        <is>
          <t xml:space="preserve">AMG GT</t>
        </is>
      </c>
      <c r="K253" s="30" t="inlineStr">
        <is>
          <t xml:space="preserve">YPLEGV68RU55NT6X7</t>
        </is>
      </c>
      <c r="L253" s="32" t="inlineStr">
        <is>
          <t xml:space="preserve">02 - Sports / GT</t>
        </is>
      </c>
      <c r="M253" s="35">
        <v>275000</v>
      </c>
      <c r="N253" s="32" t="inlineStr">
        <is>
          <t xml:space="preserve">Personal</t>
        </is>
      </c>
      <c r="O253" s="30" t="inlineStr">
        <is>
          <t xml:space="preserve">Personal - regular use</t>
        </is>
      </c>
      <c r="P253" s="30" t="inlineStr">
        <is>
          <t xml:space="preserve">Under 1,000</t>
        </is>
      </c>
      <c r="Q253" s="30" t="inlineStr">
        <is>
          <t xml:space="preserve">Connecticut</t>
        </is>
      </c>
      <c r="R253" s="30" t="inlineStr">
        <is>
          <t xml:space="preserve">06103</t>
        </is>
      </c>
      <c r="S253" s="32" t="inlineStr">
        <is>
          <t xml:space="preserve">Tier 3 - Coastal wind (25-100 miles)</t>
        </is>
      </c>
      <c r="T253" s="36">
        <f>IF($A253="","",IF($S253="","",IFERROR(INDEX('[1]natural catastrophe'!$D$6:$D$17,MATCH($S253,'[1]natural catastrophe'!$B$6:$B$17,0)),"?")))</f>
      </c>
      <c r="U253" s="30" t="inlineStr">
        <is>
          <t xml:space="preserve">2% of agreed value, minimum $10,000</t>
        </is>
      </c>
      <c r="V253" s="32" t="inlineStr">
        <is>
          <t xml:space="preserve">Agreed Value</t>
        </is>
      </c>
      <c r="W253" s="30" t="inlineStr">
        <is>
          <t xml:space="preserve">$1,000</t>
        </is>
      </c>
      <c r="X253" s="32" t="inlineStr">
        <is>
          <t xml:space="preserve">$1,000,000 CSL</t>
        </is>
      </c>
      <c r="Y253" s="30"/>
      <c r="Z253" s="30"/>
      <c r="AA253" s="32" t="inlineStr">
        <is>
          <t xml:space="preserve">Surplus Lines</t>
        </is>
      </c>
      <c r="AB253" s="35">
        <v>3333.37</v>
      </c>
      <c r="AC253" s="37">
        <v>0</v>
      </c>
      <c r="AD253" s="38">
        <f>IF(ISNUMBER($AB253),$AB253*(1+N($AC253)),"")</f>
      </c>
      <c r="AE253" s="35">
        <v>350</v>
      </c>
      <c r="AF253" s="35">
        <v>0</v>
      </c>
      <c r="AG253" s="37"/>
      <c r="AH253" s="39">
        <f>IF(ISNUMBER($AD253),($AD253+$AE253+$AF253)*$AG253,"")</f>
      </c>
      <c r="AI253" s="35"/>
      <c r="AJ253" s="38">
        <f>IF(ISNUMBER($AD253),SUM($AD253:$AH253),"")</f>
      </c>
      <c r="AK253" s="40">
        <f>IF(AND(ISNUMBER($AB253),ISNUMBER($AD253)),IF($AB253&gt;0,$AD253/$AB253,""),"")</f>
      </c>
      <c r="AL253" s="32" t="inlineStr">
        <is>
          <t xml:space="preserve">At technical</t>
        </is>
      </c>
      <c r="AM253" s="41">
        <f>IF(ISNUMBER($AD253),Header!$I$3,"")</f>
      </c>
      <c r="AN253" s="39">
        <f>IF(ISNUMBER($AD253),$AO253+$AP253,"")</f>
      </c>
      <c r="AO253" s="39">
        <f>IF(ISNUMBER($AD253),ROUND($AD253*Header!$K$3,2),"")</f>
      </c>
      <c r="AP253" s="39">
        <f>IF(ISNUMBER($AD253),ROUND($AD253*Header!$M$3,2),"")</f>
      </c>
      <c r="AQ253" s="38">
        <f>IF(ISNUMBER($AD253),ROUND($AD253,2)-$AO253-$AP253,"")</f>
      </c>
      <c r="AR253" s="39">
        <f>IF(ISNUMBER($AD253),IF(Header!$D$34="","?",$AD253*Header!$D$34),"")</f>
      </c>
      <c r="AS253" s="39">
        <f>IF(ISNUMBER($AB253),IF(Header!$D$34="","?",$AB253*Header!$D$34),"")</f>
      </c>
      <c r="AT253" s="42">
        <f>IF(AND(ISNUMBER($AB253),$M253&gt;0),$AB253/$M253*100,"")</f>
      </c>
      <c r="AU253" s="42">
        <f>IF(AND(ISNUMBER($AD253),$M253&gt;0),$AD253/$M253*100,"")</f>
      </c>
      <c r="AV253" s="40">
        <f>IF(AND(ISNUMBER($AB253),ISNUMBER($AD253),ABS($AB253)&gt;0),$AD253/$AB253,"")</f>
      </c>
      <c r="AW253" s="39">
        <f>IF(ISNUMBER($AD253),MAX(0,(1-0.55-Header!$O$3)*Header!$Q$3*$AQ253),"")</f>
      </c>
      <c r="AX253" s="43">
        <f>IF($A253="","",IF(TRIM(IF($A253="","Missing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",""))="","PASS","FAIL: "&amp;TRIM(IF($A253="","Missing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f>
      </c>
      <c r="AY253" s="44">
        <f>IF($M253="","",IF(ISNUMBER($M253),IF($M253&gt;=Header!$C$18,"YES — refer","No"),""))</f>
      </c>
      <c r="AZ253" s="44">
        <f>IF($AD253="","",IF(ISNUMBER($AD253),IF($AD253&lt;Header!$C$20,"BELOW MIN PREMIUM","OK"),""))</f>
      </c>
      <c r="BA253" s="32" t="inlineStr">
        <is>
          <t xml:space="preserve">Yes</t>
        </is>
      </c>
      <c r="BB253" s="32" t="inlineStr">
        <is>
          <t xml:space="preserve">Yes</t>
        </is>
      </c>
      <c r="BC253" s="30" t="inlineStr">
        <is>
          <t xml:space="preserve">Synthetic demo data</t>
        </is>
      </c>
      <c r="BE253" s="45">
        <f>IF(OR($A253="",$L253="",$H253=""),"",IF(AND(LEFT($L253,2)="06",$H253&gt;1945),"FAIL - pre-war class, year "&amp;$H253,IF(AND(LEFT($L253,2)="07",OR($H253&lt;1946,$H253&gt;1972)),"FAIL - 1946-72 class, year "&amp;$H253,IF(AND(LEFT($L253,2)="08",OR($H253&lt;1973,$H253&gt;1999)),"FAIL - 1973-99 class, year "&amp;$H253,IF(AND(LEFT($L253,2)="09",OR($H253&lt;2000,$H253&gt;2010)),"FAIL - 2000-10 class, year "&amp;$H253,"OK")))))</f>
      </c>
      <c r="BF253" s="45">
        <f>IF($AD253="","",IF(ROUND($AO253+$AP253+$AQ253-$AD253,2)=0,"OK","FAIL - out by "&amp;TEXT($AO253+$AP253+$AQ253-$AD253,"$0.00")))</f>
      </c>
    </row>
    <row r="254" spans="1:58" ht="18.75" customHeight="1" x14ac:dyDescent="0.25">
      <c r="A254" s="46" t="inlineStr">
        <is>
          <t xml:space="preserve">CANON-202606-008750</t>
        </is>
      </c>
      <c r="B254" s="46" t="inlineStr">
        <is>
          <t xml:space="preserve">Emiliano Montoya</t>
        </is>
      </c>
      <c r="C254" s="47">
        <v>46176</v>
      </c>
      <c r="D254" s="48" t="inlineStr">
        <is>
          <t xml:space="preserve">Bound - within authority</t>
        </is>
      </c>
      <c r="E254" s="48" t="inlineStr">
        <is>
          <t xml:space="preserve">New business</t>
        </is>
      </c>
      <c r="F254" s="46" t="inlineStr">
        <is>
          <t xml:space="preserve">B1234EXOTIC26</t>
        </is>
      </c>
      <c r="G254" s="33">
        <f>IF($A254="","",IF($C254="","",YEAR($C254)))</f>
      </c>
      <c r="H254" s="49">
        <v>1965</v>
      </c>
      <c r="I254" s="46" t="inlineStr">
        <is>
          <t xml:space="preserve">Aston Martin</t>
        </is>
      </c>
      <c r="J254" s="46" t="inlineStr">
        <is>
          <t xml:space="preserve">DB5</t>
        </is>
      </c>
      <c r="K254" s="46" t="inlineStr">
        <is>
          <t xml:space="preserve">Z84HNXN26N3Y3ZSK5</t>
        </is>
      </c>
      <c r="L254" s="48" t="inlineStr">
        <is>
          <t xml:space="preserve">07 - Post-War Classic (1946-1972)</t>
        </is>
      </c>
      <c r="M254" s="50">
        <v>1565000</v>
      </c>
      <c r="N254" s="48" t="inlineStr">
        <is>
          <t xml:space="preserve">Personal</t>
        </is>
      </c>
      <c r="O254" s="46" t="inlineStr">
        <is>
          <t xml:space="preserve">Personal - regular use</t>
        </is>
      </c>
      <c r="P254" s="46" t="inlineStr">
        <is>
          <t xml:space="preserve">1,000 - 2,500</t>
        </is>
      </c>
      <c r="Q254" s="46" t="inlineStr">
        <is>
          <t xml:space="preserve">Indiana</t>
        </is>
      </c>
      <c r="R254" s="46" t="inlineStr">
        <is>
          <t xml:space="preserve">46204</t>
        </is>
      </c>
      <c r="S254" s="48" t="inlineStr">
        <is>
          <t xml:space="preserve">Severe convective - hail / tornado (moderate)</t>
        </is>
      </c>
      <c r="T254" s="36">
        <f>IF($A254="","",IF($S254="","",IFERROR(INDEX('[1]natural catastrophe'!$D$6:$D$17,MATCH($S254,'[1]natural catastrophe'!$B$6:$B$17,0)),"?")))</f>
      </c>
      <c r="U254" s="46" t="inlineStr">
        <is>
          <t xml:space="preserve">$5,000</t>
        </is>
      </c>
      <c r="V254" s="48" t="inlineStr">
        <is>
          <t xml:space="preserve">Agreed Value</t>
        </is>
      </c>
      <c r="W254" s="46" t="inlineStr">
        <is>
          <t xml:space="preserve">$1,000</t>
        </is>
      </c>
      <c r="X254" s="48" t="inlineStr">
        <is>
          <t xml:space="preserve">$1,000,000 CSL</t>
        </is>
      </c>
      <c r="Y254" s="46"/>
      <c r="Z254" s="46"/>
      <c r="AA254" s="48" t="inlineStr">
        <is>
          <t xml:space="preserve">Surplus Lines</t>
        </is>
      </c>
      <c r="AB254" s="50">
        <v>10555.41</v>
      </c>
      <c r="AC254" s="51">
        <v>0</v>
      </c>
      <c r="AD254" s="38">
        <f>IF(ISNUMBER($AB254),$AB254*(1+N($AC254)),"")</f>
      </c>
      <c r="AE254" s="50">
        <v>350</v>
      </c>
      <c r="AF254" s="50">
        <v>250</v>
      </c>
      <c r="AG254" s="51"/>
      <c r="AH254" s="39">
        <f>IF(ISNUMBER($AD254),($AD254+$AE254+$AF254)*$AG254,"")</f>
      </c>
      <c r="AI254" s="50"/>
      <c r="AJ254" s="38">
        <f>IF(ISNUMBER($AD254),SUM($AD254:$AH254),"")</f>
      </c>
      <c r="AK254" s="40">
        <f>IF(AND(ISNUMBER($AB254),ISNUMBER($AD254)),IF($AB254&gt;0,$AD254/$AB254,""),"")</f>
      </c>
      <c r="AL254" s="48" t="inlineStr">
        <is>
          <t xml:space="preserve">At technical</t>
        </is>
      </c>
      <c r="AM254" s="41">
        <f>IF(ISNUMBER($AD254),Header!$I$3,"")</f>
      </c>
      <c r="AN254" s="39">
        <f>IF(ISNUMBER($AD254),$AO254+$AP254,"")</f>
      </c>
      <c r="AO254" s="39">
        <f>IF(ISNUMBER($AD254),ROUND($AD254*Header!$K$3,2),"")</f>
      </c>
      <c r="AP254" s="39">
        <f>IF(ISNUMBER($AD254),ROUND($AD254*Header!$M$3,2),"")</f>
      </c>
      <c r="AQ254" s="38">
        <f>IF(ISNUMBER($AD254),ROUND($AD254,2)-$AO254-$AP254,"")</f>
      </c>
      <c r="AR254" s="39">
        <f>IF(ISNUMBER($AD254),IF(Header!$D$34="","?",$AD254*Header!$D$34),"")</f>
      </c>
      <c r="AS254" s="39">
        <f>IF(ISNUMBER($AB254),IF(Header!$D$34="","?",$AB254*Header!$D$34),"")</f>
      </c>
      <c r="AT254" s="42">
        <f>IF(AND(ISNUMBER($AB254),$M254&gt;0),$AB254/$M254*100,"")</f>
      </c>
      <c r="AU254" s="42">
        <f>IF(AND(ISNUMBER($AD254),$M254&gt;0),$AD254/$M254*100,"")</f>
      </c>
      <c r="AV254" s="40">
        <f>IF(AND(ISNUMBER($AB254),ISNUMBER($AD254),ABS($AB254)&gt;0),$AD254/$AB254,"")</f>
      </c>
      <c r="AW254" s="39">
        <f>IF(ISNUMBER($AD254),MAX(0,(1-0.55-Header!$O$3)*Header!$Q$3*$AQ254),"")</f>
      </c>
      <c r="AX254" s="43">
        <f>IF($A254="","",IF(TRIM(IF($A254="","Missing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",""))="","PASS","FAIL: "&amp;TRIM(IF($A254="","Missing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f>
      </c>
      <c r="AY254" s="44">
        <f>IF($M254="","",IF(ISNUMBER($M254),IF($M254&gt;=Header!$C$18,"YES — refer","No"),""))</f>
      </c>
      <c r="AZ254" s="44">
        <f>IF($AD254="","",IF(ISNUMBER($AD254),IF($AD254&lt;Header!$C$20,"BELOW MIN PREMIUM","OK"),""))</f>
      </c>
      <c r="BA254" s="48" t="inlineStr">
        <is>
          <t xml:space="preserve">Yes</t>
        </is>
      </c>
      <c r="BB254" s="48" t="inlineStr">
        <is>
          <t xml:space="preserve">Yes</t>
        </is>
      </c>
      <c r="BC254" s="46" t="inlineStr">
        <is>
          <t xml:space="preserve">Synthetic demo data</t>
        </is>
      </c>
      <c r="BE254" s="45">
        <f>IF(OR($A254="",$L254="",$H254=""),"",IF(AND(LEFT($L254,2)="06",$H254&gt;1945),"FAIL - pre-war class, year "&amp;$H254,IF(AND(LEFT($L254,2)="07",OR($H254&lt;1946,$H254&gt;1972)),"FAIL - 1946-72 class, year "&amp;$H254,IF(AND(LEFT($L254,2)="08",OR($H254&lt;1973,$H254&gt;1999)),"FAIL - 1973-99 class, year "&amp;$H254,IF(AND(LEFT($L254,2)="09",OR($H254&lt;2000,$H254&gt;2010)),"FAIL - 2000-10 class, year "&amp;$H254,"OK")))))</f>
      </c>
      <c r="BF254" s="45">
        <f>IF($AD254="","",IF(ROUND($AO254+$AP254+$AQ254-$AD254,2)=0,"OK","FAIL - out by "&amp;TEXT($AO254+$AP254+$AQ254-$AD254,"$0.00")))</f>
      </c>
    </row>
    <row r="255" spans="1:58" ht="18.75" customHeight="1" x14ac:dyDescent="0.25">
      <c r="A255" s="30" t="inlineStr">
        <is>
          <t xml:space="preserve">CANON-202606-008751</t>
        </is>
      </c>
      <c r="B255" s="30" t="inlineStr">
        <is>
          <t xml:space="preserve">Marisol Underwood</t>
        </is>
      </c>
      <c r="C255" s="31">
        <v>46179</v>
      </c>
      <c r="D255" s="32" t="inlineStr">
        <is>
          <t xml:space="preserve">Bound - within authority</t>
        </is>
      </c>
      <c r="E255" s="32" t="inlineStr">
        <is>
          <t xml:space="preserve">New business</t>
        </is>
      </c>
      <c r="F255" s="30" t="inlineStr">
        <is>
          <t xml:space="preserve">B1234EXOTIC26</t>
        </is>
      </c>
      <c r="G255" s="33">
        <f>IF($A255="","",IF($C255="","",YEAR($C255)))</f>
      </c>
      <c r="H255" s="34">
        <v>2009</v>
      </c>
      <c r="I255" s="30" t="inlineStr">
        <is>
          <t xml:space="preserve">Ferrari</t>
        </is>
      </c>
      <c r="J255" s="30" t="inlineStr">
        <is>
          <t xml:space="preserve">SF90 Stradale</t>
        </is>
      </c>
      <c r="K255" s="30" t="inlineStr">
        <is>
          <t xml:space="preserve">GGWV761KG74ET8E32</t>
        </is>
      </c>
      <c r="L255" s="32" t="inlineStr">
        <is>
          <t xml:space="preserve">03 - Supercar</t>
        </is>
      </c>
      <c r="M255" s="35">
        <v>1055000</v>
      </c>
      <c r="N255" s="32" t="inlineStr">
        <is>
          <t xml:space="preserve">Personal</t>
        </is>
      </c>
      <c r="O255" s="30" t="inlineStr">
        <is>
          <t xml:space="preserve">Personal - regular use</t>
        </is>
      </c>
      <c r="P255" s="30" t="inlineStr">
        <is>
          <t xml:space="preserve">Under 1,000</t>
        </is>
      </c>
      <c r="Q255" s="30" t="inlineStr">
        <is>
          <t xml:space="preserve">Ohio</t>
        </is>
      </c>
      <c r="R255" s="30" t="inlineStr">
        <is>
          <t xml:space="preserve">43215</t>
        </is>
      </c>
      <c r="S255" s="32" t="inlineStr">
        <is>
          <t xml:space="preserve">Severe convective - hail / tornado (moderate)</t>
        </is>
      </c>
      <c r="T255" s="36">
        <f>IF($A255="","",IF($S255="","",IFERROR(INDEX('[1]natural catastrophe'!$D$6:$D$17,MATCH($S255,'[1]natural catastrophe'!$B$6:$B$17,0)),"?")))</f>
      </c>
      <c r="U255" s="30" t="inlineStr">
        <is>
          <t xml:space="preserve">$5,000</t>
        </is>
      </c>
      <c r="V255" s="32" t="inlineStr">
        <is>
          <t xml:space="preserve">Agreed Value</t>
        </is>
      </c>
      <c r="W255" s="30" t="inlineStr">
        <is>
          <t xml:space="preserve">$1,000</t>
        </is>
      </c>
      <c r="X255" s="32" t="inlineStr">
        <is>
          <t xml:space="preserve">$1,000,000 CSL</t>
        </is>
      </c>
      <c r="Y255" s="30"/>
      <c r="Z255" s="30"/>
      <c r="AA255" s="32" t="inlineStr">
        <is>
          <t xml:space="preserve">Surplus Lines</t>
        </is>
      </c>
      <c r="AB255" s="35">
        <v>16928.92</v>
      </c>
      <c r="AC255" s="37">
        <v>0</v>
      </c>
      <c r="AD255" s="38">
        <f>IF(ISNUMBER($AB255),$AB255*(1+N($AC255)),"")</f>
      </c>
      <c r="AE255" s="35">
        <v>350</v>
      </c>
      <c r="AF255" s="35">
        <v>250</v>
      </c>
      <c r="AG255" s="37"/>
      <c r="AH255" s="39">
        <f>IF(ISNUMBER($AD255),($AD255+$AE255+$AF255)*$AG255,"")</f>
      </c>
      <c r="AI255" s="35"/>
      <c r="AJ255" s="38">
        <f>IF(ISNUMBER($AD255),SUM($AD255:$AH255),"")</f>
      </c>
      <c r="AK255" s="40">
        <f>IF(AND(ISNUMBER($AB255),ISNUMBER($AD255)),IF($AB255&gt;0,$AD255/$AB255,""),"")</f>
      </c>
      <c r="AL255" s="32" t="inlineStr">
        <is>
          <t xml:space="preserve">At technical</t>
        </is>
      </c>
      <c r="AM255" s="41">
        <f>IF(ISNUMBER($AD255),Header!$I$3,"")</f>
      </c>
      <c r="AN255" s="39">
        <f>IF(ISNUMBER($AD255),$AO255+$AP255,"")</f>
      </c>
      <c r="AO255" s="39">
        <f>IF(ISNUMBER($AD255),ROUND($AD255*Header!$K$3,2),"")</f>
      </c>
      <c r="AP255" s="39">
        <f>IF(ISNUMBER($AD255),ROUND($AD255*Header!$M$3,2),"")</f>
      </c>
      <c r="AQ255" s="38">
        <f>IF(ISNUMBER($AD255),ROUND($AD255,2)-$AO255-$AP255,"")</f>
      </c>
      <c r="AR255" s="39">
        <f>IF(ISNUMBER($AD255),IF(Header!$D$34="","?",$AD255*Header!$D$34),"")</f>
      </c>
      <c r="AS255" s="39">
        <f>IF(ISNUMBER($AB255),IF(Header!$D$34="","?",$AB255*Header!$D$34),"")</f>
      </c>
      <c r="AT255" s="42">
        <f>IF(AND(ISNUMBER($AB255),$M255&gt;0),$AB255/$M255*100,"")</f>
      </c>
      <c r="AU255" s="42">
        <f>IF(AND(ISNUMBER($AD255),$M255&gt;0),$AD255/$M255*100,"")</f>
      </c>
      <c r="AV255" s="40">
        <f>IF(AND(ISNUMBER($AB255),ISNUMBER($AD255),ABS($AB255)&gt;0),$AD255/$AB255,"")</f>
      </c>
      <c r="AW255" s="39">
        <f>IF(ISNUMBER($AD255),MAX(0,(1-0.55-Header!$O$3)*Header!$Q$3*$AQ255),"")</f>
      </c>
      <c r="AX255" s="43">
        <f>IF($A255="","",IF(TRIM(IF($A255="","Missing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",""))="","PASS","FAIL: "&amp;TRIM(IF($A255="","Missing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f>
      </c>
      <c r="AY255" s="44">
        <f>IF($M255="","",IF(ISNUMBER($M255),IF($M255&gt;=Header!$C$18,"YES — refer","No"),""))</f>
      </c>
      <c r="AZ255" s="44">
        <f>IF($AD255="","",IF(ISNUMBER($AD255),IF($AD255&lt;Header!$C$20,"BELOW MIN PREMIUM","OK"),""))</f>
      </c>
      <c r="BA255" s="32" t="inlineStr">
        <is>
          <t xml:space="preserve">Yes</t>
        </is>
      </c>
      <c r="BB255" s="32" t="inlineStr">
        <is>
          <t xml:space="preserve">Yes</t>
        </is>
      </c>
      <c r="BC255" s="30" t="inlineStr">
        <is>
          <t xml:space="preserve">Synthetic demo data</t>
        </is>
      </c>
      <c r="BE255" s="45">
        <f>IF(OR($A255="",$L255="",$H255=""),"",IF(AND(LEFT($L255,2)="06",$H255&gt;1945),"FAIL - pre-war class, year "&amp;$H255,IF(AND(LEFT($L255,2)="07",OR($H255&lt;1946,$H255&gt;1972)),"FAIL - 1946-72 class, year "&amp;$H255,IF(AND(LEFT($L255,2)="08",OR($H255&lt;1973,$H255&gt;1999)),"FAIL - 1973-99 class, year "&amp;$H255,IF(AND(LEFT($L255,2)="09",OR($H255&lt;2000,$H255&gt;2010)),"FAIL - 2000-10 class, year "&amp;$H255,"OK")))))</f>
      </c>
      <c r="BF255" s="45">
        <f>IF($AD255="","",IF(ROUND($AO255+$AP255+$AQ255-$AD255,2)=0,"OK","FAIL - out by "&amp;TEXT($AO255+$AP255+$AQ255-$AD255,"$0.00")))</f>
      </c>
    </row>
    <row r="256" spans="1:58" ht="18.75" customHeight="1" x14ac:dyDescent="0.25">
      <c r="A256" s="46" t="inlineStr">
        <is>
          <t xml:space="preserve">CANON-202606-008752</t>
        </is>
      </c>
      <c r="B256" s="46" t="inlineStr">
        <is>
          <t xml:space="preserve">Fenwick Montoya</t>
        </is>
      </c>
      <c r="C256" s="47">
        <v>46189</v>
      </c>
      <c r="D256" s="48" t="inlineStr">
        <is>
          <t xml:space="preserve">Bound - within authority</t>
        </is>
      </c>
      <c r="E256" s="48" t="inlineStr">
        <is>
          <t xml:space="preserve">New business</t>
        </is>
      </c>
      <c r="F256" s="46" t="inlineStr">
        <is>
          <t xml:space="preserve">B1234EXOTIC26</t>
        </is>
      </c>
      <c r="G256" s="33">
        <f>IF($A256="","",IF($C256="","",YEAR($C256)))</f>
      </c>
      <c r="H256" s="49">
        <v>1992</v>
      </c>
      <c r="I256" s="46" t="inlineStr">
        <is>
          <t xml:space="preserve">Alfa Romeo</t>
        </is>
      </c>
      <c r="J256" s="46" t="inlineStr">
        <is>
          <t xml:space="preserve">8C 2900</t>
        </is>
      </c>
      <c r="K256" s="46" t="inlineStr">
        <is>
          <t xml:space="preserve">UEE50VNFA1N72UDXK</t>
        </is>
      </c>
      <c r="L256" s="48" t="inlineStr">
        <is>
          <t xml:space="preserve">08 - Modern Classic (1973-1999)</t>
        </is>
      </c>
      <c r="M256" s="50">
        <v>1040000</v>
      </c>
      <c r="N256" s="48" t="inlineStr">
        <is>
          <t xml:space="preserve">Personal</t>
        </is>
      </c>
      <c r="O256" s="46" t="inlineStr">
        <is>
          <t xml:space="preserve">Personal - regular use</t>
        </is>
      </c>
      <c r="P256" s="46" t="inlineStr">
        <is>
          <t xml:space="preserve">2,500 - 5,000</t>
        </is>
      </c>
      <c r="Q256" s="46" t="inlineStr">
        <is>
          <t xml:space="preserve">Washington</t>
        </is>
      </c>
      <c r="R256" s="46" t="inlineStr">
        <is>
          <t xml:space="preserve">98101</t>
        </is>
      </c>
      <c r="S256" s="48" t="inlineStr">
        <is>
          <t xml:space="preserve">Earthquake - high (CA, Cascadia, New Madrid)</t>
        </is>
      </c>
      <c r="T256" s="36">
        <f>IF($A256="","",IF($S256="","",IFERROR(INDEX('[1]natural catastrophe'!$D$6:$D$17,MATCH($S256,'[1]natural catastrophe'!$B$6:$B$17,0)),"?")))</f>
      </c>
      <c r="U256" s="46" t="inlineStr">
        <is>
          <t xml:space="preserve">$5,000</t>
        </is>
      </c>
      <c r="V256" s="48" t="inlineStr">
        <is>
          <t xml:space="preserve">Agreed Value</t>
        </is>
      </c>
      <c r="W256" s="46" t="inlineStr">
        <is>
          <t xml:space="preserve">$1,000</t>
        </is>
      </c>
      <c r="X256" s="48" t="inlineStr">
        <is>
          <t xml:space="preserve">$1,000,000 CSL</t>
        </is>
      </c>
      <c r="Y256" s="46"/>
      <c r="Z256" s="46"/>
      <c r="AA256" s="48" t="inlineStr">
        <is>
          <t xml:space="preserve">Surplus Lines</t>
        </is>
      </c>
      <c r="AB256" s="50">
        <v>4898.41</v>
      </c>
      <c r="AC256" s="51">
        <v>0</v>
      </c>
      <c r="AD256" s="38">
        <f>IF(ISNUMBER($AB256),$AB256*(1+N($AC256)),"")</f>
      </c>
      <c r="AE256" s="50">
        <v>350</v>
      </c>
      <c r="AF256" s="50">
        <v>250</v>
      </c>
      <c r="AG256" s="51"/>
      <c r="AH256" s="39">
        <f>IF(ISNUMBER($AD256),($AD256+$AE256+$AF256)*$AG256,"")</f>
      </c>
      <c r="AI256" s="50"/>
      <c r="AJ256" s="38">
        <f>IF(ISNUMBER($AD256),SUM($AD256:$AH256),"")</f>
      </c>
      <c r="AK256" s="40">
        <f>IF(AND(ISNUMBER($AB256),ISNUMBER($AD256)),IF($AB256&gt;0,$AD256/$AB256,""),"")</f>
      </c>
      <c r="AL256" s="48" t="inlineStr">
        <is>
          <t xml:space="preserve">At technical</t>
        </is>
      </c>
      <c r="AM256" s="41">
        <f>IF(ISNUMBER($AD256),Header!$I$3,"")</f>
      </c>
      <c r="AN256" s="39">
        <f>IF(ISNUMBER($AD256),$AO256+$AP256,"")</f>
      </c>
      <c r="AO256" s="39">
        <f>IF(ISNUMBER($AD256),ROUND($AD256*Header!$K$3,2),"")</f>
      </c>
      <c r="AP256" s="39">
        <f>IF(ISNUMBER($AD256),ROUND($AD256*Header!$M$3,2),"")</f>
      </c>
      <c r="AQ256" s="38">
        <f>IF(ISNUMBER($AD256),ROUND($AD256,2)-$AO256-$AP256,"")</f>
      </c>
      <c r="AR256" s="39">
        <f>IF(ISNUMBER($AD256),IF(Header!$D$34="","?",$AD256*Header!$D$34),"")</f>
      </c>
      <c r="AS256" s="39">
        <f>IF(ISNUMBER($AB256),IF(Header!$D$34="","?",$AB256*Header!$D$34),"")</f>
      </c>
      <c r="AT256" s="42">
        <f>IF(AND(ISNUMBER($AB256),$M256&gt;0),$AB256/$M256*100,"")</f>
      </c>
      <c r="AU256" s="42">
        <f>IF(AND(ISNUMBER($AD256),$M256&gt;0),$AD256/$M256*100,"")</f>
      </c>
      <c r="AV256" s="40">
        <f>IF(AND(ISNUMBER($AB256),ISNUMBER($AD256),ABS($AB256)&gt;0),$AD256/$AB256,"")</f>
      </c>
      <c r="AW256" s="39">
        <f>IF(ISNUMBER($AD256),MAX(0,(1-0.55-Header!$O$3)*Header!$Q$3*$AQ256),"")</f>
      </c>
      <c r="AX256" s="43">
        <f>IF($A256="","",IF(TRIM(IF($A256="","Missing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",""))="","PASS","FAIL: "&amp;TRIM(IF($A256="","Missing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f>
      </c>
      <c r="AY256" s="44">
        <f>IF($M256="","",IF(ISNUMBER($M256),IF($M256&gt;=Header!$C$18,"YES — refer","No"),""))</f>
      </c>
      <c r="AZ256" s="44">
        <f>IF($AD256="","",IF(ISNUMBER($AD256),IF($AD256&lt;Header!$C$20,"BELOW MIN PREMIUM","OK"),""))</f>
      </c>
      <c r="BA256" s="48" t="inlineStr">
        <is>
          <t xml:space="preserve">Yes</t>
        </is>
      </c>
      <c r="BB256" s="48" t="inlineStr">
        <is>
          <t xml:space="preserve">Yes</t>
        </is>
      </c>
      <c r="BC256" s="46" t="inlineStr">
        <is>
          <t xml:space="preserve">Synthetic demo data</t>
        </is>
      </c>
      <c r="BE256" s="45">
        <f>IF(OR($A256="",$L256="",$H256=""),"",IF(AND(LEFT($L256,2)="06",$H256&gt;1945),"FAIL - pre-war class, year "&amp;$H256,IF(AND(LEFT($L256,2)="07",OR($H256&lt;1946,$H256&gt;1972)),"FAIL - 1946-72 class, year "&amp;$H256,IF(AND(LEFT($L256,2)="08",OR($H256&lt;1973,$H256&gt;1999)),"FAIL - 1973-99 class, year "&amp;$H256,IF(AND(LEFT($L256,2)="09",OR($H256&lt;2000,$H256&gt;2010)),"FAIL - 2000-10 class, year "&amp;$H256,"OK")))))</f>
      </c>
      <c r="BF256" s="45">
        <f>IF($AD256="","",IF(ROUND($AO256+$AP256+$AQ256-$AD256,2)=0,"OK","FAIL - out by "&amp;TEXT($AO256+$AP256+$AQ256-$AD256,"$0.00")))</f>
      </c>
    </row>
    <row r="257" spans="1:58" ht="18.75" customHeight="1" x14ac:dyDescent="0.25">
      <c r="A257" s="30" t="inlineStr">
        <is>
          <t xml:space="preserve">CANON-202606-008753</t>
        </is>
      </c>
      <c r="B257" s="30" t="inlineStr">
        <is>
          <t xml:space="preserve">Wilhelmina Harrington</t>
        </is>
      </c>
      <c r="C257" s="31">
        <v>46174</v>
      </c>
      <c r="D257" s="32" t="inlineStr">
        <is>
          <t xml:space="preserve">Bound - within authority</t>
        </is>
      </c>
      <c r="E257" s="32" t="inlineStr">
        <is>
          <t xml:space="preserve">New business</t>
        </is>
      </c>
      <c r="F257" s="30" t="inlineStr">
        <is>
          <t xml:space="preserve">B1234EXOTIC26</t>
        </is>
      </c>
      <c r="G257" s="33">
        <f>IF($A257="","",IF($C257="","",YEAR($C257)))</f>
      </c>
      <c r="H257" s="34">
        <v>1955</v>
      </c>
      <c r="I257" s="30" t="inlineStr">
        <is>
          <t xml:space="preserve">Bentley</t>
        </is>
      </c>
      <c r="J257" s="30" t="inlineStr">
        <is>
          <t xml:space="preserve">Continental GT</t>
        </is>
      </c>
      <c r="K257" s="30" t="inlineStr">
        <is>
          <t xml:space="preserve">ACVYHYR43K9N0UNRM</t>
        </is>
      </c>
      <c r="L257" s="32" t="inlineStr">
        <is>
          <t xml:space="preserve">02 - Sports / GT</t>
        </is>
      </c>
      <c r="M257" s="35">
        <v>715000</v>
      </c>
      <c r="N257" s="32" t="inlineStr">
        <is>
          <t xml:space="preserve">Personal</t>
        </is>
      </c>
      <c r="O257" s="30" t="inlineStr">
        <is>
          <t xml:space="preserve">Personal - regular use</t>
        </is>
      </c>
      <c r="P257" s="30" t="inlineStr">
        <is>
          <t xml:space="preserve">Under 1,000</t>
        </is>
      </c>
      <c r="Q257" s="30" t="inlineStr">
        <is>
          <t xml:space="preserve">Indiana</t>
        </is>
      </c>
      <c r="R257" s="30" t="inlineStr">
        <is>
          <t xml:space="preserve">46204</t>
        </is>
      </c>
      <c r="S257" s="32" t="inlineStr">
        <is>
          <t xml:space="preserve">Severe convective - hail / tornado (moderate)</t>
        </is>
      </c>
      <c r="T257" s="36">
        <f>IF($A257="","",IF($S257="","",IFERROR(INDEX('[1]natural catastrophe'!$D$6:$D$17,MATCH($S257,'[1]natural catastrophe'!$B$6:$B$17,0)),"?")))</f>
      </c>
      <c r="U257" s="30" t="inlineStr">
        <is>
          <t xml:space="preserve">$5,000</t>
        </is>
      </c>
      <c r="V257" s="32" t="inlineStr">
        <is>
          <t xml:space="preserve">Agreed Value</t>
        </is>
      </c>
      <c r="W257" s="30" t="inlineStr">
        <is>
          <t xml:space="preserve">$1,000</t>
        </is>
      </c>
      <c r="X257" s="32" t="inlineStr">
        <is>
          <t xml:space="preserve">$1,000,000 CSL</t>
        </is>
      </c>
      <c r="Y257" s="30"/>
      <c r="Z257" s="30"/>
      <c r="AA257" s="32" t="inlineStr">
        <is>
          <t xml:space="preserve">Surplus Lines</t>
        </is>
      </c>
      <c r="AB257" s="35">
        <v>8248.91</v>
      </c>
      <c r="AC257" s="37">
        <v>0</v>
      </c>
      <c r="AD257" s="38">
        <f>IF(ISNUMBER($AB257),$AB257*(1+N($AC257)),"")</f>
      </c>
      <c r="AE257" s="35">
        <v>350</v>
      </c>
      <c r="AF257" s="35">
        <v>0</v>
      </c>
      <c r="AG257" s="37"/>
      <c r="AH257" s="39">
        <f>IF(ISNUMBER($AD257),($AD257+$AE257+$AF257)*$AG257,"")</f>
      </c>
      <c r="AI257" s="35"/>
      <c r="AJ257" s="38">
        <f>IF(ISNUMBER($AD257),SUM($AD257:$AH257),"")</f>
      </c>
      <c r="AK257" s="40">
        <f>IF(AND(ISNUMBER($AB257),ISNUMBER($AD257)),IF($AB257&gt;0,$AD257/$AB257,""),"")</f>
      </c>
      <c r="AL257" s="32" t="inlineStr">
        <is>
          <t xml:space="preserve">At technical</t>
        </is>
      </c>
      <c r="AM257" s="41">
        <f>IF(ISNUMBER($AD257),Header!$I$3,"")</f>
      </c>
      <c r="AN257" s="39">
        <f>IF(ISNUMBER($AD257),$AO257+$AP257,"")</f>
      </c>
      <c r="AO257" s="39">
        <f>IF(ISNUMBER($AD257),ROUND($AD257*Header!$K$3,2),"")</f>
      </c>
      <c r="AP257" s="39">
        <f>IF(ISNUMBER($AD257),ROUND($AD257*Header!$M$3,2),"")</f>
      </c>
      <c r="AQ257" s="38">
        <f>IF(ISNUMBER($AD257),ROUND($AD257,2)-$AO257-$AP257,"")</f>
      </c>
      <c r="AR257" s="39">
        <f>IF(ISNUMBER($AD257),IF(Header!$D$34="","?",$AD257*Header!$D$34),"")</f>
      </c>
      <c r="AS257" s="39">
        <f>IF(ISNUMBER($AB257),IF(Header!$D$34="","?",$AB257*Header!$D$34),"")</f>
      </c>
      <c r="AT257" s="42">
        <f>IF(AND(ISNUMBER($AB257),$M257&gt;0),$AB257/$M257*100,"")</f>
      </c>
      <c r="AU257" s="42">
        <f>IF(AND(ISNUMBER($AD257),$M257&gt;0),$AD257/$M257*100,"")</f>
      </c>
      <c r="AV257" s="40">
        <f>IF(AND(ISNUMBER($AB257),ISNUMBER($AD257),ABS($AB257)&gt;0),$AD257/$AB257,"")</f>
      </c>
      <c r="AW257" s="39">
        <f>IF(ISNUMBER($AD257),MAX(0,(1-0.55-Header!$O$3)*Header!$Q$3*$AQ257),"")</f>
      </c>
      <c r="AX257" s="43">
        <f>IF($A257="","",IF(TRIM(IF($A257="","Missing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",""))="","PASS","FAIL: "&amp;TRIM(IF($A257="","Missing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f>
      </c>
      <c r="AY257" s="44">
        <f>IF($M257="","",IF(ISNUMBER($M257),IF($M257&gt;=Header!$C$18,"YES — refer","No"),""))</f>
      </c>
      <c r="AZ257" s="44">
        <f>IF($AD257="","",IF(ISNUMBER($AD257),IF($AD257&lt;Header!$C$20,"BELOW MIN PREMIUM","OK"),""))</f>
      </c>
      <c r="BA257" s="32" t="inlineStr">
        <is>
          <t xml:space="preserve">Yes</t>
        </is>
      </c>
      <c r="BB257" s="32" t="inlineStr">
        <is>
          <t xml:space="preserve">Yes</t>
        </is>
      </c>
      <c r="BC257" s="30" t="inlineStr">
        <is>
          <t xml:space="preserve">Synthetic demo data</t>
        </is>
      </c>
      <c r="BE257" s="45">
        <f>IF(OR($A257="",$L257="",$H257=""),"",IF(AND(LEFT($L257,2)="06",$H257&gt;1945),"FAIL - pre-war class, year "&amp;$H257,IF(AND(LEFT($L257,2)="07",OR($H257&lt;1946,$H257&gt;1972)),"FAIL - 1946-72 class, year "&amp;$H257,IF(AND(LEFT($L257,2)="08",OR($H257&lt;1973,$H257&gt;1999)),"FAIL - 1973-99 class, year "&amp;$H257,IF(AND(LEFT($L257,2)="09",OR($H257&lt;2000,$H257&gt;2010)),"FAIL - 2000-10 class, year "&amp;$H257,"OK")))))</f>
      </c>
      <c r="BF257" s="45">
        <f>IF($AD257="","",IF(ROUND($AO257+$AP257+$AQ257-$AD257,2)=0,"OK","FAIL - out by "&amp;TEXT($AO257+$AP257+$AQ257-$AD257,"$0.00")))</f>
      </c>
    </row>
    <row r="258" spans="1:58" ht="18.75" customHeight="1" x14ac:dyDescent="0.25">
      <c r="A258" s="46" t="inlineStr">
        <is>
          <t xml:space="preserve">CANON-202606-008754</t>
        </is>
      </c>
      <c r="B258" s="46" t="inlineStr">
        <is>
          <t xml:space="preserve">Emiliano Vasquez</t>
        </is>
      </c>
      <c r="C258" s="47">
        <v>46201</v>
      </c>
      <c r="D258" s="48" t="inlineStr">
        <is>
          <t xml:space="preserve">Bound - within authority</t>
        </is>
      </c>
      <c r="E258" s="48" t="inlineStr">
        <is>
          <t xml:space="preserve">New business</t>
        </is>
      </c>
      <c r="F258" s="46" t="inlineStr">
        <is>
          <t xml:space="preserve">B1234EXOTIC26</t>
        </is>
      </c>
      <c r="G258" s="33">
        <f>IF($A258="","",IF($C258="","",YEAR($C258)))</f>
      </c>
      <c r="H258" s="49">
        <v>2008</v>
      </c>
      <c r="I258" s="46" t="inlineStr">
        <is>
          <t xml:space="preserve">Lamborghini</t>
        </is>
      </c>
      <c r="J258" s="46" t="inlineStr">
        <is>
          <t xml:space="preserve">Huracan EVO</t>
        </is>
      </c>
      <c r="K258" s="46" t="inlineStr">
        <is>
          <t xml:space="preserve">R8MCK1PLX92P8EZCZ</t>
        </is>
      </c>
      <c r="L258" s="48" t="inlineStr">
        <is>
          <t xml:space="preserve">03 - Supercar</t>
        </is>
      </c>
      <c r="M258" s="50">
        <v>380000</v>
      </c>
      <c r="N258" s="48" t="inlineStr">
        <is>
          <t xml:space="preserve">Personal</t>
        </is>
      </c>
      <c r="O258" s="46" t="inlineStr">
        <is>
          <t xml:space="preserve">Personal - regular use</t>
        </is>
      </c>
      <c r="P258" s="46" t="inlineStr">
        <is>
          <t xml:space="preserve">Under 1,000</t>
        </is>
      </c>
      <c r="Q258" s="46" t="inlineStr">
        <is>
          <t xml:space="preserve">Ohio</t>
        </is>
      </c>
      <c r="R258" s="46" t="inlineStr">
        <is>
          <t xml:space="preserve">43215</t>
        </is>
      </c>
      <c r="S258" s="48" t="inlineStr">
        <is>
          <t xml:space="preserve">Severe convective - hail / tornado (moderate)</t>
        </is>
      </c>
      <c r="T258" s="36">
        <f>IF($A258="","",IF($S258="","",IFERROR(INDEX('[1]natural catastrophe'!$D$6:$D$17,MATCH($S258,'[1]natural catastrophe'!$B$6:$B$17,0)),"?")))</f>
      </c>
      <c r="U258" s="46" t="inlineStr">
        <is>
          <t xml:space="preserve">$5,000</t>
        </is>
      </c>
      <c r="V258" s="48" t="inlineStr">
        <is>
          <t xml:space="preserve">Agreed Value</t>
        </is>
      </c>
      <c r="W258" s="46" t="inlineStr">
        <is>
          <t xml:space="preserve">$1,000</t>
        </is>
      </c>
      <c r="X258" s="48" t="inlineStr">
        <is>
          <t xml:space="preserve">$1,000,000 CSL</t>
        </is>
      </c>
      <c r="Y258" s="46"/>
      <c r="Z258" s="46"/>
      <c r="AA258" s="48" t="inlineStr">
        <is>
          <t xml:space="preserve">Surplus Lines</t>
        </is>
      </c>
      <c r="AB258" s="50">
        <v>8765.33</v>
      </c>
      <c r="AC258" s="51">
        <v>0</v>
      </c>
      <c r="AD258" s="38">
        <f>IF(ISNUMBER($AB258),$AB258*(1+N($AC258)),"")</f>
      </c>
      <c r="AE258" s="50">
        <v>350</v>
      </c>
      <c r="AF258" s="50">
        <v>0</v>
      </c>
      <c r="AG258" s="51"/>
      <c r="AH258" s="39">
        <f>IF(ISNUMBER($AD258),($AD258+$AE258+$AF258)*$AG258,"")</f>
      </c>
      <c r="AI258" s="50"/>
      <c r="AJ258" s="38">
        <f>IF(ISNUMBER($AD258),SUM($AD258:$AH258),"")</f>
      </c>
      <c r="AK258" s="40">
        <f>IF(AND(ISNUMBER($AB258),ISNUMBER($AD258)),IF($AB258&gt;0,$AD258/$AB258,""),"")</f>
      </c>
      <c r="AL258" s="48" t="inlineStr">
        <is>
          <t xml:space="preserve">At technical</t>
        </is>
      </c>
      <c r="AM258" s="41">
        <f>IF(ISNUMBER($AD258),Header!$I$3,"")</f>
      </c>
      <c r="AN258" s="39">
        <f>IF(ISNUMBER($AD258),$AO258+$AP258,"")</f>
      </c>
      <c r="AO258" s="39">
        <f>IF(ISNUMBER($AD258),ROUND($AD258*Header!$K$3,2),"")</f>
      </c>
      <c r="AP258" s="39">
        <f>IF(ISNUMBER($AD258),ROUND($AD258*Header!$M$3,2),"")</f>
      </c>
      <c r="AQ258" s="38">
        <f>IF(ISNUMBER($AD258),ROUND($AD258,2)-$AO258-$AP258,"")</f>
      </c>
      <c r="AR258" s="39">
        <f>IF(ISNUMBER($AD258),IF(Header!$D$34="","?",$AD258*Header!$D$34),"")</f>
      </c>
      <c r="AS258" s="39">
        <f>IF(ISNUMBER($AB258),IF(Header!$D$34="","?",$AB258*Header!$D$34),"")</f>
      </c>
      <c r="AT258" s="42">
        <f>IF(AND(ISNUMBER($AB258),$M258&gt;0),$AB258/$M258*100,"")</f>
      </c>
      <c r="AU258" s="42">
        <f>IF(AND(ISNUMBER($AD258),$M258&gt;0),$AD258/$M258*100,"")</f>
      </c>
      <c r="AV258" s="40">
        <f>IF(AND(ISNUMBER($AB258),ISNUMBER($AD258),ABS($AB258)&gt;0),$AD258/$AB258,"")</f>
      </c>
      <c r="AW258" s="39">
        <f>IF(ISNUMBER($AD258),MAX(0,(1-0.55-Header!$O$3)*Header!$Q$3*$AQ258),"")</f>
      </c>
      <c r="AX258" s="43">
        <f>IF($A258="","",IF(TRIM(IF($A258="","Missing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",""))="","PASS","FAIL: "&amp;TRIM(IF($A258="","Missing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f>
      </c>
      <c r="AY258" s="44">
        <f>IF($M258="","",IF(ISNUMBER($M258),IF($M258&gt;=Header!$C$18,"YES — refer","No"),""))</f>
      </c>
      <c r="AZ258" s="44">
        <f>IF($AD258="","",IF(ISNUMBER($AD258),IF($AD258&lt;Header!$C$20,"BELOW MIN PREMIUM","OK"),""))</f>
      </c>
      <c r="BA258" s="48" t="inlineStr">
        <is>
          <t xml:space="preserve">Yes</t>
        </is>
      </c>
      <c r="BB258" s="48" t="inlineStr">
        <is>
          <t xml:space="preserve">Yes</t>
        </is>
      </c>
      <c r="BC258" s="46" t="inlineStr">
        <is>
          <t xml:space="preserve">Synthetic demo data</t>
        </is>
      </c>
      <c r="BE258" s="45">
        <f>IF(OR($A258="",$L258="",$H258=""),"",IF(AND(LEFT($L258,2)="06",$H258&gt;1945),"FAIL - pre-war class, year "&amp;$H258,IF(AND(LEFT($L258,2)="07",OR($H258&lt;1946,$H258&gt;1972)),"FAIL - 1946-72 class, year "&amp;$H258,IF(AND(LEFT($L258,2)="08",OR($H258&lt;1973,$H258&gt;1999)),"FAIL - 1973-99 class, year "&amp;$H258,IF(AND(LEFT($L258,2)="09",OR($H258&lt;2000,$H258&gt;2010)),"FAIL - 2000-10 class, year "&amp;$H258,"OK")))))</f>
      </c>
      <c r="BF258" s="45">
        <f>IF($AD258="","",IF(ROUND($AO258+$AP258+$AQ258-$AD258,2)=0,"OK","FAIL - out by "&amp;TEXT($AO258+$AP258+$AQ258-$AD258,"$0.00")))</f>
      </c>
    </row>
    <row r="259" spans="1:58" ht="18.75" customHeight="1" x14ac:dyDescent="0.25">
      <c r="A259" s="30" t="inlineStr">
        <is>
          <t xml:space="preserve">CANON-202606-008756</t>
        </is>
      </c>
      <c r="B259" s="30" t="inlineStr">
        <is>
          <t xml:space="preserve">Fenwick Harrington</t>
        </is>
      </c>
      <c r="C259" s="31">
        <v>46179</v>
      </c>
      <c r="D259" s="32" t="inlineStr">
        <is>
          <t xml:space="preserve">Bound - within authority</t>
        </is>
      </c>
      <c r="E259" s="32" t="inlineStr">
        <is>
          <t xml:space="preserve">New business</t>
        </is>
      </c>
      <c r="F259" s="30" t="inlineStr">
        <is>
          <t xml:space="preserve">B1234EXOTIC26</t>
        </is>
      </c>
      <c r="G259" s="33">
        <f>IF($A259="","",IF($C259="","",YEAR($C259)))</f>
      </c>
      <c r="H259" s="34">
        <v>1960</v>
      </c>
      <c r="I259" s="30" t="inlineStr">
        <is>
          <t xml:space="preserve">Bentley</t>
        </is>
      </c>
      <c r="J259" s="30" t="inlineStr">
        <is>
          <t xml:space="preserve">Continental GT</t>
        </is>
      </c>
      <c r="K259" s="30" t="inlineStr">
        <is>
          <t xml:space="preserve">TY414LH1R277MKWX6</t>
        </is>
      </c>
      <c r="L259" s="32" t="inlineStr">
        <is>
          <t xml:space="preserve">02 - Sports / GT</t>
        </is>
      </c>
      <c r="M259" s="35">
        <v>410000</v>
      </c>
      <c r="N259" s="32" t="inlineStr">
        <is>
          <t xml:space="preserve">Personal</t>
        </is>
      </c>
      <c r="O259" s="30" t="inlineStr">
        <is>
          <t xml:space="preserve">Personal - regular use</t>
        </is>
      </c>
      <c r="P259" s="30" t="inlineStr">
        <is>
          <t xml:space="preserve">1,000 - 2,500</t>
        </is>
      </c>
      <c r="Q259" s="30" t="inlineStr">
        <is>
          <t xml:space="preserve">California</t>
        </is>
      </c>
      <c r="R259" s="30" t="inlineStr">
        <is>
          <t xml:space="preserve">90012</t>
        </is>
      </c>
      <c r="S259" s="32" t="inlineStr">
        <is>
          <t xml:space="preserve">Earthquake - high (CA, Cascadia, New Madrid)</t>
        </is>
      </c>
      <c r="T259" s="36">
        <f>IF($A259="","",IF($S259="","",IFERROR(INDEX('[1]natural catastrophe'!$D$6:$D$17,MATCH($S259,'[1]natural catastrophe'!$B$6:$B$17,0)),"?")))</f>
      </c>
      <c r="U259" s="30" t="inlineStr">
        <is>
          <t xml:space="preserve">$5,000</t>
        </is>
      </c>
      <c r="V259" s="32" t="inlineStr">
        <is>
          <t xml:space="preserve">Agreed Value</t>
        </is>
      </c>
      <c r="W259" s="30" t="inlineStr">
        <is>
          <t xml:space="preserve">$1,000</t>
        </is>
      </c>
      <c r="X259" s="32" t="inlineStr">
        <is>
          <t xml:space="preserve">$1,000,000 CSL</t>
        </is>
      </c>
      <c r="Y259" s="30"/>
      <c r="Z259" s="30"/>
      <c r="AA259" s="32" t="inlineStr">
        <is>
          <t xml:space="preserve">Surplus Lines</t>
        </is>
      </c>
      <c r="AB259" s="35">
        <v>5990.33</v>
      </c>
      <c r="AC259" s="37">
        <v>0</v>
      </c>
      <c r="AD259" s="38">
        <f>IF(ISNUMBER($AB259),$AB259*(1+N($AC259)),"")</f>
      </c>
      <c r="AE259" s="35">
        <v>350</v>
      </c>
      <c r="AF259" s="35">
        <v>0</v>
      </c>
      <c r="AG259" s="37"/>
      <c r="AH259" s="39">
        <f>IF(ISNUMBER($AD259),($AD259+$AE259+$AF259)*$AG259,"")</f>
      </c>
      <c r="AI259" s="35"/>
      <c r="AJ259" s="38">
        <f>IF(ISNUMBER($AD259),SUM($AD259:$AH259),"")</f>
      </c>
      <c r="AK259" s="40">
        <f>IF(AND(ISNUMBER($AB259),ISNUMBER($AD259)),IF($AB259&gt;0,$AD259/$AB259,""),"")</f>
      </c>
      <c r="AL259" s="32" t="inlineStr">
        <is>
          <t xml:space="preserve">At technical</t>
        </is>
      </c>
      <c r="AM259" s="41">
        <f>IF(ISNUMBER($AD259),Header!$I$3,"")</f>
      </c>
      <c r="AN259" s="39">
        <f>IF(ISNUMBER($AD259),$AO259+$AP259,"")</f>
      </c>
      <c r="AO259" s="39">
        <f>IF(ISNUMBER($AD259),ROUND($AD259*Header!$K$3,2),"")</f>
      </c>
      <c r="AP259" s="39">
        <f>IF(ISNUMBER($AD259),ROUND($AD259*Header!$M$3,2),"")</f>
      </c>
      <c r="AQ259" s="38">
        <f>IF(ISNUMBER($AD259),ROUND($AD259,2)-$AO259-$AP259,"")</f>
      </c>
      <c r="AR259" s="39">
        <f>IF(ISNUMBER($AD259),IF(Header!$D$34="","?",$AD259*Header!$D$34),"")</f>
      </c>
      <c r="AS259" s="39">
        <f>IF(ISNUMBER($AB259),IF(Header!$D$34="","?",$AB259*Header!$D$34),"")</f>
      </c>
      <c r="AT259" s="42">
        <f>IF(AND(ISNUMBER($AB259),$M259&gt;0),$AB259/$M259*100,"")</f>
      </c>
      <c r="AU259" s="42">
        <f>IF(AND(ISNUMBER($AD259),$M259&gt;0),$AD259/$M259*100,"")</f>
      </c>
      <c r="AV259" s="40">
        <f>IF(AND(ISNUMBER($AB259),ISNUMBER($AD259),ABS($AB259)&gt;0),$AD259/$AB259,"")</f>
      </c>
      <c r="AW259" s="39">
        <f>IF(ISNUMBER($AD259),MAX(0,(1-0.55-Header!$O$3)*Header!$Q$3*$AQ259),"")</f>
      </c>
      <c r="AX259" s="43">
        <f>IF($A259="","",IF(TRIM(IF($A259="","Missing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",""))="","PASS","FAIL: "&amp;TRIM(IF($A259="","Missing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f>
      </c>
      <c r="AY259" s="44">
        <f>IF($M259="","",IF(ISNUMBER($M259),IF($M259&gt;=Header!$C$18,"YES — refer","No"),""))</f>
      </c>
      <c r="AZ259" s="44">
        <f>IF($AD259="","",IF(ISNUMBER($AD259),IF($AD259&lt;Header!$C$20,"BELOW MIN PREMIUM","OK"),""))</f>
      </c>
      <c r="BA259" s="32" t="inlineStr">
        <is>
          <t xml:space="preserve">Yes</t>
        </is>
      </c>
      <c r="BB259" s="32" t="inlineStr">
        <is>
          <t xml:space="preserve">Yes</t>
        </is>
      </c>
      <c r="BC259" s="30" t="inlineStr">
        <is>
          <t xml:space="preserve">Synthetic demo data</t>
        </is>
      </c>
      <c r="BE259" s="45">
        <f>IF(OR($A259="",$L259="",$H259=""),"",IF(AND(LEFT($L259,2)="06",$H259&gt;1945),"FAIL - pre-war class, year "&amp;$H259,IF(AND(LEFT($L259,2)="07",OR($H259&lt;1946,$H259&gt;1972)),"FAIL - 1946-72 class, year "&amp;$H259,IF(AND(LEFT($L259,2)="08",OR($H259&lt;1973,$H259&gt;1999)),"FAIL - 1973-99 class, year "&amp;$H259,IF(AND(LEFT($L259,2)="09",OR($H259&lt;2000,$H259&gt;2010)),"FAIL - 2000-10 class, year "&amp;$H259,"OK")))))</f>
      </c>
      <c r="BF259" s="45">
        <f>IF($AD259="","",IF(ROUND($AO259+$AP259+$AQ259-$AD259,2)=0,"OK","FAIL - out by "&amp;TEXT($AO259+$AP259+$AQ259-$AD259,"$0.00")))</f>
      </c>
    </row>
    <row r="260" spans="1:58" ht="18.75" customHeight="1" x14ac:dyDescent="0.25">
      <c r="A260" s="46" t="inlineStr">
        <is>
          <t xml:space="preserve">CANON-202606-008757</t>
        </is>
      </c>
      <c r="B260" s="46" t="inlineStr">
        <is>
          <t xml:space="preserve">Cassius Nakashima</t>
        </is>
      </c>
      <c r="C260" s="47">
        <v>46189</v>
      </c>
      <c r="D260" s="48" t="inlineStr">
        <is>
          <t xml:space="preserve">Bound - within authority</t>
        </is>
      </c>
      <c r="E260" s="48" t="inlineStr">
        <is>
          <t xml:space="preserve">New business</t>
        </is>
      </c>
      <c r="F260" s="46" t="inlineStr">
        <is>
          <t xml:space="preserve">B1234EXOTIC26</t>
        </is>
      </c>
      <c r="G260" s="33">
        <f>IF($A260="","",IF($C260="","",YEAR($C260)))</f>
      </c>
      <c r="H260" s="49">
        <v>1981</v>
      </c>
      <c r="I260" s="46" t="inlineStr">
        <is>
          <t xml:space="preserve">Ferrari</t>
        </is>
      </c>
      <c r="J260" s="46" t="inlineStr">
        <is>
          <t xml:space="preserve">SF90 Stradale</t>
        </is>
      </c>
      <c r="K260" s="46" t="inlineStr">
        <is>
          <t xml:space="preserve">UXSX742ZWXG3A731A</t>
        </is>
      </c>
      <c r="L260" s="48" t="inlineStr">
        <is>
          <t xml:space="preserve">03 - Supercar</t>
        </is>
      </c>
      <c r="M260" s="50">
        <v>645000</v>
      </c>
      <c r="N260" s="48" t="inlineStr">
        <is>
          <t xml:space="preserve">Personal</t>
        </is>
      </c>
      <c r="O260" s="46" t="inlineStr">
        <is>
          <t xml:space="preserve">Personal - regular use</t>
        </is>
      </c>
      <c r="P260" s="46" t="inlineStr">
        <is>
          <t xml:space="preserve">Under 1,000</t>
        </is>
      </c>
      <c r="Q260" s="46" t="inlineStr">
        <is>
          <t xml:space="preserve">Texas</t>
        </is>
      </c>
      <c r="R260" s="46" t="inlineStr">
        <is>
          <t xml:space="preserve">75201</t>
        </is>
      </c>
      <c r="S260" s="48" t="inlineStr">
        <is>
          <t xml:space="preserve">Tier 2 - Coastal wind (1-25 miles)</t>
        </is>
      </c>
      <c r="T260" s="36">
        <f>IF($A260="","",IF($S260="","",IFERROR(INDEX('[1]natural catastrophe'!$D$6:$D$17,MATCH($S260,'[1]natural catastrophe'!$B$6:$B$17,0)),"?")))</f>
      </c>
      <c r="U260" s="46" t="inlineStr">
        <is>
          <t xml:space="preserve">2% of agreed value, minimum $10,000</t>
        </is>
      </c>
      <c r="V260" s="48" t="inlineStr">
        <is>
          <t xml:space="preserve">Agreed Value</t>
        </is>
      </c>
      <c r="W260" s="46" t="inlineStr">
        <is>
          <t xml:space="preserve">$1,000</t>
        </is>
      </c>
      <c r="X260" s="48" t="inlineStr">
        <is>
          <t xml:space="preserve">$1,000,000 CSL</t>
        </is>
      </c>
      <c r="Y260" s="46"/>
      <c r="Z260" s="46"/>
      <c r="AA260" s="48" t="inlineStr">
        <is>
          <t xml:space="preserve">Surplus Lines</t>
        </is>
      </c>
      <c r="AB260" s="50">
        <v>10168.41</v>
      </c>
      <c r="AC260" s="51">
        <v>0</v>
      </c>
      <c r="AD260" s="38">
        <f>IF(ISNUMBER($AB260),$AB260*(1+N($AC260)),"")</f>
      </c>
      <c r="AE260" s="50">
        <v>350</v>
      </c>
      <c r="AF260" s="50">
        <v>0</v>
      </c>
      <c r="AG260" s="51"/>
      <c r="AH260" s="39">
        <f>IF(ISNUMBER($AD260),($AD260+$AE260+$AF260)*$AG260,"")</f>
      </c>
      <c r="AI260" s="50"/>
      <c r="AJ260" s="38">
        <f>IF(ISNUMBER($AD260),SUM($AD260:$AH260),"")</f>
      </c>
      <c r="AK260" s="40">
        <f>IF(AND(ISNUMBER($AB260),ISNUMBER($AD260)),IF($AB260&gt;0,$AD260/$AB260,""),"")</f>
      </c>
      <c r="AL260" s="48" t="inlineStr">
        <is>
          <t xml:space="preserve">At technical</t>
        </is>
      </c>
      <c r="AM260" s="41">
        <f>IF(ISNUMBER($AD260),Header!$I$3,"")</f>
      </c>
      <c r="AN260" s="39">
        <f>IF(ISNUMBER($AD260),$AO260+$AP260,"")</f>
      </c>
      <c r="AO260" s="39">
        <f>IF(ISNUMBER($AD260),ROUND($AD260*Header!$K$3,2),"")</f>
      </c>
      <c r="AP260" s="39">
        <f>IF(ISNUMBER($AD260),ROUND($AD260*Header!$M$3,2),"")</f>
      </c>
      <c r="AQ260" s="38">
        <f>IF(ISNUMBER($AD260),ROUND($AD260,2)-$AO260-$AP260,"")</f>
      </c>
      <c r="AR260" s="39">
        <f>IF(ISNUMBER($AD260),IF(Header!$D$34="","?",$AD260*Header!$D$34),"")</f>
      </c>
      <c r="AS260" s="39">
        <f>IF(ISNUMBER($AB260),IF(Header!$D$34="","?",$AB260*Header!$D$34),"")</f>
      </c>
      <c r="AT260" s="42">
        <f>IF(AND(ISNUMBER($AB260),$M260&gt;0),$AB260/$M260*100,"")</f>
      </c>
      <c r="AU260" s="42">
        <f>IF(AND(ISNUMBER($AD260),$M260&gt;0),$AD260/$M260*100,"")</f>
      </c>
      <c r="AV260" s="40">
        <f>IF(AND(ISNUMBER($AB260),ISNUMBER($AD260),ABS($AB260)&gt;0),$AD260/$AB260,"")</f>
      </c>
      <c r="AW260" s="39">
        <f>IF(ISNUMBER($AD260),MAX(0,(1-0.55-Header!$O$3)*Header!$Q$3*$AQ260),"")</f>
      </c>
      <c r="AX260" s="43">
        <f>IF($A260="","",IF(TRIM(IF($A260="","Missing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",""))="","PASS","FAIL: "&amp;TRIM(IF($A260="","Missing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f>
      </c>
      <c r="AY260" s="44">
        <f>IF($M260="","",IF(ISNUMBER($M260),IF($M260&gt;=Header!$C$18,"YES — refer","No"),""))</f>
      </c>
      <c r="AZ260" s="44">
        <f>IF($AD260="","",IF(ISNUMBER($AD260),IF($AD260&lt;Header!$C$20,"BELOW MIN PREMIUM","OK"),""))</f>
      </c>
      <c r="BA260" s="48" t="inlineStr">
        <is>
          <t xml:space="preserve">Yes</t>
        </is>
      </c>
      <c r="BB260" s="48" t="inlineStr">
        <is>
          <t xml:space="preserve">Yes</t>
        </is>
      </c>
      <c r="BC260" s="46" t="inlineStr">
        <is>
          <t xml:space="preserve">Synthetic demo data</t>
        </is>
      </c>
      <c r="BE260" s="45">
        <f>IF(OR($A260="",$L260="",$H260=""),"",IF(AND(LEFT($L260,2)="06",$H260&gt;1945),"FAIL - pre-war class, year "&amp;$H260,IF(AND(LEFT($L260,2)="07",OR($H260&lt;1946,$H260&gt;1972)),"FAIL - 1946-72 class, year "&amp;$H260,IF(AND(LEFT($L260,2)="08",OR($H260&lt;1973,$H260&gt;1999)),"FAIL - 1973-99 class, year "&amp;$H260,IF(AND(LEFT($L260,2)="09",OR($H260&lt;2000,$H260&gt;2010)),"FAIL - 2000-10 class, year "&amp;$H260,"OK")))))</f>
      </c>
      <c r="BF260" s="45">
        <f>IF($AD260="","",IF(ROUND($AO260+$AP260+$AQ260-$AD260,2)=0,"OK","FAIL - out by "&amp;TEXT($AO260+$AP260+$AQ260-$AD260,"$0.00")))</f>
      </c>
    </row>
    <row r="261" spans="1:58" ht="18.75" customHeight="1" x14ac:dyDescent="0.25">
      <c r="A261" s="30" t="inlineStr">
        <is>
          <t xml:space="preserve">CANON-202606-008758</t>
        </is>
      </c>
      <c r="B261" s="30" t="inlineStr">
        <is>
          <t xml:space="preserve">Noor Vasquez</t>
        </is>
      </c>
      <c r="C261" s="31">
        <v>46202</v>
      </c>
      <c r="D261" s="32" t="inlineStr">
        <is>
          <t xml:space="preserve">Bound - within authority</t>
        </is>
      </c>
      <c r="E261" s="32" t="inlineStr">
        <is>
          <t xml:space="preserve">New business</t>
        </is>
      </c>
      <c r="F261" s="30" t="inlineStr">
        <is>
          <t xml:space="preserve">B1234EXOTIC26</t>
        </is>
      </c>
      <c r="G261" s="33">
        <f>IF($A261="","",IF($C261="","",YEAR($C261)))</f>
      </c>
      <c r="H261" s="34">
        <v>1998</v>
      </c>
      <c r="I261" s="30" t="inlineStr">
        <is>
          <t xml:space="preserve">Ferrari</t>
        </is>
      </c>
      <c r="J261" s="30" t="inlineStr">
        <is>
          <t xml:space="preserve">296 GTB</t>
        </is>
      </c>
      <c r="K261" s="30" t="inlineStr">
        <is>
          <t xml:space="preserve">MADUF9R591KP735J3</t>
        </is>
      </c>
      <c r="L261" s="32" t="inlineStr">
        <is>
          <t xml:space="preserve">03 - Supercar</t>
        </is>
      </c>
      <c r="M261" s="35">
        <v>1595000</v>
      </c>
      <c r="N261" s="32" t="inlineStr">
        <is>
          <t xml:space="preserve">Personal</t>
        </is>
      </c>
      <c r="O261" s="30" t="inlineStr">
        <is>
          <t xml:space="preserve">Personal - regular use</t>
        </is>
      </c>
      <c r="P261" s="30" t="inlineStr">
        <is>
          <t xml:space="preserve">1,000 - 2,500</t>
        </is>
      </c>
      <c r="Q261" s="30" t="inlineStr">
        <is>
          <t xml:space="preserve">Indiana</t>
        </is>
      </c>
      <c r="R261" s="30" t="inlineStr">
        <is>
          <t xml:space="preserve">46204</t>
        </is>
      </c>
      <c r="S261" s="32" t="inlineStr">
        <is>
          <t xml:space="preserve">Severe convective - hail / tornado (moderate)</t>
        </is>
      </c>
      <c r="T261" s="36">
        <f>IF($A261="","",IF($S261="","",IFERROR(INDEX('[1]natural catastrophe'!$D$6:$D$17,MATCH($S261,'[1]natural catastrophe'!$B$6:$B$17,0)),"?")))</f>
      </c>
      <c r="U261" s="30" t="inlineStr">
        <is>
          <t xml:space="preserve">$5,000</t>
        </is>
      </c>
      <c r="V261" s="32" t="inlineStr">
        <is>
          <t xml:space="preserve">Agreed Value</t>
        </is>
      </c>
      <c r="W261" s="30" t="inlineStr">
        <is>
          <t xml:space="preserve">$1,000</t>
        </is>
      </c>
      <c r="X261" s="32" t="inlineStr">
        <is>
          <t xml:space="preserve">$1,000,000 CSL</t>
        </is>
      </c>
      <c r="Y261" s="30"/>
      <c r="Z261" s="30"/>
      <c r="AA261" s="32" t="inlineStr">
        <is>
          <t xml:space="preserve">Surplus Lines</t>
        </is>
      </c>
      <c r="AB261" s="35">
        <v>22647.89</v>
      </c>
      <c r="AC261" s="37">
        <v>0</v>
      </c>
      <c r="AD261" s="38">
        <f>IF(ISNUMBER($AB261),$AB261*(1+N($AC261)),"")</f>
      </c>
      <c r="AE261" s="35">
        <v>350</v>
      </c>
      <c r="AF261" s="35">
        <v>250</v>
      </c>
      <c r="AG261" s="37"/>
      <c r="AH261" s="39">
        <f>IF(ISNUMBER($AD261),($AD261+$AE261+$AF261)*$AG261,"")</f>
      </c>
      <c r="AI261" s="35"/>
      <c r="AJ261" s="38">
        <f>IF(ISNUMBER($AD261),SUM($AD261:$AH261),"")</f>
      </c>
      <c r="AK261" s="40">
        <f>IF(AND(ISNUMBER($AB261),ISNUMBER($AD261)),IF($AB261&gt;0,$AD261/$AB261,""),"")</f>
      </c>
      <c r="AL261" s="32" t="inlineStr">
        <is>
          <t xml:space="preserve">At technical</t>
        </is>
      </c>
      <c r="AM261" s="41">
        <f>IF(ISNUMBER($AD261),Header!$I$3,"")</f>
      </c>
      <c r="AN261" s="39">
        <f>IF(ISNUMBER($AD261),$AO261+$AP261,"")</f>
      </c>
      <c r="AO261" s="39">
        <f>IF(ISNUMBER($AD261),ROUND($AD261*Header!$K$3,2),"")</f>
      </c>
      <c r="AP261" s="39">
        <f>IF(ISNUMBER($AD261),ROUND($AD261*Header!$M$3,2),"")</f>
      </c>
      <c r="AQ261" s="38">
        <f>IF(ISNUMBER($AD261),ROUND($AD261,2)-$AO261-$AP261,"")</f>
      </c>
      <c r="AR261" s="39">
        <f>IF(ISNUMBER($AD261),IF(Header!$D$34="","?",$AD261*Header!$D$34),"")</f>
      </c>
      <c r="AS261" s="39">
        <f>IF(ISNUMBER($AB261),IF(Header!$D$34="","?",$AB261*Header!$D$34),"")</f>
      </c>
      <c r="AT261" s="42">
        <f>IF(AND(ISNUMBER($AB261),$M261&gt;0),$AB261/$M261*100,"")</f>
      </c>
      <c r="AU261" s="42">
        <f>IF(AND(ISNUMBER($AD261),$M261&gt;0),$AD261/$M261*100,"")</f>
      </c>
      <c r="AV261" s="40">
        <f>IF(AND(ISNUMBER($AB261),ISNUMBER($AD261),ABS($AB261)&gt;0),$AD261/$AB261,"")</f>
      </c>
      <c r="AW261" s="39">
        <f>IF(ISNUMBER($AD261),MAX(0,(1-0.55-Header!$O$3)*Header!$Q$3*$AQ261),"")</f>
      </c>
      <c r="AX261" s="43">
        <f>IF($A261="","",IF(TRIM(IF($A261="","Missing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",""))="","PASS","FAIL: "&amp;TRIM(IF($A261="","Missing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f>
      </c>
      <c r="AY261" s="44">
        <f>IF($M261="","",IF(ISNUMBER($M261),IF($M261&gt;=Header!$C$18,"YES — refer","No"),""))</f>
      </c>
      <c r="AZ261" s="44">
        <f>IF($AD261="","",IF(ISNUMBER($AD261),IF($AD261&lt;Header!$C$20,"BELOW MIN PREMIUM","OK"),""))</f>
      </c>
      <c r="BA261" s="32" t="inlineStr">
        <is>
          <t xml:space="preserve">Yes</t>
        </is>
      </c>
      <c r="BB261" s="32" t="inlineStr">
        <is>
          <t xml:space="preserve">Yes</t>
        </is>
      </c>
      <c r="BC261" s="30" t="inlineStr">
        <is>
          <t xml:space="preserve">Synthetic demo data</t>
        </is>
      </c>
      <c r="BE261" s="45">
        <f>IF(OR($A261="",$L261="",$H261=""),"",IF(AND(LEFT($L261,2)="06",$H261&gt;1945),"FAIL - pre-war class, year "&amp;$H261,IF(AND(LEFT($L261,2)="07",OR($H261&lt;1946,$H261&gt;1972)),"FAIL - 1946-72 class, year "&amp;$H261,IF(AND(LEFT($L261,2)="08",OR($H261&lt;1973,$H261&gt;1999)),"FAIL - 1973-99 class, year "&amp;$H261,IF(AND(LEFT($L261,2)="09",OR($H261&lt;2000,$H261&gt;2010)),"FAIL - 2000-10 class, year "&amp;$H261,"OK")))))</f>
      </c>
      <c r="BF261" s="45">
        <f>IF($AD261="","",IF(ROUND($AO261+$AP261+$AQ261-$AD261,2)=0,"OK","FAIL - out by "&amp;TEXT($AO261+$AP261+$AQ261-$AD261,"$0.00")))</f>
      </c>
    </row>
    <row r="262" spans="1:58" ht="18.75" customHeight="1" x14ac:dyDescent="0.25">
      <c r="A262" s="46" t="inlineStr">
        <is>
          <t xml:space="preserve">CANON-202606-008759</t>
        </is>
      </c>
      <c r="B262" s="46" t="inlineStr">
        <is>
          <t xml:space="preserve">Anouk Blackwood</t>
        </is>
      </c>
      <c r="C262" s="47">
        <v>46186</v>
      </c>
      <c r="D262" s="48" t="inlineStr">
        <is>
          <t xml:space="preserve">Bound - within authority</t>
        </is>
      </c>
      <c r="E262" s="48" t="inlineStr">
        <is>
          <t xml:space="preserve">New business</t>
        </is>
      </c>
      <c r="F262" s="46" t="inlineStr">
        <is>
          <t xml:space="preserve">B1234EXOTIC26</t>
        </is>
      </c>
      <c r="G262" s="33">
        <f>IF($A262="","",IF($C262="","",YEAR($C262)))</f>
      </c>
      <c r="H262" s="49">
        <v>1991</v>
      </c>
      <c r="I262" s="46" t="inlineStr">
        <is>
          <t xml:space="preserve">BMW</t>
        </is>
      </c>
      <c r="J262" s="46" t="inlineStr">
        <is>
          <t xml:space="preserve">M8 Competition</t>
        </is>
      </c>
      <c r="K262" s="46" t="inlineStr">
        <is>
          <t xml:space="preserve">WYR2LKUZT806W8F2V</t>
        </is>
      </c>
      <c r="L262" s="48" t="inlineStr">
        <is>
          <t xml:space="preserve">02 - Sports / GT</t>
        </is>
      </c>
      <c r="M262" s="50">
        <v>415000</v>
      </c>
      <c r="N262" s="48" t="inlineStr">
        <is>
          <t xml:space="preserve">Personal</t>
        </is>
      </c>
      <c r="O262" s="46" t="inlineStr">
        <is>
          <t xml:space="preserve">Personal - regular use</t>
        </is>
      </c>
      <c r="P262" s="46" t="inlineStr">
        <is>
          <t xml:space="preserve">1,000 - 2,500</t>
        </is>
      </c>
      <c r="Q262" s="46" t="inlineStr">
        <is>
          <t xml:space="preserve">California</t>
        </is>
      </c>
      <c r="R262" s="46" t="inlineStr">
        <is>
          <t xml:space="preserve">90012</t>
        </is>
      </c>
      <c r="S262" s="48" t="inlineStr">
        <is>
          <t xml:space="preserve">Earthquake - high (CA, Cascadia, New Madrid)</t>
        </is>
      </c>
      <c r="T262" s="36">
        <f>IF($A262="","",IF($S262="","",IFERROR(INDEX('[1]natural catastrophe'!$D$6:$D$17,MATCH($S262,'[1]natural catastrophe'!$B$6:$B$17,0)),"?")))</f>
      </c>
      <c r="U262" s="46" t="inlineStr">
        <is>
          <t xml:space="preserve">$5,000</t>
        </is>
      </c>
      <c r="V262" s="48" t="inlineStr">
        <is>
          <t xml:space="preserve">Agreed Value</t>
        </is>
      </c>
      <c r="W262" s="46" t="inlineStr">
        <is>
          <t xml:space="preserve">$1,000</t>
        </is>
      </c>
      <c r="X262" s="48" t="inlineStr">
        <is>
          <t xml:space="preserve">$1,000,000 CSL</t>
        </is>
      </c>
      <c r="Y262" s="46"/>
      <c r="Z262" s="46"/>
      <c r="AA262" s="48" t="inlineStr">
        <is>
          <t xml:space="preserve">Surplus Lines</t>
        </is>
      </c>
      <c r="AB262" s="50">
        <v>6063.39</v>
      </c>
      <c r="AC262" s="51">
        <v>0</v>
      </c>
      <c r="AD262" s="38">
        <f>IF(ISNUMBER($AB262),$AB262*(1+N($AC262)),"")</f>
      </c>
      <c r="AE262" s="50">
        <v>350</v>
      </c>
      <c r="AF262" s="50">
        <v>0</v>
      </c>
      <c r="AG262" s="51"/>
      <c r="AH262" s="39">
        <f>IF(ISNUMBER($AD262),($AD262+$AE262+$AF262)*$AG262,"")</f>
      </c>
      <c r="AI262" s="50"/>
      <c r="AJ262" s="38">
        <f>IF(ISNUMBER($AD262),SUM($AD262:$AH262),"")</f>
      </c>
      <c r="AK262" s="40">
        <f>IF(AND(ISNUMBER($AB262),ISNUMBER($AD262)),IF($AB262&gt;0,$AD262/$AB262,""),"")</f>
      </c>
      <c r="AL262" s="48" t="inlineStr">
        <is>
          <t xml:space="preserve">At technical</t>
        </is>
      </c>
      <c r="AM262" s="41">
        <f>IF(ISNUMBER($AD262),Header!$I$3,"")</f>
      </c>
      <c r="AN262" s="39">
        <f>IF(ISNUMBER($AD262),$AO262+$AP262,"")</f>
      </c>
      <c r="AO262" s="39">
        <f>IF(ISNUMBER($AD262),ROUND($AD262*Header!$K$3,2),"")</f>
      </c>
      <c r="AP262" s="39">
        <f>IF(ISNUMBER($AD262),ROUND($AD262*Header!$M$3,2),"")</f>
      </c>
      <c r="AQ262" s="38">
        <f>IF(ISNUMBER($AD262),ROUND($AD262,2)-$AO262-$AP262,"")</f>
      </c>
      <c r="AR262" s="39">
        <f>IF(ISNUMBER($AD262),IF(Header!$D$34="","?",$AD262*Header!$D$34),"")</f>
      </c>
      <c r="AS262" s="39">
        <f>IF(ISNUMBER($AB262),IF(Header!$D$34="","?",$AB262*Header!$D$34),"")</f>
      </c>
      <c r="AT262" s="42">
        <f>IF(AND(ISNUMBER($AB262),$M262&gt;0),$AB262/$M262*100,"")</f>
      </c>
      <c r="AU262" s="42">
        <f>IF(AND(ISNUMBER($AD262),$M262&gt;0),$AD262/$M262*100,"")</f>
      </c>
      <c r="AV262" s="40">
        <f>IF(AND(ISNUMBER($AB262),ISNUMBER($AD262),ABS($AB262)&gt;0),$AD262/$AB262,"")</f>
      </c>
      <c r="AW262" s="39">
        <f>IF(ISNUMBER($AD262),MAX(0,(1-0.55-Header!$O$3)*Header!$Q$3*$AQ262),"")</f>
      </c>
      <c r="AX262" s="43">
        <f>IF($A262="","",IF(TRIM(IF($A262="","Missing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",""))="","PASS","FAIL: "&amp;TRIM(IF($A262="","Missing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f>
      </c>
      <c r="AY262" s="44">
        <f>IF($M262="","",IF(ISNUMBER($M262),IF($M262&gt;=Header!$C$18,"YES — refer","No"),""))</f>
      </c>
      <c r="AZ262" s="44">
        <f>IF($AD262="","",IF(ISNUMBER($AD262),IF($AD262&lt;Header!$C$20,"BELOW MIN PREMIUM","OK"),""))</f>
      </c>
      <c r="BA262" s="48" t="inlineStr">
        <is>
          <t xml:space="preserve">Yes</t>
        </is>
      </c>
      <c r="BB262" s="48" t="inlineStr">
        <is>
          <t xml:space="preserve">Yes</t>
        </is>
      </c>
      <c r="BC262" s="46" t="inlineStr">
        <is>
          <t xml:space="preserve">Synthetic demo data</t>
        </is>
      </c>
      <c r="BE262" s="45">
        <f>IF(OR($A262="",$L262="",$H262=""),"",IF(AND(LEFT($L262,2)="06",$H262&gt;1945),"FAIL - pre-war class, year "&amp;$H262,IF(AND(LEFT($L262,2)="07",OR($H262&lt;1946,$H262&gt;1972)),"FAIL - 1946-72 class, year "&amp;$H262,IF(AND(LEFT($L262,2)="08",OR($H262&lt;1973,$H262&gt;1999)),"FAIL - 1973-99 class, year "&amp;$H262,IF(AND(LEFT($L262,2)="09",OR($H262&lt;2000,$H262&gt;2010)),"FAIL - 2000-10 class, year "&amp;$H262,"OK")))))</f>
      </c>
      <c r="BF262" s="45">
        <f>IF($AD262="","",IF(ROUND($AO262+$AP262+$AQ262-$AD262,2)=0,"OK","FAIL - out by "&amp;TEXT($AO262+$AP262+$AQ262-$AD262,"$0.00")))</f>
      </c>
    </row>
    <row r="263" spans="1:58" ht="18.75" customHeight="1" x14ac:dyDescent="0.25">
      <c r="A263" s="30" t="inlineStr">
        <is>
          <t xml:space="preserve">CANON-202606-008761</t>
        </is>
      </c>
      <c r="B263" s="30" t="inlineStr">
        <is>
          <t xml:space="preserve">Thaddeus Larsson</t>
        </is>
      </c>
      <c r="C263" s="31">
        <v>46191</v>
      </c>
      <c r="D263" s="32" t="inlineStr">
        <is>
          <t xml:space="preserve">Bound - within authority</t>
        </is>
      </c>
      <c r="E263" s="32" t="inlineStr">
        <is>
          <t xml:space="preserve">New business</t>
        </is>
      </c>
      <c r="F263" s="30" t="inlineStr">
        <is>
          <t xml:space="preserve">B1234EXOTIC26</t>
        </is>
      </c>
      <c r="G263" s="33">
        <f>IF($A263="","",IF($C263="","",YEAR($C263)))</f>
      </c>
      <c r="H263" s="34">
        <v>2006</v>
      </c>
      <c r="I263" s="30" t="inlineStr">
        <is>
          <t xml:space="preserve">Maserati</t>
        </is>
      </c>
      <c r="J263" s="30" t="inlineStr">
        <is>
          <t xml:space="preserve">GranTurismo</t>
        </is>
      </c>
      <c r="K263" s="30" t="inlineStr">
        <is>
          <t xml:space="preserve">XB2S45A60VK2GA79W</t>
        </is>
      </c>
      <c r="L263" s="32" t="inlineStr">
        <is>
          <t xml:space="preserve">02 - Sports / GT</t>
        </is>
      </c>
      <c r="M263" s="35">
        <v>465000</v>
      </c>
      <c r="N263" s="32" t="inlineStr">
        <is>
          <t xml:space="preserve">Personal</t>
        </is>
      </c>
      <c r="O263" s="30" t="inlineStr">
        <is>
          <t xml:space="preserve">Personal - regular use</t>
        </is>
      </c>
      <c r="P263" s="30" t="inlineStr">
        <is>
          <t xml:space="preserve">Under 1,000</t>
        </is>
      </c>
      <c r="Q263" s="30" t="inlineStr">
        <is>
          <t xml:space="preserve">Rhode Island</t>
        </is>
      </c>
      <c r="R263" s="30" t="inlineStr">
        <is>
          <t xml:space="preserve">02903</t>
        </is>
      </c>
      <c r="S263" s="32" t="inlineStr">
        <is>
          <t xml:space="preserve">Tier 3 - Coastal wind (25-100 miles)</t>
        </is>
      </c>
      <c r="T263" s="36">
        <f>IF($A263="","",IF($S263="","",IFERROR(INDEX('[1]natural catastrophe'!$D$6:$D$17,MATCH($S263,'[1]natural catastrophe'!$B$6:$B$17,0)),"?")))</f>
      </c>
      <c r="U263" s="30" t="inlineStr">
        <is>
          <t xml:space="preserve">2% of agreed value, minimum $10,000</t>
        </is>
      </c>
      <c r="V263" s="32" t="inlineStr">
        <is>
          <t xml:space="preserve">Agreed Value</t>
        </is>
      </c>
      <c r="W263" s="30" t="inlineStr">
        <is>
          <t xml:space="preserve">$1,000</t>
        </is>
      </c>
      <c r="X263" s="32" t="inlineStr">
        <is>
          <t xml:space="preserve">$1,000,000 CSL</t>
        </is>
      </c>
      <c r="Y263" s="30"/>
      <c r="Z263" s="30"/>
      <c r="AA263" s="32" t="inlineStr">
        <is>
          <t xml:space="preserve">Surplus Lines</t>
        </is>
      </c>
      <c r="AB263" s="35">
        <v>6894.56</v>
      </c>
      <c r="AC263" s="37">
        <v>0</v>
      </c>
      <c r="AD263" s="38">
        <f>IF(ISNUMBER($AB263),$AB263*(1+N($AC263)),"")</f>
      </c>
      <c r="AE263" s="35">
        <v>350</v>
      </c>
      <c r="AF263" s="35">
        <v>0</v>
      </c>
      <c r="AG263" s="37"/>
      <c r="AH263" s="39">
        <f>IF(ISNUMBER($AD263),($AD263+$AE263+$AF263)*$AG263,"")</f>
      </c>
      <c r="AI263" s="35"/>
      <c r="AJ263" s="38">
        <f>IF(ISNUMBER($AD263),SUM($AD263:$AH263),"")</f>
      </c>
      <c r="AK263" s="40">
        <f>IF(AND(ISNUMBER($AB263),ISNUMBER($AD263)),IF($AB263&gt;0,$AD263/$AB263,""),"")</f>
      </c>
      <c r="AL263" s="32" t="inlineStr">
        <is>
          <t xml:space="preserve">At technical</t>
        </is>
      </c>
      <c r="AM263" s="41">
        <f>IF(ISNUMBER($AD263),Header!$I$3,"")</f>
      </c>
      <c r="AN263" s="39">
        <f>IF(ISNUMBER($AD263),$AO263+$AP263,"")</f>
      </c>
      <c r="AO263" s="39">
        <f>IF(ISNUMBER($AD263),ROUND($AD263*Header!$K$3,2),"")</f>
      </c>
      <c r="AP263" s="39">
        <f>IF(ISNUMBER($AD263),ROUND($AD263*Header!$M$3,2),"")</f>
      </c>
      <c r="AQ263" s="38">
        <f>IF(ISNUMBER($AD263),ROUND($AD263,2)-$AO263-$AP263,"")</f>
      </c>
      <c r="AR263" s="39">
        <f>IF(ISNUMBER($AD263),IF(Header!$D$34="","?",$AD263*Header!$D$34),"")</f>
      </c>
      <c r="AS263" s="39">
        <f>IF(ISNUMBER($AB263),IF(Header!$D$34="","?",$AB263*Header!$D$34),"")</f>
      </c>
      <c r="AT263" s="42">
        <f>IF(AND(ISNUMBER($AB263),$M263&gt;0),$AB263/$M263*100,"")</f>
      </c>
      <c r="AU263" s="42">
        <f>IF(AND(ISNUMBER($AD263),$M263&gt;0),$AD263/$M263*100,"")</f>
      </c>
      <c r="AV263" s="40">
        <f>IF(AND(ISNUMBER($AB263),ISNUMBER($AD263),ABS($AB263)&gt;0),$AD263/$AB263,"")</f>
      </c>
      <c r="AW263" s="39">
        <f>IF(ISNUMBER($AD263),MAX(0,(1-0.55-Header!$O$3)*Header!$Q$3*$AQ263),"")</f>
      </c>
      <c r="AX263" s="43">
        <f>IF($A263="","",IF(TRIM(IF($A263="","Missing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",""))="","PASS","FAIL: "&amp;TRIM(IF($A263="","Missing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f>
      </c>
      <c r="AY263" s="44">
        <f>IF($M263="","",IF(ISNUMBER($M263),IF($M263&gt;=Header!$C$18,"YES — refer","No"),""))</f>
      </c>
      <c r="AZ263" s="44">
        <f>IF($AD263="","",IF(ISNUMBER($AD263),IF($AD263&lt;Header!$C$20,"BELOW MIN PREMIUM","OK"),""))</f>
      </c>
      <c r="BA263" s="32" t="inlineStr">
        <is>
          <t xml:space="preserve">Yes</t>
        </is>
      </c>
      <c r="BB263" s="32" t="inlineStr">
        <is>
          <t xml:space="preserve">Yes</t>
        </is>
      </c>
      <c r="BC263" s="30" t="inlineStr">
        <is>
          <t xml:space="preserve">Synthetic demo data</t>
        </is>
      </c>
      <c r="BE263" s="45">
        <f>IF(OR($A263="",$L263="",$H263=""),"",IF(AND(LEFT($L263,2)="06",$H263&gt;1945),"FAIL - pre-war class, year "&amp;$H263,IF(AND(LEFT($L263,2)="07",OR($H263&lt;1946,$H263&gt;1972)),"FAIL - 1946-72 class, year "&amp;$H263,IF(AND(LEFT($L263,2)="08",OR($H263&lt;1973,$H263&gt;1999)),"FAIL - 1973-99 class, year "&amp;$H263,IF(AND(LEFT($L263,2)="09",OR($H263&lt;2000,$H263&gt;2010)),"FAIL - 2000-10 class, year "&amp;$H263,"OK")))))</f>
      </c>
      <c r="BF263" s="45">
        <f>IF($AD263="","",IF(ROUND($AO263+$AP263+$AQ263-$AD263,2)=0,"OK","FAIL - out by "&amp;TEXT($AO263+$AP263+$AQ263-$AD263,"$0.00")))</f>
      </c>
    </row>
    <row r="264" spans="1:58" ht="18.75" customHeight="1" x14ac:dyDescent="0.25">
      <c r="A264" s="46" t="inlineStr">
        <is>
          <t xml:space="preserve">CANON-202606-008762</t>
        </is>
      </c>
      <c r="B264" s="46" t="inlineStr">
        <is>
          <t xml:space="preserve">Beatrix Fairweather</t>
        </is>
      </c>
      <c r="C264" s="47">
        <v>46192</v>
      </c>
      <c r="D264" s="48" t="inlineStr">
        <is>
          <t xml:space="preserve">Bound - within authority</t>
        </is>
      </c>
      <c r="E264" s="48" t="inlineStr">
        <is>
          <t xml:space="preserve">New business</t>
        </is>
      </c>
      <c r="F264" s="46" t="inlineStr">
        <is>
          <t xml:space="preserve">B1234EXOTIC26</t>
        </is>
      </c>
      <c r="G264" s="33">
        <f>IF($A264="","",IF($C264="","",YEAR($C264)))</f>
      </c>
      <c r="H264" s="49">
        <v>1955</v>
      </c>
      <c r="I264" s="46" t="inlineStr">
        <is>
          <t xml:space="preserve">Porsche</t>
        </is>
      </c>
      <c r="J264" s="46" t="inlineStr">
        <is>
          <t xml:space="preserve">911 Turbo S</t>
        </is>
      </c>
      <c r="K264" s="46" t="inlineStr">
        <is>
          <t xml:space="preserve">C29908CC4AYL64XSS</t>
        </is>
      </c>
      <c r="L264" s="48" t="inlineStr">
        <is>
          <t xml:space="preserve">02 - Sports / GT</t>
        </is>
      </c>
      <c r="M264" s="50">
        <v>715000</v>
      </c>
      <c r="N264" s="48" t="inlineStr">
        <is>
          <t xml:space="preserve">Personal</t>
        </is>
      </c>
      <c r="O264" s="46" t="inlineStr">
        <is>
          <t xml:space="preserve">Personal - regular use</t>
        </is>
      </c>
      <c r="P264" s="46" t="inlineStr">
        <is>
          <t xml:space="preserve">1,000 - 2,500</t>
        </is>
      </c>
      <c r="Q264" s="46" t="inlineStr">
        <is>
          <t xml:space="preserve">Illinois</t>
        </is>
      </c>
      <c r="R264" s="46" t="inlineStr">
        <is>
          <t xml:space="preserve">60601</t>
        </is>
      </c>
      <c r="S264" s="48" t="inlineStr">
        <is>
          <t xml:space="preserve">Severe convective - hail / tornado (moderate)</t>
        </is>
      </c>
      <c r="T264" s="36">
        <f>IF($A264="","",IF($S264="","",IFERROR(INDEX('[1]natural catastrophe'!$D$6:$D$17,MATCH($S264,'[1]natural catastrophe'!$B$6:$B$17,0)),"?")))</f>
      </c>
      <c r="U264" s="46" t="inlineStr">
        <is>
          <t xml:space="preserve">$5,000</t>
        </is>
      </c>
      <c r="V264" s="48" t="inlineStr">
        <is>
          <t xml:space="preserve">Agreed Value</t>
        </is>
      </c>
      <c r="W264" s="46" t="inlineStr">
        <is>
          <t xml:space="preserve">$1,000</t>
        </is>
      </c>
      <c r="X264" s="48" t="inlineStr">
        <is>
          <t xml:space="preserve">$1,000,000 CSL</t>
        </is>
      </c>
      <c r="Y264" s="46"/>
      <c r="Z264" s="46"/>
      <c r="AA264" s="48" t="inlineStr">
        <is>
          <t xml:space="preserve">Surplus Lines</t>
        </is>
      </c>
      <c r="AB264" s="50">
        <v>9120.74</v>
      </c>
      <c r="AC264" s="51">
        <v>0</v>
      </c>
      <c r="AD264" s="38">
        <f>IF(ISNUMBER($AB264),$AB264*(1+N($AC264)),"")</f>
      </c>
      <c r="AE264" s="50">
        <v>350</v>
      </c>
      <c r="AF264" s="50">
        <v>0</v>
      </c>
      <c r="AG264" s="51"/>
      <c r="AH264" s="39">
        <f>IF(ISNUMBER($AD264),($AD264+$AE264+$AF264)*$AG264,"")</f>
      </c>
      <c r="AI264" s="50"/>
      <c r="AJ264" s="38">
        <f>IF(ISNUMBER($AD264),SUM($AD264:$AH264),"")</f>
      </c>
      <c r="AK264" s="40">
        <f>IF(AND(ISNUMBER($AB264),ISNUMBER($AD264)),IF($AB264&gt;0,$AD264/$AB264,""),"")</f>
      </c>
      <c r="AL264" s="48" t="inlineStr">
        <is>
          <t xml:space="preserve">At technical</t>
        </is>
      </c>
      <c r="AM264" s="41">
        <f>IF(ISNUMBER($AD264),Header!$I$3,"")</f>
      </c>
      <c r="AN264" s="39">
        <f>IF(ISNUMBER($AD264),$AO264+$AP264,"")</f>
      </c>
      <c r="AO264" s="39">
        <f>IF(ISNUMBER($AD264),ROUND($AD264*Header!$K$3,2),"")</f>
      </c>
      <c r="AP264" s="39">
        <f>IF(ISNUMBER($AD264),ROUND($AD264*Header!$M$3,2),"")</f>
      </c>
      <c r="AQ264" s="38">
        <f>IF(ISNUMBER($AD264),ROUND($AD264,2)-$AO264-$AP264,"")</f>
      </c>
      <c r="AR264" s="39">
        <f>IF(ISNUMBER($AD264),IF(Header!$D$34="","?",$AD264*Header!$D$34),"")</f>
      </c>
      <c r="AS264" s="39">
        <f>IF(ISNUMBER($AB264),IF(Header!$D$34="","?",$AB264*Header!$D$34),"")</f>
      </c>
      <c r="AT264" s="42">
        <f>IF(AND(ISNUMBER($AB264),$M264&gt;0),$AB264/$M264*100,"")</f>
      </c>
      <c r="AU264" s="42">
        <f>IF(AND(ISNUMBER($AD264),$M264&gt;0),$AD264/$M264*100,"")</f>
      </c>
      <c r="AV264" s="40">
        <f>IF(AND(ISNUMBER($AB264),ISNUMBER($AD264),ABS($AB264)&gt;0),$AD264/$AB264,"")</f>
      </c>
      <c r="AW264" s="39">
        <f>IF(ISNUMBER($AD264),MAX(0,(1-0.55-Header!$O$3)*Header!$Q$3*$AQ264),"")</f>
      </c>
      <c r="AX264" s="43">
        <f>IF($A264="","",IF(TRIM(IF($A264="","Missing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",""))="","PASS","FAIL: "&amp;TRIM(IF($A264="","Missing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f>
      </c>
      <c r="AY264" s="44">
        <f>IF($M264="","",IF(ISNUMBER($M264),IF($M264&gt;=Header!$C$18,"YES — refer","No"),""))</f>
      </c>
      <c r="AZ264" s="44">
        <f>IF($AD264="","",IF(ISNUMBER($AD264),IF($AD264&lt;Header!$C$20,"BELOW MIN PREMIUM","OK"),""))</f>
      </c>
      <c r="BA264" s="48" t="inlineStr">
        <is>
          <t xml:space="preserve">Yes</t>
        </is>
      </c>
      <c r="BB264" s="48" t="inlineStr">
        <is>
          <t xml:space="preserve">Yes</t>
        </is>
      </c>
      <c r="BC264" s="46" t="inlineStr">
        <is>
          <t xml:space="preserve">Synthetic demo data</t>
        </is>
      </c>
      <c r="BE264" s="45">
        <f>IF(OR($A264="",$L264="",$H264=""),"",IF(AND(LEFT($L264,2)="06",$H264&gt;1945),"FAIL - pre-war class, year "&amp;$H264,IF(AND(LEFT($L264,2)="07",OR($H264&lt;1946,$H264&gt;1972)),"FAIL - 1946-72 class, year "&amp;$H264,IF(AND(LEFT($L264,2)="08",OR($H264&lt;1973,$H264&gt;1999)),"FAIL - 1973-99 class, year "&amp;$H264,IF(AND(LEFT($L264,2)="09",OR($H264&lt;2000,$H264&gt;2010)),"FAIL - 2000-10 class, year "&amp;$H264,"OK")))))</f>
      </c>
      <c r="BF264" s="45">
        <f>IF($AD264="","",IF(ROUND($AO264+$AP264+$AQ264-$AD264,2)=0,"OK","FAIL - out by "&amp;TEXT($AO264+$AP264+$AQ264-$AD264,"$0.00")))</f>
      </c>
    </row>
    <row r="265" spans="1:58" ht="18.75" customHeight="1" x14ac:dyDescent="0.25">
      <c r="A265" s="30" t="inlineStr">
        <is>
          <t xml:space="preserve">CANON-202606-008765</t>
        </is>
      </c>
      <c r="B265" s="30" t="inlineStr">
        <is>
          <t xml:space="preserve">Horace Bellandi</t>
        </is>
      </c>
      <c r="C265" s="31">
        <v>46198</v>
      </c>
      <c r="D265" s="32" t="inlineStr">
        <is>
          <t xml:space="preserve">Bound - within authority</t>
        </is>
      </c>
      <c r="E265" s="32" t="inlineStr">
        <is>
          <t xml:space="preserve">New business</t>
        </is>
      </c>
      <c r="F265" s="30" t="inlineStr">
        <is>
          <t xml:space="preserve">B1234EXOTIC26</t>
        </is>
      </c>
      <c r="G265" s="33">
        <f>IF($A265="","",IF($C265="","",YEAR($C265)))</f>
      </c>
      <c r="H265" s="34">
        <v>2017</v>
      </c>
      <c r="I265" s="30" t="inlineStr">
        <is>
          <t xml:space="preserve">McLaren</t>
        </is>
      </c>
      <c r="J265" s="30" t="inlineStr">
        <is>
          <t xml:space="preserve">750S</t>
        </is>
      </c>
      <c r="K265" s="30" t="inlineStr">
        <is>
          <t xml:space="preserve">SG68LJZGPXMB5E0WW</t>
        </is>
      </c>
      <c r="L265" s="32" t="inlineStr">
        <is>
          <t xml:space="preserve">03 - Supercar</t>
        </is>
      </c>
      <c r="M265" s="35">
        <v>1430000</v>
      </c>
      <c r="N265" s="32" t="inlineStr">
        <is>
          <t xml:space="preserve">Personal</t>
        </is>
      </c>
      <c r="O265" s="30" t="inlineStr">
        <is>
          <t xml:space="preserve">Personal - regular use</t>
        </is>
      </c>
      <c r="P265" s="30" t="inlineStr">
        <is>
          <t xml:space="preserve">Under 1,000</t>
        </is>
      </c>
      <c r="Q265" s="30" t="inlineStr">
        <is>
          <t xml:space="preserve">Texas</t>
        </is>
      </c>
      <c r="R265" s="30" t="inlineStr">
        <is>
          <t xml:space="preserve">75201</t>
        </is>
      </c>
      <c r="S265" s="32" t="inlineStr">
        <is>
          <t xml:space="preserve">Tier 2 - Coastal wind (1-25 miles)</t>
        </is>
      </c>
      <c r="T265" s="36">
        <f>IF($A265="","",IF($S265="","",IFERROR(INDEX('[1]natural catastrophe'!$D$6:$D$17,MATCH($S265,'[1]natural catastrophe'!$B$6:$B$17,0)),"?")))</f>
      </c>
      <c r="U265" s="30" t="inlineStr">
        <is>
          <t xml:space="preserve">2% of agreed value, minimum $10,000</t>
        </is>
      </c>
      <c r="V265" s="32" t="inlineStr">
        <is>
          <t xml:space="preserve">Agreed Value</t>
        </is>
      </c>
      <c r="W265" s="30" t="inlineStr">
        <is>
          <t xml:space="preserve">$1,000</t>
        </is>
      </c>
      <c r="X265" s="32" t="inlineStr">
        <is>
          <t xml:space="preserve">$1,000,000 CSL</t>
        </is>
      </c>
      <c r="Y265" s="30"/>
      <c r="Z265" s="30"/>
      <c r="AA265" s="32" t="inlineStr">
        <is>
          <t xml:space="preserve">Surplus Lines</t>
        </is>
      </c>
      <c r="AB265" s="35">
        <v>18984.36</v>
      </c>
      <c r="AC265" s="37">
        <v>0</v>
      </c>
      <c r="AD265" s="38">
        <f>IF(ISNUMBER($AB265),$AB265*(1+N($AC265)),"")</f>
      </c>
      <c r="AE265" s="35">
        <v>350</v>
      </c>
      <c r="AF265" s="35">
        <v>250</v>
      </c>
      <c r="AG265" s="37"/>
      <c r="AH265" s="39">
        <f>IF(ISNUMBER($AD265),($AD265+$AE265+$AF265)*$AG265,"")</f>
      </c>
      <c r="AI265" s="35"/>
      <c r="AJ265" s="38">
        <f>IF(ISNUMBER($AD265),SUM($AD265:$AH265),"")</f>
      </c>
      <c r="AK265" s="40">
        <f>IF(AND(ISNUMBER($AB265),ISNUMBER($AD265)),IF($AB265&gt;0,$AD265/$AB265,""),"")</f>
      </c>
      <c r="AL265" s="32" t="inlineStr">
        <is>
          <t xml:space="preserve">At technical</t>
        </is>
      </c>
      <c r="AM265" s="41">
        <f>IF(ISNUMBER($AD265),Header!$I$3,"")</f>
      </c>
      <c r="AN265" s="39">
        <f>IF(ISNUMBER($AD265),$AO265+$AP265,"")</f>
      </c>
      <c r="AO265" s="39">
        <f>IF(ISNUMBER($AD265),ROUND($AD265*Header!$K$3,2),"")</f>
      </c>
      <c r="AP265" s="39">
        <f>IF(ISNUMBER($AD265),ROUND($AD265*Header!$M$3,2),"")</f>
      </c>
      <c r="AQ265" s="38">
        <f>IF(ISNUMBER($AD265),ROUND($AD265,2)-$AO265-$AP265,"")</f>
      </c>
      <c r="AR265" s="39">
        <f>IF(ISNUMBER($AD265),IF(Header!$D$34="","?",$AD265*Header!$D$34),"")</f>
      </c>
      <c r="AS265" s="39">
        <f>IF(ISNUMBER($AB265),IF(Header!$D$34="","?",$AB265*Header!$D$34),"")</f>
      </c>
      <c r="AT265" s="42">
        <f>IF(AND(ISNUMBER($AB265),$M265&gt;0),$AB265/$M265*100,"")</f>
      </c>
      <c r="AU265" s="42">
        <f>IF(AND(ISNUMBER($AD265),$M265&gt;0),$AD265/$M265*100,"")</f>
      </c>
      <c r="AV265" s="40">
        <f>IF(AND(ISNUMBER($AB265),ISNUMBER($AD265),ABS($AB265)&gt;0),$AD265/$AB265,"")</f>
      </c>
      <c r="AW265" s="39">
        <f>IF(ISNUMBER($AD265),MAX(0,(1-0.55-Header!$O$3)*Header!$Q$3*$AQ265),"")</f>
      </c>
      <c r="AX265" s="43">
        <f>IF($A265="","",IF(TRIM(IF($A265="","Missing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",""))="","PASS","FAIL: "&amp;TRIM(IF($A265="","Missing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f>
      </c>
      <c r="AY265" s="44">
        <f>IF($M265="","",IF(ISNUMBER($M265),IF($M265&gt;=Header!$C$18,"YES — refer","No"),""))</f>
      </c>
      <c r="AZ265" s="44">
        <f>IF($AD265="","",IF(ISNUMBER($AD265),IF($AD265&lt;Header!$C$20,"BELOW MIN PREMIUM","OK"),""))</f>
      </c>
      <c r="BA265" s="32" t="inlineStr">
        <is>
          <t xml:space="preserve">Yes</t>
        </is>
      </c>
      <c r="BB265" s="32" t="inlineStr">
        <is>
          <t xml:space="preserve">Yes</t>
        </is>
      </c>
      <c r="BC265" s="30" t="inlineStr">
        <is>
          <t xml:space="preserve">Synthetic demo data</t>
        </is>
      </c>
      <c r="BE265" s="45">
        <f>IF(OR($A265="",$L265="",$H265=""),"",IF(AND(LEFT($L265,2)="06",$H265&gt;1945),"FAIL - pre-war class, year "&amp;$H265,IF(AND(LEFT($L265,2)="07",OR($H265&lt;1946,$H265&gt;1972)),"FAIL - 1946-72 class, year "&amp;$H265,IF(AND(LEFT($L265,2)="08",OR($H265&lt;1973,$H265&gt;1999)),"FAIL - 1973-99 class, year "&amp;$H265,IF(AND(LEFT($L265,2)="09",OR($H265&lt;2000,$H265&gt;2010)),"FAIL - 2000-10 class, year "&amp;$H265,"OK")))))</f>
      </c>
      <c r="BF265" s="45">
        <f>IF($AD265="","",IF(ROUND($AO265+$AP265+$AQ265-$AD265,2)=0,"OK","FAIL - out by "&amp;TEXT($AO265+$AP265+$AQ265-$AD265,"$0.00")))</f>
      </c>
    </row>
    <row r="266" spans="1:58" ht="18.75" customHeight="1" x14ac:dyDescent="0.25">
      <c r="A266" s="46" t="inlineStr">
        <is>
          <t xml:space="preserve">CANON-202606-008766</t>
        </is>
      </c>
      <c r="B266" s="46" t="inlineStr">
        <is>
          <t xml:space="preserve">Noor Bellandi</t>
        </is>
      </c>
      <c r="C266" s="47">
        <v>46179</v>
      </c>
      <c r="D266" s="48" t="inlineStr">
        <is>
          <t xml:space="preserve">Bound - within authority</t>
        </is>
      </c>
      <c r="E266" s="48" t="inlineStr">
        <is>
          <t xml:space="preserve">New business</t>
        </is>
      </c>
      <c r="F266" s="46" t="inlineStr">
        <is>
          <t xml:space="preserve">B1234EXOTIC26</t>
        </is>
      </c>
      <c r="G266" s="33">
        <f>IF($A266="","",IF($C266="","",YEAR($C266)))</f>
      </c>
      <c r="H266" s="49">
        <v>2018</v>
      </c>
      <c r="I266" s="46" t="inlineStr">
        <is>
          <t xml:space="preserve">Bentley</t>
        </is>
      </c>
      <c r="J266" s="46" t="inlineStr">
        <is>
          <t xml:space="preserve">Continental GT</t>
        </is>
      </c>
      <c r="K266" s="46" t="inlineStr">
        <is>
          <t xml:space="preserve">T54SD2TMGA7VMPK3E</t>
        </is>
      </c>
      <c r="L266" s="48" t="inlineStr">
        <is>
          <t xml:space="preserve">02 - Sports / GT</t>
        </is>
      </c>
      <c r="M266" s="50">
        <v>235000</v>
      </c>
      <c r="N266" s="48" t="inlineStr">
        <is>
          <t xml:space="preserve">Personal</t>
        </is>
      </c>
      <c r="O266" s="46" t="inlineStr">
        <is>
          <t xml:space="preserve">Personal - regular use</t>
        </is>
      </c>
      <c r="P266" s="46" t="inlineStr">
        <is>
          <t xml:space="preserve">2,500 - 5,000</t>
        </is>
      </c>
      <c r="Q266" s="46" t="inlineStr">
        <is>
          <t xml:space="preserve">Ohio</t>
        </is>
      </c>
      <c r="R266" s="46" t="inlineStr">
        <is>
          <t xml:space="preserve">43215</t>
        </is>
      </c>
      <c r="S266" s="48" t="inlineStr">
        <is>
          <t xml:space="preserve">Severe convective - hail / tornado (moderate)</t>
        </is>
      </c>
      <c r="T266" s="36">
        <f>IF($A266="","",IF($S266="","",IFERROR(INDEX('[1]natural catastrophe'!$D$6:$D$17,MATCH($S266,'[1]natural catastrophe'!$B$6:$B$17,0)),"?")))</f>
      </c>
      <c r="U266" s="46" t="inlineStr">
        <is>
          <t xml:space="preserve">$5,000</t>
        </is>
      </c>
      <c r="V266" s="48" t="inlineStr">
        <is>
          <t xml:space="preserve">Agreed Value</t>
        </is>
      </c>
      <c r="W266" s="46" t="inlineStr">
        <is>
          <t xml:space="preserve">$1,000</t>
        </is>
      </c>
      <c r="X266" s="48" t="inlineStr">
        <is>
          <t xml:space="preserve">$1,000,000 CSL</t>
        </is>
      </c>
      <c r="Y266" s="46"/>
      <c r="Z266" s="46"/>
      <c r="AA266" s="48" t="inlineStr">
        <is>
          <t xml:space="preserve">Surplus Lines</t>
        </is>
      </c>
      <c r="AB266" s="50">
        <v>4336.53</v>
      </c>
      <c r="AC266" s="51">
        <v>0</v>
      </c>
      <c r="AD266" s="38">
        <f>IF(ISNUMBER($AB266),$AB266*(1+N($AC266)),"")</f>
      </c>
      <c r="AE266" s="50">
        <v>350</v>
      </c>
      <c r="AF266" s="50">
        <v>0</v>
      </c>
      <c r="AG266" s="51"/>
      <c r="AH266" s="39">
        <f>IF(ISNUMBER($AD266),($AD266+$AE266+$AF266)*$AG266,"")</f>
      </c>
      <c r="AI266" s="50"/>
      <c r="AJ266" s="38">
        <f>IF(ISNUMBER($AD266),SUM($AD266:$AH266),"")</f>
      </c>
      <c r="AK266" s="40">
        <f>IF(AND(ISNUMBER($AB266),ISNUMBER($AD266)),IF($AB266&gt;0,$AD266/$AB266,""),"")</f>
      </c>
      <c r="AL266" s="48" t="inlineStr">
        <is>
          <t xml:space="preserve">At technical</t>
        </is>
      </c>
      <c r="AM266" s="41">
        <f>IF(ISNUMBER($AD266),Header!$I$3,"")</f>
      </c>
      <c r="AN266" s="39">
        <f>IF(ISNUMBER($AD266),$AO266+$AP266,"")</f>
      </c>
      <c r="AO266" s="39">
        <f>IF(ISNUMBER($AD266),ROUND($AD266*Header!$K$3,2),"")</f>
      </c>
      <c r="AP266" s="39">
        <f>IF(ISNUMBER($AD266),ROUND($AD266*Header!$M$3,2),"")</f>
      </c>
      <c r="AQ266" s="38">
        <f>IF(ISNUMBER($AD266),ROUND($AD266,2)-$AO266-$AP266,"")</f>
      </c>
      <c r="AR266" s="39">
        <f>IF(ISNUMBER($AD266),IF(Header!$D$34="","?",$AD266*Header!$D$34),"")</f>
      </c>
      <c r="AS266" s="39">
        <f>IF(ISNUMBER($AB266),IF(Header!$D$34="","?",$AB266*Header!$D$34),"")</f>
      </c>
      <c r="AT266" s="42">
        <f>IF(AND(ISNUMBER($AB266),$M266&gt;0),$AB266/$M266*100,"")</f>
      </c>
      <c r="AU266" s="42">
        <f>IF(AND(ISNUMBER($AD266),$M266&gt;0),$AD266/$M266*100,"")</f>
      </c>
      <c r="AV266" s="40">
        <f>IF(AND(ISNUMBER($AB266),ISNUMBER($AD266),ABS($AB266)&gt;0),$AD266/$AB266,"")</f>
      </c>
      <c r="AW266" s="39">
        <f>IF(ISNUMBER($AD266),MAX(0,(1-0.55-Header!$O$3)*Header!$Q$3*$AQ266),"")</f>
      </c>
      <c r="AX266" s="43">
        <f>IF($A266="","",IF(TRIM(IF($A266="","Missing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",""))="","PASS","FAIL: "&amp;TRIM(IF($A266="","Missing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f>
      </c>
      <c r="AY266" s="44">
        <f>IF($M266="","",IF(ISNUMBER($M266),IF($M266&gt;=Header!$C$18,"YES — refer","No"),""))</f>
      </c>
      <c r="AZ266" s="44">
        <f>IF($AD266="","",IF(ISNUMBER($AD266),IF($AD266&lt;Header!$C$20,"BELOW MIN PREMIUM","OK"),""))</f>
      </c>
      <c r="BA266" s="48" t="inlineStr">
        <is>
          <t xml:space="preserve">Yes</t>
        </is>
      </c>
      <c r="BB266" s="48" t="inlineStr">
        <is>
          <t xml:space="preserve">Yes</t>
        </is>
      </c>
      <c r="BC266" s="46" t="inlineStr">
        <is>
          <t xml:space="preserve">Synthetic demo data</t>
        </is>
      </c>
      <c r="BE266" s="45">
        <f>IF(OR($A266="",$L266="",$H266=""),"",IF(AND(LEFT($L266,2)="06",$H266&gt;1945),"FAIL - pre-war class, year "&amp;$H266,IF(AND(LEFT($L266,2)="07",OR($H266&lt;1946,$H266&gt;1972)),"FAIL - 1946-72 class, year "&amp;$H266,IF(AND(LEFT($L266,2)="08",OR($H266&lt;1973,$H266&gt;1999)),"FAIL - 1973-99 class, year "&amp;$H266,IF(AND(LEFT($L266,2)="09",OR($H266&lt;2000,$H266&gt;2010)),"FAIL - 2000-10 class, year "&amp;$H266,"OK")))))</f>
      </c>
      <c r="BF266" s="45">
        <f>IF($AD266="","",IF(ROUND($AO266+$AP266+$AQ266-$AD266,2)=0,"OK","FAIL - out by "&amp;TEXT($AO266+$AP266+$AQ266-$AD266,"$0.00")))</f>
      </c>
    </row>
    <row r="267" spans="1:58" ht="18.75" customHeight="1" x14ac:dyDescent="0.25">
      <c r="A267" s="30" t="inlineStr">
        <is>
          <t xml:space="preserve">CANON-202606-008769</t>
        </is>
      </c>
      <c r="B267" s="30" t="inlineStr">
        <is>
          <t xml:space="preserve">Aurelio Okonkwo</t>
        </is>
      </c>
      <c r="C267" s="31">
        <v>46191</v>
      </c>
      <c r="D267" s="32" t="inlineStr">
        <is>
          <t xml:space="preserve">Bound - within authority</t>
        </is>
      </c>
      <c r="E267" s="32" t="inlineStr">
        <is>
          <t xml:space="preserve">New business</t>
        </is>
      </c>
      <c r="F267" s="30" t="inlineStr">
        <is>
          <t xml:space="preserve">B1234EXOTIC26</t>
        </is>
      </c>
      <c r="G267" s="33">
        <f>IF($A267="","",IF($C267="","",YEAR($C267)))</f>
      </c>
      <c r="H267" s="34">
        <v>1987</v>
      </c>
      <c r="I267" s="30" t="inlineStr">
        <is>
          <t xml:space="preserve">Mercedes-Benz</t>
        </is>
      </c>
      <c r="J267" s="30" t="inlineStr">
        <is>
          <t xml:space="preserve">AMG GT</t>
        </is>
      </c>
      <c r="K267" s="30" t="inlineStr">
        <is>
          <t xml:space="preserve">TZWJZ7RE9WCPW5JVK</t>
        </is>
      </c>
      <c r="L267" s="32" t="inlineStr">
        <is>
          <t xml:space="preserve">02 - Sports / GT</t>
        </is>
      </c>
      <c r="M267" s="35">
        <v>515000</v>
      </c>
      <c r="N267" s="32" t="inlineStr">
        <is>
          <t xml:space="preserve">Personal</t>
        </is>
      </c>
      <c r="O267" s="30" t="inlineStr">
        <is>
          <t xml:space="preserve">Personal - regular use</t>
        </is>
      </c>
      <c r="P267" s="30" t="inlineStr">
        <is>
          <t xml:space="preserve">2,500 - 5,000</t>
        </is>
      </c>
      <c r="Q267" s="30" t="inlineStr">
        <is>
          <t xml:space="preserve">Kansas</t>
        </is>
      </c>
      <c r="R267" s="30" t="inlineStr">
        <is>
          <t xml:space="preserve">66603</t>
        </is>
      </c>
      <c r="S267" s="32" t="inlineStr">
        <is>
          <t xml:space="preserve">Severe convective - hail alley (high)</t>
        </is>
      </c>
      <c r="T267" s="36">
        <f>IF($A267="","",IF($S267="","",IFERROR(INDEX('[1]natural catastrophe'!$D$6:$D$17,MATCH($S267,'[1]natural catastrophe'!$B$6:$B$17,0)),"?")))</f>
      </c>
      <c r="U267" s="30" t="inlineStr">
        <is>
          <t xml:space="preserve">$5,000</t>
        </is>
      </c>
      <c r="V267" s="32" t="inlineStr">
        <is>
          <t xml:space="preserve">Agreed Value</t>
        </is>
      </c>
      <c r="W267" s="30" t="inlineStr">
        <is>
          <t xml:space="preserve">$1,000</t>
        </is>
      </c>
      <c r="X267" s="32" t="inlineStr">
        <is>
          <t xml:space="preserve">$1,000,000 CSL</t>
        </is>
      </c>
      <c r="Y267" s="30"/>
      <c r="Z267" s="30"/>
      <c r="AA267" s="32" t="inlineStr">
        <is>
          <t xml:space="preserve">Surplus Lines</t>
        </is>
      </c>
      <c r="AB267" s="35">
        <v>4685.59</v>
      </c>
      <c r="AC267" s="37">
        <v>0</v>
      </c>
      <c r="AD267" s="38">
        <f>IF(ISNUMBER($AB267),$AB267*(1+N($AC267)),"")</f>
      </c>
      <c r="AE267" s="35">
        <v>350</v>
      </c>
      <c r="AF267" s="35">
        <v>0</v>
      </c>
      <c r="AG267" s="37"/>
      <c r="AH267" s="39">
        <f>IF(ISNUMBER($AD267),($AD267+$AE267+$AF267)*$AG267,"")</f>
      </c>
      <c r="AI267" s="35"/>
      <c r="AJ267" s="38">
        <f>IF(ISNUMBER($AD267),SUM($AD267:$AH267),"")</f>
      </c>
      <c r="AK267" s="40">
        <f>IF(AND(ISNUMBER($AB267),ISNUMBER($AD267)),IF($AB267&gt;0,$AD267/$AB267,""),"")</f>
      </c>
      <c r="AL267" s="32" t="inlineStr">
        <is>
          <t xml:space="preserve">At technical</t>
        </is>
      </c>
      <c r="AM267" s="41">
        <f>IF(ISNUMBER($AD267),Header!$I$3,"")</f>
      </c>
      <c r="AN267" s="39">
        <f>IF(ISNUMBER($AD267),$AO267+$AP267,"")</f>
      </c>
      <c r="AO267" s="39">
        <f>IF(ISNUMBER($AD267),ROUND($AD267*Header!$K$3,2),"")</f>
      </c>
      <c r="AP267" s="39">
        <f>IF(ISNUMBER($AD267),ROUND($AD267*Header!$M$3,2),"")</f>
      </c>
      <c r="AQ267" s="38">
        <f>IF(ISNUMBER($AD267),ROUND($AD267,2)-$AO267-$AP267,"")</f>
      </c>
      <c r="AR267" s="39">
        <f>IF(ISNUMBER($AD267),IF(Header!$D$34="","?",$AD267*Header!$D$34),"")</f>
      </c>
      <c r="AS267" s="39">
        <f>IF(ISNUMBER($AB267),IF(Header!$D$34="","?",$AB267*Header!$D$34),"")</f>
      </c>
      <c r="AT267" s="42">
        <f>IF(AND(ISNUMBER($AB267),$M267&gt;0),$AB267/$M267*100,"")</f>
      </c>
      <c r="AU267" s="42">
        <f>IF(AND(ISNUMBER($AD267),$M267&gt;0),$AD267/$M267*100,"")</f>
      </c>
      <c r="AV267" s="40">
        <f>IF(AND(ISNUMBER($AB267),ISNUMBER($AD267),ABS($AB267)&gt;0),$AD267/$AB267,"")</f>
      </c>
      <c r="AW267" s="39">
        <f>IF(ISNUMBER($AD267),MAX(0,(1-0.55-Header!$O$3)*Header!$Q$3*$AQ267),"")</f>
      </c>
      <c r="AX267" s="43">
        <f>IF($A267="","",IF(TRIM(IF($A267="","Missing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",""))="","PASS","FAIL: "&amp;TRIM(IF($A267="","Missing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f>
      </c>
      <c r="AY267" s="44">
        <f>IF($M267="","",IF(ISNUMBER($M267),IF($M267&gt;=Header!$C$18,"YES — refer","No"),""))</f>
      </c>
      <c r="AZ267" s="44">
        <f>IF($AD267="","",IF(ISNUMBER($AD267),IF($AD267&lt;Header!$C$20,"BELOW MIN PREMIUM","OK"),""))</f>
      </c>
      <c r="BA267" s="32" t="inlineStr">
        <is>
          <t xml:space="preserve">Yes</t>
        </is>
      </c>
      <c r="BB267" s="32" t="inlineStr">
        <is>
          <t xml:space="preserve">Yes</t>
        </is>
      </c>
      <c r="BC267" s="30" t="inlineStr">
        <is>
          <t xml:space="preserve">Synthetic demo data</t>
        </is>
      </c>
      <c r="BE267" s="45">
        <f>IF(OR($A267="",$L267="",$H267=""),"",IF(AND(LEFT($L267,2)="06",$H267&gt;1945),"FAIL - pre-war class, year "&amp;$H267,IF(AND(LEFT($L267,2)="07",OR($H267&lt;1946,$H267&gt;1972)),"FAIL - 1946-72 class, year "&amp;$H267,IF(AND(LEFT($L267,2)="08",OR($H267&lt;1973,$H267&gt;1999)),"FAIL - 1973-99 class, year "&amp;$H267,IF(AND(LEFT($L267,2)="09",OR($H267&lt;2000,$H267&gt;2010)),"FAIL - 2000-10 class, year "&amp;$H267,"OK")))))</f>
      </c>
      <c r="BF267" s="45">
        <f>IF($AD267="","",IF(ROUND($AO267+$AP267+$AQ267-$AD267,2)=0,"OK","FAIL - out by "&amp;TEXT($AO267+$AP267+$AQ267-$AD267,"$0.00")))</f>
      </c>
    </row>
    <row r="268" spans="1:58" ht="18.75" customHeight="1" x14ac:dyDescent="0.25">
      <c r="A268" s="46" t="inlineStr">
        <is>
          <t xml:space="preserve">CANON-202606-008770</t>
        </is>
      </c>
      <c r="B268" s="46" t="inlineStr">
        <is>
          <t xml:space="preserve">Marisol Harrington</t>
        </is>
      </c>
      <c r="C268" s="47">
        <v>46177</v>
      </c>
      <c r="D268" s="48" t="inlineStr">
        <is>
          <t xml:space="preserve">Bound - within authority</t>
        </is>
      </c>
      <c r="E268" s="48" t="inlineStr">
        <is>
          <t xml:space="preserve">New business</t>
        </is>
      </c>
      <c r="F268" s="46" t="inlineStr">
        <is>
          <t xml:space="preserve">B1234EXOTIC26</t>
        </is>
      </c>
      <c r="G268" s="33">
        <f>IF($A268="","",IF($C268="","",YEAR($C268)))</f>
      </c>
      <c r="H268" s="49">
        <v>2008</v>
      </c>
      <c r="I268" s="46" t="inlineStr">
        <is>
          <t xml:space="preserve">Bentley</t>
        </is>
      </c>
      <c r="J268" s="46" t="inlineStr">
        <is>
          <t xml:space="preserve">Continental GT</t>
        </is>
      </c>
      <c r="K268" s="46" t="inlineStr">
        <is>
          <t xml:space="preserve">KHKD3A674TZ930Y0K</t>
        </is>
      </c>
      <c r="L268" s="48" t="inlineStr">
        <is>
          <t xml:space="preserve">02 - Sports / GT</t>
        </is>
      </c>
      <c r="M268" s="50">
        <v>690000</v>
      </c>
      <c r="N268" s="48" t="inlineStr">
        <is>
          <t xml:space="preserve">Personal</t>
        </is>
      </c>
      <c r="O268" s="46" t="inlineStr">
        <is>
          <t xml:space="preserve">Personal - regular use</t>
        </is>
      </c>
      <c r="P268" s="46" t="inlineStr">
        <is>
          <t xml:space="preserve">Under 1,000</t>
        </is>
      </c>
      <c r="Q268" s="46" t="inlineStr">
        <is>
          <t xml:space="preserve">Illinois</t>
        </is>
      </c>
      <c r="R268" s="46" t="inlineStr">
        <is>
          <t xml:space="preserve">60601</t>
        </is>
      </c>
      <c r="S268" s="48" t="inlineStr">
        <is>
          <t xml:space="preserve">Severe convective - hail / tornado (moderate)</t>
        </is>
      </c>
      <c r="T268" s="36">
        <f>IF($A268="","",IF($S268="","",IFERROR(INDEX('[1]natural catastrophe'!$D$6:$D$17,MATCH($S268,'[1]natural catastrophe'!$B$6:$B$17,0)),"?")))</f>
      </c>
      <c r="U268" s="46" t="inlineStr">
        <is>
          <t xml:space="preserve">$5,000</t>
        </is>
      </c>
      <c r="V268" s="48" t="inlineStr">
        <is>
          <t xml:space="preserve">Agreed Value</t>
        </is>
      </c>
      <c r="W268" s="46" t="inlineStr">
        <is>
          <t xml:space="preserve">$1,000</t>
        </is>
      </c>
      <c r="X268" s="48" t="inlineStr">
        <is>
          <t xml:space="preserve">$1,000,000 CSL</t>
        </is>
      </c>
      <c r="Y268" s="46"/>
      <c r="Z268" s="46"/>
      <c r="AA268" s="48" t="inlineStr">
        <is>
          <t xml:space="preserve">Surplus Lines</t>
        </is>
      </c>
      <c r="AB268" s="50">
        <v>8801.84</v>
      </c>
      <c r="AC268" s="51">
        <v>0</v>
      </c>
      <c r="AD268" s="38">
        <f>IF(ISNUMBER($AB268),$AB268*(1+N($AC268)),"")</f>
      </c>
      <c r="AE268" s="50">
        <v>350</v>
      </c>
      <c r="AF268" s="50">
        <v>0</v>
      </c>
      <c r="AG268" s="51"/>
      <c r="AH268" s="39">
        <f>IF(ISNUMBER($AD268),($AD268+$AE268+$AF268)*$AG268,"")</f>
      </c>
      <c r="AI268" s="50"/>
      <c r="AJ268" s="38">
        <f>IF(ISNUMBER($AD268),SUM($AD268:$AH268),"")</f>
      </c>
      <c r="AK268" s="40">
        <f>IF(AND(ISNUMBER($AB268),ISNUMBER($AD268)),IF($AB268&gt;0,$AD268/$AB268,""),"")</f>
      </c>
      <c r="AL268" s="48" t="inlineStr">
        <is>
          <t xml:space="preserve">At technical</t>
        </is>
      </c>
      <c r="AM268" s="41">
        <f>IF(ISNUMBER($AD268),Header!$I$3,"")</f>
      </c>
      <c r="AN268" s="39">
        <f>IF(ISNUMBER($AD268),$AO268+$AP268,"")</f>
      </c>
      <c r="AO268" s="39">
        <f>IF(ISNUMBER($AD268),ROUND($AD268*Header!$K$3,2),"")</f>
      </c>
      <c r="AP268" s="39">
        <f>IF(ISNUMBER($AD268),ROUND($AD268*Header!$M$3,2),"")</f>
      </c>
      <c r="AQ268" s="38">
        <f>IF(ISNUMBER($AD268),ROUND($AD268,2)-$AO268-$AP268,"")</f>
      </c>
      <c r="AR268" s="39">
        <f>IF(ISNUMBER($AD268),IF(Header!$D$34="","?",$AD268*Header!$D$34),"")</f>
      </c>
      <c r="AS268" s="39">
        <f>IF(ISNUMBER($AB268),IF(Header!$D$34="","?",$AB268*Header!$D$34),"")</f>
      </c>
      <c r="AT268" s="42">
        <f>IF(AND(ISNUMBER($AB268),$M268&gt;0),$AB268/$M268*100,"")</f>
      </c>
      <c r="AU268" s="42">
        <f>IF(AND(ISNUMBER($AD268),$M268&gt;0),$AD268/$M268*100,"")</f>
      </c>
      <c r="AV268" s="40">
        <f>IF(AND(ISNUMBER($AB268),ISNUMBER($AD268),ABS($AB268)&gt;0),$AD268/$AB268,"")</f>
      </c>
      <c r="AW268" s="39">
        <f>IF(ISNUMBER($AD268),MAX(0,(1-0.55-Header!$O$3)*Header!$Q$3*$AQ268),"")</f>
      </c>
      <c r="AX268" s="43">
        <f>IF($A268="","",IF(TRIM(IF($A268="","Missing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",""))="","PASS","FAIL: "&amp;TRIM(IF($A268="","Missing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f>
      </c>
      <c r="AY268" s="44">
        <f>IF($M268="","",IF(ISNUMBER($M268),IF($M268&gt;=Header!$C$18,"YES — refer","No"),""))</f>
      </c>
      <c r="AZ268" s="44">
        <f>IF($AD268="","",IF(ISNUMBER($AD268),IF($AD268&lt;Header!$C$20,"BELOW MIN PREMIUM","OK"),""))</f>
      </c>
      <c r="BA268" s="48" t="inlineStr">
        <is>
          <t xml:space="preserve">Yes</t>
        </is>
      </c>
      <c r="BB268" s="48" t="inlineStr">
        <is>
          <t xml:space="preserve">Yes</t>
        </is>
      </c>
      <c r="BC268" s="46" t="inlineStr">
        <is>
          <t xml:space="preserve">Synthetic demo data</t>
        </is>
      </c>
      <c r="BE268" s="45">
        <f>IF(OR($A268="",$L268="",$H268=""),"",IF(AND(LEFT($L268,2)="06",$H268&gt;1945),"FAIL - pre-war class, year "&amp;$H268,IF(AND(LEFT($L268,2)="07",OR($H268&lt;1946,$H268&gt;1972)),"FAIL - 1946-72 class, year "&amp;$H268,IF(AND(LEFT($L268,2)="08",OR($H268&lt;1973,$H268&gt;1999)),"FAIL - 1973-99 class, year "&amp;$H268,IF(AND(LEFT($L268,2)="09",OR($H268&lt;2000,$H268&gt;2010)),"FAIL - 2000-10 class, year "&amp;$H268,"OK")))))</f>
      </c>
      <c r="BF268" s="45">
        <f>IF($AD268="","",IF(ROUND($AO268+$AP268+$AQ268-$AD268,2)=0,"OK","FAIL - out by "&amp;TEXT($AO268+$AP268+$AQ268-$AD268,"$0.00")))</f>
      </c>
    </row>
    <row r="269" spans="1:58" ht="18.75" customHeight="1" x14ac:dyDescent="0.25">
      <c r="A269" s="30" t="inlineStr">
        <is>
          <t xml:space="preserve">CANON-202606-008771</t>
        </is>
      </c>
      <c r="B269" s="30" t="inlineStr">
        <is>
          <t xml:space="preserve">Noor Thistlewood</t>
        </is>
      </c>
      <c r="C269" s="31">
        <v>46192</v>
      </c>
      <c r="D269" s="32" t="inlineStr">
        <is>
          <t xml:space="preserve">Bound - within authority</t>
        </is>
      </c>
      <c r="E269" s="32" t="inlineStr">
        <is>
          <t xml:space="preserve">New business</t>
        </is>
      </c>
      <c r="F269" s="30" t="inlineStr">
        <is>
          <t xml:space="preserve">B1234EXOTIC26</t>
        </is>
      </c>
      <c r="G269" s="33">
        <f>IF($A269="","",IF($C269="","",YEAR($C269)))</f>
      </c>
      <c r="H269" s="34">
        <v>2009</v>
      </c>
      <c r="I269" s="30" t="inlineStr">
        <is>
          <t xml:space="preserve">Maserati</t>
        </is>
      </c>
      <c r="J269" s="30" t="inlineStr">
        <is>
          <t xml:space="preserve">GranTurismo</t>
        </is>
      </c>
      <c r="K269" s="30" t="inlineStr">
        <is>
          <t xml:space="preserve">59E31XVELGG1E27UR</t>
        </is>
      </c>
      <c r="L269" s="32" t="inlineStr">
        <is>
          <t xml:space="preserve">02 - Sports / GT</t>
        </is>
      </c>
      <c r="M269" s="35">
        <v>190000</v>
      </c>
      <c r="N269" s="32" t="inlineStr">
        <is>
          <t xml:space="preserve">Personal</t>
        </is>
      </c>
      <c r="O269" s="30" t="inlineStr">
        <is>
          <t xml:space="preserve">Personal - regular use</t>
        </is>
      </c>
      <c r="P269" s="30" t="inlineStr">
        <is>
          <t xml:space="preserve">Under 1,000</t>
        </is>
      </c>
      <c r="Q269" s="30" t="inlineStr">
        <is>
          <t xml:space="preserve">Oregon</t>
        </is>
      </c>
      <c r="R269" s="30" t="inlineStr">
        <is>
          <t xml:space="preserve">97204</t>
        </is>
      </c>
      <c r="S269" s="32" t="inlineStr">
        <is>
          <t xml:space="preserve">Earthquake - high (CA, Cascadia, New Madrid)</t>
        </is>
      </c>
      <c r="T269" s="36">
        <f>IF($A269="","",IF($S269="","",IFERROR(INDEX('[1]natural catastrophe'!$D$6:$D$17,MATCH($S269,'[1]natural catastrophe'!$B$6:$B$17,0)),"?")))</f>
      </c>
      <c r="U269" s="30" t="inlineStr">
        <is>
          <t xml:space="preserve">$5,000</t>
        </is>
      </c>
      <c r="V269" s="32" t="inlineStr">
        <is>
          <t xml:space="preserve">Agreed Value</t>
        </is>
      </c>
      <c r="W269" s="30" t="inlineStr">
        <is>
          <t xml:space="preserve">$1,000</t>
        </is>
      </c>
      <c r="X269" s="32" t="inlineStr">
        <is>
          <t xml:space="preserve">$1,000,000 CSL</t>
        </is>
      </c>
      <c r="Y269" s="30"/>
      <c r="Z269" s="30"/>
      <c r="AA269" s="32" t="inlineStr">
        <is>
          <t xml:space="preserve">Surplus Lines</t>
        </is>
      </c>
      <c r="AB269" s="35">
        <v>2850.31</v>
      </c>
      <c r="AC269" s="37">
        <v>0</v>
      </c>
      <c r="AD269" s="38">
        <f>IF(ISNUMBER($AB269),$AB269*(1+N($AC269)),"")</f>
      </c>
      <c r="AE269" s="35">
        <v>350</v>
      </c>
      <c r="AF269" s="35">
        <v>0</v>
      </c>
      <c r="AG269" s="37"/>
      <c r="AH269" s="39">
        <f>IF(ISNUMBER($AD269),($AD269+$AE269+$AF269)*$AG269,"")</f>
      </c>
      <c r="AI269" s="35"/>
      <c r="AJ269" s="38">
        <f>IF(ISNUMBER($AD269),SUM($AD269:$AH269),"")</f>
      </c>
      <c r="AK269" s="40">
        <f>IF(AND(ISNUMBER($AB269),ISNUMBER($AD269)),IF($AB269&gt;0,$AD269/$AB269,""),"")</f>
      </c>
      <c r="AL269" s="32" t="inlineStr">
        <is>
          <t xml:space="preserve">At technical</t>
        </is>
      </c>
      <c r="AM269" s="41">
        <f>IF(ISNUMBER($AD269),Header!$I$3,"")</f>
      </c>
      <c r="AN269" s="39">
        <f>IF(ISNUMBER($AD269),$AO269+$AP269,"")</f>
      </c>
      <c r="AO269" s="39">
        <f>IF(ISNUMBER($AD269),ROUND($AD269*Header!$K$3,2),"")</f>
      </c>
      <c r="AP269" s="39">
        <f>IF(ISNUMBER($AD269),ROUND($AD269*Header!$M$3,2),"")</f>
      </c>
      <c r="AQ269" s="38">
        <f>IF(ISNUMBER($AD269),ROUND($AD269,2)-$AO269-$AP269,"")</f>
      </c>
      <c r="AR269" s="39">
        <f>IF(ISNUMBER($AD269),IF(Header!$D$34="","?",$AD269*Header!$D$34),"")</f>
      </c>
      <c r="AS269" s="39">
        <f>IF(ISNUMBER($AB269),IF(Header!$D$34="","?",$AB269*Header!$D$34),"")</f>
      </c>
      <c r="AT269" s="42">
        <f>IF(AND(ISNUMBER($AB269),$M269&gt;0),$AB269/$M269*100,"")</f>
      </c>
      <c r="AU269" s="42">
        <f>IF(AND(ISNUMBER($AD269),$M269&gt;0),$AD269/$M269*100,"")</f>
      </c>
      <c r="AV269" s="40">
        <f>IF(AND(ISNUMBER($AB269),ISNUMBER($AD269),ABS($AB269)&gt;0),$AD269/$AB269,"")</f>
      </c>
      <c r="AW269" s="39">
        <f>IF(ISNUMBER($AD269),MAX(0,(1-0.55-Header!$O$3)*Header!$Q$3*$AQ269),"")</f>
      </c>
      <c r="AX269" s="43">
        <f>IF($A269="","",IF(TRIM(IF($A269="","Missing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",""))="","PASS","FAIL: "&amp;TRIM(IF($A269="","Missing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f>
      </c>
      <c r="AY269" s="44">
        <f>IF($M269="","",IF(ISNUMBER($M269),IF($M269&gt;=Header!$C$18,"YES — refer","No"),""))</f>
      </c>
      <c r="AZ269" s="44">
        <f>IF($AD269="","",IF(ISNUMBER($AD269),IF($AD269&lt;Header!$C$20,"BELOW MIN PREMIUM","OK"),""))</f>
      </c>
      <c r="BA269" s="32" t="inlineStr">
        <is>
          <t xml:space="preserve">Yes</t>
        </is>
      </c>
      <c r="BB269" s="32" t="inlineStr">
        <is>
          <t xml:space="preserve">Yes</t>
        </is>
      </c>
      <c r="BC269" s="30" t="inlineStr">
        <is>
          <t xml:space="preserve">Synthetic demo data</t>
        </is>
      </c>
      <c r="BE269" s="45">
        <f>IF(OR($A269="",$L269="",$H269=""),"",IF(AND(LEFT($L269,2)="06",$H269&gt;1945),"FAIL - pre-war class, year "&amp;$H269,IF(AND(LEFT($L269,2)="07",OR($H269&lt;1946,$H269&gt;1972)),"FAIL - 1946-72 class, year "&amp;$H269,IF(AND(LEFT($L269,2)="08",OR($H269&lt;1973,$H269&gt;1999)),"FAIL - 1973-99 class, year "&amp;$H269,IF(AND(LEFT($L269,2)="09",OR($H269&lt;2000,$H269&gt;2010)),"FAIL - 2000-10 class, year "&amp;$H269,"OK")))))</f>
      </c>
      <c r="BF269" s="45">
        <f>IF($AD269="","",IF(ROUND($AO269+$AP269+$AQ269-$AD269,2)=0,"OK","FAIL - out by "&amp;TEXT($AO269+$AP269+$AQ269-$AD269,"$0.00")))</f>
      </c>
    </row>
    <row r="270" spans="1:58" ht="18.75" customHeight="1" x14ac:dyDescent="0.25">
      <c r="A270" s="46" t="inlineStr">
        <is>
          <t xml:space="preserve">CANON-202606-008772</t>
        </is>
      </c>
      <c r="B270" s="46" t="inlineStr">
        <is>
          <t xml:space="preserve">Fitzgerald Blackwood</t>
        </is>
      </c>
      <c r="C270" s="47">
        <v>46190</v>
      </c>
      <c r="D270" s="48" t="inlineStr">
        <is>
          <t xml:space="preserve">Bound - within authority</t>
        </is>
      </c>
      <c r="E270" s="48" t="inlineStr">
        <is>
          <t xml:space="preserve">New business</t>
        </is>
      </c>
      <c r="F270" s="46" t="inlineStr">
        <is>
          <t xml:space="preserve">B1234EXOTIC26</t>
        </is>
      </c>
      <c r="G270" s="33">
        <f>IF($A270="","",IF($C270="","",YEAR($C270)))</f>
      </c>
      <c r="H270" s="49">
        <v>2005</v>
      </c>
      <c r="I270" s="46" t="inlineStr">
        <is>
          <t xml:space="preserve">Jaguar</t>
        </is>
      </c>
      <c r="J270" s="46" t="inlineStr">
        <is>
          <t xml:space="preserve">E-Type Series 1</t>
        </is>
      </c>
      <c r="K270" s="46" t="inlineStr">
        <is>
          <t xml:space="preserve">DV7N0G13U4WR3WTWX</t>
        </is>
      </c>
      <c r="L270" s="48" t="inlineStr">
        <is>
          <t xml:space="preserve">09 - Youngtimer / Collectible (2000-2010)</t>
        </is>
      </c>
      <c r="M270" s="50">
        <v>275000</v>
      </c>
      <c r="N270" s="48" t="inlineStr">
        <is>
          <t xml:space="preserve">Personal</t>
        </is>
      </c>
      <c r="O270" s="46" t="inlineStr">
        <is>
          <t xml:space="preserve">Personal - regular use</t>
        </is>
      </c>
      <c r="P270" s="46" t="inlineStr">
        <is>
          <t xml:space="preserve">2,500 - 5,000</t>
        </is>
      </c>
      <c r="Q270" s="46" t="inlineStr">
        <is>
          <t xml:space="preserve">West Virginia</t>
        </is>
      </c>
      <c r="R270" s="46" t="inlineStr">
        <is>
          <t xml:space="preserve">25301</t>
        </is>
      </c>
      <c r="S270" s="48" t="inlineStr">
        <is>
          <t xml:space="preserve">Low hazard - inland benign</t>
        </is>
      </c>
      <c r="T270" s="36">
        <f>IF($A270="","",IF($S270="","",IFERROR(INDEX('[1]natural catastrophe'!$D$6:$D$17,MATCH($S270,'[1]natural catastrophe'!$B$6:$B$17,0)),"?")))</f>
      </c>
      <c r="U270" s="46" t="inlineStr">
        <is>
          <t xml:space="preserve">$5,000</t>
        </is>
      </c>
      <c r="V270" s="48" t="inlineStr">
        <is>
          <t xml:space="preserve">Agreed Value</t>
        </is>
      </c>
      <c r="W270" s="46" t="inlineStr">
        <is>
          <t xml:space="preserve">$1,000</t>
        </is>
      </c>
      <c r="X270" s="48" t="inlineStr">
        <is>
          <t xml:space="preserve">$1,000,000 CSL</t>
        </is>
      </c>
      <c r="Y270" s="46"/>
      <c r="Z270" s="46"/>
      <c r="AA270" s="48" t="inlineStr">
        <is>
          <t xml:space="preserve">Surplus Lines</t>
        </is>
      </c>
      <c r="AB270" s="50">
        <v>2533.36</v>
      </c>
      <c r="AC270" s="51">
        <v>0</v>
      </c>
      <c r="AD270" s="38">
        <f>IF(ISNUMBER($AB270),$AB270*(1+N($AC270)),"")</f>
      </c>
      <c r="AE270" s="50">
        <v>350</v>
      </c>
      <c r="AF270" s="50">
        <v>0</v>
      </c>
      <c r="AG270" s="51"/>
      <c r="AH270" s="39">
        <f>IF(ISNUMBER($AD270),($AD270+$AE270+$AF270)*$AG270,"")</f>
      </c>
      <c r="AI270" s="50"/>
      <c r="AJ270" s="38">
        <f>IF(ISNUMBER($AD270),SUM($AD270:$AH270),"")</f>
      </c>
      <c r="AK270" s="40">
        <f>IF(AND(ISNUMBER($AB270),ISNUMBER($AD270)),IF($AB270&gt;0,$AD270/$AB270,""),"")</f>
      </c>
      <c r="AL270" s="48" t="inlineStr">
        <is>
          <t xml:space="preserve">At technical</t>
        </is>
      </c>
      <c r="AM270" s="41">
        <f>IF(ISNUMBER($AD270),Header!$I$3,"")</f>
      </c>
      <c r="AN270" s="39">
        <f>IF(ISNUMBER($AD270),$AO270+$AP270,"")</f>
      </c>
      <c r="AO270" s="39">
        <f>IF(ISNUMBER($AD270),ROUND($AD270*Header!$K$3,2),"")</f>
      </c>
      <c r="AP270" s="39">
        <f>IF(ISNUMBER($AD270),ROUND($AD270*Header!$M$3,2),"")</f>
      </c>
      <c r="AQ270" s="38">
        <f>IF(ISNUMBER($AD270),ROUND($AD270,2)-$AO270-$AP270,"")</f>
      </c>
      <c r="AR270" s="39">
        <f>IF(ISNUMBER($AD270),IF(Header!$D$34="","?",$AD270*Header!$D$34),"")</f>
      </c>
      <c r="AS270" s="39">
        <f>IF(ISNUMBER($AB270),IF(Header!$D$34="","?",$AB270*Header!$D$34),"")</f>
      </c>
      <c r="AT270" s="42">
        <f>IF(AND(ISNUMBER($AB270),$M270&gt;0),$AB270/$M270*100,"")</f>
      </c>
      <c r="AU270" s="42">
        <f>IF(AND(ISNUMBER($AD270),$M270&gt;0),$AD270/$M270*100,"")</f>
      </c>
      <c r="AV270" s="40">
        <f>IF(AND(ISNUMBER($AB270),ISNUMBER($AD270),ABS($AB270)&gt;0),$AD270/$AB270,"")</f>
      </c>
      <c r="AW270" s="39">
        <f>IF(ISNUMBER($AD270),MAX(0,(1-0.55-Header!$O$3)*Header!$Q$3*$AQ270),"")</f>
      </c>
      <c r="AX270" s="43">
        <f>IF($A270="","",IF(TRIM(IF($A270="","Missing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",""))="","PASS","FAIL: "&amp;TRIM(IF($A270="","Missing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f>
      </c>
      <c r="AY270" s="44">
        <f>IF($M270="","",IF(ISNUMBER($M270),IF($M270&gt;=Header!$C$18,"YES — refer","No"),""))</f>
      </c>
      <c r="AZ270" s="44">
        <f>IF($AD270="","",IF(ISNUMBER($AD270),IF($AD270&lt;Header!$C$20,"BELOW MIN PREMIUM","OK"),""))</f>
      </c>
      <c r="BA270" s="48" t="inlineStr">
        <is>
          <t xml:space="preserve">Yes</t>
        </is>
      </c>
      <c r="BB270" s="48" t="inlineStr">
        <is>
          <t xml:space="preserve">Yes</t>
        </is>
      </c>
      <c r="BC270" s="46" t="inlineStr">
        <is>
          <t xml:space="preserve">Synthetic demo data</t>
        </is>
      </c>
      <c r="BE270" s="45">
        <f>IF(OR($A270="",$L270="",$H270=""),"",IF(AND(LEFT($L270,2)="06",$H270&gt;1945),"FAIL - pre-war class, year "&amp;$H270,IF(AND(LEFT($L270,2)="07",OR($H270&lt;1946,$H270&gt;1972)),"FAIL - 1946-72 class, year "&amp;$H270,IF(AND(LEFT($L270,2)="08",OR($H270&lt;1973,$H270&gt;1999)),"FAIL - 1973-99 class, year "&amp;$H270,IF(AND(LEFT($L270,2)="09",OR($H270&lt;2000,$H270&gt;2010)),"FAIL - 2000-10 class, year "&amp;$H270,"OK")))))</f>
      </c>
      <c r="BF270" s="45">
        <f>IF($AD270="","",IF(ROUND($AO270+$AP270+$AQ270-$AD270,2)=0,"OK","FAIL - out by "&amp;TEXT($AO270+$AP270+$AQ270-$AD270,"$0.00")))</f>
      </c>
    </row>
    <row r="271" spans="1:58" ht="18.75" customHeight="1" x14ac:dyDescent="0.25">
      <c r="A271" s="30" t="inlineStr">
        <is>
          <t xml:space="preserve">CANON-202606-008773</t>
        </is>
      </c>
      <c r="B271" s="30" t="inlineStr">
        <is>
          <t xml:space="preserve">Emiliano Harrington</t>
        </is>
      </c>
      <c r="C271" s="31">
        <v>46181</v>
      </c>
      <c r="D271" s="32" t="inlineStr">
        <is>
          <t xml:space="preserve">Bound - within authority</t>
        </is>
      </c>
      <c r="E271" s="32" t="inlineStr">
        <is>
          <t xml:space="preserve">New business</t>
        </is>
      </c>
      <c r="F271" s="30" t="inlineStr">
        <is>
          <t xml:space="preserve">B1234EXOTIC26</t>
        </is>
      </c>
      <c r="G271" s="33">
        <f>IF($A271="","",IF($C271="","",YEAR($C271)))</f>
      </c>
      <c r="H271" s="34">
        <v>1977</v>
      </c>
      <c r="I271" s="30" t="inlineStr">
        <is>
          <t xml:space="preserve">Porsche</t>
        </is>
      </c>
      <c r="J271" s="30" t="inlineStr">
        <is>
          <t xml:space="preserve">911 Turbo S</t>
        </is>
      </c>
      <c r="K271" s="30" t="inlineStr">
        <is>
          <t xml:space="preserve">PHV6B99D54YRSH6F9</t>
        </is>
      </c>
      <c r="L271" s="32" t="inlineStr">
        <is>
          <t xml:space="preserve">02 - Sports / GT</t>
        </is>
      </c>
      <c r="M271" s="35">
        <v>795000</v>
      </c>
      <c r="N271" s="32" t="inlineStr">
        <is>
          <t xml:space="preserve">Personal</t>
        </is>
      </c>
      <c r="O271" s="30" t="inlineStr">
        <is>
          <t xml:space="preserve">Personal - regular use</t>
        </is>
      </c>
      <c r="P271" s="30" t="inlineStr">
        <is>
          <t xml:space="preserve">1,000 - 2,500</t>
        </is>
      </c>
      <c r="Q271" s="30" t="inlineStr">
        <is>
          <t xml:space="preserve">Michigan</t>
        </is>
      </c>
      <c r="R271" s="30" t="inlineStr">
        <is>
          <t xml:space="preserve">48226</t>
        </is>
      </c>
      <c r="S271" s="32" t="inlineStr">
        <is>
          <t xml:space="preserve">Severe convective - hail / tornado (moderate)</t>
        </is>
      </c>
      <c r="T271" s="36">
        <f>IF($A271="","",IF($S271="","",IFERROR(INDEX('[1]natural catastrophe'!$D$6:$D$17,MATCH($S271,'[1]natural catastrophe'!$B$6:$B$17,0)),"?")))</f>
      </c>
      <c r="U271" s="30" t="inlineStr">
        <is>
          <t xml:space="preserve">$5,000</t>
        </is>
      </c>
      <c r="V271" s="32" t="inlineStr">
        <is>
          <t xml:space="preserve">Agreed Value</t>
        </is>
      </c>
      <c r="W271" s="30" t="inlineStr">
        <is>
          <t xml:space="preserve">$1,000</t>
        </is>
      </c>
      <c r="X271" s="32" t="inlineStr">
        <is>
          <t xml:space="preserve">$1,000,000 CSL</t>
        </is>
      </c>
      <c r="Y271" s="30"/>
      <c r="Z271" s="30"/>
      <c r="AA271" s="32" t="inlineStr">
        <is>
          <t xml:space="preserve">Surplus Lines</t>
        </is>
      </c>
      <c r="AB271" s="35">
        <v>11558.04</v>
      </c>
      <c r="AC271" s="37">
        <v>0</v>
      </c>
      <c r="AD271" s="38">
        <f>IF(ISNUMBER($AB271),$AB271*(1+N($AC271)),"")</f>
      </c>
      <c r="AE271" s="35">
        <v>350</v>
      </c>
      <c r="AF271" s="35">
        <v>0</v>
      </c>
      <c r="AG271" s="37"/>
      <c r="AH271" s="39">
        <f>IF(ISNUMBER($AD271),($AD271+$AE271+$AF271)*$AG271,"")</f>
      </c>
      <c r="AI271" s="35"/>
      <c r="AJ271" s="38">
        <f>IF(ISNUMBER($AD271),SUM($AD271:$AH271),"")</f>
      </c>
      <c r="AK271" s="40">
        <f>IF(AND(ISNUMBER($AB271),ISNUMBER($AD271)),IF($AB271&gt;0,$AD271/$AB271,""),"")</f>
      </c>
      <c r="AL271" s="32" t="inlineStr">
        <is>
          <t xml:space="preserve">At technical</t>
        </is>
      </c>
      <c r="AM271" s="41">
        <f>IF(ISNUMBER($AD271),Header!$I$3,"")</f>
      </c>
      <c r="AN271" s="39">
        <f>IF(ISNUMBER($AD271),$AO271+$AP271,"")</f>
      </c>
      <c r="AO271" s="39">
        <f>IF(ISNUMBER($AD271),ROUND($AD271*Header!$K$3,2),"")</f>
      </c>
      <c r="AP271" s="39">
        <f>IF(ISNUMBER($AD271),ROUND($AD271*Header!$M$3,2),"")</f>
      </c>
      <c r="AQ271" s="38">
        <f>IF(ISNUMBER($AD271),ROUND($AD271,2)-$AO271-$AP271,"")</f>
      </c>
      <c r="AR271" s="39">
        <f>IF(ISNUMBER($AD271),IF(Header!$D$34="","?",$AD271*Header!$D$34),"")</f>
      </c>
      <c r="AS271" s="39">
        <f>IF(ISNUMBER($AB271),IF(Header!$D$34="","?",$AB271*Header!$D$34),"")</f>
      </c>
      <c r="AT271" s="42">
        <f>IF(AND(ISNUMBER($AB271),$M271&gt;0),$AB271/$M271*100,"")</f>
      </c>
      <c r="AU271" s="42">
        <f>IF(AND(ISNUMBER($AD271),$M271&gt;0),$AD271/$M271*100,"")</f>
      </c>
      <c r="AV271" s="40">
        <f>IF(AND(ISNUMBER($AB271),ISNUMBER($AD271),ABS($AB271)&gt;0),$AD271/$AB271,"")</f>
      </c>
      <c r="AW271" s="39">
        <f>IF(ISNUMBER($AD271),MAX(0,(1-0.55-Header!$O$3)*Header!$Q$3*$AQ271),"")</f>
      </c>
      <c r="AX271" s="43">
        <f>IF($A271="","",IF(TRIM(IF($A271="","Missing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",""))="","PASS","FAIL: "&amp;TRIM(IF($A271="","Missing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f>
      </c>
      <c r="AY271" s="44">
        <f>IF($M271="","",IF(ISNUMBER($M271),IF($M271&gt;=Header!$C$18,"YES — refer","No"),""))</f>
      </c>
      <c r="AZ271" s="44">
        <f>IF($AD271="","",IF(ISNUMBER($AD271),IF($AD271&lt;Header!$C$20,"BELOW MIN PREMIUM","OK"),""))</f>
      </c>
      <c r="BA271" s="32" t="inlineStr">
        <is>
          <t xml:space="preserve">Yes</t>
        </is>
      </c>
      <c r="BB271" s="32" t="inlineStr">
        <is>
          <t xml:space="preserve">Yes</t>
        </is>
      </c>
      <c r="BC271" s="30" t="inlineStr">
        <is>
          <t xml:space="preserve">Synthetic demo data</t>
        </is>
      </c>
      <c r="BE271" s="45">
        <f>IF(OR($A271="",$L271="",$H271=""),"",IF(AND(LEFT($L271,2)="06",$H271&gt;1945),"FAIL - pre-war class, year "&amp;$H271,IF(AND(LEFT($L271,2)="07",OR($H271&lt;1946,$H271&gt;1972)),"FAIL - 1946-72 class, year "&amp;$H271,IF(AND(LEFT($L271,2)="08",OR($H271&lt;1973,$H271&gt;1999)),"FAIL - 1973-99 class, year "&amp;$H271,IF(AND(LEFT($L271,2)="09",OR($H271&lt;2000,$H271&gt;2010)),"FAIL - 2000-10 class, year "&amp;$H271,"OK")))))</f>
      </c>
      <c r="BF271" s="45">
        <f>IF($AD271="","",IF(ROUND($AO271+$AP271+$AQ271-$AD271,2)=0,"OK","FAIL - out by "&amp;TEXT($AO271+$AP271+$AQ271-$AD271,"$0.00")))</f>
      </c>
    </row>
    <row r="272" spans="1:58" ht="18.75" customHeight="1" x14ac:dyDescent="0.25">
      <c r="A272" s="46" t="inlineStr">
        <is>
          <t xml:space="preserve">CANON-202606-008774</t>
        </is>
      </c>
      <c r="B272" s="46" t="inlineStr">
        <is>
          <t xml:space="preserve">Leopold Delacroix</t>
        </is>
      </c>
      <c r="C272" s="47">
        <v>46199</v>
      </c>
      <c r="D272" s="48" t="inlineStr">
        <is>
          <t xml:space="preserve">Bound - within authority</t>
        </is>
      </c>
      <c r="E272" s="48" t="inlineStr">
        <is>
          <t xml:space="preserve">New business</t>
        </is>
      </c>
      <c r="F272" s="46" t="inlineStr">
        <is>
          <t xml:space="preserve">B1234EXOTIC26</t>
        </is>
      </c>
      <c r="G272" s="33">
        <f>IF($A272="","",IF($C272="","",YEAR($C272)))</f>
      </c>
      <c r="H272" s="49">
        <v>1977</v>
      </c>
      <c r="I272" s="46" t="inlineStr">
        <is>
          <t xml:space="preserve">Mercedes-Benz</t>
        </is>
      </c>
      <c r="J272" s="46" t="inlineStr">
        <is>
          <t xml:space="preserve">280SL Pagoda</t>
        </is>
      </c>
      <c r="K272" s="46" t="inlineStr">
        <is>
          <t xml:space="preserve">7MYBKELDA9HT984HA</t>
        </is>
      </c>
      <c r="L272" s="48" t="inlineStr">
        <is>
          <t xml:space="preserve">08 - Modern Classic (1973-1999)</t>
        </is>
      </c>
      <c r="M272" s="50">
        <v>535000</v>
      </c>
      <c r="N272" s="48" t="inlineStr">
        <is>
          <t xml:space="preserve">Personal</t>
        </is>
      </c>
      <c r="O272" s="46" t="inlineStr">
        <is>
          <t xml:space="preserve">Personal - regular use</t>
        </is>
      </c>
      <c r="P272" s="46" t="inlineStr">
        <is>
          <t xml:space="preserve">2,500 - 5,000</t>
        </is>
      </c>
      <c r="Q272" s="46" t="inlineStr">
        <is>
          <t xml:space="preserve">Tennessee</t>
        </is>
      </c>
      <c r="R272" s="46" t="inlineStr">
        <is>
          <t xml:space="preserve">37203</t>
        </is>
      </c>
      <c r="S272" s="48" t="inlineStr">
        <is>
          <t xml:space="preserve">Severe convective - hail / tornado (moderate)</t>
        </is>
      </c>
      <c r="T272" s="36">
        <f>IF($A272="","",IF($S272="","",IFERROR(INDEX('[1]natural catastrophe'!$D$6:$D$17,MATCH($S272,'[1]natural catastrophe'!$B$6:$B$17,0)),"?")))</f>
      </c>
      <c r="U272" s="46" t="inlineStr">
        <is>
          <t xml:space="preserve">$5,000</t>
        </is>
      </c>
      <c r="V272" s="48" t="inlineStr">
        <is>
          <t xml:space="preserve">Agreed Value</t>
        </is>
      </c>
      <c r="W272" s="46" t="inlineStr">
        <is>
          <t xml:space="preserve">$1,000</t>
        </is>
      </c>
      <c r="X272" s="48" t="inlineStr">
        <is>
          <t xml:space="preserve">$1,000,000 CSL</t>
        </is>
      </c>
      <c r="Y272" s="46"/>
      <c r="Z272" s="46"/>
      <c r="AA272" s="48" t="inlineStr">
        <is>
          <t xml:space="preserve">Surplus Lines</t>
        </is>
      </c>
      <c r="AB272" s="50">
        <v>3253.27</v>
      </c>
      <c r="AC272" s="51">
        <v>0</v>
      </c>
      <c r="AD272" s="38">
        <f>IF(ISNUMBER($AB272),$AB272*(1+N($AC272)),"")</f>
      </c>
      <c r="AE272" s="50">
        <v>350</v>
      </c>
      <c r="AF272" s="50">
        <v>0</v>
      </c>
      <c r="AG272" s="51"/>
      <c r="AH272" s="39">
        <f>IF(ISNUMBER($AD272),($AD272+$AE272+$AF272)*$AG272,"")</f>
      </c>
      <c r="AI272" s="50"/>
      <c r="AJ272" s="38">
        <f>IF(ISNUMBER($AD272),SUM($AD272:$AH272),"")</f>
      </c>
      <c r="AK272" s="40">
        <f>IF(AND(ISNUMBER($AB272),ISNUMBER($AD272)),IF($AB272&gt;0,$AD272/$AB272,""),"")</f>
      </c>
      <c r="AL272" s="48" t="inlineStr">
        <is>
          <t xml:space="preserve">At technical</t>
        </is>
      </c>
      <c r="AM272" s="41">
        <f>IF(ISNUMBER($AD272),Header!$I$3,"")</f>
      </c>
      <c r="AN272" s="39">
        <f>IF(ISNUMBER($AD272),$AO272+$AP272,"")</f>
      </c>
      <c r="AO272" s="39">
        <f>IF(ISNUMBER($AD272),ROUND($AD272*Header!$K$3,2),"")</f>
      </c>
      <c r="AP272" s="39">
        <f>IF(ISNUMBER($AD272),ROUND($AD272*Header!$M$3,2),"")</f>
      </c>
      <c r="AQ272" s="38">
        <f>IF(ISNUMBER($AD272),ROUND($AD272,2)-$AO272-$AP272,"")</f>
      </c>
      <c r="AR272" s="39">
        <f>IF(ISNUMBER($AD272),IF(Header!$D$34="","?",$AD272*Header!$D$34),"")</f>
      </c>
      <c r="AS272" s="39">
        <f>IF(ISNUMBER($AB272),IF(Header!$D$34="","?",$AB272*Header!$D$34),"")</f>
      </c>
      <c r="AT272" s="42">
        <f>IF(AND(ISNUMBER($AB272),$M272&gt;0),$AB272/$M272*100,"")</f>
      </c>
      <c r="AU272" s="42">
        <f>IF(AND(ISNUMBER($AD272),$M272&gt;0),$AD272/$M272*100,"")</f>
      </c>
      <c r="AV272" s="40">
        <f>IF(AND(ISNUMBER($AB272),ISNUMBER($AD272),ABS($AB272)&gt;0),$AD272/$AB272,"")</f>
      </c>
      <c r="AW272" s="39">
        <f>IF(ISNUMBER($AD272),MAX(0,(1-0.55-Header!$O$3)*Header!$Q$3*$AQ272),"")</f>
      </c>
      <c r="AX272" s="43">
        <f>IF($A272="","",IF(TRIM(IF($A272="","Missing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",""))="","PASS","FAIL: "&amp;TRIM(IF($A272="","Missing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f>
      </c>
      <c r="AY272" s="44">
        <f>IF($M272="","",IF(ISNUMBER($M272),IF($M272&gt;=Header!$C$18,"YES — refer","No"),""))</f>
      </c>
      <c r="AZ272" s="44">
        <f>IF($AD272="","",IF(ISNUMBER($AD272),IF($AD272&lt;Header!$C$20,"BELOW MIN PREMIUM","OK"),""))</f>
      </c>
      <c r="BA272" s="48" t="inlineStr">
        <is>
          <t xml:space="preserve">Yes</t>
        </is>
      </c>
      <c r="BB272" s="48" t="inlineStr">
        <is>
          <t xml:space="preserve">Yes</t>
        </is>
      </c>
      <c r="BC272" s="46" t="inlineStr">
        <is>
          <t xml:space="preserve">Synthetic demo data</t>
        </is>
      </c>
      <c r="BE272" s="45">
        <f>IF(OR($A272="",$L272="",$H272=""),"",IF(AND(LEFT($L272,2)="06",$H272&gt;1945),"FAIL - pre-war class, year "&amp;$H272,IF(AND(LEFT($L272,2)="07",OR($H272&lt;1946,$H272&gt;1972)),"FAIL - 1946-72 class, year "&amp;$H272,IF(AND(LEFT($L272,2)="08",OR($H272&lt;1973,$H272&gt;1999)),"FAIL - 1973-99 class, year "&amp;$H272,IF(AND(LEFT($L272,2)="09",OR($H272&lt;2000,$H272&gt;2010)),"FAIL - 2000-10 class, year "&amp;$H272,"OK")))))</f>
      </c>
      <c r="BF272" s="45">
        <f>IF($AD272="","",IF(ROUND($AO272+$AP272+$AQ272-$AD272,2)=0,"OK","FAIL - out by "&amp;TEXT($AO272+$AP272+$AQ272-$AD272,"$0.00")))</f>
      </c>
    </row>
    <row r="273" spans="1:58" ht="18.75" customHeight="1" x14ac:dyDescent="0.25">
      <c r="A273" s="30" t="inlineStr">
        <is>
          <t xml:space="preserve">CANON-202606-008775</t>
        </is>
      </c>
      <c r="B273" s="30" t="inlineStr">
        <is>
          <t xml:space="preserve">Callum Larsson</t>
        </is>
      </c>
      <c r="C273" s="31">
        <v>46200</v>
      </c>
      <c r="D273" s="32" t="inlineStr">
        <is>
          <t xml:space="preserve">Bound - within authority</t>
        </is>
      </c>
      <c r="E273" s="32" t="inlineStr">
        <is>
          <t xml:space="preserve">New business</t>
        </is>
      </c>
      <c r="F273" s="30" t="inlineStr">
        <is>
          <t xml:space="preserve">B1234EXOTIC26</t>
        </is>
      </c>
      <c r="G273" s="33">
        <f>IF($A273="","",IF($C273="","",YEAR($C273)))</f>
      </c>
      <c r="H273" s="34">
        <v>1979</v>
      </c>
      <c r="I273" s="30" t="inlineStr">
        <is>
          <t xml:space="preserve">Ferrari</t>
        </is>
      </c>
      <c r="J273" s="30" t="inlineStr">
        <is>
          <t xml:space="preserve">275 GTB/4</t>
        </is>
      </c>
      <c r="K273" s="30" t="inlineStr">
        <is>
          <t xml:space="preserve">CXCVZHRLHRZJCYGEB</t>
        </is>
      </c>
      <c r="L273" s="32" t="inlineStr">
        <is>
          <t xml:space="preserve">08 - Modern Classic (1973-1999)</t>
        </is>
      </c>
      <c r="M273" s="35">
        <v>405000</v>
      </c>
      <c r="N273" s="32" t="inlineStr">
        <is>
          <t xml:space="preserve">Personal</t>
        </is>
      </c>
      <c r="O273" s="30" t="inlineStr">
        <is>
          <t xml:space="preserve">Personal - regular use</t>
        </is>
      </c>
      <c r="P273" s="30" t="inlineStr">
        <is>
          <t xml:space="preserve">2,500 - 5,000</t>
        </is>
      </c>
      <c r="Q273" s="30" t="inlineStr">
        <is>
          <t xml:space="preserve">Arkansas</t>
        </is>
      </c>
      <c r="R273" s="30" t="inlineStr">
        <is>
          <t xml:space="preserve">72201</t>
        </is>
      </c>
      <c r="S273" s="32" t="inlineStr">
        <is>
          <t xml:space="preserve">Severe convective - hail / tornado (moderate)</t>
        </is>
      </c>
      <c r="T273" s="36">
        <f>IF($A273="","",IF($S273="","",IFERROR(INDEX('[1]natural catastrophe'!$D$6:$D$17,MATCH($S273,'[1]natural catastrophe'!$B$6:$B$17,0)),"?")))</f>
      </c>
      <c r="U273" s="30" t="inlineStr">
        <is>
          <t xml:space="preserve">$5,000</t>
        </is>
      </c>
      <c r="V273" s="32" t="inlineStr">
        <is>
          <t xml:space="preserve">Agreed Value</t>
        </is>
      </c>
      <c r="W273" s="30" t="inlineStr">
        <is>
          <t xml:space="preserve">$1,000</t>
        </is>
      </c>
      <c r="X273" s="32" t="inlineStr">
        <is>
          <t xml:space="preserve">$1,000,000 CSL</t>
        </is>
      </c>
      <c r="Y273" s="30"/>
      <c r="Z273" s="30"/>
      <c r="AA273" s="32" t="inlineStr">
        <is>
          <t xml:space="preserve">Surplus Lines</t>
        </is>
      </c>
      <c r="AB273" s="35">
        <v>3871.22</v>
      </c>
      <c r="AC273" s="37">
        <v>0</v>
      </c>
      <c r="AD273" s="38">
        <f>IF(ISNUMBER($AB273),$AB273*(1+N($AC273)),"")</f>
      </c>
      <c r="AE273" s="35">
        <v>350</v>
      </c>
      <c r="AF273" s="35">
        <v>0</v>
      </c>
      <c r="AG273" s="37"/>
      <c r="AH273" s="39">
        <f>IF(ISNUMBER($AD273),($AD273+$AE273+$AF273)*$AG273,"")</f>
      </c>
      <c r="AI273" s="35"/>
      <c r="AJ273" s="38">
        <f>IF(ISNUMBER($AD273),SUM($AD273:$AH273),"")</f>
      </c>
      <c r="AK273" s="40">
        <f>IF(AND(ISNUMBER($AB273),ISNUMBER($AD273)),IF($AB273&gt;0,$AD273/$AB273,""),"")</f>
      </c>
      <c r="AL273" s="32" t="inlineStr">
        <is>
          <t xml:space="preserve">At technical</t>
        </is>
      </c>
      <c r="AM273" s="41">
        <f>IF(ISNUMBER($AD273),Header!$I$3,"")</f>
      </c>
      <c r="AN273" s="39">
        <f>IF(ISNUMBER($AD273),$AO273+$AP273,"")</f>
      </c>
      <c r="AO273" s="39">
        <f>IF(ISNUMBER($AD273),ROUND($AD273*Header!$K$3,2),"")</f>
      </c>
      <c r="AP273" s="39">
        <f>IF(ISNUMBER($AD273),ROUND($AD273*Header!$M$3,2),"")</f>
      </c>
      <c r="AQ273" s="38">
        <f>IF(ISNUMBER($AD273),ROUND($AD273,2)-$AO273-$AP273,"")</f>
      </c>
      <c r="AR273" s="39">
        <f>IF(ISNUMBER($AD273),IF(Header!$D$34="","?",$AD273*Header!$D$34),"")</f>
      </c>
      <c r="AS273" s="39">
        <f>IF(ISNUMBER($AB273),IF(Header!$D$34="","?",$AB273*Header!$D$34),"")</f>
      </c>
      <c r="AT273" s="42">
        <f>IF(AND(ISNUMBER($AB273),$M273&gt;0),$AB273/$M273*100,"")</f>
      </c>
      <c r="AU273" s="42">
        <f>IF(AND(ISNUMBER($AD273),$M273&gt;0),$AD273/$M273*100,"")</f>
      </c>
      <c r="AV273" s="40">
        <f>IF(AND(ISNUMBER($AB273),ISNUMBER($AD273),ABS($AB273)&gt;0),$AD273/$AB273,"")</f>
      </c>
      <c r="AW273" s="39">
        <f>IF(ISNUMBER($AD273),MAX(0,(1-0.55-Header!$O$3)*Header!$Q$3*$AQ273),"")</f>
      </c>
      <c r="AX273" s="43">
        <f>IF($A273="","",IF(TRIM(IF($A273="","Missing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",""))="","PASS","FAIL: "&amp;TRIM(IF($A273="","Missing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f>
      </c>
      <c r="AY273" s="44">
        <f>IF($M273="","",IF(ISNUMBER($M273),IF($M273&gt;=Header!$C$18,"YES — refer","No"),""))</f>
      </c>
      <c r="AZ273" s="44">
        <f>IF($AD273="","",IF(ISNUMBER($AD273),IF($AD273&lt;Header!$C$20,"BELOW MIN PREMIUM","OK"),""))</f>
      </c>
      <c r="BA273" s="32" t="inlineStr">
        <is>
          <t xml:space="preserve">Yes</t>
        </is>
      </c>
      <c r="BB273" s="32" t="inlineStr">
        <is>
          <t xml:space="preserve">Yes</t>
        </is>
      </c>
      <c r="BC273" s="30" t="inlineStr">
        <is>
          <t xml:space="preserve">Synthetic demo data</t>
        </is>
      </c>
      <c r="BE273" s="45">
        <f>IF(OR($A273="",$L273="",$H273=""),"",IF(AND(LEFT($L273,2)="06",$H273&gt;1945),"FAIL - pre-war class, year "&amp;$H273,IF(AND(LEFT($L273,2)="07",OR($H273&lt;1946,$H273&gt;1972)),"FAIL - 1946-72 class, year "&amp;$H273,IF(AND(LEFT($L273,2)="08",OR($H273&lt;1973,$H273&gt;1999)),"FAIL - 1973-99 class, year "&amp;$H273,IF(AND(LEFT($L273,2)="09",OR($H273&lt;2000,$H273&gt;2010)),"FAIL - 2000-10 class, year "&amp;$H273,"OK")))))</f>
      </c>
      <c r="BF273" s="45">
        <f>IF($AD273="","",IF(ROUND($AO273+$AP273+$AQ273-$AD273,2)=0,"OK","FAIL - out by "&amp;TEXT($AO273+$AP273+$AQ273-$AD273,"$0.00")))</f>
      </c>
    </row>
    <row r="274" spans="1:58" ht="18.75" customHeight="1" x14ac:dyDescent="0.25">
      <c r="A274" s="46" t="inlineStr">
        <is>
          <t xml:space="preserve">CANON-202606-008776</t>
        </is>
      </c>
      <c r="B274" s="46" t="inlineStr">
        <is>
          <t xml:space="preserve">Priya Underwood</t>
        </is>
      </c>
      <c r="C274" s="47">
        <v>46196</v>
      </c>
      <c r="D274" s="48" t="inlineStr">
        <is>
          <t xml:space="preserve">Bound - within authority</t>
        </is>
      </c>
      <c r="E274" s="48" t="inlineStr">
        <is>
          <t xml:space="preserve">New business</t>
        </is>
      </c>
      <c r="F274" s="46" t="inlineStr">
        <is>
          <t xml:space="preserve">B1234EXOTIC26</t>
        </is>
      </c>
      <c r="G274" s="33">
        <f>IF($A274="","",IF($C274="","",YEAR($C274)))</f>
      </c>
      <c r="H274" s="49">
        <v>2007</v>
      </c>
      <c r="I274" s="46" t="inlineStr">
        <is>
          <t xml:space="preserve">Maserati</t>
        </is>
      </c>
      <c r="J274" s="46" t="inlineStr">
        <is>
          <t xml:space="preserve">GranTurismo</t>
        </is>
      </c>
      <c r="K274" s="46" t="inlineStr">
        <is>
          <t xml:space="preserve">0S18VXLG68WMZRWV4</t>
        </is>
      </c>
      <c r="L274" s="48" t="inlineStr">
        <is>
          <t xml:space="preserve">02 - Sports / GT</t>
        </is>
      </c>
      <c r="M274" s="50">
        <v>180000</v>
      </c>
      <c r="N274" s="48" t="inlineStr">
        <is>
          <t xml:space="preserve">Personal</t>
        </is>
      </c>
      <c r="O274" s="46" t="inlineStr">
        <is>
          <t xml:space="preserve">Personal - regular use</t>
        </is>
      </c>
      <c r="P274" s="46" t="inlineStr">
        <is>
          <t xml:space="preserve">2,500 - 5,000</t>
        </is>
      </c>
      <c r="Q274" s="46" t="inlineStr">
        <is>
          <t xml:space="preserve">Massachusetts</t>
        </is>
      </c>
      <c r="R274" s="46" t="inlineStr">
        <is>
          <t xml:space="preserve">02108</t>
        </is>
      </c>
      <c r="S274" s="48" t="inlineStr">
        <is>
          <t xml:space="preserve">Tier 3 - Coastal wind (25-100 miles)</t>
        </is>
      </c>
      <c r="T274" s="36">
        <f>IF($A274="","",IF($S274="","",IFERROR(INDEX('[1]natural catastrophe'!$D$6:$D$17,MATCH($S274,'[1]natural catastrophe'!$B$6:$B$17,0)),"?")))</f>
      </c>
      <c r="U274" s="46" t="inlineStr">
        <is>
          <t xml:space="preserve">2% of agreed value, minimum $10,000</t>
        </is>
      </c>
      <c r="V274" s="48" t="inlineStr">
        <is>
          <t xml:space="preserve">Agreed Value</t>
        </is>
      </c>
      <c r="W274" s="46" t="inlineStr">
        <is>
          <t xml:space="preserve">$1,000</t>
        </is>
      </c>
      <c r="X274" s="48" t="inlineStr">
        <is>
          <t xml:space="preserve">$1,000,000 CSL</t>
        </is>
      </c>
      <c r="Y274" s="46"/>
      <c r="Z274" s="46"/>
      <c r="AA274" s="48" t="inlineStr">
        <is>
          <t xml:space="preserve">Surplus Lines</t>
        </is>
      </c>
      <c r="AB274" s="50">
        <v>2987.05</v>
      </c>
      <c r="AC274" s="51">
        <v>0</v>
      </c>
      <c r="AD274" s="38">
        <f>IF(ISNUMBER($AB274),$AB274*(1+N($AC274)),"")</f>
      </c>
      <c r="AE274" s="50">
        <v>350</v>
      </c>
      <c r="AF274" s="50">
        <v>0</v>
      </c>
      <c r="AG274" s="51"/>
      <c r="AH274" s="39">
        <f>IF(ISNUMBER($AD274),($AD274+$AE274+$AF274)*$AG274,"")</f>
      </c>
      <c r="AI274" s="50"/>
      <c r="AJ274" s="38">
        <f>IF(ISNUMBER($AD274),SUM($AD274:$AH274),"")</f>
      </c>
      <c r="AK274" s="40">
        <f>IF(AND(ISNUMBER($AB274),ISNUMBER($AD274)),IF($AB274&gt;0,$AD274/$AB274,""),"")</f>
      </c>
      <c r="AL274" s="48" t="inlineStr">
        <is>
          <t xml:space="preserve">At technical</t>
        </is>
      </c>
      <c r="AM274" s="41">
        <f>IF(ISNUMBER($AD274),Header!$I$3,"")</f>
      </c>
      <c r="AN274" s="39">
        <f>IF(ISNUMBER($AD274),$AO274+$AP274,"")</f>
      </c>
      <c r="AO274" s="39">
        <f>IF(ISNUMBER($AD274),ROUND($AD274*Header!$K$3,2),"")</f>
      </c>
      <c r="AP274" s="39">
        <f>IF(ISNUMBER($AD274),ROUND($AD274*Header!$M$3,2),"")</f>
      </c>
      <c r="AQ274" s="38">
        <f>IF(ISNUMBER($AD274),ROUND($AD274,2)-$AO274-$AP274,"")</f>
      </c>
      <c r="AR274" s="39">
        <f>IF(ISNUMBER($AD274),IF(Header!$D$34="","?",$AD274*Header!$D$34),"")</f>
      </c>
      <c r="AS274" s="39">
        <f>IF(ISNUMBER($AB274),IF(Header!$D$34="","?",$AB274*Header!$D$34),"")</f>
      </c>
      <c r="AT274" s="42">
        <f>IF(AND(ISNUMBER($AB274),$M274&gt;0),$AB274/$M274*100,"")</f>
      </c>
      <c r="AU274" s="42">
        <f>IF(AND(ISNUMBER($AD274),$M274&gt;0),$AD274/$M274*100,"")</f>
      </c>
      <c r="AV274" s="40">
        <f>IF(AND(ISNUMBER($AB274),ISNUMBER($AD274),ABS($AB274)&gt;0),$AD274/$AB274,"")</f>
      </c>
      <c r="AW274" s="39">
        <f>IF(ISNUMBER($AD274),MAX(0,(1-0.55-Header!$O$3)*Header!$Q$3*$AQ274),"")</f>
      </c>
      <c r="AX274" s="43">
        <f>IF($A274="","",IF(TRIM(IF($A274="","Missing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",""))="","PASS","FAIL: "&amp;TRIM(IF($A274="","Missing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f>
      </c>
      <c r="AY274" s="44">
        <f>IF($M274="","",IF(ISNUMBER($M274),IF($M274&gt;=Header!$C$18,"YES — refer","No"),""))</f>
      </c>
      <c r="AZ274" s="44">
        <f>IF($AD274="","",IF(ISNUMBER($AD274),IF($AD274&lt;Header!$C$20,"BELOW MIN PREMIUM","OK"),""))</f>
      </c>
      <c r="BA274" s="48" t="inlineStr">
        <is>
          <t xml:space="preserve">Yes</t>
        </is>
      </c>
      <c r="BB274" s="48" t="inlineStr">
        <is>
          <t xml:space="preserve">Yes</t>
        </is>
      </c>
      <c r="BC274" s="46" t="inlineStr">
        <is>
          <t xml:space="preserve">Synthetic demo data</t>
        </is>
      </c>
      <c r="BE274" s="45">
        <f>IF(OR($A274="",$L274="",$H274=""),"",IF(AND(LEFT($L274,2)="06",$H274&gt;1945),"FAIL - pre-war class, year "&amp;$H274,IF(AND(LEFT($L274,2)="07",OR($H274&lt;1946,$H274&gt;1972)),"FAIL - 1946-72 class, year "&amp;$H274,IF(AND(LEFT($L274,2)="08",OR($H274&lt;1973,$H274&gt;1999)),"FAIL - 1973-99 class, year "&amp;$H274,IF(AND(LEFT($L274,2)="09",OR($H274&lt;2000,$H274&gt;2010)),"FAIL - 2000-10 class, year "&amp;$H274,"OK")))))</f>
      </c>
      <c r="BF274" s="45">
        <f>IF($AD274="","",IF(ROUND($AO274+$AP274+$AQ274-$AD274,2)=0,"OK","FAIL - out by "&amp;TEXT($AO274+$AP274+$AQ274-$AD274,"$0.00")))</f>
      </c>
    </row>
    <row r="275" spans="1:58" ht="18.75" customHeight="1" x14ac:dyDescent="0.25">
      <c r="A275" s="30" t="inlineStr">
        <is>
          <t xml:space="preserve">CANON-202606-008778</t>
        </is>
      </c>
      <c r="B275" s="30" t="inlineStr">
        <is>
          <t xml:space="preserve">Ingrid Merriweather</t>
        </is>
      </c>
      <c r="C275" s="31">
        <v>46203</v>
      </c>
      <c r="D275" s="32" t="inlineStr">
        <is>
          <t xml:space="preserve">Bound - within authority</t>
        </is>
      </c>
      <c r="E275" s="32" t="inlineStr">
        <is>
          <t xml:space="preserve">New business</t>
        </is>
      </c>
      <c r="F275" s="30" t="inlineStr">
        <is>
          <t xml:space="preserve">B1234EXOTIC26</t>
        </is>
      </c>
      <c r="G275" s="33">
        <f>IF($A275="","",IF($C275="","",YEAR($C275)))</f>
      </c>
      <c r="H275" s="34">
        <v>1986</v>
      </c>
      <c r="I275" s="30" t="inlineStr">
        <is>
          <t xml:space="preserve">Ferrari</t>
        </is>
      </c>
      <c r="J275" s="30" t="inlineStr">
        <is>
          <t xml:space="preserve">296 GTB</t>
        </is>
      </c>
      <c r="K275" s="30" t="inlineStr">
        <is>
          <t xml:space="preserve">LDYNC1RUZ15AZ6TXK</t>
        </is>
      </c>
      <c r="L275" s="32" t="inlineStr">
        <is>
          <t xml:space="preserve">03 - Supercar</t>
        </is>
      </c>
      <c r="M275" s="35">
        <v>405000</v>
      </c>
      <c r="N275" s="32" t="inlineStr">
        <is>
          <t xml:space="preserve">Personal</t>
        </is>
      </c>
      <c r="O275" s="30" t="inlineStr">
        <is>
          <t xml:space="preserve">Personal - regular use</t>
        </is>
      </c>
      <c r="P275" s="30" t="inlineStr">
        <is>
          <t xml:space="preserve">1,000 - 2,500</t>
        </is>
      </c>
      <c r="Q275" s="30" t="inlineStr">
        <is>
          <t xml:space="preserve">Arizona</t>
        </is>
      </c>
      <c r="R275" s="30" t="inlineStr">
        <is>
          <t xml:space="preserve">85001</t>
        </is>
      </c>
      <c r="S275" s="32" t="inlineStr">
        <is>
          <t xml:space="preserve">Wildfire - WUI high hazard</t>
        </is>
      </c>
      <c r="T275" s="36">
        <f>IF($A275="","",IF($S275="","",IFERROR(INDEX('[1]natural catastrophe'!$D$6:$D$17,MATCH($S275,'[1]natural catastrophe'!$B$6:$B$17,0)),"?")))</f>
      </c>
      <c r="U275" s="30" t="inlineStr">
        <is>
          <t xml:space="preserve">$5,000</t>
        </is>
      </c>
      <c r="V275" s="32" t="inlineStr">
        <is>
          <t xml:space="preserve">Agreed Value</t>
        </is>
      </c>
      <c r="W275" s="30" t="inlineStr">
        <is>
          <t xml:space="preserve">$1,000</t>
        </is>
      </c>
      <c r="X275" s="32" t="inlineStr">
        <is>
          <t xml:space="preserve">$1,000,000 CSL</t>
        </is>
      </c>
      <c r="Y275" s="30"/>
      <c r="Z275" s="30"/>
      <c r="AA275" s="32" t="inlineStr">
        <is>
          <t xml:space="preserve">Surplus Lines</t>
        </is>
      </c>
      <c r="AB275" s="35">
        <v>6788.07</v>
      </c>
      <c r="AC275" s="37">
        <v>0</v>
      </c>
      <c r="AD275" s="38">
        <f>IF(ISNUMBER($AB275),$AB275*(1+N($AC275)),"")</f>
      </c>
      <c r="AE275" s="35">
        <v>350</v>
      </c>
      <c r="AF275" s="35">
        <v>0</v>
      </c>
      <c r="AG275" s="37"/>
      <c r="AH275" s="39">
        <f>IF(ISNUMBER($AD275),($AD275+$AE275+$AF275)*$AG275,"")</f>
      </c>
      <c r="AI275" s="35"/>
      <c r="AJ275" s="38">
        <f>IF(ISNUMBER($AD275),SUM($AD275:$AH275),"")</f>
      </c>
      <c r="AK275" s="40">
        <f>IF(AND(ISNUMBER($AB275),ISNUMBER($AD275)),IF($AB275&gt;0,$AD275/$AB275,""),"")</f>
      </c>
      <c r="AL275" s="32" t="inlineStr">
        <is>
          <t xml:space="preserve">At technical</t>
        </is>
      </c>
      <c r="AM275" s="41">
        <f>IF(ISNUMBER($AD275),Header!$I$3,"")</f>
      </c>
      <c r="AN275" s="39">
        <f>IF(ISNUMBER($AD275),$AO275+$AP275,"")</f>
      </c>
      <c r="AO275" s="39">
        <f>IF(ISNUMBER($AD275),ROUND($AD275*Header!$K$3,2),"")</f>
      </c>
      <c r="AP275" s="39">
        <f>IF(ISNUMBER($AD275),ROUND($AD275*Header!$M$3,2),"")</f>
      </c>
      <c r="AQ275" s="38">
        <f>IF(ISNUMBER($AD275),ROUND($AD275,2)-$AO275-$AP275,"")</f>
      </c>
      <c r="AR275" s="39">
        <f>IF(ISNUMBER($AD275),IF(Header!$D$34="","?",$AD275*Header!$D$34),"")</f>
      </c>
      <c r="AS275" s="39">
        <f>IF(ISNUMBER($AB275),IF(Header!$D$34="","?",$AB275*Header!$D$34),"")</f>
      </c>
      <c r="AT275" s="42">
        <f>IF(AND(ISNUMBER($AB275),$M275&gt;0),$AB275/$M275*100,"")</f>
      </c>
      <c r="AU275" s="42">
        <f>IF(AND(ISNUMBER($AD275),$M275&gt;0),$AD275/$M275*100,"")</f>
      </c>
      <c r="AV275" s="40">
        <f>IF(AND(ISNUMBER($AB275),ISNUMBER($AD275),ABS($AB275)&gt;0),$AD275/$AB275,"")</f>
      </c>
      <c r="AW275" s="39">
        <f>IF(ISNUMBER($AD275),MAX(0,(1-0.55-Header!$O$3)*Header!$Q$3*$AQ275),"")</f>
      </c>
      <c r="AX275" s="43">
        <f>IF($A275="","",IF(TRIM(IF($A275="","Missing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",""))="","PASS","FAIL: "&amp;TRIM(IF($A275="","Missing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f>
      </c>
      <c r="AY275" s="44">
        <f>IF($M275="","",IF(ISNUMBER($M275),IF($M275&gt;=Header!$C$18,"YES — refer","No"),""))</f>
      </c>
      <c r="AZ275" s="44">
        <f>IF($AD275="","",IF(ISNUMBER($AD275),IF($AD275&lt;Header!$C$20,"BELOW MIN PREMIUM","OK"),""))</f>
      </c>
      <c r="BA275" s="32" t="inlineStr">
        <is>
          <t xml:space="preserve">Yes</t>
        </is>
      </c>
      <c r="BB275" s="32" t="inlineStr">
        <is>
          <t xml:space="preserve">Yes</t>
        </is>
      </c>
      <c r="BC275" s="30" t="inlineStr">
        <is>
          <t xml:space="preserve">Synthetic demo data</t>
        </is>
      </c>
      <c r="BE275" s="45">
        <f>IF(OR($A275="",$L275="",$H275=""),"",IF(AND(LEFT($L275,2)="06",$H275&gt;1945),"FAIL - pre-war class, year "&amp;$H275,IF(AND(LEFT($L275,2)="07",OR($H275&lt;1946,$H275&gt;1972)),"FAIL - 1946-72 class, year "&amp;$H275,IF(AND(LEFT($L275,2)="08",OR($H275&lt;1973,$H275&gt;1999)),"FAIL - 1973-99 class, year "&amp;$H275,IF(AND(LEFT($L275,2)="09",OR($H275&lt;2000,$H275&gt;2010)),"FAIL - 2000-10 class, year "&amp;$H275,"OK")))))</f>
      </c>
      <c r="BF275" s="45">
        <f>IF($AD275="","",IF(ROUND($AO275+$AP275+$AQ275-$AD275,2)=0,"OK","FAIL - out by "&amp;TEXT($AO275+$AP275+$AQ275-$AD275,"$0.00")))</f>
      </c>
    </row>
    <row r="276" spans="1:58" ht="18.75" customHeight="1" x14ac:dyDescent="0.25">
      <c r="A276" s="46" t="inlineStr">
        <is>
          <t xml:space="preserve">CANON-202606-008781</t>
        </is>
      </c>
      <c r="B276" s="46" t="inlineStr">
        <is>
          <t xml:space="preserve">Sunniva Larsson</t>
        </is>
      </c>
      <c r="C276" s="47">
        <v>46184</v>
      </c>
      <c r="D276" s="48" t="inlineStr">
        <is>
          <t xml:space="preserve">Bound - within authority</t>
        </is>
      </c>
      <c r="E276" s="48" t="inlineStr">
        <is>
          <t xml:space="preserve">New business</t>
        </is>
      </c>
      <c r="F276" s="46" t="inlineStr">
        <is>
          <t xml:space="preserve">B1234EXOTIC26</t>
        </is>
      </c>
      <c r="G276" s="33">
        <f>IF($A276="","",IF($C276="","",YEAR($C276)))</f>
      </c>
      <c r="H276" s="49">
        <v>1996</v>
      </c>
      <c r="I276" s="46" t="inlineStr">
        <is>
          <t xml:space="preserve">BMW</t>
        </is>
      </c>
      <c r="J276" s="46" t="inlineStr">
        <is>
          <t xml:space="preserve">M8 Competition</t>
        </is>
      </c>
      <c r="K276" s="46" t="inlineStr">
        <is>
          <t xml:space="preserve">26VVB0V78U24YFEYZ</t>
        </is>
      </c>
      <c r="L276" s="48" t="inlineStr">
        <is>
          <t xml:space="preserve">02 - Sports / GT</t>
        </is>
      </c>
      <c r="M276" s="50">
        <v>1185000</v>
      </c>
      <c r="N276" s="48" t="inlineStr">
        <is>
          <t xml:space="preserve">Personal</t>
        </is>
      </c>
      <c r="O276" s="46" t="inlineStr">
        <is>
          <t xml:space="preserve">Personal - regular use</t>
        </is>
      </c>
      <c r="P276" s="46" t="inlineStr">
        <is>
          <t xml:space="preserve">1,000 - 2,500</t>
        </is>
      </c>
      <c r="Q276" s="46" t="inlineStr">
        <is>
          <t xml:space="preserve">Texas</t>
        </is>
      </c>
      <c r="R276" s="46" t="inlineStr">
        <is>
          <t xml:space="preserve">75201</t>
        </is>
      </c>
      <c r="S276" s="48" t="inlineStr">
        <is>
          <t xml:space="preserve">Tier 2 - Coastal wind (1-25 miles)</t>
        </is>
      </c>
      <c r="T276" s="36">
        <f>IF($A276="","",IF($S276="","",IFERROR(INDEX('[1]natural catastrophe'!$D$6:$D$17,MATCH($S276,'[1]natural catastrophe'!$B$6:$B$17,0)),"?")))</f>
      </c>
      <c r="U276" s="46" t="inlineStr">
        <is>
          <t xml:space="preserve">2% of agreed value, minimum $10,000</t>
        </is>
      </c>
      <c r="V276" s="48" t="inlineStr">
        <is>
          <t xml:space="preserve">Agreed Value</t>
        </is>
      </c>
      <c r="W276" s="46" t="inlineStr">
        <is>
          <t xml:space="preserve">$1,000</t>
        </is>
      </c>
      <c r="X276" s="48" t="inlineStr">
        <is>
          <t xml:space="preserve">$1,000,000 CSL</t>
        </is>
      </c>
      <c r="Y276" s="46"/>
      <c r="Z276" s="46"/>
      <c r="AA276" s="48" t="inlineStr">
        <is>
          <t xml:space="preserve">Surplus Lines</t>
        </is>
      </c>
      <c r="AB276" s="50">
        <v>10815.61</v>
      </c>
      <c r="AC276" s="51">
        <v>0</v>
      </c>
      <c r="AD276" s="38">
        <f>IF(ISNUMBER($AB276),$AB276*(1+N($AC276)),"")</f>
      </c>
      <c r="AE276" s="50">
        <v>350</v>
      </c>
      <c r="AF276" s="50">
        <v>250</v>
      </c>
      <c r="AG276" s="51"/>
      <c r="AH276" s="39">
        <f>IF(ISNUMBER($AD276),($AD276+$AE276+$AF276)*$AG276,"")</f>
      </c>
      <c r="AI276" s="50"/>
      <c r="AJ276" s="38">
        <f>IF(ISNUMBER($AD276),SUM($AD276:$AH276),"")</f>
      </c>
      <c r="AK276" s="40">
        <f>IF(AND(ISNUMBER($AB276),ISNUMBER($AD276)),IF($AB276&gt;0,$AD276/$AB276,""),"")</f>
      </c>
      <c r="AL276" s="48" t="inlineStr">
        <is>
          <t xml:space="preserve">At technical</t>
        </is>
      </c>
      <c r="AM276" s="41">
        <f>IF(ISNUMBER($AD276),Header!$I$3,"")</f>
      </c>
      <c r="AN276" s="39">
        <f>IF(ISNUMBER($AD276),$AO276+$AP276,"")</f>
      </c>
      <c r="AO276" s="39">
        <f>IF(ISNUMBER($AD276),ROUND($AD276*Header!$K$3,2),"")</f>
      </c>
      <c r="AP276" s="39">
        <f>IF(ISNUMBER($AD276),ROUND($AD276*Header!$M$3,2),"")</f>
      </c>
      <c r="AQ276" s="38">
        <f>IF(ISNUMBER($AD276),ROUND($AD276,2)-$AO276-$AP276,"")</f>
      </c>
      <c r="AR276" s="39">
        <f>IF(ISNUMBER($AD276),IF(Header!$D$34="","?",$AD276*Header!$D$34),"")</f>
      </c>
      <c r="AS276" s="39">
        <f>IF(ISNUMBER($AB276),IF(Header!$D$34="","?",$AB276*Header!$D$34),"")</f>
      </c>
      <c r="AT276" s="42">
        <f>IF(AND(ISNUMBER($AB276),$M276&gt;0),$AB276/$M276*100,"")</f>
      </c>
      <c r="AU276" s="42">
        <f>IF(AND(ISNUMBER($AD276),$M276&gt;0),$AD276/$M276*100,"")</f>
      </c>
      <c r="AV276" s="40">
        <f>IF(AND(ISNUMBER($AB276),ISNUMBER($AD276),ABS($AB276)&gt;0),$AD276/$AB276,"")</f>
      </c>
      <c r="AW276" s="39">
        <f>IF(ISNUMBER($AD276),MAX(0,(1-0.55-Header!$O$3)*Header!$Q$3*$AQ276),"")</f>
      </c>
      <c r="AX276" s="43">
        <f>IF($A276="","",IF(TRIM(IF($A276="","Missing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",""))="","PASS","FAIL: "&amp;TRIM(IF($A276="","Missing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f>
      </c>
      <c r="AY276" s="44">
        <f>IF($M276="","",IF(ISNUMBER($M276),IF($M276&gt;=Header!$C$18,"YES — refer","No"),""))</f>
      </c>
      <c r="AZ276" s="44">
        <f>IF($AD276="","",IF(ISNUMBER($AD276),IF($AD276&lt;Header!$C$20,"BELOW MIN PREMIUM","OK"),""))</f>
      </c>
      <c r="BA276" s="48" t="inlineStr">
        <is>
          <t xml:space="preserve">Yes</t>
        </is>
      </c>
      <c r="BB276" s="48" t="inlineStr">
        <is>
          <t xml:space="preserve">Yes</t>
        </is>
      </c>
      <c r="BC276" s="46" t="inlineStr">
        <is>
          <t xml:space="preserve">Synthetic demo data</t>
        </is>
      </c>
      <c r="BE276" s="45">
        <f>IF(OR($A276="",$L276="",$H276=""),"",IF(AND(LEFT($L276,2)="06",$H276&gt;1945),"FAIL - pre-war class, year "&amp;$H276,IF(AND(LEFT($L276,2)="07",OR($H276&lt;1946,$H276&gt;1972)),"FAIL - 1946-72 class, year "&amp;$H276,IF(AND(LEFT($L276,2)="08",OR($H276&lt;1973,$H276&gt;1999)),"FAIL - 1973-99 class, year "&amp;$H276,IF(AND(LEFT($L276,2)="09",OR($H276&lt;2000,$H276&gt;2010)),"FAIL - 2000-10 class, year "&amp;$H276,"OK")))))</f>
      </c>
      <c r="BF276" s="45">
        <f>IF($AD276="","",IF(ROUND($AO276+$AP276+$AQ276-$AD276,2)=0,"OK","FAIL - out by "&amp;TEXT($AO276+$AP276+$AQ276-$AD276,"$0.00")))</f>
      </c>
    </row>
    <row r="277" spans="1:58" ht="18.75" customHeight="1" x14ac:dyDescent="0.25">
      <c r="A277" s="30" t="inlineStr">
        <is>
          <t xml:space="preserve">CANON-202606-008783</t>
        </is>
      </c>
      <c r="B277" s="30" t="inlineStr">
        <is>
          <t xml:space="preserve">Mireille Okonkwo</t>
        </is>
      </c>
      <c r="C277" s="31">
        <v>46201</v>
      </c>
      <c r="D277" s="32" t="inlineStr">
        <is>
          <t xml:space="preserve">Bound - within authority</t>
        </is>
      </c>
      <c r="E277" s="32" t="inlineStr">
        <is>
          <t xml:space="preserve">New business</t>
        </is>
      </c>
      <c r="F277" s="30" t="inlineStr">
        <is>
          <t xml:space="preserve">B1234EXOTIC26</t>
        </is>
      </c>
      <c r="G277" s="33">
        <f>IF($A277="","",IF($C277="","",YEAR($C277)))</f>
      </c>
      <c r="H277" s="34">
        <v>1972</v>
      </c>
      <c r="I277" s="30" t="inlineStr">
        <is>
          <t xml:space="preserve">Bentley</t>
        </is>
      </c>
      <c r="J277" s="30" t="inlineStr">
        <is>
          <t xml:space="preserve">Continental GT</t>
        </is>
      </c>
      <c r="K277" s="30" t="inlineStr">
        <is>
          <t xml:space="preserve">UZWXKMA1JSPYZYSVV</t>
        </is>
      </c>
      <c r="L277" s="32" t="inlineStr">
        <is>
          <t xml:space="preserve">02 - Sports / GT</t>
        </is>
      </c>
      <c r="M277" s="35">
        <v>920000</v>
      </c>
      <c r="N277" s="32" t="inlineStr">
        <is>
          <t xml:space="preserve">Personal</t>
        </is>
      </c>
      <c r="O277" s="30" t="inlineStr">
        <is>
          <t xml:space="preserve">Personal - regular use</t>
        </is>
      </c>
      <c r="P277" s="30" t="inlineStr">
        <is>
          <t xml:space="preserve">1,000 - 2,500</t>
        </is>
      </c>
      <c r="Q277" s="30" t="inlineStr">
        <is>
          <t xml:space="preserve">Tennessee</t>
        </is>
      </c>
      <c r="R277" s="30" t="inlineStr">
        <is>
          <t xml:space="preserve">37203</t>
        </is>
      </c>
      <c r="S277" s="32" t="inlineStr">
        <is>
          <t xml:space="preserve">Severe convective - hail / tornado (moderate)</t>
        </is>
      </c>
      <c r="T277" s="36">
        <f>IF($A277="","",IF($S277="","",IFERROR(INDEX('[1]natural catastrophe'!$D$6:$D$17,MATCH($S277,'[1]natural catastrophe'!$B$6:$B$17,0)),"?")))</f>
      </c>
      <c r="U277" s="30" t="inlineStr">
        <is>
          <t xml:space="preserve">$5,000</t>
        </is>
      </c>
      <c r="V277" s="32" t="inlineStr">
        <is>
          <t xml:space="preserve">Agreed Value</t>
        </is>
      </c>
      <c r="W277" s="30" t="inlineStr">
        <is>
          <t xml:space="preserve">$1,000</t>
        </is>
      </c>
      <c r="X277" s="32" t="inlineStr">
        <is>
          <t xml:space="preserve">$1,000,000 CSL</t>
        </is>
      </c>
      <c r="Y277" s="30"/>
      <c r="Z277" s="30"/>
      <c r="AA277" s="32" t="inlineStr">
        <is>
          <t xml:space="preserve">Surplus Lines</t>
        </is>
      </c>
      <c r="AB277" s="35">
        <v>8456.67</v>
      </c>
      <c r="AC277" s="37">
        <v>0</v>
      </c>
      <c r="AD277" s="38">
        <f>IF(ISNUMBER($AB277),$AB277*(1+N($AC277)),"")</f>
      </c>
      <c r="AE277" s="35">
        <v>350</v>
      </c>
      <c r="AF277" s="35">
        <v>0</v>
      </c>
      <c r="AG277" s="37"/>
      <c r="AH277" s="39">
        <f>IF(ISNUMBER($AD277),($AD277+$AE277+$AF277)*$AG277,"")</f>
      </c>
      <c r="AI277" s="35"/>
      <c r="AJ277" s="38">
        <f>IF(ISNUMBER($AD277),SUM($AD277:$AH277),"")</f>
      </c>
      <c r="AK277" s="40">
        <f>IF(AND(ISNUMBER($AB277),ISNUMBER($AD277)),IF($AB277&gt;0,$AD277/$AB277,""),"")</f>
      </c>
      <c r="AL277" s="32" t="inlineStr">
        <is>
          <t xml:space="preserve">At technical</t>
        </is>
      </c>
      <c r="AM277" s="41">
        <f>IF(ISNUMBER($AD277),Header!$I$3,"")</f>
      </c>
      <c r="AN277" s="39">
        <f>IF(ISNUMBER($AD277),$AO277+$AP277,"")</f>
      </c>
      <c r="AO277" s="39">
        <f>IF(ISNUMBER($AD277),ROUND($AD277*Header!$K$3,2),"")</f>
      </c>
      <c r="AP277" s="39">
        <f>IF(ISNUMBER($AD277),ROUND($AD277*Header!$M$3,2),"")</f>
      </c>
      <c r="AQ277" s="38">
        <f>IF(ISNUMBER($AD277),ROUND($AD277,2)-$AO277-$AP277,"")</f>
      </c>
      <c r="AR277" s="39">
        <f>IF(ISNUMBER($AD277),IF(Header!$D$34="","?",$AD277*Header!$D$34),"")</f>
      </c>
      <c r="AS277" s="39">
        <f>IF(ISNUMBER($AB277),IF(Header!$D$34="","?",$AB277*Header!$D$34),"")</f>
      </c>
      <c r="AT277" s="42">
        <f>IF(AND(ISNUMBER($AB277),$M277&gt;0),$AB277/$M277*100,"")</f>
      </c>
      <c r="AU277" s="42">
        <f>IF(AND(ISNUMBER($AD277),$M277&gt;0),$AD277/$M277*100,"")</f>
      </c>
      <c r="AV277" s="40">
        <f>IF(AND(ISNUMBER($AB277),ISNUMBER($AD277),ABS($AB277)&gt;0),$AD277/$AB277,"")</f>
      </c>
      <c r="AW277" s="39">
        <f>IF(ISNUMBER($AD277),MAX(0,(1-0.55-Header!$O$3)*Header!$Q$3*$AQ277),"")</f>
      </c>
      <c r="AX277" s="43">
        <f>IF($A277="","",IF(TRIM(IF($A277="","Missing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",""))="","PASS","FAIL: "&amp;TRIM(IF($A277="","Missing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f>
      </c>
      <c r="AY277" s="44">
        <f>IF($M277="","",IF(ISNUMBER($M277),IF($M277&gt;=Header!$C$18,"YES — refer","No"),""))</f>
      </c>
      <c r="AZ277" s="44">
        <f>IF($AD277="","",IF(ISNUMBER($AD277),IF($AD277&lt;Header!$C$20,"BELOW MIN PREMIUM","OK"),""))</f>
      </c>
      <c r="BA277" s="32" t="inlineStr">
        <is>
          <t xml:space="preserve">Yes</t>
        </is>
      </c>
      <c r="BB277" s="32" t="inlineStr">
        <is>
          <t xml:space="preserve">Yes</t>
        </is>
      </c>
      <c r="BC277" s="30" t="inlineStr">
        <is>
          <t xml:space="preserve">Synthetic demo data</t>
        </is>
      </c>
      <c r="BE277" s="45">
        <f>IF(OR($A277="",$L277="",$H277=""),"",IF(AND(LEFT($L277,2)="06",$H277&gt;1945),"FAIL - pre-war class, year "&amp;$H277,IF(AND(LEFT($L277,2)="07",OR($H277&lt;1946,$H277&gt;1972)),"FAIL - 1946-72 class, year "&amp;$H277,IF(AND(LEFT($L277,2)="08",OR($H277&lt;1973,$H277&gt;1999)),"FAIL - 1973-99 class, year "&amp;$H277,IF(AND(LEFT($L277,2)="09",OR($H277&lt;2000,$H277&gt;2010)),"FAIL - 2000-10 class, year "&amp;$H277,"OK")))))</f>
      </c>
      <c r="BF277" s="45">
        <f>IF($AD277="","",IF(ROUND($AO277+$AP277+$AQ277-$AD277,2)=0,"OK","FAIL - out by "&amp;TEXT($AO277+$AP277+$AQ277-$AD277,"$0.00")))</f>
      </c>
    </row>
    <row r="278" spans="1:58" ht="18.75" customHeight="1" x14ac:dyDescent="0.25">
      <c r="A278" s="46" t="inlineStr">
        <is>
          <t xml:space="preserve">CANON-202606-008784</t>
        </is>
      </c>
      <c r="B278" s="46" t="inlineStr">
        <is>
          <t xml:space="preserve">Lorenzo Okonkwo</t>
        </is>
      </c>
      <c r="C278" s="47">
        <v>46187</v>
      </c>
      <c r="D278" s="48" t="inlineStr">
        <is>
          <t xml:space="preserve">Bound - within authority</t>
        </is>
      </c>
      <c r="E278" s="48" t="inlineStr">
        <is>
          <t xml:space="preserve">New business</t>
        </is>
      </c>
      <c r="F278" s="46" t="inlineStr">
        <is>
          <t xml:space="preserve">B1234EXOTIC26</t>
        </is>
      </c>
      <c r="G278" s="33">
        <f>IF($A278="","",IF($C278="","",YEAR($C278)))</f>
      </c>
      <c r="H278" s="49">
        <v>1986</v>
      </c>
      <c r="I278" s="46" t="inlineStr">
        <is>
          <t xml:space="preserve">Bentley</t>
        </is>
      </c>
      <c r="J278" s="46" t="inlineStr">
        <is>
          <t xml:space="preserve">Continental GT</t>
        </is>
      </c>
      <c r="K278" s="46" t="inlineStr">
        <is>
          <t xml:space="preserve">TKZXB35AG4KKDA3JZ</t>
        </is>
      </c>
      <c r="L278" s="48" t="inlineStr">
        <is>
          <t xml:space="preserve">02 - Sports / GT</t>
        </is>
      </c>
      <c r="M278" s="50">
        <v>680000</v>
      </c>
      <c r="N278" s="48" t="inlineStr">
        <is>
          <t xml:space="preserve">Personal</t>
        </is>
      </c>
      <c r="O278" s="46" t="inlineStr">
        <is>
          <t xml:space="preserve">Personal - regular use</t>
        </is>
      </c>
      <c r="P278" s="46" t="inlineStr">
        <is>
          <t xml:space="preserve">1,000 - 2,500</t>
        </is>
      </c>
      <c r="Q278" s="46" t="inlineStr">
        <is>
          <t xml:space="preserve">North Dakota</t>
        </is>
      </c>
      <c r="R278" s="46" t="inlineStr">
        <is>
          <t xml:space="preserve">58501</t>
        </is>
      </c>
      <c r="S278" s="48" t="inlineStr">
        <is>
          <t xml:space="preserve">Severe convective - hail alley (high)</t>
        </is>
      </c>
      <c r="T278" s="36">
        <f>IF($A278="","",IF($S278="","",IFERROR(INDEX('[1]natural catastrophe'!$D$6:$D$17,MATCH($S278,'[1]natural catastrophe'!$B$6:$B$17,0)),"?")))</f>
      </c>
      <c r="U278" s="46" t="inlineStr">
        <is>
          <t xml:space="preserve">$5,000</t>
        </is>
      </c>
      <c r="V278" s="48" t="inlineStr">
        <is>
          <t xml:space="preserve">Agreed Value</t>
        </is>
      </c>
      <c r="W278" s="46" t="inlineStr">
        <is>
          <t xml:space="preserve">$1,000</t>
        </is>
      </c>
      <c r="X278" s="48" t="inlineStr">
        <is>
          <t xml:space="preserve">$1,000,000 CSL</t>
        </is>
      </c>
      <c r="Y278" s="46"/>
      <c r="Z278" s="46"/>
      <c r="AA278" s="48" t="inlineStr">
        <is>
          <t xml:space="preserve">Surplus Lines</t>
        </is>
      </c>
      <c r="AB278" s="50">
        <v>6505.71</v>
      </c>
      <c r="AC278" s="51">
        <v>0</v>
      </c>
      <c r="AD278" s="38">
        <f>IF(ISNUMBER($AB278),$AB278*(1+N($AC278)),"")</f>
      </c>
      <c r="AE278" s="50">
        <v>350</v>
      </c>
      <c r="AF278" s="50">
        <v>0</v>
      </c>
      <c r="AG278" s="51"/>
      <c r="AH278" s="39">
        <f>IF(ISNUMBER($AD278),($AD278+$AE278+$AF278)*$AG278,"")</f>
      </c>
      <c r="AI278" s="50"/>
      <c r="AJ278" s="38">
        <f>IF(ISNUMBER($AD278),SUM($AD278:$AH278),"")</f>
      </c>
      <c r="AK278" s="40">
        <f>IF(AND(ISNUMBER($AB278),ISNUMBER($AD278)),IF($AB278&gt;0,$AD278/$AB278,""),"")</f>
      </c>
      <c r="AL278" s="48" t="inlineStr">
        <is>
          <t xml:space="preserve">At technical</t>
        </is>
      </c>
      <c r="AM278" s="41">
        <f>IF(ISNUMBER($AD278),Header!$I$3,"")</f>
      </c>
      <c r="AN278" s="39">
        <f>IF(ISNUMBER($AD278),$AO278+$AP278,"")</f>
      </c>
      <c r="AO278" s="39">
        <f>IF(ISNUMBER($AD278),ROUND($AD278*Header!$K$3,2),"")</f>
      </c>
      <c r="AP278" s="39">
        <f>IF(ISNUMBER($AD278),ROUND($AD278*Header!$M$3,2),"")</f>
      </c>
      <c r="AQ278" s="38">
        <f>IF(ISNUMBER($AD278),ROUND($AD278,2)-$AO278-$AP278,"")</f>
      </c>
      <c r="AR278" s="39">
        <f>IF(ISNUMBER($AD278),IF(Header!$D$34="","?",$AD278*Header!$D$34),"")</f>
      </c>
      <c r="AS278" s="39">
        <f>IF(ISNUMBER($AB278),IF(Header!$D$34="","?",$AB278*Header!$D$34),"")</f>
      </c>
      <c r="AT278" s="42">
        <f>IF(AND(ISNUMBER($AB278),$M278&gt;0),$AB278/$M278*100,"")</f>
      </c>
      <c r="AU278" s="42">
        <f>IF(AND(ISNUMBER($AD278),$M278&gt;0),$AD278/$M278*100,"")</f>
      </c>
      <c r="AV278" s="40">
        <f>IF(AND(ISNUMBER($AB278),ISNUMBER($AD278),ABS($AB278)&gt;0),$AD278/$AB278,"")</f>
      </c>
      <c r="AW278" s="39">
        <f>IF(ISNUMBER($AD278),MAX(0,(1-0.55-Header!$O$3)*Header!$Q$3*$AQ278),"")</f>
      </c>
      <c r="AX278" s="43">
        <f>IF($A278="","",IF(TRIM(IF($A278="","Missing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",""))="","PASS","FAIL: "&amp;TRIM(IF($A278="","Missing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f>
      </c>
      <c r="AY278" s="44">
        <f>IF($M278="","",IF(ISNUMBER($M278),IF($M278&gt;=Header!$C$18,"YES — refer","No"),""))</f>
      </c>
      <c r="AZ278" s="44">
        <f>IF($AD278="","",IF(ISNUMBER($AD278),IF($AD278&lt;Header!$C$20,"BELOW MIN PREMIUM","OK"),""))</f>
      </c>
      <c r="BA278" s="48" t="inlineStr">
        <is>
          <t xml:space="preserve">Yes</t>
        </is>
      </c>
      <c r="BB278" s="48" t="inlineStr">
        <is>
          <t xml:space="preserve">Yes</t>
        </is>
      </c>
      <c r="BC278" s="46" t="inlineStr">
        <is>
          <t xml:space="preserve">Synthetic demo data</t>
        </is>
      </c>
      <c r="BE278" s="45">
        <f>IF(OR($A278="",$L278="",$H278=""),"",IF(AND(LEFT($L278,2)="06",$H278&gt;1945),"FAIL - pre-war class, year "&amp;$H278,IF(AND(LEFT($L278,2)="07",OR($H278&lt;1946,$H278&gt;1972)),"FAIL - 1946-72 class, year "&amp;$H278,IF(AND(LEFT($L278,2)="08",OR($H278&lt;1973,$H278&gt;1999)),"FAIL - 1973-99 class, year "&amp;$H278,IF(AND(LEFT($L278,2)="09",OR($H278&lt;2000,$H278&gt;2010)),"FAIL - 2000-10 class, year "&amp;$H278,"OK")))))</f>
      </c>
      <c r="BF278" s="45">
        <f>IF($AD278="","",IF(ROUND($AO278+$AP278+$AQ278-$AD278,2)=0,"OK","FAIL - out by "&amp;TEXT($AO278+$AP278+$AQ278-$AD278,"$0.00")))</f>
      </c>
    </row>
    <row r="279" spans="1:58" ht="18.75" customHeight="1" x14ac:dyDescent="0.25">
      <c r="A279" s="30" t="inlineStr">
        <is>
          <t xml:space="preserve">CANON-202606-008785</t>
        </is>
      </c>
      <c r="B279" s="30" t="inlineStr">
        <is>
          <t xml:space="preserve">Horace Pennington</t>
        </is>
      </c>
      <c r="C279" s="31">
        <v>46201</v>
      </c>
      <c r="D279" s="32" t="inlineStr">
        <is>
          <t xml:space="preserve">Bound - within authority</t>
        </is>
      </c>
      <c r="E279" s="32" t="inlineStr">
        <is>
          <t xml:space="preserve">New business</t>
        </is>
      </c>
      <c r="F279" s="30" t="inlineStr">
        <is>
          <t xml:space="preserve">B1234EXOTIC26</t>
        </is>
      </c>
      <c r="G279" s="33">
        <f>IF($A279="","",IF($C279="","",YEAR($C279)))</f>
      </c>
      <c r="H279" s="34">
        <v>2023</v>
      </c>
      <c r="I279" s="30" t="inlineStr">
        <is>
          <t xml:space="preserve">Maserati</t>
        </is>
      </c>
      <c r="J279" s="30" t="inlineStr">
        <is>
          <t xml:space="preserve">GranTurismo</t>
        </is>
      </c>
      <c r="K279" s="30" t="inlineStr">
        <is>
          <t xml:space="preserve">H8RZ53939518L33FA</t>
        </is>
      </c>
      <c r="L279" s="32" t="inlineStr">
        <is>
          <t xml:space="preserve">02 - Sports / GT</t>
        </is>
      </c>
      <c r="M279" s="35">
        <v>660000</v>
      </c>
      <c r="N279" s="32" t="inlineStr">
        <is>
          <t xml:space="preserve">Personal</t>
        </is>
      </c>
      <c r="O279" s="30" t="inlineStr">
        <is>
          <t xml:space="preserve">Personal - regular use</t>
        </is>
      </c>
      <c r="P279" s="30" t="inlineStr">
        <is>
          <t xml:space="preserve">2,500 - 5,000</t>
        </is>
      </c>
      <c r="Q279" s="30" t="inlineStr">
        <is>
          <t xml:space="preserve">Pennsylvania</t>
        </is>
      </c>
      <c r="R279" s="30" t="inlineStr">
        <is>
          <t xml:space="preserve">19103</t>
        </is>
      </c>
      <c r="S279" s="32" t="inlineStr">
        <is>
          <t xml:space="preserve">Low hazard - inland benign</t>
        </is>
      </c>
      <c r="T279" s="36">
        <f>IF($A279="","",IF($S279="","",IFERROR(INDEX('[1]natural catastrophe'!$D$6:$D$17,MATCH($S279,'[1]natural catastrophe'!$B$6:$B$17,0)),"?")))</f>
      </c>
      <c r="U279" s="30" t="inlineStr">
        <is>
          <t xml:space="preserve">$5,000</t>
        </is>
      </c>
      <c r="V279" s="32" t="inlineStr">
        <is>
          <t xml:space="preserve">Agreed Value</t>
        </is>
      </c>
      <c r="W279" s="30" t="inlineStr">
        <is>
          <t xml:space="preserve">$1,000</t>
        </is>
      </c>
      <c r="X279" s="32" t="inlineStr">
        <is>
          <t xml:space="preserve">$1,000,000 CSL</t>
        </is>
      </c>
      <c r="Y279" s="30"/>
      <c r="Z279" s="30"/>
      <c r="AA279" s="32" t="inlineStr">
        <is>
          <t xml:space="preserve">Surplus Lines</t>
        </is>
      </c>
      <c r="AB279" s="35">
        <v>6190.55</v>
      </c>
      <c r="AC279" s="37">
        <v>0</v>
      </c>
      <c r="AD279" s="38">
        <f>IF(ISNUMBER($AB279),$AB279*(1+N($AC279)),"")</f>
      </c>
      <c r="AE279" s="35">
        <v>350</v>
      </c>
      <c r="AF279" s="35">
        <v>0</v>
      </c>
      <c r="AG279" s="37"/>
      <c r="AH279" s="39">
        <f>IF(ISNUMBER($AD279),($AD279+$AE279+$AF279)*$AG279,"")</f>
      </c>
      <c r="AI279" s="35"/>
      <c r="AJ279" s="38">
        <f>IF(ISNUMBER($AD279),SUM($AD279:$AH279),"")</f>
      </c>
      <c r="AK279" s="40">
        <f>IF(AND(ISNUMBER($AB279),ISNUMBER($AD279)),IF($AB279&gt;0,$AD279/$AB279,""),"")</f>
      </c>
      <c r="AL279" s="32" t="inlineStr">
        <is>
          <t xml:space="preserve">At technical</t>
        </is>
      </c>
      <c r="AM279" s="41">
        <f>IF(ISNUMBER($AD279),Header!$I$3,"")</f>
      </c>
      <c r="AN279" s="39">
        <f>IF(ISNUMBER($AD279),$AO279+$AP279,"")</f>
      </c>
      <c r="AO279" s="39">
        <f>IF(ISNUMBER($AD279),ROUND($AD279*Header!$K$3,2),"")</f>
      </c>
      <c r="AP279" s="39">
        <f>IF(ISNUMBER($AD279),ROUND($AD279*Header!$M$3,2),"")</f>
      </c>
      <c r="AQ279" s="38">
        <f>IF(ISNUMBER($AD279),ROUND($AD279,2)-$AO279-$AP279,"")</f>
      </c>
      <c r="AR279" s="39">
        <f>IF(ISNUMBER($AD279),IF(Header!$D$34="","?",$AD279*Header!$D$34),"")</f>
      </c>
      <c r="AS279" s="39">
        <f>IF(ISNUMBER($AB279),IF(Header!$D$34="","?",$AB279*Header!$D$34),"")</f>
      </c>
      <c r="AT279" s="42">
        <f>IF(AND(ISNUMBER($AB279),$M279&gt;0),$AB279/$M279*100,"")</f>
      </c>
      <c r="AU279" s="42">
        <f>IF(AND(ISNUMBER($AD279),$M279&gt;0),$AD279/$M279*100,"")</f>
      </c>
      <c r="AV279" s="40">
        <f>IF(AND(ISNUMBER($AB279),ISNUMBER($AD279),ABS($AB279)&gt;0),$AD279/$AB279,"")</f>
      </c>
      <c r="AW279" s="39">
        <f>IF(ISNUMBER($AD279),MAX(0,(1-0.55-Header!$O$3)*Header!$Q$3*$AQ279),"")</f>
      </c>
      <c r="AX279" s="43">
        <f>IF($A279="","",IF(TRIM(IF($A279="","Missing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",""))="","PASS","FAIL: "&amp;TRIM(IF($A279="","Missing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f>
      </c>
      <c r="AY279" s="44">
        <f>IF($M279="","",IF(ISNUMBER($M279),IF($M279&gt;=Header!$C$18,"YES — refer","No"),""))</f>
      </c>
      <c r="AZ279" s="44">
        <f>IF($AD279="","",IF(ISNUMBER($AD279),IF($AD279&lt;Header!$C$20,"BELOW MIN PREMIUM","OK"),""))</f>
      </c>
      <c r="BA279" s="32" t="inlineStr">
        <is>
          <t xml:space="preserve">Yes</t>
        </is>
      </c>
      <c r="BB279" s="32" t="inlineStr">
        <is>
          <t xml:space="preserve">Yes</t>
        </is>
      </c>
      <c r="BC279" s="30" t="inlineStr">
        <is>
          <t xml:space="preserve">Synthetic demo data</t>
        </is>
      </c>
      <c r="BE279" s="45">
        <f>IF(OR($A279="",$L279="",$H279=""),"",IF(AND(LEFT($L279,2)="06",$H279&gt;1945),"FAIL - pre-war class, year "&amp;$H279,IF(AND(LEFT($L279,2)="07",OR($H279&lt;1946,$H279&gt;1972)),"FAIL - 1946-72 class, year "&amp;$H279,IF(AND(LEFT($L279,2)="08",OR($H279&lt;1973,$H279&gt;1999)),"FAIL - 1973-99 class, year "&amp;$H279,IF(AND(LEFT($L279,2)="09",OR($H279&lt;2000,$H279&gt;2010)),"FAIL - 2000-10 class, year "&amp;$H279,"OK")))))</f>
      </c>
      <c r="BF279" s="45">
        <f>IF($AD279="","",IF(ROUND($AO279+$AP279+$AQ279-$AD279,2)=0,"OK","FAIL - out by "&amp;TEXT($AO279+$AP279+$AQ279-$AD279,"$0.00")))</f>
      </c>
    </row>
    <row r="280" spans="1:58" ht="18.75" customHeight="1" x14ac:dyDescent="0.25">
      <c r="A280" s="46" t="inlineStr">
        <is>
          <t xml:space="preserve">CANON-202606-008786</t>
        </is>
      </c>
      <c r="B280" s="46" t="inlineStr">
        <is>
          <t xml:space="preserve">Leopold Larsson</t>
        </is>
      </c>
      <c r="C280" s="47">
        <v>46203</v>
      </c>
      <c r="D280" s="48" t="inlineStr">
        <is>
          <t xml:space="preserve">Bound - within authority</t>
        </is>
      </c>
      <c r="E280" s="48" t="inlineStr">
        <is>
          <t xml:space="preserve">New business</t>
        </is>
      </c>
      <c r="F280" s="46" t="inlineStr">
        <is>
          <t xml:space="preserve">B1234EXOTIC26</t>
        </is>
      </c>
      <c r="G280" s="33">
        <f>IF($A280="","",IF($C280="","",YEAR($C280)))</f>
      </c>
      <c r="H280" s="49">
        <v>1987</v>
      </c>
      <c r="I280" s="46" t="inlineStr">
        <is>
          <t xml:space="preserve">Jaguar</t>
        </is>
      </c>
      <c r="J280" s="46" t="inlineStr">
        <is>
          <t xml:space="preserve">E-Type Series 1</t>
        </is>
      </c>
      <c r="K280" s="46" t="inlineStr">
        <is>
          <t xml:space="preserve">BJ7921MVZK1DDF9AR</t>
        </is>
      </c>
      <c r="L280" s="48" t="inlineStr">
        <is>
          <t xml:space="preserve">08 - Modern Classic (1973-1999)</t>
        </is>
      </c>
      <c r="M280" s="50">
        <v>625000</v>
      </c>
      <c r="N280" s="48" t="inlineStr">
        <is>
          <t xml:space="preserve">Personal</t>
        </is>
      </c>
      <c r="O280" s="46" t="inlineStr">
        <is>
          <t xml:space="preserve">Personal - regular use</t>
        </is>
      </c>
      <c r="P280" s="46" t="inlineStr">
        <is>
          <t xml:space="preserve">2,500 - 5,000</t>
        </is>
      </c>
      <c r="Q280" s="46" t="inlineStr">
        <is>
          <t xml:space="preserve">Arkansas</t>
        </is>
      </c>
      <c r="R280" s="46" t="inlineStr">
        <is>
          <t xml:space="preserve">72201</t>
        </is>
      </c>
      <c r="S280" s="48" t="inlineStr">
        <is>
          <t xml:space="preserve">Severe convective - hail / tornado (moderate)</t>
        </is>
      </c>
      <c r="T280" s="36">
        <f>IF($A280="","",IF($S280="","",IFERROR(INDEX('[1]natural catastrophe'!$D$6:$D$17,MATCH($S280,'[1]natural catastrophe'!$B$6:$B$17,0)),"?")))</f>
      </c>
      <c r="U280" s="46" t="inlineStr">
        <is>
          <t xml:space="preserve">$5,000</t>
        </is>
      </c>
      <c r="V280" s="48" t="inlineStr">
        <is>
          <t xml:space="preserve">Agreed Value</t>
        </is>
      </c>
      <c r="W280" s="46" t="inlineStr">
        <is>
          <t xml:space="preserve">$1,000</t>
        </is>
      </c>
      <c r="X280" s="48" t="inlineStr">
        <is>
          <t xml:space="preserve">$1,000,000 CSL</t>
        </is>
      </c>
      <c r="Y280" s="46"/>
      <c r="Z280" s="46"/>
      <c r="AA280" s="48" t="inlineStr">
        <is>
          <t xml:space="preserve">Surplus Lines</t>
        </is>
      </c>
      <c r="AB280" s="50">
        <v>5351.8</v>
      </c>
      <c r="AC280" s="51">
        <v>0</v>
      </c>
      <c r="AD280" s="38">
        <f>IF(ISNUMBER($AB280),$AB280*(1+N($AC280)),"")</f>
      </c>
      <c r="AE280" s="50">
        <v>350</v>
      </c>
      <c r="AF280" s="50">
        <v>0</v>
      </c>
      <c r="AG280" s="51"/>
      <c r="AH280" s="39">
        <f>IF(ISNUMBER($AD280),($AD280+$AE280+$AF280)*$AG280,"")</f>
      </c>
      <c r="AI280" s="50"/>
      <c r="AJ280" s="38">
        <f>IF(ISNUMBER($AD280),SUM($AD280:$AH280),"")</f>
      </c>
      <c r="AK280" s="40">
        <f>IF(AND(ISNUMBER($AB280),ISNUMBER($AD280)),IF($AB280&gt;0,$AD280/$AB280,""),"")</f>
      </c>
      <c r="AL280" s="48" t="inlineStr">
        <is>
          <t xml:space="preserve">At technical</t>
        </is>
      </c>
      <c r="AM280" s="41">
        <f>IF(ISNUMBER($AD280),Header!$I$3,"")</f>
      </c>
      <c r="AN280" s="39">
        <f>IF(ISNUMBER($AD280),$AO280+$AP280,"")</f>
      </c>
      <c r="AO280" s="39">
        <f>IF(ISNUMBER($AD280),ROUND($AD280*Header!$K$3,2),"")</f>
      </c>
      <c r="AP280" s="39">
        <f>IF(ISNUMBER($AD280),ROUND($AD280*Header!$M$3,2),"")</f>
      </c>
      <c r="AQ280" s="38">
        <f>IF(ISNUMBER($AD280),ROUND($AD280,2)-$AO280-$AP280,"")</f>
      </c>
      <c r="AR280" s="39">
        <f>IF(ISNUMBER($AD280),IF(Header!$D$34="","?",$AD280*Header!$D$34),"")</f>
      </c>
      <c r="AS280" s="39">
        <f>IF(ISNUMBER($AB280),IF(Header!$D$34="","?",$AB280*Header!$D$34),"")</f>
      </c>
      <c r="AT280" s="42">
        <f>IF(AND(ISNUMBER($AB280),$M280&gt;0),$AB280/$M280*100,"")</f>
      </c>
      <c r="AU280" s="42">
        <f>IF(AND(ISNUMBER($AD280),$M280&gt;0),$AD280/$M280*100,"")</f>
      </c>
      <c r="AV280" s="40">
        <f>IF(AND(ISNUMBER($AB280),ISNUMBER($AD280),ABS($AB280)&gt;0),$AD280/$AB280,"")</f>
      </c>
      <c r="AW280" s="39">
        <f>IF(ISNUMBER($AD280),MAX(0,(1-0.55-Header!$O$3)*Header!$Q$3*$AQ280),"")</f>
      </c>
      <c r="AX280" s="43">
        <f>IF($A280="","",IF(TRIM(IF($A280="","Missing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",""))="","PASS","FAIL: "&amp;TRIM(IF($A280="","Missing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f>
      </c>
      <c r="AY280" s="44">
        <f>IF($M280="","",IF(ISNUMBER($M280),IF($M280&gt;=Header!$C$18,"YES — refer","No"),""))</f>
      </c>
      <c r="AZ280" s="44">
        <f>IF($AD280="","",IF(ISNUMBER($AD280),IF($AD280&lt;Header!$C$20,"BELOW MIN PREMIUM","OK"),""))</f>
      </c>
      <c r="BA280" s="48" t="inlineStr">
        <is>
          <t xml:space="preserve">Yes</t>
        </is>
      </c>
      <c r="BB280" s="48" t="inlineStr">
        <is>
          <t xml:space="preserve">Yes</t>
        </is>
      </c>
      <c r="BC280" s="46" t="inlineStr">
        <is>
          <t xml:space="preserve">Synthetic demo data</t>
        </is>
      </c>
      <c r="BE280" s="45">
        <f>IF(OR($A280="",$L280="",$H280=""),"",IF(AND(LEFT($L280,2)="06",$H280&gt;1945),"FAIL - pre-war class, year "&amp;$H280,IF(AND(LEFT($L280,2)="07",OR($H280&lt;1946,$H280&gt;1972)),"FAIL - 1946-72 class, year "&amp;$H280,IF(AND(LEFT($L280,2)="08",OR($H280&lt;1973,$H280&gt;1999)),"FAIL - 1973-99 class, year "&amp;$H280,IF(AND(LEFT($L280,2)="09",OR($H280&lt;2000,$H280&gt;2010)),"FAIL - 2000-10 class, year "&amp;$H280,"OK")))))</f>
      </c>
      <c r="BF280" s="45">
        <f>IF($AD280="","",IF(ROUND($AO280+$AP280+$AQ280-$AD280,2)=0,"OK","FAIL - out by "&amp;TEXT($AO280+$AP280+$AQ280-$AD280,"$0.00")))</f>
      </c>
    </row>
    <row r="281" spans="1:58" ht="18.75" customHeight="1" x14ac:dyDescent="0.25">
      <c r="A281" s="30" t="inlineStr">
        <is>
          <t xml:space="preserve">CANON-202606-008787</t>
        </is>
      </c>
      <c r="B281" s="30" t="inlineStr">
        <is>
          <t xml:space="preserve">Lorenzo Larsson</t>
        </is>
      </c>
      <c r="C281" s="31">
        <v>46194</v>
      </c>
      <c r="D281" s="32" t="inlineStr">
        <is>
          <t xml:space="preserve">Bound - within authority</t>
        </is>
      </c>
      <c r="E281" s="32" t="inlineStr">
        <is>
          <t xml:space="preserve">New business</t>
        </is>
      </c>
      <c r="F281" s="30" t="inlineStr">
        <is>
          <t xml:space="preserve">B1234EXOTIC26</t>
        </is>
      </c>
      <c r="G281" s="33">
        <f>IF($A281="","",IF($C281="","",YEAR($C281)))</f>
      </c>
      <c r="H281" s="34">
        <v>2022</v>
      </c>
      <c r="I281" s="30" t="inlineStr">
        <is>
          <t xml:space="preserve">Ferrari</t>
        </is>
      </c>
      <c r="J281" s="30" t="inlineStr">
        <is>
          <t xml:space="preserve">296 GTB</t>
        </is>
      </c>
      <c r="K281" s="30" t="inlineStr">
        <is>
          <t xml:space="preserve">BDNDL9L54JV5EAB4B</t>
        </is>
      </c>
      <c r="L281" s="32" t="inlineStr">
        <is>
          <t xml:space="preserve">03 - Supercar</t>
        </is>
      </c>
      <c r="M281" s="35">
        <v>1950000</v>
      </c>
      <c r="N281" s="32" t="inlineStr">
        <is>
          <t xml:space="preserve">Personal</t>
        </is>
      </c>
      <c r="O281" s="30" t="inlineStr">
        <is>
          <t xml:space="preserve">Personal - regular use</t>
        </is>
      </c>
      <c r="P281" s="30" t="inlineStr">
        <is>
          <t xml:space="preserve">1,000 - 2,500</t>
        </is>
      </c>
      <c r="Q281" s="30" t="inlineStr">
        <is>
          <t xml:space="preserve">Washington</t>
        </is>
      </c>
      <c r="R281" s="30" t="inlineStr">
        <is>
          <t xml:space="preserve">98101</t>
        </is>
      </c>
      <c r="S281" s="32" t="inlineStr">
        <is>
          <t xml:space="preserve">Earthquake - high (CA, Cascadia, New Madrid)</t>
        </is>
      </c>
      <c r="T281" s="36">
        <f>IF($A281="","",IF($S281="","",IFERROR(INDEX('[1]natural catastrophe'!$D$6:$D$17,MATCH($S281,'[1]natural catastrophe'!$B$6:$B$17,0)),"?")))</f>
      </c>
      <c r="U281" s="30" t="inlineStr">
        <is>
          <t xml:space="preserve">$5,000</t>
        </is>
      </c>
      <c r="V281" s="32" t="inlineStr">
        <is>
          <t xml:space="preserve">Agreed Value</t>
        </is>
      </c>
      <c r="W281" s="30" t="inlineStr">
        <is>
          <t xml:space="preserve">$1,000</t>
        </is>
      </c>
      <c r="X281" s="32" t="inlineStr">
        <is>
          <t xml:space="preserve">$1,000,000 CSL</t>
        </is>
      </c>
      <c r="Y281" s="30"/>
      <c r="Z281" s="30"/>
      <c r="AA281" s="32" t="inlineStr">
        <is>
          <t xml:space="preserve">Surplus Lines</t>
        </is>
      </c>
      <c r="AB281" s="35">
        <v>21610.65</v>
      </c>
      <c r="AC281" s="37">
        <v>0</v>
      </c>
      <c r="AD281" s="38">
        <f>IF(ISNUMBER($AB281),$AB281*(1+N($AC281)),"")</f>
      </c>
      <c r="AE281" s="35">
        <v>350</v>
      </c>
      <c r="AF281" s="35">
        <v>250</v>
      </c>
      <c r="AG281" s="37"/>
      <c r="AH281" s="39">
        <f>IF(ISNUMBER($AD281),($AD281+$AE281+$AF281)*$AG281,"")</f>
      </c>
      <c r="AI281" s="35"/>
      <c r="AJ281" s="38">
        <f>IF(ISNUMBER($AD281),SUM($AD281:$AH281),"")</f>
      </c>
      <c r="AK281" s="40">
        <f>IF(AND(ISNUMBER($AB281),ISNUMBER($AD281)),IF($AB281&gt;0,$AD281/$AB281,""),"")</f>
      </c>
      <c r="AL281" s="32" t="inlineStr">
        <is>
          <t xml:space="preserve">At technical</t>
        </is>
      </c>
      <c r="AM281" s="41">
        <f>IF(ISNUMBER($AD281),Header!$I$3,"")</f>
      </c>
      <c r="AN281" s="39">
        <f>IF(ISNUMBER($AD281),$AO281+$AP281,"")</f>
      </c>
      <c r="AO281" s="39">
        <f>IF(ISNUMBER($AD281),ROUND($AD281*Header!$K$3,2),"")</f>
      </c>
      <c r="AP281" s="39">
        <f>IF(ISNUMBER($AD281),ROUND($AD281*Header!$M$3,2),"")</f>
      </c>
      <c r="AQ281" s="38">
        <f>IF(ISNUMBER($AD281),ROUND($AD281,2)-$AO281-$AP281,"")</f>
      </c>
      <c r="AR281" s="39">
        <f>IF(ISNUMBER($AD281),IF(Header!$D$34="","?",$AD281*Header!$D$34),"")</f>
      </c>
      <c r="AS281" s="39">
        <f>IF(ISNUMBER($AB281),IF(Header!$D$34="","?",$AB281*Header!$D$34),"")</f>
      </c>
      <c r="AT281" s="42">
        <f>IF(AND(ISNUMBER($AB281),$M281&gt;0),$AB281/$M281*100,"")</f>
      </c>
      <c r="AU281" s="42">
        <f>IF(AND(ISNUMBER($AD281),$M281&gt;0),$AD281/$M281*100,"")</f>
      </c>
      <c r="AV281" s="40">
        <f>IF(AND(ISNUMBER($AB281),ISNUMBER($AD281),ABS($AB281)&gt;0),$AD281/$AB281,"")</f>
      </c>
      <c r="AW281" s="39">
        <f>IF(ISNUMBER($AD281),MAX(0,(1-0.55-Header!$O$3)*Header!$Q$3*$AQ281),"")</f>
      </c>
      <c r="AX281" s="43">
        <f>IF($A281="","",IF(TRIM(IF($A281="","Missing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",""))="","PASS","FAIL: "&amp;TRIM(IF($A281="","Missing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f>
      </c>
      <c r="AY281" s="44">
        <f>IF($M281="","",IF(ISNUMBER($M281),IF($M281&gt;=Header!$C$18,"YES — refer","No"),""))</f>
      </c>
      <c r="AZ281" s="44">
        <f>IF($AD281="","",IF(ISNUMBER($AD281),IF($AD281&lt;Header!$C$20,"BELOW MIN PREMIUM","OK"),""))</f>
      </c>
      <c r="BA281" s="32" t="inlineStr">
        <is>
          <t xml:space="preserve">Yes</t>
        </is>
      </c>
      <c r="BB281" s="32" t="inlineStr">
        <is>
          <t xml:space="preserve">Yes</t>
        </is>
      </c>
      <c r="BC281" s="30" t="inlineStr">
        <is>
          <t xml:space="preserve">Synthetic demo data</t>
        </is>
      </c>
      <c r="BE281" s="45">
        <f>IF(OR($A281="",$L281="",$H281=""),"",IF(AND(LEFT($L281,2)="06",$H281&gt;1945),"FAIL - pre-war class, year "&amp;$H281,IF(AND(LEFT($L281,2)="07",OR($H281&lt;1946,$H281&gt;1972)),"FAIL - 1946-72 class, year "&amp;$H281,IF(AND(LEFT($L281,2)="08",OR($H281&lt;1973,$H281&gt;1999)),"FAIL - 1973-99 class, year "&amp;$H281,IF(AND(LEFT($L281,2)="09",OR($H281&lt;2000,$H281&gt;2010)),"FAIL - 2000-10 class, year "&amp;$H281,"OK")))))</f>
      </c>
      <c r="BF281" s="45">
        <f>IF($AD281="","",IF(ROUND($AO281+$AP281+$AQ281-$AD281,2)=0,"OK","FAIL - out by "&amp;TEXT($AO281+$AP281+$AQ281-$AD281,"$0.00")))</f>
      </c>
    </row>
    <row r="282" spans="1:58" ht="18.75" customHeight="1" x14ac:dyDescent="0.25">
      <c r="A282" s="46" t="inlineStr">
        <is>
          <t xml:space="preserve">CANON-202606-008788</t>
        </is>
      </c>
      <c r="B282" s="46" t="inlineStr">
        <is>
          <t xml:space="preserve">Marisol Larsson</t>
        </is>
      </c>
      <c r="C282" s="47">
        <v>46179</v>
      </c>
      <c r="D282" s="48" t="inlineStr">
        <is>
          <t xml:space="preserve">Bound - within authority</t>
        </is>
      </c>
      <c r="E282" s="48" t="inlineStr">
        <is>
          <t xml:space="preserve">New business</t>
        </is>
      </c>
      <c r="F282" s="46" t="inlineStr">
        <is>
          <t xml:space="preserve">B1234EXOTIC26</t>
        </is>
      </c>
      <c r="G282" s="33">
        <f>IF($A282="","",IF($C282="","",YEAR($C282)))</f>
      </c>
      <c r="H282" s="49">
        <v>1973</v>
      </c>
      <c r="I282" s="46" t="inlineStr">
        <is>
          <t xml:space="preserve">Jaguar</t>
        </is>
      </c>
      <c r="J282" s="46" t="inlineStr">
        <is>
          <t xml:space="preserve">E-Type Series 1</t>
        </is>
      </c>
      <c r="K282" s="46" t="inlineStr">
        <is>
          <t xml:space="preserve">MFT8K32ATJU5FCVNP</t>
        </is>
      </c>
      <c r="L282" s="48" t="inlineStr">
        <is>
          <t xml:space="preserve">08 - Modern Classic (1973-1999)</t>
        </is>
      </c>
      <c r="M282" s="50">
        <v>1950000</v>
      </c>
      <c r="N282" s="48" t="inlineStr">
        <is>
          <t xml:space="preserve">Personal</t>
        </is>
      </c>
      <c r="O282" s="46" t="inlineStr">
        <is>
          <t xml:space="preserve">Personal - regular use</t>
        </is>
      </c>
      <c r="P282" s="46" t="inlineStr">
        <is>
          <t xml:space="preserve">Under 1,000</t>
        </is>
      </c>
      <c r="Q282" s="46" t="inlineStr">
        <is>
          <t xml:space="preserve">Utah</t>
        </is>
      </c>
      <c r="R282" s="46" t="inlineStr">
        <is>
          <t xml:space="preserve">84101</t>
        </is>
      </c>
      <c r="S282" s="48" t="inlineStr">
        <is>
          <t xml:space="preserve">Wildfire - WUI high hazard</t>
        </is>
      </c>
      <c r="T282" s="36">
        <f>IF($A282="","",IF($S282="","",IFERROR(INDEX('[1]natural catastrophe'!$D$6:$D$17,MATCH($S282,'[1]natural catastrophe'!$B$6:$B$17,0)),"?")))</f>
      </c>
      <c r="U282" s="46" t="inlineStr">
        <is>
          <t xml:space="preserve">$5,000</t>
        </is>
      </c>
      <c r="V282" s="48" t="inlineStr">
        <is>
          <t xml:space="preserve">Agreed Value</t>
        </is>
      </c>
      <c r="W282" s="46" t="inlineStr">
        <is>
          <t xml:space="preserve">$1,000</t>
        </is>
      </c>
      <c r="X282" s="48" t="inlineStr">
        <is>
          <t xml:space="preserve">$1,000,000 CSL</t>
        </is>
      </c>
      <c r="Y282" s="46"/>
      <c r="Z282" s="46"/>
      <c r="AA282" s="48" t="inlineStr">
        <is>
          <t xml:space="preserve">Surplus Lines</t>
        </is>
      </c>
      <c r="AB282" s="50">
        <v>14435.24</v>
      </c>
      <c r="AC282" s="51">
        <v>0</v>
      </c>
      <c r="AD282" s="38">
        <f>IF(ISNUMBER($AB282),$AB282*(1+N($AC282)),"")</f>
      </c>
      <c r="AE282" s="50">
        <v>350</v>
      </c>
      <c r="AF282" s="50">
        <v>250</v>
      </c>
      <c r="AG282" s="51"/>
      <c r="AH282" s="39">
        <f>IF(ISNUMBER($AD282),($AD282+$AE282+$AF282)*$AG282,"")</f>
      </c>
      <c r="AI282" s="50"/>
      <c r="AJ282" s="38">
        <f>IF(ISNUMBER($AD282),SUM($AD282:$AH282),"")</f>
      </c>
      <c r="AK282" s="40">
        <f>IF(AND(ISNUMBER($AB282),ISNUMBER($AD282)),IF($AB282&gt;0,$AD282/$AB282,""),"")</f>
      </c>
      <c r="AL282" s="48" t="inlineStr">
        <is>
          <t xml:space="preserve">At technical</t>
        </is>
      </c>
      <c r="AM282" s="41">
        <f>IF(ISNUMBER($AD282),Header!$I$3,"")</f>
      </c>
      <c r="AN282" s="39">
        <f>IF(ISNUMBER($AD282),$AO282+$AP282,"")</f>
      </c>
      <c r="AO282" s="39">
        <f>IF(ISNUMBER($AD282),ROUND($AD282*Header!$K$3,2),"")</f>
      </c>
      <c r="AP282" s="39">
        <f>IF(ISNUMBER($AD282),ROUND($AD282*Header!$M$3,2),"")</f>
      </c>
      <c r="AQ282" s="38">
        <f>IF(ISNUMBER($AD282),ROUND($AD282,2)-$AO282-$AP282,"")</f>
      </c>
      <c r="AR282" s="39">
        <f>IF(ISNUMBER($AD282),IF(Header!$D$34="","?",$AD282*Header!$D$34),"")</f>
      </c>
      <c r="AS282" s="39">
        <f>IF(ISNUMBER($AB282),IF(Header!$D$34="","?",$AB282*Header!$D$34),"")</f>
      </c>
      <c r="AT282" s="42">
        <f>IF(AND(ISNUMBER($AB282),$M282&gt;0),$AB282/$M282*100,"")</f>
      </c>
      <c r="AU282" s="42">
        <f>IF(AND(ISNUMBER($AD282),$M282&gt;0),$AD282/$M282*100,"")</f>
      </c>
      <c r="AV282" s="40">
        <f>IF(AND(ISNUMBER($AB282),ISNUMBER($AD282),ABS($AB282)&gt;0),$AD282/$AB282,"")</f>
      </c>
      <c r="AW282" s="39">
        <f>IF(ISNUMBER($AD282),MAX(0,(1-0.55-Header!$O$3)*Header!$Q$3*$AQ282),"")</f>
      </c>
      <c r="AX282" s="43">
        <f>IF($A282="","",IF(TRIM(IF($A282="","Missing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",""))="","PASS","FAIL: "&amp;TRIM(IF($A282="","Missing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f>
      </c>
      <c r="AY282" s="44">
        <f>IF($M282="","",IF(ISNUMBER($M282),IF($M282&gt;=Header!$C$18,"YES — refer","No"),""))</f>
      </c>
      <c r="AZ282" s="44">
        <f>IF($AD282="","",IF(ISNUMBER($AD282),IF($AD282&lt;Header!$C$20,"BELOW MIN PREMIUM","OK"),""))</f>
      </c>
      <c r="BA282" s="48" t="inlineStr">
        <is>
          <t xml:space="preserve">Yes</t>
        </is>
      </c>
      <c r="BB282" s="48" t="inlineStr">
        <is>
          <t xml:space="preserve">Yes</t>
        </is>
      </c>
      <c r="BC282" s="46" t="inlineStr">
        <is>
          <t xml:space="preserve">Synthetic demo data</t>
        </is>
      </c>
      <c r="BE282" s="45">
        <f>IF(OR($A282="",$L282="",$H282=""),"",IF(AND(LEFT($L282,2)="06",$H282&gt;1945),"FAIL - pre-war class, year "&amp;$H282,IF(AND(LEFT($L282,2)="07",OR($H282&lt;1946,$H282&gt;1972)),"FAIL - 1946-72 class, year "&amp;$H282,IF(AND(LEFT($L282,2)="08",OR($H282&lt;1973,$H282&gt;1999)),"FAIL - 1973-99 class, year "&amp;$H282,IF(AND(LEFT($L282,2)="09",OR($H282&lt;2000,$H282&gt;2010)),"FAIL - 2000-10 class, year "&amp;$H282,"OK")))))</f>
      </c>
      <c r="BF282" s="45">
        <f>IF($AD282="","",IF(ROUND($AO282+$AP282+$AQ282-$AD282,2)=0,"OK","FAIL - out by "&amp;TEXT($AO282+$AP282+$AQ282-$AD282,"$0.00")))</f>
      </c>
    </row>
    <row r="283" spans="1:58" ht="18.75" customHeight="1" x14ac:dyDescent="0.25">
      <c r="A283" s="30" t="inlineStr">
        <is>
          <t xml:space="preserve">CANON-202606-008790</t>
        </is>
      </c>
      <c r="B283" s="30" t="inlineStr">
        <is>
          <t xml:space="preserve">Wilhelmina Bellandi</t>
        </is>
      </c>
      <c r="C283" s="31">
        <v>46174</v>
      </c>
      <c r="D283" s="32" t="inlineStr">
        <is>
          <t xml:space="preserve">Bound - within authority</t>
        </is>
      </c>
      <c r="E283" s="32" t="inlineStr">
        <is>
          <t xml:space="preserve">New business</t>
        </is>
      </c>
      <c r="F283" s="30" t="inlineStr">
        <is>
          <t xml:space="preserve">B1234EXOTIC26</t>
        </is>
      </c>
      <c r="G283" s="33">
        <f>IF($A283="","",IF($C283="","",YEAR($C283)))</f>
      </c>
      <c r="H283" s="34">
        <v>2017</v>
      </c>
      <c r="I283" s="30" t="inlineStr">
        <is>
          <t xml:space="preserve">Bentley</t>
        </is>
      </c>
      <c r="J283" s="30" t="inlineStr">
        <is>
          <t xml:space="preserve">Continental GT</t>
        </is>
      </c>
      <c r="K283" s="30" t="inlineStr">
        <is>
          <t xml:space="preserve">H0LUMX7BWHYZY5NAE</t>
        </is>
      </c>
      <c r="L283" s="32" t="inlineStr">
        <is>
          <t xml:space="preserve">02 - Sports / GT</t>
        </is>
      </c>
      <c r="M283" s="35">
        <v>775000</v>
      </c>
      <c r="N283" s="32" t="inlineStr">
        <is>
          <t xml:space="preserve">Personal</t>
        </is>
      </c>
      <c r="O283" s="30" t="inlineStr">
        <is>
          <t xml:space="preserve">Personal - regular use</t>
        </is>
      </c>
      <c r="P283" s="30" t="inlineStr">
        <is>
          <t xml:space="preserve">1,000 - 2,500</t>
        </is>
      </c>
      <c r="Q283" s="30" t="inlineStr">
        <is>
          <t xml:space="preserve">Arkansas</t>
        </is>
      </c>
      <c r="R283" s="30" t="inlineStr">
        <is>
          <t xml:space="preserve">72201</t>
        </is>
      </c>
      <c r="S283" s="32" t="inlineStr">
        <is>
          <t xml:space="preserve">Severe convective - hail / tornado (moderate)</t>
        </is>
      </c>
      <c r="T283" s="36">
        <f>IF($A283="","",IF($S283="","",IFERROR(INDEX('[1]natural catastrophe'!$D$6:$D$17,MATCH($S283,'[1]natural catastrophe'!$B$6:$B$17,0)),"?")))</f>
      </c>
      <c r="U283" s="30" t="inlineStr">
        <is>
          <t xml:space="preserve">$5,000</t>
        </is>
      </c>
      <c r="V283" s="32" t="inlineStr">
        <is>
          <t xml:space="preserve">Agreed Value</t>
        </is>
      </c>
      <c r="W283" s="30" t="inlineStr">
        <is>
          <t xml:space="preserve">$1,000</t>
        </is>
      </c>
      <c r="X283" s="32" t="inlineStr">
        <is>
          <t xml:space="preserve">$1,000,000 CSL</t>
        </is>
      </c>
      <c r="Y283" s="30"/>
      <c r="Z283" s="30"/>
      <c r="AA283" s="32" t="inlineStr">
        <is>
          <t xml:space="preserve">Surplus Lines</t>
        </is>
      </c>
      <c r="AB283" s="35">
        <v>10031.51</v>
      </c>
      <c r="AC283" s="37">
        <v>0</v>
      </c>
      <c r="AD283" s="38">
        <f>IF(ISNUMBER($AB283),$AB283*(1+N($AC283)),"")</f>
      </c>
      <c r="AE283" s="35">
        <v>350</v>
      </c>
      <c r="AF283" s="35">
        <v>0</v>
      </c>
      <c r="AG283" s="37"/>
      <c r="AH283" s="39">
        <f>IF(ISNUMBER($AD283),($AD283+$AE283+$AF283)*$AG283,"")</f>
      </c>
      <c r="AI283" s="35"/>
      <c r="AJ283" s="38">
        <f>IF(ISNUMBER($AD283),SUM($AD283:$AH283),"")</f>
      </c>
      <c r="AK283" s="40">
        <f>IF(AND(ISNUMBER($AB283),ISNUMBER($AD283)),IF($AB283&gt;0,$AD283/$AB283,""),"")</f>
      </c>
      <c r="AL283" s="32" t="inlineStr">
        <is>
          <t xml:space="preserve">At technical</t>
        </is>
      </c>
      <c r="AM283" s="41">
        <f>IF(ISNUMBER($AD283),Header!$I$3,"")</f>
      </c>
      <c r="AN283" s="39">
        <f>IF(ISNUMBER($AD283),$AO283+$AP283,"")</f>
      </c>
      <c r="AO283" s="39">
        <f>IF(ISNUMBER($AD283),ROUND($AD283*Header!$K$3,2),"")</f>
      </c>
      <c r="AP283" s="39">
        <f>IF(ISNUMBER($AD283),ROUND($AD283*Header!$M$3,2),"")</f>
      </c>
      <c r="AQ283" s="38">
        <f>IF(ISNUMBER($AD283),ROUND($AD283,2)-$AO283-$AP283,"")</f>
      </c>
      <c r="AR283" s="39">
        <f>IF(ISNUMBER($AD283),IF(Header!$D$34="","?",$AD283*Header!$D$34),"")</f>
      </c>
      <c r="AS283" s="39">
        <f>IF(ISNUMBER($AB283),IF(Header!$D$34="","?",$AB283*Header!$D$34),"")</f>
      </c>
      <c r="AT283" s="42">
        <f>IF(AND(ISNUMBER($AB283),$M283&gt;0),$AB283/$M283*100,"")</f>
      </c>
      <c r="AU283" s="42">
        <f>IF(AND(ISNUMBER($AD283),$M283&gt;0),$AD283/$M283*100,"")</f>
      </c>
      <c r="AV283" s="40">
        <f>IF(AND(ISNUMBER($AB283),ISNUMBER($AD283),ABS($AB283)&gt;0),$AD283/$AB283,"")</f>
      </c>
      <c r="AW283" s="39">
        <f>IF(ISNUMBER($AD283),MAX(0,(1-0.55-Header!$O$3)*Header!$Q$3*$AQ283),"")</f>
      </c>
      <c r="AX283" s="43">
        <f>IF($A283="","",IF(TRIM(IF($A283="","Missing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",""))="","PASS","FAIL: "&amp;TRIM(IF($A283="","Missing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f>
      </c>
      <c r="AY283" s="44">
        <f>IF($M283="","",IF(ISNUMBER($M283),IF($M283&gt;=Header!$C$18,"YES — refer","No"),""))</f>
      </c>
      <c r="AZ283" s="44">
        <f>IF($AD283="","",IF(ISNUMBER($AD283),IF($AD283&lt;Header!$C$20,"BELOW MIN PREMIUM","OK"),""))</f>
      </c>
      <c r="BA283" s="32" t="inlineStr">
        <is>
          <t xml:space="preserve">Yes</t>
        </is>
      </c>
      <c r="BB283" s="32" t="inlineStr">
        <is>
          <t xml:space="preserve">Yes</t>
        </is>
      </c>
      <c r="BC283" s="30" t="inlineStr">
        <is>
          <t xml:space="preserve">Synthetic demo data</t>
        </is>
      </c>
      <c r="BE283" s="45">
        <f>IF(OR($A283="",$L283="",$H283=""),"",IF(AND(LEFT($L283,2)="06",$H283&gt;1945),"FAIL - pre-war class, year "&amp;$H283,IF(AND(LEFT($L283,2)="07",OR($H283&lt;1946,$H283&gt;1972)),"FAIL - 1946-72 class, year "&amp;$H283,IF(AND(LEFT($L283,2)="08",OR($H283&lt;1973,$H283&gt;1999)),"FAIL - 1973-99 class, year "&amp;$H283,IF(AND(LEFT($L283,2)="09",OR($H283&lt;2000,$H283&gt;2010)),"FAIL - 2000-10 class, year "&amp;$H283,"OK")))))</f>
      </c>
      <c r="BF283" s="45">
        <f>IF($AD283="","",IF(ROUND($AO283+$AP283+$AQ283-$AD283,2)=0,"OK","FAIL - out by "&amp;TEXT($AO283+$AP283+$AQ283-$AD283,"$0.00")))</f>
      </c>
    </row>
    <row r="284" spans="1:58" ht="18.75" customHeight="1" x14ac:dyDescent="0.25">
      <c r="A284" s="46" t="inlineStr">
        <is>
          <t xml:space="preserve">CANON-202606-008791</t>
        </is>
      </c>
      <c r="B284" s="46" t="inlineStr">
        <is>
          <t xml:space="preserve">Mireille Harrington</t>
        </is>
      </c>
      <c r="C284" s="47">
        <v>46192</v>
      </c>
      <c r="D284" s="48" t="inlineStr">
        <is>
          <t xml:space="preserve">Bound - within authority</t>
        </is>
      </c>
      <c r="E284" s="48" t="inlineStr">
        <is>
          <t xml:space="preserve">New business</t>
        </is>
      </c>
      <c r="F284" s="46" t="inlineStr">
        <is>
          <t xml:space="preserve">B1234EXOTIC26</t>
        </is>
      </c>
      <c r="G284" s="33">
        <f>IF($A284="","",IF($C284="","",YEAR($C284)))</f>
      </c>
      <c r="H284" s="49">
        <v>2019</v>
      </c>
      <c r="I284" s="46" t="inlineStr">
        <is>
          <t xml:space="preserve">Singer</t>
        </is>
      </c>
      <c r="J284" s="46" t="inlineStr">
        <is>
          <t xml:space="preserve">911 Reimagined</t>
        </is>
      </c>
      <c r="K284" s="46" t="inlineStr">
        <is>
          <t xml:space="preserve">SHV2GYAY2B3GUZ93X</t>
        </is>
      </c>
      <c r="L284" s="48" t="inlineStr">
        <is>
          <t xml:space="preserve">11 - Restomod / Coachbuilt / Bespoke</t>
        </is>
      </c>
      <c r="M284" s="50">
        <v>310000</v>
      </c>
      <c r="N284" s="48" t="inlineStr">
        <is>
          <t xml:space="preserve">Personal</t>
        </is>
      </c>
      <c r="O284" s="46" t="inlineStr">
        <is>
          <t xml:space="preserve">Personal - regular use</t>
        </is>
      </c>
      <c r="P284" s="46" t="inlineStr">
        <is>
          <t xml:space="preserve">Under 1,000</t>
        </is>
      </c>
      <c r="Q284" s="46" t="inlineStr">
        <is>
          <t xml:space="preserve">Kentucky</t>
        </is>
      </c>
      <c r="R284" s="46" t="inlineStr">
        <is>
          <t xml:space="preserve">40202</t>
        </is>
      </c>
      <c r="S284" s="48" t="inlineStr">
        <is>
          <t xml:space="preserve">Severe convective - hail / tornado (moderate)</t>
        </is>
      </c>
      <c r="T284" s="36">
        <f>IF($A284="","",IF($S284="","",IFERROR(INDEX('[1]natural catastrophe'!$D$6:$D$17,MATCH($S284,'[1]natural catastrophe'!$B$6:$B$17,0)),"?")))</f>
      </c>
      <c r="U284" s="46" t="inlineStr">
        <is>
          <t xml:space="preserve">$5,000</t>
        </is>
      </c>
      <c r="V284" s="48" t="inlineStr">
        <is>
          <t xml:space="preserve">Agreed Value</t>
        </is>
      </c>
      <c r="W284" s="46" t="inlineStr">
        <is>
          <t xml:space="preserve">$1,000</t>
        </is>
      </c>
      <c r="X284" s="48" t="inlineStr">
        <is>
          <t xml:space="preserve">$1,000,000 CSL</t>
        </is>
      </c>
      <c r="Y284" s="46"/>
      <c r="Z284" s="46"/>
      <c r="AA284" s="48" t="inlineStr">
        <is>
          <t xml:space="preserve">Surplus Lines</t>
        </is>
      </c>
      <c r="AB284" s="50">
        <v>5274.99</v>
      </c>
      <c r="AC284" s="51">
        <v>0</v>
      </c>
      <c r="AD284" s="38">
        <f>IF(ISNUMBER($AB284),$AB284*(1+N($AC284)),"")</f>
      </c>
      <c r="AE284" s="50">
        <v>350</v>
      </c>
      <c r="AF284" s="50">
        <v>0</v>
      </c>
      <c r="AG284" s="51"/>
      <c r="AH284" s="39">
        <f>IF(ISNUMBER($AD284),($AD284+$AE284+$AF284)*$AG284,"")</f>
      </c>
      <c r="AI284" s="50"/>
      <c r="AJ284" s="38">
        <f>IF(ISNUMBER($AD284),SUM($AD284:$AH284),"")</f>
      </c>
      <c r="AK284" s="40">
        <f>IF(AND(ISNUMBER($AB284),ISNUMBER($AD284)),IF($AB284&gt;0,$AD284/$AB284,""),"")</f>
      </c>
      <c r="AL284" s="48" t="inlineStr">
        <is>
          <t xml:space="preserve">At technical</t>
        </is>
      </c>
      <c r="AM284" s="41">
        <f>IF(ISNUMBER($AD284),Header!$I$3,"")</f>
      </c>
      <c r="AN284" s="39">
        <f>IF(ISNUMBER($AD284),$AO284+$AP284,"")</f>
      </c>
      <c r="AO284" s="39">
        <f>IF(ISNUMBER($AD284),ROUND($AD284*Header!$K$3,2),"")</f>
      </c>
      <c r="AP284" s="39">
        <f>IF(ISNUMBER($AD284),ROUND($AD284*Header!$M$3,2),"")</f>
      </c>
      <c r="AQ284" s="38">
        <f>IF(ISNUMBER($AD284),ROUND($AD284,2)-$AO284-$AP284,"")</f>
      </c>
      <c r="AR284" s="39">
        <f>IF(ISNUMBER($AD284),IF(Header!$D$34="","?",$AD284*Header!$D$34),"")</f>
      </c>
      <c r="AS284" s="39">
        <f>IF(ISNUMBER($AB284),IF(Header!$D$34="","?",$AB284*Header!$D$34),"")</f>
      </c>
      <c r="AT284" s="42">
        <f>IF(AND(ISNUMBER($AB284),$M284&gt;0),$AB284/$M284*100,"")</f>
      </c>
      <c r="AU284" s="42">
        <f>IF(AND(ISNUMBER($AD284),$M284&gt;0),$AD284/$M284*100,"")</f>
      </c>
      <c r="AV284" s="40">
        <f>IF(AND(ISNUMBER($AB284),ISNUMBER($AD284),ABS($AB284)&gt;0),$AD284/$AB284,"")</f>
      </c>
      <c r="AW284" s="39">
        <f>IF(ISNUMBER($AD284),MAX(0,(1-0.55-Header!$O$3)*Header!$Q$3*$AQ284),"")</f>
      </c>
      <c r="AX284" s="43">
        <f>IF($A284="","",IF(TRIM(IF($A284="","Missing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",""))="","PASS","FAIL: "&amp;TRIM(IF($A284="","Missing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f>
      </c>
      <c r="AY284" s="44">
        <f>IF($M284="","",IF(ISNUMBER($M284),IF($M284&gt;=Header!$C$18,"YES — refer","No"),""))</f>
      </c>
      <c r="AZ284" s="44">
        <f>IF($AD284="","",IF(ISNUMBER($AD284),IF($AD284&lt;Header!$C$20,"BELOW MIN PREMIUM","OK"),""))</f>
      </c>
      <c r="BA284" s="48" t="inlineStr">
        <is>
          <t xml:space="preserve">Yes</t>
        </is>
      </c>
      <c r="BB284" s="48" t="inlineStr">
        <is>
          <t xml:space="preserve">Yes</t>
        </is>
      </c>
      <c r="BC284" s="46" t="inlineStr">
        <is>
          <t xml:space="preserve">Synthetic demo data</t>
        </is>
      </c>
      <c r="BE284" s="45">
        <f>IF(OR($A284="",$L284="",$H284=""),"",IF(AND(LEFT($L284,2)="06",$H284&gt;1945),"FAIL - pre-war class, year "&amp;$H284,IF(AND(LEFT($L284,2)="07",OR($H284&lt;1946,$H284&gt;1972)),"FAIL - 1946-72 class, year "&amp;$H284,IF(AND(LEFT($L284,2)="08",OR($H284&lt;1973,$H284&gt;1999)),"FAIL - 1973-99 class, year "&amp;$H284,IF(AND(LEFT($L284,2)="09",OR($H284&lt;2000,$H284&gt;2010)),"FAIL - 2000-10 class, year "&amp;$H284,"OK")))))</f>
      </c>
      <c r="BF284" s="45">
        <f>IF($AD284="","",IF(ROUND($AO284+$AP284+$AQ284-$AD284,2)=0,"OK","FAIL - out by "&amp;TEXT($AO284+$AP284+$AQ284-$AD284,"$0.00")))</f>
      </c>
    </row>
    <row r="285" spans="1:58" ht="18.75" customHeight="1" x14ac:dyDescent="0.25">
      <c r="A285" s="30" t="inlineStr">
        <is>
          <t xml:space="preserve">CANON-202606-008793</t>
        </is>
      </c>
      <c r="B285" s="30" t="inlineStr">
        <is>
          <t xml:space="preserve">Everett Nakashima</t>
        </is>
      </c>
      <c r="C285" s="31">
        <v>46199</v>
      </c>
      <c r="D285" s="32" t="inlineStr">
        <is>
          <t xml:space="preserve">Bound - within authority</t>
        </is>
      </c>
      <c r="E285" s="32" t="inlineStr">
        <is>
          <t xml:space="preserve">New business</t>
        </is>
      </c>
      <c r="F285" s="30" t="inlineStr">
        <is>
          <t xml:space="preserve">B1234EXOTIC26</t>
        </is>
      </c>
      <c r="G285" s="33">
        <f>IF($A285="","",IF($C285="","",YEAR($C285)))</f>
      </c>
      <c r="H285" s="34">
        <v>1992</v>
      </c>
      <c r="I285" s="30" t="inlineStr">
        <is>
          <t xml:space="preserve">Aston Martin</t>
        </is>
      </c>
      <c r="J285" s="30" t="inlineStr">
        <is>
          <t xml:space="preserve">DB5</t>
        </is>
      </c>
      <c r="K285" s="30" t="inlineStr">
        <is>
          <t xml:space="preserve">3SRNXSJW5VPMG4H25</t>
        </is>
      </c>
      <c r="L285" s="32" t="inlineStr">
        <is>
          <t xml:space="preserve">08 - Modern Classic (1973-1999)</t>
        </is>
      </c>
      <c r="M285" s="35">
        <v>1145000</v>
      </c>
      <c r="N285" s="32" t="inlineStr">
        <is>
          <t xml:space="preserve">Personal</t>
        </is>
      </c>
      <c r="O285" s="30" t="inlineStr">
        <is>
          <t xml:space="preserve">Personal - regular use</t>
        </is>
      </c>
      <c r="P285" s="30" t="inlineStr">
        <is>
          <t xml:space="preserve">Under 1,000</t>
        </is>
      </c>
      <c r="Q285" s="30" t="inlineStr">
        <is>
          <t xml:space="preserve">Michigan</t>
        </is>
      </c>
      <c r="R285" s="30" t="inlineStr">
        <is>
          <t xml:space="preserve">48226</t>
        </is>
      </c>
      <c r="S285" s="32" t="inlineStr">
        <is>
          <t xml:space="preserve">Severe convective - hail / tornado (moderate)</t>
        </is>
      </c>
      <c r="T285" s="36">
        <f>IF($A285="","",IF($S285="","",IFERROR(INDEX('[1]natural catastrophe'!$D$6:$D$17,MATCH($S285,'[1]natural catastrophe'!$B$6:$B$17,0)),"?")))</f>
      </c>
      <c r="U285" s="30" t="inlineStr">
        <is>
          <t xml:space="preserve">$5,000</t>
        </is>
      </c>
      <c r="V285" s="32" t="inlineStr">
        <is>
          <t xml:space="preserve">Agreed Value</t>
        </is>
      </c>
      <c r="W285" s="30" t="inlineStr">
        <is>
          <t xml:space="preserve">$1,000</t>
        </is>
      </c>
      <c r="X285" s="32" t="inlineStr">
        <is>
          <t xml:space="preserve">$1,000,000 CSL</t>
        </is>
      </c>
      <c r="Y285" s="30"/>
      <c r="Z285" s="30"/>
      <c r="AA285" s="32" t="inlineStr">
        <is>
          <t xml:space="preserve">Surplus Lines</t>
        </is>
      </c>
      <c r="AB285" s="35">
        <v>9731.79</v>
      </c>
      <c r="AC285" s="37">
        <v>0</v>
      </c>
      <c r="AD285" s="38">
        <f>IF(ISNUMBER($AB285),$AB285*(1+N($AC285)),"")</f>
      </c>
      <c r="AE285" s="35">
        <v>350</v>
      </c>
      <c r="AF285" s="35">
        <v>250</v>
      </c>
      <c r="AG285" s="37"/>
      <c r="AH285" s="39">
        <f>IF(ISNUMBER($AD285),($AD285+$AE285+$AF285)*$AG285,"")</f>
      </c>
      <c r="AI285" s="35"/>
      <c r="AJ285" s="38">
        <f>IF(ISNUMBER($AD285),SUM($AD285:$AH285),"")</f>
      </c>
      <c r="AK285" s="40">
        <f>IF(AND(ISNUMBER($AB285),ISNUMBER($AD285)),IF($AB285&gt;0,$AD285/$AB285,""),"")</f>
      </c>
      <c r="AL285" s="32" t="inlineStr">
        <is>
          <t xml:space="preserve">At technical</t>
        </is>
      </c>
      <c r="AM285" s="41">
        <f>IF(ISNUMBER($AD285),Header!$I$3,"")</f>
      </c>
      <c r="AN285" s="39">
        <f>IF(ISNUMBER($AD285),$AO285+$AP285,"")</f>
      </c>
      <c r="AO285" s="39">
        <f>IF(ISNUMBER($AD285),ROUND($AD285*Header!$K$3,2),"")</f>
      </c>
      <c r="AP285" s="39">
        <f>IF(ISNUMBER($AD285),ROUND($AD285*Header!$M$3,2),"")</f>
      </c>
      <c r="AQ285" s="38">
        <f>IF(ISNUMBER($AD285),ROUND($AD285,2)-$AO285-$AP285,"")</f>
      </c>
      <c r="AR285" s="39">
        <f>IF(ISNUMBER($AD285),IF(Header!$D$34="","?",$AD285*Header!$D$34),"")</f>
      </c>
      <c r="AS285" s="39">
        <f>IF(ISNUMBER($AB285),IF(Header!$D$34="","?",$AB285*Header!$D$34),"")</f>
      </c>
      <c r="AT285" s="42">
        <f>IF(AND(ISNUMBER($AB285),$M285&gt;0),$AB285/$M285*100,"")</f>
      </c>
      <c r="AU285" s="42">
        <f>IF(AND(ISNUMBER($AD285),$M285&gt;0),$AD285/$M285*100,"")</f>
      </c>
      <c r="AV285" s="40">
        <f>IF(AND(ISNUMBER($AB285),ISNUMBER($AD285),ABS($AB285)&gt;0),$AD285/$AB285,"")</f>
      </c>
      <c r="AW285" s="39">
        <f>IF(ISNUMBER($AD285),MAX(0,(1-0.55-Header!$O$3)*Header!$Q$3*$AQ285),"")</f>
      </c>
      <c r="AX285" s="43">
        <f>IF($A285="","",IF(TRIM(IF($A285="","Missing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",""))="","PASS","FAIL: "&amp;TRIM(IF($A285="","Missing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f>
      </c>
      <c r="AY285" s="44">
        <f>IF($M285="","",IF(ISNUMBER($M285),IF($M285&gt;=Header!$C$18,"YES — refer","No"),""))</f>
      </c>
      <c r="AZ285" s="44">
        <f>IF($AD285="","",IF(ISNUMBER($AD285),IF($AD285&lt;Header!$C$20,"BELOW MIN PREMIUM","OK"),""))</f>
      </c>
      <c r="BA285" s="32" t="inlineStr">
        <is>
          <t xml:space="preserve">Yes</t>
        </is>
      </c>
      <c r="BB285" s="32" t="inlineStr">
        <is>
          <t xml:space="preserve">Yes</t>
        </is>
      </c>
      <c r="BC285" s="30" t="inlineStr">
        <is>
          <t xml:space="preserve">Synthetic demo data</t>
        </is>
      </c>
      <c r="BE285" s="45">
        <f>IF(OR($A285="",$L285="",$H285=""),"",IF(AND(LEFT($L285,2)="06",$H285&gt;1945),"FAIL - pre-war class, year "&amp;$H285,IF(AND(LEFT($L285,2)="07",OR($H285&lt;1946,$H285&gt;1972)),"FAIL - 1946-72 class, year "&amp;$H285,IF(AND(LEFT($L285,2)="08",OR($H285&lt;1973,$H285&gt;1999)),"FAIL - 1973-99 class, year "&amp;$H285,IF(AND(LEFT($L285,2)="09",OR($H285&lt;2000,$H285&gt;2010)),"FAIL - 2000-10 class, year "&amp;$H285,"OK")))))</f>
      </c>
      <c r="BF285" s="45">
        <f>IF($AD285="","",IF(ROUND($AO285+$AP285+$AQ285-$AD285,2)=0,"OK","FAIL - out by "&amp;TEXT($AO285+$AP285+$AQ285-$AD285,"$0.00")))</f>
      </c>
    </row>
    <row r="286" spans="1:58" ht="18.75" customHeight="1" x14ac:dyDescent="0.25">
      <c r="A286" s="46" t="inlineStr">
        <is>
          <t xml:space="preserve">CANON-202606-008795</t>
        </is>
      </c>
      <c r="B286" s="46" t="inlineStr">
        <is>
          <t xml:space="preserve">Fenwick Ashcombe</t>
        </is>
      </c>
      <c r="C286" s="47">
        <v>46203</v>
      </c>
      <c r="D286" s="48" t="inlineStr">
        <is>
          <t xml:space="preserve">Bound - within authority</t>
        </is>
      </c>
      <c r="E286" s="48" t="inlineStr">
        <is>
          <t xml:space="preserve">New business</t>
        </is>
      </c>
      <c r="F286" s="46" t="inlineStr">
        <is>
          <t xml:space="preserve">B1234EXOTIC26</t>
        </is>
      </c>
      <c r="G286" s="33">
        <f>IF($A286="","",IF($C286="","",YEAR($C286)))</f>
      </c>
      <c r="H286" s="49">
        <v>2000</v>
      </c>
      <c r="I286" s="46" t="inlineStr">
        <is>
          <t xml:space="preserve">Bentley</t>
        </is>
      </c>
      <c r="J286" s="46" t="inlineStr">
        <is>
          <t xml:space="preserve">Continental GT</t>
        </is>
      </c>
      <c r="K286" s="46" t="inlineStr">
        <is>
          <t xml:space="preserve">ZTEZRKDFWFAM2SL92</t>
        </is>
      </c>
      <c r="L286" s="48" t="inlineStr">
        <is>
          <t xml:space="preserve">02 - Sports / GT</t>
        </is>
      </c>
      <c r="M286" s="50">
        <v>225000</v>
      </c>
      <c r="N286" s="48" t="inlineStr">
        <is>
          <t xml:space="preserve">Personal</t>
        </is>
      </c>
      <c r="O286" s="46" t="inlineStr">
        <is>
          <t xml:space="preserve">Personal - regular use</t>
        </is>
      </c>
      <c r="P286" s="46" t="inlineStr">
        <is>
          <t xml:space="preserve">1,000 - 2,500</t>
        </is>
      </c>
      <c r="Q286" s="46" t="inlineStr">
        <is>
          <t xml:space="preserve">Minnesota</t>
        </is>
      </c>
      <c r="R286" s="46" t="inlineStr">
        <is>
          <t xml:space="preserve">55401</t>
        </is>
      </c>
      <c r="S286" s="48" t="inlineStr">
        <is>
          <t xml:space="preserve">Severe convective - hail / tornado (moderate)</t>
        </is>
      </c>
      <c r="T286" s="36">
        <f>IF($A286="","",IF($S286="","",IFERROR(INDEX('[1]natural catastrophe'!$D$6:$D$17,MATCH($S286,'[1]natural catastrophe'!$B$6:$B$17,0)),"?")))</f>
      </c>
      <c r="U286" s="46" t="inlineStr">
        <is>
          <t xml:space="preserve">$5,000</t>
        </is>
      </c>
      <c r="V286" s="48" t="inlineStr">
        <is>
          <t xml:space="preserve">Agreed Value</t>
        </is>
      </c>
      <c r="W286" s="46" t="inlineStr">
        <is>
          <t xml:space="preserve">$1,000</t>
        </is>
      </c>
      <c r="X286" s="48" t="inlineStr">
        <is>
          <t xml:space="preserve">$1,000,000 CSL</t>
        </is>
      </c>
      <c r="Y286" s="46"/>
      <c r="Z286" s="46"/>
      <c r="AA286" s="48" t="inlineStr">
        <is>
          <t xml:space="preserve">Surplus Lines</t>
        </is>
      </c>
      <c r="AB286" s="50">
        <v>3942.9</v>
      </c>
      <c r="AC286" s="51">
        <v>0</v>
      </c>
      <c r="AD286" s="38">
        <f>IF(ISNUMBER($AB286),$AB286*(1+N($AC286)),"")</f>
      </c>
      <c r="AE286" s="50">
        <v>350</v>
      </c>
      <c r="AF286" s="50">
        <v>0</v>
      </c>
      <c r="AG286" s="51"/>
      <c r="AH286" s="39">
        <f>IF(ISNUMBER($AD286),($AD286+$AE286+$AF286)*$AG286,"")</f>
      </c>
      <c r="AI286" s="50"/>
      <c r="AJ286" s="38">
        <f>IF(ISNUMBER($AD286),SUM($AD286:$AH286),"")</f>
      </c>
      <c r="AK286" s="40">
        <f>IF(AND(ISNUMBER($AB286),ISNUMBER($AD286)),IF($AB286&gt;0,$AD286/$AB286,""),"")</f>
      </c>
      <c r="AL286" s="48" t="inlineStr">
        <is>
          <t xml:space="preserve">At technical</t>
        </is>
      </c>
      <c r="AM286" s="41">
        <f>IF(ISNUMBER($AD286),Header!$I$3,"")</f>
      </c>
      <c r="AN286" s="39">
        <f>IF(ISNUMBER($AD286),$AO286+$AP286,"")</f>
      </c>
      <c r="AO286" s="39">
        <f>IF(ISNUMBER($AD286),ROUND($AD286*Header!$K$3,2),"")</f>
      </c>
      <c r="AP286" s="39">
        <f>IF(ISNUMBER($AD286),ROUND($AD286*Header!$M$3,2),"")</f>
      </c>
      <c r="AQ286" s="38">
        <f>IF(ISNUMBER($AD286),ROUND($AD286,2)-$AO286-$AP286,"")</f>
      </c>
      <c r="AR286" s="39">
        <f>IF(ISNUMBER($AD286),IF(Header!$D$34="","?",$AD286*Header!$D$34),"")</f>
      </c>
      <c r="AS286" s="39">
        <f>IF(ISNUMBER($AB286),IF(Header!$D$34="","?",$AB286*Header!$D$34),"")</f>
      </c>
      <c r="AT286" s="42">
        <f>IF(AND(ISNUMBER($AB286),$M286&gt;0),$AB286/$M286*100,"")</f>
      </c>
      <c r="AU286" s="42">
        <f>IF(AND(ISNUMBER($AD286),$M286&gt;0),$AD286/$M286*100,"")</f>
      </c>
      <c r="AV286" s="40">
        <f>IF(AND(ISNUMBER($AB286),ISNUMBER($AD286),ABS($AB286)&gt;0),$AD286/$AB286,"")</f>
      </c>
      <c r="AW286" s="39">
        <f>IF(ISNUMBER($AD286),MAX(0,(1-0.55-Header!$O$3)*Header!$Q$3*$AQ286),"")</f>
      </c>
      <c r="AX286" s="43">
        <f>IF($A286="","",IF(TRIM(IF($A286="","Missing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",""))="","PASS","FAIL: "&amp;TRIM(IF($A286="","Missing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f>
      </c>
      <c r="AY286" s="44">
        <f>IF($M286="","",IF(ISNUMBER($M286),IF($M286&gt;=Header!$C$18,"YES — refer","No"),""))</f>
      </c>
      <c r="AZ286" s="44">
        <f>IF($AD286="","",IF(ISNUMBER($AD286),IF($AD286&lt;Header!$C$20,"BELOW MIN PREMIUM","OK"),""))</f>
      </c>
      <c r="BA286" s="48" t="inlineStr">
        <is>
          <t xml:space="preserve">Yes</t>
        </is>
      </c>
      <c r="BB286" s="48" t="inlineStr">
        <is>
          <t xml:space="preserve">Yes</t>
        </is>
      </c>
      <c r="BC286" s="46" t="inlineStr">
        <is>
          <t xml:space="preserve">Synthetic demo data</t>
        </is>
      </c>
      <c r="BE286" s="45">
        <f>IF(OR($A286="",$L286="",$H286=""),"",IF(AND(LEFT($L286,2)="06",$H286&gt;1945),"FAIL - pre-war class, year "&amp;$H286,IF(AND(LEFT($L286,2)="07",OR($H286&lt;1946,$H286&gt;1972)),"FAIL - 1946-72 class, year "&amp;$H286,IF(AND(LEFT($L286,2)="08",OR($H286&lt;1973,$H286&gt;1999)),"FAIL - 1973-99 class, year "&amp;$H286,IF(AND(LEFT($L286,2)="09",OR($H286&lt;2000,$H286&gt;2010)),"FAIL - 2000-10 class, year "&amp;$H286,"OK")))))</f>
      </c>
      <c r="BF286" s="45">
        <f>IF($AD286="","",IF(ROUND($AO286+$AP286+$AQ286-$AD286,2)=0,"OK","FAIL - out by "&amp;TEXT($AO286+$AP286+$AQ286-$AD286,"$0.00")))</f>
      </c>
    </row>
    <row r="287" spans="1:58" ht="18.75" customHeight="1" x14ac:dyDescent="0.25">
      <c r="A287" s="30" t="inlineStr">
        <is>
          <t xml:space="preserve">CANON-202606-008796</t>
        </is>
      </c>
      <c r="B287" s="30" t="inlineStr">
        <is>
          <t xml:space="preserve">Marisol Rourke</t>
        </is>
      </c>
      <c r="C287" s="31">
        <v>46200</v>
      </c>
      <c r="D287" s="32" t="inlineStr">
        <is>
          <t xml:space="preserve">Bound - within authority</t>
        </is>
      </c>
      <c r="E287" s="32" t="inlineStr">
        <is>
          <t xml:space="preserve">New business</t>
        </is>
      </c>
      <c r="F287" s="30" t="inlineStr">
        <is>
          <t xml:space="preserve">B1234EXOTIC26</t>
        </is>
      </c>
      <c r="G287" s="33">
        <f>IF($A287="","",IF($C287="","",YEAR($C287)))</f>
      </c>
      <c r="H287" s="34">
        <v>2012</v>
      </c>
      <c r="I287" s="30" t="inlineStr">
        <is>
          <t xml:space="preserve">Ferrari</t>
        </is>
      </c>
      <c r="J287" s="30" t="inlineStr">
        <is>
          <t xml:space="preserve">296 GTB</t>
        </is>
      </c>
      <c r="K287" s="30" t="inlineStr">
        <is>
          <t xml:space="preserve">8G355SU5SVY1FT8DA</t>
        </is>
      </c>
      <c r="L287" s="32" t="inlineStr">
        <is>
          <t xml:space="preserve">03 - Supercar</t>
        </is>
      </c>
      <c r="M287" s="35">
        <v>590000</v>
      </c>
      <c r="N287" s="32" t="inlineStr">
        <is>
          <t xml:space="preserve">Personal</t>
        </is>
      </c>
      <c r="O287" s="30" t="inlineStr">
        <is>
          <t xml:space="preserve">Personal - regular use</t>
        </is>
      </c>
      <c r="P287" s="30" t="inlineStr">
        <is>
          <t xml:space="preserve">Under 1,000</t>
        </is>
      </c>
      <c r="Q287" s="30" t="inlineStr">
        <is>
          <t xml:space="preserve">Louisiana</t>
        </is>
      </c>
      <c r="R287" s="30" t="inlineStr">
        <is>
          <t xml:space="preserve">70112</t>
        </is>
      </c>
      <c r="S287" s="32" t="inlineStr">
        <is>
          <t xml:space="preserve">Tier 2 - Coastal wind (1-25 miles)</t>
        </is>
      </c>
      <c r="T287" s="36">
        <f>IF($A287="","",IF($S287="","",IFERROR(INDEX('[1]natural catastrophe'!$D$6:$D$17,MATCH($S287,'[1]natural catastrophe'!$B$6:$B$17,0)),"?")))</f>
      </c>
      <c r="U287" s="30" t="inlineStr">
        <is>
          <t xml:space="preserve">2% of agreed value, minimum $10,000</t>
        </is>
      </c>
      <c r="V287" s="32" t="inlineStr">
        <is>
          <t xml:space="preserve">Agreed Value</t>
        </is>
      </c>
      <c r="W287" s="30" t="inlineStr">
        <is>
          <t xml:space="preserve">$1,000</t>
        </is>
      </c>
      <c r="X287" s="32" t="inlineStr">
        <is>
          <t xml:space="preserve">$1,000,000 CSL</t>
        </is>
      </c>
      <c r="Y287" s="30"/>
      <c r="Z287" s="30"/>
      <c r="AA287" s="32" t="inlineStr">
        <is>
          <t xml:space="preserve">Surplus Lines</t>
        </is>
      </c>
      <c r="AB287" s="35">
        <v>9786.63</v>
      </c>
      <c r="AC287" s="37">
        <v>0</v>
      </c>
      <c r="AD287" s="38">
        <f>IF(ISNUMBER($AB287),$AB287*(1+N($AC287)),"")</f>
      </c>
      <c r="AE287" s="35">
        <v>350</v>
      </c>
      <c r="AF287" s="35">
        <v>0</v>
      </c>
      <c r="AG287" s="37"/>
      <c r="AH287" s="39">
        <f>IF(ISNUMBER($AD287),($AD287+$AE287+$AF287)*$AG287,"")</f>
      </c>
      <c r="AI287" s="35"/>
      <c r="AJ287" s="38">
        <f>IF(ISNUMBER($AD287),SUM($AD287:$AH287),"")</f>
      </c>
      <c r="AK287" s="40">
        <f>IF(AND(ISNUMBER($AB287),ISNUMBER($AD287)),IF($AB287&gt;0,$AD287/$AB287,""),"")</f>
      </c>
      <c r="AL287" s="32" t="inlineStr">
        <is>
          <t xml:space="preserve">At technical</t>
        </is>
      </c>
      <c r="AM287" s="41">
        <f>IF(ISNUMBER($AD287),Header!$I$3,"")</f>
      </c>
      <c r="AN287" s="39">
        <f>IF(ISNUMBER($AD287),$AO287+$AP287,"")</f>
      </c>
      <c r="AO287" s="39">
        <f>IF(ISNUMBER($AD287),ROUND($AD287*Header!$K$3,2),"")</f>
      </c>
      <c r="AP287" s="39">
        <f>IF(ISNUMBER($AD287),ROUND($AD287*Header!$M$3,2),"")</f>
      </c>
      <c r="AQ287" s="38">
        <f>IF(ISNUMBER($AD287),ROUND($AD287,2)-$AO287-$AP287,"")</f>
      </c>
      <c r="AR287" s="39">
        <f>IF(ISNUMBER($AD287),IF(Header!$D$34="","?",$AD287*Header!$D$34),"")</f>
      </c>
      <c r="AS287" s="39">
        <f>IF(ISNUMBER($AB287),IF(Header!$D$34="","?",$AB287*Header!$D$34),"")</f>
      </c>
      <c r="AT287" s="42">
        <f>IF(AND(ISNUMBER($AB287),$M287&gt;0),$AB287/$M287*100,"")</f>
      </c>
      <c r="AU287" s="42">
        <f>IF(AND(ISNUMBER($AD287),$M287&gt;0),$AD287/$M287*100,"")</f>
      </c>
      <c r="AV287" s="40">
        <f>IF(AND(ISNUMBER($AB287),ISNUMBER($AD287),ABS($AB287)&gt;0),$AD287/$AB287,"")</f>
      </c>
      <c r="AW287" s="39">
        <f>IF(ISNUMBER($AD287),MAX(0,(1-0.55-Header!$O$3)*Header!$Q$3*$AQ287),"")</f>
      </c>
      <c r="AX287" s="43">
        <f>IF($A287="","",IF(TRIM(IF($A287="","Missing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",""))="","PASS","FAIL: "&amp;TRIM(IF($A287="","Missing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f>
      </c>
      <c r="AY287" s="44">
        <f>IF($M287="","",IF(ISNUMBER($M287),IF($M287&gt;=Header!$C$18,"YES — refer","No"),""))</f>
      </c>
      <c r="AZ287" s="44">
        <f>IF($AD287="","",IF(ISNUMBER($AD287),IF($AD287&lt;Header!$C$20,"BELOW MIN PREMIUM","OK"),""))</f>
      </c>
      <c r="BA287" s="32" t="inlineStr">
        <is>
          <t xml:space="preserve">Yes</t>
        </is>
      </c>
      <c r="BB287" s="32" t="inlineStr">
        <is>
          <t xml:space="preserve">Yes</t>
        </is>
      </c>
      <c r="BC287" s="30" t="inlineStr">
        <is>
          <t xml:space="preserve">Synthetic demo data</t>
        </is>
      </c>
      <c r="BE287" s="45">
        <f>IF(OR($A287="",$L287="",$H287=""),"",IF(AND(LEFT($L287,2)="06",$H287&gt;1945),"FAIL - pre-war class, year "&amp;$H287,IF(AND(LEFT($L287,2)="07",OR($H287&lt;1946,$H287&gt;1972)),"FAIL - 1946-72 class, year "&amp;$H287,IF(AND(LEFT($L287,2)="08",OR($H287&lt;1973,$H287&gt;1999)),"FAIL - 1973-99 class, year "&amp;$H287,IF(AND(LEFT($L287,2)="09",OR($H287&lt;2000,$H287&gt;2010)),"FAIL - 2000-10 class, year "&amp;$H287,"OK")))))</f>
      </c>
      <c r="BF287" s="45">
        <f>IF($AD287="","",IF(ROUND($AO287+$AP287+$AQ287-$AD287,2)=0,"OK","FAIL - out by "&amp;TEXT($AO287+$AP287+$AQ287-$AD287,"$0.00")))</f>
      </c>
    </row>
    <row r="288" spans="1:58" ht="18.75" customHeight="1" x14ac:dyDescent="0.25">
      <c r="A288" s="46" t="inlineStr">
        <is>
          <t xml:space="preserve">CANON-202606-008797</t>
        </is>
      </c>
      <c r="B288" s="46" t="inlineStr">
        <is>
          <t xml:space="preserve">Thaddeus Rourke</t>
        </is>
      </c>
      <c r="C288" s="47">
        <v>46188</v>
      </c>
      <c r="D288" s="48" t="inlineStr">
        <is>
          <t xml:space="preserve">Bound - within authority</t>
        </is>
      </c>
      <c r="E288" s="48" t="inlineStr">
        <is>
          <t xml:space="preserve">New business</t>
        </is>
      </c>
      <c r="F288" s="46" t="inlineStr">
        <is>
          <t xml:space="preserve">B1234EXOTIC26</t>
        </is>
      </c>
      <c r="G288" s="33">
        <f>IF($A288="","",IF($C288="","",YEAR($C288)))</f>
      </c>
      <c r="H288" s="49">
        <v>2003</v>
      </c>
      <c r="I288" s="46" t="inlineStr">
        <is>
          <t xml:space="preserve">Mercedes-Benz</t>
        </is>
      </c>
      <c r="J288" s="46" t="inlineStr">
        <is>
          <t xml:space="preserve">AMG GT</t>
        </is>
      </c>
      <c r="K288" s="46" t="inlineStr">
        <is>
          <t xml:space="preserve">9VZ7ZZT6L4V6PW3BS</t>
        </is>
      </c>
      <c r="L288" s="48" t="inlineStr">
        <is>
          <t xml:space="preserve">02 - Sports / GT</t>
        </is>
      </c>
      <c r="M288" s="50">
        <v>640000</v>
      </c>
      <c r="N288" s="48" t="inlineStr">
        <is>
          <t xml:space="preserve">Personal</t>
        </is>
      </c>
      <c r="O288" s="46" t="inlineStr">
        <is>
          <t xml:space="preserve">Personal - regular use</t>
        </is>
      </c>
      <c r="P288" s="46" t="inlineStr">
        <is>
          <t xml:space="preserve">Under 1,000</t>
        </is>
      </c>
      <c r="Q288" s="46" t="inlineStr">
        <is>
          <t xml:space="preserve">Colorado</t>
        </is>
      </c>
      <c r="R288" s="46" t="inlineStr">
        <is>
          <t xml:space="preserve">80202</t>
        </is>
      </c>
      <c r="S288" s="48" t="inlineStr">
        <is>
          <t xml:space="preserve">Severe convective - hail alley (high)</t>
        </is>
      </c>
      <c r="T288" s="36">
        <f>IF($A288="","",IF($S288="","",IFERROR(INDEX('[1]natural catastrophe'!$D$6:$D$17,MATCH($S288,'[1]natural catastrophe'!$B$6:$B$17,0)),"?")))</f>
      </c>
      <c r="U288" s="46" t="inlineStr">
        <is>
          <t xml:space="preserve">$5,000</t>
        </is>
      </c>
      <c r="V288" s="48" t="inlineStr">
        <is>
          <t xml:space="preserve">Agreed Value</t>
        </is>
      </c>
      <c r="W288" s="46" t="inlineStr">
        <is>
          <t xml:space="preserve">$1,000</t>
        </is>
      </c>
      <c r="X288" s="48" t="inlineStr">
        <is>
          <t xml:space="preserve">$1,000,000 CSL</t>
        </is>
      </c>
      <c r="Y288" s="46"/>
      <c r="Z288" s="46"/>
      <c r="AA288" s="48" t="inlineStr">
        <is>
          <t xml:space="preserve">Surplus Lines</t>
        </is>
      </c>
      <c r="AB288" s="50">
        <v>6603.25</v>
      </c>
      <c r="AC288" s="51">
        <v>0</v>
      </c>
      <c r="AD288" s="38">
        <f>IF(ISNUMBER($AB288),$AB288*(1+N($AC288)),"")</f>
      </c>
      <c r="AE288" s="50">
        <v>350</v>
      </c>
      <c r="AF288" s="50">
        <v>0</v>
      </c>
      <c r="AG288" s="51"/>
      <c r="AH288" s="39">
        <f>IF(ISNUMBER($AD288),($AD288+$AE288+$AF288)*$AG288,"")</f>
      </c>
      <c r="AI288" s="50"/>
      <c r="AJ288" s="38">
        <f>IF(ISNUMBER($AD288),SUM($AD288:$AH288),"")</f>
      </c>
      <c r="AK288" s="40">
        <f>IF(AND(ISNUMBER($AB288),ISNUMBER($AD288)),IF($AB288&gt;0,$AD288/$AB288,""),"")</f>
      </c>
      <c r="AL288" s="48" t="inlineStr">
        <is>
          <t xml:space="preserve">At technical</t>
        </is>
      </c>
      <c r="AM288" s="41">
        <f>IF(ISNUMBER($AD288),Header!$I$3,"")</f>
      </c>
      <c r="AN288" s="39">
        <f>IF(ISNUMBER($AD288),$AO288+$AP288,"")</f>
      </c>
      <c r="AO288" s="39">
        <f>IF(ISNUMBER($AD288),ROUND($AD288*Header!$K$3,2),"")</f>
      </c>
      <c r="AP288" s="39">
        <f>IF(ISNUMBER($AD288),ROUND($AD288*Header!$M$3,2),"")</f>
      </c>
      <c r="AQ288" s="38">
        <f>IF(ISNUMBER($AD288),ROUND($AD288,2)-$AO288-$AP288,"")</f>
      </c>
      <c r="AR288" s="39">
        <f>IF(ISNUMBER($AD288),IF(Header!$D$34="","?",$AD288*Header!$D$34),"")</f>
      </c>
      <c r="AS288" s="39">
        <f>IF(ISNUMBER($AB288),IF(Header!$D$34="","?",$AB288*Header!$D$34),"")</f>
      </c>
      <c r="AT288" s="42">
        <f>IF(AND(ISNUMBER($AB288),$M288&gt;0),$AB288/$M288*100,"")</f>
      </c>
      <c r="AU288" s="42">
        <f>IF(AND(ISNUMBER($AD288),$M288&gt;0),$AD288/$M288*100,"")</f>
      </c>
      <c r="AV288" s="40">
        <f>IF(AND(ISNUMBER($AB288),ISNUMBER($AD288),ABS($AB288)&gt;0),$AD288/$AB288,"")</f>
      </c>
      <c r="AW288" s="39">
        <f>IF(ISNUMBER($AD288),MAX(0,(1-0.55-Header!$O$3)*Header!$Q$3*$AQ288),"")</f>
      </c>
      <c r="AX288" s="43">
        <f>IF($A288="","",IF(TRIM(IF($A288="","Missing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",""))="","PASS","FAIL: "&amp;TRIM(IF($A288="","Missing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f>
      </c>
      <c r="AY288" s="44">
        <f>IF($M288="","",IF(ISNUMBER($M288),IF($M288&gt;=Header!$C$18,"YES — refer","No"),""))</f>
      </c>
      <c r="AZ288" s="44">
        <f>IF($AD288="","",IF(ISNUMBER($AD288),IF($AD288&lt;Header!$C$20,"BELOW MIN PREMIUM","OK"),""))</f>
      </c>
      <c r="BA288" s="48" t="inlineStr">
        <is>
          <t xml:space="preserve">Yes</t>
        </is>
      </c>
      <c r="BB288" s="48" t="inlineStr">
        <is>
          <t xml:space="preserve">Yes</t>
        </is>
      </c>
      <c r="BC288" s="46" t="inlineStr">
        <is>
          <t xml:space="preserve">Synthetic demo data</t>
        </is>
      </c>
      <c r="BE288" s="45">
        <f>IF(OR($A288="",$L288="",$H288=""),"",IF(AND(LEFT($L288,2)="06",$H288&gt;1945),"FAIL - pre-war class, year "&amp;$H288,IF(AND(LEFT($L288,2)="07",OR($H288&lt;1946,$H288&gt;1972)),"FAIL - 1946-72 class, year "&amp;$H288,IF(AND(LEFT($L288,2)="08",OR($H288&lt;1973,$H288&gt;1999)),"FAIL - 1973-99 class, year "&amp;$H288,IF(AND(LEFT($L288,2)="09",OR($H288&lt;2000,$H288&gt;2010)),"FAIL - 2000-10 class, year "&amp;$H288,"OK")))))</f>
      </c>
      <c r="BF288" s="45">
        <f>IF($AD288="","",IF(ROUND($AO288+$AP288+$AQ288-$AD288,2)=0,"OK","FAIL - out by "&amp;TEXT($AO288+$AP288+$AQ288-$AD288,"$0.00")))</f>
      </c>
    </row>
    <row r="289" spans="1:58" ht="18.75" customHeight="1" x14ac:dyDescent="0.25">
      <c r="A289" s="30" t="inlineStr">
        <is>
          <t xml:space="preserve">CANON-202606-008798</t>
        </is>
      </c>
      <c r="B289" s="30" t="inlineStr">
        <is>
          <t xml:space="preserve">Ramona Farkas</t>
        </is>
      </c>
      <c r="C289" s="31">
        <v>46189</v>
      </c>
      <c r="D289" s="32" t="inlineStr">
        <is>
          <t xml:space="preserve">Bound - within authority</t>
        </is>
      </c>
      <c r="E289" s="32" t="inlineStr">
        <is>
          <t xml:space="preserve">New business</t>
        </is>
      </c>
      <c r="F289" s="30" t="inlineStr">
        <is>
          <t xml:space="preserve">B1234EXOTIC26</t>
        </is>
      </c>
      <c r="G289" s="33">
        <f>IF($A289="","",IF($C289="","",YEAR($C289)))</f>
      </c>
      <c r="H289" s="34">
        <v>1992</v>
      </c>
      <c r="I289" s="30" t="inlineStr">
        <is>
          <t xml:space="preserve">Alfa Romeo</t>
        </is>
      </c>
      <c r="J289" s="30" t="inlineStr">
        <is>
          <t xml:space="preserve">8C 2900</t>
        </is>
      </c>
      <c r="K289" s="30" t="inlineStr">
        <is>
          <t xml:space="preserve">5G9RUDKDB7TCA8VR8</t>
        </is>
      </c>
      <c r="L289" s="32" t="inlineStr">
        <is>
          <t xml:space="preserve">08 - Modern Classic (1973-1999)</t>
        </is>
      </c>
      <c r="M289" s="35">
        <v>255000</v>
      </c>
      <c r="N289" s="32" t="inlineStr">
        <is>
          <t xml:space="preserve">Personal</t>
        </is>
      </c>
      <c r="O289" s="30" t="inlineStr">
        <is>
          <t xml:space="preserve">Personal - regular use</t>
        </is>
      </c>
      <c r="P289" s="30" t="inlineStr">
        <is>
          <t xml:space="preserve">1,000 - 2,500</t>
        </is>
      </c>
      <c r="Q289" s="30" t="inlineStr">
        <is>
          <t xml:space="preserve">Washington</t>
        </is>
      </c>
      <c r="R289" s="30" t="inlineStr">
        <is>
          <t xml:space="preserve">98101</t>
        </is>
      </c>
      <c r="S289" s="32" t="inlineStr">
        <is>
          <t xml:space="preserve">Earthquake - high (CA, Cascadia, New Madrid)</t>
        </is>
      </c>
      <c r="T289" s="36">
        <f>IF($A289="","",IF($S289="","",IFERROR(INDEX('[1]natural catastrophe'!$D$6:$D$17,MATCH($S289,'[1]natural catastrophe'!$B$6:$B$17,0)),"?")))</f>
      </c>
      <c r="U289" s="30" t="inlineStr">
        <is>
          <t xml:space="preserve">$5,000</t>
        </is>
      </c>
      <c r="V289" s="32" t="inlineStr">
        <is>
          <t xml:space="preserve">Agreed Value</t>
        </is>
      </c>
      <c r="W289" s="30" t="inlineStr">
        <is>
          <t xml:space="preserve">$1,000</t>
        </is>
      </c>
      <c r="X289" s="32" t="inlineStr">
        <is>
          <t xml:space="preserve">$1,000,000 CSL</t>
        </is>
      </c>
      <c r="Y289" s="30"/>
      <c r="Z289" s="30"/>
      <c r="AA289" s="32" t="inlineStr">
        <is>
          <t xml:space="preserve">Surplus Lines</t>
        </is>
      </c>
      <c r="AB289" s="35">
        <v>1483.65</v>
      </c>
      <c r="AC289" s="37">
        <v>0</v>
      </c>
      <c r="AD289" s="38">
        <f>IF(ISNUMBER($AB289),$AB289*(1+N($AC289)),"")</f>
      </c>
      <c r="AE289" s="35">
        <v>350</v>
      </c>
      <c r="AF289" s="35">
        <v>0</v>
      </c>
      <c r="AG289" s="37"/>
      <c r="AH289" s="39">
        <f>IF(ISNUMBER($AD289),($AD289+$AE289+$AF289)*$AG289,"")</f>
      </c>
      <c r="AI289" s="35"/>
      <c r="AJ289" s="38">
        <f>IF(ISNUMBER($AD289),SUM($AD289:$AH289),"")</f>
      </c>
      <c r="AK289" s="40">
        <f>IF(AND(ISNUMBER($AB289),ISNUMBER($AD289)),IF($AB289&gt;0,$AD289/$AB289,""),"")</f>
      </c>
      <c r="AL289" s="32" t="inlineStr">
        <is>
          <t xml:space="preserve">At technical</t>
        </is>
      </c>
      <c r="AM289" s="41">
        <f>IF(ISNUMBER($AD289),Header!$I$3,"")</f>
      </c>
      <c r="AN289" s="39">
        <f>IF(ISNUMBER($AD289),$AO289+$AP289,"")</f>
      </c>
      <c r="AO289" s="39">
        <f>IF(ISNUMBER($AD289),ROUND($AD289*Header!$K$3,2),"")</f>
      </c>
      <c r="AP289" s="39">
        <f>IF(ISNUMBER($AD289),ROUND($AD289*Header!$M$3,2),"")</f>
      </c>
      <c r="AQ289" s="38">
        <f>IF(ISNUMBER($AD289),ROUND($AD289,2)-$AO289-$AP289,"")</f>
      </c>
      <c r="AR289" s="39">
        <f>IF(ISNUMBER($AD289),IF(Header!$D$34="","?",$AD289*Header!$D$34),"")</f>
      </c>
      <c r="AS289" s="39">
        <f>IF(ISNUMBER($AB289),IF(Header!$D$34="","?",$AB289*Header!$D$34),"")</f>
      </c>
      <c r="AT289" s="42">
        <f>IF(AND(ISNUMBER($AB289),$M289&gt;0),$AB289/$M289*100,"")</f>
      </c>
      <c r="AU289" s="42">
        <f>IF(AND(ISNUMBER($AD289),$M289&gt;0),$AD289/$M289*100,"")</f>
      </c>
      <c r="AV289" s="40">
        <f>IF(AND(ISNUMBER($AB289),ISNUMBER($AD289),ABS($AB289)&gt;0),$AD289/$AB289,"")</f>
      </c>
      <c r="AW289" s="39">
        <f>IF(ISNUMBER($AD289),MAX(0,(1-0.55-Header!$O$3)*Header!$Q$3*$AQ289),"")</f>
      </c>
      <c r="AX289" s="43">
        <f>IF($A289="","",IF(TRIM(IF($A289="","Missing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",""))="","PASS","FAIL: "&amp;TRIM(IF($A289="","Missing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f>
      </c>
      <c r="AY289" s="44">
        <f>IF($M289="","",IF(ISNUMBER($M289),IF($M289&gt;=Header!$C$18,"YES — refer","No"),""))</f>
      </c>
      <c r="AZ289" s="44">
        <f>IF($AD289="","",IF(ISNUMBER($AD289),IF($AD289&lt;Header!$C$20,"BELOW MIN PREMIUM","OK"),""))</f>
      </c>
      <c r="BA289" s="32" t="inlineStr">
        <is>
          <t xml:space="preserve">Yes</t>
        </is>
      </c>
      <c r="BB289" s="32" t="inlineStr">
        <is>
          <t xml:space="preserve">Yes</t>
        </is>
      </c>
      <c r="BC289" s="30" t="inlineStr">
        <is>
          <t xml:space="preserve">Synthetic demo data</t>
        </is>
      </c>
      <c r="BE289" s="45">
        <f>IF(OR($A289="",$L289="",$H289=""),"",IF(AND(LEFT($L289,2)="06",$H289&gt;1945),"FAIL - pre-war class, year "&amp;$H289,IF(AND(LEFT($L289,2)="07",OR($H289&lt;1946,$H289&gt;1972)),"FAIL - 1946-72 class, year "&amp;$H289,IF(AND(LEFT($L289,2)="08",OR($H289&lt;1973,$H289&gt;1999)),"FAIL - 1973-99 class, year "&amp;$H289,IF(AND(LEFT($L289,2)="09",OR($H289&lt;2000,$H289&gt;2010)),"FAIL - 2000-10 class, year "&amp;$H289,"OK")))))</f>
      </c>
      <c r="BF289" s="45">
        <f>IF($AD289="","",IF(ROUND($AO289+$AP289+$AQ289-$AD289,2)=0,"OK","FAIL - out by "&amp;TEXT($AO289+$AP289+$AQ289-$AD289,"$0.00")))</f>
      </c>
    </row>
    <row r="290" spans="1:58" ht="18.75" customHeight="1" x14ac:dyDescent="0.25">
      <c r="A290" s="46" t="inlineStr">
        <is>
          <t xml:space="preserve">CANON-202606-008799</t>
        </is>
      </c>
      <c r="B290" s="46" t="inlineStr">
        <is>
          <t xml:space="preserve">Sunniva Thistlewood</t>
        </is>
      </c>
      <c r="C290" s="47">
        <v>46193</v>
      </c>
      <c r="D290" s="48" t="inlineStr">
        <is>
          <t xml:space="preserve">Bound - within authority</t>
        </is>
      </c>
      <c r="E290" s="48" t="inlineStr">
        <is>
          <t xml:space="preserve">New business</t>
        </is>
      </c>
      <c r="F290" s="46" t="inlineStr">
        <is>
          <t xml:space="preserve">B1234EXOTIC26</t>
        </is>
      </c>
      <c r="G290" s="33">
        <f>IF($A290="","",IF($C290="","",YEAR($C290)))</f>
      </c>
      <c r="H290" s="49">
        <v>1988</v>
      </c>
      <c r="I290" s="46" t="inlineStr">
        <is>
          <t xml:space="preserve">Ferrari</t>
        </is>
      </c>
      <c r="J290" s="46" t="inlineStr">
        <is>
          <t xml:space="preserve">275 GTB/4</t>
        </is>
      </c>
      <c r="K290" s="46" t="inlineStr">
        <is>
          <t xml:space="preserve">15ULB6L0YBBZXBV51</t>
        </is>
      </c>
      <c r="L290" s="48" t="inlineStr">
        <is>
          <t xml:space="preserve">08 - Modern Classic (1973-1999)</t>
        </is>
      </c>
      <c r="M290" s="50">
        <v>910000</v>
      </c>
      <c r="N290" s="48" t="inlineStr">
        <is>
          <t xml:space="preserve">Personal</t>
        </is>
      </c>
      <c r="O290" s="46" t="inlineStr">
        <is>
          <t xml:space="preserve">Personal - regular use</t>
        </is>
      </c>
      <c r="P290" s="46" t="inlineStr">
        <is>
          <t xml:space="preserve">Under 1,000</t>
        </is>
      </c>
      <c r="Q290" s="46" t="inlineStr">
        <is>
          <t xml:space="preserve">Kentucky</t>
        </is>
      </c>
      <c r="R290" s="46" t="inlineStr">
        <is>
          <t xml:space="preserve">40202</t>
        </is>
      </c>
      <c r="S290" s="48" t="inlineStr">
        <is>
          <t xml:space="preserve">Severe convective - hail / tornado (moderate)</t>
        </is>
      </c>
      <c r="T290" s="36">
        <f>IF($A290="","",IF($S290="","",IFERROR(INDEX('[1]natural catastrophe'!$D$6:$D$17,MATCH($S290,'[1]natural catastrophe'!$B$6:$B$17,0)),"?")))</f>
      </c>
      <c r="U290" s="46" t="inlineStr">
        <is>
          <t xml:space="preserve">$5,000</t>
        </is>
      </c>
      <c r="V290" s="48" t="inlineStr">
        <is>
          <t xml:space="preserve">Agreed Value</t>
        </is>
      </c>
      <c r="W290" s="46" t="inlineStr">
        <is>
          <t xml:space="preserve">$1,000</t>
        </is>
      </c>
      <c r="X290" s="48" t="inlineStr">
        <is>
          <t xml:space="preserve">$1,000,000 CSL</t>
        </is>
      </c>
      <c r="Y290" s="46"/>
      <c r="Z290" s="46"/>
      <c r="AA290" s="48" t="inlineStr">
        <is>
          <t xml:space="preserve">Surplus Lines</t>
        </is>
      </c>
      <c r="AB290" s="50">
        <v>7566.36</v>
      </c>
      <c r="AC290" s="51">
        <v>0</v>
      </c>
      <c r="AD290" s="38">
        <f>IF(ISNUMBER($AB290),$AB290*(1+N($AC290)),"")</f>
      </c>
      <c r="AE290" s="50">
        <v>350</v>
      </c>
      <c r="AF290" s="50">
        <v>0</v>
      </c>
      <c r="AG290" s="51"/>
      <c r="AH290" s="39">
        <f>IF(ISNUMBER($AD290),($AD290+$AE290+$AF290)*$AG290,"")</f>
      </c>
      <c r="AI290" s="50"/>
      <c r="AJ290" s="38">
        <f>IF(ISNUMBER($AD290),SUM($AD290:$AH290),"")</f>
      </c>
      <c r="AK290" s="40">
        <f>IF(AND(ISNUMBER($AB290),ISNUMBER($AD290)),IF($AB290&gt;0,$AD290/$AB290,""),"")</f>
      </c>
      <c r="AL290" s="48" t="inlineStr">
        <is>
          <t xml:space="preserve">At technical</t>
        </is>
      </c>
      <c r="AM290" s="41">
        <f>IF(ISNUMBER($AD290),Header!$I$3,"")</f>
      </c>
      <c r="AN290" s="39">
        <f>IF(ISNUMBER($AD290),$AO290+$AP290,"")</f>
      </c>
      <c r="AO290" s="39">
        <f>IF(ISNUMBER($AD290),ROUND($AD290*Header!$K$3,2),"")</f>
      </c>
      <c r="AP290" s="39">
        <f>IF(ISNUMBER($AD290),ROUND($AD290*Header!$M$3,2),"")</f>
      </c>
      <c r="AQ290" s="38">
        <f>IF(ISNUMBER($AD290),ROUND($AD290,2)-$AO290-$AP290,"")</f>
      </c>
      <c r="AR290" s="39">
        <f>IF(ISNUMBER($AD290),IF(Header!$D$34="","?",$AD290*Header!$D$34),"")</f>
      </c>
      <c r="AS290" s="39">
        <f>IF(ISNUMBER($AB290),IF(Header!$D$34="","?",$AB290*Header!$D$34),"")</f>
      </c>
      <c r="AT290" s="42">
        <f>IF(AND(ISNUMBER($AB290),$M290&gt;0),$AB290/$M290*100,"")</f>
      </c>
      <c r="AU290" s="42">
        <f>IF(AND(ISNUMBER($AD290),$M290&gt;0),$AD290/$M290*100,"")</f>
      </c>
      <c r="AV290" s="40">
        <f>IF(AND(ISNUMBER($AB290),ISNUMBER($AD290),ABS($AB290)&gt;0),$AD290/$AB290,"")</f>
      </c>
      <c r="AW290" s="39">
        <f>IF(ISNUMBER($AD290),MAX(0,(1-0.55-Header!$O$3)*Header!$Q$3*$AQ290),"")</f>
      </c>
      <c r="AX290" s="43">
        <f>IF($A290="","",IF(TRIM(IF($A290="","Missing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",""))="","PASS","FAIL: "&amp;TRIM(IF($A290="","Missing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f>
      </c>
      <c r="AY290" s="44">
        <f>IF($M290="","",IF(ISNUMBER($M290),IF($M290&gt;=Header!$C$18,"YES — refer","No"),""))</f>
      </c>
      <c r="AZ290" s="44">
        <f>IF($AD290="","",IF(ISNUMBER($AD290),IF($AD290&lt;Header!$C$20,"BELOW MIN PREMIUM","OK"),""))</f>
      </c>
      <c r="BA290" s="48" t="inlineStr">
        <is>
          <t xml:space="preserve">Yes</t>
        </is>
      </c>
      <c r="BB290" s="48" t="inlineStr">
        <is>
          <t xml:space="preserve">Yes</t>
        </is>
      </c>
      <c r="BC290" s="46" t="inlineStr">
        <is>
          <t xml:space="preserve">Synthetic demo data</t>
        </is>
      </c>
      <c r="BE290" s="45">
        <f>IF(OR($A290="",$L290="",$H290=""),"",IF(AND(LEFT($L290,2)="06",$H290&gt;1945),"FAIL - pre-war class, year "&amp;$H290,IF(AND(LEFT($L290,2)="07",OR($H290&lt;1946,$H290&gt;1972)),"FAIL - 1946-72 class, year "&amp;$H290,IF(AND(LEFT($L290,2)="08",OR($H290&lt;1973,$H290&gt;1999)),"FAIL - 1973-99 class, year "&amp;$H290,IF(AND(LEFT($L290,2)="09",OR($H290&lt;2000,$H290&gt;2010)),"FAIL - 2000-10 class, year "&amp;$H290,"OK")))))</f>
      </c>
      <c r="BF290" s="45">
        <f>IF($AD290="","",IF(ROUND($AO290+$AP290+$AQ290-$AD290,2)=0,"OK","FAIL - out by "&amp;TEXT($AO290+$AP290+$AQ290-$AD290,"$0.00")))</f>
      </c>
    </row>
    <row r="291" spans="1:58" ht="18.75" customHeight="1" x14ac:dyDescent="0.25">
      <c r="A291" s="30" t="inlineStr">
        <is>
          <t xml:space="preserve">CANON-202606-008803</t>
        </is>
      </c>
      <c r="B291" s="30" t="inlineStr">
        <is>
          <t xml:space="preserve">Horace Pennington</t>
        </is>
      </c>
      <c r="C291" s="31">
        <v>46180</v>
      </c>
      <c r="D291" s="32" t="inlineStr">
        <is>
          <t xml:space="preserve">Bound - within authority</t>
        </is>
      </c>
      <c r="E291" s="32" t="inlineStr">
        <is>
          <t xml:space="preserve">New business</t>
        </is>
      </c>
      <c r="F291" s="30" t="inlineStr">
        <is>
          <t xml:space="preserve">B1234EXOTIC26</t>
        </is>
      </c>
      <c r="G291" s="33">
        <f>IF($A291="","",IF($C291="","",YEAR($C291)))</f>
      </c>
      <c r="H291" s="34">
        <v>2015</v>
      </c>
      <c r="I291" s="30" t="inlineStr">
        <is>
          <t xml:space="preserve">Lamborghini</t>
        </is>
      </c>
      <c r="J291" s="30" t="inlineStr">
        <is>
          <t xml:space="preserve">Huracan EVO</t>
        </is>
      </c>
      <c r="K291" s="30" t="inlineStr">
        <is>
          <t xml:space="preserve">AK4M2V7DAP90NT5P7</t>
        </is>
      </c>
      <c r="L291" s="32" t="inlineStr">
        <is>
          <t xml:space="preserve">03 - Supercar</t>
        </is>
      </c>
      <c r="M291" s="35">
        <v>295000</v>
      </c>
      <c r="N291" s="32" t="inlineStr">
        <is>
          <t xml:space="preserve">Personal</t>
        </is>
      </c>
      <c r="O291" s="30" t="inlineStr">
        <is>
          <t xml:space="preserve">Personal - regular use</t>
        </is>
      </c>
      <c r="P291" s="30" t="inlineStr">
        <is>
          <t xml:space="preserve">Under 1,000</t>
        </is>
      </c>
      <c r="Q291" s="30" t="inlineStr">
        <is>
          <t xml:space="preserve">Utah</t>
        </is>
      </c>
      <c r="R291" s="30" t="inlineStr">
        <is>
          <t xml:space="preserve">84101</t>
        </is>
      </c>
      <c r="S291" s="32" t="inlineStr">
        <is>
          <t xml:space="preserve">Wildfire - WUI high hazard</t>
        </is>
      </c>
      <c r="T291" s="36">
        <f>IF($A291="","",IF($S291="","",IFERROR(INDEX('[1]natural catastrophe'!$D$6:$D$17,MATCH($S291,'[1]natural catastrophe'!$B$6:$B$17,0)),"?")))</f>
      </c>
      <c r="U291" s="30" t="inlineStr">
        <is>
          <t xml:space="preserve">$5,000</t>
        </is>
      </c>
      <c r="V291" s="32" t="inlineStr">
        <is>
          <t xml:space="preserve">Agreed Value</t>
        </is>
      </c>
      <c r="W291" s="30" t="inlineStr">
        <is>
          <t xml:space="preserve">$1,000</t>
        </is>
      </c>
      <c r="X291" s="32" t="inlineStr">
        <is>
          <t xml:space="preserve">$1,000,000 CSL</t>
        </is>
      </c>
      <c r="Y291" s="30"/>
      <c r="Z291" s="30"/>
      <c r="AA291" s="32" t="inlineStr">
        <is>
          <t xml:space="preserve">Surplus Lines</t>
        </is>
      </c>
      <c r="AB291" s="35">
        <v>6608.84</v>
      </c>
      <c r="AC291" s="37">
        <v>0</v>
      </c>
      <c r="AD291" s="38">
        <f>IF(ISNUMBER($AB291),$AB291*(1+N($AC291)),"")</f>
      </c>
      <c r="AE291" s="35">
        <v>350</v>
      </c>
      <c r="AF291" s="35">
        <v>0</v>
      </c>
      <c r="AG291" s="37"/>
      <c r="AH291" s="39">
        <f>IF(ISNUMBER($AD291),($AD291+$AE291+$AF291)*$AG291,"")</f>
      </c>
      <c r="AI291" s="35"/>
      <c r="AJ291" s="38">
        <f>IF(ISNUMBER($AD291),SUM($AD291:$AH291),"")</f>
      </c>
      <c r="AK291" s="40">
        <f>IF(AND(ISNUMBER($AB291),ISNUMBER($AD291)),IF($AB291&gt;0,$AD291/$AB291,""),"")</f>
      </c>
      <c r="AL291" s="32" t="inlineStr">
        <is>
          <t xml:space="preserve">At technical</t>
        </is>
      </c>
      <c r="AM291" s="41">
        <f>IF(ISNUMBER($AD291),Header!$I$3,"")</f>
      </c>
      <c r="AN291" s="39">
        <f>IF(ISNUMBER($AD291),$AO291+$AP291,"")</f>
      </c>
      <c r="AO291" s="39">
        <f>IF(ISNUMBER($AD291),ROUND($AD291*Header!$K$3,2),"")</f>
      </c>
      <c r="AP291" s="39">
        <f>IF(ISNUMBER($AD291),ROUND($AD291*Header!$M$3,2),"")</f>
      </c>
      <c r="AQ291" s="38">
        <f>IF(ISNUMBER($AD291),ROUND($AD291,2)-$AO291-$AP291,"")</f>
      </c>
      <c r="AR291" s="39">
        <f>IF(ISNUMBER($AD291),IF(Header!$D$34="","?",$AD291*Header!$D$34),"")</f>
      </c>
      <c r="AS291" s="39">
        <f>IF(ISNUMBER($AB291),IF(Header!$D$34="","?",$AB291*Header!$D$34),"")</f>
      </c>
      <c r="AT291" s="42">
        <f>IF(AND(ISNUMBER($AB291),$M291&gt;0),$AB291/$M291*100,"")</f>
      </c>
      <c r="AU291" s="42">
        <f>IF(AND(ISNUMBER($AD291),$M291&gt;0),$AD291/$M291*100,"")</f>
      </c>
      <c r="AV291" s="40">
        <f>IF(AND(ISNUMBER($AB291),ISNUMBER($AD291),ABS($AB291)&gt;0),$AD291/$AB291,"")</f>
      </c>
      <c r="AW291" s="39">
        <f>IF(ISNUMBER($AD291),MAX(0,(1-0.55-Header!$O$3)*Header!$Q$3*$AQ291),"")</f>
      </c>
      <c r="AX291" s="43">
        <f>IF($A291="","",IF(TRIM(IF($A291="","Missing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",""))="","PASS","FAIL: "&amp;TRIM(IF($A291="","Missing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f>
      </c>
      <c r="AY291" s="44">
        <f>IF($M291="","",IF(ISNUMBER($M291),IF($M291&gt;=Header!$C$18,"YES — refer","No"),""))</f>
      </c>
      <c r="AZ291" s="44">
        <f>IF($AD291="","",IF(ISNUMBER($AD291),IF($AD291&lt;Header!$C$20,"BELOW MIN PREMIUM","OK"),""))</f>
      </c>
      <c r="BA291" s="32" t="inlineStr">
        <is>
          <t xml:space="preserve">Yes</t>
        </is>
      </c>
      <c r="BB291" s="32" t="inlineStr">
        <is>
          <t xml:space="preserve">Yes</t>
        </is>
      </c>
      <c r="BC291" s="30" t="inlineStr">
        <is>
          <t xml:space="preserve">Synthetic demo data</t>
        </is>
      </c>
      <c r="BE291" s="45">
        <f>IF(OR($A291="",$L291="",$H291=""),"",IF(AND(LEFT($L291,2)="06",$H291&gt;1945),"FAIL - pre-war class, year "&amp;$H291,IF(AND(LEFT($L291,2)="07",OR($H291&lt;1946,$H291&gt;1972)),"FAIL - 1946-72 class, year "&amp;$H291,IF(AND(LEFT($L291,2)="08",OR($H291&lt;1973,$H291&gt;1999)),"FAIL - 1973-99 class, year "&amp;$H291,IF(AND(LEFT($L291,2)="09",OR($H291&lt;2000,$H291&gt;2010)),"FAIL - 2000-10 class, year "&amp;$H291,"OK")))))</f>
      </c>
      <c r="BF291" s="45">
        <f>IF($AD291="","",IF(ROUND($AO291+$AP291+$AQ291-$AD291,2)=0,"OK","FAIL - out by "&amp;TEXT($AO291+$AP291+$AQ291-$AD291,"$0.00")))</f>
      </c>
    </row>
    <row r="292" spans="1:58" ht="18.75" customHeight="1" x14ac:dyDescent="0.25">
      <c r="A292" s="46" t="inlineStr">
        <is>
          <t xml:space="preserve">CANON-202606-008804</t>
        </is>
      </c>
      <c r="B292" s="46" t="inlineStr">
        <is>
          <t xml:space="preserve">Aurelio Farkas</t>
        </is>
      </c>
      <c r="C292" s="47">
        <v>46200</v>
      </c>
      <c r="D292" s="48" t="inlineStr">
        <is>
          <t xml:space="preserve">Bound - within authority</t>
        </is>
      </c>
      <c r="E292" s="48" t="inlineStr">
        <is>
          <t xml:space="preserve">New business</t>
        </is>
      </c>
      <c r="F292" s="46" t="inlineStr">
        <is>
          <t xml:space="preserve">B1234EXOTIC26</t>
        </is>
      </c>
      <c r="G292" s="33">
        <f>IF($A292="","",IF($C292="","",YEAR($C292)))</f>
      </c>
      <c r="H292" s="49">
        <v>2021</v>
      </c>
      <c r="I292" s="46" t="inlineStr">
        <is>
          <t xml:space="preserve">Maserati</t>
        </is>
      </c>
      <c r="J292" s="46" t="inlineStr">
        <is>
          <t xml:space="preserve">GranTurismo</t>
        </is>
      </c>
      <c r="K292" s="46" t="inlineStr">
        <is>
          <t xml:space="preserve">G3SNVXE62F7MF37RK</t>
        </is>
      </c>
      <c r="L292" s="48" t="inlineStr">
        <is>
          <t xml:space="preserve">02 - Sports / GT</t>
        </is>
      </c>
      <c r="M292" s="50">
        <v>225000</v>
      </c>
      <c r="N292" s="48" t="inlineStr">
        <is>
          <t xml:space="preserve">Personal</t>
        </is>
      </c>
      <c r="O292" s="46" t="inlineStr">
        <is>
          <t xml:space="preserve">Personal - regular use</t>
        </is>
      </c>
      <c r="P292" s="46" t="inlineStr">
        <is>
          <t xml:space="preserve">2,500 - 5,000</t>
        </is>
      </c>
      <c r="Q292" s="46" t="inlineStr">
        <is>
          <t xml:space="preserve">Alaska</t>
        </is>
      </c>
      <c r="R292" s="46" t="inlineStr">
        <is>
          <t xml:space="preserve">99501</t>
        </is>
      </c>
      <c r="S292" s="48" t="inlineStr">
        <is>
          <t xml:space="preserve">Earthquake - high (CA, Cascadia, New Madrid)</t>
        </is>
      </c>
      <c r="T292" s="36">
        <f>IF($A292="","",IF($S292="","",IFERROR(INDEX('[1]natural catastrophe'!$D$6:$D$17,MATCH($S292,'[1]natural catastrophe'!$B$6:$B$17,0)),"?")))</f>
      </c>
      <c r="U292" s="46" t="inlineStr">
        <is>
          <t xml:space="preserve">$5,000</t>
        </is>
      </c>
      <c r="V292" s="48" t="inlineStr">
        <is>
          <t xml:space="preserve">Agreed Value</t>
        </is>
      </c>
      <c r="W292" s="46" t="inlineStr">
        <is>
          <t xml:space="preserve">$1,000</t>
        </is>
      </c>
      <c r="X292" s="48" t="inlineStr">
        <is>
          <t xml:space="preserve">$1,000,000 CSL</t>
        </is>
      </c>
      <c r="Y292" s="46"/>
      <c r="Z292" s="46"/>
      <c r="AA292" s="48" t="inlineStr">
        <is>
          <t xml:space="preserve">Surplus Lines</t>
        </is>
      </c>
      <c r="AB292" s="50">
        <v>3405.23</v>
      </c>
      <c r="AC292" s="51">
        <v>0</v>
      </c>
      <c r="AD292" s="38">
        <f>IF(ISNUMBER($AB292),$AB292*(1+N($AC292)),"")</f>
      </c>
      <c r="AE292" s="50">
        <v>350</v>
      </c>
      <c r="AF292" s="50">
        <v>0</v>
      </c>
      <c r="AG292" s="51"/>
      <c r="AH292" s="39">
        <f>IF(ISNUMBER($AD292),($AD292+$AE292+$AF292)*$AG292,"")</f>
      </c>
      <c r="AI292" s="50"/>
      <c r="AJ292" s="38">
        <f>IF(ISNUMBER($AD292),SUM($AD292:$AH292),"")</f>
      </c>
      <c r="AK292" s="40">
        <f>IF(AND(ISNUMBER($AB292),ISNUMBER($AD292)),IF($AB292&gt;0,$AD292/$AB292,""),"")</f>
      </c>
      <c r="AL292" s="48" t="inlineStr">
        <is>
          <t xml:space="preserve">At technical</t>
        </is>
      </c>
      <c r="AM292" s="41">
        <f>IF(ISNUMBER($AD292),Header!$I$3,"")</f>
      </c>
      <c r="AN292" s="39">
        <f>IF(ISNUMBER($AD292),$AO292+$AP292,"")</f>
      </c>
      <c r="AO292" s="39">
        <f>IF(ISNUMBER($AD292),ROUND($AD292*Header!$K$3,2),"")</f>
      </c>
      <c r="AP292" s="39">
        <f>IF(ISNUMBER($AD292),ROUND($AD292*Header!$M$3,2),"")</f>
      </c>
      <c r="AQ292" s="38">
        <f>IF(ISNUMBER($AD292),ROUND($AD292,2)-$AO292-$AP292,"")</f>
      </c>
      <c r="AR292" s="39">
        <f>IF(ISNUMBER($AD292),IF(Header!$D$34="","?",$AD292*Header!$D$34),"")</f>
      </c>
      <c r="AS292" s="39">
        <f>IF(ISNUMBER($AB292),IF(Header!$D$34="","?",$AB292*Header!$D$34),"")</f>
      </c>
      <c r="AT292" s="42">
        <f>IF(AND(ISNUMBER($AB292),$M292&gt;0),$AB292/$M292*100,"")</f>
      </c>
      <c r="AU292" s="42">
        <f>IF(AND(ISNUMBER($AD292),$M292&gt;0),$AD292/$M292*100,"")</f>
      </c>
      <c r="AV292" s="40">
        <f>IF(AND(ISNUMBER($AB292),ISNUMBER($AD292),ABS($AB292)&gt;0),$AD292/$AB292,"")</f>
      </c>
      <c r="AW292" s="39">
        <f>IF(ISNUMBER($AD292),MAX(0,(1-0.55-Header!$O$3)*Header!$Q$3*$AQ292),"")</f>
      </c>
      <c r="AX292" s="43">
        <f>IF($A292="","",IF(TRIM(IF($A292="","Missing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",""))="","PASS","FAIL: "&amp;TRIM(IF($A292="","Missing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f>
      </c>
      <c r="AY292" s="44">
        <f>IF($M292="","",IF(ISNUMBER($M292),IF($M292&gt;=Header!$C$18,"YES — refer","No"),""))</f>
      </c>
      <c r="AZ292" s="44">
        <f>IF($AD292="","",IF(ISNUMBER($AD292),IF($AD292&lt;Header!$C$20,"BELOW MIN PREMIUM","OK"),""))</f>
      </c>
      <c r="BA292" s="48" t="inlineStr">
        <is>
          <t xml:space="preserve">Yes</t>
        </is>
      </c>
      <c r="BB292" s="48" t="inlineStr">
        <is>
          <t xml:space="preserve">Yes</t>
        </is>
      </c>
      <c r="BC292" s="46" t="inlineStr">
        <is>
          <t xml:space="preserve">Synthetic demo data</t>
        </is>
      </c>
      <c r="BE292" s="45">
        <f>IF(OR($A292="",$L292="",$H292=""),"",IF(AND(LEFT($L292,2)="06",$H292&gt;1945),"FAIL - pre-war class, year "&amp;$H292,IF(AND(LEFT($L292,2)="07",OR($H292&lt;1946,$H292&gt;1972)),"FAIL - 1946-72 class, year "&amp;$H292,IF(AND(LEFT($L292,2)="08",OR($H292&lt;1973,$H292&gt;1999)),"FAIL - 1973-99 class, year "&amp;$H292,IF(AND(LEFT($L292,2)="09",OR($H292&lt;2000,$H292&gt;2010)),"FAIL - 2000-10 class, year "&amp;$H292,"OK")))))</f>
      </c>
      <c r="BF292" s="45">
        <f>IF($AD292="","",IF(ROUND($AO292+$AP292+$AQ292-$AD292,2)=0,"OK","FAIL - out by "&amp;TEXT($AO292+$AP292+$AQ292-$AD292,"$0.00")))</f>
      </c>
    </row>
    <row r="293" spans="1:58" ht="18.75" customHeight="1" x14ac:dyDescent="0.25">
      <c r="A293" s="30" t="inlineStr">
        <is>
          <t xml:space="preserve">CANON-202606-008805</t>
        </is>
      </c>
      <c r="B293" s="30" t="inlineStr">
        <is>
          <t xml:space="preserve">Lorenzo Vasquez</t>
        </is>
      </c>
      <c r="C293" s="31">
        <v>46195</v>
      </c>
      <c r="D293" s="32" t="inlineStr">
        <is>
          <t xml:space="preserve">Bound - within authority</t>
        </is>
      </c>
      <c r="E293" s="32" t="inlineStr">
        <is>
          <t xml:space="preserve">New business</t>
        </is>
      </c>
      <c r="F293" s="30" t="inlineStr">
        <is>
          <t xml:space="preserve">B1234EXOTIC26</t>
        </is>
      </c>
      <c r="G293" s="33">
        <f>IF($A293="","",IF($C293="","",YEAR($C293)))</f>
      </c>
      <c r="H293" s="34">
        <v>2021</v>
      </c>
      <c r="I293" s="30" t="inlineStr">
        <is>
          <t xml:space="preserve">Maserati</t>
        </is>
      </c>
      <c r="J293" s="30" t="inlineStr">
        <is>
          <t xml:space="preserve">GranTurismo</t>
        </is>
      </c>
      <c r="K293" s="30" t="inlineStr">
        <is>
          <t xml:space="preserve">BX3CSDRFSS7U0CMTU</t>
        </is>
      </c>
      <c r="L293" s="32" t="inlineStr">
        <is>
          <t xml:space="preserve">02 - Sports / GT</t>
        </is>
      </c>
      <c r="M293" s="35">
        <v>225000</v>
      </c>
      <c r="N293" s="32" t="inlineStr">
        <is>
          <t xml:space="preserve">Personal</t>
        </is>
      </c>
      <c r="O293" s="30" t="inlineStr">
        <is>
          <t xml:space="preserve">Personal - regular use</t>
        </is>
      </c>
      <c r="P293" s="30" t="inlineStr">
        <is>
          <t xml:space="preserve">Under 1,000</t>
        </is>
      </c>
      <c r="Q293" s="30" t="inlineStr">
        <is>
          <t xml:space="preserve">Pennsylvania</t>
        </is>
      </c>
      <c r="R293" s="30" t="inlineStr">
        <is>
          <t xml:space="preserve">19103</t>
        </is>
      </c>
      <c r="S293" s="32" t="inlineStr">
        <is>
          <t xml:space="preserve">Low hazard - inland benign</t>
        </is>
      </c>
      <c r="T293" s="36">
        <f>IF($A293="","",IF($S293="","",IFERROR(INDEX('[1]natural catastrophe'!$D$6:$D$17,MATCH($S293,'[1]natural catastrophe'!$B$6:$B$17,0)),"?")))</f>
      </c>
      <c r="U293" s="30" t="inlineStr">
        <is>
          <t xml:space="preserve">$5,000</t>
        </is>
      </c>
      <c r="V293" s="32" t="inlineStr">
        <is>
          <t xml:space="preserve">Agreed Value</t>
        </is>
      </c>
      <c r="W293" s="30" t="inlineStr">
        <is>
          <t xml:space="preserve">$1,000</t>
        </is>
      </c>
      <c r="X293" s="32" t="inlineStr">
        <is>
          <t xml:space="preserve">$1,000,000 CSL</t>
        </is>
      </c>
      <c r="Y293" s="30"/>
      <c r="Z293" s="30"/>
      <c r="AA293" s="32" t="inlineStr">
        <is>
          <t xml:space="preserve">Surplus Lines</t>
        </is>
      </c>
      <c r="AB293" s="35">
        <v>2987.05</v>
      </c>
      <c r="AC293" s="37">
        <v>0</v>
      </c>
      <c r="AD293" s="38">
        <f>IF(ISNUMBER($AB293),$AB293*(1+N($AC293)),"")</f>
      </c>
      <c r="AE293" s="35">
        <v>350</v>
      </c>
      <c r="AF293" s="35">
        <v>0</v>
      </c>
      <c r="AG293" s="37"/>
      <c r="AH293" s="39">
        <f>IF(ISNUMBER($AD293),($AD293+$AE293+$AF293)*$AG293,"")</f>
      </c>
      <c r="AI293" s="35"/>
      <c r="AJ293" s="38">
        <f>IF(ISNUMBER($AD293),SUM($AD293:$AH293),"")</f>
      </c>
      <c r="AK293" s="40">
        <f>IF(AND(ISNUMBER($AB293),ISNUMBER($AD293)),IF($AB293&gt;0,$AD293/$AB293,""),"")</f>
      </c>
      <c r="AL293" s="32" t="inlineStr">
        <is>
          <t xml:space="preserve">At technical</t>
        </is>
      </c>
      <c r="AM293" s="41">
        <f>IF(ISNUMBER($AD293),Header!$I$3,"")</f>
      </c>
      <c r="AN293" s="39">
        <f>IF(ISNUMBER($AD293),$AO293+$AP293,"")</f>
      </c>
      <c r="AO293" s="39">
        <f>IF(ISNUMBER($AD293),ROUND($AD293*Header!$K$3,2),"")</f>
      </c>
      <c r="AP293" s="39">
        <f>IF(ISNUMBER($AD293),ROUND($AD293*Header!$M$3,2),"")</f>
      </c>
      <c r="AQ293" s="38">
        <f>IF(ISNUMBER($AD293),ROUND($AD293,2)-$AO293-$AP293,"")</f>
      </c>
      <c r="AR293" s="39">
        <f>IF(ISNUMBER($AD293),IF(Header!$D$34="","?",$AD293*Header!$D$34),"")</f>
      </c>
      <c r="AS293" s="39">
        <f>IF(ISNUMBER($AB293),IF(Header!$D$34="","?",$AB293*Header!$D$34),"")</f>
      </c>
      <c r="AT293" s="42">
        <f>IF(AND(ISNUMBER($AB293),$M293&gt;0),$AB293/$M293*100,"")</f>
      </c>
      <c r="AU293" s="42">
        <f>IF(AND(ISNUMBER($AD293),$M293&gt;0),$AD293/$M293*100,"")</f>
      </c>
      <c r="AV293" s="40">
        <f>IF(AND(ISNUMBER($AB293),ISNUMBER($AD293),ABS($AB293)&gt;0),$AD293/$AB293,"")</f>
      </c>
      <c r="AW293" s="39">
        <f>IF(ISNUMBER($AD293),MAX(0,(1-0.55-Header!$O$3)*Header!$Q$3*$AQ293),"")</f>
      </c>
      <c r="AX293" s="43">
        <f>IF($A293="","",IF(TRIM(IF($A293="","Missing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",""))="","PASS","FAIL: "&amp;TRIM(IF($A293="","Missing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f>
      </c>
      <c r="AY293" s="44">
        <f>IF($M293="","",IF(ISNUMBER($M293),IF($M293&gt;=Header!$C$18,"YES — refer","No"),""))</f>
      </c>
      <c r="AZ293" s="44">
        <f>IF($AD293="","",IF(ISNUMBER($AD293),IF($AD293&lt;Header!$C$20,"BELOW MIN PREMIUM","OK"),""))</f>
      </c>
      <c r="BA293" s="32" t="inlineStr">
        <is>
          <t xml:space="preserve">Yes</t>
        </is>
      </c>
      <c r="BB293" s="32" t="inlineStr">
        <is>
          <t xml:space="preserve">Yes</t>
        </is>
      </c>
      <c r="BC293" s="30" t="inlineStr">
        <is>
          <t xml:space="preserve">Synthetic demo data</t>
        </is>
      </c>
      <c r="BE293" s="45">
        <f>IF(OR($A293="",$L293="",$H293=""),"",IF(AND(LEFT($L293,2)="06",$H293&gt;1945),"FAIL - pre-war class, year "&amp;$H293,IF(AND(LEFT($L293,2)="07",OR($H293&lt;1946,$H293&gt;1972)),"FAIL - 1946-72 class, year "&amp;$H293,IF(AND(LEFT($L293,2)="08",OR($H293&lt;1973,$H293&gt;1999)),"FAIL - 1973-99 class, year "&amp;$H293,IF(AND(LEFT($L293,2)="09",OR($H293&lt;2000,$H293&gt;2010)),"FAIL - 2000-10 class, year "&amp;$H293,"OK")))))</f>
      </c>
      <c r="BF293" s="45">
        <f>IF($AD293="","",IF(ROUND($AO293+$AP293+$AQ293-$AD293,2)=0,"OK","FAIL - out by "&amp;TEXT($AO293+$AP293+$AQ293-$AD293,"$0.00")))</f>
      </c>
    </row>
    <row r="294" spans="1:58" ht="18.75" customHeight="1" x14ac:dyDescent="0.25">
      <c r="A294" s="46" t="inlineStr">
        <is>
          <t xml:space="preserve">CANON-202606-008806</t>
        </is>
      </c>
      <c r="B294" s="46" t="inlineStr">
        <is>
          <t xml:space="preserve">Noor Merriweather</t>
        </is>
      </c>
      <c r="C294" s="47">
        <v>46191</v>
      </c>
      <c r="D294" s="48" t="inlineStr">
        <is>
          <t xml:space="preserve">Bound - within authority</t>
        </is>
      </c>
      <c r="E294" s="48" t="inlineStr">
        <is>
          <t xml:space="preserve">New business</t>
        </is>
      </c>
      <c r="F294" s="46" t="inlineStr">
        <is>
          <t xml:space="preserve">B1234EXOTIC26</t>
        </is>
      </c>
      <c r="G294" s="33">
        <f>IF($A294="","",IF($C294="","",YEAR($C294)))</f>
      </c>
      <c r="H294" s="49">
        <v>2009</v>
      </c>
      <c r="I294" s="46" t="inlineStr">
        <is>
          <t xml:space="preserve">Aston Martin</t>
        </is>
      </c>
      <c r="J294" s="46" t="inlineStr">
        <is>
          <t xml:space="preserve">DB5</t>
        </is>
      </c>
      <c r="K294" s="46" t="inlineStr">
        <is>
          <t xml:space="preserve">8N6P4EFRE6LHVSVMZ</t>
        </is>
      </c>
      <c r="L294" s="48" t="inlineStr">
        <is>
          <t xml:space="preserve">09 - Youngtimer / Collectible (2000-2010)</t>
        </is>
      </c>
      <c r="M294" s="50">
        <v>410000</v>
      </c>
      <c r="N294" s="48" t="inlineStr">
        <is>
          <t xml:space="preserve">Personal</t>
        </is>
      </c>
      <c r="O294" s="46" t="inlineStr">
        <is>
          <t xml:space="preserve">Personal - regular use</t>
        </is>
      </c>
      <c r="P294" s="46" t="inlineStr">
        <is>
          <t xml:space="preserve">1,000 - 2,500</t>
        </is>
      </c>
      <c r="Q294" s="46" t="inlineStr">
        <is>
          <t xml:space="preserve">Ohio</t>
        </is>
      </c>
      <c r="R294" s="46" t="inlineStr">
        <is>
          <t xml:space="preserve">43215</t>
        </is>
      </c>
      <c r="S294" s="48" t="inlineStr">
        <is>
          <t xml:space="preserve">Severe convective - hail / tornado (moderate)</t>
        </is>
      </c>
      <c r="T294" s="36">
        <f>IF($A294="","",IF($S294="","",IFERROR(INDEX('[1]natural catastrophe'!$D$6:$D$17,MATCH($S294,'[1]natural catastrophe'!$B$6:$B$17,0)),"?")))</f>
      </c>
      <c r="U294" s="46" t="inlineStr">
        <is>
          <t xml:space="preserve">$5,000</t>
        </is>
      </c>
      <c r="V294" s="48" t="inlineStr">
        <is>
          <t xml:space="preserve">Agreed Value</t>
        </is>
      </c>
      <c r="W294" s="46" t="inlineStr">
        <is>
          <t xml:space="preserve">$1,000</t>
        </is>
      </c>
      <c r="X294" s="48" t="inlineStr">
        <is>
          <t xml:space="preserve">$1,000,000 CSL</t>
        </is>
      </c>
      <c r="Y294" s="46"/>
      <c r="Z294" s="46"/>
      <c r="AA294" s="48" t="inlineStr">
        <is>
          <t xml:space="preserve">Surplus Lines</t>
        </is>
      </c>
      <c r="AB294" s="50">
        <v>3947.41</v>
      </c>
      <c r="AC294" s="51">
        <v>0</v>
      </c>
      <c r="AD294" s="38">
        <f>IF(ISNUMBER($AB294),$AB294*(1+N($AC294)),"")</f>
      </c>
      <c r="AE294" s="50">
        <v>350</v>
      </c>
      <c r="AF294" s="50">
        <v>0</v>
      </c>
      <c r="AG294" s="51"/>
      <c r="AH294" s="39">
        <f>IF(ISNUMBER($AD294),($AD294+$AE294+$AF294)*$AG294,"")</f>
      </c>
      <c r="AI294" s="50"/>
      <c r="AJ294" s="38">
        <f>IF(ISNUMBER($AD294),SUM($AD294:$AH294),"")</f>
      </c>
      <c r="AK294" s="40">
        <f>IF(AND(ISNUMBER($AB294),ISNUMBER($AD294)),IF($AB294&gt;0,$AD294/$AB294,""),"")</f>
      </c>
      <c r="AL294" s="48" t="inlineStr">
        <is>
          <t xml:space="preserve">At technical</t>
        </is>
      </c>
      <c r="AM294" s="41">
        <f>IF(ISNUMBER($AD294),Header!$I$3,"")</f>
      </c>
      <c r="AN294" s="39">
        <f>IF(ISNUMBER($AD294),$AO294+$AP294,"")</f>
      </c>
      <c r="AO294" s="39">
        <f>IF(ISNUMBER($AD294),ROUND($AD294*Header!$K$3,2),"")</f>
      </c>
      <c r="AP294" s="39">
        <f>IF(ISNUMBER($AD294),ROUND($AD294*Header!$M$3,2),"")</f>
      </c>
      <c r="AQ294" s="38">
        <f>IF(ISNUMBER($AD294),ROUND($AD294,2)-$AO294-$AP294,"")</f>
      </c>
      <c r="AR294" s="39">
        <f>IF(ISNUMBER($AD294),IF(Header!$D$34="","?",$AD294*Header!$D$34),"")</f>
      </c>
      <c r="AS294" s="39">
        <f>IF(ISNUMBER($AB294),IF(Header!$D$34="","?",$AB294*Header!$D$34),"")</f>
      </c>
      <c r="AT294" s="42">
        <f>IF(AND(ISNUMBER($AB294),$M294&gt;0),$AB294/$M294*100,"")</f>
      </c>
      <c r="AU294" s="42">
        <f>IF(AND(ISNUMBER($AD294),$M294&gt;0),$AD294/$M294*100,"")</f>
      </c>
      <c r="AV294" s="40">
        <f>IF(AND(ISNUMBER($AB294),ISNUMBER($AD294),ABS($AB294)&gt;0),$AD294/$AB294,"")</f>
      </c>
      <c r="AW294" s="39">
        <f>IF(ISNUMBER($AD294),MAX(0,(1-0.55-Header!$O$3)*Header!$Q$3*$AQ294),"")</f>
      </c>
      <c r="AX294" s="43">
        <f>IF($A294="","",IF(TRIM(IF($A294="","Missing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",""))="","PASS","FAIL: "&amp;TRIM(IF($A294="","Missing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f>
      </c>
      <c r="AY294" s="44">
        <f>IF($M294="","",IF(ISNUMBER($M294),IF($M294&gt;=Header!$C$18,"YES — refer","No"),""))</f>
      </c>
      <c r="AZ294" s="44">
        <f>IF($AD294="","",IF(ISNUMBER($AD294),IF($AD294&lt;Header!$C$20,"BELOW MIN PREMIUM","OK"),""))</f>
      </c>
      <c r="BA294" s="48" t="inlineStr">
        <is>
          <t xml:space="preserve">Yes</t>
        </is>
      </c>
      <c r="BB294" s="48" t="inlineStr">
        <is>
          <t xml:space="preserve">Yes</t>
        </is>
      </c>
      <c r="BC294" s="46" t="inlineStr">
        <is>
          <t xml:space="preserve">Synthetic demo data</t>
        </is>
      </c>
      <c r="BE294" s="45">
        <f>IF(OR($A294="",$L294="",$H294=""),"",IF(AND(LEFT($L294,2)="06",$H294&gt;1945),"FAIL - pre-war class, year "&amp;$H294,IF(AND(LEFT($L294,2)="07",OR($H294&lt;1946,$H294&gt;1972)),"FAIL - 1946-72 class, year "&amp;$H294,IF(AND(LEFT($L294,2)="08",OR($H294&lt;1973,$H294&gt;1999)),"FAIL - 1973-99 class, year "&amp;$H294,IF(AND(LEFT($L294,2)="09",OR($H294&lt;2000,$H294&gt;2010)),"FAIL - 2000-10 class, year "&amp;$H294,"OK")))))</f>
      </c>
      <c r="BF294" s="45">
        <f>IF($AD294="","",IF(ROUND($AO294+$AP294+$AQ294-$AD294,2)=0,"OK","FAIL - out by "&amp;TEXT($AO294+$AP294+$AQ294-$AD294,"$0.00")))</f>
      </c>
    </row>
    <row r="295" spans="1:58" ht="18.75" customHeight="1" x14ac:dyDescent="0.25">
      <c r="A295" s="30" t="inlineStr">
        <is>
          <t xml:space="preserve">CANON-202606-008807</t>
        </is>
      </c>
      <c r="B295" s="30" t="inlineStr">
        <is>
          <t xml:space="preserve">Fitzgerald Farkas</t>
        </is>
      </c>
      <c r="C295" s="31">
        <v>46187</v>
      </c>
      <c r="D295" s="32" t="inlineStr">
        <is>
          <t xml:space="preserve">Bound - within authority</t>
        </is>
      </c>
      <c r="E295" s="32" t="inlineStr">
        <is>
          <t xml:space="preserve">New business</t>
        </is>
      </c>
      <c r="F295" s="30" t="inlineStr">
        <is>
          <t xml:space="preserve">B1234EXOTIC26</t>
        </is>
      </c>
      <c r="G295" s="33">
        <f>IF($A295="","",IF($C295="","",YEAR($C295)))</f>
      </c>
      <c r="H295" s="34">
        <v>1975</v>
      </c>
      <c r="I295" s="30" t="inlineStr">
        <is>
          <t xml:space="preserve">Maserati</t>
        </is>
      </c>
      <c r="J295" s="30" t="inlineStr">
        <is>
          <t xml:space="preserve">GranTurismo</t>
        </is>
      </c>
      <c r="K295" s="30" t="inlineStr">
        <is>
          <t xml:space="preserve">XH5R6EFAN9VHL770N</t>
        </is>
      </c>
      <c r="L295" s="32" t="inlineStr">
        <is>
          <t xml:space="preserve">02 - Sports / GT</t>
        </is>
      </c>
      <c r="M295" s="35">
        <v>260000</v>
      </c>
      <c r="N295" s="32" t="inlineStr">
        <is>
          <t xml:space="preserve">Personal</t>
        </is>
      </c>
      <c r="O295" s="30" t="inlineStr">
        <is>
          <t xml:space="preserve">Personal - regular use</t>
        </is>
      </c>
      <c r="P295" s="30" t="inlineStr">
        <is>
          <t xml:space="preserve">1,000 - 2,500</t>
        </is>
      </c>
      <c r="Q295" s="30" t="inlineStr">
        <is>
          <t xml:space="preserve">Rhode Island</t>
        </is>
      </c>
      <c r="R295" s="30" t="inlineStr">
        <is>
          <t xml:space="preserve">02903</t>
        </is>
      </c>
      <c r="S295" s="32" t="inlineStr">
        <is>
          <t xml:space="preserve">Tier 3 - Coastal wind (25-100 miles)</t>
        </is>
      </c>
      <c r="T295" s="36">
        <f>IF($A295="","",IF($S295="","",IFERROR(INDEX('[1]natural catastrophe'!$D$6:$D$17,MATCH($S295,'[1]natural catastrophe'!$B$6:$B$17,0)),"?")))</f>
      </c>
      <c r="U295" s="30" t="inlineStr">
        <is>
          <t xml:space="preserve">2% of agreed value, minimum $10,000</t>
        </is>
      </c>
      <c r="V295" s="32" t="inlineStr">
        <is>
          <t xml:space="preserve">Agreed Value</t>
        </is>
      </c>
      <c r="W295" s="30" t="inlineStr">
        <is>
          <t xml:space="preserve">$1,000</t>
        </is>
      </c>
      <c r="X295" s="32" t="inlineStr">
        <is>
          <t xml:space="preserve">$1,000,000 CSL</t>
        </is>
      </c>
      <c r="Y295" s="30"/>
      <c r="Z295" s="30"/>
      <c r="AA295" s="32" t="inlineStr">
        <is>
          <t xml:space="preserve">Surplus Lines</t>
        </is>
      </c>
      <c r="AB295" s="35">
        <v>3855.03</v>
      </c>
      <c r="AC295" s="37">
        <v>0</v>
      </c>
      <c r="AD295" s="38">
        <f>IF(ISNUMBER($AB295),$AB295*(1+N($AC295)),"")</f>
      </c>
      <c r="AE295" s="35">
        <v>350</v>
      </c>
      <c r="AF295" s="35">
        <v>0</v>
      </c>
      <c r="AG295" s="37"/>
      <c r="AH295" s="39">
        <f>IF(ISNUMBER($AD295),($AD295+$AE295+$AF295)*$AG295,"")</f>
      </c>
      <c r="AI295" s="35"/>
      <c r="AJ295" s="38">
        <f>IF(ISNUMBER($AD295),SUM($AD295:$AH295),"")</f>
      </c>
      <c r="AK295" s="40">
        <f>IF(AND(ISNUMBER($AB295),ISNUMBER($AD295)),IF($AB295&gt;0,$AD295/$AB295,""),"")</f>
      </c>
      <c r="AL295" s="32" t="inlineStr">
        <is>
          <t xml:space="preserve">At technical</t>
        </is>
      </c>
      <c r="AM295" s="41">
        <f>IF(ISNUMBER($AD295),Header!$I$3,"")</f>
      </c>
      <c r="AN295" s="39">
        <f>IF(ISNUMBER($AD295),$AO295+$AP295,"")</f>
      </c>
      <c r="AO295" s="39">
        <f>IF(ISNUMBER($AD295),ROUND($AD295*Header!$K$3,2),"")</f>
      </c>
      <c r="AP295" s="39">
        <f>IF(ISNUMBER($AD295),ROUND($AD295*Header!$M$3,2),"")</f>
      </c>
      <c r="AQ295" s="38">
        <f>IF(ISNUMBER($AD295),ROUND($AD295,2)-$AO295-$AP295,"")</f>
      </c>
      <c r="AR295" s="39">
        <f>IF(ISNUMBER($AD295),IF(Header!$D$34="","?",$AD295*Header!$D$34),"")</f>
      </c>
      <c r="AS295" s="39">
        <f>IF(ISNUMBER($AB295),IF(Header!$D$34="","?",$AB295*Header!$D$34),"")</f>
      </c>
      <c r="AT295" s="42">
        <f>IF(AND(ISNUMBER($AB295),$M295&gt;0),$AB295/$M295*100,"")</f>
      </c>
      <c r="AU295" s="42">
        <f>IF(AND(ISNUMBER($AD295),$M295&gt;0),$AD295/$M295*100,"")</f>
      </c>
      <c r="AV295" s="40">
        <f>IF(AND(ISNUMBER($AB295),ISNUMBER($AD295),ABS($AB295)&gt;0),$AD295/$AB295,"")</f>
      </c>
      <c r="AW295" s="39">
        <f>IF(ISNUMBER($AD295),MAX(0,(1-0.55-Header!$O$3)*Header!$Q$3*$AQ295),"")</f>
      </c>
      <c r="AX295" s="43">
        <f>IF($A295="","",IF(TRIM(IF($A295="","Missing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",""))="","PASS","FAIL: "&amp;TRIM(IF($A295="","Missing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f>
      </c>
      <c r="AY295" s="44">
        <f>IF($M295="","",IF(ISNUMBER($M295),IF($M295&gt;=Header!$C$18,"YES — refer","No"),""))</f>
      </c>
      <c r="AZ295" s="44">
        <f>IF($AD295="","",IF(ISNUMBER($AD295),IF($AD295&lt;Header!$C$20,"BELOW MIN PREMIUM","OK"),""))</f>
      </c>
      <c r="BA295" s="32" t="inlineStr">
        <is>
          <t xml:space="preserve">Yes</t>
        </is>
      </c>
      <c r="BB295" s="32" t="inlineStr">
        <is>
          <t xml:space="preserve">Yes</t>
        </is>
      </c>
      <c r="BC295" s="30" t="inlineStr">
        <is>
          <t xml:space="preserve">Synthetic demo data</t>
        </is>
      </c>
      <c r="BE295" s="45">
        <f>IF(OR($A295="",$L295="",$H295=""),"",IF(AND(LEFT($L295,2)="06",$H295&gt;1945),"FAIL - pre-war class, year "&amp;$H295,IF(AND(LEFT($L295,2)="07",OR($H295&lt;1946,$H295&gt;1972)),"FAIL - 1946-72 class, year "&amp;$H295,IF(AND(LEFT($L295,2)="08",OR($H295&lt;1973,$H295&gt;1999)),"FAIL - 1973-99 class, year "&amp;$H295,IF(AND(LEFT($L295,2)="09",OR($H295&lt;2000,$H295&gt;2010)),"FAIL - 2000-10 class, year "&amp;$H295,"OK")))))</f>
      </c>
      <c r="BF295" s="45">
        <f>IF($AD295="","",IF(ROUND($AO295+$AP295+$AQ295-$AD295,2)=0,"OK","FAIL - out by "&amp;TEXT($AO295+$AP295+$AQ295-$AD295,"$0.00")))</f>
      </c>
    </row>
    <row r="296" spans="1:58" ht="18.75" customHeight="1" x14ac:dyDescent="0.25">
      <c r="A296" s="46" t="inlineStr">
        <is>
          <t xml:space="preserve">CANON-202606-008808</t>
        </is>
      </c>
      <c r="B296" s="46" t="inlineStr">
        <is>
          <t xml:space="preserve">Marisol Bellandi</t>
        </is>
      </c>
      <c r="C296" s="47">
        <v>46178</v>
      </c>
      <c r="D296" s="48" t="inlineStr">
        <is>
          <t xml:space="preserve">Bound - within authority</t>
        </is>
      </c>
      <c r="E296" s="48" t="inlineStr">
        <is>
          <t xml:space="preserve">New business</t>
        </is>
      </c>
      <c r="F296" s="46" t="inlineStr">
        <is>
          <t xml:space="preserve">B1234EXOTIC26</t>
        </is>
      </c>
      <c r="G296" s="33">
        <f>IF($A296="","",IF($C296="","",YEAR($C296)))</f>
      </c>
      <c r="H296" s="49">
        <v>1993</v>
      </c>
      <c r="I296" s="46" t="inlineStr">
        <is>
          <t xml:space="preserve">Porsche</t>
        </is>
      </c>
      <c r="J296" s="46" t="inlineStr">
        <is>
          <t xml:space="preserve">911 Turbo S</t>
        </is>
      </c>
      <c r="K296" s="46" t="inlineStr">
        <is>
          <t xml:space="preserve">3GLYVYDJTSPC5UX61</t>
        </is>
      </c>
      <c r="L296" s="48" t="inlineStr">
        <is>
          <t xml:space="preserve">02 - Sports / GT</t>
        </is>
      </c>
      <c r="M296" s="50">
        <v>430000</v>
      </c>
      <c r="N296" s="48" t="inlineStr">
        <is>
          <t xml:space="preserve">Personal</t>
        </is>
      </c>
      <c r="O296" s="46" t="inlineStr">
        <is>
          <t xml:space="preserve">Personal - regular use</t>
        </is>
      </c>
      <c r="P296" s="46" t="inlineStr">
        <is>
          <t xml:space="preserve">1,000 - 2,500</t>
        </is>
      </c>
      <c r="Q296" s="46" t="inlineStr">
        <is>
          <t xml:space="preserve">Idaho</t>
        </is>
      </c>
      <c r="R296" s="46" t="inlineStr">
        <is>
          <t xml:space="preserve">83702</t>
        </is>
      </c>
      <c r="S296" s="48" t="inlineStr">
        <is>
          <t xml:space="preserve">Wildfire - WUI high hazard</t>
        </is>
      </c>
      <c r="T296" s="36">
        <f>IF($A296="","",IF($S296="","",IFERROR(INDEX('[1]natural catastrophe'!$D$6:$D$17,MATCH($S296,'[1]natural catastrophe'!$B$6:$B$17,0)),"?")))</f>
      </c>
      <c r="U296" s="46" t="inlineStr">
        <is>
          <t xml:space="preserve">$5,000</t>
        </is>
      </c>
      <c r="V296" s="48" t="inlineStr">
        <is>
          <t xml:space="preserve">Agreed Value</t>
        </is>
      </c>
      <c r="W296" s="46" t="inlineStr">
        <is>
          <t xml:space="preserve">$1,000</t>
        </is>
      </c>
      <c r="X296" s="48" t="inlineStr">
        <is>
          <t xml:space="preserve">$1,000,000 CSL</t>
        </is>
      </c>
      <c r="Y296" s="46"/>
      <c r="Z296" s="46"/>
      <c r="AA296" s="48" t="inlineStr">
        <is>
          <t xml:space="preserve">Surplus Lines</t>
        </is>
      </c>
      <c r="AB296" s="50">
        <v>4607.2</v>
      </c>
      <c r="AC296" s="51">
        <v>0</v>
      </c>
      <c r="AD296" s="38">
        <f>IF(ISNUMBER($AB296),$AB296*(1+N($AC296)),"")</f>
      </c>
      <c r="AE296" s="50">
        <v>350</v>
      </c>
      <c r="AF296" s="50">
        <v>0</v>
      </c>
      <c r="AG296" s="51"/>
      <c r="AH296" s="39">
        <f>IF(ISNUMBER($AD296),($AD296+$AE296+$AF296)*$AG296,"")</f>
      </c>
      <c r="AI296" s="50"/>
      <c r="AJ296" s="38">
        <f>IF(ISNUMBER($AD296),SUM($AD296:$AH296),"")</f>
      </c>
      <c r="AK296" s="40">
        <f>IF(AND(ISNUMBER($AB296),ISNUMBER($AD296)),IF($AB296&gt;0,$AD296/$AB296,""),"")</f>
      </c>
      <c r="AL296" s="48" t="inlineStr">
        <is>
          <t xml:space="preserve">At technical</t>
        </is>
      </c>
      <c r="AM296" s="41">
        <f>IF(ISNUMBER($AD296),Header!$I$3,"")</f>
      </c>
      <c r="AN296" s="39">
        <f>IF(ISNUMBER($AD296),$AO296+$AP296,"")</f>
      </c>
      <c r="AO296" s="39">
        <f>IF(ISNUMBER($AD296),ROUND($AD296*Header!$K$3,2),"")</f>
      </c>
      <c r="AP296" s="39">
        <f>IF(ISNUMBER($AD296),ROUND($AD296*Header!$M$3,2),"")</f>
      </c>
      <c r="AQ296" s="38">
        <f>IF(ISNUMBER($AD296),ROUND($AD296,2)-$AO296-$AP296,"")</f>
      </c>
      <c r="AR296" s="39">
        <f>IF(ISNUMBER($AD296),IF(Header!$D$34="","?",$AD296*Header!$D$34),"")</f>
      </c>
      <c r="AS296" s="39">
        <f>IF(ISNUMBER($AB296),IF(Header!$D$34="","?",$AB296*Header!$D$34),"")</f>
      </c>
      <c r="AT296" s="42">
        <f>IF(AND(ISNUMBER($AB296),$M296&gt;0),$AB296/$M296*100,"")</f>
      </c>
      <c r="AU296" s="42">
        <f>IF(AND(ISNUMBER($AD296),$M296&gt;0),$AD296/$M296*100,"")</f>
      </c>
      <c r="AV296" s="40">
        <f>IF(AND(ISNUMBER($AB296),ISNUMBER($AD296),ABS($AB296)&gt;0),$AD296/$AB296,"")</f>
      </c>
      <c r="AW296" s="39">
        <f>IF(ISNUMBER($AD296),MAX(0,(1-0.55-Header!$O$3)*Header!$Q$3*$AQ296),"")</f>
      </c>
      <c r="AX296" s="43">
        <f>IF($A296="","",IF(TRIM(IF($A296="","Missing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",""))="","PASS","FAIL: "&amp;TRIM(IF($A296="","Missing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f>
      </c>
      <c r="AY296" s="44">
        <f>IF($M296="","",IF(ISNUMBER($M296),IF($M296&gt;=Header!$C$18,"YES — refer","No"),""))</f>
      </c>
      <c r="AZ296" s="44">
        <f>IF($AD296="","",IF(ISNUMBER($AD296),IF($AD296&lt;Header!$C$20,"BELOW MIN PREMIUM","OK"),""))</f>
      </c>
      <c r="BA296" s="48" t="inlineStr">
        <is>
          <t xml:space="preserve">Yes</t>
        </is>
      </c>
      <c r="BB296" s="48" t="inlineStr">
        <is>
          <t xml:space="preserve">Yes</t>
        </is>
      </c>
      <c r="BC296" s="46" t="inlineStr">
        <is>
          <t xml:space="preserve">Synthetic demo data</t>
        </is>
      </c>
      <c r="BE296" s="45">
        <f>IF(OR($A296="",$L296="",$H296=""),"",IF(AND(LEFT($L296,2)="06",$H296&gt;1945),"FAIL - pre-war class, year "&amp;$H296,IF(AND(LEFT($L296,2)="07",OR($H296&lt;1946,$H296&gt;1972)),"FAIL - 1946-72 class, year "&amp;$H296,IF(AND(LEFT($L296,2)="08",OR($H296&lt;1973,$H296&gt;1999)),"FAIL - 1973-99 class, year "&amp;$H296,IF(AND(LEFT($L296,2)="09",OR($H296&lt;2000,$H296&gt;2010)),"FAIL - 2000-10 class, year "&amp;$H296,"OK")))))</f>
      </c>
      <c r="BF296" s="45">
        <f>IF($AD296="","",IF(ROUND($AO296+$AP296+$AQ296-$AD296,2)=0,"OK","FAIL - out by "&amp;TEXT($AO296+$AP296+$AQ296-$AD296,"$0.00")))</f>
      </c>
    </row>
    <row r="297" spans="1:58" ht="18.75" customHeight="1" x14ac:dyDescent="0.25">
      <c r="A297" s="30" t="inlineStr">
        <is>
          <t xml:space="preserve">CANON-202606-008810</t>
        </is>
      </c>
      <c r="B297" s="30" t="inlineStr">
        <is>
          <t xml:space="preserve">Aurelio Merriweather</t>
        </is>
      </c>
      <c r="C297" s="31">
        <v>46181</v>
      </c>
      <c r="D297" s="32" t="inlineStr">
        <is>
          <t xml:space="preserve">Bound - within authority</t>
        </is>
      </c>
      <c r="E297" s="32" t="inlineStr">
        <is>
          <t xml:space="preserve">New business</t>
        </is>
      </c>
      <c r="F297" s="30" t="inlineStr">
        <is>
          <t xml:space="preserve">B1234EXOTIC26</t>
        </is>
      </c>
      <c r="G297" s="33">
        <f>IF($A297="","",IF($C297="","",YEAR($C297)))</f>
      </c>
      <c r="H297" s="34">
        <v>2000</v>
      </c>
      <c r="I297" s="30" t="inlineStr">
        <is>
          <t xml:space="preserve">Maserati</t>
        </is>
      </c>
      <c r="J297" s="30" t="inlineStr">
        <is>
          <t xml:space="preserve">GranTurismo</t>
        </is>
      </c>
      <c r="K297" s="30" t="inlineStr">
        <is>
          <t xml:space="preserve">VRF4H6N3E2K5PW0NA</t>
        </is>
      </c>
      <c r="L297" s="32" t="inlineStr">
        <is>
          <t xml:space="preserve">02 - Sports / GT</t>
        </is>
      </c>
      <c r="M297" s="35">
        <v>760000</v>
      </c>
      <c r="N297" s="32" t="inlineStr">
        <is>
          <t xml:space="preserve">Personal</t>
        </is>
      </c>
      <c r="O297" s="30" t="inlineStr">
        <is>
          <t xml:space="preserve">Personal - regular use</t>
        </is>
      </c>
      <c r="P297" s="30" t="inlineStr">
        <is>
          <t xml:space="preserve">2,500 - 5,000</t>
        </is>
      </c>
      <c r="Q297" s="30" t="inlineStr">
        <is>
          <t xml:space="preserve">Iowa</t>
        </is>
      </c>
      <c r="R297" s="30" t="inlineStr">
        <is>
          <t xml:space="preserve">50309</t>
        </is>
      </c>
      <c r="S297" s="32" t="inlineStr">
        <is>
          <t xml:space="preserve">Severe convective - hail alley (high)</t>
        </is>
      </c>
      <c r="T297" s="36">
        <f>IF($A297="","",IF($S297="","",IFERROR(INDEX('[1]natural catastrophe'!$D$6:$D$17,MATCH($S297,'[1]natural catastrophe'!$B$6:$B$17,0)),"?")))</f>
      </c>
      <c r="U297" s="30" t="inlineStr">
        <is>
          <t xml:space="preserve">$5,000</t>
        </is>
      </c>
      <c r="V297" s="32" t="inlineStr">
        <is>
          <t xml:space="preserve">Agreed Value</t>
        </is>
      </c>
      <c r="W297" s="30" t="inlineStr">
        <is>
          <t xml:space="preserve">$1,000</t>
        </is>
      </c>
      <c r="X297" s="32" t="inlineStr">
        <is>
          <t xml:space="preserve">$1,000,000 CSL</t>
        </is>
      </c>
      <c r="Y297" s="30"/>
      <c r="Z297" s="30"/>
      <c r="AA297" s="32" t="inlineStr">
        <is>
          <t xml:space="preserve">Surplus Lines</t>
        </is>
      </c>
      <c r="AB297" s="35">
        <v>7841.36</v>
      </c>
      <c r="AC297" s="37">
        <v>0</v>
      </c>
      <c r="AD297" s="38">
        <f>IF(ISNUMBER($AB297),$AB297*(1+N($AC297)),"")</f>
      </c>
      <c r="AE297" s="35">
        <v>350</v>
      </c>
      <c r="AF297" s="35">
        <v>0</v>
      </c>
      <c r="AG297" s="37"/>
      <c r="AH297" s="39">
        <f>IF(ISNUMBER($AD297),($AD297+$AE297+$AF297)*$AG297,"")</f>
      </c>
      <c r="AI297" s="35"/>
      <c r="AJ297" s="38">
        <f>IF(ISNUMBER($AD297),SUM($AD297:$AH297),"")</f>
      </c>
      <c r="AK297" s="40">
        <f>IF(AND(ISNUMBER($AB297),ISNUMBER($AD297)),IF($AB297&gt;0,$AD297/$AB297,""),"")</f>
      </c>
      <c r="AL297" s="32" t="inlineStr">
        <is>
          <t xml:space="preserve">At technical</t>
        </is>
      </c>
      <c r="AM297" s="41">
        <f>IF(ISNUMBER($AD297),Header!$I$3,"")</f>
      </c>
      <c r="AN297" s="39">
        <f>IF(ISNUMBER($AD297),$AO297+$AP297,"")</f>
      </c>
      <c r="AO297" s="39">
        <f>IF(ISNUMBER($AD297),ROUND($AD297*Header!$K$3,2),"")</f>
      </c>
      <c r="AP297" s="39">
        <f>IF(ISNUMBER($AD297),ROUND($AD297*Header!$M$3,2),"")</f>
      </c>
      <c r="AQ297" s="38">
        <f>IF(ISNUMBER($AD297),ROUND($AD297,2)-$AO297-$AP297,"")</f>
      </c>
      <c r="AR297" s="39">
        <f>IF(ISNUMBER($AD297),IF(Header!$D$34="","?",$AD297*Header!$D$34),"")</f>
      </c>
      <c r="AS297" s="39">
        <f>IF(ISNUMBER($AB297),IF(Header!$D$34="","?",$AB297*Header!$D$34),"")</f>
      </c>
      <c r="AT297" s="42">
        <f>IF(AND(ISNUMBER($AB297),$M297&gt;0),$AB297/$M297*100,"")</f>
      </c>
      <c r="AU297" s="42">
        <f>IF(AND(ISNUMBER($AD297),$M297&gt;0),$AD297/$M297*100,"")</f>
      </c>
      <c r="AV297" s="40">
        <f>IF(AND(ISNUMBER($AB297),ISNUMBER($AD297),ABS($AB297)&gt;0),$AD297/$AB297,"")</f>
      </c>
      <c r="AW297" s="39">
        <f>IF(ISNUMBER($AD297),MAX(0,(1-0.55-Header!$O$3)*Header!$Q$3*$AQ297),"")</f>
      </c>
      <c r="AX297" s="43">
        <f>IF($A297="","",IF(TRIM(IF($A297="","Missing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",""))="","PASS","FAIL: "&amp;TRIM(IF($A297="","Missing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f>
      </c>
      <c r="AY297" s="44">
        <f>IF($M297="","",IF(ISNUMBER($M297),IF($M297&gt;=Header!$C$18,"YES — refer","No"),""))</f>
      </c>
      <c r="AZ297" s="44">
        <f>IF($AD297="","",IF(ISNUMBER($AD297),IF($AD297&lt;Header!$C$20,"BELOW MIN PREMIUM","OK"),""))</f>
      </c>
      <c r="BA297" s="32" t="inlineStr">
        <is>
          <t xml:space="preserve">Yes</t>
        </is>
      </c>
      <c r="BB297" s="32" t="inlineStr">
        <is>
          <t xml:space="preserve">Yes</t>
        </is>
      </c>
      <c r="BC297" s="30" t="inlineStr">
        <is>
          <t xml:space="preserve">Synthetic demo data</t>
        </is>
      </c>
      <c r="BE297" s="45">
        <f>IF(OR($A297="",$L297="",$H297=""),"",IF(AND(LEFT($L297,2)="06",$H297&gt;1945),"FAIL - pre-war class, year "&amp;$H297,IF(AND(LEFT($L297,2)="07",OR($H297&lt;1946,$H297&gt;1972)),"FAIL - 1946-72 class, year "&amp;$H297,IF(AND(LEFT($L297,2)="08",OR($H297&lt;1973,$H297&gt;1999)),"FAIL - 1973-99 class, year "&amp;$H297,IF(AND(LEFT($L297,2)="09",OR($H297&lt;2000,$H297&gt;2010)),"FAIL - 2000-10 class, year "&amp;$H297,"OK")))))</f>
      </c>
      <c r="BF297" s="45">
        <f>IF($AD297="","",IF(ROUND($AO297+$AP297+$AQ297-$AD297,2)=0,"OK","FAIL - out by "&amp;TEXT($AO297+$AP297+$AQ297-$AD297,"$0.00")))</f>
      </c>
    </row>
    <row r="298" spans="1:58" ht="18.75" customHeight="1" x14ac:dyDescent="0.25">
      <c r="A298" s="46" t="inlineStr">
        <is>
          <t xml:space="preserve">CANON-202606-008811</t>
        </is>
      </c>
      <c r="B298" s="46" t="inlineStr">
        <is>
          <t xml:space="preserve">Noor Rourke</t>
        </is>
      </c>
      <c r="C298" s="47">
        <v>46190</v>
      </c>
      <c r="D298" s="48" t="inlineStr">
        <is>
          <t xml:space="preserve">Bound - within authority</t>
        </is>
      </c>
      <c r="E298" s="48" t="inlineStr">
        <is>
          <t xml:space="preserve">New business</t>
        </is>
      </c>
      <c r="F298" s="46" t="inlineStr">
        <is>
          <t xml:space="preserve">B1234EXOTIC26</t>
        </is>
      </c>
      <c r="G298" s="33">
        <f>IF($A298="","",IF($C298="","",YEAR($C298)))</f>
      </c>
      <c r="H298" s="49">
        <v>1969</v>
      </c>
      <c r="I298" s="46" t="inlineStr">
        <is>
          <t xml:space="preserve">Bugatti</t>
        </is>
      </c>
      <c r="J298" s="46" t="inlineStr">
        <is>
          <t xml:space="preserve">Type 57</t>
        </is>
      </c>
      <c r="K298" s="46" t="inlineStr">
        <is>
          <t xml:space="preserve">DH7AH8SZWWY72ZWS4</t>
        </is>
      </c>
      <c r="L298" s="48" t="inlineStr">
        <is>
          <t xml:space="preserve">07 - Post-War Classic (1946-1972)</t>
        </is>
      </c>
      <c r="M298" s="50">
        <v>895000</v>
      </c>
      <c r="N298" s="48" t="inlineStr">
        <is>
          <t xml:space="preserve">Personal</t>
        </is>
      </c>
      <c r="O298" s="46" t="inlineStr">
        <is>
          <t xml:space="preserve">Personal - regular use</t>
        </is>
      </c>
      <c r="P298" s="46" t="inlineStr">
        <is>
          <t xml:space="preserve">Under 1,000</t>
        </is>
      </c>
      <c r="Q298" s="46" t="inlineStr">
        <is>
          <t xml:space="preserve">West Virginia</t>
        </is>
      </c>
      <c r="R298" s="46" t="inlineStr">
        <is>
          <t xml:space="preserve">25301</t>
        </is>
      </c>
      <c r="S298" s="48" t="inlineStr">
        <is>
          <t xml:space="preserve">Low hazard - inland benign</t>
        </is>
      </c>
      <c r="T298" s="36">
        <f>IF($A298="","",IF($S298="","",IFERROR(INDEX('[1]natural catastrophe'!$D$6:$D$17,MATCH($S298,'[1]natural catastrophe'!$B$6:$B$17,0)),"?")))</f>
      </c>
      <c r="U298" s="46" t="inlineStr">
        <is>
          <t xml:space="preserve">$5,000</t>
        </is>
      </c>
      <c r="V298" s="48" t="inlineStr">
        <is>
          <t xml:space="preserve">Agreed Value</t>
        </is>
      </c>
      <c r="W298" s="46" t="inlineStr">
        <is>
          <t xml:space="preserve">$1,000</t>
        </is>
      </c>
      <c r="X298" s="48" t="inlineStr">
        <is>
          <t xml:space="preserve">$1,000,000 CSL</t>
        </is>
      </c>
      <c r="Y298" s="46"/>
      <c r="Z298" s="46"/>
      <c r="AA298" s="48" t="inlineStr">
        <is>
          <t xml:space="preserve">Surplus Lines</t>
        </is>
      </c>
      <c r="AB298" s="50">
        <v>6527.25</v>
      </c>
      <c r="AC298" s="51">
        <v>0</v>
      </c>
      <c r="AD298" s="38">
        <f>IF(ISNUMBER($AB298),$AB298*(1+N($AC298)),"")</f>
      </c>
      <c r="AE298" s="50">
        <v>350</v>
      </c>
      <c r="AF298" s="50">
        <v>0</v>
      </c>
      <c r="AG298" s="51"/>
      <c r="AH298" s="39">
        <f>IF(ISNUMBER($AD298),($AD298+$AE298+$AF298)*$AG298,"")</f>
      </c>
      <c r="AI298" s="50"/>
      <c r="AJ298" s="38">
        <f>IF(ISNUMBER($AD298),SUM($AD298:$AH298),"")</f>
      </c>
      <c r="AK298" s="40">
        <f>IF(AND(ISNUMBER($AB298),ISNUMBER($AD298)),IF($AB298&gt;0,$AD298/$AB298,""),"")</f>
      </c>
      <c r="AL298" s="48" t="inlineStr">
        <is>
          <t xml:space="preserve">At technical</t>
        </is>
      </c>
      <c r="AM298" s="41">
        <f>IF(ISNUMBER($AD298),Header!$I$3,"")</f>
      </c>
      <c r="AN298" s="39">
        <f>IF(ISNUMBER($AD298),$AO298+$AP298,"")</f>
      </c>
      <c r="AO298" s="39">
        <f>IF(ISNUMBER($AD298),ROUND($AD298*Header!$K$3,2),"")</f>
      </c>
      <c r="AP298" s="39">
        <f>IF(ISNUMBER($AD298),ROUND($AD298*Header!$M$3,2),"")</f>
      </c>
      <c r="AQ298" s="38">
        <f>IF(ISNUMBER($AD298),ROUND($AD298,2)-$AO298-$AP298,"")</f>
      </c>
      <c r="AR298" s="39">
        <f>IF(ISNUMBER($AD298),IF(Header!$D$34="","?",$AD298*Header!$D$34),"")</f>
      </c>
      <c r="AS298" s="39">
        <f>IF(ISNUMBER($AB298),IF(Header!$D$34="","?",$AB298*Header!$D$34),"")</f>
      </c>
      <c r="AT298" s="42">
        <f>IF(AND(ISNUMBER($AB298),$M298&gt;0),$AB298/$M298*100,"")</f>
      </c>
      <c r="AU298" s="42">
        <f>IF(AND(ISNUMBER($AD298),$M298&gt;0),$AD298/$M298*100,"")</f>
      </c>
      <c r="AV298" s="40">
        <f>IF(AND(ISNUMBER($AB298),ISNUMBER($AD298),ABS($AB298)&gt;0),$AD298/$AB298,"")</f>
      </c>
      <c r="AW298" s="39">
        <f>IF(ISNUMBER($AD298),MAX(0,(1-0.55-Header!$O$3)*Header!$Q$3*$AQ298),"")</f>
      </c>
      <c r="AX298" s="43">
        <f>IF($A298="","",IF(TRIM(IF($A298="","Missing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",""))="","PASS","FAIL: "&amp;TRIM(IF($A298="","Missing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f>
      </c>
      <c r="AY298" s="44">
        <f>IF($M298="","",IF(ISNUMBER($M298),IF($M298&gt;=Header!$C$18,"YES — refer","No"),""))</f>
      </c>
      <c r="AZ298" s="44">
        <f>IF($AD298="","",IF(ISNUMBER($AD298),IF($AD298&lt;Header!$C$20,"BELOW MIN PREMIUM","OK"),""))</f>
      </c>
      <c r="BA298" s="48" t="inlineStr">
        <is>
          <t xml:space="preserve">Yes</t>
        </is>
      </c>
      <c r="BB298" s="48" t="inlineStr">
        <is>
          <t xml:space="preserve">Yes</t>
        </is>
      </c>
      <c r="BC298" s="46" t="inlineStr">
        <is>
          <t xml:space="preserve">Synthetic demo data</t>
        </is>
      </c>
      <c r="BE298" s="45">
        <f>IF(OR($A298="",$L298="",$H298=""),"",IF(AND(LEFT($L298,2)="06",$H298&gt;1945),"FAIL - pre-war class, year "&amp;$H298,IF(AND(LEFT($L298,2)="07",OR($H298&lt;1946,$H298&gt;1972)),"FAIL - 1946-72 class, year "&amp;$H298,IF(AND(LEFT($L298,2)="08",OR($H298&lt;1973,$H298&gt;1999)),"FAIL - 1973-99 class, year "&amp;$H298,IF(AND(LEFT($L298,2)="09",OR($H298&lt;2000,$H298&gt;2010)),"FAIL - 2000-10 class, year "&amp;$H298,"OK")))))</f>
      </c>
      <c r="BF298" s="45">
        <f>IF($AD298="","",IF(ROUND($AO298+$AP298+$AQ298-$AD298,2)=0,"OK","FAIL - out by "&amp;TEXT($AO298+$AP298+$AQ298-$AD298,"$0.00")))</f>
      </c>
    </row>
    <row r="299" spans="1:58" ht="18.75" customHeight="1" x14ac:dyDescent="0.25">
      <c r="A299" s="30" t="inlineStr">
        <is>
          <t xml:space="preserve">CANON-202606-008812</t>
        </is>
      </c>
      <c r="B299" s="30" t="inlineStr">
        <is>
          <t xml:space="preserve">Wilhelmina Delacroix</t>
        </is>
      </c>
      <c r="C299" s="31">
        <v>46186</v>
      </c>
      <c r="D299" s="32" t="inlineStr">
        <is>
          <t xml:space="preserve">Bound - within authority</t>
        </is>
      </c>
      <c r="E299" s="32" t="inlineStr">
        <is>
          <t xml:space="preserve">New business</t>
        </is>
      </c>
      <c r="F299" s="30" t="inlineStr">
        <is>
          <t xml:space="preserve">B1234EXOTIC26</t>
        </is>
      </c>
      <c r="G299" s="33">
        <f>IF($A299="","",IF($C299="","",YEAR($C299)))</f>
      </c>
      <c r="H299" s="34">
        <v>1959</v>
      </c>
      <c r="I299" s="30" t="inlineStr">
        <is>
          <t xml:space="preserve">BMW</t>
        </is>
      </c>
      <c r="J299" s="30" t="inlineStr">
        <is>
          <t xml:space="preserve">M8 Competition</t>
        </is>
      </c>
      <c r="K299" s="30" t="inlineStr">
        <is>
          <t xml:space="preserve">ZWNU2A2SSW7MEGWZU</t>
        </is>
      </c>
      <c r="L299" s="32" t="inlineStr">
        <is>
          <t xml:space="preserve">02 - Sports / GT</t>
        </is>
      </c>
      <c r="M299" s="35">
        <v>255000</v>
      </c>
      <c r="N299" s="32" t="inlineStr">
        <is>
          <t xml:space="preserve">Personal</t>
        </is>
      </c>
      <c r="O299" s="30" t="inlineStr">
        <is>
          <t xml:space="preserve">Personal - regular use</t>
        </is>
      </c>
      <c r="P299" s="30" t="inlineStr">
        <is>
          <t xml:space="preserve">Under 1,000</t>
        </is>
      </c>
      <c r="Q299" s="30" t="inlineStr">
        <is>
          <t xml:space="preserve">Hawaii</t>
        </is>
      </c>
      <c r="R299" s="30" t="inlineStr">
        <is>
          <t xml:space="preserve">96813</t>
        </is>
      </c>
      <c r="S299" s="32" t="inlineStr">
        <is>
          <t xml:space="preserve">Earthquake - high (CA, Cascadia, New Madrid)</t>
        </is>
      </c>
      <c r="T299" s="36">
        <f>IF($A299="","",IF($S299="","",IFERROR(INDEX('[1]natural catastrophe'!$D$6:$D$17,MATCH($S299,'[1]natural catastrophe'!$B$6:$B$17,0)),"?")))</f>
      </c>
      <c r="U299" s="30" t="inlineStr">
        <is>
          <t xml:space="preserve">$5,000</t>
        </is>
      </c>
      <c r="V299" s="32" t="inlineStr">
        <is>
          <t xml:space="preserve">Agreed Value</t>
        </is>
      </c>
      <c r="W299" s="30" t="inlineStr">
        <is>
          <t xml:space="preserve">$1,000</t>
        </is>
      </c>
      <c r="X299" s="32" t="inlineStr">
        <is>
          <t xml:space="preserve">$1,000,000 CSL</t>
        </is>
      </c>
      <c r="Y299" s="30"/>
      <c r="Z299" s="30"/>
      <c r="AA299" s="32" t="inlineStr">
        <is>
          <t xml:space="preserve">Surplus Lines</t>
        </is>
      </c>
      <c r="AB299" s="35">
        <v>3587.71</v>
      </c>
      <c r="AC299" s="37">
        <v>0</v>
      </c>
      <c r="AD299" s="38">
        <f>IF(ISNUMBER($AB299),$AB299*(1+N($AC299)),"")</f>
      </c>
      <c r="AE299" s="35">
        <v>350</v>
      </c>
      <c r="AF299" s="35">
        <v>0</v>
      </c>
      <c r="AG299" s="37"/>
      <c r="AH299" s="39">
        <f>IF(ISNUMBER($AD299),($AD299+$AE299+$AF299)*$AG299,"")</f>
      </c>
      <c r="AI299" s="35"/>
      <c r="AJ299" s="38">
        <f>IF(ISNUMBER($AD299),SUM($AD299:$AH299),"")</f>
      </c>
      <c r="AK299" s="40">
        <f>IF(AND(ISNUMBER($AB299),ISNUMBER($AD299)),IF($AB299&gt;0,$AD299/$AB299,""),"")</f>
      </c>
      <c r="AL299" s="32" t="inlineStr">
        <is>
          <t xml:space="preserve">At technical</t>
        </is>
      </c>
      <c r="AM299" s="41">
        <f>IF(ISNUMBER($AD299),Header!$I$3,"")</f>
      </c>
      <c r="AN299" s="39">
        <f>IF(ISNUMBER($AD299),$AO299+$AP299,"")</f>
      </c>
      <c r="AO299" s="39">
        <f>IF(ISNUMBER($AD299),ROUND($AD299*Header!$K$3,2),"")</f>
      </c>
      <c r="AP299" s="39">
        <f>IF(ISNUMBER($AD299),ROUND($AD299*Header!$M$3,2),"")</f>
      </c>
      <c r="AQ299" s="38">
        <f>IF(ISNUMBER($AD299),ROUND($AD299,2)-$AO299-$AP299,"")</f>
      </c>
      <c r="AR299" s="39">
        <f>IF(ISNUMBER($AD299),IF(Header!$D$34="","?",$AD299*Header!$D$34),"")</f>
      </c>
      <c r="AS299" s="39">
        <f>IF(ISNUMBER($AB299),IF(Header!$D$34="","?",$AB299*Header!$D$34),"")</f>
      </c>
      <c r="AT299" s="42">
        <f>IF(AND(ISNUMBER($AB299),$M299&gt;0),$AB299/$M299*100,"")</f>
      </c>
      <c r="AU299" s="42">
        <f>IF(AND(ISNUMBER($AD299),$M299&gt;0),$AD299/$M299*100,"")</f>
      </c>
      <c r="AV299" s="40">
        <f>IF(AND(ISNUMBER($AB299),ISNUMBER($AD299),ABS($AB299)&gt;0),$AD299/$AB299,"")</f>
      </c>
      <c r="AW299" s="39">
        <f>IF(ISNUMBER($AD299),MAX(0,(1-0.55-Header!$O$3)*Header!$Q$3*$AQ299),"")</f>
      </c>
      <c r="AX299" s="43">
        <f>IF($A299="","",IF(TRIM(IF($A299="","Missing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",""))="","PASS","FAIL: "&amp;TRIM(IF($A299="","Missing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f>
      </c>
      <c r="AY299" s="44">
        <f>IF($M299="","",IF(ISNUMBER($M299),IF($M299&gt;=Header!$C$18,"YES — refer","No"),""))</f>
      </c>
      <c r="AZ299" s="44">
        <f>IF($AD299="","",IF(ISNUMBER($AD299),IF($AD299&lt;Header!$C$20,"BELOW MIN PREMIUM","OK"),""))</f>
      </c>
      <c r="BA299" s="32" t="inlineStr">
        <is>
          <t xml:space="preserve">Yes</t>
        </is>
      </c>
      <c r="BB299" s="32" t="inlineStr">
        <is>
          <t xml:space="preserve">Yes</t>
        </is>
      </c>
      <c r="BC299" s="30" t="inlineStr">
        <is>
          <t xml:space="preserve">Synthetic demo data</t>
        </is>
      </c>
      <c r="BE299" s="45">
        <f>IF(OR($A299="",$L299="",$H299=""),"",IF(AND(LEFT($L299,2)="06",$H299&gt;1945),"FAIL - pre-war class, year "&amp;$H299,IF(AND(LEFT($L299,2)="07",OR($H299&lt;1946,$H299&gt;1972)),"FAIL - 1946-72 class, year "&amp;$H299,IF(AND(LEFT($L299,2)="08",OR($H299&lt;1973,$H299&gt;1999)),"FAIL - 1973-99 class, year "&amp;$H299,IF(AND(LEFT($L299,2)="09",OR($H299&lt;2000,$H299&gt;2010)),"FAIL - 2000-10 class, year "&amp;$H299,"OK")))))</f>
      </c>
      <c r="BF299" s="45">
        <f>IF($AD299="","",IF(ROUND($AO299+$AP299+$AQ299-$AD299,2)=0,"OK","FAIL - out by "&amp;TEXT($AO299+$AP299+$AQ299-$AD299,"$0.00")))</f>
      </c>
    </row>
    <row r="300" spans="1:58" ht="18.75" customHeight="1" x14ac:dyDescent="0.25">
      <c r="A300" s="46" t="inlineStr">
        <is>
          <t xml:space="preserve">CANON-202606-008814</t>
        </is>
      </c>
      <c r="B300" s="46" t="inlineStr">
        <is>
          <t xml:space="preserve">Anouk Vandermeer</t>
        </is>
      </c>
      <c r="C300" s="47">
        <v>46184</v>
      </c>
      <c r="D300" s="48" t="inlineStr">
        <is>
          <t xml:space="preserve">Bound - within authority</t>
        </is>
      </c>
      <c r="E300" s="48" t="inlineStr">
        <is>
          <t xml:space="preserve">New business</t>
        </is>
      </c>
      <c r="F300" s="46" t="inlineStr">
        <is>
          <t xml:space="preserve">B1234EXOTIC26</t>
        </is>
      </c>
      <c r="G300" s="33">
        <f>IF($A300="","",IF($C300="","",YEAR($C300)))</f>
      </c>
      <c r="H300" s="49">
        <v>2006</v>
      </c>
      <c r="I300" s="46" t="inlineStr">
        <is>
          <t xml:space="preserve">Aston Martin</t>
        </is>
      </c>
      <c r="J300" s="46" t="inlineStr">
        <is>
          <t xml:space="preserve">DB12</t>
        </is>
      </c>
      <c r="K300" s="46" t="inlineStr">
        <is>
          <t xml:space="preserve">S600LG49M1W388MH5</t>
        </is>
      </c>
      <c r="L300" s="48" t="inlineStr">
        <is>
          <t xml:space="preserve">02 - Sports / GT</t>
        </is>
      </c>
      <c r="M300" s="50">
        <v>330000</v>
      </c>
      <c r="N300" s="48" t="inlineStr">
        <is>
          <t xml:space="preserve">Personal</t>
        </is>
      </c>
      <c r="O300" s="46" t="inlineStr">
        <is>
          <t xml:space="preserve">Personal - regular use</t>
        </is>
      </c>
      <c r="P300" s="46" t="inlineStr">
        <is>
          <t xml:space="preserve">2,500 - 5,000</t>
        </is>
      </c>
      <c r="Q300" s="46" t="inlineStr">
        <is>
          <t xml:space="preserve">Nebraska</t>
        </is>
      </c>
      <c r="R300" s="46" t="inlineStr">
        <is>
          <t xml:space="preserve">68102</t>
        </is>
      </c>
      <c r="S300" s="48" t="inlineStr">
        <is>
          <t xml:space="preserve">Severe convective - hail alley (high)</t>
        </is>
      </c>
      <c r="T300" s="36">
        <f>IF($A300="","",IF($S300="","",IFERROR(INDEX('[1]natural catastrophe'!$D$6:$D$17,MATCH($S300,'[1]natural catastrophe'!$B$6:$B$17,0)),"?")))</f>
      </c>
      <c r="U300" s="46" t="inlineStr">
        <is>
          <t xml:space="preserve">$5,000</t>
        </is>
      </c>
      <c r="V300" s="48" t="inlineStr">
        <is>
          <t xml:space="preserve">Agreed Value</t>
        </is>
      </c>
      <c r="W300" s="46" t="inlineStr">
        <is>
          <t xml:space="preserve">$1,000</t>
        </is>
      </c>
      <c r="X300" s="48" t="inlineStr">
        <is>
          <t xml:space="preserve">$1,000,000 CSL</t>
        </is>
      </c>
      <c r="Y300" s="46"/>
      <c r="Z300" s="46"/>
      <c r="AA300" s="48" t="inlineStr">
        <is>
          <t xml:space="preserve">Surplus Lines</t>
        </is>
      </c>
      <c r="AB300" s="50">
        <v>4642.91</v>
      </c>
      <c r="AC300" s="51">
        <v>0</v>
      </c>
      <c r="AD300" s="38">
        <f>IF(ISNUMBER($AB300),$AB300*(1+N($AC300)),"")</f>
      </c>
      <c r="AE300" s="50">
        <v>350</v>
      </c>
      <c r="AF300" s="50">
        <v>0</v>
      </c>
      <c r="AG300" s="51"/>
      <c r="AH300" s="39">
        <f>IF(ISNUMBER($AD300),($AD300+$AE300+$AF300)*$AG300,"")</f>
      </c>
      <c r="AI300" s="50"/>
      <c r="AJ300" s="38">
        <f>IF(ISNUMBER($AD300),SUM($AD300:$AH300),"")</f>
      </c>
      <c r="AK300" s="40">
        <f>IF(AND(ISNUMBER($AB300),ISNUMBER($AD300)),IF($AB300&gt;0,$AD300/$AB300,""),"")</f>
      </c>
      <c r="AL300" s="48" t="inlineStr">
        <is>
          <t xml:space="preserve">At technical</t>
        </is>
      </c>
      <c r="AM300" s="41">
        <f>IF(ISNUMBER($AD300),Header!$I$3,"")</f>
      </c>
      <c r="AN300" s="39">
        <f>IF(ISNUMBER($AD300),$AO300+$AP300,"")</f>
      </c>
      <c r="AO300" s="39">
        <f>IF(ISNUMBER($AD300),ROUND($AD300*Header!$K$3,2),"")</f>
      </c>
      <c r="AP300" s="39">
        <f>IF(ISNUMBER($AD300),ROUND($AD300*Header!$M$3,2),"")</f>
      </c>
      <c r="AQ300" s="38">
        <f>IF(ISNUMBER($AD300),ROUND($AD300,2)-$AO300-$AP300,"")</f>
      </c>
      <c r="AR300" s="39">
        <f>IF(ISNUMBER($AD300),IF(Header!$D$34="","?",$AD300*Header!$D$34),"")</f>
      </c>
      <c r="AS300" s="39">
        <f>IF(ISNUMBER($AB300),IF(Header!$D$34="","?",$AB300*Header!$D$34),"")</f>
      </c>
      <c r="AT300" s="42">
        <f>IF(AND(ISNUMBER($AB300),$M300&gt;0),$AB300/$M300*100,"")</f>
      </c>
      <c r="AU300" s="42">
        <f>IF(AND(ISNUMBER($AD300),$M300&gt;0),$AD300/$M300*100,"")</f>
      </c>
      <c r="AV300" s="40">
        <f>IF(AND(ISNUMBER($AB300),ISNUMBER($AD300),ABS($AB300)&gt;0),$AD300/$AB300,"")</f>
      </c>
      <c r="AW300" s="39">
        <f>IF(ISNUMBER($AD300),MAX(0,(1-0.55-Header!$O$3)*Header!$Q$3*$AQ300),"")</f>
      </c>
      <c r="AX300" s="43">
        <f>IF($A300="","",IF(TRIM(IF($A300="","Missing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",""))="","PASS","FAIL: "&amp;TRIM(IF($A300="","Missing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f>
      </c>
      <c r="AY300" s="44">
        <f>IF($M300="","",IF(ISNUMBER($M300),IF($M300&gt;=Header!$C$18,"YES — refer","No"),""))</f>
      </c>
      <c r="AZ300" s="44">
        <f>IF($AD300="","",IF(ISNUMBER($AD300),IF($AD300&lt;Header!$C$20,"BELOW MIN PREMIUM","OK"),""))</f>
      </c>
      <c r="BA300" s="48" t="inlineStr">
        <is>
          <t xml:space="preserve">Yes</t>
        </is>
      </c>
      <c r="BB300" s="48" t="inlineStr">
        <is>
          <t xml:space="preserve">Yes</t>
        </is>
      </c>
      <c r="BC300" s="46" t="inlineStr">
        <is>
          <t xml:space="preserve">Synthetic demo data</t>
        </is>
      </c>
      <c r="BE300" s="45">
        <f>IF(OR($A300="",$L300="",$H300=""),"",IF(AND(LEFT($L300,2)="06",$H300&gt;1945),"FAIL - pre-war class, year "&amp;$H300,IF(AND(LEFT($L300,2)="07",OR($H300&lt;1946,$H300&gt;1972)),"FAIL - 1946-72 class, year "&amp;$H300,IF(AND(LEFT($L300,2)="08",OR($H300&lt;1973,$H300&gt;1999)),"FAIL - 1973-99 class, year "&amp;$H300,IF(AND(LEFT($L300,2)="09",OR($H300&lt;2000,$H300&gt;2010)),"FAIL - 2000-10 class, year "&amp;$H300,"OK")))))</f>
      </c>
      <c r="BF300" s="45">
        <f>IF($AD300="","",IF(ROUND($AO300+$AP300+$AQ300-$AD300,2)=0,"OK","FAIL - out by "&amp;TEXT($AO300+$AP300+$AQ300-$AD300,"$0.00")))</f>
      </c>
    </row>
    <row r="301" spans="1:58" ht="18.75" customHeight="1" x14ac:dyDescent="0.25">
      <c r="A301" s="30" t="inlineStr">
        <is>
          <t xml:space="preserve">CANON-202606-008815</t>
        </is>
      </c>
      <c r="B301" s="30" t="inlineStr">
        <is>
          <t xml:space="preserve">Saoirse Blackwood</t>
        </is>
      </c>
      <c r="C301" s="31">
        <v>46197</v>
      </c>
      <c r="D301" s="32" t="inlineStr">
        <is>
          <t xml:space="preserve">Bound - within authority</t>
        </is>
      </c>
      <c r="E301" s="32" t="inlineStr">
        <is>
          <t xml:space="preserve">New business</t>
        </is>
      </c>
      <c r="F301" s="30" t="inlineStr">
        <is>
          <t xml:space="preserve">B1234EXOTIC26</t>
        </is>
      </c>
      <c r="G301" s="33">
        <f>IF($A301="","",IF($C301="","",YEAR($C301)))</f>
      </c>
      <c r="H301" s="34">
        <v>1983</v>
      </c>
      <c r="I301" s="30" t="inlineStr">
        <is>
          <t xml:space="preserve">Mercedes-Benz</t>
        </is>
      </c>
      <c r="J301" s="30" t="inlineStr">
        <is>
          <t xml:space="preserve">280SL Pagoda</t>
        </is>
      </c>
      <c r="K301" s="30" t="inlineStr">
        <is>
          <t xml:space="preserve">NRVGKZL6FH8JXPF3H</t>
        </is>
      </c>
      <c r="L301" s="32" t="inlineStr">
        <is>
          <t xml:space="preserve">08 - Modern Classic (1973-1999)</t>
        </is>
      </c>
      <c r="M301" s="35">
        <v>650000</v>
      </c>
      <c r="N301" s="32" t="inlineStr">
        <is>
          <t xml:space="preserve">Personal</t>
        </is>
      </c>
      <c r="O301" s="30" t="inlineStr">
        <is>
          <t xml:space="preserve">Personal - regular use</t>
        </is>
      </c>
      <c r="P301" s="30" t="inlineStr">
        <is>
          <t xml:space="preserve">2,500 - 5,000</t>
        </is>
      </c>
      <c r="Q301" s="30" t="inlineStr">
        <is>
          <t xml:space="preserve">Kansas</t>
        </is>
      </c>
      <c r="R301" s="30" t="inlineStr">
        <is>
          <t xml:space="preserve">66603</t>
        </is>
      </c>
      <c r="S301" s="32" t="inlineStr">
        <is>
          <t xml:space="preserve">Severe convective - hail alley (high)</t>
        </is>
      </c>
      <c r="T301" s="36">
        <f>IF($A301="","",IF($S301="","",IFERROR(INDEX('[1]natural catastrophe'!$D$6:$D$17,MATCH($S301,'[1]natural catastrophe'!$B$6:$B$17,0)),"?")))</f>
      </c>
      <c r="U301" s="30" t="inlineStr">
        <is>
          <t xml:space="preserve">$5,000</t>
        </is>
      </c>
      <c r="V301" s="32" t="inlineStr">
        <is>
          <t xml:space="preserve">Agreed Value</t>
        </is>
      </c>
      <c r="W301" s="30" t="inlineStr">
        <is>
          <t xml:space="preserve">$1,000</t>
        </is>
      </c>
      <c r="X301" s="32" t="inlineStr">
        <is>
          <t xml:space="preserve">$1,000,000 CSL</t>
        </is>
      </c>
      <c r="Y301" s="30"/>
      <c r="Z301" s="30"/>
      <c r="AA301" s="32" t="inlineStr">
        <is>
          <t xml:space="preserve">Surplus Lines</t>
        </is>
      </c>
      <c r="AB301" s="35">
        <v>3912.24</v>
      </c>
      <c r="AC301" s="37">
        <v>0</v>
      </c>
      <c r="AD301" s="38">
        <f>IF(ISNUMBER($AB301),$AB301*(1+N($AC301)),"")</f>
      </c>
      <c r="AE301" s="35">
        <v>350</v>
      </c>
      <c r="AF301" s="35">
        <v>0</v>
      </c>
      <c r="AG301" s="37"/>
      <c r="AH301" s="39">
        <f>IF(ISNUMBER($AD301),($AD301+$AE301+$AF301)*$AG301,"")</f>
      </c>
      <c r="AI301" s="35"/>
      <c r="AJ301" s="38">
        <f>IF(ISNUMBER($AD301),SUM($AD301:$AH301),"")</f>
      </c>
      <c r="AK301" s="40">
        <f>IF(AND(ISNUMBER($AB301),ISNUMBER($AD301)),IF($AB301&gt;0,$AD301/$AB301,""),"")</f>
      </c>
      <c r="AL301" s="32" t="inlineStr">
        <is>
          <t xml:space="preserve">At technical</t>
        </is>
      </c>
      <c r="AM301" s="41">
        <f>IF(ISNUMBER($AD301),Header!$I$3,"")</f>
      </c>
      <c r="AN301" s="39">
        <f>IF(ISNUMBER($AD301),$AO301+$AP301,"")</f>
      </c>
      <c r="AO301" s="39">
        <f>IF(ISNUMBER($AD301),ROUND($AD301*Header!$K$3,2),"")</f>
      </c>
      <c r="AP301" s="39">
        <f>IF(ISNUMBER($AD301),ROUND($AD301*Header!$M$3,2),"")</f>
      </c>
      <c r="AQ301" s="38">
        <f>IF(ISNUMBER($AD301),ROUND($AD301,2)-$AO301-$AP301,"")</f>
      </c>
      <c r="AR301" s="39">
        <f>IF(ISNUMBER($AD301),IF(Header!$D$34="","?",$AD301*Header!$D$34),"")</f>
      </c>
      <c r="AS301" s="39">
        <f>IF(ISNUMBER($AB301),IF(Header!$D$34="","?",$AB301*Header!$D$34),"")</f>
      </c>
      <c r="AT301" s="42">
        <f>IF(AND(ISNUMBER($AB301),$M301&gt;0),$AB301/$M301*100,"")</f>
      </c>
      <c r="AU301" s="42">
        <f>IF(AND(ISNUMBER($AD301),$M301&gt;0),$AD301/$M301*100,"")</f>
      </c>
      <c r="AV301" s="40">
        <f>IF(AND(ISNUMBER($AB301),ISNUMBER($AD301),ABS($AB301)&gt;0),$AD301/$AB301,"")</f>
      </c>
      <c r="AW301" s="39">
        <f>IF(ISNUMBER($AD301),MAX(0,(1-0.55-Header!$O$3)*Header!$Q$3*$AQ301),"")</f>
      </c>
      <c r="AX301" s="43">
        <f>IF($A301="","",IF(TRIM(IF($A301="","Missing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",""))="","PASS","FAIL: "&amp;TRIM(IF($A301="","Missing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f>
      </c>
      <c r="AY301" s="44">
        <f>IF($M301="","",IF(ISNUMBER($M301),IF($M301&gt;=Header!$C$18,"YES — refer","No"),""))</f>
      </c>
      <c r="AZ301" s="44">
        <f>IF($AD301="","",IF(ISNUMBER($AD301),IF($AD301&lt;Header!$C$20,"BELOW MIN PREMIUM","OK"),""))</f>
      </c>
      <c r="BA301" s="32" t="inlineStr">
        <is>
          <t xml:space="preserve">Yes</t>
        </is>
      </c>
      <c r="BB301" s="32" t="inlineStr">
        <is>
          <t xml:space="preserve">Yes</t>
        </is>
      </c>
      <c r="BC301" s="30" t="inlineStr">
        <is>
          <t xml:space="preserve">Synthetic demo data</t>
        </is>
      </c>
      <c r="BE301" s="45">
        <f>IF(OR($A301="",$L301="",$H301=""),"",IF(AND(LEFT($L301,2)="06",$H301&gt;1945),"FAIL - pre-war class, year "&amp;$H301,IF(AND(LEFT($L301,2)="07",OR($H301&lt;1946,$H301&gt;1972)),"FAIL - 1946-72 class, year "&amp;$H301,IF(AND(LEFT($L301,2)="08",OR($H301&lt;1973,$H301&gt;1999)),"FAIL - 1973-99 class, year "&amp;$H301,IF(AND(LEFT($L301,2)="09",OR($H301&lt;2000,$H301&gt;2010)),"FAIL - 2000-10 class, year "&amp;$H301,"OK")))))</f>
      </c>
      <c r="BF301" s="45">
        <f>IF($AD301="","",IF(ROUND($AO301+$AP301+$AQ301-$AD301,2)=0,"OK","FAIL - out by "&amp;TEXT($AO301+$AP301+$AQ301-$AD301,"$0.00")))</f>
      </c>
    </row>
    <row r="302" spans="1:58" ht="18.75" customHeight="1" x14ac:dyDescent="0.25">
      <c r="A302" s="46" t="inlineStr">
        <is>
          <t xml:space="preserve">CANON-202606-008816</t>
        </is>
      </c>
      <c r="B302" s="46" t="inlineStr">
        <is>
          <t xml:space="preserve">Noor Underwood</t>
        </is>
      </c>
      <c r="C302" s="47">
        <v>46188</v>
      </c>
      <c r="D302" s="48" t="inlineStr">
        <is>
          <t xml:space="preserve">Bound - within authority</t>
        </is>
      </c>
      <c r="E302" s="48" t="inlineStr">
        <is>
          <t xml:space="preserve">New business</t>
        </is>
      </c>
      <c r="F302" s="46" t="inlineStr">
        <is>
          <t xml:space="preserve">B1234EXOTIC26</t>
        </is>
      </c>
      <c r="G302" s="33">
        <f>IF($A302="","",IF($C302="","",YEAR($C302)))</f>
      </c>
      <c r="H302" s="49">
        <v>1987</v>
      </c>
      <c r="I302" s="46" t="inlineStr">
        <is>
          <t xml:space="preserve">Mercedes-Benz</t>
        </is>
      </c>
      <c r="J302" s="46" t="inlineStr">
        <is>
          <t xml:space="preserve">280SL Pagoda</t>
        </is>
      </c>
      <c r="K302" s="46" t="inlineStr">
        <is>
          <t xml:space="preserve">FGWVVSYBJA4V7EFLF</t>
        </is>
      </c>
      <c r="L302" s="48" t="inlineStr">
        <is>
          <t xml:space="preserve">08 - Modern Classic (1973-1999)</t>
        </is>
      </c>
      <c r="M302" s="50">
        <v>400000</v>
      </c>
      <c r="N302" s="48" t="inlineStr">
        <is>
          <t xml:space="preserve">Personal</t>
        </is>
      </c>
      <c r="O302" s="46" t="inlineStr">
        <is>
          <t xml:space="preserve">Personal - regular use</t>
        </is>
      </c>
      <c r="P302" s="46" t="inlineStr">
        <is>
          <t xml:space="preserve">1,000 - 2,500</t>
        </is>
      </c>
      <c r="Q302" s="46" t="inlineStr">
        <is>
          <t xml:space="preserve">South Carolina</t>
        </is>
      </c>
      <c r="R302" s="46" t="inlineStr">
        <is>
          <t xml:space="preserve">29401</t>
        </is>
      </c>
      <c r="S302" s="48" t="inlineStr">
        <is>
          <t xml:space="preserve">Tier 2 - Coastal wind (1-25 miles)</t>
        </is>
      </c>
      <c r="T302" s="36">
        <f>IF($A302="","",IF($S302="","",IFERROR(INDEX('[1]natural catastrophe'!$D$6:$D$17,MATCH($S302,'[1]natural catastrophe'!$B$6:$B$17,0)),"?")))</f>
      </c>
      <c r="U302" s="46" t="inlineStr">
        <is>
          <t xml:space="preserve">2% of agreed value, minimum $10,000</t>
        </is>
      </c>
      <c r="V302" s="48" t="inlineStr">
        <is>
          <t xml:space="preserve">Agreed Value</t>
        </is>
      </c>
      <c r="W302" s="46" t="inlineStr">
        <is>
          <t xml:space="preserve">$1,000</t>
        </is>
      </c>
      <c r="X302" s="48" t="inlineStr">
        <is>
          <t xml:space="preserve">$1,000,000 CSL</t>
        </is>
      </c>
      <c r="Y302" s="46"/>
      <c r="Z302" s="46"/>
      <c r="AA302" s="48" t="inlineStr">
        <is>
          <t xml:space="preserve">Surplus Lines</t>
        </is>
      </c>
      <c r="AB302" s="50">
        <v>3435.54</v>
      </c>
      <c r="AC302" s="51">
        <v>0</v>
      </c>
      <c r="AD302" s="38">
        <f>IF(ISNUMBER($AB302),$AB302*(1+N($AC302)),"")</f>
      </c>
      <c r="AE302" s="50">
        <v>350</v>
      </c>
      <c r="AF302" s="50">
        <v>0</v>
      </c>
      <c r="AG302" s="51"/>
      <c r="AH302" s="39">
        <f>IF(ISNUMBER($AD302),($AD302+$AE302+$AF302)*$AG302,"")</f>
      </c>
      <c r="AI302" s="50"/>
      <c r="AJ302" s="38">
        <f>IF(ISNUMBER($AD302),SUM($AD302:$AH302),"")</f>
      </c>
      <c r="AK302" s="40">
        <f>IF(AND(ISNUMBER($AB302),ISNUMBER($AD302)),IF($AB302&gt;0,$AD302/$AB302,""),"")</f>
      </c>
      <c r="AL302" s="48" t="inlineStr">
        <is>
          <t xml:space="preserve">At technical</t>
        </is>
      </c>
      <c r="AM302" s="41">
        <f>IF(ISNUMBER($AD302),Header!$I$3,"")</f>
      </c>
      <c r="AN302" s="39">
        <f>IF(ISNUMBER($AD302),$AO302+$AP302,"")</f>
      </c>
      <c r="AO302" s="39">
        <f>IF(ISNUMBER($AD302),ROUND($AD302*Header!$K$3,2),"")</f>
      </c>
      <c r="AP302" s="39">
        <f>IF(ISNUMBER($AD302),ROUND($AD302*Header!$M$3,2),"")</f>
      </c>
      <c r="AQ302" s="38">
        <f>IF(ISNUMBER($AD302),ROUND($AD302,2)-$AO302-$AP302,"")</f>
      </c>
      <c r="AR302" s="39">
        <f>IF(ISNUMBER($AD302),IF(Header!$D$34="","?",$AD302*Header!$D$34),"")</f>
      </c>
      <c r="AS302" s="39">
        <f>IF(ISNUMBER($AB302),IF(Header!$D$34="","?",$AB302*Header!$D$34),"")</f>
      </c>
      <c r="AT302" s="42">
        <f>IF(AND(ISNUMBER($AB302),$M302&gt;0),$AB302/$M302*100,"")</f>
      </c>
      <c r="AU302" s="42">
        <f>IF(AND(ISNUMBER($AD302),$M302&gt;0),$AD302/$M302*100,"")</f>
      </c>
      <c r="AV302" s="40">
        <f>IF(AND(ISNUMBER($AB302),ISNUMBER($AD302),ABS($AB302)&gt;0),$AD302/$AB302,"")</f>
      </c>
      <c r="AW302" s="39">
        <f>IF(ISNUMBER($AD302),MAX(0,(1-0.55-Header!$O$3)*Header!$Q$3*$AQ302),"")</f>
      </c>
      <c r="AX302" s="43">
        <f>IF($A302="","",IF(TRIM(IF($A302="","Missing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",""))="","PASS","FAIL: "&amp;TRIM(IF($A302="","Missing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f>
      </c>
      <c r="AY302" s="44">
        <f>IF($M302="","",IF(ISNUMBER($M302),IF($M302&gt;=Header!$C$18,"YES — refer","No"),""))</f>
      </c>
      <c r="AZ302" s="44">
        <f>IF($AD302="","",IF(ISNUMBER($AD302),IF($AD302&lt;Header!$C$20,"BELOW MIN PREMIUM","OK"),""))</f>
      </c>
      <c r="BA302" s="48" t="inlineStr">
        <is>
          <t xml:space="preserve">Yes</t>
        </is>
      </c>
      <c r="BB302" s="48" t="inlineStr">
        <is>
          <t xml:space="preserve">Yes</t>
        </is>
      </c>
      <c r="BC302" s="46" t="inlineStr">
        <is>
          <t xml:space="preserve">Synthetic demo data</t>
        </is>
      </c>
      <c r="BE302" s="45">
        <f>IF(OR($A302="",$L302="",$H302=""),"",IF(AND(LEFT($L302,2)="06",$H302&gt;1945),"FAIL - pre-war class, year "&amp;$H302,IF(AND(LEFT($L302,2)="07",OR($H302&lt;1946,$H302&gt;1972)),"FAIL - 1946-72 class, year "&amp;$H302,IF(AND(LEFT($L302,2)="08",OR($H302&lt;1973,$H302&gt;1999)),"FAIL - 1973-99 class, year "&amp;$H302,IF(AND(LEFT($L302,2)="09",OR($H302&lt;2000,$H302&gt;2010)),"FAIL - 2000-10 class, year "&amp;$H302,"OK")))))</f>
      </c>
      <c r="BF302" s="45">
        <f>IF($AD302="","",IF(ROUND($AO302+$AP302+$AQ302-$AD302,2)=0,"OK","FAIL - out by "&amp;TEXT($AO302+$AP302+$AQ302-$AD302,"$0.00")))</f>
      </c>
    </row>
    <row r="303" spans="1:58" ht="18.75" customHeight="1" x14ac:dyDescent="0.25">
      <c r="A303" s="30" t="inlineStr">
        <is>
          <t xml:space="preserve">CANON-202606-008817</t>
        </is>
      </c>
      <c r="B303" s="30" t="inlineStr">
        <is>
          <t xml:space="preserve">Aurelio Nakashima</t>
        </is>
      </c>
      <c r="C303" s="31">
        <v>46195</v>
      </c>
      <c r="D303" s="32" t="inlineStr">
        <is>
          <t xml:space="preserve">Bound - within authority</t>
        </is>
      </c>
      <c r="E303" s="32" t="inlineStr">
        <is>
          <t xml:space="preserve">New business</t>
        </is>
      </c>
      <c r="F303" s="30" t="inlineStr">
        <is>
          <t xml:space="preserve">B1234EXOTIC26</t>
        </is>
      </c>
      <c r="G303" s="33">
        <f>IF($A303="","",IF($C303="","",YEAR($C303)))</f>
      </c>
      <c r="H303" s="34">
        <v>1963</v>
      </c>
      <c r="I303" s="30" t="inlineStr">
        <is>
          <t xml:space="preserve">McLaren</t>
        </is>
      </c>
      <c r="J303" s="30" t="inlineStr">
        <is>
          <t xml:space="preserve">750S</t>
        </is>
      </c>
      <c r="K303" s="30" t="inlineStr">
        <is>
          <t xml:space="preserve">K04GTRXCU68AUDVLD</t>
        </is>
      </c>
      <c r="L303" s="32" t="inlineStr">
        <is>
          <t xml:space="preserve">03 - Supercar</t>
        </is>
      </c>
      <c r="M303" s="35">
        <v>730000</v>
      </c>
      <c r="N303" s="32" t="inlineStr">
        <is>
          <t xml:space="preserve">Personal</t>
        </is>
      </c>
      <c r="O303" s="30" t="inlineStr">
        <is>
          <t xml:space="preserve">Personal - regular use</t>
        </is>
      </c>
      <c r="P303" s="30" t="inlineStr">
        <is>
          <t xml:space="preserve">Under 1,000</t>
        </is>
      </c>
      <c r="Q303" s="30" t="inlineStr">
        <is>
          <t xml:space="preserve">Pennsylvania</t>
        </is>
      </c>
      <c r="R303" s="30" t="inlineStr">
        <is>
          <t xml:space="preserve">19103</t>
        </is>
      </c>
      <c r="S303" s="32" t="inlineStr">
        <is>
          <t xml:space="preserve">Low hazard - inland benign</t>
        </is>
      </c>
      <c r="T303" s="36">
        <f>IF($A303="","",IF($S303="","",IFERROR(INDEX('[1]natural catastrophe'!$D$6:$D$17,MATCH($S303,'[1]natural catastrophe'!$B$6:$B$17,0)),"?")))</f>
      </c>
      <c r="U303" s="30" t="inlineStr">
        <is>
          <t xml:space="preserve">$5,000</t>
        </is>
      </c>
      <c r="V303" s="32" t="inlineStr">
        <is>
          <t xml:space="preserve">Agreed Value</t>
        </is>
      </c>
      <c r="W303" s="30" t="inlineStr">
        <is>
          <t xml:space="preserve">$1,000</t>
        </is>
      </c>
      <c r="X303" s="32" t="inlineStr">
        <is>
          <t xml:space="preserve">$1,000,000 CSL</t>
        </is>
      </c>
      <c r="Y303" s="30"/>
      <c r="Z303" s="30"/>
      <c r="AA303" s="32" t="inlineStr">
        <is>
          <t xml:space="preserve">Surplus Lines</t>
        </is>
      </c>
      <c r="AB303" s="35">
        <v>10007.34</v>
      </c>
      <c r="AC303" s="37">
        <v>0</v>
      </c>
      <c r="AD303" s="38">
        <f>IF(ISNUMBER($AB303),$AB303*(1+N($AC303)),"")</f>
      </c>
      <c r="AE303" s="35">
        <v>350</v>
      </c>
      <c r="AF303" s="35">
        <v>0</v>
      </c>
      <c r="AG303" s="37"/>
      <c r="AH303" s="39">
        <f>IF(ISNUMBER($AD303),($AD303+$AE303+$AF303)*$AG303,"")</f>
      </c>
      <c r="AI303" s="35"/>
      <c r="AJ303" s="38">
        <f>IF(ISNUMBER($AD303),SUM($AD303:$AH303),"")</f>
      </c>
      <c r="AK303" s="40">
        <f>IF(AND(ISNUMBER($AB303),ISNUMBER($AD303)),IF($AB303&gt;0,$AD303/$AB303,""),"")</f>
      </c>
      <c r="AL303" s="32" t="inlineStr">
        <is>
          <t xml:space="preserve">At technical</t>
        </is>
      </c>
      <c r="AM303" s="41">
        <f>IF(ISNUMBER($AD303),Header!$I$3,"")</f>
      </c>
      <c r="AN303" s="39">
        <f>IF(ISNUMBER($AD303),$AO303+$AP303,"")</f>
      </c>
      <c r="AO303" s="39">
        <f>IF(ISNUMBER($AD303),ROUND($AD303*Header!$K$3,2),"")</f>
      </c>
      <c r="AP303" s="39">
        <f>IF(ISNUMBER($AD303),ROUND($AD303*Header!$M$3,2),"")</f>
      </c>
      <c r="AQ303" s="38">
        <f>IF(ISNUMBER($AD303),ROUND($AD303,2)-$AO303-$AP303,"")</f>
      </c>
      <c r="AR303" s="39">
        <f>IF(ISNUMBER($AD303),IF(Header!$D$34="","?",$AD303*Header!$D$34),"")</f>
      </c>
      <c r="AS303" s="39">
        <f>IF(ISNUMBER($AB303),IF(Header!$D$34="","?",$AB303*Header!$D$34),"")</f>
      </c>
      <c r="AT303" s="42">
        <f>IF(AND(ISNUMBER($AB303),$M303&gt;0),$AB303/$M303*100,"")</f>
      </c>
      <c r="AU303" s="42">
        <f>IF(AND(ISNUMBER($AD303),$M303&gt;0),$AD303/$M303*100,"")</f>
      </c>
      <c r="AV303" s="40">
        <f>IF(AND(ISNUMBER($AB303),ISNUMBER($AD303),ABS($AB303)&gt;0),$AD303/$AB303,"")</f>
      </c>
      <c r="AW303" s="39">
        <f>IF(ISNUMBER($AD303),MAX(0,(1-0.55-Header!$O$3)*Header!$Q$3*$AQ303),"")</f>
      </c>
      <c r="AX303" s="43">
        <f>IF($A303="","",IF(TRIM(IF($A303="","Missing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",""))="","PASS","FAIL: "&amp;TRIM(IF($A303="","Missing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f>
      </c>
      <c r="AY303" s="44">
        <f>IF($M303="","",IF(ISNUMBER($M303),IF($M303&gt;=Header!$C$18,"YES — refer","No"),""))</f>
      </c>
      <c r="AZ303" s="44">
        <f>IF($AD303="","",IF(ISNUMBER($AD303),IF($AD303&lt;Header!$C$20,"BELOW MIN PREMIUM","OK"),""))</f>
      </c>
      <c r="BA303" s="32" t="inlineStr">
        <is>
          <t xml:space="preserve">Yes</t>
        </is>
      </c>
      <c r="BB303" s="32" t="inlineStr">
        <is>
          <t xml:space="preserve">Yes</t>
        </is>
      </c>
      <c r="BC303" s="30" t="inlineStr">
        <is>
          <t xml:space="preserve">Synthetic demo data</t>
        </is>
      </c>
      <c r="BE303" s="45">
        <f>IF(OR($A303="",$L303="",$H303=""),"",IF(AND(LEFT($L303,2)="06",$H303&gt;1945),"FAIL - pre-war class, year "&amp;$H303,IF(AND(LEFT($L303,2)="07",OR($H303&lt;1946,$H303&gt;1972)),"FAIL - 1946-72 class, year "&amp;$H303,IF(AND(LEFT($L303,2)="08",OR($H303&lt;1973,$H303&gt;1999)),"FAIL - 1973-99 class, year "&amp;$H303,IF(AND(LEFT($L303,2)="09",OR($H303&lt;2000,$H303&gt;2010)),"FAIL - 2000-10 class, year "&amp;$H303,"OK")))))</f>
      </c>
      <c r="BF303" s="45">
        <f>IF($AD303="","",IF(ROUND($AO303+$AP303+$AQ303-$AD303,2)=0,"OK","FAIL - out by "&amp;TEXT($AO303+$AP303+$AQ303-$AD303,"$0.00")))</f>
      </c>
    </row>
    <row r="304" spans="1:58" ht="18.75" customHeight="1" x14ac:dyDescent="0.25">
      <c r="A304" s="46" t="inlineStr">
        <is>
          <t xml:space="preserve">CANON-202606-008818</t>
        </is>
      </c>
      <c r="B304" s="46" t="inlineStr">
        <is>
          <t xml:space="preserve">Ottilie Montoya</t>
        </is>
      </c>
      <c r="C304" s="47">
        <v>46187</v>
      </c>
      <c r="D304" s="48" t="inlineStr">
        <is>
          <t xml:space="preserve">Bound - within authority</t>
        </is>
      </c>
      <c r="E304" s="48" t="inlineStr">
        <is>
          <t xml:space="preserve">New business</t>
        </is>
      </c>
      <c r="F304" s="46" t="inlineStr">
        <is>
          <t xml:space="preserve">B1234EXOTIC26</t>
        </is>
      </c>
      <c r="G304" s="33">
        <f>IF($A304="","",IF($C304="","",YEAR($C304)))</f>
      </c>
      <c r="H304" s="49">
        <v>1962</v>
      </c>
      <c r="I304" s="46" t="inlineStr">
        <is>
          <t xml:space="preserve">Ferrari</t>
        </is>
      </c>
      <c r="J304" s="46" t="inlineStr">
        <is>
          <t xml:space="preserve">SF90 Stradale</t>
        </is>
      </c>
      <c r="K304" s="46" t="inlineStr">
        <is>
          <t xml:space="preserve">SKJB01NWLMU8PWMAG</t>
        </is>
      </c>
      <c r="L304" s="48" t="inlineStr">
        <is>
          <t xml:space="preserve">03 - Supercar</t>
        </is>
      </c>
      <c r="M304" s="50">
        <v>705000</v>
      </c>
      <c r="N304" s="48" t="inlineStr">
        <is>
          <t xml:space="preserve">Personal</t>
        </is>
      </c>
      <c r="O304" s="46" t="inlineStr">
        <is>
          <t xml:space="preserve">Personal - regular use</t>
        </is>
      </c>
      <c r="P304" s="46" t="inlineStr">
        <is>
          <t xml:space="preserve">Under 1,000</t>
        </is>
      </c>
      <c r="Q304" s="46" t="inlineStr">
        <is>
          <t xml:space="preserve">Florida</t>
        </is>
      </c>
      <c r="R304" s="46" t="inlineStr">
        <is>
          <t xml:space="preserve">33139</t>
        </is>
      </c>
      <c r="S304" s="48" t="inlineStr">
        <is>
          <t xml:space="preserve">Tier 2 - Coastal wind (1-25 miles)</t>
        </is>
      </c>
      <c r="T304" s="36">
        <f>IF($A304="","",IF($S304="","",IFERROR(INDEX('[1]natural catastrophe'!$D$6:$D$17,MATCH($S304,'[1]natural catastrophe'!$B$6:$B$17,0)),"?")))</f>
      </c>
      <c r="U304" s="46" t="inlineStr">
        <is>
          <t xml:space="preserve">2% of agreed value, minimum $10,000</t>
        </is>
      </c>
      <c r="V304" s="48" t="inlineStr">
        <is>
          <t xml:space="preserve">Agreed Value</t>
        </is>
      </c>
      <c r="W304" s="46" t="inlineStr">
        <is>
          <t xml:space="preserve">$1,000</t>
        </is>
      </c>
      <c r="X304" s="48" t="inlineStr">
        <is>
          <t xml:space="preserve">$1,000,000 CSL</t>
        </is>
      </c>
      <c r="Y304" s="46"/>
      <c r="Z304" s="46"/>
      <c r="AA304" s="48" t="inlineStr">
        <is>
          <t xml:space="preserve">Surplus Lines</t>
        </is>
      </c>
      <c r="AB304" s="50">
        <v>13723.76</v>
      </c>
      <c r="AC304" s="51">
        <v>0</v>
      </c>
      <c r="AD304" s="38">
        <f>IF(ISNUMBER($AB304),$AB304*(1+N($AC304)),"")</f>
      </c>
      <c r="AE304" s="50">
        <v>350</v>
      </c>
      <c r="AF304" s="50">
        <v>0</v>
      </c>
      <c r="AG304" s="51"/>
      <c r="AH304" s="39">
        <f>IF(ISNUMBER($AD304),($AD304+$AE304+$AF304)*$AG304,"")</f>
      </c>
      <c r="AI304" s="50"/>
      <c r="AJ304" s="38">
        <f>IF(ISNUMBER($AD304),SUM($AD304:$AH304),"")</f>
      </c>
      <c r="AK304" s="40">
        <f>IF(AND(ISNUMBER($AB304),ISNUMBER($AD304)),IF($AB304&gt;0,$AD304/$AB304,""),"")</f>
      </c>
      <c r="AL304" s="48" t="inlineStr">
        <is>
          <t xml:space="preserve">At technical</t>
        </is>
      </c>
      <c r="AM304" s="41">
        <f>IF(ISNUMBER($AD304),Header!$I$3,"")</f>
      </c>
      <c r="AN304" s="39">
        <f>IF(ISNUMBER($AD304),$AO304+$AP304,"")</f>
      </c>
      <c r="AO304" s="39">
        <f>IF(ISNUMBER($AD304),ROUND($AD304*Header!$K$3,2),"")</f>
      </c>
      <c r="AP304" s="39">
        <f>IF(ISNUMBER($AD304),ROUND($AD304*Header!$M$3,2),"")</f>
      </c>
      <c r="AQ304" s="38">
        <f>IF(ISNUMBER($AD304),ROUND($AD304,2)-$AO304-$AP304,"")</f>
      </c>
      <c r="AR304" s="39">
        <f>IF(ISNUMBER($AD304),IF(Header!$D$34="","?",$AD304*Header!$D$34),"")</f>
      </c>
      <c r="AS304" s="39">
        <f>IF(ISNUMBER($AB304),IF(Header!$D$34="","?",$AB304*Header!$D$34),"")</f>
      </c>
      <c r="AT304" s="42">
        <f>IF(AND(ISNUMBER($AB304),$M304&gt;0),$AB304/$M304*100,"")</f>
      </c>
      <c r="AU304" s="42">
        <f>IF(AND(ISNUMBER($AD304),$M304&gt;0),$AD304/$M304*100,"")</f>
      </c>
      <c r="AV304" s="40">
        <f>IF(AND(ISNUMBER($AB304),ISNUMBER($AD304),ABS($AB304)&gt;0),$AD304/$AB304,"")</f>
      </c>
      <c r="AW304" s="39">
        <f>IF(ISNUMBER($AD304),MAX(0,(1-0.55-Header!$O$3)*Header!$Q$3*$AQ304),"")</f>
      </c>
      <c r="AX304" s="43">
        <f>IF($A304="","",IF(TRIM(IF($A304="","Missing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",""))="","PASS","FAIL: "&amp;TRIM(IF($A304="","Missing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f>
      </c>
      <c r="AY304" s="44">
        <f>IF($M304="","",IF(ISNUMBER($M304),IF($M304&gt;=Header!$C$18,"YES — refer","No"),""))</f>
      </c>
      <c r="AZ304" s="44">
        <f>IF($AD304="","",IF(ISNUMBER($AD304),IF($AD304&lt;Header!$C$20,"BELOW MIN PREMIUM","OK"),""))</f>
      </c>
      <c r="BA304" s="48" t="inlineStr">
        <is>
          <t xml:space="preserve">Yes</t>
        </is>
      </c>
      <c r="BB304" s="48" t="inlineStr">
        <is>
          <t xml:space="preserve">Yes</t>
        </is>
      </c>
      <c r="BC304" s="46" t="inlineStr">
        <is>
          <t xml:space="preserve">Synthetic demo data</t>
        </is>
      </c>
      <c r="BE304" s="45">
        <f>IF(OR($A304="",$L304="",$H304=""),"",IF(AND(LEFT($L304,2)="06",$H304&gt;1945),"FAIL - pre-war class, year "&amp;$H304,IF(AND(LEFT($L304,2)="07",OR($H304&lt;1946,$H304&gt;1972)),"FAIL - 1946-72 class, year "&amp;$H304,IF(AND(LEFT($L304,2)="08",OR($H304&lt;1973,$H304&gt;1999)),"FAIL - 1973-99 class, year "&amp;$H304,IF(AND(LEFT($L304,2)="09",OR($H304&lt;2000,$H304&gt;2010)),"FAIL - 2000-10 class, year "&amp;$H304,"OK")))))</f>
      </c>
      <c r="BF304" s="45">
        <f>IF($AD304="","",IF(ROUND($AO304+$AP304+$AQ304-$AD304,2)=0,"OK","FAIL - out by "&amp;TEXT($AO304+$AP304+$AQ304-$AD304,"$0.00")))</f>
      </c>
    </row>
    <row r="305" spans="1:58" ht="18.75" customHeight="1" x14ac:dyDescent="0.25">
      <c r="A305" s="30" t="inlineStr">
        <is>
          <t xml:space="preserve">CANON-202606-008819</t>
        </is>
      </c>
      <c r="B305" s="30" t="inlineStr">
        <is>
          <t xml:space="preserve">Cassius Chattopadhyay</t>
        </is>
      </c>
      <c r="C305" s="31">
        <v>46196</v>
      </c>
      <c r="D305" s="32" t="inlineStr">
        <is>
          <t xml:space="preserve">Bound - within authority</t>
        </is>
      </c>
      <c r="E305" s="32" t="inlineStr">
        <is>
          <t xml:space="preserve">New business</t>
        </is>
      </c>
      <c r="F305" s="30" t="inlineStr">
        <is>
          <t xml:space="preserve">B1234EXOTIC26</t>
        </is>
      </c>
      <c r="G305" s="33">
        <f>IF($A305="","",IF($C305="","",YEAR($C305)))</f>
      </c>
      <c r="H305" s="34">
        <v>2013</v>
      </c>
      <c r="I305" s="30" t="inlineStr">
        <is>
          <t xml:space="preserve">Ferrari</t>
        </is>
      </c>
      <c r="J305" s="30" t="inlineStr">
        <is>
          <t xml:space="preserve">296 GTB</t>
        </is>
      </c>
      <c r="K305" s="30" t="inlineStr">
        <is>
          <t xml:space="preserve">A57MVA1LM38LS626B</t>
        </is>
      </c>
      <c r="L305" s="32" t="inlineStr">
        <is>
          <t xml:space="preserve">03 - Supercar</t>
        </is>
      </c>
      <c r="M305" s="35">
        <v>400000</v>
      </c>
      <c r="N305" s="32" t="inlineStr">
        <is>
          <t xml:space="preserve">Personal</t>
        </is>
      </c>
      <c r="O305" s="30" t="inlineStr">
        <is>
          <t xml:space="preserve">Personal - regular use</t>
        </is>
      </c>
      <c r="P305" s="30" t="inlineStr">
        <is>
          <t xml:space="preserve">1,000 - 2,500</t>
        </is>
      </c>
      <c r="Q305" s="30" t="inlineStr">
        <is>
          <t xml:space="preserve">Kansas</t>
        </is>
      </c>
      <c r="R305" s="30" t="inlineStr">
        <is>
          <t xml:space="preserve">66603</t>
        </is>
      </c>
      <c r="S305" s="32" t="inlineStr">
        <is>
          <t xml:space="preserve">Severe convective - hail alley (high)</t>
        </is>
      </c>
      <c r="T305" s="36">
        <f>IF($A305="","",IF($S305="","",IFERROR(INDEX('[1]natural catastrophe'!$D$6:$D$17,MATCH($S305,'[1]natural catastrophe'!$B$6:$B$17,0)),"?")))</f>
      </c>
      <c r="U305" s="30" t="inlineStr">
        <is>
          <t xml:space="preserve">$5,000</t>
        </is>
      </c>
      <c r="V305" s="32" t="inlineStr">
        <is>
          <t xml:space="preserve">Agreed Value</t>
        </is>
      </c>
      <c r="W305" s="30" t="inlineStr">
        <is>
          <t xml:space="preserve">$1,000</t>
        </is>
      </c>
      <c r="X305" s="32" t="inlineStr">
        <is>
          <t xml:space="preserve">$1,000,000 CSL</t>
        </is>
      </c>
      <c r="Y305" s="30"/>
      <c r="Z305" s="30"/>
      <c r="AA305" s="32" t="inlineStr">
        <is>
          <t xml:space="preserve">Surplus Lines</t>
        </is>
      </c>
      <c r="AB305" s="35">
        <v>6438.75</v>
      </c>
      <c r="AC305" s="37">
        <v>0</v>
      </c>
      <c r="AD305" s="38">
        <f>IF(ISNUMBER($AB305),$AB305*(1+N($AC305)),"")</f>
      </c>
      <c r="AE305" s="35">
        <v>350</v>
      </c>
      <c r="AF305" s="35">
        <v>0</v>
      </c>
      <c r="AG305" s="37"/>
      <c r="AH305" s="39">
        <f>IF(ISNUMBER($AD305),($AD305+$AE305+$AF305)*$AG305,"")</f>
      </c>
      <c r="AI305" s="35"/>
      <c r="AJ305" s="38">
        <f>IF(ISNUMBER($AD305),SUM($AD305:$AH305),"")</f>
      </c>
      <c r="AK305" s="40">
        <f>IF(AND(ISNUMBER($AB305),ISNUMBER($AD305)),IF($AB305&gt;0,$AD305/$AB305,""),"")</f>
      </c>
      <c r="AL305" s="32" t="inlineStr">
        <is>
          <t xml:space="preserve">At technical</t>
        </is>
      </c>
      <c r="AM305" s="41">
        <f>IF(ISNUMBER($AD305),Header!$I$3,"")</f>
      </c>
      <c r="AN305" s="39">
        <f>IF(ISNUMBER($AD305),$AO305+$AP305,"")</f>
      </c>
      <c r="AO305" s="39">
        <f>IF(ISNUMBER($AD305),ROUND($AD305*Header!$K$3,2),"")</f>
      </c>
      <c r="AP305" s="39">
        <f>IF(ISNUMBER($AD305),ROUND($AD305*Header!$M$3,2),"")</f>
      </c>
      <c r="AQ305" s="38">
        <f>IF(ISNUMBER($AD305),ROUND($AD305,2)-$AO305-$AP305,"")</f>
      </c>
      <c r="AR305" s="39">
        <f>IF(ISNUMBER($AD305),IF(Header!$D$34="","?",$AD305*Header!$D$34),"")</f>
      </c>
      <c r="AS305" s="39">
        <f>IF(ISNUMBER($AB305),IF(Header!$D$34="","?",$AB305*Header!$D$34),"")</f>
      </c>
      <c r="AT305" s="42">
        <f>IF(AND(ISNUMBER($AB305),$M305&gt;0),$AB305/$M305*100,"")</f>
      </c>
      <c r="AU305" s="42">
        <f>IF(AND(ISNUMBER($AD305),$M305&gt;0),$AD305/$M305*100,"")</f>
      </c>
      <c r="AV305" s="40">
        <f>IF(AND(ISNUMBER($AB305),ISNUMBER($AD305),ABS($AB305)&gt;0),$AD305/$AB305,"")</f>
      </c>
      <c r="AW305" s="39">
        <f>IF(ISNUMBER($AD305),MAX(0,(1-0.55-Header!$O$3)*Header!$Q$3*$AQ305),"")</f>
      </c>
      <c r="AX305" s="43">
        <f>IF($A305="","",IF(TRIM(IF($A305="","Missing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",""))="","PASS","FAIL: "&amp;TRIM(IF($A305="","Missing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f>
      </c>
      <c r="AY305" s="44">
        <f>IF($M305="","",IF(ISNUMBER($M305),IF($M305&gt;=Header!$C$18,"YES — refer","No"),""))</f>
      </c>
      <c r="AZ305" s="44">
        <f>IF($AD305="","",IF(ISNUMBER($AD305),IF($AD305&lt;Header!$C$20,"BELOW MIN PREMIUM","OK"),""))</f>
      </c>
      <c r="BA305" s="32" t="inlineStr">
        <is>
          <t xml:space="preserve">Yes</t>
        </is>
      </c>
      <c r="BB305" s="32" t="inlineStr">
        <is>
          <t xml:space="preserve">Yes</t>
        </is>
      </c>
      <c r="BC305" s="30" t="inlineStr">
        <is>
          <t xml:space="preserve">Synthetic demo data</t>
        </is>
      </c>
      <c r="BE305" s="45">
        <f>IF(OR($A305="",$L305="",$H305=""),"",IF(AND(LEFT($L305,2)="06",$H305&gt;1945),"FAIL - pre-war class, year "&amp;$H305,IF(AND(LEFT($L305,2)="07",OR($H305&lt;1946,$H305&gt;1972)),"FAIL - 1946-72 class, year "&amp;$H305,IF(AND(LEFT($L305,2)="08",OR($H305&lt;1973,$H305&gt;1999)),"FAIL - 1973-99 class, year "&amp;$H305,IF(AND(LEFT($L305,2)="09",OR($H305&lt;2000,$H305&gt;2010)),"FAIL - 2000-10 class, year "&amp;$H305,"OK")))))</f>
      </c>
      <c r="BF305" s="45">
        <f>IF($AD305="","",IF(ROUND($AO305+$AP305+$AQ305-$AD305,2)=0,"OK","FAIL - out by "&amp;TEXT($AO305+$AP305+$AQ305-$AD305,"$0.00")))</f>
      </c>
    </row>
    <row r="306" spans="1:58" ht="18.75" customHeight="1" x14ac:dyDescent="0.25">
      <c r="A306" s="46" t="inlineStr">
        <is>
          <t xml:space="preserve">CANON-202606-008820</t>
        </is>
      </c>
      <c r="B306" s="46" t="inlineStr">
        <is>
          <t xml:space="preserve">Anouk Whitlock</t>
        </is>
      </c>
      <c r="C306" s="47">
        <v>46175</v>
      </c>
      <c r="D306" s="48" t="inlineStr">
        <is>
          <t xml:space="preserve">Bound - within authority</t>
        </is>
      </c>
      <c r="E306" s="48" t="inlineStr">
        <is>
          <t xml:space="preserve">New business</t>
        </is>
      </c>
      <c r="F306" s="46" t="inlineStr">
        <is>
          <t xml:space="preserve">B1234EXOTIC26</t>
        </is>
      </c>
      <c r="G306" s="33">
        <f>IF($A306="","",IF($C306="","",YEAR($C306)))</f>
      </c>
      <c r="H306" s="49">
        <v>2021</v>
      </c>
      <c r="I306" s="46" t="inlineStr">
        <is>
          <t xml:space="preserve">Maserati</t>
        </is>
      </c>
      <c r="J306" s="46" t="inlineStr">
        <is>
          <t xml:space="preserve">GranTurismo</t>
        </is>
      </c>
      <c r="K306" s="46" t="inlineStr">
        <is>
          <t xml:space="preserve">11H639GG8N4Y8EHZL</t>
        </is>
      </c>
      <c r="L306" s="48" t="inlineStr">
        <is>
          <t xml:space="preserve">02 - Sports / GT</t>
        </is>
      </c>
      <c r="M306" s="50">
        <v>415000</v>
      </c>
      <c r="N306" s="48" t="inlineStr">
        <is>
          <t xml:space="preserve">Personal</t>
        </is>
      </c>
      <c r="O306" s="46" t="inlineStr">
        <is>
          <t xml:space="preserve">Personal - regular use</t>
        </is>
      </c>
      <c r="P306" s="46" t="inlineStr">
        <is>
          <t xml:space="preserve">1,000 - 2,500</t>
        </is>
      </c>
      <c r="Q306" s="46" t="inlineStr">
        <is>
          <t xml:space="preserve">Massachusetts</t>
        </is>
      </c>
      <c r="R306" s="46" t="inlineStr">
        <is>
          <t xml:space="preserve">02108</t>
        </is>
      </c>
      <c r="S306" s="48" t="inlineStr">
        <is>
          <t xml:space="preserve">Tier 3 - Coastal wind (25-100 miles)</t>
        </is>
      </c>
      <c r="T306" s="36">
        <f>IF($A306="","",IF($S306="","",IFERROR(INDEX('[1]natural catastrophe'!$D$6:$D$17,MATCH($S306,'[1]natural catastrophe'!$B$6:$B$17,0)),"?")))</f>
      </c>
      <c r="U306" s="46" t="inlineStr">
        <is>
          <t xml:space="preserve">2% of agreed value, minimum $10,000</t>
        </is>
      </c>
      <c r="V306" s="48" t="inlineStr">
        <is>
          <t xml:space="preserve">Agreed Value</t>
        </is>
      </c>
      <c r="W306" s="46" t="inlineStr">
        <is>
          <t xml:space="preserve">$1,000</t>
        </is>
      </c>
      <c r="X306" s="48" t="inlineStr">
        <is>
          <t xml:space="preserve">$1,000,000 CSL</t>
        </is>
      </c>
      <c r="Y306" s="46"/>
      <c r="Z306" s="46"/>
      <c r="AA306" s="48" t="inlineStr">
        <is>
          <t xml:space="preserve">Surplus Lines</t>
        </is>
      </c>
      <c r="AB306" s="50">
        <v>5614.24</v>
      </c>
      <c r="AC306" s="51">
        <v>0</v>
      </c>
      <c r="AD306" s="38">
        <f>IF(ISNUMBER($AB306),$AB306*(1+N($AC306)),"")</f>
      </c>
      <c r="AE306" s="50">
        <v>350</v>
      </c>
      <c r="AF306" s="50">
        <v>0</v>
      </c>
      <c r="AG306" s="51"/>
      <c r="AH306" s="39">
        <f>IF(ISNUMBER($AD306),($AD306+$AE306+$AF306)*$AG306,"")</f>
      </c>
      <c r="AI306" s="50"/>
      <c r="AJ306" s="38">
        <f>IF(ISNUMBER($AD306),SUM($AD306:$AH306),"")</f>
      </c>
      <c r="AK306" s="40">
        <f>IF(AND(ISNUMBER($AB306),ISNUMBER($AD306)),IF($AB306&gt;0,$AD306/$AB306,""),"")</f>
      </c>
      <c r="AL306" s="48" t="inlineStr">
        <is>
          <t xml:space="preserve">At technical</t>
        </is>
      </c>
      <c r="AM306" s="41">
        <f>IF(ISNUMBER($AD306),Header!$I$3,"")</f>
      </c>
      <c r="AN306" s="39">
        <f>IF(ISNUMBER($AD306),$AO306+$AP306,"")</f>
      </c>
      <c r="AO306" s="39">
        <f>IF(ISNUMBER($AD306),ROUND($AD306*Header!$K$3,2),"")</f>
      </c>
      <c r="AP306" s="39">
        <f>IF(ISNUMBER($AD306),ROUND($AD306*Header!$M$3,2),"")</f>
      </c>
      <c r="AQ306" s="38">
        <f>IF(ISNUMBER($AD306),ROUND($AD306,2)-$AO306-$AP306,"")</f>
      </c>
      <c r="AR306" s="39">
        <f>IF(ISNUMBER($AD306),IF(Header!$D$34="","?",$AD306*Header!$D$34),"")</f>
      </c>
      <c r="AS306" s="39">
        <f>IF(ISNUMBER($AB306),IF(Header!$D$34="","?",$AB306*Header!$D$34),"")</f>
      </c>
      <c r="AT306" s="42">
        <f>IF(AND(ISNUMBER($AB306),$M306&gt;0),$AB306/$M306*100,"")</f>
      </c>
      <c r="AU306" s="42">
        <f>IF(AND(ISNUMBER($AD306),$M306&gt;0),$AD306/$M306*100,"")</f>
      </c>
      <c r="AV306" s="40">
        <f>IF(AND(ISNUMBER($AB306),ISNUMBER($AD306),ABS($AB306)&gt;0),$AD306/$AB306,"")</f>
      </c>
      <c r="AW306" s="39">
        <f>IF(ISNUMBER($AD306),MAX(0,(1-0.55-Header!$O$3)*Header!$Q$3*$AQ306),"")</f>
      </c>
      <c r="AX306" s="43">
        <f>IF($A306="","",IF(TRIM(IF($A306="","Missing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",""))="","PASS","FAIL: "&amp;TRIM(IF($A306="","Missing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f>
      </c>
      <c r="AY306" s="44">
        <f>IF($M306="","",IF(ISNUMBER($M306),IF($M306&gt;=Header!$C$18,"YES — refer","No"),""))</f>
      </c>
      <c r="AZ306" s="44">
        <f>IF($AD306="","",IF(ISNUMBER($AD306),IF($AD306&lt;Header!$C$20,"BELOW MIN PREMIUM","OK"),""))</f>
      </c>
      <c r="BA306" s="48" t="inlineStr">
        <is>
          <t xml:space="preserve">Yes</t>
        </is>
      </c>
      <c r="BB306" s="48" t="inlineStr">
        <is>
          <t xml:space="preserve">Yes</t>
        </is>
      </c>
      <c r="BC306" s="46" t="inlineStr">
        <is>
          <t xml:space="preserve">Synthetic demo data</t>
        </is>
      </c>
      <c r="BE306" s="45">
        <f>IF(OR($A306="",$L306="",$H306=""),"",IF(AND(LEFT($L306,2)="06",$H306&gt;1945),"FAIL - pre-war class, year "&amp;$H306,IF(AND(LEFT($L306,2)="07",OR($H306&lt;1946,$H306&gt;1972)),"FAIL - 1946-72 class, year "&amp;$H306,IF(AND(LEFT($L306,2)="08",OR($H306&lt;1973,$H306&gt;1999)),"FAIL - 1973-99 class, year "&amp;$H306,IF(AND(LEFT($L306,2)="09",OR($H306&lt;2000,$H306&gt;2010)),"FAIL - 2000-10 class, year "&amp;$H306,"OK")))))</f>
      </c>
      <c r="BF306" s="45">
        <f>IF($AD306="","",IF(ROUND($AO306+$AP306+$AQ306-$AD306,2)=0,"OK","FAIL - out by "&amp;TEXT($AO306+$AP306+$AQ306-$AD306,"$0.00")))</f>
      </c>
    </row>
    <row r="307" spans="1:58" ht="18.75" customHeight="1" x14ac:dyDescent="0.25">
      <c r="A307" s="30" t="inlineStr">
        <is>
          <t xml:space="preserve">CANON-202606-008821</t>
        </is>
      </c>
      <c r="B307" s="30" t="inlineStr">
        <is>
          <t xml:space="preserve">Everett Chattopadhyay</t>
        </is>
      </c>
      <c r="C307" s="31">
        <v>46189</v>
      </c>
      <c r="D307" s="32" t="inlineStr">
        <is>
          <t xml:space="preserve">Bound - within authority</t>
        </is>
      </c>
      <c r="E307" s="32" t="inlineStr">
        <is>
          <t xml:space="preserve">New business</t>
        </is>
      </c>
      <c r="F307" s="30" t="inlineStr">
        <is>
          <t xml:space="preserve">B1234EXOTIC26</t>
        </is>
      </c>
      <c r="G307" s="33">
        <f>IF($A307="","",IF($C307="","",YEAR($C307)))</f>
      </c>
      <c r="H307" s="34">
        <v>1970</v>
      </c>
      <c r="I307" s="30" t="inlineStr">
        <is>
          <t xml:space="preserve">Ferrari</t>
        </is>
      </c>
      <c r="J307" s="30" t="inlineStr">
        <is>
          <t xml:space="preserve">296 GTB</t>
        </is>
      </c>
      <c r="K307" s="30" t="inlineStr">
        <is>
          <t xml:space="preserve">5LC56LTNUXANNJ07D</t>
        </is>
      </c>
      <c r="L307" s="32" t="inlineStr">
        <is>
          <t xml:space="preserve">03 - Supercar</t>
        </is>
      </c>
      <c r="M307" s="35">
        <v>500000</v>
      </c>
      <c r="N307" s="32" t="inlineStr">
        <is>
          <t xml:space="preserve">Personal</t>
        </is>
      </c>
      <c r="O307" s="30" t="inlineStr">
        <is>
          <t xml:space="preserve">Personal - regular use</t>
        </is>
      </c>
      <c r="P307" s="30" t="inlineStr">
        <is>
          <t xml:space="preserve">Under 1,000</t>
        </is>
      </c>
      <c r="Q307" s="30" t="inlineStr">
        <is>
          <t xml:space="preserve">Vermont</t>
        </is>
      </c>
      <c r="R307" s="30" t="inlineStr">
        <is>
          <t xml:space="preserve">05601</t>
        </is>
      </c>
      <c r="S307" s="32" t="inlineStr">
        <is>
          <t xml:space="preserve">Low hazard - inland benign</t>
        </is>
      </c>
      <c r="T307" s="36">
        <f>IF($A307="","",IF($S307="","",IFERROR(INDEX('[1]natural catastrophe'!$D$6:$D$17,MATCH($S307,'[1]natural catastrophe'!$B$6:$B$17,0)),"?")))</f>
      </c>
      <c r="U307" s="30" t="inlineStr">
        <is>
          <t xml:space="preserve">$5,000</t>
        </is>
      </c>
      <c r="V307" s="32" t="inlineStr">
        <is>
          <t xml:space="preserve">Agreed Value</t>
        </is>
      </c>
      <c r="W307" s="30" t="inlineStr">
        <is>
          <t xml:space="preserve">$1,000</t>
        </is>
      </c>
      <c r="X307" s="32" t="inlineStr">
        <is>
          <t xml:space="preserve">$1,000,000 CSL</t>
        </is>
      </c>
      <c r="Y307" s="30"/>
      <c r="Z307" s="30"/>
      <c r="AA307" s="32" t="inlineStr">
        <is>
          <t xml:space="preserve">Surplus Lines</t>
        </is>
      </c>
      <c r="AB307" s="35">
        <v>8362.29</v>
      </c>
      <c r="AC307" s="37">
        <v>0</v>
      </c>
      <c r="AD307" s="38">
        <f>IF(ISNUMBER($AB307),$AB307*(1+N($AC307)),"")</f>
      </c>
      <c r="AE307" s="35">
        <v>350</v>
      </c>
      <c r="AF307" s="35">
        <v>0</v>
      </c>
      <c r="AG307" s="37"/>
      <c r="AH307" s="39">
        <f>IF(ISNUMBER($AD307),($AD307+$AE307+$AF307)*$AG307,"")</f>
      </c>
      <c r="AI307" s="35"/>
      <c r="AJ307" s="38">
        <f>IF(ISNUMBER($AD307),SUM($AD307:$AH307),"")</f>
      </c>
      <c r="AK307" s="40">
        <f>IF(AND(ISNUMBER($AB307),ISNUMBER($AD307)),IF($AB307&gt;0,$AD307/$AB307,""),"")</f>
      </c>
      <c r="AL307" s="32" t="inlineStr">
        <is>
          <t xml:space="preserve">At technical</t>
        </is>
      </c>
      <c r="AM307" s="41">
        <f>IF(ISNUMBER($AD307),Header!$I$3,"")</f>
      </c>
      <c r="AN307" s="39">
        <f>IF(ISNUMBER($AD307),$AO307+$AP307,"")</f>
      </c>
      <c r="AO307" s="39">
        <f>IF(ISNUMBER($AD307),ROUND($AD307*Header!$K$3,2),"")</f>
      </c>
      <c r="AP307" s="39">
        <f>IF(ISNUMBER($AD307),ROUND($AD307*Header!$M$3,2),"")</f>
      </c>
      <c r="AQ307" s="38">
        <f>IF(ISNUMBER($AD307),ROUND($AD307,2)-$AO307-$AP307,"")</f>
      </c>
      <c r="AR307" s="39">
        <f>IF(ISNUMBER($AD307),IF(Header!$D$34="","?",$AD307*Header!$D$34),"")</f>
      </c>
      <c r="AS307" s="39">
        <f>IF(ISNUMBER($AB307),IF(Header!$D$34="","?",$AB307*Header!$D$34),"")</f>
      </c>
      <c r="AT307" s="42">
        <f>IF(AND(ISNUMBER($AB307),$M307&gt;0),$AB307/$M307*100,"")</f>
      </c>
      <c r="AU307" s="42">
        <f>IF(AND(ISNUMBER($AD307),$M307&gt;0),$AD307/$M307*100,"")</f>
      </c>
      <c r="AV307" s="40">
        <f>IF(AND(ISNUMBER($AB307),ISNUMBER($AD307),ABS($AB307)&gt;0),$AD307/$AB307,"")</f>
      </c>
      <c r="AW307" s="39">
        <f>IF(ISNUMBER($AD307),MAX(0,(1-0.55-Header!$O$3)*Header!$Q$3*$AQ307),"")</f>
      </c>
      <c r="AX307" s="43">
        <f>IF($A307="","",IF(TRIM(IF($A307="","Missing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",""))="","PASS","FAIL: "&amp;TRIM(IF($A307="","Missing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f>
      </c>
      <c r="AY307" s="44">
        <f>IF($M307="","",IF(ISNUMBER($M307),IF($M307&gt;=Header!$C$18,"YES — refer","No"),""))</f>
      </c>
      <c r="AZ307" s="44">
        <f>IF($AD307="","",IF(ISNUMBER($AD307),IF($AD307&lt;Header!$C$20,"BELOW MIN PREMIUM","OK"),""))</f>
      </c>
      <c r="BA307" s="32" t="inlineStr">
        <is>
          <t xml:space="preserve">Yes</t>
        </is>
      </c>
      <c r="BB307" s="32" t="inlineStr">
        <is>
          <t xml:space="preserve">Yes</t>
        </is>
      </c>
      <c r="BC307" s="30" t="inlineStr">
        <is>
          <t xml:space="preserve">Synthetic demo data</t>
        </is>
      </c>
      <c r="BE307" s="45">
        <f>IF(OR($A307="",$L307="",$H307=""),"",IF(AND(LEFT($L307,2)="06",$H307&gt;1945),"FAIL - pre-war class, year "&amp;$H307,IF(AND(LEFT($L307,2)="07",OR($H307&lt;1946,$H307&gt;1972)),"FAIL - 1946-72 class, year "&amp;$H307,IF(AND(LEFT($L307,2)="08",OR($H307&lt;1973,$H307&gt;1999)),"FAIL - 1973-99 class, year "&amp;$H307,IF(AND(LEFT($L307,2)="09",OR($H307&lt;2000,$H307&gt;2010)),"FAIL - 2000-10 class, year "&amp;$H307,"OK")))))</f>
      </c>
      <c r="BF307" s="45">
        <f>IF($AD307="","",IF(ROUND($AO307+$AP307+$AQ307-$AD307,2)=0,"OK","FAIL - out by "&amp;TEXT($AO307+$AP307+$AQ307-$AD307,"$0.00")))</f>
      </c>
    </row>
    <row r="308" spans="1:58" ht="18.75" customHeight="1" x14ac:dyDescent="0.25">
      <c r="A308" s="46" t="inlineStr">
        <is>
          <t xml:space="preserve">CANON-202606-008823</t>
        </is>
      </c>
      <c r="B308" s="46" t="inlineStr">
        <is>
          <t xml:space="preserve">Wilhelmina Nakashima</t>
        </is>
      </c>
      <c r="C308" s="47">
        <v>46186</v>
      </c>
      <c r="D308" s="48" t="inlineStr">
        <is>
          <t xml:space="preserve">Bound - within authority</t>
        </is>
      </c>
      <c r="E308" s="48" t="inlineStr">
        <is>
          <t xml:space="preserve">New business</t>
        </is>
      </c>
      <c r="F308" s="46" t="inlineStr">
        <is>
          <t xml:space="preserve">B1234EXOTIC26</t>
        </is>
      </c>
      <c r="G308" s="33">
        <f>IF($A308="","",IF($C308="","",YEAR($C308)))</f>
      </c>
      <c r="H308" s="49">
        <v>1995</v>
      </c>
      <c r="I308" s="46" t="inlineStr">
        <is>
          <t xml:space="preserve">Maserati</t>
        </is>
      </c>
      <c r="J308" s="46" t="inlineStr">
        <is>
          <t xml:space="preserve">GranTurismo</t>
        </is>
      </c>
      <c r="K308" s="46" t="inlineStr">
        <is>
          <t xml:space="preserve">3JFP3M3WE0BZNEX05</t>
        </is>
      </c>
      <c r="L308" s="48" t="inlineStr">
        <is>
          <t xml:space="preserve">02 - Sports / GT</t>
        </is>
      </c>
      <c r="M308" s="50">
        <v>390000</v>
      </c>
      <c r="N308" s="48" t="inlineStr">
        <is>
          <t xml:space="preserve">Personal</t>
        </is>
      </c>
      <c r="O308" s="46" t="inlineStr">
        <is>
          <t xml:space="preserve">Personal - regular use</t>
        </is>
      </c>
      <c r="P308" s="46" t="inlineStr">
        <is>
          <t xml:space="preserve">Under 1,000</t>
        </is>
      </c>
      <c r="Q308" s="46" t="inlineStr">
        <is>
          <t xml:space="preserve">Montana</t>
        </is>
      </c>
      <c r="R308" s="46" t="inlineStr">
        <is>
          <t xml:space="preserve">59601</t>
        </is>
      </c>
      <c r="S308" s="48" t="inlineStr">
        <is>
          <t xml:space="preserve">Wildfire - WUI high hazard</t>
        </is>
      </c>
      <c r="T308" s="36">
        <f>IF($A308="","",IF($S308="","",IFERROR(INDEX('[1]natural catastrophe'!$D$6:$D$17,MATCH($S308,'[1]natural catastrophe'!$B$6:$B$17,0)),"?")))</f>
      </c>
      <c r="U308" s="46" t="inlineStr">
        <is>
          <t xml:space="preserve">$5,000</t>
        </is>
      </c>
      <c r="V308" s="48" t="inlineStr">
        <is>
          <t xml:space="preserve">Agreed Value</t>
        </is>
      </c>
      <c r="W308" s="46" t="inlineStr">
        <is>
          <t xml:space="preserve">$1,000</t>
        </is>
      </c>
      <c r="X308" s="48" t="inlineStr">
        <is>
          <t xml:space="preserve">$1,000,000 CSL</t>
        </is>
      </c>
      <c r="Y308" s="46"/>
      <c r="Z308" s="46"/>
      <c r="AA308" s="48" t="inlineStr">
        <is>
          <t xml:space="preserve">Surplus Lines</t>
        </is>
      </c>
      <c r="AB308" s="50">
        <v>3925.37</v>
      </c>
      <c r="AC308" s="51">
        <v>0</v>
      </c>
      <c r="AD308" s="38">
        <f>IF(ISNUMBER($AB308),$AB308*(1+N($AC308)),"")</f>
      </c>
      <c r="AE308" s="50">
        <v>350</v>
      </c>
      <c r="AF308" s="50">
        <v>0</v>
      </c>
      <c r="AG308" s="51"/>
      <c r="AH308" s="39">
        <f>IF(ISNUMBER($AD308),($AD308+$AE308+$AF308)*$AG308,"")</f>
      </c>
      <c r="AI308" s="50"/>
      <c r="AJ308" s="38">
        <f>IF(ISNUMBER($AD308),SUM($AD308:$AH308),"")</f>
      </c>
      <c r="AK308" s="40">
        <f>IF(AND(ISNUMBER($AB308),ISNUMBER($AD308)),IF($AB308&gt;0,$AD308/$AB308,""),"")</f>
      </c>
      <c r="AL308" s="48" t="inlineStr">
        <is>
          <t xml:space="preserve">At technical</t>
        </is>
      </c>
      <c r="AM308" s="41">
        <f>IF(ISNUMBER($AD308),Header!$I$3,"")</f>
      </c>
      <c r="AN308" s="39">
        <f>IF(ISNUMBER($AD308),$AO308+$AP308,"")</f>
      </c>
      <c r="AO308" s="39">
        <f>IF(ISNUMBER($AD308),ROUND($AD308*Header!$K$3,2),"")</f>
      </c>
      <c r="AP308" s="39">
        <f>IF(ISNUMBER($AD308),ROUND($AD308*Header!$M$3,2),"")</f>
      </c>
      <c r="AQ308" s="38">
        <f>IF(ISNUMBER($AD308),ROUND($AD308,2)-$AO308-$AP308,"")</f>
      </c>
      <c r="AR308" s="39">
        <f>IF(ISNUMBER($AD308),IF(Header!$D$34="","?",$AD308*Header!$D$34),"")</f>
      </c>
      <c r="AS308" s="39">
        <f>IF(ISNUMBER($AB308),IF(Header!$D$34="","?",$AB308*Header!$D$34),"")</f>
      </c>
      <c r="AT308" s="42">
        <f>IF(AND(ISNUMBER($AB308),$M308&gt;0),$AB308/$M308*100,"")</f>
      </c>
      <c r="AU308" s="42">
        <f>IF(AND(ISNUMBER($AD308),$M308&gt;0),$AD308/$M308*100,"")</f>
      </c>
      <c r="AV308" s="40">
        <f>IF(AND(ISNUMBER($AB308),ISNUMBER($AD308),ABS($AB308)&gt;0),$AD308/$AB308,"")</f>
      </c>
      <c r="AW308" s="39">
        <f>IF(ISNUMBER($AD308),MAX(0,(1-0.55-Header!$O$3)*Header!$Q$3*$AQ308),"")</f>
      </c>
      <c r="AX308" s="43">
        <f>IF($A308="","",IF(TRIM(IF($A308="","Missing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",""))="","PASS","FAIL: "&amp;TRIM(IF($A308="","Missing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f>
      </c>
      <c r="AY308" s="44">
        <f>IF($M308="","",IF(ISNUMBER($M308),IF($M308&gt;=Header!$C$18,"YES — refer","No"),""))</f>
      </c>
      <c r="AZ308" s="44">
        <f>IF($AD308="","",IF(ISNUMBER($AD308),IF($AD308&lt;Header!$C$20,"BELOW MIN PREMIUM","OK"),""))</f>
      </c>
      <c r="BA308" s="48" t="inlineStr">
        <is>
          <t xml:space="preserve">Yes</t>
        </is>
      </c>
      <c r="BB308" s="48" t="inlineStr">
        <is>
          <t xml:space="preserve">Yes</t>
        </is>
      </c>
      <c r="BC308" s="46" t="inlineStr">
        <is>
          <t xml:space="preserve">Synthetic demo data</t>
        </is>
      </c>
      <c r="BE308" s="45">
        <f>IF(OR($A308="",$L308="",$H308=""),"",IF(AND(LEFT($L308,2)="06",$H308&gt;1945),"FAIL - pre-war class, year "&amp;$H308,IF(AND(LEFT($L308,2)="07",OR($H308&lt;1946,$H308&gt;1972)),"FAIL - 1946-72 class, year "&amp;$H308,IF(AND(LEFT($L308,2)="08",OR($H308&lt;1973,$H308&gt;1999)),"FAIL - 1973-99 class, year "&amp;$H308,IF(AND(LEFT($L308,2)="09",OR($H308&lt;2000,$H308&gt;2010)),"FAIL - 2000-10 class, year "&amp;$H308,"OK")))))</f>
      </c>
      <c r="BF308" s="45">
        <f>IF($AD308="","",IF(ROUND($AO308+$AP308+$AQ308-$AD308,2)=0,"OK","FAIL - out by "&amp;TEXT($AO308+$AP308+$AQ308-$AD308,"$0.00")))</f>
      </c>
    </row>
    <row r="309" spans="1:58" ht="18.75" customHeight="1" x14ac:dyDescent="0.25">
      <c r="A309" s="30" t="inlineStr">
        <is>
          <t xml:space="preserve">CANON-202606-008824</t>
        </is>
      </c>
      <c r="B309" s="30" t="inlineStr">
        <is>
          <t xml:space="preserve">Ottilie Kingsford</t>
        </is>
      </c>
      <c r="C309" s="31">
        <v>46189</v>
      </c>
      <c r="D309" s="32" t="inlineStr">
        <is>
          <t xml:space="preserve">Bound - within authority</t>
        </is>
      </c>
      <c r="E309" s="32" t="inlineStr">
        <is>
          <t xml:space="preserve">New business</t>
        </is>
      </c>
      <c r="F309" s="30" t="inlineStr">
        <is>
          <t xml:space="preserve">B1234EXOTIC26</t>
        </is>
      </c>
      <c r="G309" s="33">
        <f>IF($A309="","",IF($C309="","",YEAR($C309)))</f>
      </c>
      <c r="H309" s="34">
        <v>2014</v>
      </c>
      <c r="I309" s="30" t="inlineStr">
        <is>
          <t xml:space="preserve">Aston Martin</t>
        </is>
      </c>
      <c r="J309" s="30" t="inlineStr">
        <is>
          <t xml:space="preserve">DB12</t>
        </is>
      </c>
      <c r="K309" s="30" t="inlineStr">
        <is>
          <t xml:space="preserve">VWR68RNHFD9KM9NWG</t>
        </is>
      </c>
      <c r="L309" s="32" t="inlineStr">
        <is>
          <t xml:space="preserve">02 - Sports / GT</t>
        </is>
      </c>
      <c r="M309" s="35">
        <v>525000</v>
      </c>
      <c r="N309" s="32" t="inlineStr">
        <is>
          <t xml:space="preserve">Personal</t>
        </is>
      </c>
      <c r="O309" s="30" t="inlineStr">
        <is>
          <t xml:space="preserve">Personal - regular use</t>
        </is>
      </c>
      <c r="P309" s="30" t="inlineStr">
        <is>
          <t xml:space="preserve">1,000 - 2,500</t>
        </is>
      </c>
      <c r="Q309" s="30" t="inlineStr">
        <is>
          <t xml:space="preserve">New Jersey</t>
        </is>
      </c>
      <c r="R309" s="30" t="inlineStr">
        <is>
          <t xml:space="preserve">07102</t>
        </is>
      </c>
      <c r="S309" s="32" t="inlineStr">
        <is>
          <t xml:space="preserve">Tier 3 - Coastal wind (25-100 miles)</t>
        </is>
      </c>
      <c r="T309" s="36">
        <f>IF($A309="","",IF($S309="","",IFERROR(INDEX('[1]natural catastrophe'!$D$6:$D$17,MATCH($S309,'[1]natural catastrophe'!$B$6:$B$17,0)),"?")))</f>
      </c>
      <c r="U309" s="30" t="inlineStr">
        <is>
          <t xml:space="preserve">2% of agreed value, minimum $10,000</t>
        </is>
      </c>
      <c r="V309" s="32" t="inlineStr">
        <is>
          <t xml:space="preserve">Agreed Value</t>
        </is>
      </c>
      <c r="W309" s="30" t="inlineStr">
        <is>
          <t xml:space="preserve">$1,000</t>
        </is>
      </c>
      <c r="X309" s="32" t="inlineStr">
        <is>
          <t xml:space="preserve">$1,000,000 CSL</t>
        </is>
      </c>
      <c r="Y309" s="30"/>
      <c r="Z309" s="30"/>
      <c r="AA309" s="32" t="inlineStr">
        <is>
          <t xml:space="preserve">Surplus Lines</t>
        </is>
      </c>
      <c r="AB309" s="35">
        <v>4481.12</v>
      </c>
      <c r="AC309" s="37">
        <v>0</v>
      </c>
      <c r="AD309" s="38">
        <f>IF(ISNUMBER($AB309),$AB309*(1+N($AC309)),"")</f>
      </c>
      <c r="AE309" s="35">
        <v>350</v>
      </c>
      <c r="AF309" s="35">
        <v>0</v>
      </c>
      <c r="AG309" s="37"/>
      <c r="AH309" s="39">
        <f>IF(ISNUMBER($AD309),($AD309+$AE309+$AF309)*$AG309,"")</f>
      </c>
      <c r="AI309" s="35"/>
      <c r="AJ309" s="38">
        <f>IF(ISNUMBER($AD309),SUM($AD309:$AH309),"")</f>
      </c>
      <c r="AK309" s="40">
        <f>IF(AND(ISNUMBER($AB309),ISNUMBER($AD309)),IF($AB309&gt;0,$AD309/$AB309,""),"")</f>
      </c>
      <c r="AL309" s="32" t="inlineStr">
        <is>
          <t xml:space="preserve">At technical</t>
        </is>
      </c>
      <c r="AM309" s="41">
        <f>IF(ISNUMBER($AD309),Header!$I$3,"")</f>
      </c>
      <c r="AN309" s="39">
        <f>IF(ISNUMBER($AD309),$AO309+$AP309,"")</f>
      </c>
      <c r="AO309" s="39">
        <f>IF(ISNUMBER($AD309),ROUND($AD309*Header!$K$3,2),"")</f>
      </c>
      <c r="AP309" s="39">
        <f>IF(ISNUMBER($AD309),ROUND($AD309*Header!$M$3,2),"")</f>
      </c>
      <c r="AQ309" s="38">
        <f>IF(ISNUMBER($AD309),ROUND($AD309,2)-$AO309-$AP309,"")</f>
      </c>
      <c r="AR309" s="39">
        <f>IF(ISNUMBER($AD309),IF(Header!$D$34="","?",$AD309*Header!$D$34),"")</f>
      </c>
      <c r="AS309" s="39">
        <f>IF(ISNUMBER($AB309),IF(Header!$D$34="","?",$AB309*Header!$D$34),"")</f>
      </c>
      <c r="AT309" s="42">
        <f>IF(AND(ISNUMBER($AB309),$M309&gt;0),$AB309/$M309*100,"")</f>
      </c>
      <c r="AU309" s="42">
        <f>IF(AND(ISNUMBER($AD309),$M309&gt;0),$AD309/$M309*100,"")</f>
      </c>
      <c r="AV309" s="40">
        <f>IF(AND(ISNUMBER($AB309),ISNUMBER($AD309),ABS($AB309)&gt;0),$AD309/$AB309,"")</f>
      </c>
      <c r="AW309" s="39">
        <f>IF(ISNUMBER($AD309),MAX(0,(1-0.55-Header!$O$3)*Header!$Q$3*$AQ309),"")</f>
      </c>
      <c r="AX309" s="43">
        <f>IF($A309="","",IF(TRIM(IF($A309="","Missing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",""))="","PASS","FAIL: "&amp;TRIM(IF($A309="","Missing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f>
      </c>
      <c r="AY309" s="44">
        <f>IF($M309="","",IF(ISNUMBER($M309),IF($M309&gt;=Header!$C$18,"YES — refer","No"),""))</f>
      </c>
      <c r="AZ309" s="44">
        <f>IF($AD309="","",IF(ISNUMBER($AD309),IF($AD309&lt;Header!$C$20,"BELOW MIN PREMIUM","OK"),""))</f>
      </c>
      <c r="BA309" s="32" t="inlineStr">
        <is>
          <t xml:space="preserve">Yes</t>
        </is>
      </c>
      <c r="BB309" s="32" t="inlineStr">
        <is>
          <t xml:space="preserve">Yes</t>
        </is>
      </c>
      <c r="BC309" s="30" t="inlineStr">
        <is>
          <t xml:space="preserve">Synthetic demo data</t>
        </is>
      </c>
      <c r="BE309" s="45">
        <f>IF(OR($A309="",$L309="",$H309=""),"",IF(AND(LEFT($L309,2)="06",$H309&gt;1945),"FAIL - pre-war class, year "&amp;$H309,IF(AND(LEFT($L309,2)="07",OR($H309&lt;1946,$H309&gt;1972)),"FAIL - 1946-72 class, year "&amp;$H309,IF(AND(LEFT($L309,2)="08",OR($H309&lt;1973,$H309&gt;1999)),"FAIL - 1973-99 class, year "&amp;$H309,IF(AND(LEFT($L309,2)="09",OR($H309&lt;2000,$H309&gt;2010)),"FAIL - 2000-10 class, year "&amp;$H309,"OK")))))</f>
      </c>
      <c r="BF309" s="45">
        <f>IF($AD309="","",IF(ROUND($AO309+$AP309+$AQ309-$AD309,2)=0,"OK","FAIL - out by "&amp;TEXT($AO309+$AP309+$AQ309-$AD309,"$0.00")))</f>
      </c>
    </row>
    <row r="310" spans="1:58" ht="18.75" customHeight="1" x14ac:dyDescent="0.25">
      <c r="A310" s="46" t="inlineStr">
        <is>
          <t xml:space="preserve">CANON-202606-008825</t>
        </is>
      </c>
      <c r="B310" s="46" t="inlineStr">
        <is>
          <t xml:space="preserve">Ramona Fairweather</t>
        </is>
      </c>
      <c r="C310" s="47">
        <v>46179</v>
      </c>
      <c r="D310" s="48" t="inlineStr">
        <is>
          <t xml:space="preserve">Bound - within authority</t>
        </is>
      </c>
      <c r="E310" s="48" t="inlineStr">
        <is>
          <t xml:space="preserve">New business</t>
        </is>
      </c>
      <c r="F310" s="46" t="inlineStr">
        <is>
          <t xml:space="preserve">B1234EXOTIC26</t>
        </is>
      </c>
      <c r="G310" s="33">
        <f>IF($A310="","",IF($C310="","",YEAR($C310)))</f>
      </c>
      <c r="H310" s="49">
        <v>1962</v>
      </c>
      <c r="I310" s="46" t="inlineStr">
        <is>
          <t xml:space="preserve">Lamborghini</t>
        </is>
      </c>
      <c r="J310" s="46" t="inlineStr">
        <is>
          <t xml:space="preserve">Huracan EVO</t>
        </is>
      </c>
      <c r="K310" s="46" t="inlineStr">
        <is>
          <t xml:space="preserve">CX7ZK0YP2BCP6SZB7</t>
        </is>
      </c>
      <c r="L310" s="48" t="inlineStr">
        <is>
          <t xml:space="preserve">03 - Supercar</t>
        </is>
      </c>
      <c r="M310" s="50">
        <v>1260000</v>
      </c>
      <c r="N310" s="48" t="inlineStr">
        <is>
          <t xml:space="preserve">Personal</t>
        </is>
      </c>
      <c r="O310" s="46" t="inlineStr">
        <is>
          <t xml:space="preserve">Personal - regular use</t>
        </is>
      </c>
      <c r="P310" s="46" t="inlineStr">
        <is>
          <t xml:space="preserve">Under 1,000</t>
        </is>
      </c>
      <c r="Q310" s="46" t="inlineStr">
        <is>
          <t xml:space="preserve">Illinois</t>
        </is>
      </c>
      <c r="R310" s="46" t="inlineStr">
        <is>
          <t xml:space="preserve">60601</t>
        </is>
      </c>
      <c r="S310" s="48" t="inlineStr">
        <is>
          <t xml:space="preserve">Severe convective - hail / tornado (moderate)</t>
        </is>
      </c>
      <c r="T310" s="36">
        <f>IF($A310="","",IF($S310="","",IFERROR(INDEX('[1]natural catastrophe'!$D$6:$D$17,MATCH($S310,'[1]natural catastrophe'!$B$6:$B$17,0)),"?")))</f>
      </c>
      <c r="U310" s="46" t="inlineStr">
        <is>
          <t xml:space="preserve">$5,000</t>
        </is>
      </c>
      <c r="V310" s="48" t="inlineStr">
        <is>
          <t xml:space="preserve">Agreed Value</t>
        </is>
      </c>
      <c r="W310" s="46" t="inlineStr">
        <is>
          <t xml:space="preserve">$1,000</t>
        </is>
      </c>
      <c r="X310" s="48" t="inlineStr">
        <is>
          <t xml:space="preserve">$1,000,000 CSL</t>
        </is>
      </c>
      <c r="Y310" s="46"/>
      <c r="Z310" s="46"/>
      <c r="AA310" s="48" t="inlineStr">
        <is>
          <t xml:space="preserve">Surplus Lines</t>
        </is>
      </c>
      <c r="AB310" s="50">
        <v>19782.06</v>
      </c>
      <c r="AC310" s="51">
        <v>0</v>
      </c>
      <c r="AD310" s="38">
        <f>IF(ISNUMBER($AB310),$AB310*(1+N($AC310)),"")</f>
      </c>
      <c r="AE310" s="50">
        <v>350</v>
      </c>
      <c r="AF310" s="50">
        <v>250</v>
      </c>
      <c r="AG310" s="51"/>
      <c r="AH310" s="39">
        <f>IF(ISNUMBER($AD310),($AD310+$AE310+$AF310)*$AG310,"")</f>
      </c>
      <c r="AI310" s="50"/>
      <c r="AJ310" s="38">
        <f>IF(ISNUMBER($AD310),SUM($AD310:$AH310),"")</f>
      </c>
      <c r="AK310" s="40">
        <f>IF(AND(ISNUMBER($AB310),ISNUMBER($AD310)),IF($AB310&gt;0,$AD310/$AB310,""),"")</f>
      </c>
      <c r="AL310" s="48" t="inlineStr">
        <is>
          <t xml:space="preserve">At technical</t>
        </is>
      </c>
      <c r="AM310" s="41">
        <f>IF(ISNUMBER($AD310),Header!$I$3,"")</f>
      </c>
      <c r="AN310" s="39">
        <f>IF(ISNUMBER($AD310),$AO310+$AP310,"")</f>
      </c>
      <c r="AO310" s="39">
        <f>IF(ISNUMBER($AD310),ROUND($AD310*Header!$K$3,2),"")</f>
      </c>
      <c r="AP310" s="39">
        <f>IF(ISNUMBER($AD310),ROUND($AD310*Header!$M$3,2),"")</f>
      </c>
      <c r="AQ310" s="38">
        <f>IF(ISNUMBER($AD310),ROUND($AD310,2)-$AO310-$AP310,"")</f>
      </c>
      <c r="AR310" s="39">
        <f>IF(ISNUMBER($AD310),IF(Header!$D$34="","?",$AD310*Header!$D$34),"")</f>
      </c>
      <c r="AS310" s="39">
        <f>IF(ISNUMBER($AB310),IF(Header!$D$34="","?",$AB310*Header!$D$34),"")</f>
      </c>
      <c r="AT310" s="42">
        <f>IF(AND(ISNUMBER($AB310),$M310&gt;0),$AB310/$M310*100,"")</f>
      </c>
      <c r="AU310" s="42">
        <f>IF(AND(ISNUMBER($AD310),$M310&gt;0),$AD310/$M310*100,"")</f>
      </c>
      <c r="AV310" s="40">
        <f>IF(AND(ISNUMBER($AB310),ISNUMBER($AD310),ABS($AB310)&gt;0),$AD310/$AB310,"")</f>
      </c>
      <c r="AW310" s="39">
        <f>IF(ISNUMBER($AD310),MAX(0,(1-0.55-Header!$O$3)*Header!$Q$3*$AQ310),"")</f>
      </c>
      <c r="AX310" s="43">
        <f>IF($A310="","",IF(TRIM(IF($A310="","Missing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",""))="","PASS","FAIL: "&amp;TRIM(IF($A310="","Missing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f>
      </c>
      <c r="AY310" s="44">
        <f>IF($M310="","",IF(ISNUMBER($M310),IF($M310&gt;=Header!$C$18,"YES — refer","No"),""))</f>
      </c>
      <c r="AZ310" s="44">
        <f>IF($AD310="","",IF(ISNUMBER($AD310),IF($AD310&lt;Header!$C$20,"BELOW MIN PREMIUM","OK"),""))</f>
      </c>
      <c r="BA310" s="48" t="inlineStr">
        <is>
          <t xml:space="preserve">Yes</t>
        </is>
      </c>
      <c r="BB310" s="48" t="inlineStr">
        <is>
          <t xml:space="preserve">Yes</t>
        </is>
      </c>
      <c r="BC310" s="46" t="inlineStr">
        <is>
          <t xml:space="preserve">Synthetic demo data</t>
        </is>
      </c>
      <c r="BE310" s="45">
        <f>IF(OR($A310="",$L310="",$H310=""),"",IF(AND(LEFT($L310,2)="06",$H310&gt;1945),"FAIL - pre-war class, year "&amp;$H310,IF(AND(LEFT($L310,2)="07",OR($H310&lt;1946,$H310&gt;1972)),"FAIL - 1946-72 class, year "&amp;$H310,IF(AND(LEFT($L310,2)="08",OR($H310&lt;1973,$H310&gt;1999)),"FAIL - 1973-99 class, year "&amp;$H310,IF(AND(LEFT($L310,2)="09",OR($H310&lt;2000,$H310&gt;2010)),"FAIL - 2000-10 class, year "&amp;$H310,"OK")))))</f>
      </c>
      <c r="BF310" s="45">
        <f>IF($AD310="","",IF(ROUND($AO310+$AP310+$AQ310-$AD310,2)=0,"OK","FAIL - out by "&amp;TEXT($AO310+$AP310+$AQ310-$AD310,"$0.00")))</f>
      </c>
    </row>
    <row r="311" spans="1:58" ht="18.75" customHeight="1" x14ac:dyDescent="0.25">
      <c r="A311" s="30" t="inlineStr">
        <is>
          <t xml:space="preserve">CANON-202606-008827</t>
        </is>
      </c>
      <c r="B311" s="30" t="inlineStr">
        <is>
          <t xml:space="preserve">Marisol Fairweather</t>
        </is>
      </c>
      <c r="C311" s="31">
        <v>46199</v>
      </c>
      <c r="D311" s="32" t="inlineStr">
        <is>
          <t xml:space="preserve">Bound - within authority</t>
        </is>
      </c>
      <c r="E311" s="32" t="inlineStr">
        <is>
          <t xml:space="preserve">New business</t>
        </is>
      </c>
      <c r="F311" s="30" t="inlineStr">
        <is>
          <t xml:space="preserve">B1234EXOTIC26</t>
        </is>
      </c>
      <c r="G311" s="33">
        <f>IF($A311="","",IF($C311="","",YEAR($C311)))</f>
      </c>
      <c r="H311" s="34">
        <v>1983</v>
      </c>
      <c r="I311" s="30" t="inlineStr">
        <is>
          <t xml:space="preserve">Aston Martin</t>
        </is>
      </c>
      <c r="J311" s="30" t="inlineStr">
        <is>
          <t xml:space="preserve">DB5</t>
        </is>
      </c>
      <c r="K311" s="30" t="inlineStr">
        <is>
          <t xml:space="preserve">E3L1DTKZX2M34AV3T</t>
        </is>
      </c>
      <c r="L311" s="32" t="inlineStr">
        <is>
          <t xml:space="preserve">08 - Modern Classic (1973-1999)</t>
        </is>
      </c>
      <c r="M311" s="35">
        <v>960000</v>
      </c>
      <c r="N311" s="32" t="inlineStr">
        <is>
          <t xml:space="preserve">Personal</t>
        </is>
      </c>
      <c r="O311" s="30" t="inlineStr">
        <is>
          <t xml:space="preserve">Personal - regular use</t>
        </is>
      </c>
      <c r="P311" s="30" t="inlineStr">
        <is>
          <t xml:space="preserve">Under 1,000</t>
        </is>
      </c>
      <c r="Q311" s="30" t="inlineStr">
        <is>
          <t xml:space="preserve">Texas</t>
        </is>
      </c>
      <c r="R311" s="30" t="inlineStr">
        <is>
          <t xml:space="preserve">75201</t>
        </is>
      </c>
      <c r="S311" s="32" t="inlineStr">
        <is>
          <t xml:space="preserve">Tier 2 - Coastal wind (1-25 miles)</t>
        </is>
      </c>
      <c r="T311" s="36">
        <f>IF($A311="","",IF($S311="","",IFERROR(INDEX('[1]natural catastrophe'!$D$6:$D$17,MATCH($S311,'[1]natural catastrophe'!$B$6:$B$17,0)),"?")))</f>
      </c>
      <c r="U311" s="30" t="inlineStr">
        <is>
          <t xml:space="preserve">2% of agreed value, minimum $10,000</t>
        </is>
      </c>
      <c r="V311" s="32" t="inlineStr">
        <is>
          <t xml:space="preserve">Agreed Value</t>
        </is>
      </c>
      <c r="W311" s="30" t="inlineStr">
        <is>
          <t xml:space="preserve">$1,000</t>
        </is>
      </c>
      <c r="X311" s="32" t="inlineStr">
        <is>
          <t xml:space="preserve">$1,000,000 CSL</t>
        </is>
      </c>
      <c r="Y311" s="30"/>
      <c r="Z311" s="30"/>
      <c r="AA311" s="32" t="inlineStr">
        <is>
          <t xml:space="preserve">Surplus Lines</t>
        </is>
      </c>
      <c r="AB311" s="35">
        <v>6850.3</v>
      </c>
      <c r="AC311" s="37">
        <v>0</v>
      </c>
      <c r="AD311" s="38">
        <f>IF(ISNUMBER($AB311),$AB311*(1+N($AC311)),"")</f>
      </c>
      <c r="AE311" s="35">
        <v>350</v>
      </c>
      <c r="AF311" s="35">
        <v>0</v>
      </c>
      <c r="AG311" s="37"/>
      <c r="AH311" s="39">
        <f>IF(ISNUMBER($AD311),($AD311+$AE311+$AF311)*$AG311,"")</f>
      </c>
      <c r="AI311" s="35"/>
      <c r="AJ311" s="38">
        <f>IF(ISNUMBER($AD311),SUM($AD311:$AH311),"")</f>
      </c>
      <c r="AK311" s="40">
        <f>IF(AND(ISNUMBER($AB311),ISNUMBER($AD311)),IF($AB311&gt;0,$AD311/$AB311,""),"")</f>
      </c>
      <c r="AL311" s="32" t="inlineStr">
        <is>
          <t xml:space="preserve">At technical</t>
        </is>
      </c>
      <c r="AM311" s="41">
        <f>IF(ISNUMBER($AD311),Header!$I$3,"")</f>
      </c>
      <c r="AN311" s="39">
        <f>IF(ISNUMBER($AD311),$AO311+$AP311,"")</f>
      </c>
      <c r="AO311" s="39">
        <f>IF(ISNUMBER($AD311),ROUND($AD311*Header!$K$3,2),"")</f>
      </c>
      <c r="AP311" s="39">
        <f>IF(ISNUMBER($AD311),ROUND($AD311*Header!$M$3,2),"")</f>
      </c>
      <c r="AQ311" s="38">
        <f>IF(ISNUMBER($AD311),ROUND($AD311,2)-$AO311-$AP311,"")</f>
      </c>
      <c r="AR311" s="39">
        <f>IF(ISNUMBER($AD311),IF(Header!$D$34="","?",$AD311*Header!$D$34),"")</f>
      </c>
      <c r="AS311" s="39">
        <f>IF(ISNUMBER($AB311),IF(Header!$D$34="","?",$AB311*Header!$D$34),"")</f>
      </c>
      <c r="AT311" s="42">
        <f>IF(AND(ISNUMBER($AB311),$M311&gt;0),$AB311/$M311*100,"")</f>
      </c>
      <c r="AU311" s="42">
        <f>IF(AND(ISNUMBER($AD311),$M311&gt;0),$AD311/$M311*100,"")</f>
      </c>
      <c r="AV311" s="40">
        <f>IF(AND(ISNUMBER($AB311),ISNUMBER($AD311),ABS($AB311)&gt;0),$AD311/$AB311,"")</f>
      </c>
      <c r="AW311" s="39">
        <f>IF(ISNUMBER($AD311),MAX(0,(1-0.55-Header!$O$3)*Header!$Q$3*$AQ311),"")</f>
      </c>
      <c r="AX311" s="43">
        <f>IF($A311="","",IF(TRIM(IF($A311="","Missing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",""))="","PASS","FAIL: "&amp;TRIM(IF($A311="","Missing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f>
      </c>
      <c r="AY311" s="44">
        <f>IF($M311="","",IF(ISNUMBER($M311),IF($M311&gt;=Header!$C$18,"YES — refer","No"),""))</f>
      </c>
      <c r="AZ311" s="44">
        <f>IF($AD311="","",IF(ISNUMBER($AD311),IF($AD311&lt;Header!$C$20,"BELOW MIN PREMIUM","OK"),""))</f>
      </c>
      <c r="BA311" s="32" t="inlineStr">
        <is>
          <t xml:space="preserve">Yes</t>
        </is>
      </c>
      <c r="BB311" s="32" t="inlineStr">
        <is>
          <t xml:space="preserve">Yes</t>
        </is>
      </c>
      <c r="BC311" s="30" t="inlineStr">
        <is>
          <t xml:space="preserve">Synthetic demo data</t>
        </is>
      </c>
      <c r="BE311" s="45">
        <f>IF(OR($A311="",$L311="",$H311=""),"",IF(AND(LEFT($L311,2)="06",$H311&gt;1945),"FAIL - pre-war class, year "&amp;$H311,IF(AND(LEFT($L311,2)="07",OR($H311&lt;1946,$H311&gt;1972)),"FAIL - 1946-72 class, year "&amp;$H311,IF(AND(LEFT($L311,2)="08",OR($H311&lt;1973,$H311&gt;1999)),"FAIL - 1973-99 class, year "&amp;$H311,IF(AND(LEFT($L311,2)="09",OR($H311&lt;2000,$H311&gt;2010)),"FAIL - 2000-10 class, year "&amp;$H311,"OK")))))</f>
      </c>
      <c r="BF311" s="45">
        <f>IF($AD311="","",IF(ROUND($AO311+$AP311+$AQ311-$AD311,2)=0,"OK","FAIL - out by "&amp;TEXT($AO311+$AP311+$AQ311-$AD311,"$0.00")))</f>
      </c>
    </row>
    <row r="312" spans="1:58" ht="18.75" customHeight="1" x14ac:dyDescent="0.25">
      <c r="A312" s="46" t="inlineStr">
        <is>
          <t xml:space="preserve">CANON-202606-008828</t>
        </is>
      </c>
      <c r="B312" s="46" t="inlineStr">
        <is>
          <t xml:space="preserve">Horace Ashcombe</t>
        </is>
      </c>
      <c r="C312" s="47">
        <v>46179</v>
      </c>
      <c r="D312" s="48" t="inlineStr">
        <is>
          <t xml:space="preserve">Bound - within authority</t>
        </is>
      </c>
      <c r="E312" s="48" t="inlineStr">
        <is>
          <t xml:space="preserve">New business</t>
        </is>
      </c>
      <c r="F312" s="46" t="inlineStr">
        <is>
          <t xml:space="preserve">B1234EXOTIC26</t>
        </is>
      </c>
      <c r="G312" s="33">
        <f>IF($A312="","",IF($C312="","",YEAR($C312)))</f>
      </c>
      <c r="H312" s="49">
        <v>2022</v>
      </c>
      <c r="I312" s="46" t="inlineStr">
        <is>
          <t xml:space="preserve">Ferrari</t>
        </is>
      </c>
      <c r="J312" s="46" t="inlineStr">
        <is>
          <t xml:space="preserve">SF90 Stradale</t>
        </is>
      </c>
      <c r="K312" s="46" t="inlineStr">
        <is>
          <t xml:space="preserve">GJ46FNZJBX8XW37FS</t>
        </is>
      </c>
      <c r="L312" s="48" t="inlineStr">
        <is>
          <t xml:space="preserve">03 - Supercar</t>
        </is>
      </c>
      <c r="M312" s="50">
        <v>620000</v>
      </c>
      <c r="N312" s="48" t="inlineStr">
        <is>
          <t xml:space="preserve">Personal</t>
        </is>
      </c>
      <c r="O312" s="46" t="inlineStr">
        <is>
          <t xml:space="preserve">Personal - regular use</t>
        </is>
      </c>
      <c r="P312" s="46" t="inlineStr">
        <is>
          <t xml:space="preserve">2,500 - 5,000</t>
        </is>
      </c>
      <c r="Q312" s="46" t="inlineStr">
        <is>
          <t xml:space="preserve">Pennsylvania</t>
        </is>
      </c>
      <c r="R312" s="46" t="inlineStr">
        <is>
          <t xml:space="preserve">19103</t>
        </is>
      </c>
      <c r="S312" s="48" t="inlineStr">
        <is>
          <t xml:space="preserve">Low hazard - inland benign</t>
        </is>
      </c>
      <c r="T312" s="36">
        <f>IF($A312="","",IF($S312="","",IFERROR(INDEX('[1]natural catastrophe'!$D$6:$D$17,MATCH($S312,'[1]natural catastrophe'!$B$6:$B$17,0)),"?")))</f>
      </c>
      <c r="U312" s="46" t="inlineStr">
        <is>
          <t xml:space="preserve">$5,000</t>
        </is>
      </c>
      <c r="V312" s="48" t="inlineStr">
        <is>
          <t xml:space="preserve">Agreed Value</t>
        </is>
      </c>
      <c r="W312" s="46" t="inlineStr">
        <is>
          <t xml:space="preserve">$1,000</t>
        </is>
      </c>
      <c r="X312" s="48" t="inlineStr">
        <is>
          <t xml:space="preserve">$1,000,000 CSL</t>
        </is>
      </c>
      <c r="Y312" s="46"/>
      <c r="Z312" s="46"/>
      <c r="AA312" s="48" t="inlineStr">
        <is>
          <t xml:space="preserve">Surplus Lines</t>
        </is>
      </c>
      <c r="AB312" s="50">
        <v>8499.38</v>
      </c>
      <c r="AC312" s="51">
        <v>0</v>
      </c>
      <c r="AD312" s="38">
        <f>IF(ISNUMBER($AB312),$AB312*(1+N($AC312)),"")</f>
      </c>
      <c r="AE312" s="50">
        <v>350</v>
      </c>
      <c r="AF312" s="50">
        <v>0</v>
      </c>
      <c r="AG312" s="51"/>
      <c r="AH312" s="39">
        <f>IF(ISNUMBER($AD312),($AD312+$AE312+$AF312)*$AG312,"")</f>
      </c>
      <c r="AI312" s="50"/>
      <c r="AJ312" s="38">
        <f>IF(ISNUMBER($AD312),SUM($AD312:$AH312),"")</f>
      </c>
      <c r="AK312" s="40">
        <f>IF(AND(ISNUMBER($AB312),ISNUMBER($AD312)),IF($AB312&gt;0,$AD312/$AB312,""),"")</f>
      </c>
      <c r="AL312" s="48" t="inlineStr">
        <is>
          <t xml:space="preserve">At technical</t>
        </is>
      </c>
      <c r="AM312" s="41">
        <f>IF(ISNUMBER($AD312),Header!$I$3,"")</f>
      </c>
      <c r="AN312" s="39">
        <f>IF(ISNUMBER($AD312),$AO312+$AP312,"")</f>
      </c>
      <c r="AO312" s="39">
        <f>IF(ISNUMBER($AD312),ROUND($AD312*Header!$K$3,2),"")</f>
      </c>
      <c r="AP312" s="39">
        <f>IF(ISNUMBER($AD312),ROUND($AD312*Header!$M$3,2),"")</f>
      </c>
      <c r="AQ312" s="38">
        <f>IF(ISNUMBER($AD312),ROUND($AD312,2)-$AO312-$AP312,"")</f>
      </c>
      <c r="AR312" s="39">
        <f>IF(ISNUMBER($AD312),IF(Header!$D$34="","?",$AD312*Header!$D$34),"")</f>
      </c>
      <c r="AS312" s="39">
        <f>IF(ISNUMBER($AB312),IF(Header!$D$34="","?",$AB312*Header!$D$34),"")</f>
      </c>
      <c r="AT312" s="42">
        <f>IF(AND(ISNUMBER($AB312),$M312&gt;0),$AB312/$M312*100,"")</f>
      </c>
      <c r="AU312" s="42">
        <f>IF(AND(ISNUMBER($AD312),$M312&gt;0),$AD312/$M312*100,"")</f>
      </c>
      <c r="AV312" s="40">
        <f>IF(AND(ISNUMBER($AB312),ISNUMBER($AD312),ABS($AB312)&gt;0),$AD312/$AB312,"")</f>
      </c>
      <c r="AW312" s="39">
        <f>IF(ISNUMBER($AD312),MAX(0,(1-0.55-Header!$O$3)*Header!$Q$3*$AQ312),"")</f>
      </c>
      <c r="AX312" s="43">
        <f>IF($A312="","",IF(TRIM(IF($A312="","Missing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",""))="","PASS","FAIL: "&amp;TRIM(IF($A312="","Missing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f>
      </c>
      <c r="AY312" s="44">
        <f>IF($M312="","",IF(ISNUMBER($M312),IF($M312&gt;=Header!$C$18,"YES — refer","No"),""))</f>
      </c>
      <c r="AZ312" s="44">
        <f>IF($AD312="","",IF(ISNUMBER($AD312),IF($AD312&lt;Header!$C$20,"BELOW MIN PREMIUM","OK"),""))</f>
      </c>
      <c r="BA312" s="48" t="inlineStr">
        <is>
          <t xml:space="preserve">Yes</t>
        </is>
      </c>
      <c r="BB312" s="48" t="inlineStr">
        <is>
          <t xml:space="preserve">Yes</t>
        </is>
      </c>
      <c r="BC312" s="46" t="inlineStr">
        <is>
          <t xml:space="preserve">Synthetic demo data</t>
        </is>
      </c>
      <c r="BE312" s="45">
        <f>IF(OR($A312="",$L312="",$H312=""),"",IF(AND(LEFT($L312,2)="06",$H312&gt;1945),"FAIL - pre-war class, year "&amp;$H312,IF(AND(LEFT($L312,2)="07",OR($H312&lt;1946,$H312&gt;1972)),"FAIL - 1946-72 class, year "&amp;$H312,IF(AND(LEFT($L312,2)="08",OR($H312&lt;1973,$H312&gt;1999)),"FAIL - 1973-99 class, year "&amp;$H312,IF(AND(LEFT($L312,2)="09",OR($H312&lt;2000,$H312&gt;2010)),"FAIL - 2000-10 class, year "&amp;$H312,"OK")))))</f>
      </c>
      <c r="BF312" s="45">
        <f>IF($AD312="","",IF(ROUND($AO312+$AP312+$AQ312-$AD312,2)=0,"OK","FAIL - out by "&amp;TEXT($AO312+$AP312+$AQ312-$AD312,"$0.00")))</f>
      </c>
    </row>
    <row r="313" spans="1:58" ht="18.75" customHeight="1" x14ac:dyDescent="0.25">
      <c r="A313" s="30" t="inlineStr">
        <is>
          <t xml:space="preserve">CANON-202606-008830</t>
        </is>
      </c>
      <c r="B313" s="30" t="inlineStr">
        <is>
          <t xml:space="preserve">Leopold Farkas</t>
        </is>
      </c>
      <c r="C313" s="31">
        <v>46175</v>
      </c>
      <c r="D313" s="32" t="inlineStr">
        <is>
          <t xml:space="preserve">Bound - within authority</t>
        </is>
      </c>
      <c r="E313" s="32" t="inlineStr">
        <is>
          <t xml:space="preserve">New business</t>
        </is>
      </c>
      <c r="F313" s="30" t="inlineStr">
        <is>
          <t xml:space="preserve">B1234EXOTIC26</t>
        </is>
      </c>
      <c r="G313" s="33">
        <f>IF($A313="","",IF($C313="","",YEAR($C313)))</f>
      </c>
      <c r="H313" s="34">
        <v>2015</v>
      </c>
      <c r="I313" s="30" t="inlineStr">
        <is>
          <t xml:space="preserve">Mercedes-Benz</t>
        </is>
      </c>
      <c r="J313" s="30" t="inlineStr">
        <is>
          <t xml:space="preserve">280SL Pagoda</t>
        </is>
      </c>
      <c r="K313" s="30" t="inlineStr">
        <is>
          <t xml:space="preserve">H6ARRGBZWBLYS994W</t>
        </is>
      </c>
      <c r="L313" s="32" t="inlineStr">
        <is>
          <t xml:space="preserve">02 - Sports / GT</t>
        </is>
      </c>
      <c r="M313" s="35">
        <v>1795000</v>
      </c>
      <c r="N313" s="32" t="inlineStr">
        <is>
          <t xml:space="preserve">Personal</t>
        </is>
      </c>
      <c r="O313" s="30" t="inlineStr">
        <is>
          <t xml:space="preserve">Personal - regular use</t>
        </is>
      </c>
      <c r="P313" s="30" t="inlineStr">
        <is>
          <t xml:space="preserve">2,500 - 5,000</t>
        </is>
      </c>
      <c r="Q313" s="30" t="inlineStr">
        <is>
          <t xml:space="preserve">Idaho</t>
        </is>
      </c>
      <c r="R313" s="30" t="inlineStr">
        <is>
          <t xml:space="preserve">83702</t>
        </is>
      </c>
      <c r="S313" s="32" t="inlineStr">
        <is>
          <t xml:space="preserve">Wildfire - WUI high hazard</t>
        </is>
      </c>
      <c r="T313" s="36">
        <f>IF($A313="","",IF($S313="","",IFERROR(INDEX('[1]natural catastrophe'!$D$6:$D$17,MATCH($S313,'[1]natural catastrophe'!$B$6:$B$17,0)),"?")))</f>
      </c>
      <c r="U313" s="30" t="inlineStr">
        <is>
          <t xml:space="preserve">$5,000</t>
        </is>
      </c>
      <c r="V313" s="32" t="inlineStr">
        <is>
          <t xml:space="preserve">Agreed Value</t>
        </is>
      </c>
      <c r="W313" s="30" t="inlineStr">
        <is>
          <t xml:space="preserve">$1,000</t>
        </is>
      </c>
      <c r="X313" s="32" t="inlineStr">
        <is>
          <t xml:space="preserve">$1,000,000 CSL</t>
        </is>
      </c>
      <c r="Y313" s="30"/>
      <c r="Z313" s="30"/>
      <c r="AA313" s="32" t="inlineStr">
        <is>
          <t xml:space="preserve">Surplus Lines</t>
        </is>
      </c>
      <c r="AB313" s="35">
        <v>9744.4</v>
      </c>
      <c r="AC313" s="37">
        <v>0</v>
      </c>
      <c r="AD313" s="38">
        <f>IF(ISNUMBER($AB313),$AB313*(1+N($AC313)),"")</f>
      </c>
      <c r="AE313" s="35">
        <v>350</v>
      </c>
      <c r="AF313" s="35">
        <v>250</v>
      </c>
      <c r="AG313" s="37"/>
      <c r="AH313" s="39">
        <f>IF(ISNUMBER($AD313),($AD313+$AE313+$AF313)*$AG313,"")</f>
      </c>
      <c r="AI313" s="35"/>
      <c r="AJ313" s="38">
        <f>IF(ISNUMBER($AD313),SUM($AD313:$AH313),"")</f>
      </c>
      <c r="AK313" s="40">
        <f>IF(AND(ISNUMBER($AB313),ISNUMBER($AD313)),IF($AB313&gt;0,$AD313/$AB313,""),"")</f>
      </c>
      <c r="AL313" s="32" t="inlineStr">
        <is>
          <t xml:space="preserve">At technical</t>
        </is>
      </c>
      <c r="AM313" s="41">
        <f>IF(ISNUMBER($AD313),Header!$I$3,"")</f>
      </c>
      <c r="AN313" s="39">
        <f>IF(ISNUMBER($AD313),$AO313+$AP313,"")</f>
      </c>
      <c r="AO313" s="39">
        <f>IF(ISNUMBER($AD313),ROUND($AD313*Header!$K$3,2),"")</f>
      </c>
      <c r="AP313" s="39">
        <f>IF(ISNUMBER($AD313),ROUND($AD313*Header!$M$3,2),"")</f>
      </c>
      <c r="AQ313" s="38">
        <f>IF(ISNUMBER($AD313),ROUND($AD313,2)-$AO313-$AP313,"")</f>
      </c>
      <c r="AR313" s="39">
        <f>IF(ISNUMBER($AD313),IF(Header!$D$34="","?",$AD313*Header!$D$34),"")</f>
      </c>
      <c r="AS313" s="39">
        <f>IF(ISNUMBER($AB313),IF(Header!$D$34="","?",$AB313*Header!$D$34),"")</f>
      </c>
      <c r="AT313" s="42">
        <f>IF(AND(ISNUMBER($AB313),$M313&gt;0),$AB313/$M313*100,"")</f>
      </c>
      <c r="AU313" s="42">
        <f>IF(AND(ISNUMBER($AD313),$M313&gt;0),$AD313/$M313*100,"")</f>
      </c>
      <c r="AV313" s="40">
        <f>IF(AND(ISNUMBER($AB313),ISNUMBER($AD313),ABS($AB313)&gt;0),$AD313/$AB313,"")</f>
      </c>
      <c r="AW313" s="39">
        <f>IF(ISNUMBER($AD313),MAX(0,(1-0.55-Header!$O$3)*Header!$Q$3*$AQ313),"")</f>
      </c>
      <c r="AX313" s="43">
        <f>IF($A313="","",IF(TRIM(IF($A313="","Missing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",""))="","PASS","FAIL: "&amp;TRIM(IF($A313="","Missing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f>
      </c>
      <c r="AY313" s="44">
        <f>IF($M313="","",IF(ISNUMBER($M313),IF($M313&gt;=Header!$C$18,"YES — refer","No"),""))</f>
      </c>
      <c r="AZ313" s="44">
        <f>IF($AD313="","",IF(ISNUMBER($AD313),IF($AD313&lt;Header!$C$20,"BELOW MIN PREMIUM","OK"),""))</f>
      </c>
      <c r="BA313" s="32" t="inlineStr">
        <is>
          <t xml:space="preserve">Yes</t>
        </is>
      </c>
      <c r="BB313" s="32" t="inlineStr">
        <is>
          <t xml:space="preserve">Yes</t>
        </is>
      </c>
      <c r="BC313" s="30" t="inlineStr">
        <is>
          <t xml:space="preserve">Synthetic demo data</t>
        </is>
      </c>
      <c r="BE313" s="45">
        <f>IF(OR($A313="",$L313="",$H313=""),"",IF(AND(LEFT($L313,2)="06",$H313&gt;1945),"FAIL - pre-war class, year "&amp;$H313,IF(AND(LEFT($L313,2)="07",OR($H313&lt;1946,$H313&gt;1972)),"FAIL - 1946-72 class, year "&amp;$H313,IF(AND(LEFT($L313,2)="08",OR($H313&lt;1973,$H313&gt;1999)),"FAIL - 1973-99 class, year "&amp;$H313,IF(AND(LEFT($L313,2)="09",OR($H313&lt;2000,$H313&gt;2010)),"FAIL - 2000-10 class, year "&amp;$H313,"OK")))))</f>
      </c>
      <c r="BF313" s="45">
        <f>IF($AD313="","",IF(ROUND($AO313+$AP313+$AQ313-$AD313,2)=0,"OK","FAIL - out by "&amp;TEXT($AO313+$AP313+$AQ313-$AD313,"$0.00")))</f>
      </c>
    </row>
    <row r="314" spans="1:58" ht="18.75" customHeight="1" x14ac:dyDescent="0.25">
      <c r="A314" s="46" t="inlineStr">
        <is>
          <t xml:space="preserve">CANON-202606-008831</t>
        </is>
      </c>
      <c r="B314" s="46" t="inlineStr">
        <is>
          <t xml:space="preserve">Saoirse Montoya</t>
        </is>
      </c>
      <c r="C314" s="47">
        <v>46191</v>
      </c>
      <c r="D314" s="48" t="inlineStr">
        <is>
          <t xml:space="preserve">Bound - within authority</t>
        </is>
      </c>
      <c r="E314" s="48" t="inlineStr">
        <is>
          <t xml:space="preserve">New business</t>
        </is>
      </c>
      <c r="F314" s="46" t="inlineStr">
        <is>
          <t xml:space="preserve">B1234EXOTIC26</t>
        </is>
      </c>
      <c r="G314" s="33">
        <f>IF($A314="","",IF($C314="","",YEAR($C314)))</f>
      </c>
      <c r="H314" s="49">
        <v>1988</v>
      </c>
      <c r="I314" s="46" t="inlineStr">
        <is>
          <t xml:space="preserve">Ferrari</t>
        </is>
      </c>
      <c r="J314" s="46" t="inlineStr">
        <is>
          <t xml:space="preserve">275 GTB/4</t>
        </is>
      </c>
      <c r="K314" s="46" t="inlineStr">
        <is>
          <t xml:space="preserve">5HZRB1T3S58K076JZ</t>
        </is>
      </c>
      <c r="L314" s="48" t="inlineStr">
        <is>
          <t xml:space="preserve">08 - Modern Classic (1973-1999)</t>
        </is>
      </c>
      <c r="M314" s="50">
        <v>1950000</v>
      </c>
      <c r="N314" s="48" t="inlineStr">
        <is>
          <t xml:space="preserve">Personal</t>
        </is>
      </c>
      <c r="O314" s="46" t="inlineStr">
        <is>
          <t xml:space="preserve">Personal - regular use</t>
        </is>
      </c>
      <c r="P314" s="46" t="inlineStr">
        <is>
          <t xml:space="preserve">2,500 - 5,000</t>
        </is>
      </c>
      <c r="Q314" s="46" t="inlineStr">
        <is>
          <t xml:space="preserve">Michigan</t>
        </is>
      </c>
      <c r="R314" s="46" t="inlineStr">
        <is>
          <t xml:space="preserve">48226</t>
        </is>
      </c>
      <c r="S314" s="48" t="inlineStr">
        <is>
          <t xml:space="preserve">Severe convective - hail / tornado (moderate)</t>
        </is>
      </c>
      <c r="T314" s="36">
        <f>IF($A314="","",IF($S314="","",IFERROR(INDEX('[1]natural catastrophe'!$D$6:$D$17,MATCH($S314,'[1]natural catastrophe'!$B$6:$B$17,0)),"?")))</f>
      </c>
      <c r="U314" s="46" t="inlineStr">
        <is>
          <t xml:space="preserve">$5,000</t>
        </is>
      </c>
      <c r="V314" s="48" t="inlineStr">
        <is>
          <t xml:space="preserve">Agreed Value</t>
        </is>
      </c>
      <c r="W314" s="46" t="inlineStr">
        <is>
          <t xml:space="preserve">$1,000</t>
        </is>
      </c>
      <c r="X314" s="48" t="inlineStr">
        <is>
          <t xml:space="preserve">$1,000,000 CSL</t>
        </is>
      </c>
      <c r="Y314" s="46"/>
      <c r="Z314" s="46"/>
      <c r="AA314" s="48" t="inlineStr">
        <is>
          <t xml:space="preserve">Surplus Lines</t>
        </is>
      </c>
      <c r="AB314" s="50">
        <v>16573.79</v>
      </c>
      <c r="AC314" s="51">
        <v>0</v>
      </c>
      <c r="AD314" s="38">
        <f>IF(ISNUMBER($AB314),$AB314*(1+N($AC314)),"")</f>
      </c>
      <c r="AE314" s="50">
        <v>350</v>
      </c>
      <c r="AF314" s="50">
        <v>250</v>
      </c>
      <c r="AG314" s="51"/>
      <c r="AH314" s="39">
        <f>IF(ISNUMBER($AD314),($AD314+$AE314+$AF314)*$AG314,"")</f>
      </c>
      <c r="AI314" s="50"/>
      <c r="AJ314" s="38">
        <f>IF(ISNUMBER($AD314),SUM($AD314:$AH314),"")</f>
      </c>
      <c r="AK314" s="40">
        <f>IF(AND(ISNUMBER($AB314),ISNUMBER($AD314)),IF($AB314&gt;0,$AD314/$AB314,""),"")</f>
      </c>
      <c r="AL314" s="48" t="inlineStr">
        <is>
          <t xml:space="preserve">At technical</t>
        </is>
      </c>
      <c r="AM314" s="41">
        <f>IF(ISNUMBER($AD314),Header!$I$3,"")</f>
      </c>
      <c r="AN314" s="39">
        <f>IF(ISNUMBER($AD314),$AO314+$AP314,"")</f>
      </c>
      <c r="AO314" s="39">
        <f>IF(ISNUMBER($AD314),ROUND($AD314*Header!$K$3,2),"")</f>
      </c>
      <c r="AP314" s="39">
        <f>IF(ISNUMBER($AD314),ROUND($AD314*Header!$M$3,2),"")</f>
      </c>
      <c r="AQ314" s="38">
        <f>IF(ISNUMBER($AD314),ROUND($AD314,2)-$AO314-$AP314,"")</f>
      </c>
      <c r="AR314" s="39">
        <f>IF(ISNUMBER($AD314),IF(Header!$D$34="","?",$AD314*Header!$D$34),"")</f>
      </c>
      <c r="AS314" s="39">
        <f>IF(ISNUMBER($AB314),IF(Header!$D$34="","?",$AB314*Header!$D$34),"")</f>
      </c>
      <c r="AT314" s="42">
        <f>IF(AND(ISNUMBER($AB314),$M314&gt;0),$AB314/$M314*100,"")</f>
      </c>
      <c r="AU314" s="42">
        <f>IF(AND(ISNUMBER($AD314),$M314&gt;0),$AD314/$M314*100,"")</f>
      </c>
      <c r="AV314" s="40">
        <f>IF(AND(ISNUMBER($AB314),ISNUMBER($AD314),ABS($AB314)&gt;0),$AD314/$AB314,"")</f>
      </c>
      <c r="AW314" s="39">
        <f>IF(ISNUMBER($AD314),MAX(0,(1-0.55-Header!$O$3)*Header!$Q$3*$AQ314),"")</f>
      </c>
      <c r="AX314" s="43">
        <f>IF($A314="","",IF(TRIM(IF($A314="","Missing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",""))="","PASS","FAIL: "&amp;TRIM(IF($A314="","Missing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f>
      </c>
      <c r="AY314" s="44">
        <f>IF($M314="","",IF(ISNUMBER($M314),IF($M314&gt;=Header!$C$18,"YES — refer","No"),""))</f>
      </c>
      <c r="AZ314" s="44">
        <f>IF($AD314="","",IF(ISNUMBER($AD314),IF($AD314&lt;Header!$C$20,"BELOW MIN PREMIUM","OK"),""))</f>
      </c>
      <c r="BA314" s="48" t="inlineStr">
        <is>
          <t xml:space="preserve">Yes</t>
        </is>
      </c>
      <c r="BB314" s="48" t="inlineStr">
        <is>
          <t xml:space="preserve">Yes</t>
        </is>
      </c>
      <c r="BC314" s="46" t="inlineStr">
        <is>
          <t xml:space="preserve">Synthetic demo data</t>
        </is>
      </c>
      <c r="BE314" s="45">
        <f>IF(OR($A314="",$L314="",$H314=""),"",IF(AND(LEFT($L314,2)="06",$H314&gt;1945),"FAIL - pre-war class, year "&amp;$H314,IF(AND(LEFT($L314,2)="07",OR($H314&lt;1946,$H314&gt;1972)),"FAIL - 1946-72 class, year "&amp;$H314,IF(AND(LEFT($L314,2)="08",OR($H314&lt;1973,$H314&gt;1999)),"FAIL - 1973-99 class, year "&amp;$H314,IF(AND(LEFT($L314,2)="09",OR($H314&lt;2000,$H314&gt;2010)),"FAIL - 2000-10 class, year "&amp;$H314,"OK")))))</f>
      </c>
      <c r="BF314" s="45">
        <f>IF($AD314="","",IF(ROUND($AO314+$AP314+$AQ314-$AD314,2)=0,"OK","FAIL - out by "&amp;TEXT($AO314+$AP314+$AQ314-$AD314,"$0.00")))</f>
      </c>
    </row>
    <row r="315" spans="1:58" ht="18.75" customHeight="1" x14ac:dyDescent="0.25">
      <c r="A315" s="30" t="inlineStr">
        <is>
          <t xml:space="preserve">CANON-202606-008834</t>
        </is>
      </c>
      <c r="B315" s="30" t="inlineStr">
        <is>
          <t xml:space="preserve">Thaddeus Whitlock</t>
        </is>
      </c>
      <c r="C315" s="31">
        <v>46190</v>
      </c>
      <c r="D315" s="32" t="inlineStr">
        <is>
          <t xml:space="preserve">Bound - within authority</t>
        </is>
      </c>
      <c r="E315" s="32" t="inlineStr">
        <is>
          <t xml:space="preserve">New business</t>
        </is>
      </c>
      <c r="F315" s="30" t="inlineStr">
        <is>
          <t xml:space="preserve">B1234EXOTIC26</t>
        </is>
      </c>
      <c r="G315" s="33">
        <f>IF($A315="","",IF($C315="","",YEAR($C315)))</f>
      </c>
      <c r="H315" s="34">
        <v>1977</v>
      </c>
      <c r="I315" s="30" t="inlineStr">
        <is>
          <t xml:space="preserve">Aston Martin</t>
        </is>
      </c>
      <c r="J315" s="30" t="inlineStr">
        <is>
          <t xml:space="preserve">DB5</t>
        </is>
      </c>
      <c r="K315" s="30" t="inlineStr">
        <is>
          <t xml:space="preserve">N7SS3GHK3TW9PK5TW</t>
        </is>
      </c>
      <c r="L315" s="32" t="inlineStr">
        <is>
          <t xml:space="preserve">08 - Modern Classic (1973-1999)</t>
        </is>
      </c>
      <c r="M315" s="35">
        <v>335000</v>
      </c>
      <c r="N315" s="32" t="inlineStr">
        <is>
          <t xml:space="preserve">Personal</t>
        </is>
      </c>
      <c r="O315" s="30" t="inlineStr">
        <is>
          <t xml:space="preserve">Personal - regular use</t>
        </is>
      </c>
      <c r="P315" s="30" t="inlineStr">
        <is>
          <t xml:space="preserve">2,500 - 5,000</t>
        </is>
      </c>
      <c r="Q315" s="30" t="inlineStr">
        <is>
          <t xml:space="preserve">North Dakota</t>
        </is>
      </c>
      <c r="R315" s="30" t="inlineStr">
        <is>
          <t xml:space="preserve">58501</t>
        </is>
      </c>
      <c r="S315" s="32" t="inlineStr">
        <is>
          <t xml:space="preserve">Severe convective - hail alley (high)</t>
        </is>
      </c>
      <c r="T315" s="36">
        <f>IF($A315="","",IF($S315="","",IFERROR(INDEX('[1]natural catastrophe'!$D$6:$D$17,MATCH($S315,'[1]natural catastrophe'!$B$6:$B$17,0)),"?")))</f>
      </c>
      <c r="U315" s="30" t="inlineStr">
        <is>
          <t xml:space="preserve">$5,000</t>
        </is>
      </c>
      <c r="V315" s="32" t="inlineStr">
        <is>
          <t xml:space="preserve">Agreed Value</t>
        </is>
      </c>
      <c r="W315" s="30" t="inlineStr">
        <is>
          <t xml:space="preserve">$1,000</t>
        </is>
      </c>
      <c r="X315" s="32" t="inlineStr">
        <is>
          <t xml:space="preserve">$1,000,000 CSL</t>
        </is>
      </c>
      <c r="Y315" s="30"/>
      <c r="Z315" s="30"/>
      <c r="AA315" s="32" t="inlineStr">
        <is>
          <t xml:space="preserve">Surplus Lines</t>
        </is>
      </c>
      <c r="AB315" s="35">
        <v>2366.78</v>
      </c>
      <c r="AC315" s="37">
        <v>0</v>
      </c>
      <c r="AD315" s="38">
        <f>IF(ISNUMBER($AB315),$AB315*(1+N($AC315)),"")</f>
      </c>
      <c r="AE315" s="35">
        <v>350</v>
      </c>
      <c r="AF315" s="35">
        <v>0</v>
      </c>
      <c r="AG315" s="37"/>
      <c r="AH315" s="39">
        <f>IF(ISNUMBER($AD315),($AD315+$AE315+$AF315)*$AG315,"")</f>
      </c>
      <c r="AI315" s="35"/>
      <c r="AJ315" s="38">
        <f>IF(ISNUMBER($AD315),SUM($AD315:$AH315),"")</f>
      </c>
      <c r="AK315" s="40">
        <f>IF(AND(ISNUMBER($AB315),ISNUMBER($AD315)),IF($AB315&gt;0,$AD315/$AB315,""),"")</f>
      </c>
      <c r="AL315" s="32" t="inlineStr">
        <is>
          <t xml:space="preserve">At technical</t>
        </is>
      </c>
      <c r="AM315" s="41">
        <f>IF(ISNUMBER($AD315),Header!$I$3,"")</f>
      </c>
      <c r="AN315" s="39">
        <f>IF(ISNUMBER($AD315),$AO315+$AP315,"")</f>
      </c>
      <c r="AO315" s="39">
        <f>IF(ISNUMBER($AD315),ROUND($AD315*Header!$K$3,2),"")</f>
      </c>
      <c r="AP315" s="39">
        <f>IF(ISNUMBER($AD315),ROUND($AD315*Header!$M$3,2),"")</f>
      </c>
      <c r="AQ315" s="38">
        <f>IF(ISNUMBER($AD315),ROUND($AD315,2)-$AO315-$AP315,"")</f>
      </c>
      <c r="AR315" s="39">
        <f>IF(ISNUMBER($AD315),IF(Header!$D$34="","?",$AD315*Header!$D$34),"")</f>
      </c>
      <c r="AS315" s="39">
        <f>IF(ISNUMBER($AB315),IF(Header!$D$34="","?",$AB315*Header!$D$34),"")</f>
      </c>
      <c r="AT315" s="42">
        <f>IF(AND(ISNUMBER($AB315),$M315&gt;0),$AB315/$M315*100,"")</f>
      </c>
      <c r="AU315" s="42">
        <f>IF(AND(ISNUMBER($AD315),$M315&gt;0),$AD315/$M315*100,"")</f>
      </c>
      <c r="AV315" s="40">
        <f>IF(AND(ISNUMBER($AB315),ISNUMBER($AD315),ABS($AB315)&gt;0),$AD315/$AB315,"")</f>
      </c>
      <c r="AW315" s="39">
        <f>IF(ISNUMBER($AD315),MAX(0,(1-0.55-Header!$O$3)*Header!$Q$3*$AQ315),"")</f>
      </c>
      <c r="AX315" s="43">
        <f>IF($A315="","",IF(TRIM(IF($A315="","Missing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",""))="","PASS","FAIL: "&amp;TRIM(IF($A315="","Missing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f>
      </c>
      <c r="AY315" s="44">
        <f>IF($M315="","",IF(ISNUMBER($M315),IF($M315&gt;=Header!$C$18,"YES — refer","No"),""))</f>
      </c>
      <c r="AZ315" s="44">
        <f>IF($AD315="","",IF(ISNUMBER($AD315),IF($AD315&lt;Header!$C$20,"BELOW MIN PREMIUM","OK"),""))</f>
      </c>
      <c r="BA315" s="32" t="inlineStr">
        <is>
          <t xml:space="preserve">Yes</t>
        </is>
      </c>
      <c r="BB315" s="32" t="inlineStr">
        <is>
          <t xml:space="preserve">Yes</t>
        </is>
      </c>
      <c r="BC315" s="30" t="inlineStr">
        <is>
          <t xml:space="preserve">Synthetic demo data</t>
        </is>
      </c>
      <c r="BE315" s="45">
        <f>IF(OR($A315="",$L315="",$H315=""),"",IF(AND(LEFT($L315,2)="06",$H315&gt;1945),"FAIL - pre-war class, year "&amp;$H315,IF(AND(LEFT($L315,2)="07",OR($H315&lt;1946,$H315&gt;1972)),"FAIL - 1946-72 class, year "&amp;$H315,IF(AND(LEFT($L315,2)="08",OR($H315&lt;1973,$H315&gt;1999)),"FAIL - 1973-99 class, year "&amp;$H315,IF(AND(LEFT($L315,2)="09",OR($H315&lt;2000,$H315&gt;2010)),"FAIL - 2000-10 class, year "&amp;$H315,"OK")))))</f>
      </c>
      <c r="BF315" s="45">
        <f>IF($AD315="","",IF(ROUND($AO315+$AP315+$AQ315-$AD315,2)=0,"OK","FAIL - out by "&amp;TEXT($AO315+$AP315+$AQ315-$AD315,"$0.00")))</f>
      </c>
    </row>
    <row r="316" spans="1:58" ht="18.75" customHeight="1" x14ac:dyDescent="0.25">
      <c r="A316" s="46" t="inlineStr">
        <is>
          <t xml:space="preserve">CANON-202606-008835</t>
        </is>
      </c>
      <c r="B316" s="46" t="inlineStr">
        <is>
          <t xml:space="preserve">Ottilie Okonkwo</t>
        </is>
      </c>
      <c r="C316" s="47">
        <v>46193</v>
      </c>
      <c r="D316" s="48" t="inlineStr">
        <is>
          <t xml:space="preserve">Bound - within authority</t>
        </is>
      </c>
      <c r="E316" s="48" t="inlineStr">
        <is>
          <t xml:space="preserve">New business</t>
        </is>
      </c>
      <c r="F316" s="46" t="inlineStr">
        <is>
          <t xml:space="preserve">B1234EXOTIC26</t>
        </is>
      </c>
      <c r="G316" s="33">
        <f>IF($A316="","",IF($C316="","",YEAR($C316)))</f>
      </c>
      <c r="H316" s="49">
        <v>2024</v>
      </c>
      <c r="I316" s="46" t="inlineStr">
        <is>
          <t xml:space="preserve">Aston Martin</t>
        </is>
      </c>
      <c r="J316" s="46" t="inlineStr">
        <is>
          <t xml:space="preserve">DB12</t>
        </is>
      </c>
      <c r="K316" s="46" t="inlineStr">
        <is>
          <t xml:space="preserve">T0VK0LE99NLSEJS0P</t>
        </is>
      </c>
      <c r="L316" s="48" t="inlineStr">
        <is>
          <t xml:space="preserve">02 - Sports / GT</t>
        </is>
      </c>
      <c r="M316" s="50">
        <v>525000</v>
      </c>
      <c r="N316" s="48" t="inlineStr">
        <is>
          <t xml:space="preserve">Personal</t>
        </is>
      </c>
      <c r="O316" s="46" t="inlineStr">
        <is>
          <t xml:space="preserve">Personal - regular use</t>
        </is>
      </c>
      <c r="P316" s="46" t="inlineStr">
        <is>
          <t xml:space="preserve">2,500 - 5,000</t>
        </is>
      </c>
      <c r="Q316" s="46" t="inlineStr">
        <is>
          <t xml:space="preserve">Nevada</t>
        </is>
      </c>
      <c r="R316" s="46" t="inlineStr">
        <is>
          <t xml:space="preserve">89101</t>
        </is>
      </c>
      <c r="S316" s="48" t="inlineStr">
        <is>
          <t xml:space="preserve">Wildfire - WUI high hazard</t>
        </is>
      </c>
      <c r="T316" s="36">
        <f>IF($A316="","",IF($S316="","",IFERROR(INDEX('[1]natural catastrophe'!$D$6:$D$17,MATCH($S316,'[1]natural catastrophe'!$B$6:$B$17,0)),"?")))</f>
      </c>
      <c r="U316" s="46" t="inlineStr">
        <is>
          <t xml:space="preserve">$5,000</t>
        </is>
      </c>
      <c r="V316" s="48" t="inlineStr">
        <is>
          <t xml:space="preserve">Agreed Value</t>
        </is>
      </c>
      <c r="W316" s="46" t="inlineStr">
        <is>
          <t xml:space="preserve">$1,000</t>
        </is>
      </c>
      <c r="X316" s="48" t="inlineStr">
        <is>
          <t xml:space="preserve">$1,000,000 CSL</t>
        </is>
      </c>
      <c r="Y316" s="46"/>
      <c r="Z316" s="46"/>
      <c r="AA316" s="48" t="inlineStr">
        <is>
          <t xml:space="preserve">Surplus Lines</t>
        </is>
      </c>
      <c r="AB316" s="50">
        <v>5761.43</v>
      </c>
      <c r="AC316" s="51">
        <v>0</v>
      </c>
      <c r="AD316" s="38">
        <f>IF(ISNUMBER($AB316),$AB316*(1+N($AC316)),"")</f>
      </c>
      <c r="AE316" s="50">
        <v>350</v>
      </c>
      <c r="AF316" s="50">
        <v>0</v>
      </c>
      <c r="AG316" s="51"/>
      <c r="AH316" s="39">
        <f>IF(ISNUMBER($AD316),($AD316+$AE316+$AF316)*$AG316,"")</f>
      </c>
      <c r="AI316" s="50"/>
      <c r="AJ316" s="38">
        <f>IF(ISNUMBER($AD316),SUM($AD316:$AH316),"")</f>
      </c>
      <c r="AK316" s="40">
        <f>IF(AND(ISNUMBER($AB316),ISNUMBER($AD316)),IF($AB316&gt;0,$AD316/$AB316,""),"")</f>
      </c>
      <c r="AL316" s="48" t="inlineStr">
        <is>
          <t xml:space="preserve">At technical</t>
        </is>
      </c>
      <c r="AM316" s="41">
        <f>IF(ISNUMBER($AD316),Header!$I$3,"")</f>
      </c>
      <c r="AN316" s="39">
        <f>IF(ISNUMBER($AD316),$AO316+$AP316,"")</f>
      </c>
      <c r="AO316" s="39">
        <f>IF(ISNUMBER($AD316),ROUND($AD316*Header!$K$3,2),"")</f>
      </c>
      <c r="AP316" s="39">
        <f>IF(ISNUMBER($AD316),ROUND($AD316*Header!$M$3,2),"")</f>
      </c>
      <c r="AQ316" s="38">
        <f>IF(ISNUMBER($AD316),ROUND($AD316,2)-$AO316-$AP316,"")</f>
      </c>
      <c r="AR316" s="39">
        <f>IF(ISNUMBER($AD316),IF(Header!$D$34="","?",$AD316*Header!$D$34),"")</f>
      </c>
      <c r="AS316" s="39">
        <f>IF(ISNUMBER($AB316),IF(Header!$D$34="","?",$AB316*Header!$D$34),"")</f>
      </c>
      <c r="AT316" s="42">
        <f>IF(AND(ISNUMBER($AB316),$M316&gt;0),$AB316/$M316*100,"")</f>
      </c>
      <c r="AU316" s="42">
        <f>IF(AND(ISNUMBER($AD316),$M316&gt;0),$AD316/$M316*100,"")</f>
      </c>
      <c r="AV316" s="40">
        <f>IF(AND(ISNUMBER($AB316),ISNUMBER($AD316),ABS($AB316)&gt;0),$AD316/$AB316,"")</f>
      </c>
      <c r="AW316" s="39">
        <f>IF(ISNUMBER($AD316),MAX(0,(1-0.55-Header!$O$3)*Header!$Q$3*$AQ316),"")</f>
      </c>
      <c r="AX316" s="43">
        <f>IF($A316="","",IF(TRIM(IF($A316="","Missing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",""))="","PASS","FAIL: "&amp;TRIM(IF($A316="","Missing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f>
      </c>
      <c r="AY316" s="44">
        <f>IF($M316="","",IF(ISNUMBER($M316),IF($M316&gt;=Header!$C$18,"YES — refer","No"),""))</f>
      </c>
      <c r="AZ316" s="44">
        <f>IF($AD316="","",IF(ISNUMBER($AD316),IF($AD316&lt;Header!$C$20,"BELOW MIN PREMIUM","OK"),""))</f>
      </c>
      <c r="BA316" s="48" t="inlineStr">
        <is>
          <t xml:space="preserve">Yes</t>
        </is>
      </c>
      <c r="BB316" s="48" t="inlineStr">
        <is>
          <t xml:space="preserve">Yes</t>
        </is>
      </c>
      <c r="BC316" s="46" t="inlineStr">
        <is>
          <t xml:space="preserve">Synthetic demo data</t>
        </is>
      </c>
      <c r="BE316" s="45">
        <f>IF(OR($A316="",$L316="",$H316=""),"",IF(AND(LEFT($L316,2)="06",$H316&gt;1945),"FAIL - pre-war class, year "&amp;$H316,IF(AND(LEFT($L316,2)="07",OR($H316&lt;1946,$H316&gt;1972)),"FAIL - 1946-72 class, year "&amp;$H316,IF(AND(LEFT($L316,2)="08",OR($H316&lt;1973,$H316&gt;1999)),"FAIL - 1973-99 class, year "&amp;$H316,IF(AND(LEFT($L316,2)="09",OR($H316&lt;2000,$H316&gt;2010)),"FAIL - 2000-10 class, year "&amp;$H316,"OK")))))</f>
      </c>
      <c r="BF316" s="45">
        <f>IF($AD316="","",IF(ROUND($AO316+$AP316+$AQ316-$AD316,2)=0,"OK","FAIL - out by "&amp;TEXT($AO316+$AP316+$AQ316-$AD316,"$0.00")))</f>
      </c>
    </row>
    <row r="317" spans="1:58" ht="18.75" customHeight="1" x14ac:dyDescent="0.25">
      <c r="A317" s="30" t="inlineStr">
        <is>
          <t xml:space="preserve">CANON-202606-008836</t>
        </is>
      </c>
      <c r="B317" s="30" t="inlineStr">
        <is>
          <t xml:space="preserve">Delphine Delacroix</t>
        </is>
      </c>
      <c r="C317" s="31">
        <v>46186</v>
      </c>
      <c r="D317" s="32" t="inlineStr">
        <is>
          <t xml:space="preserve">Bound - within authority</t>
        </is>
      </c>
      <c r="E317" s="32" t="inlineStr">
        <is>
          <t xml:space="preserve">New business</t>
        </is>
      </c>
      <c r="F317" s="30" t="inlineStr">
        <is>
          <t xml:space="preserve">B1234EXOTIC26</t>
        </is>
      </c>
      <c r="G317" s="33">
        <f>IF($A317="","",IF($C317="","",YEAR($C317)))</f>
      </c>
      <c r="H317" s="34">
        <v>2018</v>
      </c>
      <c r="I317" s="30" t="inlineStr">
        <is>
          <t xml:space="preserve">Porsche</t>
        </is>
      </c>
      <c r="J317" s="30" t="inlineStr">
        <is>
          <t xml:space="preserve">911 Turbo S</t>
        </is>
      </c>
      <c r="K317" s="30" t="inlineStr">
        <is>
          <t xml:space="preserve">NBMJE1YEW5UPASCC8</t>
        </is>
      </c>
      <c r="L317" s="32" t="inlineStr">
        <is>
          <t xml:space="preserve">02 - Sports / GT</t>
        </is>
      </c>
      <c r="M317" s="35">
        <v>350000</v>
      </c>
      <c r="N317" s="32" t="inlineStr">
        <is>
          <t xml:space="preserve">Personal</t>
        </is>
      </c>
      <c r="O317" s="30" t="inlineStr">
        <is>
          <t xml:space="preserve">Personal - regular use</t>
        </is>
      </c>
      <c r="P317" s="30" t="inlineStr">
        <is>
          <t xml:space="preserve">Under 1,000</t>
        </is>
      </c>
      <c r="Q317" s="30" t="inlineStr">
        <is>
          <t xml:space="preserve">Wyoming</t>
        </is>
      </c>
      <c r="R317" s="30" t="inlineStr">
        <is>
          <t xml:space="preserve">82001</t>
        </is>
      </c>
      <c r="S317" s="32" t="inlineStr">
        <is>
          <t xml:space="preserve">Severe convective - hail alley (high)</t>
        </is>
      </c>
      <c r="T317" s="36">
        <f>IF($A317="","",IF($S317="","",IFERROR(INDEX('[1]natural catastrophe'!$D$6:$D$17,MATCH($S317,'[1]natural catastrophe'!$B$6:$B$17,0)),"?")))</f>
      </c>
      <c r="U317" s="30" t="inlineStr">
        <is>
          <t xml:space="preserve">$5,000</t>
        </is>
      </c>
      <c r="V317" s="32" t="inlineStr">
        <is>
          <t xml:space="preserve">Agreed Value</t>
        </is>
      </c>
      <c r="W317" s="30" t="inlineStr">
        <is>
          <t xml:space="preserve">$1,000</t>
        </is>
      </c>
      <c r="X317" s="32" t="inlineStr">
        <is>
          <t xml:space="preserve">$1,000,000 CSL</t>
        </is>
      </c>
      <c r="Y317" s="30"/>
      <c r="Z317" s="30"/>
      <c r="AA317" s="32" t="inlineStr">
        <is>
          <t xml:space="preserve">Surplus Lines</t>
        </is>
      </c>
      <c r="AB317" s="35">
        <v>4053.08</v>
      </c>
      <c r="AC317" s="37">
        <v>0</v>
      </c>
      <c r="AD317" s="38">
        <f>IF(ISNUMBER($AB317),$AB317*(1+N($AC317)),"")</f>
      </c>
      <c r="AE317" s="35">
        <v>350</v>
      </c>
      <c r="AF317" s="35">
        <v>0</v>
      </c>
      <c r="AG317" s="37"/>
      <c r="AH317" s="39">
        <f>IF(ISNUMBER($AD317),($AD317+$AE317+$AF317)*$AG317,"")</f>
      </c>
      <c r="AI317" s="35"/>
      <c r="AJ317" s="38">
        <f>IF(ISNUMBER($AD317),SUM($AD317:$AH317),"")</f>
      </c>
      <c r="AK317" s="40">
        <f>IF(AND(ISNUMBER($AB317),ISNUMBER($AD317)),IF($AB317&gt;0,$AD317/$AB317,""),"")</f>
      </c>
      <c r="AL317" s="32" t="inlineStr">
        <is>
          <t xml:space="preserve">At technical</t>
        </is>
      </c>
      <c r="AM317" s="41">
        <f>IF(ISNUMBER($AD317),Header!$I$3,"")</f>
      </c>
      <c r="AN317" s="39">
        <f>IF(ISNUMBER($AD317),$AO317+$AP317,"")</f>
      </c>
      <c r="AO317" s="39">
        <f>IF(ISNUMBER($AD317),ROUND($AD317*Header!$K$3,2),"")</f>
      </c>
      <c r="AP317" s="39">
        <f>IF(ISNUMBER($AD317),ROUND($AD317*Header!$M$3,2),"")</f>
      </c>
      <c r="AQ317" s="38">
        <f>IF(ISNUMBER($AD317),ROUND($AD317,2)-$AO317-$AP317,"")</f>
      </c>
      <c r="AR317" s="39">
        <f>IF(ISNUMBER($AD317),IF(Header!$D$34="","?",$AD317*Header!$D$34),"")</f>
      </c>
      <c r="AS317" s="39">
        <f>IF(ISNUMBER($AB317),IF(Header!$D$34="","?",$AB317*Header!$D$34),"")</f>
      </c>
      <c r="AT317" s="42">
        <f>IF(AND(ISNUMBER($AB317),$M317&gt;0),$AB317/$M317*100,"")</f>
      </c>
      <c r="AU317" s="42">
        <f>IF(AND(ISNUMBER($AD317),$M317&gt;0),$AD317/$M317*100,"")</f>
      </c>
      <c r="AV317" s="40">
        <f>IF(AND(ISNUMBER($AB317),ISNUMBER($AD317),ABS($AB317)&gt;0),$AD317/$AB317,"")</f>
      </c>
      <c r="AW317" s="39">
        <f>IF(ISNUMBER($AD317),MAX(0,(1-0.55-Header!$O$3)*Header!$Q$3*$AQ317),"")</f>
      </c>
      <c r="AX317" s="43">
        <f>IF($A317="","",IF(TRIM(IF($A317="","Missing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",""))="","PASS","FAIL: "&amp;TRIM(IF($A317="","Missing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f>
      </c>
      <c r="AY317" s="44">
        <f>IF($M317="","",IF(ISNUMBER($M317),IF($M317&gt;=Header!$C$18,"YES — refer","No"),""))</f>
      </c>
      <c r="AZ317" s="44">
        <f>IF($AD317="","",IF(ISNUMBER($AD317),IF($AD317&lt;Header!$C$20,"BELOW MIN PREMIUM","OK"),""))</f>
      </c>
      <c r="BA317" s="32" t="inlineStr">
        <is>
          <t xml:space="preserve">Yes</t>
        </is>
      </c>
      <c r="BB317" s="32" t="inlineStr">
        <is>
          <t xml:space="preserve">Yes</t>
        </is>
      </c>
      <c r="BC317" s="30" t="inlineStr">
        <is>
          <t xml:space="preserve">Synthetic demo data</t>
        </is>
      </c>
      <c r="BE317" s="45">
        <f>IF(OR($A317="",$L317="",$H317=""),"",IF(AND(LEFT($L317,2)="06",$H317&gt;1945),"FAIL - pre-war class, year "&amp;$H317,IF(AND(LEFT($L317,2)="07",OR($H317&lt;1946,$H317&gt;1972)),"FAIL - 1946-72 class, year "&amp;$H317,IF(AND(LEFT($L317,2)="08",OR($H317&lt;1973,$H317&gt;1999)),"FAIL - 1973-99 class, year "&amp;$H317,IF(AND(LEFT($L317,2)="09",OR($H317&lt;2000,$H317&gt;2010)),"FAIL - 2000-10 class, year "&amp;$H317,"OK")))))</f>
      </c>
      <c r="BF317" s="45">
        <f>IF($AD317="","",IF(ROUND($AO317+$AP317+$AQ317-$AD317,2)=0,"OK","FAIL - out by "&amp;TEXT($AO317+$AP317+$AQ317-$AD317,"$0.00")))</f>
      </c>
    </row>
    <row r="318" spans="1:58" ht="18.75" customHeight="1" x14ac:dyDescent="0.25">
      <c r="A318" s="46" t="inlineStr">
        <is>
          <t xml:space="preserve">CANON-202606-008838</t>
        </is>
      </c>
      <c r="B318" s="46" t="inlineStr">
        <is>
          <t xml:space="preserve">Lorenzo Fairweather</t>
        </is>
      </c>
      <c r="C318" s="47">
        <v>46183</v>
      </c>
      <c r="D318" s="48" t="inlineStr">
        <is>
          <t xml:space="preserve">Bound - within authority</t>
        </is>
      </c>
      <c r="E318" s="48" t="inlineStr">
        <is>
          <t xml:space="preserve">New business</t>
        </is>
      </c>
      <c r="F318" s="46" t="inlineStr">
        <is>
          <t xml:space="preserve">B1234EXOTIC26</t>
        </is>
      </c>
      <c r="G318" s="33">
        <f>IF($A318="","",IF($C318="","",YEAR($C318)))</f>
      </c>
      <c r="H318" s="49">
        <v>2012</v>
      </c>
      <c r="I318" s="46" t="inlineStr">
        <is>
          <t xml:space="preserve">Maserati</t>
        </is>
      </c>
      <c r="J318" s="46" t="inlineStr">
        <is>
          <t xml:space="preserve">GranTurismo</t>
        </is>
      </c>
      <c r="K318" s="46" t="inlineStr">
        <is>
          <t xml:space="preserve">1FRSP0JE1L3F6KZ1A</t>
        </is>
      </c>
      <c r="L318" s="48" t="inlineStr">
        <is>
          <t xml:space="preserve">02 - Sports / GT</t>
        </is>
      </c>
      <c r="M318" s="50">
        <v>235000</v>
      </c>
      <c r="N318" s="48" t="inlineStr">
        <is>
          <t xml:space="preserve">Personal</t>
        </is>
      </c>
      <c r="O318" s="46" t="inlineStr">
        <is>
          <t xml:space="preserve">Personal - regular use</t>
        </is>
      </c>
      <c r="P318" s="46" t="inlineStr">
        <is>
          <t xml:space="preserve">2,500 - 5,000</t>
        </is>
      </c>
      <c r="Q318" s="46" t="inlineStr">
        <is>
          <t xml:space="preserve">New Jersey</t>
        </is>
      </c>
      <c r="R318" s="46" t="inlineStr">
        <is>
          <t xml:space="preserve">07102</t>
        </is>
      </c>
      <c r="S318" s="48" t="inlineStr">
        <is>
          <t xml:space="preserve">Tier 3 - Coastal wind (25-100 miles)</t>
        </is>
      </c>
      <c r="T318" s="36">
        <f>IF($A318="","",IF($S318="","",IFERROR(INDEX('[1]natural catastrophe'!$D$6:$D$17,MATCH($S318,'[1]natural catastrophe'!$B$6:$B$17,0)),"?")))</f>
      </c>
      <c r="U318" s="46" t="inlineStr">
        <is>
          <t xml:space="preserve">2% of agreed value, minimum $10,000</t>
        </is>
      </c>
      <c r="V318" s="48" t="inlineStr">
        <is>
          <t xml:space="preserve">Agreed Value</t>
        </is>
      </c>
      <c r="W318" s="46" t="inlineStr">
        <is>
          <t xml:space="preserve">$1,000</t>
        </is>
      </c>
      <c r="X318" s="48" t="inlineStr">
        <is>
          <t xml:space="preserve">$1,000,000 CSL</t>
        </is>
      </c>
      <c r="Y318" s="46"/>
      <c r="Z318" s="46"/>
      <c r="AA318" s="48" t="inlineStr">
        <is>
          <t xml:space="preserve">Surplus Lines</t>
        </is>
      </c>
      <c r="AB318" s="50">
        <v>2839.02</v>
      </c>
      <c r="AC318" s="51">
        <v>0</v>
      </c>
      <c r="AD318" s="38">
        <f>IF(ISNUMBER($AB318),$AB318*(1+N($AC318)),"")</f>
      </c>
      <c r="AE318" s="50">
        <v>350</v>
      </c>
      <c r="AF318" s="50">
        <v>0</v>
      </c>
      <c r="AG318" s="51"/>
      <c r="AH318" s="39">
        <f>IF(ISNUMBER($AD318),($AD318+$AE318+$AF318)*$AG318,"")</f>
      </c>
      <c r="AI318" s="50"/>
      <c r="AJ318" s="38">
        <f>IF(ISNUMBER($AD318),SUM($AD318:$AH318),"")</f>
      </c>
      <c r="AK318" s="40">
        <f>IF(AND(ISNUMBER($AB318),ISNUMBER($AD318)),IF($AB318&gt;0,$AD318/$AB318,""),"")</f>
      </c>
      <c r="AL318" s="48" t="inlineStr">
        <is>
          <t xml:space="preserve">At technical</t>
        </is>
      </c>
      <c r="AM318" s="41">
        <f>IF(ISNUMBER($AD318),Header!$I$3,"")</f>
      </c>
      <c r="AN318" s="39">
        <f>IF(ISNUMBER($AD318),$AO318+$AP318,"")</f>
      </c>
      <c r="AO318" s="39">
        <f>IF(ISNUMBER($AD318),ROUND($AD318*Header!$K$3,2),"")</f>
      </c>
      <c r="AP318" s="39">
        <f>IF(ISNUMBER($AD318),ROUND($AD318*Header!$M$3,2),"")</f>
      </c>
      <c r="AQ318" s="38">
        <f>IF(ISNUMBER($AD318),ROUND($AD318,2)-$AO318-$AP318,"")</f>
      </c>
      <c r="AR318" s="39">
        <f>IF(ISNUMBER($AD318),IF(Header!$D$34="","?",$AD318*Header!$D$34),"")</f>
      </c>
      <c r="AS318" s="39">
        <f>IF(ISNUMBER($AB318),IF(Header!$D$34="","?",$AB318*Header!$D$34),"")</f>
      </c>
      <c r="AT318" s="42">
        <f>IF(AND(ISNUMBER($AB318),$M318&gt;0),$AB318/$M318*100,"")</f>
      </c>
      <c r="AU318" s="42">
        <f>IF(AND(ISNUMBER($AD318),$M318&gt;0),$AD318/$M318*100,"")</f>
      </c>
      <c r="AV318" s="40">
        <f>IF(AND(ISNUMBER($AB318),ISNUMBER($AD318),ABS($AB318)&gt;0),$AD318/$AB318,"")</f>
      </c>
      <c r="AW318" s="39">
        <f>IF(ISNUMBER($AD318),MAX(0,(1-0.55-Header!$O$3)*Header!$Q$3*$AQ318),"")</f>
      </c>
      <c r="AX318" s="43">
        <f>IF($A318="","",IF(TRIM(IF($A318="","Missing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",""))="","PASS","FAIL: "&amp;TRIM(IF($A318="","Missing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f>
      </c>
      <c r="AY318" s="44">
        <f>IF($M318="","",IF(ISNUMBER($M318),IF($M318&gt;=Header!$C$18,"YES — refer","No"),""))</f>
      </c>
      <c r="AZ318" s="44">
        <f>IF($AD318="","",IF(ISNUMBER($AD318),IF($AD318&lt;Header!$C$20,"BELOW MIN PREMIUM","OK"),""))</f>
      </c>
      <c r="BA318" s="48" t="inlineStr">
        <is>
          <t xml:space="preserve">Yes</t>
        </is>
      </c>
      <c r="BB318" s="48" t="inlineStr">
        <is>
          <t xml:space="preserve">Yes</t>
        </is>
      </c>
      <c r="BC318" s="46" t="inlineStr">
        <is>
          <t xml:space="preserve">Synthetic demo data</t>
        </is>
      </c>
      <c r="BE318" s="45">
        <f>IF(OR($A318="",$L318="",$H318=""),"",IF(AND(LEFT($L318,2)="06",$H318&gt;1945),"FAIL - pre-war class, year "&amp;$H318,IF(AND(LEFT($L318,2)="07",OR($H318&lt;1946,$H318&gt;1972)),"FAIL - 1946-72 class, year "&amp;$H318,IF(AND(LEFT($L318,2)="08",OR($H318&lt;1973,$H318&gt;1999)),"FAIL - 1973-99 class, year "&amp;$H318,IF(AND(LEFT($L318,2)="09",OR($H318&lt;2000,$H318&gt;2010)),"FAIL - 2000-10 class, year "&amp;$H318,"OK")))))</f>
      </c>
      <c r="BF318" s="45">
        <f>IF($AD318="","",IF(ROUND($AO318+$AP318+$AQ318-$AD318,2)=0,"OK","FAIL - out by "&amp;TEXT($AO318+$AP318+$AQ318-$AD318,"$0.00")))</f>
      </c>
    </row>
    <row r="319" spans="1:58" ht="18.75" customHeight="1" x14ac:dyDescent="0.25">
      <c r="A319" s="30" t="inlineStr">
        <is>
          <t xml:space="preserve">CANON-202606-008840</t>
        </is>
      </c>
      <c r="B319" s="30" t="inlineStr">
        <is>
          <t xml:space="preserve">Beatrix Fairweather</t>
        </is>
      </c>
      <c r="C319" s="31">
        <v>46176</v>
      </c>
      <c r="D319" s="32" t="inlineStr">
        <is>
          <t xml:space="preserve">Bound - within authority</t>
        </is>
      </c>
      <c r="E319" s="32" t="inlineStr">
        <is>
          <t xml:space="preserve">New business</t>
        </is>
      </c>
      <c r="F319" s="30" t="inlineStr">
        <is>
          <t xml:space="preserve">B1234EXOTIC26</t>
        </is>
      </c>
      <c r="G319" s="33">
        <f>IF($A319="","",IF($C319="","",YEAR($C319)))</f>
      </c>
      <c r="H319" s="34">
        <v>1997</v>
      </c>
      <c r="I319" s="30" t="inlineStr">
        <is>
          <t xml:space="preserve">BMW</t>
        </is>
      </c>
      <c r="J319" s="30" t="inlineStr">
        <is>
          <t xml:space="preserve">M8 Competition</t>
        </is>
      </c>
      <c r="K319" s="30" t="inlineStr">
        <is>
          <t xml:space="preserve">51SA8AVWHGH4LNM3G</t>
        </is>
      </c>
      <c r="L319" s="32" t="inlineStr">
        <is>
          <t xml:space="preserve">02 - Sports / GT</t>
        </is>
      </c>
      <c r="M319" s="35">
        <v>650000</v>
      </c>
      <c r="N319" s="32" t="inlineStr">
        <is>
          <t xml:space="preserve">Personal</t>
        </is>
      </c>
      <c r="O319" s="30" t="inlineStr">
        <is>
          <t xml:space="preserve">Personal - regular use</t>
        </is>
      </c>
      <c r="P319" s="30" t="inlineStr">
        <is>
          <t xml:space="preserve">Under 1,000</t>
        </is>
      </c>
      <c r="Q319" s="30" t="inlineStr">
        <is>
          <t xml:space="preserve">Pennsylvania</t>
        </is>
      </c>
      <c r="R319" s="30" t="inlineStr">
        <is>
          <t xml:space="preserve">19103</t>
        </is>
      </c>
      <c r="S319" s="32" t="inlineStr">
        <is>
          <t xml:space="preserve">Low hazard - inland benign</t>
        </is>
      </c>
      <c r="T319" s="36">
        <f>IF($A319="","",IF($S319="","",IFERROR(INDEX('[1]natural catastrophe'!$D$6:$D$17,MATCH($S319,'[1]natural catastrophe'!$B$6:$B$17,0)),"?")))</f>
      </c>
      <c r="U319" s="30" t="inlineStr">
        <is>
          <t xml:space="preserve">$5,000</t>
        </is>
      </c>
      <c r="V319" s="32" t="inlineStr">
        <is>
          <t xml:space="preserve">Agreed Value</t>
        </is>
      </c>
      <c r="W319" s="30" t="inlineStr">
        <is>
          <t xml:space="preserve">$1,000</t>
        </is>
      </c>
      <c r="X319" s="32" t="inlineStr">
        <is>
          <t xml:space="preserve">$1,000,000 CSL</t>
        </is>
      </c>
      <c r="Y319" s="30"/>
      <c r="Z319" s="30"/>
      <c r="AA319" s="32" t="inlineStr">
        <is>
          <t xml:space="preserve">Surplus Lines</t>
        </is>
      </c>
      <c r="AB319" s="35">
        <v>6096.76</v>
      </c>
      <c r="AC319" s="37">
        <v>0</v>
      </c>
      <c r="AD319" s="38">
        <f>IF(ISNUMBER($AB319),$AB319*(1+N($AC319)),"")</f>
      </c>
      <c r="AE319" s="35">
        <v>350</v>
      </c>
      <c r="AF319" s="35">
        <v>0</v>
      </c>
      <c r="AG319" s="37"/>
      <c r="AH319" s="39">
        <f>IF(ISNUMBER($AD319),($AD319+$AE319+$AF319)*$AG319,"")</f>
      </c>
      <c r="AI319" s="35"/>
      <c r="AJ319" s="38">
        <f>IF(ISNUMBER($AD319),SUM($AD319:$AH319),"")</f>
      </c>
      <c r="AK319" s="40">
        <f>IF(AND(ISNUMBER($AB319),ISNUMBER($AD319)),IF($AB319&gt;0,$AD319/$AB319,""),"")</f>
      </c>
      <c r="AL319" s="32" t="inlineStr">
        <is>
          <t xml:space="preserve">At technical</t>
        </is>
      </c>
      <c r="AM319" s="41">
        <f>IF(ISNUMBER($AD319),Header!$I$3,"")</f>
      </c>
      <c r="AN319" s="39">
        <f>IF(ISNUMBER($AD319),$AO319+$AP319,"")</f>
      </c>
      <c r="AO319" s="39">
        <f>IF(ISNUMBER($AD319),ROUND($AD319*Header!$K$3,2),"")</f>
      </c>
      <c r="AP319" s="39">
        <f>IF(ISNUMBER($AD319),ROUND($AD319*Header!$M$3,2),"")</f>
      </c>
      <c r="AQ319" s="38">
        <f>IF(ISNUMBER($AD319),ROUND($AD319,2)-$AO319-$AP319,"")</f>
      </c>
      <c r="AR319" s="39">
        <f>IF(ISNUMBER($AD319),IF(Header!$D$34="","?",$AD319*Header!$D$34),"")</f>
      </c>
      <c r="AS319" s="39">
        <f>IF(ISNUMBER($AB319),IF(Header!$D$34="","?",$AB319*Header!$D$34),"")</f>
      </c>
      <c r="AT319" s="42">
        <f>IF(AND(ISNUMBER($AB319),$M319&gt;0),$AB319/$M319*100,"")</f>
      </c>
      <c r="AU319" s="42">
        <f>IF(AND(ISNUMBER($AD319),$M319&gt;0),$AD319/$M319*100,"")</f>
      </c>
      <c r="AV319" s="40">
        <f>IF(AND(ISNUMBER($AB319),ISNUMBER($AD319),ABS($AB319)&gt;0),$AD319/$AB319,"")</f>
      </c>
      <c r="AW319" s="39">
        <f>IF(ISNUMBER($AD319),MAX(0,(1-0.55-Header!$O$3)*Header!$Q$3*$AQ319),"")</f>
      </c>
      <c r="AX319" s="43">
        <f>IF($A319="","",IF(TRIM(IF($A319="","Missing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",""))="","PASS","FAIL: "&amp;TRIM(IF($A319="","Missing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f>
      </c>
      <c r="AY319" s="44">
        <f>IF($M319="","",IF(ISNUMBER($M319),IF($M319&gt;=Header!$C$18,"YES — refer","No"),""))</f>
      </c>
      <c r="AZ319" s="44">
        <f>IF($AD319="","",IF(ISNUMBER($AD319),IF($AD319&lt;Header!$C$20,"BELOW MIN PREMIUM","OK"),""))</f>
      </c>
      <c r="BA319" s="32" t="inlineStr">
        <is>
          <t xml:space="preserve">Yes</t>
        </is>
      </c>
      <c r="BB319" s="32" t="inlineStr">
        <is>
          <t xml:space="preserve">Yes</t>
        </is>
      </c>
      <c r="BC319" s="30" t="inlineStr">
        <is>
          <t xml:space="preserve">Synthetic demo data</t>
        </is>
      </c>
      <c r="BE319" s="45">
        <f>IF(OR($A319="",$L319="",$H319=""),"",IF(AND(LEFT($L319,2)="06",$H319&gt;1945),"FAIL - pre-war class, year "&amp;$H319,IF(AND(LEFT($L319,2)="07",OR($H319&lt;1946,$H319&gt;1972)),"FAIL - 1946-72 class, year "&amp;$H319,IF(AND(LEFT($L319,2)="08",OR($H319&lt;1973,$H319&gt;1999)),"FAIL - 1973-99 class, year "&amp;$H319,IF(AND(LEFT($L319,2)="09",OR($H319&lt;2000,$H319&gt;2010)),"FAIL - 2000-10 class, year "&amp;$H319,"OK")))))</f>
      </c>
      <c r="BF319" s="45">
        <f>IF($AD319="","",IF(ROUND($AO319+$AP319+$AQ319-$AD319,2)=0,"OK","FAIL - out by "&amp;TEXT($AO319+$AP319+$AQ319-$AD319,"$0.00")))</f>
      </c>
    </row>
    <row r="320" spans="1:58" ht="18.75" customHeight="1" x14ac:dyDescent="0.25">
      <c r="A320" s="46" t="inlineStr">
        <is>
          <t xml:space="preserve">CANON-202606-008843</t>
        </is>
      </c>
      <c r="B320" s="46" t="inlineStr">
        <is>
          <t xml:space="preserve">Fitzgerald Whitlock</t>
        </is>
      </c>
      <c r="C320" s="47">
        <v>46180</v>
      </c>
      <c r="D320" s="48" t="inlineStr">
        <is>
          <t xml:space="preserve">Bound - within authority</t>
        </is>
      </c>
      <c r="E320" s="48" t="inlineStr">
        <is>
          <t xml:space="preserve">New business</t>
        </is>
      </c>
      <c r="F320" s="46" t="inlineStr">
        <is>
          <t xml:space="preserve">B1234EXOTIC26</t>
        </is>
      </c>
      <c r="G320" s="33">
        <f>IF($A320="","",IF($C320="","",YEAR($C320)))</f>
      </c>
      <c r="H320" s="49">
        <v>2012</v>
      </c>
      <c r="I320" s="46" t="inlineStr">
        <is>
          <t xml:space="preserve">Aston Martin</t>
        </is>
      </c>
      <c r="J320" s="46" t="inlineStr">
        <is>
          <t xml:space="preserve">DB5</t>
        </is>
      </c>
      <c r="K320" s="46" t="inlineStr">
        <is>
          <t xml:space="preserve">ETNE6ERSNKSJVFYFM</t>
        </is>
      </c>
      <c r="L320" s="48" t="inlineStr">
        <is>
          <t xml:space="preserve">02 - Sports / GT</t>
        </is>
      </c>
      <c r="M320" s="50">
        <v>1380000</v>
      </c>
      <c r="N320" s="48" t="inlineStr">
        <is>
          <t xml:space="preserve">Personal</t>
        </is>
      </c>
      <c r="O320" s="46" t="inlineStr">
        <is>
          <t xml:space="preserve">Personal - regular use</t>
        </is>
      </c>
      <c r="P320" s="46" t="inlineStr">
        <is>
          <t xml:space="preserve">2,500 - 5,000</t>
        </is>
      </c>
      <c r="Q320" s="46" t="inlineStr">
        <is>
          <t xml:space="preserve">Louisiana</t>
        </is>
      </c>
      <c r="R320" s="46" t="inlineStr">
        <is>
          <t xml:space="preserve">70112</t>
        </is>
      </c>
      <c r="S320" s="48" t="inlineStr">
        <is>
          <t xml:space="preserve">Tier 2 - Coastal wind (1-25 miles)</t>
        </is>
      </c>
      <c r="T320" s="36">
        <f>IF($A320="","",IF($S320="","",IFERROR(INDEX('[1]natural catastrophe'!$D$6:$D$17,MATCH($S320,'[1]natural catastrophe'!$B$6:$B$17,0)),"?")))</f>
      </c>
      <c r="U320" s="46" t="inlineStr">
        <is>
          <t xml:space="preserve">2% of agreed value, minimum $10,000</t>
        </is>
      </c>
      <c r="V320" s="48" t="inlineStr">
        <is>
          <t xml:space="preserve">Agreed Value</t>
        </is>
      </c>
      <c r="W320" s="46" t="inlineStr">
        <is>
          <t xml:space="preserve">$1,000</t>
        </is>
      </c>
      <c r="X320" s="48" t="inlineStr">
        <is>
          <t xml:space="preserve">$1,000,000 CSL</t>
        </is>
      </c>
      <c r="Y320" s="46"/>
      <c r="Z320" s="46"/>
      <c r="AA320" s="48" t="inlineStr">
        <is>
          <t xml:space="preserve">Surplus Lines</t>
        </is>
      </c>
      <c r="AB320" s="50">
        <v>9156.3</v>
      </c>
      <c r="AC320" s="51">
        <v>0</v>
      </c>
      <c r="AD320" s="38">
        <f>IF(ISNUMBER($AB320),$AB320*(1+N($AC320)),"")</f>
      </c>
      <c r="AE320" s="50">
        <v>350</v>
      </c>
      <c r="AF320" s="50">
        <v>250</v>
      </c>
      <c r="AG320" s="51"/>
      <c r="AH320" s="39">
        <f>IF(ISNUMBER($AD320),($AD320+$AE320+$AF320)*$AG320,"")</f>
      </c>
      <c r="AI320" s="50"/>
      <c r="AJ320" s="38">
        <f>IF(ISNUMBER($AD320),SUM($AD320:$AH320),"")</f>
      </c>
      <c r="AK320" s="40">
        <f>IF(AND(ISNUMBER($AB320),ISNUMBER($AD320)),IF($AB320&gt;0,$AD320/$AB320,""),"")</f>
      </c>
      <c r="AL320" s="48" t="inlineStr">
        <is>
          <t xml:space="preserve">At technical</t>
        </is>
      </c>
      <c r="AM320" s="41">
        <f>IF(ISNUMBER($AD320),Header!$I$3,"")</f>
      </c>
      <c r="AN320" s="39">
        <f>IF(ISNUMBER($AD320),$AO320+$AP320,"")</f>
      </c>
      <c r="AO320" s="39">
        <f>IF(ISNUMBER($AD320),ROUND($AD320*Header!$K$3,2),"")</f>
      </c>
      <c r="AP320" s="39">
        <f>IF(ISNUMBER($AD320),ROUND($AD320*Header!$M$3,2),"")</f>
      </c>
      <c r="AQ320" s="38">
        <f>IF(ISNUMBER($AD320),ROUND($AD320,2)-$AO320-$AP320,"")</f>
      </c>
      <c r="AR320" s="39">
        <f>IF(ISNUMBER($AD320),IF(Header!$D$34="","?",$AD320*Header!$D$34),"")</f>
      </c>
      <c r="AS320" s="39">
        <f>IF(ISNUMBER($AB320),IF(Header!$D$34="","?",$AB320*Header!$D$34),"")</f>
      </c>
      <c r="AT320" s="42">
        <f>IF(AND(ISNUMBER($AB320),$M320&gt;0),$AB320/$M320*100,"")</f>
      </c>
      <c r="AU320" s="42">
        <f>IF(AND(ISNUMBER($AD320),$M320&gt;0),$AD320/$M320*100,"")</f>
      </c>
      <c r="AV320" s="40">
        <f>IF(AND(ISNUMBER($AB320),ISNUMBER($AD320),ABS($AB320)&gt;0),$AD320/$AB320,"")</f>
      </c>
      <c r="AW320" s="39">
        <f>IF(ISNUMBER($AD320),MAX(0,(1-0.55-Header!$O$3)*Header!$Q$3*$AQ320),"")</f>
      </c>
      <c r="AX320" s="43">
        <f>IF($A320="","",IF(TRIM(IF($A320="","Missing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",""))="","PASS","FAIL: "&amp;TRIM(IF($A320="","Missing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f>
      </c>
      <c r="AY320" s="44">
        <f>IF($M320="","",IF(ISNUMBER($M320),IF($M320&gt;=Header!$C$18,"YES — refer","No"),""))</f>
      </c>
      <c r="AZ320" s="44">
        <f>IF($AD320="","",IF(ISNUMBER($AD320),IF($AD320&lt;Header!$C$20,"BELOW MIN PREMIUM","OK"),""))</f>
      </c>
      <c r="BA320" s="48" t="inlineStr">
        <is>
          <t xml:space="preserve">Yes</t>
        </is>
      </c>
      <c r="BB320" s="48" t="inlineStr">
        <is>
          <t xml:space="preserve">Yes</t>
        </is>
      </c>
      <c r="BC320" s="46" t="inlineStr">
        <is>
          <t xml:space="preserve">Synthetic demo data</t>
        </is>
      </c>
      <c r="BE320" s="45">
        <f>IF(OR($A320="",$L320="",$H320=""),"",IF(AND(LEFT($L320,2)="06",$H320&gt;1945),"FAIL - pre-war class, year "&amp;$H320,IF(AND(LEFT($L320,2)="07",OR($H320&lt;1946,$H320&gt;1972)),"FAIL - 1946-72 class, year "&amp;$H320,IF(AND(LEFT($L320,2)="08",OR($H320&lt;1973,$H320&gt;1999)),"FAIL - 1973-99 class, year "&amp;$H320,IF(AND(LEFT($L320,2)="09",OR($H320&lt;2000,$H320&gt;2010)),"FAIL - 2000-10 class, year "&amp;$H320,"OK")))))</f>
      </c>
      <c r="BF320" s="45">
        <f>IF($AD320="","",IF(ROUND($AO320+$AP320+$AQ320-$AD320,2)=0,"OK","FAIL - out by "&amp;TEXT($AO320+$AP320+$AQ320-$AD320,"$0.00")))</f>
      </c>
    </row>
    <row r="321" spans="1:58" ht="18.75" customHeight="1" x14ac:dyDescent="0.25">
      <c r="A321" s="30" t="inlineStr">
        <is>
          <t xml:space="preserve">CANON-202606-008844</t>
        </is>
      </c>
      <c r="B321" s="30" t="inlineStr">
        <is>
          <t xml:space="preserve">Saoirse Merriweather</t>
        </is>
      </c>
      <c r="C321" s="31">
        <v>46175</v>
      </c>
      <c r="D321" s="32" t="inlineStr">
        <is>
          <t xml:space="preserve">Bound - within authority</t>
        </is>
      </c>
      <c r="E321" s="32" t="inlineStr">
        <is>
          <t xml:space="preserve">New business</t>
        </is>
      </c>
      <c r="F321" s="30" t="inlineStr">
        <is>
          <t xml:space="preserve">B1234EXOTIC26</t>
        </is>
      </c>
      <c r="G321" s="33">
        <f>IF($A321="","",IF($C321="","",YEAR($C321)))</f>
      </c>
      <c r="H321" s="34">
        <v>1972</v>
      </c>
      <c r="I321" s="30" t="inlineStr">
        <is>
          <t xml:space="preserve">Ringbrothers</t>
        </is>
      </c>
      <c r="J321" s="30" t="inlineStr">
        <is>
          <t xml:space="preserve">Mustang</t>
        </is>
      </c>
      <c r="K321" s="30" t="inlineStr">
        <is>
          <t xml:space="preserve">EG8LW45KJP3BUNDEK</t>
        </is>
      </c>
      <c r="L321" s="32" t="inlineStr">
        <is>
          <t xml:space="preserve">11 - Restomod / Coachbuilt / Bespoke</t>
        </is>
      </c>
      <c r="M321" s="35">
        <v>725000</v>
      </c>
      <c r="N321" s="32" t="inlineStr">
        <is>
          <t xml:space="preserve">Personal</t>
        </is>
      </c>
      <c r="O321" s="30" t="inlineStr">
        <is>
          <t xml:space="preserve">Personal - regular use</t>
        </is>
      </c>
      <c r="P321" s="30" t="inlineStr">
        <is>
          <t xml:space="preserve">2,500 - 5,000</t>
        </is>
      </c>
      <c r="Q321" s="30" t="inlineStr">
        <is>
          <t xml:space="preserve">Arizona</t>
        </is>
      </c>
      <c r="R321" s="30" t="inlineStr">
        <is>
          <t xml:space="preserve">85001</t>
        </is>
      </c>
      <c r="S321" s="32" t="inlineStr">
        <is>
          <t xml:space="preserve">Wildfire - WUI high hazard</t>
        </is>
      </c>
      <c r="T321" s="36">
        <f>IF($A321="","",IF($S321="","",IFERROR(INDEX('[1]natural catastrophe'!$D$6:$D$17,MATCH($S321,'[1]natural catastrophe'!$B$6:$B$17,0)),"?")))</f>
      </c>
      <c r="U321" s="30" t="inlineStr">
        <is>
          <t xml:space="preserve">$5,000</t>
        </is>
      </c>
      <c r="V321" s="32" t="inlineStr">
        <is>
          <t xml:space="preserve">Agreed Value</t>
        </is>
      </c>
      <c r="W321" s="30" t="inlineStr">
        <is>
          <t xml:space="preserve">$1,000</t>
        </is>
      </c>
      <c r="X321" s="32" t="inlineStr">
        <is>
          <t xml:space="preserve">$1,000,000 CSL</t>
        </is>
      </c>
      <c r="Y321" s="30"/>
      <c r="Z321" s="30"/>
      <c r="AA321" s="32" t="inlineStr">
        <is>
          <t xml:space="preserve">Surplus Lines</t>
        </is>
      </c>
      <c r="AB321" s="35">
        <v>8241.87</v>
      </c>
      <c r="AC321" s="37">
        <v>0</v>
      </c>
      <c r="AD321" s="38">
        <f>IF(ISNUMBER($AB321),$AB321*(1+N($AC321)),"")</f>
      </c>
      <c r="AE321" s="35">
        <v>350</v>
      </c>
      <c r="AF321" s="35">
        <v>0</v>
      </c>
      <c r="AG321" s="37"/>
      <c r="AH321" s="39">
        <f>IF(ISNUMBER($AD321),($AD321+$AE321+$AF321)*$AG321,"")</f>
      </c>
      <c r="AI321" s="35"/>
      <c r="AJ321" s="38">
        <f>IF(ISNUMBER($AD321),SUM($AD321:$AH321),"")</f>
      </c>
      <c r="AK321" s="40">
        <f>IF(AND(ISNUMBER($AB321),ISNUMBER($AD321)),IF($AB321&gt;0,$AD321/$AB321,""),"")</f>
      </c>
      <c r="AL321" s="32" t="inlineStr">
        <is>
          <t xml:space="preserve">At technical</t>
        </is>
      </c>
      <c r="AM321" s="41">
        <f>IF(ISNUMBER($AD321),Header!$I$3,"")</f>
      </c>
      <c r="AN321" s="39">
        <f>IF(ISNUMBER($AD321),$AO321+$AP321,"")</f>
      </c>
      <c r="AO321" s="39">
        <f>IF(ISNUMBER($AD321),ROUND($AD321*Header!$K$3,2),"")</f>
      </c>
      <c r="AP321" s="39">
        <f>IF(ISNUMBER($AD321),ROUND($AD321*Header!$M$3,2),"")</f>
      </c>
      <c r="AQ321" s="38">
        <f>IF(ISNUMBER($AD321),ROUND($AD321,2)-$AO321-$AP321,"")</f>
      </c>
      <c r="AR321" s="39">
        <f>IF(ISNUMBER($AD321),IF(Header!$D$34="","?",$AD321*Header!$D$34),"")</f>
      </c>
      <c r="AS321" s="39">
        <f>IF(ISNUMBER($AB321),IF(Header!$D$34="","?",$AB321*Header!$D$34),"")</f>
      </c>
      <c r="AT321" s="42">
        <f>IF(AND(ISNUMBER($AB321),$M321&gt;0),$AB321/$M321*100,"")</f>
      </c>
      <c r="AU321" s="42">
        <f>IF(AND(ISNUMBER($AD321),$M321&gt;0),$AD321/$M321*100,"")</f>
      </c>
      <c r="AV321" s="40">
        <f>IF(AND(ISNUMBER($AB321),ISNUMBER($AD321),ABS($AB321)&gt;0),$AD321/$AB321,"")</f>
      </c>
      <c r="AW321" s="39">
        <f>IF(ISNUMBER($AD321),MAX(0,(1-0.55-Header!$O$3)*Header!$Q$3*$AQ321),"")</f>
      </c>
      <c r="AX321" s="43">
        <f>IF($A321="","",IF(TRIM(IF($A321="","Missing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",""))="","PASS","FAIL: "&amp;TRIM(IF($A321="","Missing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f>
      </c>
      <c r="AY321" s="44">
        <f>IF($M321="","",IF(ISNUMBER($M321),IF($M321&gt;=Header!$C$18,"YES — refer","No"),""))</f>
      </c>
      <c r="AZ321" s="44">
        <f>IF($AD321="","",IF(ISNUMBER($AD321),IF($AD321&lt;Header!$C$20,"BELOW MIN PREMIUM","OK"),""))</f>
      </c>
      <c r="BA321" s="32" t="inlineStr">
        <is>
          <t xml:space="preserve">Yes</t>
        </is>
      </c>
      <c r="BB321" s="32" t="inlineStr">
        <is>
          <t xml:space="preserve">Yes</t>
        </is>
      </c>
      <c r="BC321" s="30" t="inlineStr">
        <is>
          <t xml:space="preserve">Synthetic demo data</t>
        </is>
      </c>
      <c r="BE321" s="45">
        <f>IF(OR($A321="",$L321="",$H321=""),"",IF(AND(LEFT($L321,2)="06",$H321&gt;1945),"FAIL - pre-war class, year "&amp;$H321,IF(AND(LEFT($L321,2)="07",OR($H321&lt;1946,$H321&gt;1972)),"FAIL - 1946-72 class, year "&amp;$H321,IF(AND(LEFT($L321,2)="08",OR($H321&lt;1973,$H321&gt;1999)),"FAIL - 1973-99 class, year "&amp;$H321,IF(AND(LEFT($L321,2)="09",OR($H321&lt;2000,$H321&gt;2010)),"FAIL - 2000-10 class, year "&amp;$H321,"OK")))))</f>
      </c>
      <c r="BF321" s="45">
        <f>IF($AD321="","",IF(ROUND($AO321+$AP321+$AQ321-$AD321,2)=0,"OK","FAIL - out by "&amp;TEXT($AO321+$AP321+$AQ321-$AD321,"$0.00")))</f>
      </c>
    </row>
    <row r="322" spans="1:58" ht="18.75" customHeight="1" x14ac:dyDescent="0.25">
      <c r="A322" s="46" t="inlineStr">
        <is>
          <t xml:space="preserve">CANON-202606-008845</t>
        </is>
      </c>
      <c r="B322" s="46" t="inlineStr">
        <is>
          <t xml:space="preserve">Everett Larsson</t>
        </is>
      </c>
      <c r="C322" s="47">
        <v>46185</v>
      </c>
      <c r="D322" s="48" t="inlineStr">
        <is>
          <t xml:space="preserve">Bound - within authority</t>
        </is>
      </c>
      <c r="E322" s="48" t="inlineStr">
        <is>
          <t xml:space="preserve">New business</t>
        </is>
      </c>
      <c r="F322" s="46" t="inlineStr">
        <is>
          <t xml:space="preserve">B1234EXOTIC26</t>
        </is>
      </c>
      <c r="G322" s="33">
        <f>IF($A322="","",IF($C322="","",YEAR($C322)))</f>
      </c>
      <c r="H322" s="49">
        <v>1980</v>
      </c>
      <c r="I322" s="46" t="inlineStr">
        <is>
          <t xml:space="preserve">Alfa Romeo</t>
        </is>
      </c>
      <c r="J322" s="46" t="inlineStr">
        <is>
          <t xml:space="preserve">8C 2900</t>
        </is>
      </c>
      <c r="K322" s="46" t="inlineStr">
        <is>
          <t xml:space="preserve">KA300SZWN7KGN0PZG</t>
        </is>
      </c>
      <c r="L322" s="48" t="inlineStr">
        <is>
          <t xml:space="preserve">08 - Modern Classic (1973-1999)</t>
        </is>
      </c>
      <c r="M322" s="50">
        <v>890000</v>
      </c>
      <c r="N322" s="48" t="inlineStr">
        <is>
          <t xml:space="preserve">Personal</t>
        </is>
      </c>
      <c r="O322" s="46" t="inlineStr">
        <is>
          <t xml:space="preserve">Personal - regular use</t>
        </is>
      </c>
      <c r="P322" s="46" t="inlineStr">
        <is>
          <t xml:space="preserve">Under 1,000</t>
        </is>
      </c>
      <c r="Q322" s="46" t="inlineStr">
        <is>
          <t xml:space="preserve">Wisconsin</t>
        </is>
      </c>
      <c r="R322" s="46" t="inlineStr">
        <is>
          <t xml:space="preserve">53202</t>
        </is>
      </c>
      <c r="S322" s="48" t="inlineStr">
        <is>
          <t xml:space="preserve">Severe convective - hail / tornado (moderate)</t>
        </is>
      </c>
      <c r="T322" s="36">
        <f>IF($A322="","",IF($S322="","",IFERROR(INDEX('[1]natural catastrophe'!$D$6:$D$17,MATCH($S322,'[1]natural catastrophe'!$B$6:$B$17,0)),"?")))</f>
      </c>
      <c r="U322" s="46" t="inlineStr">
        <is>
          <t xml:space="preserve">$5,000</t>
        </is>
      </c>
      <c r="V322" s="48" t="inlineStr">
        <is>
          <t xml:space="preserve">Agreed Value</t>
        </is>
      </c>
      <c r="W322" s="46" t="inlineStr">
        <is>
          <t xml:space="preserve">$1,000</t>
        </is>
      </c>
      <c r="X322" s="48" t="inlineStr">
        <is>
          <t xml:space="preserve">$1,000,000 CSL</t>
        </is>
      </c>
      <c r="Y322" s="46"/>
      <c r="Z322" s="46"/>
      <c r="AA322" s="48" t="inlineStr">
        <is>
          <t xml:space="preserve">Surplus Lines</t>
        </is>
      </c>
      <c r="AB322" s="50">
        <v>5856.35</v>
      </c>
      <c r="AC322" s="51">
        <v>0</v>
      </c>
      <c r="AD322" s="38">
        <f>IF(ISNUMBER($AB322),$AB322*(1+N($AC322)),"")</f>
      </c>
      <c r="AE322" s="50">
        <v>350</v>
      </c>
      <c r="AF322" s="50">
        <v>0</v>
      </c>
      <c r="AG322" s="51"/>
      <c r="AH322" s="39">
        <f>IF(ISNUMBER($AD322),($AD322+$AE322+$AF322)*$AG322,"")</f>
      </c>
      <c r="AI322" s="50"/>
      <c r="AJ322" s="38">
        <f>IF(ISNUMBER($AD322),SUM($AD322:$AH322),"")</f>
      </c>
      <c r="AK322" s="40">
        <f>IF(AND(ISNUMBER($AB322),ISNUMBER($AD322)),IF($AB322&gt;0,$AD322/$AB322,""),"")</f>
      </c>
      <c r="AL322" s="48" t="inlineStr">
        <is>
          <t xml:space="preserve">At technical</t>
        </is>
      </c>
      <c r="AM322" s="41">
        <f>IF(ISNUMBER($AD322),Header!$I$3,"")</f>
      </c>
      <c r="AN322" s="39">
        <f>IF(ISNUMBER($AD322),$AO322+$AP322,"")</f>
      </c>
      <c r="AO322" s="39">
        <f>IF(ISNUMBER($AD322),ROUND($AD322*Header!$K$3,2),"")</f>
      </c>
      <c r="AP322" s="39">
        <f>IF(ISNUMBER($AD322),ROUND($AD322*Header!$M$3,2),"")</f>
      </c>
      <c r="AQ322" s="38">
        <f>IF(ISNUMBER($AD322),ROUND($AD322,2)-$AO322-$AP322,"")</f>
      </c>
      <c r="AR322" s="39">
        <f>IF(ISNUMBER($AD322),IF(Header!$D$34="","?",$AD322*Header!$D$34),"")</f>
      </c>
      <c r="AS322" s="39">
        <f>IF(ISNUMBER($AB322),IF(Header!$D$34="","?",$AB322*Header!$D$34),"")</f>
      </c>
      <c r="AT322" s="42">
        <f>IF(AND(ISNUMBER($AB322),$M322&gt;0),$AB322/$M322*100,"")</f>
      </c>
      <c r="AU322" s="42">
        <f>IF(AND(ISNUMBER($AD322),$M322&gt;0),$AD322/$M322*100,"")</f>
      </c>
      <c r="AV322" s="40">
        <f>IF(AND(ISNUMBER($AB322),ISNUMBER($AD322),ABS($AB322)&gt;0),$AD322/$AB322,"")</f>
      </c>
      <c r="AW322" s="39">
        <f>IF(ISNUMBER($AD322),MAX(0,(1-0.55-Header!$O$3)*Header!$Q$3*$AQ322),"")</f>
      </c>
      <c r="AX322" s="43">
        <f>IF($A322="","",IF(TRIM(IF($A322="","Missing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",""))="","PASS","FAIL: "&amp;TRIM(IF($A322="","Missing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f>
      </c>
      <c r="AY322" s="44">
        <f>IF($M322="","",IF(ISNUMBER($M322),IF($M322&gt;=Header!$C$18,"YES — refer","No"),""))</f>
      </c>
      <c r="AZ322" s="44">
        <f>IF($AD322="","",IF(ISNUMBER($AD322),IF($AD322&lt;Header!$C$20,"BELOW MIN PREMIUM","OK"),""))</f>
      </c>
      <c r="BA322" s="48" t="inlineStr">
        <is>
          <t xml:space="preserve">Yes</t>
        </is>
      </c>
      <c r="BB322" s="48" t="inlineStr">
        <is>
          <t xml:space="preserve">Yes</t>
        </is>
      </c>
      <c r="BC322" s="46" t="inlineStr">
        <is>
          <t xml:space="preserve">Synthetic demo data</t>
        </is>
      </c>
      <c r="BE322" s="45">
        <f>IF(OR($A322="",$L322="",$H322=""),"",IF(AND(LEFT($L322,2)="06",$H322&gt;1945),"FAIL - pre-war class, year "&amp;$H322,IF(AND(LEFT($L322,2)="07",OR($H322&lt;1946,$H322&gt;1972)),"FAIL - 1946-72 class, year "&amp;$H322,IF(AND(LEFT($L322,2)="08",OR($H322&lt;1973,$H322&gt;1999)),"FAIL - 1973-99 class, year "&amp;$H322,IF(AND(LEFT($L322,2)="09",OR($H322&lt;2000,$H322&gt;2010)),"FAIL - 2000-10 class, year "&amp;$H322,"OK")))))</f>
      </c>
      <c r="BF322" s="45">
        <f>IF($AD322="","",IF(ROUND($AO322+$AP322+$AQ322-$AD322,2)=0,"OK","FAIL - out by "&amp;TEXT($AO322+$AP322+$AQ322-$AD322,"$0.00")))</f>
      </c>
    </row>
    <row r="323" spans="1:58" ht="18.75" customHeight="1" x14ac:dyDescent="0.25">
      <c r="A323" s="30" t="inlineStr">
        <is>
          <t xml:space="preserve">CANON-202606-008846</t>
        </is>
      </c>
      <c r="B323" s="30" t="inlineStr">
        <is>
          <t xml:space="preserve">Mireille Kingsford</t>
        </is>
      </c>
      <c r="C323" s="31">
        <v>46192</v>
      </c>
      <c r="D323" s="32" t="inlineStr">
        <is>
          <t xml:space="preserve">Bound - within authority</t>
        </is>
      </c>
      <c r="E323" s="32" t="inlineStr">
        <is>
          <t xml:space="preserve">New business</t>
        </is>
      </c>
      <c r="F323" s="30" t="inlineStr">
        <is>
          <t xml:space="preserve">B1234EXOTIC26</t>
        </is>
      </c>
      <c r="G323" s="33">
        <f>IF($A323="","",IF($C323="","",YEAR($C323)))</f>
      </c>
      <c r="H323" s="34">
        <v>2007</v>
      </c>
      <c r="I323" s="30" t="inlineStr">
        <is>
          <t xml:space="preserve">Aston Martin</t>
        </is>
      </c>
      <c r="J323" s="30" t="inlineStr">
        <is>
          <t xml:space="preserve">DB12</t>
        </is>
      </c>
      <c r="K323" s="30" t="inlineStr">
        <is>
          <t xml:space="preserve">H12P6B35NA8B687JW</t>
        </is>
      </c>
      <c r="L323" s="32" t="inlineStr">
        <is>
          <t xml:space="preserve">02 - Sports / GT</t>
        </is>
      </c>
      <c r="M323" s="35">
        <v>650000</v>
      </c>
      <c r="N323" s="32" t="inlineStr">
        <is>
          <t xml:space="preserve">Personal</t>
        </is>
      </c>
      <c r="O323" s="30" t="inlineStr">
        <is>
          <t xml:space="preserve">Personal - regular use</t>
        </is>
      </c>
      <c r="P323" s="30" t="inlineStr">
        <is>
          <t xml:space="preserve">2,500 - 5,000</t>
        </is>
      </c>
      <c r="Q323" s="30" t="inlineStr">
        <is>
          <t xml:space="preserve">Vermont</t>
        </is>
      </c>
      <c r="R323" s="30" t="inlineStr">
        <is>
          <t xml:space="preserve">05601</t>
        </is>
      </c>
      <c r="S323" s="32" t="inlineStr">
        <is>
          <t xml:space="preserve">Low hazard - inland benign</t>
        </is>
      </c>
      <c r="T323" s="36">
        <f>IF($A323="","",IF($S323="","",IFERROR(INDEX('[1]natural catastrophe'!$D$6:$D$17,MATCH($S323,'[1]natural catastrophe'!$B$6:$B$17,0)),"?")))</f>
      </c>
      <c r="U323" s="30" t="inlineStr">
        <is>
          <t xml:space="preserve">$5,000</t>
        </is>
      </c>
      <c r="V323" s="32" t="inlineStr">
        <is>
          <t xml:space="preserve">Agreed Value</t>
        </is>
      </c>
      <c r="W323" s="30" t="inlineStr">
        <is>
          <t xml:space="preserve">$1,000</t>
        </is>
      </c>
      <c r="X323" s="32" t="inlineStr">
        <is>
          <t xml:space="preserve">$1,000,000 CSL</t>
        </is>
      </c>
      <c r="Y323" s="30"/>
      <c r="Z323" s="30"/>
      <c r="AA323" s="32" t="inlineStr">
        <is>
          <t xml:space="preserve">Surplus Lines</t>
        </is>
      </c>
      <c r="AB323" s="35">
        <v>7438.04</v>
      </c>
      <c r="AC323" s="37">
        <v>0</v>
      </c>
      <c r="AD323" s="38">
        <f>IF(ISNUMBER($AB323),$AB323*(1+N($AC323)),"")</f>
      </c>
      <c r="AE323" s="35">
        <v>350</v>
      </c>
      <c r="AF323" s="35">
        <v>0</v>
      </c>
      <c r="AG323" s="37"/>
      <c r="AH323" s="39">
        <f>IF(ISNUMBER($AD323),($AD323+$AE323+$AF323)*$AG323,"")</f>
      </c>
      <c r="AI323" s="35"/>
      <c r="AJ323" s="38">
        <f>IF(ISNUMBER($AD323),SUM($AD323:$AH323),"")</f>
      </c>
      <c r="AK323" s="40">
        <f>IF(AND(ISNUMBER($AB323),ISNUMBER($AD323)),IF($AB323&gt;0,$AD323/$AB323,""),"")</f>
      </c>
      <c r="AL323" s="32" t="inlineStr">
        <is>
          <t xml:space="preserve">At technical</t>
        </is>
      </c>
      <c r="AM323" s="41">
        <f>IF(ISNUMBER($AD323),Header!$I$3,"")</f>
      </c>
      <c r="AN323" s="39">
        <f>IF(ISNUMBER($AD323),$AO323+$AP323,"")</f>
      </c>
      <c r="AO323" s="39">
        <f>IF(ISNUMBER($AD323),ROUND($AD323*Header!$K$3,2),"")</f>
      </c>
      <c r="AP323" s="39">
        <f>IF(ISNUMBER($AD323),ROUND($AD323*Header!$M$3,2),"")</f>
      </c>
      <c r="AQ323" s="38">
        <f>IF(ISNUMBER($AD323),ROUND($AD323,2)-$AO323-$AP323,"")</f>
      </c>
      <c r="AR323" s="39">
        <f>IF(ISNUMBER($AD323),IF(Header!$D$34="","?",$AD323*Header!$D$34),"")</f>
      </c>
      <c r="AS323" s="39">
        <f>IF(ISNUMBER($AB323),IF(Header!$D$34="","?",$AB323*Header!$D$34),"")</f>
      </c>
      <c r="AT323" s="42">
        <f>IF(AND(ISNUMBER($AB323),$M323&gt;0),$AB323/$M323*100,"")</f>
      </c>
      <c r="AU323" s="42">
        <f>IF(AND(ISNUMBER($AD323),$M323&gt;0),$AD323/$M323*100,"")</f>
      </c>
      <c r="AV323" s="40">
        <f>IF(AND(ISNUMBER($AB323),ISNUMBER($AD323),ABS($AB323)&gt;0),$AD323/$AB323,"")</f>
      </c>
      <c r="AW323" s="39">
        <f>IF(ISNUMBER($AD323),MAX(0,(1-0.55-Header!$O$3)*Header!$Q$3*$AQ323),"")</f>
      </c>
      <c r="AX323" s="43">
        <f>IF($A323="","",IF(TRIM(IF($A323="","Missing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",""))="","PASS","FAIL: "&amp;TRIM(IF($A323="","Missing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f>
      </c>
      <c r="AY323" s="44">
        <f>IF($M323="","",IF(ISNUMBER($M323),IF($M323&gt;=Header!$C$18,"YES — refer","No"),""))</f>
      </c>
      <c r="AZ323" s="44">
        <f>IF($AD323="","",IF(ISNUMBER($AD323),IF($AD323&lt;Header!$C$20,"BELOW MIN PREMIUM","OK"),""))</f>
      </c>
      <c r="BA323" s="32" t="inlineStr">
        <is>
          <t xml:space="preserve">Yes</t>
        </is>
      </c>
      <c r="BB323" s="32" t="inlineStr">
        <is>
          <t xml:space="preserve">Yes</t>
        </is>
      </c>
      <c r="BC323" s="30" t="inlineStr">
        <is>
          <t xml:space="preserve">Synthetic demo data</t>
        </is>
      </c>
      <c r="BE323" s="45">
        <f>IF(OR($A323="",$L323="",$H323=""),"",IF(AND(LEFT($L323,2)="06",$H323&gt;1945),"FAIL - pre-war class, year "&amp;$H323,IF(AND(LEFT($L323,2)="07",OR($H323&lt;1946,$H323&gt;1972)),"FAIL - 1946-72 class, year "&amp;$H323,IF(AND(LEFT($L323,2)="08",OR($H323&lt;1973,$H323&gt;1999)),"FAIL - 1973-99 class, year "&amp;$H323,IF(AND(LEFT($L323,2)="09",OR($H323&lt;2000,$H323&gt;2010)),"FAIL - 2000-10 class, year "&amp;$H323,"OK")))))</f>
      </c>
      <c r="BF323" s="45">
        <f>IF($AD323="","",IF(ROUND($AO323+$AP323+$AQ323-$AD323,2)=0,"OK","FAIL - out by "&amp;TEXT($AO323+$AP323+$AQ323-$AD323,"$0.00")))</f>
      </c>
    </row>
    <row r="324" spans="1:58" ht="18.75" customHeight="1" x14ac:dyDescent="0.25">
      <c r="A324" s="46" t="inlineStr">
        <is>
          <t xml:space="preserve">CANON-202606-008847</t>
        </is>
      </c>
      <c r="B324" s="46" t="inlineStr">
        <is>
          <t xml:space="preserve">Horace Harrington</t>
        </is>
      </c>
      <c r="C324" s="47">
        <v>46202</v>
      </c>
      <c r="D324" s="48" t="inlineStr">
        <is>
          <t xml:space="preserve">Bound - within authority</t>
        </is>
      </c>
      <c r="E324" s="48" t="inlineStr">
        <is>
          <t xml:space="preserve">New business</t>
        </is>
      </c>
      <c r="F324" s="46" t="inlineStr">
        <is>
          <t xml:space="preserve">B1234EXOTIC26</t>
        </is>
      </c>
      <c r="G324" s="33">
        <f>IF($A324="","",IF($C324="","",YEAR($C324)))</f>
      </c>
      <c r="H324" s="49">
        <v>2006</v>
      </c>
      <c r="I324" s="46" t="inlineStr">
        <is>
          <t xml:space="preserve">BMW</t>
        </is>
      </c>
      <c r="J324" s="46" t="inlineStr">
        <is>
          <t xml:space="preserve">M8 Competition</t>
        </is>
      </c>
      <c r="K324" s="46" t="inlineStr">
        <is>
          <t xml:space="preserve">F1D9E34T4675ACERT</t>
        </is>
      </c>
      <c r="L324" s="48" t="inlineStr">
        <is>
          <t xml:space="preserve">02 - Sports / GT</t>
        </is>
      </c>
      <c r="M324" s="50">
        <v>780000</v>
      </c>
      <c r="N324" s="48" t="inlineStr">
        <is>
          <t xml:space="preserve">Personal</t>
        </is>
      </c>
      <c r="O324" s="46" t="inlineStr">
        <is>
          <t xml:space="preserve">Personal - regular use</t>
        </is>
      </c>
      <c r="P324" s="46" t="inlineStr">
        <is>
          <t xml:space="preserve">2,500 - 5,000</t>
        </is>
      </c>
      <c r="Q324" s="46" t="inlineStr">
        <is>
          <t xml:space="preserve">Michigan</t>
        </is>
      </c>
      <c r="R324" s="46" t="inlineStr">
        <is>
          <t xml:space="preserve">48226</t>
        </is>
      </c>
      <c r="S324" s="48" t="inlineStr">
        <is>
          <t xml:space="preserve">Severe convective - hail / tornado (moderate)</t>
        </is>
      </c>
      <c r="T324" s="36">
        <f>IF($A324="","",IF($S324="","",IFERROR(INDEX('[1]natural catastrophe'!$D$6:$D$17,MATCH($S324,'[1]natural catastrophe'!$B$6:$B$17,0)),"?")))</f>
      </c>
      <c r="U324" s="46" t="inlineStr">
        <is>
          <t xml:space="preserve">$5,000</t>
        </is>
      </c>
      <c r="V324" s="48" t="inlineStr">
        <is>
          <t xml:space="preserve">Agreed Value</t>
        </is>
      </c>
      <c r="W324" s="46" t="inlineStr">
        <is>
          <t xml:space="preserve">$1,000</t>
        </is>
      </c>
      <c r="X324" s="48" t="inlineStr">
        <is>
          <t xml:space="preserve">$1,000,000 CSL</t>
        </is>
      </c>
      <c r="Y324" s="46"/>
      <c r="Z324" s="46"/>
      <c r="AA324" s="48" t="inlineStr">
        <is>
          <t xml:space="preserve">Surplus Lines</t>
        </is>
      </c>
      <c r="AB324" s="50">
        <v>11339.96</v>
      </c>
      <c r="AC324" s="51">
        <v>0</v>
      </c>
      <c r="AD324" s="38">
        <f>IF(ISNUMBER($AB324),$AB324*(1+N($AC324)),"")</f>
      </c>
      <c r="AE324" s="50">
        <v>350</v>
      </c>
      <c r="AF324" s="50">
        <v>0</v>
      </c>
      <c r="AG324" s="51"/>
      <c r="AH324" s="39">
        <f>IF(ISNUMBER($AD324),($AD324+$AE324+$AF324)*$AG324,"")</f>
      </c>
      <c r="AI324" s="50"/>
      <c r="AJ324" s="38">
        <f>IF(ISNUMBER($AD324),SUM($AD324:$AH324),"")</f>
      </c>
      <c r="AK324" s="40">
        <f>IF(AND(ISNUMBER($AB324),ISNUMBER($AD324)),IF($AB324&gt;0,$AD324/$AB324,""),"")</f>
      </c>
      <c r="AL324" s="48" t="inlineStr">
        <is>
          <t xml:space="preserve">At technical</t>
        </is>
      </c>
      <c r="AM324" s="41">
        <f>IF(ISNUMBER($AD324),Header!$I$3,"")</f>
      </c>
      <c r="AN324" s="39">
        <f>IF(ISNUMBER($AD324),$AO324+$AP324,"")</f>
      </c>
      <c r="AO324" s="39">
        <f>IF(ISNUMBER($AD324),ROUND($AD324*Header!$K$3,2),"")</f>
      </c>
      <c r="AP324" s="39">
        <f>IF(ISNUMBER($AD324),ROUND($AD324*Header!$M$3,2),"")</f>
      </c>
      <c r="AQ324" s="38">
        <f>IF(ISNUMBER($AD324),ROUND($AD324,2)-$AO324-$AP324,"")</f>
      </c>
      <c r="AR324" s="39">
        <f>IF(ISNUMBER($AD324),IF(Header!$D$34="","?",$AD324*Header!$D$34),"")</f>
      </c>
      <c r="AS324" s="39">
        <f>IF(ISNUMBER($AB324),IF(Header!$D$34="","?",$AB324*Header!$D$34),"")</f>
      </c>
      <c r="AT324" s="42">
        <f>IF(AND(ISNUMBER($AB324),$M324&gt;0),$AB324/$M324*100,"")</f>
      </c>
      <c r="AU324" s="42">
        <f>IF(AND(ISNUMBER($AD324),$M324&gt;0),$AD324/$M324*100,"")</f>
      </c>
      <c r="AV324" s="40">
        <f>IF(AND(ISNUMBER($AB324),ISNUMBER($AD324),ABS($AB324)&gt;0),$AD324/$AB324,"")</f>
      </c>
      <c r="AW324" s="39">
        <f>IF(ISNUMBER($AD324),MAX(0,(1-0.55-Header!$O$3)*Header!$Q$3*$AQ324),"")</f>
      </c>
      <c r="AX324" s="43">
        <f>IF($A324="","",IF(TRIM(IF($A324="","Missing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",""))="","PASS","FAIL: "&amp;TRIM(IF($A324="","Missing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f>
      </c>
      <c r="AY324" s="44">
        <f>IF($M324="","",IF(ISNUMBER($M324),IF($M324&gt;=Header!$C$18,"YES — refer","No"),""))</f>
      </c>
      <c r="AZ324" s="44">
        <f>IF($AD324="","",IF(ISNUMBER($AD324),IF($AD324&lt;Header!$C$20,"BELOW MIN PREMIUM","OK"),""))</f>
      </c>
      <c r="BA324" s="48" t="inlineStr">
        <is>
          <t xml:space="preserve">Yes</t>
        </is>
      </c>
      <c r="BB324" s="48" t="inlineStr">
        <is>
          <t xml:space="preserve">Yes</t>
        </is>
      </c>
      <c r="BC324" s="46" t="inlineStr">
        <is>
          <t xml:space="preserve">Synthetic demo data</t>
        </is>
      </c>
      <c r="BE324" s="45">
        <f>IF(OR($A324="",$L324="",$H324=""),"",IF(AND(LEFT($L324,2)="06",$H324&gt;1945),"FAIL - pre-war class, year "&amp;$H324,IF(AND(LEFT($L324,2)="07",OR($H324&lt;1946,$H324&gt;1972)),"FAIL - 1946-72 class, year "&amp;$H324,IF(AND(LEFT($L324,2)="08",OR($H324&lt;1973,$H324&gt;1999)),"FAIL - 1973-99 class, year "&amp;$H324,IF(AND(LEFT($L324,2)="09",OR($H324&lt;2000,$H324&gt;2010)),"FAIL - 2000-10 class, year "&amp;$H324,"OK")))))</f>
      </c>
      <c r="BF324" s="45">
        <f>IF($AD324="","",IF(ROUND($AO324+$AP324+$AQ324-$AD324,2)=0,"OK","FAIL - out by "&amp;TEXT($AO324+$AP324+$AQ324-$AD324,"$0.00")))</f>
      </c>
    </row>
    <row r="325" spans="1:58" ht="18.75" customHeight="1" x14ac:dyDescent="0.25">
      <c r="A325" s="30" t="inlineStr">
        <is>
          <t xml:space="preserve">CANON-202606-008848</t>
        </is>
      </c>
      <c r="B325" s="30" t="inlineStr">
        <is>
          <t xml:space="preserve">Mireille Vasquez</t>
        </is>
      </c>
      <c r="C325" s="31">
        <v>46174</v>
      </c>
      <c r="D325" s="32" t="inlineStr">
        <is>
          <t xml:space="preserve">Bound - within authority</t>
        </is>
      </c>
      <c r="E325" s="32" t="inlineStr">
        <is>
          <t xml:space="preserve">New business</t>
        </is>
      </c>
      <c r="F325" s="30" t="inlineStr">
        <is>
          <t xml:space="preserve">B1234EXOTIC26</t>
        </is>
      </c>
      <c r="G325" s="33">
        <f>IF($A325="","",IF($C325="","",YEAR($C325)))</f>
      </c>
      <c r="H325" s="34">
        <v>1980</v>
      </c>
      <c r="I325" s="30" t="inlineStr">
        <is>
          <t xml:space="preserve">Mercedes-Benz</t>
        </is>
      </c>
      <c r="J325" s="30" t="inlineStr">
        <is>
          <t xml:space="preserve">AMG GT</t>
        </is>
      </c>
      <c r="K325" s="30" t="inlineStr">
        <is>
          <t xml:space="preserve">9XZFS02UL3G3TL0NB</t>
        </is>
      </c>
      <c r="L325" s="32" t="inlineStr">
        <is>
          <t xml:space="preserve">02 - Sports / GT</t>
        </is>
      </c>
      <c r="M325" s="35">
        <v>340000</v>
      </c>
      <c r="N325" s="32" t="inlineStr">
        <is>
          <t xml:space="preserve">Personal</t>
        </is>
      </c>
      <c r="O325" s="30" t="inlineStr">
        <is>
          <t xml:space="preserve">Personal - regular use</t>
        </is>
      </c>
      <c r="P325" s="30" t="inlineStr">
        <is>
          <t xml:space="preserve">2,500 - 5,000</t>
        </is>
      </c>
      <c r="Q325" s="30" t="inlineStr">
        <is>
          <t xml:space="preserve">North Carolina</t>
        </is>
      </c>
      <c r="R325" s="30" t="inlineStr">
        <is>
          <t xml:space="preserve">28202</t>
        </is>
      </c>
      <c r="S325" s="32" t="inlineStr">
        <is>
          <t xml:space="preserve">Tier 2 - Coastal wind (1-25 miles)</t>
        </is>
      </c>
      <c r="T325" s="36">
        <f>IF($A325="","",IF($S325="","",IFERROR(INDEX('[1]natural catastrophe'!$D$6:$D$17,MATCH($S325,'[1]natural catastrophe'!$B$6:$B$17,0)),"?")))</f>
      </c>
      <c r="U325" s="30" t="inlineStr">
        <is>
          <t xml:space="preserve">2% of agreed value, minimum $10,000</t>
        </is>
      </c>
      <c r="V325" s="32" t="inlineStr">
        <is>
          <t xml:space="preserve">Agreed Value</t>
        </is>
      </c>
      <c r="W325" s="30" t="inlineStr">
        <is>
          <t xml:space="preserve">$1,000</t>
        </is>
      </c>
      <c r="X325" s="32" t="inlineStr">
        <is>
          <t xml:space="preserve">$1,000,000 CSL</t>
        </is>
      </c>
      <c r="Y325" s="30"/>
      <c r="Z325" s="30"/>
      <c r="AA325" s="32" t="inlineStr">
        <is>
          <t xml:space="preserve">Surplus Lines</t>
        </is>
      </c>
      <c r="AB325" s="35">
        <v>4231.65</v>
      </c>
      <c r="AC325" s="37">
        <v>0</v>
      </c>
      <c r="AD325" s="38">
        <f>IF(ISNUMBER($AB325),$AB325*(1+N($AC325)),"")</f>
      </c>
      <c r="AE325" s="35">
        <v>350</v>
      </c>
      <c r="AF325" s="35">
        <v>0</v>
      </c>
      <c r="AG325" s="37"/>
      <c r="AH325" s="39">
        <f>IF(ISNUMBER($AD325),($AD325+$AE325+$AF325)*$AG325,"")</f>
      </c>
      <c r="AI325" s="35"/>
      <c r="AJ325" s="38">
        <f>IF(ISNUMBER($AD325),SUM($AD325:$AH325),"")</f>
      </c>
      <c r="AK325" s="40">
        <f>IF(AND(ISNUMBER($AB325),ISNUMBER($AD325)),IF($AB325&gt;0,$AD325/$AB325,""),"")</f>
      </c>
      <c r="AL325" s="32" t="inlineStr">
        <is>
          <t xml:space="preserve">At technical</t>
        </is>
      </c>
      <c r="AM325" s="41">
        <f>IF(ISNUMBER($AD325),Header!$I$3,"")</f>
      </c>
      <c r="AN325" s="39">
        <f>IF(ISNUMBER($AD325),$AO325+$AP325,"")</f>
      </c>
      <c r="AO325" s="39">
        <f>IF(ISNUMBER($AD325),ROUND($AD325*Header!$K$3,2),"")</f>
      </c>
      <c r="AP325" s="39">
        <f>IF(ISNUMBER($AD325),ROUND($AD325*Header!$M$3,2),"")</f>
      </c>
      <c r="AQ325" s="38">
        <f>IF(ISNUMBER($AD325),ROUND($AD325,2)-$AO325-$AP325,"")</f>
      </c>
      <c r="AR325" s="39">
        <f>IF(ISNUMBER($AD325),IF(Header!$D$34="","?",$AD325*Header!$D$34),"")</f>
      </c>
      <c r="AS325" s="39">
        <f>IF(ISNUMBER($AB325),IF(Header!$D$34="","?",$AB325*Header!$D$34),"")</f>
      </c>
      <c r="AT325" s="42">
        <f>IF(AND(ISNUMBER($AB325),$M325&gt;0),$AB325/$M325*100,"")</f>
      </c>
      <c r="AU325" s="42">
        <f>IF(AND(ISNUMBER($AD325),$M325&gt;0),$AD325/$M325*100,"")</f>
      </c>
      <c r="AV325" s="40">
        <f>IF(AND(ISNUMBER($AB325),ISNUMBER($AD325),ABS($AB325)&gt;0),$AD325/$AB325,"")</f>
      </c>
      <c r="AW325" s="39">
        <f>IF(ISNUMBER($AD325),MAX(0,(1-0.55-Header!$O$3)*Header!$Q$3*$AQ325),"")</f>
      </c>
      <c r="AX325" s="43">
        <f>IF($A325="","",IF(TRIM(IF($A325="","Missing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",""))="","PASS","FAIL: "&amp;TRIM(IF($A325="","Missing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f>
      </c>
      <c r="AY325" s="44">
        <f>IF($M325="","",IF(ISNUMBER($M325),IF($M325&gt;=Header!$C$18,"YES — refer","No"),""))</f>
      </c>
      <c r="AZ325" s="44">
        <f>IF($AD325="","",IF(ISNUMBER($AD325),IF($AD325&lt;Header!$C$20,"BELOW MIN PREMIUM","OK"),""))</f>
      </c>
      <c r="BA325" s="32" t="inlineStr">
        <is>
          <t xml:space="preserve">Yes</t>
        </is>
      </c>
      <c r="BB325" s="32" t="inlineStr">
        <is>
          <t xml:space="preserve">Yes</t>
        </is>
      </c>
      <c r="BC325" s="30" t="inlineStr">
        <is>
          <t xml:space="preserve">Synthetic demo data</t>
        </is>
      </c>
      <c r="BE325" s="45">
        <f>IF(OR($A325="",$L325="",$H325=""),"",IF(AND(LEFT($L325,2)="06",$H325&gt;1945),"FAIL - pre-war class, year "&amp;$H325,IF(AND(LEFT($L325,2)="07",OR($H325&lt;1946,$H325&gt;1972)),"FAIL - 1946-72 class, year "&amp;$H325,IF(AND(LEFT($L325,2)="08",OR($H325&lt;1973,$H325&gt;1999)),"FAIL - 1973-99 class, year "&amp;$H325,IF(AND(LEFT($L325,2)="09",OR($H325&lt;2000,$H325&gt;2010)),"FAIL - 2000-10 class, year "&amp;$H325,"OK")))))</f>
      </c>
      <c r="BF325" s="45">
        <f>IF($AD325="","",IF(ROUND($AO325+$AP325+$AQ325-$AD325,2)=0,"OK","FAIL - out by "&amp;TEXT($AO325+$AP325+$AQ325-$AD325,"$0.00")))</f>
      </c>
    </row>
    <row r="326" spans="1:58" ht="18.75" customHeight="1" x14ac:dyDescent="0.25">
      <c r="A326" s="46" t="inlineStr">
        <is>
          <t xml:space="preserve">CANON-202606-008849</t>
        </is>
      </c>
      <c r="B326" s="46" t="inlineStr">
        <is>
          <t xml:space="preserve">Callum Kingsford</t>
        </is>
      </c>
      <c r="C326" s="47">
        <v>46180</v>
      </c>
      <c r="D326" s="48" t="inlineStr">
        <is>
          <t xml:space="preserve">Bound - within authority</t>
        </is>
      </c>
      <c r="E326" s="48" t="inlineStr">
        <is>
          <t xml:space="preserve">New business</t>
        </is>
      </c>
      <c r="F326" s="46" t="inlineStr">
        <is>
          <t xml:space="preserve">B1234EXOTIC26</t>
        </is>
      </c>
      <c r="G326" s="33">
        <f>IF($A326="","",IF($C326="","",YEAR($C326)))</f>
      </c>
      <c r="H326" s="49">
        <v>2015</v>
      </c>
      <c r="I326" s="46" t="inlineStr">
        <is>
          <t xml:space="preserve">BMW</t>
        </is>
      </c>
      <c r="J326" s="46" t="inlineStr">
        <is>
          <t xml:space="preserve">M8 Competition</t>
        </is>
      </c>
      <c r="K326" s="46" t="inlineStr">
        <is>
          <t xml:space="preserve">UAUFL85MF5RL0E634</t>
        </is>
      </c>
      <c r="L326" s="48" t="inlineStr">
        <is>
          <t xml:space="preserve">02 - Sports / GT</t>
        </is>
      </c>
      <c r="M326" s="50">
        <v>405000</v>
      </c>
      <c r="N326" s="48" t="inlineStr">
        <is>
          <t xml:space="preserve">Personal</t>
        </is>
      </c>
      <c r="O326" s="46" t="inlineStr">
        <is>
          <t xml:space="preserve">Personal - regular use</t>
        </is>
      </c>
      <c r="P326" s="46" t="inlineStr">
        <is>
          <t xml:space="preserve">2,500 - 5,000</t>
        </is>
      </c>
      <c r="Q326" s="46" t="inlineStr">
        <is>
          <t xml:space="preserve">Mississippi</t>
        </is>
      </c>
      <c r="R326" s="46" t="inlineStr">
        <is>
          <t xml:space="preserve">39201</t>
        </is>
      </c>
      <c r="S326" s="48" t="inlineStr">
        <is>
          <t xml:space="preserve">Tier 2 - Coastal wind (1-25 miles)</t>
        </is>
      </c>
      <c r="T326" s="36">
        <f>IF($A326="","",IF($S326="","",IFERROR(INDEX('[1]natural catastrophe'!$D$6:$D$17,MATCH($S326,'[1]natural catastrophe'!$B$6:$B$17,0)),"?")))</f>
      </c>
      <c r="U326" s="46" t="inlineStr">
        <is>
          <t xml:space="preserve">2% of agreed value, minimum $10,000</t>
        </is>
      </c>
      <c r="V326" s="48" t="inlineStr">
        <is>
          <t xml:space="preserve">Agreed Value</t>
        </is>
      </c>
      <c r="W326" s="46" t="inlineStr">
        <is>
          <t xml:space="preserve">$1,000</t>
        </is>
      </c>
      <c r="X326" s="48" t="inlineStr">
        <is>
          <t xml:space="preserve">$1,000,000 CSL</t>
        </is>
      </c>
      <c r="Y326" s="46"/>
      <c r="Z326" s="46"/>
      <c r="AA326" s="48" t="inlineStr">
        <is>
          <t xml:space="preserve">Surplus Lines</t>
        </is>
      </c>
      <c r="AB326" s="50">
        <v>5215.97</v>
      </c>
      <c r="AC326" s="51">
        <v>0</v>
      </c>
      <c r="AD326" s="38">
        <f>IF(ISNUMBER($AB326),$AB326*(1+N($AC326)),"")</f>
      </c>
      <c r="AE326" s="50">
        <v>350</v>
      </c>
      <c r="AF326" s="50">
        <v>0</v>
      </c>
      <c r="AG326" s="51"/>
      <c r="AH326" s="39">
        <f>IF(ISNUMBER($AD326),($AD326+$AE326+$AF326)*$AG326,"")</f>
      </c>
      <c r="AI326" s="50"/>
      <c r="AJ326" s="38">
        <f>IF(ISNUMBER($AD326),SUM($AD326:$AH326),"")</f>
      </c>
      <c r="AK326" s="40">
        <f>IF(AND(ISNUMBER($AB326),ISNUMBER($AD326)),IF($AB326&gt;0,$AD326/$AB326,""),"")</f>
      </c>
      <c r="AL326" s="48" t="inlineStr">
        <is>
          <t xml:space="preserve">At technical</t>
        </is>
      </c>
      <c r="AM326" s="41">
        <f>IF(ISNUMBER($AD326),Header!$I$3,"")</f>
      </c>
      <c r="AN326" s="39">
        <f>IF(ISNUMBER($AD326),$AO326+$AP326,"")</f>
      </c>
      <c r="AO326" s="39">
        <f>IF(ISNUMBER($AD326),ROUND($AD326*Header!$K$3,2),"")</f>
      </c>
      <c r="AP326" s="39">
        <f>IF(ISNUMBER($AD326),ROUND($AD326*Header!$M$3,2),"")</f>
      </c>
      <c r="AQ326" s="38">
        <f>IF(ISNUMBER($AD326),ROUND($AD326,2)-$AO326-$AP326,"")</f>
      </c>
      <c r="AR326" s="39">
        <f>IF(ISNUMBER($AD326),IF(Header!$D$34="","?",$AD326*Header!$D$34),"")</f>
      </c>
      <c r="AS326" s="39">
        <f>IF(ISNUMBER($AB326),IF(Header!$D$34="","?",$AB326*Header!$D$34),"")</f>
      </c>
      <c r="AT326" s="42">
        <f>IF(AND(ISNUMBER($AB326),$M326&gt;0),$AB326/$M326*100,"")</f>
      </c>
      <c r="AU326" s="42">
        <f>IF(AND(ISNUMBER($AD326),$M326&gt;0),$AD326/$M326*100,"")</f>
      </c>
      <c r="AV326" s="40">
        <f>IF(AND(ISNUMBER($AB326),ISNUMBER($AD326),ABS($AB326)&gt;0),$AD326/$AB326,"")</f>
      </c>
      <c r="AW326" s="39">
        <f>IF(ISNUMBER($AD326),MAX(0,(1-0.55-Header!$O$3)*Header!$Q$3*$AQ326),"")</f>
      </c>
      <c r="AX326" s="43">
        <f>IF($A326="","",IF(TRIM(IF($A326="","Missing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",""))="","PASS","FAIL: "&amp;TRIM(IF($A326="","Missing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f>
      </c>
      <c r="AY326" s="44">
        <f>IF($M326="","",IF(ISNUMBER($M326),IF($M326&gt;=Header!$C$18,"YES — refer","No"),""))</f>
      </c>
      <c r="AZ326" s="44">
        <f>IF($AD326="","",IF(ISNUMBER($AD326),IF($AD326&lt;Header!$C$20,"BELOW MIN PREMIUM","OK"),""))</f>
      </c>
      <c r="BA326" s="48" t="inlineStr">
        <is>
          <t xml:space="preserve">Yes</t>
        </is>
      </c>
      <c r="BB326" s="48" t="inlineStr">
        <is>
          <t xml:space="preserve">Yes</t>
        </is>
      </c>
      <c r="BC326" s="46" t="inlineStr">
        <is>
          <t xml:space="preserve">Synthetic demo data</t>
        </is>
      </c>
      <c r="BE326" s="45">
        <f>IF(OR($A326="",$L326="",$H326=""),"",IF(AND(LEFT($L326,2)="06",$H326&gt;1945),"FAIL - pre-war class, year "&amp;$H326,IF(AND(LEFT($L326,2)="07",OR($H326&lt;1946,$H326&gt;1972)),"FAIL - 1946-72 class, year "&amp;$H326,IF(AND(LEFT($L326,2)="08",OR($H326&lt;1973,$H326&gt;1999)),"FAIL - 1973-99 class, year "&amp;$H326,IF(AND(LEFT($L326,2)="09",OR($H326&lt;2000,$H326&gt;2010)),"FAIL - 2000-10 class, year "&amp;$H326,"OK")))))</f>
      </c>
      <c r="BF326" s="45">
        <f>IF($AD326="","",IF(ROUND($AO326+$AP326+$AQ326-$AD326,2)=0,"OK","FAIL - out by "&amp;TEXT($AO326+$AP326+$AQ326-$AD326,"$0.00")))</f>
      </c>
    </row>
    <row r="327" spans="1:58" ht="18.75" customHeight="1" x14ac:dyDescent="0.25">
      <c r="A327" s="30" t="inlineStr">
        <is>
          <t xml:space="preserve">CANON-202606-008851</t>
        </is>
      </c>
      <c r="B327" s="30" t="inlineStr">
        <is>
          <t xml:space="preserve">Emiliano Underwood</t>
        </is>
      </c>
      <c r="C327" s="31">
        <v>46178</v>
      </c>
      <c r="D327" s="32" t="inlineStr">
        <is>
          <t xml:space="preserve">Bound - within authority</t>
        </is>
      </c>
      <c r="E327" s="32" t="inlineStr">
        <is>
          <t xml:space="preserve">New business</t>
        </is>
      </c>
      <c r="F327" s="30" t="inlineStr">
        <is>
          <t xml:space="preserve">B1234EXOTIC26</t>
        </is>
      </c>
      <c r="G327" s="33">
        <f>IF($A327="","",IF($C327="","",YEAR($C327)))</f>
      </c>
      <c r="H327" s="34">
        <v>2010</v>
      </c>
      <c r="I327" s="30" t="inlineStr">
        <is>
          <t xml:space="preserve">McLaren</t>
        </is>
      </c>
      <c r="J327" s="30" t="inlineStr">
        <is>
          <t xml:space="preserve">750S</t>
        </is>
      </c>
      <c r="K327" s="30" t="inlineStr">
        <is>
          <t xml:space="preserve">BRSRY37P0EUHWCXLL</t>
        </is>
      </c>
      <c r="L327" s="32" t="inlineStr">
        <is>
          <t xml:space="preserve">03 - Supercar</t>
        </is>
      </c>
      <c r="M327" s="35">
        <v>1310000</v>
      </c>
      <c r="N327" s="32" t="inlineStr">
        <is>
          <t xml:space="preserve">Personal</t>
        </is>
      </c>
      <c r="O327" s="30" t="inlineStr">
        <is>
          <t xml:space="preserve">Personal - regular use</t>
        </is>
      </c>
      <c r="P327" s="30" t="inlineStr">
        <is>
          <t xml:space="preserve">Under 1,000</t>
        </is>
      </c>
      <c r="Q327" s="30" t="inlineStr">
        <is>
          <t xml:space="preserve">New York</t>
        </is>
      </c>
      <c r="R327" s="30" t="inlineStr">
        <is>
          <t xml:space="preserve">10022</t>
        </is>
      </c>
      <c r="S327" s="32" t="inlineStr">
        <is>
          <t xml:space="preserve">Tier 3 - Coastal wind (25-100 miles)</t>
        </is>
      </c>
      <c r="T327" s="36">
        <f>IF($A327="","",IF($S327="","",IFERROR(INDEX('[1]natural catastrophe'!$D$6:$D$17,MATCH($S327,'[1]natural catastrophe'!$B$6:$B$17,0)),"?")))</f>
      </c>
      <c r="U327" s="30" t="inlineStr">
        <is>
          <t xml:space="preserve">2% of agreed value, minimum $10,000</t>
        </is>
      </c>
      <c r="V327" s="32" t="inlineStr">
        <is>
          <t xml:space="preserve">Agreed Value</t>
        </is>
      </c>
      <c r="W327" s="30" t="inlineStr">
        <is>
          <t xml:space="preserve">$1,000</t>
        </is>
      </c>
      <c r="X327" s="32" t="inlineStr">
        <is>
          <t xml:space="preserve">$1,000,000 CSL</t>
        </is>
      </c>
      <c r="Y327" s="30"/>
      <c r="Z327" s="30"/>
      <c r="AA327" s="32" t="inlineStr">
        <is>
          <t xml:space="preserve">Surplus Lines</t>
        </is>
      </c>
      <c r="AB327" s="35">
        <v>19357.23</v>
      </c>
      <c r="AC327" s="37">
        <v>0</v>
      </c>
      <c r="AD327" s="38">
        <f>IF(ISNUMBER($AB327),$AB327*(1+N($AC327)),"")</f>
      </c>
      <c r="AE327" s="35">
        <v>350</v>
      </c>
      <c r="AF327" s="35">
        <v>250</v>
      </c>
      <c r="AG327" s="37"/>
      <c r="AH327" s="39">
        <f>IF(ISNUMBER($AD327),($AD327+$AE327+$AF327)*$AG327,"")</f>
      </c>
      <c r="AI327" s="35"/>
      <c r="AJ327" s="38">
        <f>IF(ISNUMBER($AD327),SUM($AD327:$AH327),"")</f>
      </c>
      <c r="AK327" s="40">
        <f>IF(AND(ISNUMBER($AB327),ISNUMBER($AD327)),IF($AB327&gt;0,$AD327/$AB327,""),"")</f>
      </c>
      <c r="AL327" s="32" t="inlineStr">
        <is>
          <t xml:space="preserve">At technical</t>
        </is>
      </c>
      <c r="AM327" s="41">
        <f>IF(ISNUMBER($AD327),Header!$I$3,"")</f>
      </c>
      <c r="AN327" s="39">
        <f>IF(ISNUMBER($AD327),$AO327+$AP327,"")</f>
      </c>
      <c r="AO327" s="39">
        <f>IF(ISNUMBER($AD327),ROUND($AD327*Header!$K$3,2),"")</f>
      </c>
      <c r="AP327" s="39">
        <f>IF(ISNUMBER($AD327),ROUND($AD327*Header!$M$3,2),"")</f>
      </c>
      <c r="AQ327" s="38">
        <f>IF(ISNUMBER($AD327),ROUND($AD327,2)-$AO327-$AP327,"")</f>
      </c>
      <c r="AR327" s="39">
        <f>IF(ISNUMBER($AD327),IF(Header!$D$34="","?",$AD327*Header!$D$34),"")</f>
      </c>
      <c r="AS327" s="39">
        <f>IF(ISNUMBER($AB327),IF(Header!$D$34="","?",$AB327*Header!$D$34),"")</f>
      </c>
      <c r="AT327" s="42">
        <f>IF(AND(ISNUMBER($AB327),$M327&gt;0),$AB327/$M327*100,"")</f>
      </c>
      <c r="AU327" s="42">
        <f>IF(AND(ISNUMBER($AD327),$M327&gt;0),$AD327/$M327*100,"")</f>
      </c>
      <c r="AV327" s="40">
        <f>IF(AND(ISNUMBER($AB327),ISNUMBER($AD327),ABS($AB327)&gt;0),$AD327/$AB327,"")</f>
      </c>
      <c r="AW327" s="39">
        <f>IF(ISNUMBER($AD327),MAX(0,(1-0.55-Header!$O$3)*Header!$Q$3*$AQ327),"")</f>
      </c>
      <c r="AX327" s="43">
        <f>IF($A327="","",IF(TRIM(IF($A327="","Missing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",""))="","PASS","FAIL: "&amp;TRIM(IF($A327="","Missing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f>
      </c>
      <c r="AY327" s="44">
        <f>IF($M327="","",IF(ISNUMBER($M327),IF($M327&gt;=Header!$C$18,"YES — refer","No"),""))</f>
      </c>
      <c r="AZ327" s="44">
        <f>IF($AD327="","",IF(ISNUMBER($AD327),IF($AD327&lt;Header!$C$20,"BELOW MIN PREMIUM","OK"),""))</f>
      </c>
      <c r="BA327" s="32" t="inlineStr">
        <is>
          <t xml:space="preserve">Yes</t>
        </is>
      </c>
      <c r="BB327" s="32" t="inlineStr">
        <is>
          <t xml:space="preserve">Yes</t>
        </is>
      </c>
      <c r="BC327" s="30" t="inlineStr">
        <is>
          <t xml:space="preserve">Synthetic demo data</t>
        </is>
      </c>
      <c r="BE327" s="45">
        <f>IF(OR($A327="",$L327="",$H327=""),"",IF(AND(LEFT($L327,2)="06",$H327&gt;1945),"FAIL - pre-war class, year "&amp;$H327,IF(AND(LEFT($L327,2)="07",OR($H327&lt;1946,$H327&gt;1972)),"FAIL - 1946-72 class, year "&amp;$H327,IF(AND(LEFT($L327,2)="08",OR($H327&lt;1973,$H327&gt;1999)),"FAIL - 1973-99 class, year "&amp;$H327,IF(AND(LEFT($L327,2)="09",OR($H327&lt;2000,$H327&gt;2010)),"FAIL - 2000-10 class, year "&amp;$H327,"OK")))))</f>
      </c>
      <c r="BF327" s="45">
        <f>IF($AD327="","",IF(ROUND($AO327+$AP327+$AQ327-$AD327,2)=0,"OK","FAIL - out by "&amp;TEXT($AO327+$AP327+$AQ327-$AD327,"$0.00")))</f>
      </c>
    </row>
    <row r="328" spans="1:58" ht="18.75" customHeight="1" x14ac:dyDescent="0.25">
      <c r="A328" s="46" t="inlineStr">
        <is>
          <t xml:space="preserve">CANON-202606-008852</t>
        </is>
      </c>
      <c r="B328" s="46" t="inlineStr">
        <is>
          <t xml:space="preserve">Priya Pennington</t>
        </is>
      </c>
      <c r="C328" s="47">
        <v>46183</v>
      </c>
      <c r="D328" s="48" t="inlineStr">
        <is>
          <t xml:space="preserve">Bound - within authority</t>
        </is>
      </c>
      <c r="E328" s="48" t="inlineStr">
        <is>
          <t xml:space="preserve">New business</t>
        </is>
      </c>
      <c r="F328" s="46" t="inlineStr">
        <is>
          <t xml:space="preserve">B1234EXOTIC26</t>
        </is>
      </c>
      <c r="G328" s="33">
        <f>IF($A328="","",IF($C328="","",YEAR($C328)))</f>
      </c>
      <c r="H328" s="49">
        <v>1995</v>
      </c>
      <c r="I328" s="46" t="inlineStr">
        <is>
          <t xml:space="preserve">Ferrari</t>
        </is>
      </c>
      <c r="J328" s="46" t="inlineStr">
        <is>
          <t xml:space="preserve">296 GTB</t>
        </is>
      </c>
      <c r="K328" s="46" t="inlineStr">
        <is>
          <t xml:space="preserve">LR609CYX60YESFMTT</t>
        </is>
      </c>
      <c r="L328" s="48" t="inlineStr">
        <is>
          <t xml:space="preserve">03 - Supercar</t>
        </is>
      </c>
      <c r="M328" s="50">
        <v>1760000</v>
      </c>
      <c r="N328" s="48" t="inlineStr">
        <is>
          <t xml:space="preserve">Personal</t>
        </is>
      </c>
      <c r="O328" s="46" t="inlineStr">
        <is>
          <t xml:space="preserve">Personal - regular use</t>
        </is>
      </c>
      <c r="P328" s="46" t="inlineStr">
        <is>
          <t xml:space="preserve">2,500 - 5,000</t>
        </is>
      </c>
      <c r="Q328" s="46" t="inlineStr">
        <is>
          <t xml:space="preserve">South Carolina</t>
        </is>
      </c>
      <c r="R328" s="46" t="inlineStr">
        <is>
          <t xml:space="preserve">29401</t>
        </is>
      </c>
      <c r="S328" s="48" t="inlineStr">
        <is>
          <t xml:space="preserve">Tier 2 - Coastal wind (1-25 miles)</t>
        </is>
      </c>
      <c r="T328" s="36">
        <f>IF($A328="","",IF($S328="","",IFERROR(INDEX('[1]natural catastrophe'!$D$6:$D$17,MATCH($S328,'[1]natural catastrophe'!$B$6:$B$17,0)),"?")))</f>
      </c>
      <c r="U328" s="46" t="inlineStr">
        <is>
          <t xml:space="preserve">2% of agreed value, minimum $10,000</t>
        </is>
      </c>
      <c r="V328" s="48" t="inlineStr">
        <is>
          <t xml:space="preserve">Agreed Value</t>
        </is>
      </c>
      <c r="W328" s="46" t="inlineStr">
        <is>
          <t xml:space="preserve">$1,000</t>
        </is>
      </c>
      <c r="X328" s="48" t="inlineStr">
        <is>
          <t xml:space="preserve">$1,000,000 CSL</t>
        </is>
      </c>
      <c r="Y328" s="46"/>
      <c r="Z328" s="46"/>
      <c r="AA328" s="48" t="inlineStr">
        <is>
          <t xml:space="preserve">Surplus Lines</t>
        </is>
      </c>
      <c r="AB328" s="50">
        <v>25193.96</v>
      </c>
      <c r="AC328" s="51">
        <v>0</v>
      </c>
      <c r="AD328" s="38">
        <f>IF(ISNUMBER($AB328),$AB328*(1+N($AC328)),"")</f>
      </c>
      <c r="AE328" s="50">
        <v>350</v>
      </c>
      <c r="AF328" s="50">
        <v>250</v>
      </c>
      <c r="AG328" s="51"/>
      <c r="AH328" s="39">
        <f>IF(ISNUMBER($AD328),($AD328+$AE328+$AF328)*$AG328,"")</f>
      </c>
      <c r="AI328" s="50"/>
      <c r="AJ328" s="38">
        <f>IF(ISNUMBER($AD328),SUM($AD328:$AH328),"")</f>
      </c>
      <c r="AK328" s="40">
        <f>IF(AND(ISNUMBER($AB328),ISNUMBER($AD328)),IF($AB328&gt;0,$AD328/$AB328,""),"")</f>
      </c>
      <c r="AL328" s="48" t="inlineStr">
        <is>
          <t xml:space="preserve">At technical</t>
        </is>
      </c>
      <c r="AM328" s="41">
        <f>IF(ISNUMBER($AD328),Header!$I$3,"")</f>
      </c>
      <c r="AN328" s="39">
        <f>IF(ISNUMBER($AD328),$AO328+$AP328,"")</f>
      </c>
      <c r="AO328" s="39">
        <f>IF(ISNUMBER($AD328),ROUND($AD328*Header!$K$3,2),"")</f>
      </c>
      <c r="AP328" s="39">
        <f>IF(ISNUMBER($AD328),ROUND($AD328*Header!$M$3,2),"")</f>
      </c>
      <c r="AQ328" s="38">
        <f>IF(ISNUMBER($AD328),ROUND($AD328,2)-$AO328-$AP328,"")</f>
      </c>
      <c r="AR328" s="39">
        <f>IF(ISNUMBER($AD328),IF(Header!$D$34="","?",$AD328*Header!$D$34),"")</f>
      </c>
      <c r="AS328" s="39">
        <f>IF(ISNUMBER($AB328),IF(Header!$D$34="","?",$AB328*Header!$D$34),"")</f>
      </c>
      <c r="AT328" s="42">
        <f>IF(AND(ISNUMBER($AB328),$M328&gt;0),$AB328/$M328*100,"")</f>
      </c>
      <c r="AU328" s="42">
        <f>IF(AND(ISNUMBER($AD328),$M328&gt;0),$AD328/$M328*100,"")</f>
      </c>
      <c r="AV328" s="40">
        <f>IF(AND(ISNUMBER($AB328),ISNUMBER($AD328),ABS($AB328)&gt;0),$AD328/$AB328,"")</f>
      </c>
      <c r="AW328" s="39">
        <f>IF(ISNUMBER($AD328),MAX(0,(1-0.55-Header!$O$3)*Header!$Q$3*$AQ328),"")</f>
      </c>
      <c r="AX328" s="43">
        <f>IF($A328="","",IF(TRIM(IF($A328="","Missing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",""))="","PASS","FAIL: "&amp;TRIM(IF($A328="","Missing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f>
      </c>
      <c r="AY328" s="44">
        <f>IF($M328="","",IF(ISNUMBER($M328),IF($M328&gt;=Header!$C$18,"YES — refer","No"),""))</f>
      </c>
      <c r="AZ328" s="44">
        <f>IF($AD328="","",IF(ISNUMBER($AD328),IF($AD328&lt;Header!$C$20,"BELOW MIN PREMIUM","OK"),""))</f>
      </c>
      <c r="BA328" s="48" t="inlineStr">
        <is>
          <t xml:space="preserve">Yes</t>
        </is>
      </c>
      <c r="BB328" s="48" t="inlineStr">
        <is>
          <t xml:space="preserve">Yes</t>
        </is>
      </c>
      <c r="BC328" s="46" t="inlineStr">
        <is>
          <t xml:space="preserve">Synthetic demo data</t>
        </is>
      </c>
      <c r="BE328" s="45">
        <f>IF(OR($A328="",$L328="",$H328=""),"",IF(AND(LEFT($L328,2)="06",$H328&gt;1945),"FAIL - pre-war class, year "&amp;$H328,IF(AND(LEFT($L328,2)="07",OR($H328&lt;1946,$H328&gt;1972)),"FAIL - 1946-72 class, year "&amp;$H328,IF(AND(LEFT($L328,2)="08",OR($H328&lt;1973,$H328&gt;1999)),"FAIL - 1973-99 class, year "&amp;$H328,IF(AND(LEFT($L328,2)="09",OR($H328&lt;2000,$H328&gt;2010)),"FAIL - 2000-10 class, year "&amp;$H328,"OK")))))</f>
      </c>
      <c r="BF328" s="45">
        <f>IF($AD328="","",IF(ROUND($AO328+$AP328+$AQ328-$AD328,2)=0,"OK","FAIL - out by "&amp;TEXT($AO328+$AP328+$AQ328-$AD328,"$0.00")))</f>
      </c>
    </row>
    <row r="329" spans="1:58" ht="18.75" customHeight="1" x14ac:dyDescent="0.25">
      <c r="A329" s="30" t="inlineStr">
        <is>
          <t xml:space="preserve">CANON-202606-008854</t>
        </is>
      </c>
      <c r="B329" s="30" t="inlineStr">
        <is>
          <t xml:space="preserve">Emiliano Merriweather</t>
        </is>
      </c>
      <c r="C329" s="31">
        <v>46195</v>
      </c>
      <c r="D329" s="32" t="inlineStr">
        <is>
          <t xml:space="preserve">Bound - within authority</t>
        </is>
      </c>
      <c r="E329" s="32" t="inlineStr">
        <is>
          <t xml:space="preserve">New business</t>
        </is>
      </c>
      <c r="F329" s="30" t="inlineStr">
        <is>
          <t xml:space="preserve">B1234EXOTIC26</t>
        </is>
      </c>
      <c r="G329" s="33">
        <f>IF($A329="","",IF($C329="","",YEAR($C329)))</f>
      </c>
      <c r="H329" s="34">
        <v>2022</v>
      </c>
      <c r="I329" s="30" t="inlineStr">
        <is>
          <t xml:space="preserve">Mercedes-Benz</t>
        </is>
      </c>
      <c r="J329" s="30" t="inlineStr">
        <is>
          <t xml:space="preserve">AMG GT</t>
        </is>
      </c>
      <c r="K329" s="30" t="inlineStr">
        <is>
          <t xml:space="preserve">CYNYL3LUZM1PMUX2N</t>
        </is>
      </c>
      <c r="L329" s="32" t="inlineStr">
        <is>
          <t xml:space="preserve">02 - Sports / GT</t>
        </is>
      </c>
      <c r="M329" s="35">
        <v>670000</v>
      </c>
      <c r="N329" s="32" t="inlineStr">
        <is>
          <t xml:space="preserve">Personal</t>
        </is>
      </c>
      <c r="O329" s="30" t="inlineStr">
        <is>
          <t xml:space="preserve">Personal - regular use</t>
        </is>
      </c>
      <c r="P329" s="30" t="inlineStr">
        <is>
          <t xml:space="preserve">Under 1,000</t>
        </is>
      </c>
      <c r="Q329" s="30" t="inlineStr">
        <is>
          <t xml:space="preserve">Pennsylvania</t>
        </is>
      </c>
      <c r="R329" s="30" t="inlineStr">
        <is>
          <t xml:space="preserve">19103</t>
        </is>
      </c>
      <c r="S329" s="32" t="inlineStr">
        <is>
          <t xml:space="preserve">Low hazard - inland benign</t>
        </is>
      </c>
      <c r="T329" s="36">
        <f>IF($A329="","",IF($S329="","",IFERROR(INDEX('[1]natural catastrophe'!$D$6:$D$17,MATCH($S329,'[1]natural catastrophe'!$B$6:$B$17,0)),"?")))</f>
      </c>
      <c r="U329" s="30" t="inlineStr">
        <is>
          <t xml:space="preserve">$5,000</t>
        </is>
      </c>
      <c r="V329" s="32" t="inlineStr">
        <is>
          <t xml:space="preserve">Agreed Value</t>
        </is>
      </c>
      <c r="W329" s="30" t="inlineStr">
        <is>
          <t xml:space="preserve">$1,000</t>
        </is>
      </c>
      <c r="X329" s="32" t="inlineStr">
        <is>
          <t xml:space="preserve">$1,000,000 CSL</t>
        </is>
      </c>
      <c r="Y329" s="30"/>
      <c r="Z329" s="30"/>
      <c r="AA329" s="32" t="inlineStr">
        <is>
          <t xml:space="preserve">Surplus Lines</t>
        </is>
      </c>
      <c r="AB329" s="35">
        <v>6284.35</v>
      </c>
      <c r="AC329" s="37">
        <v>0</v>
      </c>
      <c r="AD329" s="38">
        <f>IF(ISNUMBER($AB329),$AB329*(1+N($AC329)),"")</f>
      </c>
      <c r="AE329" s="35">
        <v>350</v>
      </c>
      <c r="AF329" s="35">
        <v>0</v>
      </c>
      <c r="AG329" s="37"/>
      <c r="AH329" s="39">
        <f>IF(ISNUMBER($AD329),($AD329+$AE329+$AF329)*$AG329,"")</f>
      </c>
      <c r="AI329" s="35"/>
      <c r="AJ329" s="38">
        <f>IF(ISNUMBER($AD329),SUM($AD329:$AH329),"")</f>
      </c>
      <c r="AK329" s="40">
        <f>IF(AND(ISNUMBER($AB329),ISNUMBER($AD329)),IF($AB329&gt;0,$AD329/$AB329,""),"")</f>
      </c>
      <c r="AL329" s="32" t="inlineStr">
        <is>
          <t xml:space="preserve">At technical</t>
        </is>
      </c>
      <c r="AM329" s="41">
        <f>IF(ISNUMBER($AD329),Header!$I$3,"")</f>
      </c>
      <c r="AN329" s="39">
        <f>IF(ISNUMBER($AD329),$AO329+$AP329,"")</f>
      </c>
      <c r="AO329" s="39">
        <f>IF(ISNUMBER($AD329),ROUND($AD329*Header!$K$3,2),"")</f>
      </c>
      <c r="AP329" s="39">
        <f>IF(ISNUMBER($AD329),ROUND($AD329*Header!$M$3,2),"")</f>
      </c>
      <c r="AQ329" s="38">
        <f>IF(ISNUMBER($AD329),ROUND($AD329,2)-$AO329-$AP329,"")</f>
      </c>
      <c r="AR329" s="39">
        <f>IF(ISNUMBER($AD329),IF(Header!$D$34="","?",$AD329*Header!$D$34),"")</f>
      </c>
      <c r="AS329" s="39">
        <f>IF(ISNUMBER($AB329),IF(Header!$D$34="","?",$AB329*Header!$D$34),"")</f>
      </c>
      <c r="AT329" s="42">
        <f>IF(AND(ISNUMBER($AB329),$M329&gt;0),$AB329/$M329*100,"")</f>
      </c>
      <c r="AU329" s="42">
        <f>IF(AND(ISNUMBER($AD329),$M329&gt;0),$AD329/$M329*100,"")</f>
      </c>
      <c r="AV329" s="40">
        <f>IF(AND(ISNUMBER($AB329),ISNUMBER($AD329),ABS($AB329)&gt;0),$AD329/$AB329,"")</f>
      </c>
      <c r="AW329" s="39">
        <f>IF(ISNUMBER($AD329),MAX(0,(1-0.55-Header!$O$3)*Header!$Q$3*$AQ329),"")</f>
      </c>
      <c r="AX329" s="43">
        <f>IF($A329="","",IF(TRIM(IF($A329="","Missing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",""))="","PASS","FAIL: "&amp;TRIM(IF($A329="","Missing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f>
      </c>
      <c r="AY329" s="44">
        <f>IF($M329="","",IF(ISNUMBER($M329),IF($M329&gt;=Header!$C$18,"YES — refer","No"),""))</f>
      </c>
      <c r="AZ329" s="44">
        <f>IF($AD329="","",IF(ISNUMBER($AD329),IF($AD329&lt;Header!$C$20,"BELOW MIN PREMIUM","OK"),""))</f>
      </c>
      <c r="BA329" s="32" t="inlineStr">
        <is>
          <t xml:space="preserve">Yes</t>
        </is>
      </c>
      <c r="BB329" s="32" t="inlineStr">
        <is>
          <t xml:space="preserve">Yes</t>
        </is>
      </c>
      <c r="BC329" s="30" t="inlineStr">
        <is>
          <t xml:space="preserve">Synthetic demo data</t>
        </is>
      </c>
      <c r="BE329" s="45">
        <f>IF(OR($A329="",$L329="",$H329=""),"",IF(AND(LEFT($L329,2)="06",$H329&gt;1945),"FAIL - pre-war class, year "&amp;$H329,IF(AND(LEFT($L329,2)="07",OR($H329&lt;1946,$H329&gt;1972)),"FAIL - 1946-72 class, year "&amp;$H329,IF(AND(LEFT($L329,2)="08",OR($H329&lt;1973,$H329&gt;1999)),"FAIL - 1973-99 class, year "&amp;$H329,IF(AND(LEFT($L329,2)="09",OR($H329&lt;2000,$H329&gt;2010)),"FAIL - 2000-10 class, year "&amp;$H329,"OK")))))</f>
      </c>
      <c r="BF329" s="45">
        <f>IF($AD329="","",IF(ROUND($AO329+$AP329+$AQ329-$AD329,2)=0,"OK","FAIL - out by "&amp;TEXT($AO329+$AP329+$AQ329-$AD329,"$0.00")))</f>
      </c>
    </row>
    <row r="330" spans="1:58" ht="18.75" customHeight="1" x14ac:dyDescent="0.25">
      <c r="A330" s="46" t="inlineStr">
        <is>
          <t xml:space="preserve">CANON-202606-008855</t>
        </is>
      </c>
      <c r="B330" s="46" t="inlineStr">
        <is>
          <t xml:space="preserve">Priya Castellanos</t>
        </is>
      </c>
      <c r="C330" s="47">
        <v>46183</v>
      </c>
      <c r="D330" s="48" t="inlineStr">
        <is>
          <t xml:space="preserve">Bound - within authority</t>
        </is>
      </c>
      <c r="E330" s="48" t="inlineStr">
        <is>
          <t xml:space="preserve">New business</t>
        </is>
      </c>
      <c r="F330" s="46" t="inlineStr">
        <is>
          <t xml:space="preserve">B1234EXOTIC26</t>
        </is>
      </c>
      <c r="G330" s="33">
        <f>IF($A330="","",IF($C330="","",YEAR($C330)))</f>
      </c>
      <c r="H330" s="49">
        <v>1974</v>
      </c>
      <c r="I330" s="46" t="inlineStr">
        <is>
          <t xml:space="preserve">BMW</t>
        </is>
      </c>
      <c r="J330" s="46" t="inlineStr">
        <is>
          <t xml:space="preserve">M8 Competition</t>
        </is>
      </c>
      <c r="K330" s="46" t="inlineStr">
        <is>
          <t xml:space="preserve">VGSF3RZ3SAZCZE0YT</t>
        </is>
      </c>
      <c r="L330" s="48" t="inlineStr">
        <is>
          <t xml:space="preserve">02 - Sports / GT</t>
        </is>
      </c>
      <c r="M330" s="50">
        <v>865000</v>
      </c>
      <c r="N330" s="48" t="inlineStr">
        <is>
          <t xml:space="preserve">Personal</t>
        </is>
      </c>
      <c r="O330" s="46" t="inlineStr">
        <is>
          <t xml:space="preserve">Personal - regular use</t>
        </is>
      </c>
      <c r="P330" s="46" t="inlineStr">
        <is>
          <t xml:space="preserve">1,000 - 2,500</t>
        </is>
      </c>
      <c r="Q330" s="46" t="inlineStr">
        <is>
          <t xml:space="preserve">New Jersey</t>
        </is>
      </c>
      <c r="R330" s="46" t="inlineStr">
        <is>
          <t xml:space="preserve">07102</t>
        </is>
      </c>
      <c r="S330" s="48" t="inlineStr">
        <is>
          <t xml:space="preserve">Tier 3 - Coastal wind (25-100 miles)</t>
        </is>
      </c>
      <c r="T330" s="36">
        <f>IF($A330="","",IF($S330="","",IFERROR(INDEX('[1]natural catastrophe'!$D$6:$D$17,MATCH($S330,'[1]natural catastrophe'!$B$6:$B$17,0)),"?")))</f>
      </c>
      <c r="U330" s="46" t="inlineStr">
        <is>
          <t xml:space="preserve">2% of agreed value, minimum $10,000</t>
        </is>
      </c>
      <c r="V330" s="48" t="inlineStr">
        <is>
          <t xml:space="preserve">Agreed Value</t>
        </is>
      </c>
      <c r="W330" s="46" t="inlineStr">
        <is>
          <t xml:space="preserve">$1,000</t>
        </is>
      </c>
      <c r="X330" s="48" t="inlineStr">
        <is>
          <t xml:space="preserve">$1,000,000 CSL</t>
        </is>
      </c>
      <c r="Y330" s="46"/>
      <c r="Z330" s="46"/>
      <c r="AA330" s="48" t="inlineStr">
        <is>
          <t xml:space="preserve">Surplus Lines</t>
        </is>
      </c>
      <c r="AB330" s="50">
        <v>7383.17</v>
      </c>
      <c r="AC330" s="51">
        <v>0</v>
      </c>
      <c r="AD330" s="38">
        <f>IF(ISNUMBER($AB330),$AB330*(1+N($AC330)),"")</f>
      </c>
      <c r="AE330" s="50">
        <v>350</v>
      </c>
      <c r="AF330" s="50">
        <v>0</v>
      </c>
      <c r="AG330" s="51"/>
      <c r="AH330" s="39">
        <f>IF(ISNUMBER($AD330),($AD330+$AE330+$AF330)*$AG330,"")</f>
      </c>
      <c r="AI330" s="50"/>
      <c r="AJ330" s="38">
        <f>IF(ISNUMBER($AD330),SUM($AD330:$AH330),"")</f>
      </c>
      <c r="AK330" s="40">
        <f>IF(AND(ISNUMBER($AB330),ISNUMBER($AD330)),IF($AB330&gt;0,$AD330/$AB330,""),"")</f>
      </c>
      <c r="AL330" s="48" t="inlineStr">
        <is>
          <t xml:space="preserve">At technical</t>
        </is>
      </c>
      <c r="AM330" s="41">
        <f>IF(ISNUMBER($AD330),Header!$I$3,"")</f>
      </c>
      <c r="AN330" s="39">
        <f>IF(ISNUMBER($AD330),$AO330+$AP330,"")</f>
      </c>
      <c r="AO330" s="39">
        <f>IF(ISNUMBER($AD330),ROUND($AD330*Header!$K$3,2),"")</f>
      </c>
      <c r="AP330" s="39">
        <f>IF(ISNUMBER($AD330),ROUND($AD330*Header!$M$3,2),"")</f>
      </c>
      <c r="AQ330" s="38">
        <f>IF(ISNUMBER($AD330),ROUND($AD330,2)-$AO330-$AP330,"")</f>
      </c>
      <c r="AR330" s="39">
        <f>IF(ISNUMBER($AD330),IF(Header!$D$34="","?",$AD330*Header!$D$34),"")</f>
      </c>
      <c r="AS330" s="39">
        <f>IF(ISNUMBER($AB330),IF(Header!$D$34="","?",$AB330*Header!$D$34),"")</f>
      </c>
      <c r="AT330" s="42">
        <f>IF(AND(ISNUMBER($AB330),$M330&gt;0),$AB330/$M330*100,"")</f>
      </c>
      <c r="AU330" s="42">
        <f>IF(AND(ISNUMBER($AD330),$M330&gt;0),$AD330/$M330*100,"")</f>
      </c>
      <c r="AV330" s="40">
        <f>IF(AND(ISNUMBER($AB330),ISNUMBER($AD330),ABS($AB330)&gt;0),$AD330/$AB330,"")</f>
      </c>
      <c r="AW330" s="39">
        <f>IF(ISNUMBER($AD330),MAX(0,(1-0.55-Header!$O$3)*Header!$Q$3*$AQ330),"")</f>
      </c>
      <c r="AX330" s="43">
        <f>IF($A330="","",IF(TRIM(IF($A330="","Missing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",""))="","PASS","FAIL: "&amp;TRIM(IF($A330="","Missing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f>
      </c>
      <c r="AY330" s="44">
        <f>IF($M330="","",IF(ISNUMBER($M330),IF($M330&gt;=Header!$C$18,"YES — refer","No"),""))</f>
      </c>
      <c r="AZ330" s="44">
        <f>IF($AD330="","",IF(ISNUMBER($AD330),IF($AD330&lt;Header!$C$20,"BELOW MIN PREMIUM","OK"),""))</f>
      </c>
      <c r="BA330" s="48" t="inlineStr">
        <is>
          <t xml:space="preserve">Yes</t>
        </is>
      </c>
      <c r="BB330" s="48" t="inlineStr">
        <is>
          <t xml:space="preserve">Yes</t>
        </is>
      </c>
      <c r="BC330" s="46" t="inlineStr">
        <is>
          <t xml:space="preserve">Synthetic demo data</t>
        </is>
      </c>
      <c r="BE330" s="45">
        <f>IF(OR($A330="",$L330="",$H330=""),"",IF(AND(LEFT($L330,2)="06",$H330&gt;1945),"FAIL - pre-war class, year "&amp;$H330,IF(AND(LEFT($L330,2)="07",OR($H330&lt;1946,$H330&gt;1972)),"FAIL - 1946-72 class, year "&amp;$H330,IF(AND(LEFT($L330,2)="08",OR($H330&lt;1973,$H330&gt;1999)),"FAIL - 1973-99 class, year "&amp;$H330,IF(AND(LEFT($L330,2)="09",OR($H330&lt;2000,$H330&gt;2010)),"FAIL - 2000-10 class, year "&amp;$H330,"OK")))))</f>
      </c>
      <c r="BF330" s="45">
        <f>IF($AD330="","",IF(ROUND($AO330+$AP330+$AQ330-$AD330,2)=0,"OK","FAIL - out by "&amp;TEXT($AO330+$AP330+$AQ330-$AD330,"$0.00")))</f>
      </c>
    </row>
    <row r="331" spans="1:58" ht="18.75" customHeight="1" x14ac:dyDescent="0.25">
      <c r="A331" s="30" t="inlineStr">
        <is>
          <t xml:space="preserve">CANON-202606-008856</t>
        </is>
      </c>
      <c r="B331" s="30" t="inlineStr">
        <is>
          <t xml:space="preserve">Fenwick Underwood</t>
        </is>
      </c>
      <c r="C331" s="31">
        <v>46197</v>
      </c>
      <c r="D331" s="32" t="inlineStr">
        <is>
          <t xml:space="preserve">Bound - within authority</t>
        </is>
      </c>
      <c r="E331" s="32" t="inlineStr">
        <is>
          <t xml:space="preserve">New business</t>
        </is>
      </c>
      <c r="F331" s="30" t="inlineStr">
        <is>
          <t xml:space="preserve">B1234EXOTIC26</t>
        </is>
      </c>
      <c r="G331" s="33">
        <f>IF($A331="","",IF($C331="","",YEAR($C331)))</f>
      </c>
      <c r="H331" s="34">
        <v>1981</v>
      </c>
      <c r="I331" s="30" t="inlineStr">
        <is>
          <t xml:space="preserve">BMW</t>
        </is>
      </c>
      <c r="J331" s="30" t="inlineStr">
        <is>
          <t xml:space="preserve">M8 Competition</t>
        </is>
      </c>
      <c r="K331" s="30" t="inlineStr">
        <is>
          <t xml:space="preserve">82NMSNYPFMXEAG3BV</t>
        </is>
      </c>
      <c r="L331" s="32" t="inlineStr">
        <is>
          <t xml:space="preserve">02 - Sports / GT</t>
        </is>
      </c>
      <c r="M331" s="35">
        <v>565000</v>
      </c>
      <c r="N331" s="32" t="inlineStr">
        <is>
          <t xml:space="preserve">Personal</t>
        </is>
      </c>
      <c r="O331" s="30" t="inlineStr">
        <is>
          <t xml:space="preserve">Personal - regular use</t>
        </is>
      </c>
      <c r="P331" s="30" t="inlineStr">
        <is>
          <t xml:space="preserve">Under 1,000</t>
        </is>
      </c>
      <c r="Q331" s="30" t="inlineStr">
        <is>
          <t xml:space="preserve">Wisconsin</t>
        </is>
      </c>
      <c r="R331" s="30" t="inlineStr">
        <is>
          <t xml:space="preserve">53202</t>
        </is>
      </c>
      <c r="S331" s="32" t="inlineStr">
        <is>
          <t xml:space="preserve">Severe convective - hail / tornado (moderate)</t>
        </is>
      </c>
      <c r="T331" s="36">
        <f>IF($A331="","",IF($S331="","",IFERROR(INDEX('[1]natural catastrophe'!$D$6:$D$17,MATCH($S331,'[1]natural catastrophe'!$B$6:$B$17,0)),"?")))</f>
      </c>
      <c r="U331" s="30" t="inlineStr">
        <is>
          <t xml:space="preserve">$5,000</t>
        </is>
      </c>
      <c r="V331" s="32" t="inlineStr">
        <is>
          <t xml:space="preserve">Agreed Value</t>
        </is>
      </c>
      <c r="W331" s="30" t="inlineStr">
        <is>
          <t xml:space="preserve">$1,000</t>
        </is>
      </c>
      <c r="X331" s="32" t="inlineStr">
        <is>
          <t xml:space="preserve">$1,000,000 CSL</t>
        </is>
      </c>
      <c r="Y331" s="30"/>
      <c r="Z331" s="30"/>
      <c r="AA331" s="32" t="inlineStr">
        <is>
          <t xml:space="preserve">Surplus Lines</t>
        </is>
      </c>
      <c r="AB331" s="35">
        <v>6359.38</v>
      </c>
      <c r="AC331" s="37">
        <v>0</v>
      </c>
      <c r="AD331" s="38">
        <f>IF(ISNUMBER($AB331),$AB331*(1+N($AC331)),"")</f>
      </c>
      <c r="AE331" s="35">
        <v>350</v>
      </c>
      <c r="AF331" s="35">
        <v>0</v>
      </c>
      <c r="AG331" s="37"/>
      <c r="AH331" s="39">
        <f>IF(ISNUMBER($AD331),($AD331+$AE331+$AF331)*$AG331,"")</f>
      </c>
      <c r="AI331" s="35"/>
      <c r="AJ331" s="38">
        <f>IF(ISNUMBER($AD331),SUM($AD331:$AH331),"")</f>
      </c>
      <c r="AK331" s="40">
        <f>IF(AND(ISNUMBER($AB331),ISNUMBER($AD331)),IF($AB331&gt;0,$AD331/$AB331,""),"")</f>
      </c>
      <c r="AL331" s="32" t="inlineStr">
        <is>
          <t xml:space="preserve">At technical</t>
        </is>
      </c>
      <c r="AM331" s="41">
        <f>IF(ISNUMBER($AD331),Header!$I$3,"")</f>
      </c>
      <c r="AN331" s="39">
        <f>IF(ISNUMBER($AD331),$AO331+$AP331,"")</f>
      </c>
      <c r="AO331" s="39">
        <f>IF(ISNUMBER($AD331),ROUND($AD331*Header!$K$3,2),"")</f>
      </c>
      <c r="AP331" s="39">
        <f>IF(ISNUMBER($AD331),ROUND($AD331*Header!$M$3,2),"")</f>
      </c>
      <c r="AQ331" s="38">
        <f>IF(ISNUMBER($AD331),ROUND($AD331,2)-$AO331-$AP331,"")</f>
      </c>
      <c r="AR331" s="39">
        <f>IF(ISNUMBER($AD331),IF(Header!$D$34="","?",$AD331*Header!$D$34),"")</f>
      </c>
      <c r="AS331" s="39">
        <f>IF(ISNUMBER($AB331),IF(Header!$D$34="","?",$AB331*Header!$D$34),"")</f>
      </c>
      <c r="AT331" s="42">
        <f>IF(AND(ISNUMBER($AB331),$M331&gt;0),$AB331/$M331*100,"")</f>
      </c>
      <c r="AU331" s="42">
        <f>IF(AND(ISNUMBER($AD331),$M331&gt;0),$AD331/$M331*100,"")</f>
      </c>
      <c r="AV331" s="40">
        <f>IF(AND(ISNUMBER($AB331),ISNUMBER($AD331),ABS($AB331)&gt;0),$AD331/$AB331,"")</f>
      </c>
      <c r="AW331" s="39">
        <f>IF(ISNUMBER($AD331),MAX(0,(1-0.55-Header!$O$3)*Header!$Q$3*$AQ331),"")</f>
      </c>
      <c r="AX331" s="43">
        <f>IF($A331="","",IF(TRIM(IF($A331="","Missing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",""))="","PASS","FAIL: "&amp;TRIM(IF($A331="","Missing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f>
      </c>
      <c r="AY331" s="44">
        <f>IF($M331="","",IF(ISNUMBER($M331),IF($M331&gt;=Header!$C$18,"YES — refer","No"),""))</f>
      </c>
      <c r="AZ331" s="44">
        <f>IF($AD331="","",IF(ISNUMBER($AD331),IF($AD331&lt;Header!$C$20,"BELOW MIN PREMIUM","OK"),""))</f>
      </c>
      <c r="BA331" s="32" t="inlineStr">
        <is>
          <t xml:space="preserve">Yes</t>
        </is>
      </c>
      <c r="BB331" s="32" t="inlineStr">
        <is>
          <t xml:space="preserve">Yes</t>
        </is>
      </c>
      <c r="BC331" s="30" t="inlineStr">
        <is>
          <t xml:space="preserve">Synthetic demo data</t>
        </is>
      </c>
      <c r="BE331" s="45">
        <f>IF(OR($A331="",$L331="",$H331=""),"",IF(AND(LEFT($L331,2)="06",$H331&gt;1945),"FAIL - pre-war class, year "&amp;$H331,IF(AND(LEFT($L331,2)="07",OR($H331&lt;1946,$H331&gt;1972)),"FAIL - 1946-72 class, year "&amp;$H331,IF(AND(LEFT($L331,2)="08",OR($H331&lt;1973,$H331&gt;1999)),"FAIL - 1973-99 class, year "&amp;$H331,IF(AND(LEFT($L331,2)="09",OR($H331&lt;2000,$H331&gt;2010)),"FAIL - 2000-10 class, year "&amp;$H331,"OK")))))</f>
      </c>
      <c r="BF331" s="45">
        <f>IF($AD331="","",IF(ROUND($AO331+$AP331+$AQ331-$AD331,2)=0,"OK","FAIL - out by "&amp;TEXT($AO331+$AP331+$AQ331-$AD331,"$0.00")))</f>
      </c>
    </row>
    <row r="332" spans="1:58" ht="18.75" customHeight="1" x14ac:dyDescent="0.25">
      <c r="A332" s="46" t="inlineStr">
        <is>
          <t xml:space="preserve">CANON-202606-008857</t>
        </is>
      </c>
      <c r="B332" s="46" t="inlineStr">
        <is>
          <t xml:space="preserve">Priya Larsson</t>
        </is>
      </c>
      <c r="C332" s="47">
        <v>46202</v>
      </c>
      <c r="D332" s="48" t="inlineStr">
        <is>
          <t xml:space="preserve">Bound - within authority</t>
        </is>
      </c>
      <c r="E332" s="48" t="inlineStr">
        <is>
          <t xml:space="preserve">New business</t>
        </is>
      </c>
      <c r="F332" s="46" t="inlineStr">
        <is>
          <t xml:space="preserve">B1234EXOTIC26</t>
        </is>
      </c>
      <c r="G332" s="33">
        <f>IF($A332="","",IF($C332="","",YEAR($C332)))</f>
      </c>
      <c r="H332" s="49">
        <v>1985</v>
      </c>
      <c r="I332" s="46" t="inlineStr">
        <is>
          <t xml:space="preserve">Icon</t>
        </is>
      </c>
      <c r="J332" s="46" t="inlineStr">
        <is>
          <t xml:space="preserve">Derelict</t>
        </is>
      </c>
      <c r="K332" s="46" t="inlineStr">
        <is>
          <t xml:space="preserve">T1DF1R89S2119K6XJ</t>
        </is>
      </c>
      <c r="L332" s="48" t="inlineStr">
        <is>
          <t xml:space="preserve">11 - Restomod / Coachbuilt / Bespoke</t>
        </is>
      </c>
      <c r="M332" s="50">
        <v>475000</v>
      </c>
      <c r="N332" s="48" t="inlineStr">
        <is>
          <t xml:space="preserve">Personal</t>
        </is>
      </c>
      <c r="O332" s="46" t="inlineStr">
        <is>
          <t xml:space="preserve">Personal - regular use</t>
        </is>
      </c>
      <c r="P332" s="46" t="inlineStr">
        <is>
          <t xml:space="preserve">1,000 - 2,500</t>
        </is>
      </c>
      <c r="Q332" s="46" t="inlineStr">
        <is>
          <t xml:space="preserve">Texas</t>
        </is>
      </c>
      <c r="R332" s="46" t="inlineStr">
        <is>
          <t xml:space="preserve">75201</t>
        </is>
      </c>
      <c r="S332" s="48" t="inlineStr">
        <is>
          <t xml:space="preserve">Tier 2 - Coastal wind (1-25 miles)</t>
        </is>
      </c>
      <c r="T332" s="36">
        <f>IF($A332="","",IF($S332="","",IFERROR(INDEX('[1]natural catastrophe'!$D$6:$D$17,MATCH($S332,'[1]natural catastrophe'!$B$6:$B$17,0)),"?")))</f>
      </c>
      <c r="U332" s="46" t="inlineStr">
        <is>
          <t xml:space="preserve">2% of agreed value, minimum $10,000</t>
        </is>
      </c>
      <c r="V332" s="48" t="inlineStr">
        <is>
          <t xml:space="preserve">Agreed Value</t>
        </is>
      </c>
      <c r="W332" s="46" t="inlineStr">
        <is>
          <t xml:space="preserve">$1,000</t>
        </is>
      </c>
      <c r="X332" s="48" t="inlineStr">
        <is>
          <t xml:space="preserve">$1,000,000 CSL</t>
        </is>
      </c>
      <c r="Y332" s="46"/>
      <c r="Z332" s="46"/>
      <c r="AA332" s="48" t="inlineStr">
        <is>
          <t xml:space="preserve">Surplus Lines</t>
        </is>
      </c>
      <c r="AB332" s="50">
        <v>6936.59</v>
      </c>
      <c r="AC332" s="51">
        <v>0</v>
      </c>
      <c r="AD332" s="38">
        <f>IF(ISNUMBER($AB332),$AB332*(1+N($AC332)),"")</f>
      </c>
      <c r="AE332" s="50">
        <v>350</v>
      </c>
      <c r="AF332" s="50">
        <v>0</v>
      </c>
      <c r="AG332" s="51"/>
      <c r="AH332" s="39">
        <f>IF(ISNUMBER($AD332),($AD332+$AE332+$AF332)*$AG332,"")</f>
      </c>
      <c r="AI332" s="50"/>
      <c r="AJ332" s="38">
        <f>IF(ISNUMBER($AD332),SUM($AD332:$AH332),"")</f>
      </c>
      <c r="AK332" s="40">
        <f>IF(AND(ISNUMBER($AB332),ISNUMBER($AD332)),IF($AB332&gt;0,$AD332/$AB332,""),"")</f>
      </c>
      <c r="AL332" s="48" t="inlineStr">
        <is>
          <t xml:space="preserve">At technical</t>
        </is>
      </c>
      <c r="AM332" s="41">
        <f>IF(ISNUMBER($AD332),Header!$I$3,"")</f>
      </c>
      <c r="AN332" s="39">
        <f>IF(ISNUMBER($AD332),$AO332+$AP332,"")</f>
      </c>
      <c r="AO332" s="39">
        <f>IF(ISNUMBER($AD332),ROUND($AD332*Header!$K$3,2),"")</f>
      </c>
      <c r="AP332" s="39">
        <f>IF(ISNUMBER($AD332),ROUND($AD332*Header!$M$3,2),"")</f>
      </c>
      <c r="AQ332" s="38">
        <f>IF(ISNUMBER($AD332),ROUND($AD332,2)-$AO332-$AP332,"")</f>
      </c>
      <c r="AR332" s="39">
        <f>IF(ISNUMBER($AD332),IF(Header!$D$34="","?",$AD332*Header!$D$34),"")</f>
      </c>
      <c r="AS332" s="39">
        <f>IF(ISNUMBER($AB332),IF(Header!$D$34="","?",$AB332*Header!$D$34),"")</f>
      </c>
      <c r="AT332" s="42">
        <f>IF(AND(ISNUMBER($AB332),$M332&gt;0),$AB332/$M332*100,"")</f>
      </c>
      <c r="AU332" s="42">
        <f>IF(AND(ISNUMBER($AD332),$M332&gt;0),$AD332/$M332*100,"")</f>
      </c>
      <c r="AV332" s="40">
        <f>IF(AND(ISNUMBER($AB332),ISNUMBER($AD332),ABS($AB332)&gt;0),$AD332/$AB332,"")</f>
      </c>
      <c r="AW332" s="39">
        <f>IF(ISNUMBER($AD332),MAX(0,(1-0.55-Header!$O$3)*Header!$Q$3*$AQ332),"")</f>
      </c>
      <c r="AX332" s="43">
        <f>IF($A332="","",IF(TRIM(IF($A332="","Missing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",""))="","PASS","FAIL: "&amp;TRIM(IF($A332="","Missing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f>
      </c>
      <c r="AY332" s="44">
        <f>IF($M332="","",IF(ISNUMBER($M332),IF($M332&gt;=Header!$C$18,"YES — refer","No"),""))</f>
      </c>
      <c r="AZ332" s="44">
        <f>IF($AD332="","",IF(ISNUMBER($AD332),IF($AD332&lt;Header!$C$20,"BELOW MIN PREMIUM","OK"),""))</f>
      </c>
      <c r="BA332" s="48" t="inlineStr">
        <is>
          <t xml:space="preserve">Yes</t>
        </is>
      </c>
      <c r="BB332" s="48" t="inlineStr">
        <is>
          <t xml:space="preserve">Yes</t>
        </is>
      </c>
      <c r="BC332" s="46" t="inlineStr">
        <is>
          <t xml:space="preserve">Synthetic demo data</t>
        </is>
      </c>
      <c r="BE332" s="45">
        <f>IF(OR($A332="",$L332="",$H332=""),"",IF(AND(LEFT($L332,2)="06",$H332&gt;1945),"FAIL - pre-war class, year "&amp;$H332,IF(AND(LEFT($L332,2)="07",OR($H332&lt;1946,$H332&gt;1972)),"FAIL - 1946-72 class, year "&amp;$H332,IF(AND(LEFT($L332,2)="08",OR($H332&lt;1973,$H332&gt;1999)),"FAIL - 1973-99 class, year "&amp;$H332,IF(AND(LEFT($L332,2)="09",OR($H332&lt;2000,$H332&gt;2010)),"FAIL - 2000-10 class, year "&amp;$H332,"OK")))))</f>
      </c>
      <c r="BF332" s="45">
        <f>IF($AD332="","",IF(ROUND($AO332+$AP332+$AQ332-$AD332,2)=0,"OK","FAIL - out by "&amp;TEXT($AO332+$AP332+$AQ332-$AD332,"$0.00")))</f>
      </c>
    </row>
    <row r="333" spans="1:58" ht="18.75" customHeight="1" x14ac:dyDescent="0.25">
      <c r="A333" s="30" t="inlineStr">
        <is>
          <t xml:space="preserve">CANON-202606-008858</t>
        </is>
      </c>
      <c r="B333" s="30" t="inlineStr">
        <is>
          <t xml:space="preserve">Delphine Merriweather</t>
        </is>
      </c>
      <c r="C333" s="31">
        <v>46200</v>
      </c>
      <c r="D333" s="32" t="inlineStr">
        <is>
          <t xml:space="preserve">Bound - within authority</t>
        </is>
      </c>
      <c r="E333" s="32" t="inlineStr">
        <is>
          <t xml:space="preserve">New business</t>
        </is>
      </c>
      <c r="F333" s="30" t="inlineStr">
        <is>
          <t xml:space="preserve">B1234EXOTIC26</t>
        </is>
      </c>
      <c r="G333" s="33">
        <f>IF($A333="","",IF($C333="","",YEAR($C333)))</f>
      </c>
      <c r="H333" s="34">
        <v>1968</v>
      </c>
      <c r="I333" s="30" t="inlineStr">
        <is>
          <t xml:space="preserve">Maserati</t>
        </is>
      </c>
      <c r="J333" s="30" t="inlineStr">
        <is>
          <t xml:space="preserve">GranTurismo</t>
        </is>
      </c>
      <c r="K333" s="30" t="inlineStr">
        <is>
          <t xml:space="preserve">3X87LHZ474XJ7HYP3</t>
        </is>
      </c>
      <c r="L333" s="32" t="inlineStr">
        <is>
          <t xml:space="preserve">02 - Sports / GT</t>
        </is>
      </c>
      <c r="M333" s="35">
        <v>415000</v>
      </c>
      <c r="N333" s="32" t="inlineStr">
        <is>
          <t xml:space="preserve">Personal</t>
        </is>
      </c>
      <c r="O333" s="30" t="inlineStr">
        <is>
          <t xml:space="preserve">Personal - regular use</t>
        </is>
      </c>
      <c r="P333" s="30" t="inlineStr">
        <is>
          <t xml:space="preserve">Under 1,000</t>
        </is>
      </c>
      <c r="Q333" s="30" t="inlineStr">
        <is>
          <t xml:space="preserve">Utah</t>
        </is>
      </c>
      <c r="R333" s="30" t="inlineStr">
        <is>
          <t xml:space="preserve">84101</t>
        </is>
      </c>
      <c r="S333" s="32" t="inlineStr">
        <is>
          <t xml:space="preserve">Wildfire - WUI high hazard</t>
        </is>
      </c>
      <c r="T333" s="36">
        <f>IF($A333="","",IF($S333="","",IFERROR(INDEX('[1]natural catastrophe'!$D$6:$D$17,MATCH($S333,'[1]natural catastrophe'!$B$6:$B$17,0)),"?")))</f>
      </c>
      <c r="U333" s="30" t="inlineStr">
        <is>
          <t xml:space="preserve">$5,000</t>
        </is>
      </c>
      <c r="V333" s="32" t="inlineStr">
        <is>
          <t xml:space="preserve">Agreed Value</t>
        </is>
      </c>
      <c r="W333" s="30" t="inlineStr">
        <is>
          <t xml:space="preserve">$1,000</t>
        </is>
      </c>
      <c r="X333" s="32" t="inlineStr">
        <is>
          <t xml:space="preserve">$1,000,000 CSL</t>
        </is>
      </c>
      <c r="Y333" s="30"/>
      <c r="Z333" s="30"/>
      <c r="AA333" s="32" t="inlineStr">
        <is>
          <t xml:space="preserve">Surplus Lines</t>
        </is>
      </c>
      <c r="AB333" s="35">
        <v>6063.39</v>
      </c>
      <c r="AC333" s="37">
        <v>0</v>
      </c>
      <c r="AD333" s="38">
        <f>IF(ISNUMBER($AB333),$AB333*(1+N($AC333)),"")</f>
      </c>
      <c r="AE333" s="35">
        <v>350</v>
      </c>
      <c r="AF333" s="35">
        <v>0</v>
      </c>
      <c r="AG333" s="37"/>
      <c r="AH333" s="39">
        <f>IF(ISNUMBER($AD333),($AD333+$AE333+$AF333)*$AG333,"")</f>
      </c>
      <c r="AI333" s="35"/>
      <c r="AJ333" s="38">
        <f>IF(ISNUMBER($AD333),SUM($AD333:$AH333),"")</f>
      </c>
      <c r="AK333" s="40">
        <f>IF(AND(ISNUMBER($AB333),ISNUMBER($AD333)),IF($AB333&gt;0,$AD333/$AB333,""),"")</f>
      </c>
      <c r="AL333" s="32" t="inlineStr">
        <is>
          <t xml:space="preserve">At technical</t>
        </is>
      </c>
      <c r="AM333" s="41">
        <f>IF(ISNUMBER($AD333),Header!$I$3,"")</f>
      </c>
      <c r="AN333" s="39">
        <f>IF(ISNUMBER($AD333),$AO333+$AP333,"")</f>
      </c>
      <c r="AO333" s="39">
        <f>IF(ISNUMBER($AD333),ROUND($AD333*Header!$K$3,2),"")</f>
      </c>
      <c r="AP333" s="39">
        <f>IF(ISNUMBER($AD333),ROUND($AD333*Header!$M$3,2),"")</f>
      </c>
      <c r="AQ333" s="38">
        <f>IF(ISNUMBER($AD333),ROUND($AD333,2)-$AO333-$AP333,"")</f>
      </c>
      <c r="AR333" s="39">
        <f>IF(ISNUMBER($AD333),IF(Header!$D$34="","?",$AD333*Header!$D$34),"")</f>
      </c>
      <c r="AS333" s="39">
        <f>IF(ISNUMBER($AB333),IF(Header!$D$34="","?",$AB333*Header!$D$34),"")</f>
      </c>
      <c r="AT333" s="42">
        <f>IF(AND(ISNUMBER($AB333),$M333&gt;0),$AB333/$M333*100,"")</f>
      </c>
      <c r="AU333" s="42">
        <f>IF(AND(ISNUMBER($AD333),$M333&gt;0),$AD333/$M333*100,"")</f>
      </c>
      <c r="AV333" s="40">
        <f>IF(AND(ISNUMBER($AB333),ISNUMBER($AD333),ABS($AB333)&gt;0),$AD333/$AB333,"")</f>
      </c>
      <c r="AW333" s="39">
        <f>IF(ISNUMBER($AD333),MAX(0,(1-0.55-Header!$O$3)*Header!$Q$3*$AQ333),"")</f>
      </c>
      <c r="AX333" s="43">
        <f>IF($A333="","",IF(TRIM(IF($A333="","Missing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",""))="","PASS","FAIL: "&amp;TRIM(IF($A333="","Missing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f>
      </c>
      <c r="AY333" s="44">
        <f>IF($M333="","",IF(ISNUMBER($M333),IF($M333&gt;=Header!$C$18,"YES — refer","No"),""))</f>
      </c>
      <c r="AZ333" s="44">
        <f>IF($AD333="","",IF(ISNUMBER($AD333),IF($AD333&lt;Header!$C$20,"BELOW MIN PREMIUM","OK"),""))</f>
      </c>
      <c r="BA333" s="32" t="inlineStr">
        <is>
          <t xml:space="preserve">Yes</t>
        </is>
      </c>
      <c r="BB333" s="32" t="inlineStr">
        <is>
          <t xml:space="preserve">Yes</t>
        </is>
      </c>
      <c r="BC333" s="30" t="inlineStr">
        <is>
          <t xml:space="preserve">Synthetic demo data</t>
        </is>
      </c>
      <c r="BE333" s="45">
        <f>IF(OR($A333="",$L333="",$H333=""),"",IF(AND(LEFT($L333,2)="06",$H333&gt;1945),"FAIL - pre-war class, year "&amp;$H333,IF(AND(LEFT($L333,2)="07",OR($H333&lt;1946,$H333&gt;1972)),"FAIL - 1946-72 class, year "&amp;$H333,IF(AND(LEFT($L333,2)="08",OR($H333&lt;1973,$H333&gt;1999)),"FAIL - 1973-99 class, year "&amp;$H333,IF(AND(LEFT($L333,2)="09",OR($H333&lt;2000,$H333&gt;2010)),"FAIL - 2000-10 class, year "&amp;$H333,"OK")))))</f>
      </c>
      <c r="BF333" s="45">
        <f>IF($AD333="","",IF(ROUND($AO333+$AP333+$AQ333-$AD333,2)=0,"OK","FAIL - out by "&amp;TEXT($AO333+$AP333+$AQ333-$AD333,"$0.00")))</f>
      </c>
    </row>
    <row r="334" spans="1:58" ht="18.75" customHeight="1" x14ac:dyDescent="0.25">
      <c r="A334" s="46" t="inlineStr">
        <is>
          <t xml:space="preserve">CANON-202606-008859</t>
        </is>
      </c>
      <c r="B334" s="46" t="inlineStr">
        <is>
          <t xml:space="preserve">Marisol Kingsford</t>
        </is>
      </c>
      <c r="C334" s="47">
        <v>46194</v>
      </c>
      <c r="D334" s="48" t="inlineStr">
        <is>
          <t xml:space="preserve">Bound - within authority</t>
        </is>
      </c>
      <c r="E334" s="48" t="inlineStr">
        <is>
          <t xml:space="preserve">New business</t>
        </is>
      </c>
      <c r="F334" s="46" t="inlineStr">
        <is>
          <t xml:space="preserve">B1234EXOTIC26</t>
        </is>
      </c>
      <c r="G334" s="33">
        <f>IF($A334="","",IF($C334="","",YEAR($C334)))</f>
      </c>
      <c r="H334" s="49">
        <v>1994</v>
      </c>
      <c r="I334" s="46" t="inlineStr">
        <is>
          <t xml:space="preserve">Ferrari</t>
        </is>
      </c>
      <c r="J334" s="46" t="inlineStr">
        <is>
          <t xml:space="preserve">296 GTB</t>
        </is>
      </c>
      <c r="K334" s="46" t="inlineStr">
        <is>
          <t xml:space="preserve">DVD0DUG58LUYJ3T21</t>
        </is>
      </c>
      <c r="L334" s="48" t="inlineStr">
        <is>
          <t xml:space="preserve">03 - Supercar</t>
        </is>
      </c>
      <c r="M334" s="50">
        <v>445000</v>
      </c>
      <c r="N334" s="48" t="inlineStr">
        <is>
          <t xml:space="preserve">Personal</t>
        </is>
      </c>
      <c r="O334" s="46" t="inlineStr">
        <is>
          <t xml:space="preserve">Personal - regular use</t>
        </is>
      </c>
      <c r="P334" s="46" t="inlineStr">
        <is>
          <t xml:space="preserve">Under 1,000</t>
        </is>
      </c>
      <c r="Q334" s="46" t="inlineStr">
        <is>
          <t xml:space="preserve">California</t>
        </is>
      </c>
      <c r="R334" s="46" t="inlineStr">
        <is>
          <t xml:space="preserve">90012</t>
        </is>
      </c>
      <c r="S334" s="48" t="inlineStr">
        <is>
          <t xml:space="preserve">Earthquake - high (CA, Cascadia, New Madrid)</t>
        </is>
      </c>
      <c r="T334" s="36">
        <f>IF($A334="","",IF($S334="","",IFERROR(INDEX('[1]natural catastrophe'!$D$6:$D$17,MATCH($S334,'[1]natural catastrophe'!$B$6:$B$17,0)),"?")))</f>
      </c>
      <c r="U334" s="46" t="inlineStr">
        <is>
          <t xml:space="preserve">$5,000</t>
        </is>
      </c>
      <c r="V334" s="48" t="inlineStr">
        <is>
          <t xml:space="preserve">Agreed Value</t>
        </is>
      </c>
      <c r="W334" s="46" t="inlineStr">
        <is>
          <t xml:space="preserve">$1,000</t>
        </is>
      </c>
      <c r="X334" s="48" t="inlineStr">
        <is>
          <t xml:space="preserve">$1,000,000 CSL</t>
        </is>
      </c>
      <c r="Y334" s="46"/>
      <c r="Z334" s="46"/>
      <c r="AA334" s="48" t="inlineStr">
        <is>
          <t xml:space="preserve">Surplus Lines</t>
        </is>
      </c>
      <c r="AB334" s="50">
        <v>9969.28</v>
      </c>
      <c r="AC334" s="51">
        <v>0</v>
      </c>
      <c r="AD334" s="38">
        <f>IF(ISNUMBER($AB334),$AB334*(1+N($AC334)),"")</f>
      </c>
      <c r="AE334" s="50">
        <v>350</v>
      </c>
      <c r="AF334" s="50">
        <v>0</v>
      </c>
      <c r="AG334" s="51"/>
      <c r="AH334" s="39">
        <f>IF(ISNUMBER($AD334),($AD334+$AE334+$AF334)*$AG334,"")</f>
      </c>
      <c r="AI334" s="50"/>
      <c r="AJ334" s="38">
        <f>IF(ISNUMBER($AD334),SUM($AD334:$AH334),"")</f>
      </c>
      <c r="AK334" s="40">
        <f>IF(AND(ISNUMBER($AB334),ISNUMBER($AD334)),IF($AB334&gt;0,$AD334/$AB334,""),"")</f>
      </c>
      <c r="AL334" s="48" t="inlineStr">
        <is>
          <t xml:space="preserve">At technical</t>
        </is>
      </c>
      <c r="AM334" s="41">
        <f>IF(ISNUMBER($AD334),Header!$I$3,"")</f>
      </c>
      <c r="AN334" s="39">
        <f>IF(ISNUMBER($AD334),$AO334+$AP334,"")</f>
      </c>
      <c r="AO334" s="39">
        <f>IF(ISNUMBER($AD334),ROUND($AD334*Header!$K$3,2),"")</f>
      </c>
      <c r="AP334" s="39">
        <f>IF(ISNUMBER($AD334),ROUND($AD334*Header!$M$3,2),"")</f>
      </c>
      <c r="AQ334" s="38">
        <f>IF(ISNUMBER($AD334),ROUND($AD334,2)-$AO334-$AP334,"")</f>
      </c>
      <c r="AR334" s="39">
        <f>IF(ISNUMBER($AD334),IF(Header!$D$34="","?",$AD334*Header!$D$34),"")</f>
      </c>
      <c r="AS334" s="39">
        <f>IF(ISNUMBER($AB334),IF(Header!$D$34="","?",$AB334*Header!$D$34),"")</f>
      </c>
      <c r="AT334" s="42">
        <f>IF(AND(ISNUMBER($AB334),$M334&gt;0),$AB334/$M334*100,"")</f>
      </c>
      <c r="AU334" s="42">
        <f>IF(AND(ISNUMBER($AD334),$M334&gt;0),$AD334/$M334*100,"")</f>
      </c>
      <c r="AV334" s="40">
        <f>IF(AND(ISNUMBER($AB334),ISNUMBER($AD334),ABS($AB334)&gt;0),$AD334/$AB334,"")</f>
      </c>
      <c r="AW334" s="39">
        <f>IF(ISNUMBER($AD334),MAX(0,(1-0.55-Header!$O$3)*Header!$Q$3*$AQ334),"")</f>
      </c>
      <c r="AX334" s="43">
        <f>IF($A334="","",IF(TRIM(IF($A334="","Missing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",""))="","PASS","FAIL: "&amp;TRIM(IF($A334="","Missing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f>
      </c>
      <c r="AY334" s="44">
        <f>IF($M334="","",IF(ISNUMBER($M334),IF($M334&gt;=Header!$C$18,"YES — refer","No"),""))</f>
      </c>
      <c r="AZ334" s="44">
        <f>IF($AD334="","",IF(ISNUMBER($AD334),IF($AD334&lt;Header!$C$20,"BELOW MIN PREMIUM","OK"),""))</f>
      </c>
      <c r="BA334" s="48" t="inlineStr">
        <is>
          <t xml:space="preserve">Yes</t>
        </is>
      </c>
      <c r="BB334" s="48" t="inlineStr">
        <is>
          <t xml:space="preserve">Yes</t>
        </is>
      </c>
      <c r="BC334" s="46" t="inlineStr">
        <is>
          <t xml:space="preserve">Synthetic demo data</t>
        </is>
      </c>
      <c r="BE334" s="45">
        <f>IF(OR($A334="",$L334="",$H334=""),"",IF(AND(LEFT($L334,2)="06",$H334&gt;1945),"FAIL - pre-war class, year "&amp;$H334,IF(AND(LEFT($L334,2)="07",OR($H334&lt;1946,$H334&gt;1972)),"FAIL - 1946-72 class, year "&amp;$H334,IF(AND(LEFT($L334,2)="08",OR($H334&lt;1973,$H334&gt;1999)),"FAIL - 1973-99 class, year "&amp;$H334,IF(AND(LEFT($L334,2)="09",OR($H334&lt;2000,$H334&gt;2010)),"FAIL - 2000-10 class, year "&amp;$H334,"OK")))))</f>
      </c>
      <c r="BF334" s="45">
        <f>IF($AD334="","",IF(ROUND($AO334+$AP334+$AQ334-$AD334,2)=0,"OK","FAIL - out by "&amp;TEXT($AO334+$AP334+$AQ334-$AD334,"$0.00")))</f>
      </c>
    </row>
    <row r="335" spans="1:58" ht="18.75" customHeight="1" x14ac:dyDescent="0.25">
      <c r="A335" s="30" t="inlineStr">
        <is>
          <t xml:space="preserve">CANON-202606-008860</t>
        </is>
      </c>
      <c r="B335" s="30" t="inlineStr">
        <is>
          <t xml:space="preserve">Everett Ashcombe</t>
        </is>
      </c>
      <c r="C335" s="31">
        <v>46175</v>
      </c>
      <c r="D335" s="32" t="inlineStr">
        <is>
          <t xml:space="preserve">Bound - within authority</t>
        </is>
      </c>
      <c r="E335" s="32" t="inlineStr">
        <is>
          <t xml:space="preserve">New business</t>
        </is>
      </c>
      <c r="F335" s="30" t="inlineStr">
        <is>
          <t xml:space="preserve">B1234EXOTIC26</t>
        </is>
      </c>
      <c r="G335" s="33">
        <f>IF($A335="","",IF($C335="","",YEAR($C335)))</f>
      </c>
      <c r="H335" s="34">
        <v>2014</v>
      </c>
      <c r="I335" s="30" t="inlineStr">
        <is>
          <t xml:space="preserve">Aston Martin</t>
        </is>
      </c>
      <c r="J335" s="30" t="inlineStr">
        <is>
          <t xml:space="preserve">DB12</t>
        </is>
      </c>
      <c r="K335" s="30" t="inlineStr">
        <is>
          <t xml:space="preserve">1SBAUWDW7Z144YU2W</t>
        </is>
      </c>
      <c r="L335" s="32" t="inlineStr">
        <is>
          <t xml:space="preserve">02 - Sports / GT</t>
        </is>
      </c>
      <c r="M335" s="35">
        <v>1025000</v>
      </c>
      <c r="N335" s="32" t="inlineStr">
        <is>
          <t xml:space="preserve">Personal</t>
        </is>
      </c>
      <c r="O335" s="30" t="inlineStr">
        <is>
          <t xml:space="preserve">Personal - regular use</t>
        </is>
      </c>
      <c r="P335" s="30" t="inlineStr">
        <is>
          <t xml:space="preserve">2,500 - 5,000</t>
        </is>
      </c>
      <c r="Q335" s="30" t="inlineStr">
        <is>
          <t xml:space="preserve">Pennsylvania</t>
        </is>
      </c>
      <c r="R335" s="30" t="inlineStr">
        <is>
          <t xml:space="preserve">19103</t>
        </is>
      </c>
      <c r="S335" s="32" t="inlineStr">
        <is>
          <t xml:space="preserve">Low hazard - inland benign</t>
        </is>
      </c>
      <c r="T335" s="36">
        <f>IF($A335="","",IF($S335="","",IFERROR(INDEX('[1]natural catastrophe'!$D$6:$D$17,MATCH($S335,'[1]natural catastrophe'!$B$6:$B$17,0)),"?")))</f>
      </c>
      <c r="U335" s="30" t="inlineStr">
        <is>
          <t xml:space="preserve">$5,000</t>
        </is>
      </c>
      <c r="V335" s="32" t="inlineStr">
        <is>
          <t xml:space="preserve">Agreed Value</t>
        </is>
      </c>
      <c r="W335" s="30" t="inlineStr">
        <is>
          <t xml:space="preserve">$1,000</t>
        </is>
      </c>
      <c r="X335" s="32" t="inlineStr">
        <is>
          <t xml:space="preserve">$1,000,000 CSL</t>
        </is>
      </c>
      <c r="Y335" s="30"/>
      <c r="Z335" s="30"/>
      <c r="AA335" s="32" t="inlineStr">
        <is>
          <t xml:space="preserve">Surplus Lines</t>
        </is>
      </c>
      <c r="AB335" s="35">
        <v>8135.02</v>
      </c>
      <c r="AC335" s="37">
        <v>0</v>
      </c>
      <c r="AD335" s="38">
        <f>IF(ISNUMBER($AB335),$AB335*(1+N($AC335)),"")</f>
      </c>
      <c r="AE335" s="35">
        <v>350</v>
      </c>
      <c r="AF335" s="35">
        <v>250</v>
      </c>
      <c r="AG335" s="37"/>
      <c r="AH335" s="39">
        <f>IF(ISNUMBER($AD335),($AD335+$AE335+$AF335)*$AG335,"")</f>
      </c>
      <c r="AI335" s="35"/>
      <c r="AJ335" s="38">
        <f>IF(ISNUMBER($AD335),SUM($AD335:$AH335),"")</f>
      </c>
      <c r="AK335" s="40">
        <f>IF(AND(ISNUMBER($AB335),ISNUMBER($AD335)),IF($AB335&gt;0,$AD335/$AB335,""),"")</f>
      </c>
      <c r="AL335" s="32" t="inlineStr">
        <is>
          <t xml:space="preserve">At technical</t>
        </is>
      </c>
      <c r="AM335" s="41">
        <f>IF(ISNUMBER($AD335),Header!$I$3,"")</f>
      </c>
      <c r="AN335" s="39">
        <f>IF(ISNUMBER($AD335),$AO335+$AP335,"")</f>
      </c>
      <c r="AO335" s="39">
        <f>IF(ISNUMBER($AD335),ROUND($AD335*Header!$K$3,2),"")</f>
      </c>
      <c r="AP335" s="39">
        <f>IF(ISNUMBER($AD335),ROUND($AD335*Header!$M$3,2),"")</f>
      </c>
      <c r="AQ335" s="38">
        <f>IF(ISNUMBER($AD335),ROUND($AD335,2)-$AO335-$AP335,"")</f>
      </c>
      <c r="AR335" s="39">
        <f>IF(ISNUMBER($AD335),IF(Header!$D$34="","?",$AD335*Header!$D$34),"")</f>
      </c>
      <c r="AS335" s="39">
        <f>IF(ISNUMBER($AB335),IF(Header!$D$34="","?",$AB335*Header!$D$34),"")</f>
      </c>
      <c r="AT335" s="42">
        <f>IF(AND(ISNUMBER($AB335),$M335&gt;0),$AB335/$M335*100,"")</f>
      </c>
      <c r="AU335" s="42">
        <f>IF(AND(ISNUMBER($AD335),$M335&gt;0),$AD335/$M335*100,"")</f>
      </c>
      <c r="AV335" s="40">
        <f>IF(AND(ISNUMBER($AB335),ISNUMBER($AD335),ABS($AB335)&gt;0),$AD335/$AB335,"")</f>
      </c>
      <c r="AW335" s="39">
        <f>IF(ISNUMBER($AD335),MAX(0,(1-0.55-Header!$O$3)*Header!$Q$3*$AQ335),"")</f>
      </c>
      <c r="AX335" s="43">
        <f>IF($A335="","",IF(TRIM(IF($A335="","Missing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",""))="","PASS","FAIL: "&amp;TRIM(IF($A335="","Missing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f>
      </c>
      <c r="AY335" s="44">
        <f>IF($M335="","",IF(ISNUMBER($M335),IF($M335&gt;=Header!$C$18,"YES — refer","No"),""))</f>
      </c>
      <c r="AZ335" s="44">
        <f>IF($AD335="","",IF(ISNUMBER($AD335),IF($AD335&lt;Header!$C$20,"BELOW MIN PREMIUM","OK"),""))</f>
      </c>
      <c r="BA335" s="32" t="inlineStr">
        <is>
          <t xml:space="preserve">Yes</t>
        </is>
      </c>
      <c r="BB335" s="32" t="inlineStr">
        <is>
          <t xml:space="preserve">Yes</t>
        </is>
      </c>
      <c r="BC335" s="30" t="inlineStr">
        <is>
          <t xml:space="preserve">Synthetic demo data</t>
        </is>
      </c>
      <c r="BE335" s="45">
        <f>IF(OR($A335="",$L335="",$H335=""),"",IF(AND(LEFT($L335,2)="06",$H335&gt;1945),"FAIL - pre-war class, year "&amp;$H335,IF(AND(LEFT($L335,2)="07",OR($H335&lt;1946,$H335&gt;1972)),"FAIL - 1946-72 class, year "&amp;$H335,IF(AND(LEFT($L335,2)="08",OR($H335&lt;1973,$H335&gt;1999)),"FAIL - 1973-99 class, year "&amp;$H335,IF(AND(LEFT($L335,2)="09",OR($H335&lt;2000,$H335&gt;2010)),"FAIL - 2000-10 class, year "&amp;$H335,"OK")))))</f>
      </c>
      <c r="BF335" s="45">
        <f>IF($AD335="","",IF(ROUND($AO335+$AP335+$AQ335-$AD335,2)=0,"OK","FAIL - out by "&amp;TEXT($AO335+$AP335+$AQ335-$AD335,"$0.00")))</f>
      </c>
    </row>
    <row r="336" spans="1:58" ht="18.75" customHeight="1" x14ac:dyDescent="0.25">
      <c r="A336" s="46" t="inlineStr">
        <is>
          <t xml:space="preserve">CANON-202606-008861</t>
        </is>
      </c>
      <c r="B336" s="46" t="inlineStr">
        <is>
          <t xml:space="preserve">Lorenzo Chattopadhyay</t>
        </is>
      </c>
      <c r="C336" s="47">
        <v>46181</v>
      </c>
      <c r="D336" s="48" t="inlineStr">
        <is>
          <t xml:space="preserve">Bound - within authority</t>
        </is>
      </c>
      <c r="E336" s="48" t="inlineStr">
        <is>
          <t xml:space="preserve">New business</t>
        </is>
      </c>
      <c r="F336" s="46" t="inlineStr">
        <is>
          <t xml:space="preserve">B1234EXOTIC26</t>
        </is>
      </c>
      <c r="G336" s="33">
        <f>IF($A336="","",IF($C336="","",YEAR($C336)))</f>
      </c>
      <c r="H336" s="49">
        <v>1988</v>
      </c>
      <c r="I336" s="46" t="inlineStr">
        <is>
          <t xml:space="preserve">Aston Martin</t>
        </is>
      </c>
      <c r="J336" s="46" t="inlineStr">
        <is>
          <t xml:space="preserve">DB12</t>
        </is>
      </c>
      <c r="K336" s="46" t="inlineStr">
        <is>
          <t xml:space="preserve">D7YF0NK14J5JSDS52</t>
        </is>
      </c>
      <c r="L336" s="48" t="inlineStr">
        <is>
          <t xml:space="preserve">02 - Sports / GT</t>
        </is>
      </c>
      <c r="M336" s="50">
        <v>170000</v>
      </c>
      <c r="N336" s="48" t="inlineStr">
        <is>
          <t xml:space="preserve">Personal</t>
        </is>
      </c>
      <c r="O336" s="46" t="inlineStr">
        <is>
          <t xml:space="preserve">Personal - regular use</t>
        </is>
      </c>
      <c r="P336" s="46" t="inlineStr">
        <is>
          <t xml:space="preserve">2,500 - 5,000</t>
        </is>
      </c>
      <c r="Q336" s="46" t="inlineStr">
        <is>
          <t xml:space="preserve">Kansas</t>
        </is>
      </c>
      <c r="R336" s="46" t="inlineStr">
        <is>
          <t xml:space="preserve">66603</t>
        </is>
      </c>
      <c r="S336" s="48" t="inlineStr">
        <is>
          <t xml:space="preserve">Severe convective - hail alley (high)</t>
        </is>
      </c>
      <c r="T336" s="36">
        <f>IF($A336="","",IF($S336="","",IFERROR(INDEX('[1]natural catastrophe'!$D$6:$D$17,MATCH($S336,'[1]natural catastrophe'!$B$6:$B$17,0)),"?")))</f>
      </c>
      <c r="U336" s="46" t="inlineStr">
        <is>
          <t xml:space="preserve">$5,000</t>
        </is>
      </c>
      <c r="V336" s="48" t="inlineStr">
        <is>
          <t xml:space="preserve">Agreed Value</t>
        </is>
      </c>
      <c r="W336" s="46" t="inlineStr">
        <is>
          <t xml:space="preserve">$1,000</t>
        </is>
      </c>
      <c r="X336" s="48" t="inlineStr">
        <is>
          <t xml:space="preserve">$1,000,000 CSL</t>
        </is>
      </c>
      <c r="Y336" s="46"/>
      <c r="Z336" s="46"/>
      <c r="AA336" s="48" t="inlineStr">
        <is>
          <t xml:space="preserve">Surplus Lines</t>
        </is>
      </c>
      <c r="AB336" s="50">
        <v>2189.18</v>
      </c>
      <c r="AC336" s="51">
        <v>0</v>
      </c>
      <c r="AD336" s="38">
        <f>IF(ISNUMBER($AB336),$AB336*(1+N($AC336)),"")</f>
      </c>
      <c r="AE336" s="50">
        <v>350</v>
      </c>
      <c r="AF336" s="50">
        <v>0</v>
      </c>
      <c r="AG336" s="51"/>
      <c r="AH336" s="39">
        <f>IF(ISNUMBER($AD336),($AD336+$AE336+$AF336)*$AG336,"")</f>
      </c>
      <c r="AI336" s="50"/>
      <c r="AJ336" s="38">
        <f>IF(ISNUMBER($AD336),SUM($AD336:$AH336),"")</f>
      </c>
      <c r="AK336" s="40">
        <f>IF(AND(ISNUMBER($AB336),ISNUMBER($AD336)),IF($AB336&gt;0,$AD336/$AB336,""),"")</f>
      </c>
      <c r="AL336" s="48" t="inlineStr">
        <is>
          <t xml:space="preserve">At technical</t>
        </is>
      </c>
      <c r="AM336" s="41">
        <f>IF(ISNUMBER($AD336),Header!$I$3,"")</f>
      </c>
      <c r="AN336" s="39">
        <f>IF(ISNUMBER($AD336),$AO336+$AP336,"")</f>
      </c>
      <c r="AO336" s="39">
        <f>IF(ISNUMBER($AD336),ROUND($AD336*Header!$K$3,2),"")</f>
      </c>
      <c r="AP336" s="39">
        <f>IF(ISNUMBER($AD336),ROUND($AD336*Header!$M$3,2),"")</f>
      </c>
      <c r="AQ336" s="38">
        <f>IF(ISNUMBER($AD336),ROUND($AD336,2)-$AO336-$AP336,"")</f>
      </c>
      <c r="AR336" s="39">
        <f>IF(ISNUMBER($AD336),IF(Header!$D$34="","?",$AD336*Header!$D$34),"")</f>
      </c>
      <c r="AS336" s="39">
        <f>IF(ISNUMBER($AB336),IF(Header!$D$34="","?",$AB336*Header!$D$34),"")</f>
      </c>
      <c r="AT336" s="42">
        <f>IF(AND(ISNUMBER($AB336),$M336&gt;0),$AB336/$M336*100,"")</f>
      </c>
      <c r="AU336" s="42">
        <f>IF(AND(ISNUMBER($AD336),$M336&gt;0),$AD336/$M336*100,"")</f>
      </c>
      <c r="AV336" s="40">
        <f>IF(AND(ISNUMBER($AB336),ISNUMBER($AD336),ABS($AB336)&gt;0),$AD336/$AB336,"")</f>
      </c>
      <c r="AW336" s="39">
        <f>IF(ISNUMBER($AD336),MAX(0,(1-0.55-Header!$O$3)*Header!$Q$3*$AQ336),"")</f>
      </c>
      <c r="AX336" s="43">
        <f>IF($A336="","",IF(TRIM(IF($A336="","Missing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",""))="","PASS","FAIL: "&amp;TRIM(IF($A336="","Missing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f>
      </c>
      <c r="AY336" s="44">
        <f>IF($M336="","",IF(ISNUMBER($M336),IF($M336&gt;=Header!$C$18,"YES — refer","No"),""))</f>
      </c>
      <c r="AZ336" s="44">
        <f>IF($AD336="","",IF(ISNUMBER($AD336),IF($AD336&lt;Header!$C$20,"BELOW MIN PREMIUM","OK"),""))</f>
      </c>
      <c r="BA336" s="48" t="inlineStr">
        <is>
          <t xml:space="preserve">Yes</t>
        </is>
      </c>
      <c r="BB336" s="48" t="inlineStr">
        <is>
          <t xml:space="preserve">Yes</t>
        </is>
      </c>
      <c r="BC336" s="46" t="inlineStr">
        <is>
          <t xml:space="preserve">Synthetic demo data</t>
        </is>
      </c>
      <c r="BE336" s="45">
        <f>IF(OR($A336="",$L336="",$H336=""),"",IF(AND(LEFT($L336,2)="06",$H336&gt;1945),"FAIL - pre-war class, year "&amp;$H336,IF(AND(LEFT($L336,2)="07",OR($H336&lt;1946,$H336&gt;1972)),"FAIL - 1946-72 class, year "&amp;$H336,IF(AND(LEFT($L336,2)="08",OR($H336&lt;1973,$H336&gt;1999)),"FAIL - 1973-99 class, year "&amp;$H336,IF(AND(LEFT($L336,2)="09",OR($H336&lt;2000,$H336&gt;2010)),"FAIL - 2000-10 class, year "&amp;$H336,"OK")))))</f>
      </c>
      <c r="BF336" s="45">
        <f>IF($AD336="","",IF(ROUND($AO336+$AP336+$AQ336-$AD336,2)=0,"OK","FAIL - out by "&amp;TEXT($AO336+$AP336+$AQ336-$AD336,"$0.00")))</f>
      </c>
    </row>
    <row r="337" spans="1:58" ht="18.75" customHeight="1" x14ac:dyDescent="0.25">
      <c r="A337" s="30" t="inlineStr">
        <is>
          <t xml:space="preserve">CANON-202606-008862</t>
        </is>
      </c>
      <c r="B337" s="30" t="inlineStr">
        <is>
          <t xml:space="preserve">Ottilie Merriweather</t>
        </is>
      </c>
      <c r="C337" s="31">
        <v>46176</v>
      </c>
      <c r="D337" s="32" t="inlineStr">
        <is>
          <t xml:space="preserve">Bound - within authority</t>
        </is>
      </c>
      <c r="E337" s="32" t="inlineStr">
        <is>
          <t xml:space="preserve">New business</t>
        </is>
      </c>
      <c r="F337" s="30" t="inlineStr">
        <is>
          <t xml:space="preserve">B1234EXOTIC26</t>
        </is>
      </c>
      <c r="G337" s="33">
        <f>IF($A337="","",IF($C337="","",YEAR($C337)))</f>
      </c>
      <c r="H337" s="34">
        <v>1986</v>
      </c>
      <c r="I337" s="30" t="inlineStr">
        <is>
          <t xml:space="preserve">Mercedes-Benz</t>
        </is>
      </c>
      <c r="J337" s="30" t="inlineStr">
        <is>
          <t xml:space="preserve">AMG GT</t>
        </is>
      </c>
      <c r="K337" s="30" t="inlineStr">
        <is>
          <t xml:space="preserve">LLS0X81U9DYCKKYUD</t>
        </is>
      </c>
      <c r="L337" s="32" t="inlineStr">
        <is>
          <t xml:space="preserve">02 - Sports / GT</t>
        </is>
      </c>
      <c r="M337" s="35">
        <v>450000</v>
      </c>
      <c r="N337" s="32" t="inlineStr">
        <is>
          <t xml:space="preserve">Personal</t>
        </is>
      </c>
      <c r="O337" s="30" t="inlineStr">
        <is>
          <t xml:space="preserve">Personal - regular use</t>
        </is>
      </c>
      <c r="P337" s="30" t="inlineStr">
        <is>
          <t xml:space="preserve">1,000 - 2,500</t>
        </is>
      </c>
      <c r="Q337" s="30" t="inlineStr">
        <is>
          <t xml:space="preserve">Michigan</t>
        </is>
      </c>
      <c r="R337" s="30" t="inlineStr">
        <is>
          <t xml:space="preserve">48226</t>
        </is>
      </c>
      <c r="S337" s="32" t="inlineStr">
        <is>
          <t xml:space="preserve">Severe convective - hail / tornado (moderate)</t>
        </is>
      </c>
      <c r="T337" s="36">
        <f>IF($A337="","",IF($S337="","",IFERROR(INDEX('[1]natural catastrophe'!$D$6:$D$17,MATCH($S337,'[1]natural catastrophe'!$B$6:$B$17,0)),"?")))</f>
      </c>
      <c r="U337" s="30" t="inlineStr">
        <is>
          <t xml:space="preserve">$5,000</t>
        </is>
      </c>
      <c r="V337" s="32" t="inlineStr">
        <is>
          <t xml:space="preserve">Agreed Value</t>
        </is>
      </c>
      <c r="W337" s="30" t="inlineStr">
        <is>
          <t xml:space="preserve">$1,000</t>
        </is>
      </c>
      <c r="X337" s="32" t="inlineStr">
        <is>
          <t xml:space="preserve">$1,000,000 CSL</t>
        </is>
      </c>
      <c r="Y337" s="30"/>
      <c r="Z337" s="30"/>
      <c r="AA337" s="32" t="inlineStr">
        <is>
          <t xml:space="preserve">Surplus Lines</t>
        </is>
      </c>
      <c r="AB337" s="35">
        <v>7548.79</v>
      </c>
      <c r="AC337" s="37">
        <v>0</v>
      </c>
      <c r="AD337" s="38">
        <f>IF(ISNUMBER($AB337),$AB337*(1+N($AC337)),"")</f>
      </c>
      <c r="AE337" s="35">
        <v>350</v>
      </c>
      <c r="AF337" s="35">
        <v>0</v>
      </c>
      <c r="AG337" s="37"/>
      <c r="AH337" s="39">
        <f>IF(ISNUMBER($AD337),($AD337+$AE337+$AF337)*$AG337,"")</f>
      </c>
      <c r="AI337" s="35"/>
      <c r="AJ337" s="38">
        <f>IF(ISNUMBER($AD337),SUM($AD337:$AH337),"")</f>
      </c>
      <c r="AK337" s="40">
        <f>IF(AND(ISNUMBER($AB337),ISNUMBER($AD337)),IF($AB337&gt;0,$AD337/$AB337,""),"")</f>
      </c>
      <c r="AL337" s="32" t="inlineStr">
        <is>
          <t xml:space="preserve">At technical</t>
        </is>
      </c>
      <c r="AM337" s="41">
        <f>IF(ISNUMBER($AD337),Header!$I$3,"")</f>
      </c>
      <c r="AN337" s="39">
        <f>IF(ISNUMBER($AD337),$AO337+$AP337,"")</f>
      </c>
      <c r="AO337" s="39">
        <f>IF(ISNUMBER($AD337),ROUND($AD337*Header!$K$3,2),"")</f>
      </c>
      <c r="AP337" s="39">
        <f>IF(ISNUMBER($AD337),ROUND($AD337*Header!$M$3,2),"")</f>
      </c>
      <c r="AQ337" s="38">
        <f>IF(ISNUMBER($AD337),ROUND($AD337,2)-$AO337-$AP337,"")</f>
      </c>
      <c r="AR337" s="39">
        <f>IF(ISNUMBER($AD337),IF(Header!$D$34="","?",$AD337*Header!$D$34),"")</f>
      </c>
      <c r="AS337" s="39">
        <f>IF(ISNUMBER($AB337),IF(Header!$D$34="","?",$AB337*Header!$D$34),"")</f>
      </c>
      <c r="AT337" s="42">
        <f>IF(AND(ISNUMBER($AB337),$M337&gt;0),$AB337/$M337*100,"")</f>
      </c>
      <c r="AU337" s="42">
        <f>IF(AND(ISNUMBER($AD337),$M337&gt;0),$AD337/$M337*100,"")</f>
      </c>
      <c r="AV337" s="40">
        <f>IF(AND(ISNUMBER($AB337),ISNUMBER($AD337),ABS($AB337)&gt;0),$AD337/$AB337,"")</f>
      </c>
      <c r="AW337" s="39">
        <f>IF(ISNUMBER($AD337),MAX(0,(1-0.55-Header!$O$3)*Header!$Q$3*$AQ337),"")</f>
      </c>
      <c r="AX337" s="43">
        <f>IF($A337="","",IF(TRIM(IF($A337="","Missing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",""))="","PASS","FAIL: "&amp;TRIM(IF($A337="","Missing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f>
      </c>
      <c r="AY337" s="44">
        <f>IF($M337="","",IF(ISNUMBER($M337),IF($M337&gt;=Header!$C$18,"YES — refer","No"),""))</f>
      </c>
      <c r="AZ337" s="44">
        <f>IF($AD337="","",IF(ISNUMBER($AD337),IF($AD337&lt;Header!$C$20,"BELOW MIN PREMIUM","OK"),""))</f>
      </c>
      <c r="BA337" s="32" t="inlineStr">
        <is>
          <t xml:space="preserve">Yes</t>
        </is>
      </c>
      <c r="BB337" s="32" t="inlineStr">
        <is>
          <t xml:space="preserve">Yes</t>
        </is>
      </c>
      <c r="BC337" s="30" t="inlineStr">
        <is>
          <t xml:space="preserve">Synthetic demo data</t>
        </is>
      </c>
      <c r="BE337" s="45">
        <f>IF(OR($A337="",$L337="",$H337=""),"",IF(AND(LEFT($L337,2)="06",$H337&gt;1945),"FAIL - pre-war class, year "&amp;$H337,IF(AND(LEFT($L337,2)="07",OR($H337&lt;1946,$H337&gt;1972)),"FAIL - 1946-72 class, year "&amp;$H337,IF(AND(LEFT($L337,2)="08",OR($H337&lt;1973,$H337&gt;1999)),"FAIL - 1973-99 class, year "&amp;$H337,IF(AND(LEFT($L337,2)="09",OR($H337&lt;2000,$H337&gt;2010)),"FAIL - 2000-10 class, year "&amp;$H337,"OK")))))</f>
      </c>
      <c r="BF337" s="45">
        <f>IF($AD337="","",IF(ROUND($AO337+$AP337+$AQ337-$AD337,2)=0,"OK","FAIL - out by "&amp;TEXT($AO337+$AP337+$AQ337-$AD337,"$0.00")))</f>
      </c>
    </row>
    <row r="338" spans="1:58" ht="18.75" customHeight="1" x14ac:dyDescent="0.25">
      <c r="A338" s="46" t="inlineStr">
        <is>
          <t xml:space="preserve">CANON-202606-008864</t>
        </is>
      </c>
      <c r="B338" s="46" t="inlineStr">
        <is>
          <t xml:space="preserve">Anouk Blackwood</t>
        </is>
      </c>
      <c r="C338" s="47">
        <v>46203</v>
      </c>
      <c r="D338" s="48" t="inlineStr">
        <is>
          <t xml:space="preserve">Bound - within authority</t>
        </is>
      </c>
      <c r="E338" s="48" t="inlineStr">
        <is>
          <t xml:space="preserve">New business</t>
        </is>
      </c>
      <c r="F338" s="46" t="inlineStr">
        <is>
          <t xml:space="preserve">B1234EXOTIC26</t>
        </is>
      </c>
      <c r="G338" s="33">
        <f>IF($A338="","",IF($C338="","",YEAR($C338)))</f>
      </c>
      <c r="H338" s="49">
        <v>1991</v>
      </c>
      <c r="I338" s="46" t="inlineStr">
        <is>
          <t xml:space="preserve">Ferrari</t>
        </is>
      </c>
      <c r="J338" s="46" t="inlineStr">
        <is>
          <t xml:space="preserve">296 GTB</t>
        </is>
      </c>
      <c r="K338" s="46" t="inlineStr">
        <is>
          <t xml:space="preserve">FGEA857P20BBCVRJR</t>
        </is>
      </c>
      <c r="L338" s="48" t="inlineStr">
        <is>
          <t xml:space="preserve">03 - Supercar</t>
        </is>
      </c>
      <c r="M338" s="50">
        <v>305000</v>
      </c>
      <c r="N338" s="48" t="inlineStr">
        <is>
          <t xml:space="preserve">Personal</t>
        </is>
      </c>
      <c r="O338" s="46" t="inlineStr">
        <is>
          <t xml:space="preserve">Personal - regular use</t>
        </is>
      </c>
      <c r="P338" s="46" t="inlineStr">
        <is>
          <t xml:space="preserve">1,000 - 2,500</t>
        </is>
      </c>
      <c r="Q338" s="46" t="inlineStr">
        <is>
          <t xml:space="preserve">Kansas</t>
        </is>
      </c>
      <c r="R338" s="46" t="inlineStr">
        <is>
          <t xml:space="preserve">66603</t>
        </is>
      </c>
      <c r="S338" s="48" t="inlineStr">
        <is>
          <t xml:space="preserve">Severe convective - hail alley (high)</t>
        </is>
      </c>
      <c r="T338" s="36">
        <f>IF($A338="","",IF($S338="","",IFERROR(INDEX('[1]natural catastrophe'!$D$6:$D$17,MATCH($S338,'[1]natural catastrophe'!$B$6:$B$17,0)),"?")))</f>
      </c>
      <c r="U338" s="46" t="inlineStr">
        <is>
          <t xml:space="preserve">$5,000</t>
        </is>
      </c>
      <c r="V338" s="48" t="inlineStr">
        <is>
          <t xml:space="preserve">Agreed Value</t>
        </is>
      </c>
      <c r="W338" s="46" t="inlineStr">
        <is>
          <t xml:space="preserve">$1,000</t>
        </is>
      </c>
      <c r="X338" s="48" t="inlineStr">
        <is>
          <t xml:space="preserve">$1,000,000 CSL</t>
        </is>
      </c>
      <c r="Y338" s="46"/>
      <c r="Z338" s="46"/>
      <c r="AA338" s="48" t="inlineStr">
        <is>
          <t xml:space="preserve">Surplus Lines</t>
        </is>
      </c>
      <c r="AB338" s="50">
        <v>4909.55</v>
      </c>
      <c r="AC338" s="51">
        <v>0</v>
      </c>
      <c r="AD338" s="38">
        <f>IF(ISNUMBER($AB338),$AB338*(1+N($AC338)),"")</f>
      </c>
      <c r="AE338" s="50">
        <v>350</v>
      </c>
      <c r="AF338" s="50">
        <v>0</v>
      </c>
      <c r="AG338" s="51"/>
      <c r="AH338" s="39">
        <f>IF(ISNUMBER($AD338),($AD338+$AE338+$AF338)*$AG338,"")</f>
      </c>
      <c r="AI338" s="50"/>
      <c r="AJ338" s="38">
        <f>IF(ISNUMBER($AD338),SUM($AD338:$AH338),"")</f>
      </c>
      <c r="AK338" s="40">
        <f>IF(AND(ISNUMBER($AB338),ISNUMBER($AD338)),IF($AB338&gt;0,$AD338/$AB338,""),"")</f>
      </c>
      <c r="AL338" s="48" t="inlineStr">
        <is>
          <t xml:space="preserve">At technical</t>
        </is>
      </c>
      <c r="AM338" s="41">
        <f>IF(ISNUMBER($AD338),Header!$I$3,"")</f>
      </c>
      <c r="AN338" s="39">
        <f>IF(ISNUMBER($AD338),$AO338+$AP338,"")</f>
      </c>
      <c r="AO338" s="39">
        <f>IF(ISNUMBER($AD338),ROUND($AD338*Header!$K$3,2),"")</f>
      </c>
      <c r="AP338" s="39">
        <f>IF(ISNUMBER($AD338),ROUND($AD338*Header!$M$3,2),"")</f>
      </c>
      <c r="AQ338" s="38">
        <f>IF(ISNUMBER($AD338),ROUND($AD338,2)-$AO338-$AP338,"")</f>
      </c>
      <c r="AR338" s="39">
        <f>IF(ISNUMBER($AD338),IF(Header!$D$34="","?",$AD338*Header!$D$34),"")</f>
      </c>
      <c r="AS338" s="39">
        <f>IF(ISNUMBER($AB338),IF(Header!$D$34="","?",$AB338*Header!$D$34),"")</f>
      </c>
      <c r="AT338" s="42">
        <f>IF(AND(ISNUMBER($AB338),$M338&gt;0),$AB338/$M338*100,"")</f>
      </c>
      <c r="AU338" s="42">
        <f>IF(AND(ISNUMBER($AD338),$M338&gt;0),$AD338/$M338*100,"")</f>
      </c>
      <c r="AV338" s="40">
        <f>IF(AND(ISNUMBER($AB338),ISNUMBER($AD338),ABS($AB338)&gt;0),$AD338/$AB338,"")</f>
      </c>
      <c r="AW338" s="39">
        <f>IF(ISNUMBER($AD338),MAX(0,(1-0.55-Header!$O$3)*Header!$Q$3*$AQ338),"")</f>
      </c>
      <c r="AX338" s="43">
        <f>IF($A338="","",IF(TRIM(IF($A338="","Missing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",""))="","PASS","FAIL: "&amp;TRIM(IF($A338="","Missing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f>
      </c>
      <c r="AY338" s="44">
        <f>IF($M338="","",IF(ISNUMBER($M338),IF($M338&gt;=Header!$C$18,"YES — refer","No"),""))</f>
      </c>
      <c r="AZ338" s="44">
        <f>IF($AD338="","",IF(ISNUMBER($AD338),IF($AD338&lt;Header!$C$20,"BELOW MIN PREMIUM","OK"),""))</f>
      </c>
      <c r="BA338" s="48" t="inlineStr">
        <is>
          <t xml:space="preserve">Yes</t>
        </is>
      </c>
      <c r="BB338" s="48" t="inlineStr">
        <is>
          <t xml:space="preserve">Yes</t>
        </is>
      </c>
      <c r="BC338" s="46" t="inlineStr">
        <is>
          <t xml:space="preserve">Synthetic demo data</t>
        </is>
      </c>
      <c r="BE338" s="45">
        <f>IF(OR($A338="",$L338="",$H338=""),"",IF(AND(LEFT($L338,2)="06",$H338&gt;1945),"FAIL - pre-war class, year "&amp;$H338,IF(AND(LEFT($L338,2)="07",OR($H338&lt;1946,$H338&gt;1972)),"FAIL - 1946-72 class, year "&amp;$H338,IF(AND(LEFT($L338,2)="08",OR($H338&lt;1973,$H338&gt;1999)),"FAIL - 1973-99 class, year "&amp;$H338,IF(AND(LEFT($L338,2)="09",OR($H338&lt;2000,$H338&gt;2010)),"FAIL - 2000-10 class, year "&amp;$H338,"OK")))))</f>
      </c>
      <c r="BF338" s="45">
        <f>IF($AD338="","",IF(ROUND($AO338+$AP338+$AQ338-$AD338,2)=0,"OK","FAIL - out by "&amp;TEXT($AO338+$AP338+$AQ338-$AD338,"$0.00")))</f>
      </c>
    </row>
    <row r="339" spans="1:58" ht="18.75" customHeight="1" x14ac:dyDescent="0.25">
      <c r="A339" s="30" t="inlineStr">
        <is>
          <t xml:space="preserve">CANON-202606-008865</t>
        </is>
      </c>
      <c r="B339" s="30" t="inlineStr">
        <is>
          <t xml:space="preserve">Priya Fairweather</t>
        </is>
      </c>
      <c r="C339" s="31">
        <v>46187</v>
      </c>
      <c r="D339" s="32" t="inlineStr">
        <is>
          <t xml:space="preserve">Bound - within authority</t>
        </is>
      </c>
      <c r="E339" s="32" t="inlineStr">
        <is>
          <t xml:space="preserve">New business</t>
        </is>
      </c>
      <c r="F339" s="30" t="inlineStr">
        <is>
          <t xml:space="preserve">B1234EXOTIC26</t>
        </is>
      </c>
      <c r="G339" s="33">
        <f>IF($A339="","",IF($C339="","",YEAR($C339)))</f>
      </c>
      <c r="H339" s="34">
        <v>2022</v>
      </c>
      <c r="I339" s="30" t="inlineStr">
        <is>
          <t xml:space="preserve">Porsche</t>
        </is>
      </c>
      <c r="J339" s="30" t="inlineStr">
        <is>
          <t xml:space="preserve">911 Turbo S</t>
        </is>
      </c>
      <c r="K339" s="30" t="inlineStr">
        <is>
          <t xml:space="preserve">YE0PSHVF3XTPWZXS1</t>
        </is>
      </c>
      <c r="L339" s="32" t="inlineStr">
        <is>
          <t xml:space="preserve">02 - Sports / GT</t>
        </is>
      </c>
      <c r="M339" s="35">
        <v>255000</v>
      </c>
      <c r="N339" s="32" t="inlineStr">
        <is>
          <t xml:space="preserve">Personal</t>
        </is>
      </c>
      <c r="O339" s="30" t="inlineStr">
        <is>
          <t xml:space="preserve">Personal - regular use</t>
        </is>
      </c>
      <c r="P339" s="30" t="inlineStr">
        <is>
          <t xml:space="preserve">Under 1,000</t>
        </is>
      </c>
      <c r="Q339" s="30" t="inlineStr">
        <is>
          <t xml:space="preserve">South Carolina</t>
        </is>
      </c>
      <c r="R339" s="30" t="inlineStr">
        <is>
          <t xml:space="preserve">29401</t>
        </is>
      </c>
      <c r="S339" s="32" t="inlineStr">
        <is>
          <t xml:space="preserve">Tier 2 - Coastal wind (1-25 miles)</t>
        </is>
      </c>
      <c r="T339" s="36">
        <f>IF($A339="","",IF($S339="","",IFERROR(INDEX('[1]natural catastrophe'!$D$6:$D$17,MATCH($S339,'[1]natural catastrophe'!$B$6:$B$17,0)),"?")))</f>
      </c>
      <c r="U339" s="30" t="inlineStr">
        <is>
          <t xml:space="preserve">2% of agreed value, minimum $10,000</t>
        </is>
      </c>
      <c r="V339" s="32" t="inlineStr">
        <is>
          <t xml:space="preserve">Agreed Value</t>
        </is>
      </c>
      <c r="W339" s="30" t="inlineStr">
        <is>
          <t xml:space="preserve">$1,000</t>
        </is>
      </c>
      <c r="X339" s="32" t="inlineStr">
        <is>
          <t xml:space="preserve">$1,000,000 CSL</t>
        </is>
      </c>
      <c r="Y339" s="30"/>
      <c r="Z339" s="30"/>
      <c r="AA339" s="32" t="inlineStr">
        <is>
          <t xml:space="preserve">Surplus Lines</t>
        </is>
      </c>
      <c r="AB339" s="35">
        <v>3422.12</v>
      </c>
      <c r="AC339" s="37">
        <v>0</v>
      </c>
      <c r="AD339" s="38">
        <f>IF(ISNUMBER($AB339),$AB339*(1+N($AC339)),"")</f>
      </c>
      <c r="AE339" s="35">
        <v>350</v>
      </c>
      <c r="AF339" s="35">
        <v>0</v>
      </c>
      <c r="AG339" s="37"/>
      <c r="AH339" s="39">
        <f>IF(ISNUMBER($AD339),($AD339+$AE339+$AF339)*$AG339,"")</f>
      </c>
      <c r="AI339" s="35"/>
      <c r="AJ339" s="38">
        <f>IF(ISNUMBER($AD339),SUM($AD339:$AH339),"")</f>
      </c>
      <c r="AK339" s="40">
        <f>IF(AND(ISNUMBER($AB339),ISNUMBER($AD339)),IF($AB339&gt;0,$AD339/$AB339,""),"")</f>
      </c>
      <c r="AL339" s="32" t="inlineStr">
        <is>
          <t xml:space="preserve">At technical</t>
        </is>
      </c>
      <c r="AM339" s="41">
        <f>IF(ISNUMBER($AD339),Header!$I$3,"")</f>
      </c>
      <c r="AN339" s="39">
        <f>IF(ISNUMBER($AD339),$AO339+$AP339,"")</f>
      </c>
      <c r="AO339" s="39">
        <f>IF(ISNUMBER($AD339),ROUND($AD339*Header!$K$3,2),"")</f>
      </c>
      <c r="AP339" s="39">
        <f>IF(ISNUMBER($AD339),ROUND($AD339*Header!$M$3,2),"")</f>
      </c>
      <c r="AQ339" s="38">
        <f>IF(ISNUMBER($AD339),ROUND($AD339,2)-$AO339-$AP339,"")</f>
      </c>
      <c r="AR339" s="39">
        <f>IF(ISNUMBER($AD339),IF(Header!$D$34="","?",$AD339*Header!$D$34),"")</f>
      </c>
      <c r="AS339" s="39">
        <f>IF(ISNUMBER($AB339),IF(Header!$D$34="","?",$AB339*Header!$D$34),"")</f>
      </c>
      <c r="AT339" s="42">
        <f>IF(AND(ISNUMBER($AB339),$M339&gt;0),$AB339/$M339*100,"")</f>
      </c>
      <c r="AU339" s="42">
        <f>IF(AND(ISNUMBER($AD339),$M339&gt;0),$AD339/$M339*100,"")</f>
      </c>
      <c r="AV339" s="40">
        <f>IF(AND(ISNUMBER($AB339),ISNUMBER($AD339),ABS($AB339)&gt;0),$AD339/$AB339,"")</f>
      </c>
      <c r="AW339" s="39">
        <f>IF(ISNUMBER($AD339),MAX(0,(1-0.55-Header!$O$3)*Header!$Q$3*$AQ339),"")</f>
      </c>
      <c r="AX339" s="43">
        <f>IF($A339="","",IF(TRIM(IF($A339="","Missing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",""))="","PASS","FAIL: "&amp;TRIM(IF($A339="","Missing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f>
      </c>
      <c r="AY339" s="44">
        <f>IF($M339="","",IF(ISNUMBER($M339),IF($M339&gt;=Header!$C$18,"YES — refer","No"),""))</f>
      </c>
      <c r="AZ339" s="44">
        <f>IF($AD339="","",IF(ISNUMBER($AD339),IF($AD339&lt;Header!$C$20,"BELOW MIN PREMIUM","OK"),""))</f>
      </c>
      <c r="BA339" s="32" t="inlineStr">
        <is>
          <t xml:space="preserve">Yes</t>
        </is>
      </c>
      <c r="BB339" s="32" t="inlineStr">
        <is>
          <t xml:space="preserve">Yes</t>
        </is>
      </c>
      <c r="BC339" s="30" t="inlineStr">
        <is>
          <t xml:space="preserve">Synthetic demo data</t>
        </is>
      </c>
      <c r="BE339" s="45">
        <f>IF(OR($A339="",$L339="",$H339=""),"",IF(AND(LEFT($L339,2)="06",$H339&gt;1945),"FAIL - pre-war class, year "&amp;$H339,IF(AND(LEFT($L339,2)="07",OR($H339&lt;1946,$H339&gt;1972)),"FAIL - 1946-72 class, year "&amp;$H339,IF(AND(LEFT($L339,2)="08",OR($H339&lt;1973,$H339&gt;1999)),"FAIL - 1973-99 class, year "&amp;$H339,IF(AND(LEFT($L339,2)="09",OR($H339&lt;2000,$H339&gt;2010)),"FAIL - 2000-10 class, year "&amp;$H339,"OK")))))</f>
      </c>
      <c r="BF339" s="45">
        <f>IF($AD339="","",IF(ROUND($AO339+$AP339+$AQ339-$AD339,2)=0,"OK","FAIL - out by "&amp;TEXT($AO339+$AP339+$AQ339-$AD339,"$0.00")))</f>
      </c>
    </row>
    <row r="340" spans="1:58" ht="18.75" customHeight="1" x14ac:dyDescent="0.25">
      <c r="A340" s="46" t="inlineStr">
        <is>
          <t xml:space="preserve">CANON-202606-008866</t>
        </is>
      </c>
      <c r="B340" s="46" t="inlineStr">
        <is>
          <t xml:space="preserve">Emiliano Merriweather</t>
        </is>
      </c>
      <c r="C340" s="47">
        <v>46187</v>
      </c>
      <c r="D340" s="48" t="inlineStr">
        <is>
          <t xml:space="preserve">Bound - within authority</t>
        </is>
      </c>
      <c r="E340" s="48" t="inlineStr">
        <is>
          <t xml:space="preserve">New business</t>
        </is>
      </c>
      <c r="F340" s="46" t="inlineStr">
        <is>
          <t xml:space="preserve">B1234EXOTIC26</t>
        </is>
      </c>
      <c r="G340" s="33">
        <f>IF($A340="","",IF($C340="","",YEAR($C340)))</f>
      </c>
      <c r="H340" s="49">
        <v>1994</v>
      </c>
      <c r="I340" s="46" t="inlineStr">
        <is>
          <t xml:space="preserve">Maserati</t>
        </is>
      </c>
      <c r="J340" s="46" t="inlineStr">
        <is>
          <t xml:space="preserve">GranTurismo</t>
        </is>
      </c>
      <c r="K340" s="46" t="inlineStr">
        <is>
          <t xml:space="preserve">64JZEZFREFCHS90J9</t>
        </is>
      </c>
      <c r="L340" s="48" t="inlineStr">
        <is>
          <t xml:space="preserve">02 - Sports / GT</t>
        </is>
      </c>
      <c r="M340" s="50">
        <v>645000</v>
      </c>
      <c r="N340" s="48" t="inlineStr">
        <is>
          <t xml:space="preserve">Personal</t>
        </is>
      </c>
      <c r="O340" s="46" t="inlineStr">
        <is>
          <t xml:space="preserve">Personal - regular use</t>
        </is>
      </c>
      <c r="P340" s="46" t="inlineStr">
        <is>
          <t xml:space="preserve">Under 1,000</t>
        </is>
      </c>
      <c r="Q340" s="46" t="inlineStr">
        <is>
          <t xml:space="preserve">Connecticut</t>
        </is>
      </c>
      <c r="R340" s="46" t="inlineStr">
        <is>
          <t xml:space="preserve">06103</t>
        </is>
      </c>
      <c r="S340" s="48" t="inlineStr">
        <is>
          <t xml:space="preserve">Tier 3 - Coastal wind (25-100 miles)</t>
        </is>
      </c>
      <c r="T340" s="36">
        <f>IF($A340="","",IF($S340="","",IFERROR(INDEX('[1]natural catastrophe'!$D$6:$D$17,MATCH($S340,'[1]natural catastrophe'!$B$6:$B$17,0)),"?")))</f>
      </c>
      <c r="U340" s="46" t="inlineStr">
        <is>
          <t xml:space="preserve">2% of agreed value, minimum $10,000</t>
        </is>
      </c>
      <c r="V340" s="48" t="inlineStr">
        <is>
          <t xml:space="preserve">Agreed Value</t>
        </is>
      </c>
      <c r="W340" s="46" t="inlineStr">
        <is>
          <t xml:space="preserve">$1,000</t>
        </is>
      </c>
      <c r="X340" s="48" t="inlineStr">
        <is>
          <t xml:space="preserve">$1,000,000 CSL</t>
        </is>
      </c>
      <c r="Y340" s="46"/>
      <c r="Z340" s="46"/>
      <c r="AA340" s="48" t="inlineStr">
        <is>
          <t xml:space="preserve">Surplus Lines</t>
        </is>
      </c>
      <c r="AB340" s="50">
        <v>6775.84</v>
      </c>
      <c r="AC340" s="51">
        <v>0</v>
      </c>
      <c r="AD340" s="38">
        <f>IF(ISNUMBER($AB340),$AB340*(1+N($AC340)),"")</f>
      </c>
      <c r="AE340" s="50">
        <v>350</v>
      </c>
      <c r="AF340" s="50">
        <v>0</v>
      </c>
      <c r="AG340" s="51"/>
      <c r="AH340" s="39">
        <f>IF(ISNUMBER($AD340),($AD340+$AE340+$AF340)*$AG340,"")</f>
      </c>
      <c r="AI340" s="50"/>
      <c r="AJ340" s="38">
        <f>IF(ISNUMBER($AD340),SUM($AD340:$AH340),"")</f>
      </c>
      <c r="AK340" s="40">
        <f>IF(AND(ISNUMBER($AB340),ISNUMBER($AD340)),IF($AB340&gt;0,$AD340/$AB340,""),"")</f>
      </c>
      <c r="AL340" s="48" t="inlineStr">
        <is>
          <t xml:space="preserve">At technical</t>
        </is>
      </c>
      <c r="AM340" s="41">
        <f>IF(ISNUMBER($AD340),Header!$I$3,"")</f>
      </c>
      <c r="AN340" s="39">
        <f>IF(ISNUMBER($AD340),$AO340+$AP340,"")</f>
      </c>
      <c r="AO340" s="39">
        <f>IF(ISNUMBER($AD340),ROUND($AD340*Header!$K$3,2),"")</f>
      </c>
      <c r="AP340" s="39">
        <f>IF(ISNUMBER($AD340),ROUND($AD340*Header!$M$3,2),"")</f>
      </c>
      <c r="AQ340" s="38">
        <f>IF(ISNUMBER($AD340),ROUND($AD340,2)-$AO340-$AP340,"")</f>
      </c>
      <c r="AR340" s="39">
        <f>IF(ISNUMBER($AD340),IF(Header!$D$34="","?",$AD340*Header!$D$34),"")</f>
      </c>
      <c r="AS340" s="39">
        <f>IF(ISNUMBER($AB340),IF(Header!$D$34="","?",$AB340*Header!$D$34),"")</f>
      </c>
      <c r="AT340" s="42">
        <f>IF(AND(ISNUMBER($AB340),$M340&gt;0),$AB340/$M340*100,"")</f>
      </c>
      <c r="AU340" s="42">
        <f>IF(AND(ISNUMBER($AD340),$M340&gt;0),$AD340/$M340*100,"")</f>
      </c>
      <c r="AV340" s="40">
        <f>IF(AND(ISNUMBER($AB340),ISNUMBER($AD340),ABS($AB340)&gt;0),$AD340/$AB340,"")</f>
      </c>
      <c r="AW340" s="39">
        <f>IF(ISNUMBER($AD340),MAX(0,(1-0.55-Header!$O$3)*Header!$Q$3*$AQ340),"")</f>
      </c>
      <c r="AX340" s="43">
        <f>IF($A340="","",IF(TRIM(IF($A340="","Missing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",""))="","PASS","FAIL: "&amp;TRIM(IF($A340="","Missing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f>
      </c>
      <c r="AY340" s="44">
        <f>IF($M340="","",IF(ISNUMBER($M340),IF($M340&gt;=Header!$C$18,"YES — refer","No"),""))</f>
      </c>
      <c r="AZ340" s="44">
        <f>IF($AD340="","",IF(ISNUMBER($AD340),IF($AD340&lt;Header!$C$20,"BELOW MIN PREMIUM","OK"),""))</f>
      </c>
      <c r="BA340" s="48" t="inlineStr">
        <is>
          <t xml:space="preserve">Yes</t>
        </is>
      </c>
      <c r="BB340" s="48" t="inlineStr">
        <is>
          <t xml:space="preserve">Yes</t>
        </is>
      </c>
      <c r="BC340" s="46" t="inlineStr">
        <is>
          <t xml:space="preserve">Synthetic demo data</t>
        </is>
      </c>
      <c r="BE340" s="45">
        <f>IF(OR($A340="",$L340="",$H340=""),"",IF(AND(LEFT($L340,2)="06",$H340&gt;1945),"FAIL - pre-war class, year "&amp;$H340,IF(AND(LEFT($L340,2)="07",OR($H340&lt;1946,$H340&gt;1972)),"FAIL - 1946-72 class, year "&amp;$H340,IF(AND(LEFT($L340,2)="08",OR($H340&lt;1973,$H340&gt;1999)),"FAIL - 1973-99 class, year "&amp;$H340,IF(AND(LEFT($L340,2)="09",OR($H340&lt;2000,$H340&gt;2010)),"FAIL - 2000-10 class, year "&amp;$H340,"OK")))))</f>
      </c>
      <c r="BF340" s="45">
        <f>IF($AD340="","",IF(ROUND($AO340+$AP340+$AQ340-$AD340,2)=0,"OK","FAIL - out by "&amp;TEXT($AO340+$AP340+$AQ340-$AD340,"$0.00")))</f>
      </c>
    </row>
    <row r="341" spans="1:58" ht="18.75" customHeight="1" x14ac:dyDescent="0.25">
      <c r="A341" s="30" t="inlineStr">
        <is>
          <t xml:space="preserve">CANON-202606-008867</t>
        </is>
      </c>
      <c r="B341" s="30" t="inlineStr">
        <is>
          <t xml:space="preserve">Aurelio Montoya</t>
        </is>
      </c>
      <c r="C341" s="31">
        <v>46178</v>
      </c>
      <c r="D341" s="32" t="inlineStr">
        <is>
          <t xml:space="preserve">Bound - within authority</t>
        </is>
      </c>
      <c r="E341" s="32" t="inlineStr">
        <is>
          <t xml:space="preserve">New business</t>
        </is>
      </c>
      <c r="F341" s="30" t="inlineStr">
        <is>
          <t xml:space="preserve">B1234EXOTIC26</t>
        </is>
      </c>
      <c r="G341" s="33">
        <f>IF($A341="","",IF($C341="","",YEAR($C341)))</f>
      </c>
      <c r="H341" s="34">
        <v>1994</v>
      </c>
      <c r="I341" s="30" t="inlineStr">
        <is>
          <t xml:space="preserve">Porsche</t>
        </is>
      </c>
      <c r="J341" s="30" t="inlineStr">
        <is>
          <t xml:space="preserve">911 Turbo S</t>
        </is>
      </c>
      <c r="K341" s="30" t="inlineStr">
        <is>
          <t xml:space="preserve">5DR3ET98BR80C9YYR</t>
        </is>
      </c>
      <c r="L341" s="32" t="inlineStr">
        <is>
          <t xml:space="preserve">02 - Sports / GT</t>
        </is>
      </c>
      <c r="M341" s="35">
        <v>1390000</v>
      </c>
      <c r="N341" s="32" t="inlineStr">
        <is>
          <t xml:space="preserve">Personal</t>
        </is>
      </c>
      <c r="O341" s="30" t="inlineStr">
        <is>
          <t xml:space="preserve">Personal - regular use</t>
        </is>
      </c>
      <c r="P341" s="30" t="inlineStr">
        <is>
          <t xml:space="preserve">Under 1,000</t>
        </is>
      </c>
      <c r="Q341" s="30" t="inlineStr">
        <is>
          <t xml:space="preserve">Nevada</t>
        </is>
      </c>
      <c r="R341" s="30" t="inlineStr">
        <is>
          <t xml:space="preserve">89101</t>
        </is>
      </c>
      <c r="S341" s="32" t="inlineStr">
        <is>
          <t xml:space="preserve">Wildfire - WUI high hazard</t>
        </is>
      </c>
      <c r="T341" s="36">
        <f>IF($A341="","",IF($S341="","",IFERROR(INDEX('[1]natural catastrophe'!$D$6:$D$17,MATCH($S341,'[1]natural catastrophe'!$B$6:$B$17,0)),"?")))</f>
      </c>
      <c r="U341" s="30" t="inlineStr">
        <is>
          <t xml:space="preserve">$5,000</t>
        </is>
      </c>
      <c r="V341" s="32" t="inlineStr">
        <is>
          <t xml:space="preserve">Agreed Value</t>
        </is>
      </c>
      <c r="W341" s="30" t="inlineStr">
        <is>
          <t xml:space="preserve">$1,000</t>
        </is>
      </c>
      <c r="X341" s="32" t="inlineStr">
        <is>
          <t xml:space="preserve">$1,000,000 CSL</t>
        </is>
      </c>
      <c r="Y341" s="30"/>
      <c r="Z341" s="30"/>
      <c r="AA341" s="32" t="inlineStr">
        <is>
          <t xml:space="preserve">Surplus Lines</t>
        </is>
      </c>
      <c r="AB341" s="35">
        <v>12907.3</v>
      </c>
      <c r="AC341" s="37">
        <v>0</v>
      </c>
      <c r="AD341" s="38">
        <f>IF(ISNUMBER($AB341),$AB341*(1+N($AC341)),"")</f>
      </c>
      <c r="AE341" s="35">
        <v>350</v>
      </c>
      <c r="AF341" s="35">
        <v>250</v>
      </c>
      <c r="AG341" s="37"/>
      <c r="AH341" s="39">
        <f>IF(ISNUMBER($AD341),($AD341+$AE341+$AF341)*$AG341,"")</f>
      </c>
      <c r="AI341" s="35"/>
      <c r="AJ341" s="38">
        <f>IF(ISNUMBER($AD341),SUM($AD341:$AH341),"")</f>
      </c>
      <c r="AK341" s="40">
        <f>IF(AND(ISNUMBER($AB341),ISNUMBER($AD341)),IF($AB341&gt;0,$AD341/$AB341,""),"")</f>
      </c>
      <c r="AL341" s="32" t="inlineStr">
        <is>
          <t xml:space="preserve">At technical</t>
        </is>
      </c>
      <c r="AM341" s="41">
        <f>IF(ISNUMBER($AD341),Header!$I$3,"")</f>
      </c>
      <c r="AN341" s="39">
        <f>IF(ISNUMBER($AD341),$AO341+$AP341,"")</f>
      </c>
      <c r="AO341" s="39">
        <f>IF(ISNUMBER($AD341),ROUND($AD341*Header!$K$3,2),"")</f>
      </c>
      <c r="AP341" s="39">
        <f>IF(ISNUMBER($AD341),ROUND($AD341*Header!$M$3,2),"")</f>
      </c>
      <c r="AQ341" s="38">
        <f>IF(ISNUMBER($AD341),ROUND($AD341,2)-$AO341-$AP341,"")</f>
      </c>
      <c r="AR341" s="39">
        <f>IF(ISNUMBER($AD341),IF(Header!$D$34="","?",$AD341*Header!$D$34),"")</f>
      </c>
      <c r="AS341" s="39">
        <f>IF(ISNUMBER($AB341),IF(Header!$D$34="","?",$AB341*Header!$D$34),"")</f>
      </c>
      <c r="AT341" s="42">
        <f>IF(AND(ISNUMBER($AB341),$M341&gt;0),$AB341/$M341*100,"")</f>
      </c>
      <c r="AU341" s="42">
        <f>IF(AND(ISNUMBER($AD341),$M341&gt;0),$AD341/$M341*100,"")</f>
      </c>
      <c r="AV341" s="40">
        <f>IF(AND(ISNUMBER($AB341),ISNUMBER($AD341),ABS($AB341)&gt;0),$AD341/$AB341,"")</f>
      </c>
      <c r="AW341" s="39">
        <f>IF(ISNUMBER($AD341),MAX(0,(1-0.55-Header!$O$3)*Header!$Q$3*$AQ341),"")</f>
      </c>
      <c r="AX341" s="43">
        <f>IF($A341="","",IF(TRIM(IF($A341="","Missing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",""))="","PASS","FAIL: "&amp;TRIM(IF($A341="","Missing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f>
      </c>
      <c r="AY341" s="44">
        <f>IF($M341="","",IF(ISNUMBER($M341),IF($M341&gt;=Header!$C$18,"YES — refer","No"),""))</f>
      </c>
      <c r="AZ341" s="44">
        <f>IF($AD341="","",IF(ISNUMBER($AD341),IF($AD341&lt;Header!$C$20,"BELOW MIN PREMIUM","OK"),""))</f>
      </c>
      <c r="BA341" s="32" t="inlineStr">
        <is>
          <t xml:space="preserve">Yes</t>
        </is>
      </c>
      <c r="BB341" s="32" t="inlineStr">
        <is>
          <t xml:space="preserve">Yes</t>
        </is>
      </c>
      <c r="BC341" s="30" t="inlineStr">
        <is>
          <t xml:space="preserve">Synthetic demo data</t>
        </is>
      </c>
      <c r="BE341" s="45">
        <f>IF(OR($A341="",$L341="",$H341=""),"",IF(AND(LEFT($L341,2)="06",$H341&gt;1945),"FAIL - pre-war class, year "&amp;$H341,IF(AND(LEFT($L341,2)="07",OR($H341&lt;1946,$H341&gt;1972)),"FAIL - 1946-72 class, year "&amp;$H341,IF(AND(LEFT($L341,2)="08",OR($H341&lt;1973,$H341&gt;1999)),"FAIL - 1973-99 class, year "&amp;$H341,IF(AND(LEFT($L341,2)="09",OR($H341&lt;2000,$H341&gt;2010)),"FAIL - 2000-10 class, year "&amp;$H341,"OK")))))</f>
      </c>
      <c r="BF341" s="45">
        <f>IF($AD341="","",IF(ROUND($AO341+$AP341+$AQ341-$AD341,2)=0,"OK","FAIL - out by "&amp;TEXT($AO341+$AP341+$AQ341-$AD341,"$0.00")))</f>
      </c>
    </row>
    <row r="342" spans="1:58" ht="18.75" customHeight="1" x14ac:dyDescent="0.25">
      <c r="A342" s="46" t="inlineStr">
        <is>
          <t xml:space="preserve">CANON-202606-008868</t>
        </is>
      </c>
      <c r="B342" s="46" t="inlineStr">
        <is>
          <t xml:space="preserve">Horace Whitlock</t>
        </is>
      </c>
      <c r="C342" s="47">
        <v>46191</v>
      </c>
      <c r="D342" s="48" t="inlineStr">
        <is>
          <t xml:space="preserve">Bound - within authority</t>
        </is>
      </c>
      <c r="E342" s="48" t="inlineStr">
        <is>
          <t xml:space="preserve">New business</t>
        </is>
      </c>
      <c r="F342" s="46" t="inlineStr">
        <is>
          <t xml:space="preserve">B1234EXOTIC26</t>
        </is>
      </c>
      <c r="G342" s="33">
        <f>IF($A342="","",IF($C342="","",YEAR($C342)))</f>
      </c>
      <c r="H342" s="49">
        <v>2014</v>
      </c>
      <c r="I342" s="46" t="inlineStr">
        <is>
          <t xml:space="preserve">Mercedes-Benz</t>
        </is>
      </c>
      <c r="J342" s="46" t="inlineStr">
        <is>
          <t xml:space="preserve">AMG GT</t>
        </is>
      </c>
      <c r="K342" s="46" t="inlineStr">
        <is>
          <t xml:space="preserve">GN3A5SX09ZWPT68U2</t>
        </is>
      </c>
      <c r="L342" s="48" t="inlineStr">
        <is>
          <t xml:space="preserve">02 - Sports / GT</t>
        </is>
      </c>
      <c r="M342" s="50">
        <v>295000</v>
      </c>
      <c r="N342" s="48" t="inlineStr">
        <is>
          <t xml:space="preserve">Personal</t>
        </is>
      </c>
      <c r="O342" s="46" t="inlineStr">
        <is>
          <t xml:space="preserve">Personal - regular use</t>
        </is>
      </c>
      <c r="P342" s="46" t="inlineStr">
        <is>
          <t xml:space="preserve">Under 1,000</t>
        </is>
      </c>
      <c r="Q342" s="46" t="inlineStr">
        <is>
          <t xml:space="preserve">New York</t>
        </is>
      </c>
      <c r="R342" s="46" t="inlineStr">
        <is>
          <t xml:space="preserve">10022</t>
        </is>
      </c>
      <c r="S342" s="48" t="inlineStr">
        <is>
          <t xml:space="preserve">Tier 3 - Coastal wind (25-100 miles)</t>
        </is>
      </c>
      <c r="T342" s="36">
        <f>IF($A342="","",IF($S342="","",IFERROR(INDEX('[1]natural catastrophe'!$D$6:$D$17,MATCH($S342,'[1]natural catastrophe'!$B$6:$B$17,0)),"?")))</f>
      </c>
      <c r="U342" s="46" t="inlineStr">
        <is>
          <t xml:space="preserve">2% of agreed value, minimum $10,000</t>
        </is>
      </c>
      <c r="V342" s="48" t="inlineStr">
        <is>
          <t xml:space="preserve">Agreed Value</t>
        </is>
      </c>
      <c r="W342" s="46" t="inlineStr">
        <is>
          <t xml:space="preserve">$1,000</t>
        </is>
      </c>
      <c r="X342" s="48" t="inlineStr">
        <is>
          <t xml:space="preserve">$1,000,000 CSL</t>
        </is>
      </c>
      <c r="Y342" s="46"/>
      <c r="Z342" s="46"/>
      <c r="AA342" s="48" t="inlineStr">
        <is>
          <t xml:space="preserve">Surplus Lines</t>
        </is>
      </c>
      <c r="AB342" s="50">
        <v>4086.63</v>
      </c>
      <c r="AC342" s="51">
        <v>0</v>
      </c>
      <c r="AD342" s="38">
        <f>IF(ISNUMBER($AB342),$AB342*(1+N($AC342)),"")</f>
      </c>
      <c r="AE342" s="50">
        <v>350</v>
      </c>
      <c r="AF342" s="50">
        <v>0</v>
      </c>
      <c r="AG342" s="51"/>
      <c r="AH342" s="39">
        <f>IF(ISNUMBER($AD342),($AD342+$AE342+$AF342)*$AG342,"")</f>
      </c>
      <c r="AI342" s="50"/>
      <c r="AJ342" s="38">
        <f>IF(ISNUMBER($AD342),SUM($AD342:$AH342),"")</f>
      </c>
      <c r="AK342" s="40">
        <f>IF(AND(ISNUMBER($AB342),ISNUMBER($AD342)),IF($AB342&gt;0,$AD342/$AB342,""),"")</f>
      </c>
      <c r="AL342" s="48" t="inlineStr">
        <is>
          <t xml:space="preserve">At technical</t>
        </is>
      </c>
      <c r="AM342" s="41">
        <f>IF(ISNUMBER($AD342),Header!$I$3,"")</f>
      </c>
      <c r="AN342" s="39">
        <f>IF(ISNUMBER($AD342),$AO342+$AP342,"")</f>
      </c>
      <c r="AO342" s="39">
        <f>IF(ISNUMBER($AD342),ROUND($AD342*Header!$K$3,2),"")</f>
      </c>
      <c r="AP342" s="39">
        <f>IF(ISNUMBER($AD342),ROUND($AD342*Header!$M$3,2),"")</f>
      </c>
      <c r="AQ342" s="38">
        <f>IF(ISNUMBER($AD342),ROUND($AD342,2)-$AO342-$AP342,"")</f>
      </c>
      <c r="AR342" s="39">
        <f>IF(ISNUMBER($AD342),IF(Header!$D$34="","?",$AD342*Header!$D$34),"")</f>
      </c>
      <c r="AS342" s="39">
        <f>IF(ISNUMBER($AB342),IF(Header!$D$34="","?",$AB342*Header!$D$34),"")</f>
      </c>
      <c r="AT342" s="42">
        <f>IF(AND(ISNUMBER($AB342),$M342&gt;0),$AB342/$M342*100,"")</f>
      </c>
      <c r="AU342" s="42">
        <f>IF(AND(ISNUMBER($AD342),$M342&gt;0),$AD342/$M342*100,"")</f>
      </c>
      <c r="AV342" s="40">
        <f>IF(AND(ISNUMBER($AB342),ISNUMBER($AD342),ABS($AB342)&gt;0),$AD342/$AB342,"")</f>
      </c>
      <c r="AW342" s="39">
        <f>IF(ISNUMBER($AD342),MAX(0,(1-0.55-Header!$O$3)*Header!$Q$3*$AQ342),"")</f>
      </c>
      <c r="AX342" s="43">
        <f>IF($A342="","",IF(TRIM(IF($A342="","Missing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",""))="","PASS","FAIL: "&amp;TRIM(IF($A342="","Missing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f>
      </c>
      <c r="AY342" s="44">
        <f>IF($M342="","",IF(ISNUMBER($M342),IF($M342&gt;=Header!$C$18,"YES — refer","No"),""))</f>
      </c>
      <c r="AZ342" s="44">
        <f>IF($AD342="","",IF(ISNUMBER($AD342),IF($AD342&lt;Header!$C$20,"BELOW MIN PREMIUM","OK"),""))</f>
      </c>
      <c r="BA342" s="48" t="inlineStr">
        <is>
          <t xml:space="preserve">Yes</t>
        </is>
      </c>
      <c r="BB342" s="48" t="inlineStr">
        <is>
          <t xml:space="preserve">Yes</t>
        </is>
      </c>
      <c r="BC342" s="46" t="inlineStr">
        <is>
          <t xml:space="preserve">Synthetic demo data</t>
        </is>
      </c>
      <c r="BE342" s="45">
        <f>IF(OR($A342="",$L342="",$H342=""),"",IF(AND(LEFT($L342,2)="06",$H342&gt;1945),"FAIL - pre-war class, year "&amp;$H342,IF(AND(LEFT($L342,2)="07",OR($H342&lt;1946,$H342&gt;1972)),"FAIL - 1946-72 class, year "&amp;$H342,IF(AND(LEFT($L342,2)="08",OR($H342&lt;1973,$H342&gt;1999)),"FAIL - 1973-99 class, year "&amp;$H342,IF(AND(LEFT($L342,2)="09",OR($H342&lt;2000,$H342&gt;2010)),"FAIL - 2000-10 class, year "&amp;$H342,"OK")))))</f>
      </c>
      <c r="BF342" s="45">
        <f>IF($AD342="","",IF(ROUND($AO342+$AP342+$AQ342-$AD342,2)=0,"OK","FAIL - out by "&amp;TEXT($AO342+$AP342+$AQ342-$AD342,"$0.00")))</f>
      </c>
    </row>
    <row r="343" spans="1:58" ht="18.75" customHeight="1" x14ac:dyDescent="0.25">
      <c r="A343" s="30" t="inlineStr">
        <is>
          <t xml:space="preserve">CANON-202606-008872</t>
        </is>
      </c>
      <c r="B343" s="30" t="inlineStr">
        <is>
          <t xml:space="preserve">Aurelio Larsson</t>
        </is>
      </c>
      <c r="C343" s="31">
        <v>46179</v>
      </c>
      <c r="D343" s="32" t="inlineStr">
        <is>
          <t xml:space="preserve">Bound - within authority</t>
        </is>
      </c>
      <c r="E343" s="32" t="inlineStr">
        <is>
          <t xml:space="preserve">New business</t>
        </is>
      </c>
      <c r="F343" s="30" t="inlineStr">
        <is>
          <t xml:space="preserve">B1234EXOTIC26</t>
        </is>
      </c>
      <c r="G343" s="33">
        <f>IF($A343="","",IF($C343="","",YEAR($C343)))</f>
      </c>
      <c r="H343" s="34">
        <v>2006</v>
      </c>
      <c r="I343" s="30" t="inlineStr">
        <is>
          <t xml:space="preserve">Lamborghini</t>
        </is>
      </c>
      <c r="J343" s="30" t="inlineStr">
        <is>
          <t xml:space="preserve">Huracan EVO</t>
        </is>
      </c>
      <c r="K343" s="30" t="inlineStr">
        <is>
          <t xml:space="preserve">SRBAV8ZU99T9F89KR</t>
        </is>
      </c>
      <c r="L343" s="32" t="inlineStr">
        <is>
          <t xml:space="preserve">03 - Supercar</t>
        </is>
      </c>
      <c r="M343" s="35">
        <v>690000</v>
      </c>
      <c r="N343" s="32" t="inlineStr">
        <is>
          <t xml:space="preserve">Personal</t>
        </is>
      </c>
      <c r="O343" s="30" t="inlineStr">
        <is>
          <t xml:space="preserve">Personal - regular use</t>
        </is>
      </c>
      <c r="P343" s="30" t="inlineStr">
        <is>
          <t xml:space="preserve">Under 1,000</t>
        </is>
      </c>
      <c r="Q343" s="30" t="inlineStr">
        <is>
          <t xml:space="preserve">Arkansas</t>
        </is>
      </c>
      <c r="R343" s="30" t="inlineStr">
        <is>
          <t xml:space="preserve">72201</t>
        </is>
      </c>
      <c r="S343" s="32" t="inlineStr">
        <is>
          <t xml:space="preserve">Severe convective - hail / tornado (moderate)</t>
        </is>
      </c>
      <c r="T343" s="36">
        <f>IF($A343="","",IF($S343="","",IFERROR(INDEX('[1]natural catastrophe'!$D$6:$D$17,MATCH($S343,'[1]natural catastrophe'!$B$6:$B$17,0)),"?")))</f>
      </c>
      <c r="U343" s="30" t="inlineStr">
        <is>
          <t xml:space="preserve">$5,000</t>
        </is>
      </c>
      <c r="V343" s="32" t="inlineStr">
        <is>
          <t xml:space="preserve">Agreed Value</t>
        </is>
      </c>
      <c r="W343" s="30" t="inlineStr">
        <is>
          <t xml:space="preserve">$1,000</t>
        </is>
      </c>
      <c r="X343" s="32" t="inlineStr">
        <is>
          <t xml:space="preserve">$1,000,000 CSL</t>
        </is>
      </c>
      <c r="Y343" s="30"/>
      <c r="Z343" s="30"/>
      <c r="AA343" s="32" t="inlineStr">
        <is>
          <t xml:space="preserve">Surplus Lines</t>
        </is>
      </c>
      <c r="AB343" s="35">
        <v>13053.41</v>
      </c>
      <c r="AC343" s="37">
        <v>0</v>
      </c>
      <c r="AD343" s="38">
        <f>IF(ISNUMBER($AB343),$AB343*(1+N($AC343)),"")</f>
      </c>
      <c r="AE343" s="35">
        <v>350</v>
      </c>
      <c r="AF343" s="35">
        <v>0</v>
      </c>
      <c r="AG343" s="37"/>
      <c r="AH343" s="39">
        <f>IF(ISNUMBER($AD343),($AD343+$AE343+$AF343)*$AG343,"")</f>
      </c>
      <c r="AI343" s="35"/>
      <c r="AJ343" s="38">
        <f>IF(ISNUMBER($AD343),SUM($AD343:$AH343),"")</f>
      </c>
      <c r="AK343" s="40">
        <f>IF(AND(ISNUMBER($AB343),ISNUMBER($AD343)),IF($AB343&gt;0,$AD343/$AB343,""),"")</f>
      </c>
      <c r="AL343" s="32" t="inlineStr">
        <is>
          <t xml:space="preserve">At technical</t>
        </is>
      </c>
      <c r="AM343" s="41">
        <f>IF(ISNUMBER($AD343),Header!$I$3,"")</f>
      </c>
      <c r="AN343" s="39">
        <f>IF(ISNUMBER($AD343),$AO343+$AP343,"")</f>
      </c>
      <c r="AO343" s="39">
        <f>IF(ISNUMBER($AD343),ROUND($AD343*Header!$K$3,2),"")</f>
      </c>
      <c r="AP343" s="39">
        <f>IF(ISNUMBER($AD343),ROUND($AD343*Header!$M$3,2),"")</f>
      </c>
      <c r="AQ343" s="38">
        <f>IF(ISNUMBER($AD343),ROUND($AD343,2)-$AO343-$AP343,"")</f>
      </c>
      <c r="AR343" s="39">
        <f>IF(ISNUMBER($AD343),IF(Header!$D$34="","?",$AD343*Header!$D$34),"")</f>
      </c>
      <c r="AS343" s="39">
        <f>IF(ISNUMBER($AB343),IF(Header!$D$34="","?",$AB343*Header!$D$34),"")</f>
      </c>
      <c r="AT343" s="42">
        <f>IF(AND(ISNUMBER($AB343),$M343&gt;0),$AB343/$M343*100,"")</f>
      </c>
      <c r="AU343" s="42">
        <f>IF(AND(ISNUMBER($AD343),$M343&gt;0),$AD343/$M343*100,"")</f>
      </c>
      <c r="AV343" s="40">
        <f>IF(AND(ISNUMBER($AB343),ISNUMBER($AD343),ABS($AB343)&gt;0),$AD343/$AB343,"")</f>
      </c>
      <c r="AW343" s="39">
        <f>IF(ISNUMBER($AD343),MAX(0,(1-0.55-Header!$O$3)*Header!$Q$3*$AQ343),"")</f>
      </c>
      <c r="AX343" s="43">
        <f>IF($A343="","",IF(TRIM(IF($A343="","Missing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",""))="","PASS","FAIL: "&amp;TRIM(IF($A343="","Missing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f>
      </c>
      <c r="AY343" s="44">
        <f>IF($M343="","",IF(ISNUMBER($M343),IF($M343&gt;=Header!$C$18,"YES — refer","No"),""))</f>
      </c>
      <c r="AZ343" s="44">
        <f>IF($AD343="","",IF(ISNUMBER($AD343),IF($AD343&lt;Header!$C$20,"BELOW MIN PREMIUM","OK"),""))</f>
      </c>
      <c r="BA343" s="32" t="inlineStr">
        <is>
          <t xml:space="preserve">Yes</t>
        </is>
      </c>
      <c r="BB343" s="32" t="inlineStr">
        <is>
          <t xml:space="preserve">Yes</t>
        </is>
      </c>
      <c r="BC343" s="30" t="inlineStr">
        <is>
          <t xml:space="preserve">Synthetic demo data</t>
        </is>
      </c>
      <c r="BE343" s="45">
        <f>IF(OR($A343="",$L343="",$H343=""),"",IF(AND(LEFT($L343,2)="06",$H343&gt;1945),"FAIL - pre-war class, year "&amp;$H343,IF(AND(LEFT($L343,2)="07",OR($H343&lt;1946,$H343&gt;1972)),"FAIL - 1946-72 class, year "&amp;$H343,IF(AND(LEFT($L343,2)="08",OR($H343&lt;1973,$H343&gt;1999)),"FAIL - 1973-99 class, year "&amp;$H343,IF(AND(LEFT($L343,2)="09",OR($H343&lt;2000,$H343&gt;2010)),"FAIL - 2000-10 class, year "&amp;$H343,"OK")))))</f>
      </c>
      <c r="BF343" s="45">
        <f>IF($AD343="","",IF(ROUND($AO343+$AP343+$AQ343-$AD343,2)=0,"OK","FAIL - out by "&amp;TEXT($AO343+$AP343+$AQ343-$AD343,"$0.00")))</f>
      </c>
    </row>
    <row r="344" spans="1:58" ht="18.75" customHeight="1" x14ac:dyDescent="0.25">
      <c r="A344" s="46" t="inlineStr">
        <is>
          <t xml:space="preserve">CANON-202606-008873</t>
        </is>
      </c>
      <c r="B344" s="46" t="inlineStr">
        <is>
          <t xml:space="preserve">Delphine Nakashima</t>
        </is>
      </c>
      <c r="C344" s="47">
        <v>46181</v>
      </c>
      <c r="D344" s="48" t="inlineStr">
        <is>
          <t xml:space="preserve">Bound - within authority</t>
        </is>
      </c>
      <c r="E344" s="48" t="inlineStr">
        <is>
          <t xml:space="preserve">New business</t>
        </is>
      </c>
      <c r="F344" s="46" t="inlineStr">
        <is>
          <t xml:space="preserve">B1234EXOTIC26</t>
        </is>
      </c>
      <c r="G344" s="33">
        <f>IF($A344="","",IF($C344="","",YEAR($C344)))</f>
      </c>
      <c r="H344" s="49">
        <v>2001</v>
      </c>
      <c r="I344" s="46" t="inlineStr">
        <is>
          <t xml:space="preserve">Maserati</t>
        </is>
      </c>
      <c r="J344" s="46" t="inlineStr">
        <is>
          <t xml:space="preserve">GranTurismo</t>
        </is>
      </c>
      <c r="K344" s="46" t="inlineStr">
        <is>
          <t xml:space="preserve">3JA5SGJHALJ8AL1GH</t>
        </is>
      </c>
      <c r="L344" s="48" t="inlineStr">
        <is>
          <t xml:space="preserve">02 - Sports / GT</t>
        </is>
      </c>
      <c r="M344" s="50">
        <v>220000</v>
      </c>
      <c r="N344" s="48" t="inlineStr">
        <is>
          <t xml:space="preserve">Personal</t>
        </is>
      </c>
      <c r="O344" s="46" t="inlineStr">
        <is>
          <t xml:space="preserve">Personal - regular use</t>
        </is>
      </c>
      <c r="P344" s="46" t="inlineStr">
        <is>
          <t xml:space="preserve">Under 1,000</t>
        </is>
      </c>
      <c r="Q344" s="46" t="inlineStr">
        <is>
          <t xml:space="preserve">California</t>
        </is>
      </c>
      <c r="R344" s="46" t="inlineStr">
        <is>
          <t xml:space="preserve">90012</t>
        </is>
      </c>
      <c r="S344" s="48" t="inlineStr">
        <is>
          <t xml:space="preserve">Earthquake - high (CA, Cascadia, New Madrid)</t>
        </is>
      </c>
      <c r="T344" s="36">
        <f>IF($A344="","",IF($S344="","",IFERROR(INDEX('[1]natural catastrophe'!$D$6:$D$17,MATCH($S344,'[1]natural catastrophe'!$B$6:$B$17,0)),"?")))</f>
      </c>
      <c r="U344" s="46" t="inlineStr">
        <is>
          <t xml:space="preserve">$5,000</t>
        </is>
      </c>
      <c r="V344" s="48" t="inlineStr">
        <is>
          <t xml:space="preserve">Agreed Value</t>
        </is>
      </c>
      <c r="W344" s="46" t="inlineStr">
        <is>
          <t xml:space="preserve">$1,000</t>
        </is>
      </c>
      <c r="X344" s="48" t="inlineStr">
        <is>
          <t xml:space="preserve">$1,000,000 CSL</t>
        </is>
      </c>
      <c r="Y344" s="46"/>
      <c r="Z344" s="46"/>
      <c r="AA344" s="48" t="inlineStr">
        <is>
          <t xml:space="preserve">Surplus Lines</t>
        </is>
      </c>
      <c r="AB344" s="50">
        <v>3942.9</v>
      </c>
      <c r="AC344" s="51">
        <v>0</v>
      </c>
      <c r="AD344" s="38">
        <f>IF(ISNUMBER($AB344),$AB344*(1+N($AC344)),"")</f>
      </c>
      <c r="AE344" s="50">
        <v>350</v>
      </c>
      <c r="AF344" s="50">
        <v>0</v>
      </c>
      <c r="AG344" s="51"/>
      <c r="AH344" s="39">
        <f>IF(ISNUMBER($AD344),($AD344+$AE344+$AF344)*$AG344,"")</f>
      </c>
      <c r="AI344" s="50"/>
      <c r="AJ344" s="38">
        <f>IF(ISNUMBER($AD344),SUM($AD344:$AH344),"")</f>
      </c>
      <c r="AK344" s="40">
        <f>IF(AND(ISNUMBER($AB344),ISNUMBER($AD344)),IF($AB344&gt;0,$AD344/$AB344,""),"")</f>
      </c>
      <c r="AL344" s="48" t="inlineStr">
        <is>
          <t xml:space="preserve">At technical</t>
        </is>
      </c>
      <c r="AM344" s="41">
        <f>IF(ISNUMBER($AD344),Header!$I$3,"")</f>
      </c>
      <c r="AN344" s="39">
        <f>IF(ISNUMBER($AD344),$AO344+$AP344,"")</f>
      </c>
      <c r="AO344" s="39">
        <f>IF(ISNUMBER($AD344),ROUND($AD344*Header!$K$3,2),"")</f>
      </c>
      <c r="AP344" s="39">
        <f>IF(ISNUMBER($AD344),ROUND($AD344*Header!$M$3,2),"")</f>
      </c>
      <c r="AQ344" s="38">
        <f>IF(ISNUMBER($AD344),ROUND($AD344,2)-$AO344-$AP344,"")</f>
      </c>
      <c r="AR344" s="39">
        <f>IF(ISNUMBER($AD344),IF(Header!$D$34="","?",$AD344*Header!$D$34),"")</f>
      </c>
      <c r="AS344" s="39">
        <f>IF(ISNUMBER($AB344),IF(Header!$D$34="","?",$AB344*Header!$D$34),"")</f>
      </c>
      <c r="AT344" s="42">
        <f>IF(AND(ISNUMBER($AB344),$M344&gt;0),$AB344/$M344*100,"")</f>
      </c>
      <c r="AU344" s="42">
        <f>IF(AND(ISNUMBER($AD344),$M344&gt;0),$AD344/$M344*100,"")</f>
      </c>
      <c r="AV344" s="40">
        <f>IF(AND(ISNUMBER($AB344),ISNUMBER($AD344),ABS($AB344)&gt;0),$AD344/$AB344,"")</f>
      </c>
      <c r="AW344" s="39">
        <f>IF(ISNUMBER($AD344),MAX(0,(1-0.55-Header!$O$3)*Header!$Q$3*$AQ344),"")</f>
      </c>
      <c r="AX344" s="43">
        <f>IF($A344="","",IF(TRIM(IF($A344="","Missing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",""))="","PASS","FAIL: "&amp;TRIM(IF($A344="","Missing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f>
      </c>
      <c r="AY344" s="44">
        <f>IF($M344="","",IF(ISNUMBER($M344),IF($M344&gt;=Header!$C$18,"YES — refer","No"),""))</f>
      </c>
      <c r="AZ344" s="44">
        <f>IF($AD344="","",IF(ISNUMBER($AD344),IF($AD344&lt;Header!$C$20,"BELOW MIN PREMIUM","OK"),""))</f>
      </c>
      <c r="BA344" s="48" t="inlineStr">
        <is>
          <t xml:space="preserve">Yes</t>
        </is>
      </c>
      <c r="BB344" s="48" t="inlineStr">
        <is>
          <t xml:space="preserve">Yes</t>
        </is>
      </c>
      <c r="BC344" s="46" t="inlineStr">
        <is>
          <t xml:space="preserve">Synthetic demo data</t>
        </is>
      </c>
      <c r="BE344" s="45">
        <f>IF(OR($A344="",$L344="",$H344=""),"",IF(AND(LEFT($L344,2)="06",$H344&gt;1945),"FAIL - pre-war class, year "&amp;$H344,IF(AND(LEFT($L344,2)="07",OR($H344&lt;1946,$H344&gt;1972)),"FAIL - 1946-72 class, year "&amp;$H344,IF(AND(LEFT($L344,2)="08",OR($H344&lt;1973,$H344&gt;1999)),"FAIL - 1973-99 class, year "&amp;$H344,IF(AND(LEFT($L344,2)="09",OR($H344&lt;2000,$H344&gt;2010)),"FAIL - 2000-10 class, year "&amp;$H344,"OK")))))</f>
      </c>
      <c r="BF344" s="45">
        <f>IF($AD344="","",IF(ROUND($AO344+$AP344+$AQ344-$AD344,2)=0,"OK","FAIL - out by "&amp;TEXT($AO344+$AP344+$AQ344-$AD344,"$0.00")))</f>
      </c>
    </row>
    <row r="345" spans="1:58" ht="18.75" customHeight="1" x14ac:dyDescent="0.25">
      <c r="A345" s="30" t="inlineStr">
        <is>
          <t xml:space="preserve">CANON-202606-008874</t>
        </is>
      </c>
      <c r="B345" s="30" t="inlineStr">
        <is>
          <t xml:space="preserve">Ingrid Vasquez</t>
        </is>
      </c>
      <c r="C345" s="31">
        <v>46202</v>
      </c>
      <c r="D345" s="32" t="inlineStr">
        <is>
          <t xml:space="preserve">Bound - within authority</t>
        </is>
      </c>
      <c r="E345" s="32" t="inlineStr">
        <is>
          <t xml:space="preserve">New business</t>
        </is>
      </c>
      <c r="F345" s="30" t="inlineStr">
        <is>
          <t xml:space="preserve">B1234EXOTIC26</t>
        </is>
      </c>
      <c r="G345" s="33">
        <f>IF($A345="","",IF($C345="","",YEAR($C345)))</f>
      </c>
      <c r="H345" s="34">
        <v>1975</v>
      </c>
      <c r="I345" s="30" t="inlineStr">
        <is>
          <t xml:space="preserve">BMW</t>
        </is>
      </c>
      <c r="J345" s="30" t="inlineStr">
        <is>
          <t xml:space="preserve">M8 Competition</t>
        </is>
      </c>
      <c r="K345" s="30" t="inlineStr">
        <is>
          <t xml:space="preserve">V4758ATVEE1KZHJ8V</t>
        </is>
      </c>
      <c r="L345" s="32" t="inlineStr">
        <is>
          <t xml:space="preserve">02 - Sports / GT</t>
        </is>
      </c>
      <c r="M345" s="35">
        <v>360000</v>
      </c>
      <c r="N345" s="32" t="inlineStr">
        <is>
          <t xml:space="preserve">Personal</t>
        </is>
      </c>
      <c r="O345" s="30" t="inlineStr">
        <is>
          <t xml:space="preserve">Personal - regular use</t>
        </is>
      </c>
      <c r="P345" s="30" t="inlineStr">
        <is>
          <t xml:space="preserve">1,000 - 2,500</t>
        </is>
      </c>
      <c r="Q345" s="30" t="inlineStr">
        <is>
          <t xml:space="preserve">Georgia</t>
        </is>
      </c>
      <c r="R345" s="30" t="inlineStr">
        <is>
          <t xml:space="preserve">30303</t>
        </is>
      </c>
      <c r="S345" s="32" t="inlineStr">
        <is>
          <t xml:space="preserve">Tier 2 - Coastal wind (1-25 miles)</t>
        </is>
      </c>
      <c r="T345" s="36">
        <f>IF($A345="","",IF($S345="","",IFERROR(INDEX('[1]natural catastrophe'!$D$6:$D$17,MATCH($S345,'[1]natural catastrophe'!$B$6:$B$17,0)),"?")))</f>
      </c>
      <c r="U345" s="30" t="inlineStr">
        <is>
          <t xml:space="preserve">2% of agreed value, minimum $10,000</t>
        </is>
      </c>
      <c r="V345" s="32" t="inlineStr">
        <is>
          <t xml:space="preserve">Agreed Value</t>
        </is>
      </c>
      <c r="W345" s="30" t="inlineStr">
        <is>
          <t xml:space="preserve">$1,000</t>
        </is>
      </c>
      <c r="X345" s="32" t="inlineStr">
        <is>
          <t xml:space="preserve">$1,000,000 CSL</t>
        </is>
      </c>
      <c r="Y345" s="30"/>
      <c r="Z345" s="30"/>
      <c r="AA345" s="32" t="inlineStr">
        <is>
          <t xml:space="preserve">Surplus Lines</t>
        </is>
      </c>
      <c r="AB345" s="35">
        <v>4363.69</v>
      </c>
      <c r="AC345" s="37">
        <v>0</v>
      </c>
      <c r="AD345" s="38">
        <f>IF(ISNUMBER($AB345),$AB345*(1+N($AC345)),"")</f>
      </c>
      <c r="AE345" s="35">
        <v>350</v>
      </c>
      <c r="AF345" s="35">
        <v>0</v>
      </c>
      <c r="AG345" s="37"/>
      <c r="AH345" s="39">
        <f>IF(ISNUMBER($AD345),($AD345+$AE345+$AF345)*$AG345,"")</f>
      </c>
      <c r="AI345" s="35"/>
      <c r="AJ345" s="38">
        <f>IF(ISNUMBER($AD345),SUM($AD345:$AH345),"")</f>
      </c>
      <c r="AK345" s="40">
        <f>IF(AND(ISNUMBER($AB345),ISNUMBER($AD345)),IF($AB345&gt;0,$AD345/$AB345,""),"")</f>
      </c>
      <c r="AL345" s="32" t="inlineStr">
        <is>
          <t xml:space="preserve">At technical</t>
        </is>
      </c>
      <c r="AM345" s="41">
        <f>IF(ISNUMBER($AD345),Header!$I$3,"")</f>
      </c>
      <c r="AN345" s="39">
        <f>IF(ISNUMBER($AD345),$AO345+$AP345,"")</f>
      </c>
      <c r="AO345" s="39">
        <f>IF(ISNUMBER($AD345),ROUND($AD345*Header!$K$3,2),"")</f>
      </c>
      <c r="AP345" s="39">
        <f>IF(ISNUMBER($AD345),ROUND($AD345*Header!$M$3,2),"")</f>
      </c>
      <c r="AQ345" s="38">
        <f>IF(ISNUMBER($AD345),ROUND($AD345,2)-$AO345-$AP345,"")</f>
      </c>
      <c r="AR345" s="39">
        <f>IF(ISNUMBER($AD345),IF(Header!$D$34="","?",$AD345*Header!$D$34),"")</f>
      </c>
      <c r="AS345" s="39">
        <f>IF(ISNUMBER($AB345),IF(Header!$D$34="","?",$AB345*Header!$D$34),"")</f>
      </c>
      <c r="AT345" s="42">
        <f>IF(AND(ISNUMBER($AB345),$M345&gt;0),$AB345/$M345*100,"")</f>
      </c>
      <c r="AU345" s="42">
        <f>IF(AND(ISNUMBER($AD345),$M345&gt;0),$AD345/$M345*100,"")</f>
      </c>
      <c r="AV345" s="40">
        <f>IF(AND(ISNUMBER($AB345),ISNUMBER($AD345),ABS($AB345)&gt;0),$AD345/$AB345,"")</f>
      </c>
      <c r="AW345" s="39">
        <f>IF(ISNUMBER($AD345),MAX(0,(1-0.55-Header!$O$3)*Header!$Q$3*$AQ345),"")</f>
      </c>
      <c r="AX345" s="43">
        <f>IF($A345="","",IF(TRIM(IF($A345="","Missing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",""))="","PASS","FAIL: "&amp;TRIM(IF($A345="","Missing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f>
      </c>
      <c r="AY345" s="44">
        <f>IF($M345="","",IF(ISNUMBER($M345),IF($M345&gt;=Header!$C$18,"YES — refer","No"),""))</f>
      </c>
      <c r="AZ345" s="44">
        <f>IF($AD345="","",IF(ISNUMBER($AD345),IF($AD345&lt;Header!$C$20,"BELOW MIN PREMIUM","OK"),""))</f>
      </c>
      <c r="BA345" s="32" t="inlineStr">
        <is>
          <t xml:space="preserve">Yes</t>
        </is>
      </c>
      <c r="BB345" s="32" t="inlineStr">
        <is>
          <t xml:space="preserve">Yes</t>
        </is>
      </c>
      <c r="BC345" s="30" t="inlineStr">
        <is>
          <t xml:space="preserve">Synthetic demo data</t>
        </is>
      </c>
      <c r="BE345" s="45">
        <f>IF(OR($A345="",$L345="",$H345=""),"",IF(AND(LEFT($L345,2)="06",$H345&gt;1945),"FAIL - pre-war class, year "&amp;$H345,IF(AND(LEFT($L345,2)="07",OR($H345&lt;1946,$H345&gt;1972)),"FAIL - 1946-72 class, year "&amp;$H345,IF(AND(LEFT($L345,2)="08",OR($H345&lt;1973,$H345&gt;1999)),"FAIL - 1973-99 class, year "&amp;$H345,IF(AND(LEFT($L345,2)="09",OR($H345&lt;2000,$H345&gt;2010)),"FAIL - 2000-10 class, year "&amp;$H345,"OK")))))</f>
      </c>
      <c r="BF345" s="45">
        <f>IF($AD345="","",IF(ROUND($AO345+$AP345+$AQ345-$AD345,2)=0,"OK","FAIL - out by "&amp;TEXT($AO345+$AP345+$AQ345-$AD345,"$0.00")))</f>
      </c>
    </row>
    <row r="346" spans="1:58" ht="18.75" customHeight="1" x14ac:dyDescent="0.25">
      <c r="A346" s="46" t="inlineStr">
        <is>
          <t xml:space="preserve">CANON-202606-008875</t>
        </is>
      </c>
      <c r="B346" s="46" t="inlineStr">
        <is>
          <t xml:space="preserve">Everett Castellanos</t>
        </is>
      </c>
      <c r="C346" s="47">
        <v>46197</v>
      </c>
      <c r="D346" s="48" t="inlineStr">
        <is>
          <t xml:space="preserve">Bound - within authority</t>
        </is>
      </c>
      <c r="E346" s="48" t="inlineStr">
        <is>
          <t xml:space="preserve">New business</t>
        </is>
      </c>
      <c r="F346" s="46" t="inlineStr">
        <is>
          <t xml:space="preserve">B1234EXOTIC26</t>
        </is>
      </c>
      <c r="G346" s="33">
        <f>IF($A346="","",IF($C346="","",YEAR($C346)))</f>
      </c>
      <c r="H346" s="49">
        <v>1969</v>
      </c>
      <c r="I346" s="46" t="inlineStr">
        <is>
          <t xml:space="preserve">Aston Martin</t>
        </is>
      </c>
      <c r="J346" s="46" t="inlineStr">
        <is>
          <t xml:space="preserve">DB12</t>
        </is>
      </c>
      <c r="K346" s="46" t="inlineStr">
        <is>
          <t xml:space="preserve">0L0ER4EZNHZGMH88N</t>
        </is>
      </c>
      <c r="L346" s="48" t="inlineStr">
        <is>
          <t xml:space="preserve">02 - Sports / GT</t>
        </is>
      </c>
      <c r="M346" s="50">
        <v>390000</v>
      </c>
      <c r="N346" s="48" t="inlineStr">
        <is>
          <t xml:space="preserve">Personal</t>
        </is>
      </c>
      <c r="O346" s="46" t="inlineStr">
        <is>
          <t xml:space="preserve">Personal - regular use</t>
        </is>
      </c>
      <c r="P346" s="46" t="inlineStr">
        <is>
          <t xml:space="preserve">1,000 - 2,500</t>
        </is>
      </c>
      <c r="Q346" s="46" t="inlineStr">
        <is>
          <t xml:space="preserve">Iowa</t>
        </is>
      </c>
      <c r="R346" s="46" t="inlineStr">
        <is>
          <t xml:space="preserve">50309</t>
        </is>
      </c>
      <c r="S346" s="48" t="inlineStr">
        <is>
          <t xml:space="preserve">Severe convective - hail alley (high)</t>
        </is>
      </c>
      <c r="T346" s="36">
        <f>IF($A346="","",IF($S346="","",IFERROR(INDEX('[1]natural catastrophe'!$D$6:$D$17,MATCH($S346,'[1]natural catastrophe'!$B$6:$B$17,0)),"?")))</f>
      </c>
      <c r="U346" s="46" t="inlineStr">
        <is>
          <t xml:space="preserve">$5,000</t>
        </is>
      </c>
      <c r="V346" s="48" t="inlineStr">
        <is>
          <t xml:space="preserve">Agreed Value</t>
        </is>
      </c>
      <c r="W346" s="46" t="inlineStr">
        <is>
          <t xml:space="preserve">$1,000</t>
        </is>
      </c>
      <c r="X346" s="48" t="inlineStr">
        <is>
          <t xml:space="preserve">$1,000,000 CSL</t>
        </is>
      </c>
      <c r="Y346" s="46"/>
      <c r="Z346" s="46"/>
      <c r="AA346" s="48" t="inlineStr">
        <is>
          <t xml:space="preserve">Surplus Lines</t>
        </is>
      </c>
      <c r="AB346" s="50">
        <v>4642.91</v>
      </c>
      <c r="AC346" s="51">
        <v>0</v>
      </c>
      <c r="AD346" s="38">
        <f>IF(ISNUMBER($AB346),$AB346*(1+N($AC346)),"")</f>
      </c>
      <c r="AE346" s="50">
        <v>350</v>
      </c>
      <c r="AF346" s="50">
        <v>0</v>
      </c>
      <c r="AG346" s="51"/>
      <c r="AH346" s="39">
        <f>IF(ISNUMBER($AD346),($AD346+$AE346+$AF346)*$AG346,"")</f>
      </c>
      <c r="AI346" s="50"/>
      <c r="AJ346" s="38">
        <f>IF(ISNUMBER($AD346),SUM($AD346:$AH346),"")</f>
      </c>
      <c r="AK346" s="40">
        <f>IF(AND(ISNUMBER($AB346),ISNUMBER($AD346)),IF($AB346&gt;0,$AD346/$AB346,""),"")</f>
      </c>
      <c r="AL346" s="48" t="inlineStr">
        <is>
          <t xml:space="preserve">At technical</t>
        </is>
      </c>
      <c r="AM346" s="41">
        <f>IF(ISNUMBER($AD346),Header!$I$3,"")</f>
      </c>
      <c r="AN346" s="39">
        <f>IF(ISNUMBER($AD346),$AO346+$AP346,"")</f>
      </c>
      <c r="AO346" s="39">
        <f>IF(ISNUMBER($AD346),ROUND($AD346*Header!$K$3,2),"")</f>
      </c>
      <c r="AP346" s="39">
        <f>IF(ISNUMBER($AD346),ROUND($AD346*Header!$M$3,2),"")</f>
      </c>
      <c r="AQ346" s="38">
        <f>IF(ISNUMBER($AD346),ROUND($AD346,2)-$AO346-$AP346,"")</f>
      </c>
      <c r="AR346" s="39">
        <f>IF(ISNUMBER($AD346),IF(Header!$D$34="","?",$AD346*Header!$D$34),"")</f>
      </c>
      <c r="AS346" s="39">
        <f>IF(ISNUMBER($AB346),IF(Header!$D$34="","?",$AB346*Header!$D$34),"")</f>
      </c>
      <c r="AT346" s="42">
        <f>IF(AND(ISNUMBER($AB346),$M346&gt;0),$AB346/$M346*100,"")</f>
      </c>
      <c r="AU346" s="42">
        <f>IF(AND(ISNUMBER($AD346),$M346&gt;0),$AD346/$M346*100,"")</f>
      </c>
      <c r="AV346" s="40">
        <f>IF(AND(ISNUMBER($AB346),ISNUMBER($AD346),ABS($AB346)&gt;0),$AD346/$AB346,"")</f>
      </c>
      <c r="AW346" s="39">
        <f>IF(ISNUMBER($AD346),MAX(0,(1-0.55-Header!$O$3)*Header!$Q$3*$AQ346),"")</f>
      </c>
      <c r="AX346" s="43">
        <f>IF($A346="","",IF(TRIM(IF($A346="","Missing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",""))="","PASS","FAIL: "&amp;TRIM(IF($A346="","Missing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f>
      </c>
      <c r="AY346" s="44">
        <f>IF($M346="","",IF(ISNUMBER($M346),IF($M346&gt;=Header!$C$18,"YES — refer","No"),""))</f>
      </c>
      <c r="AZ346" s="44">
        <f>IF($AD346="","",IF(ISNUMBER($AD346),IF($AD346&lt;Header!$C$20,"BELOW MIN PREMIUM","OK"),""))</f>
      </c>
      <c r="BA346" s="48" t="inlineStr">
        <is>
          <t xml:space="preserve">Yes</t>
        </is>
      </c>
      <c r="BB346" s="48" t="inlineStr">
        <is>
          <t xml:space="preserve">Yes</t>
        </is>
      </c>
      <c r="BC346" s="46" t="inlineStr">
        <is>
          <t xml:space="preserve">Synthetic demo data</t>
        </is>
      </c>
      <c r="BE346" s="45">
        <f>IF(OR($A346="",$L346="",$H346=""),"",IF(AND(LEFT($L346,2)="06",$H346&gt;1945),"FAIL - pre-war class, year "&amp;$H346,IF(AND(LEFT($L346,2)="07",OR($H346&lt;1946,$H346&gt;1972)),"FAIL - 1946-72 class, year "&amp;$H346,IF(AND(LEFT($L346,2)="08",OR($H346&lt;1973,$H346&gt;1999)),"FAIL - 1973-99 class, year "&amp;$H346,IF(AND(LEFT($L346,2)="09",OR($H346&lt;2000,$H346&gt;2010)),"FAIL - 2000-10 class, year "&amp;$H346,"OK")))))</f>
      </c>
      <c r="BF346" s="45">
        <f>IF($AD346="","",IF(ROUND($AO346+$AP346+$AQ346-$AD346,2)=0,"OK","FAIL - out by "&amp;TEXT($AO346+$AP346+$AQ346-$AD346,"$0.00")))</f>
      </c>
    </row>
    <row r="347" spans="1:58" ht="18.75" customHeight="1" x14ac:dyDescent="0.25">
      <c r="A347" s="30" t="inlineStr">
        <is>
          <t xml:space="preserve">CANON-202606-008877</t>
        </is>
      </c>
      <c r="B347" s="30" t="inlineStr">
        <is>
          <t xml:space="preserve">Ottilie Whitlock</t>
        </is>
      </c>
      <c r="C347" s="31">
        <v>46189</v>
      </c>
      <c r="D347" s="32" t="inlineStr">
        <is>
          <t xml:space="preserve">Bound - within authority</t>
        </is>
      </c>
      <c r="E347" s="32" t="inlineStr">
        <is>
          <t xml:space="preserve">New business</t>
        </is>
      </c>
      <c r="F347" s="30" t="inlineStr">
        <is>
          <t xml:space="preserve">B1234EXOTIC26</t>
        </is>
      </c>
      <c r="G347" s="33">
        <f>IF($A347="","",IF($C347="","",YEAR($C347)))</f>
      </c>
      <c r="H347" s="34">
        <v>1976</v>
      </c>
      <c r="I347" s="30" t="inlineStr">
        <is>
          <t xml:space="preserve">Ferrari</t>
        </is>
      </c>
      <c r="J347" s="30" t="inlineStr">
        <is>
          <t xml:space="preserve">275 GTB/4</t>
        </is>
      </c>
      <c r="K347" s="30" t="inlineStr">
        <is>
          <t xml:space="preserve">Y76SNWM0EA2C6L8V3</t>
        </is>
      </c>
      <c r="L347" s="32" t="inlineStr">
        <is>
          <t xml:space="preserve">08 - Modern Classic (1973-1999)</t>
        </is>
      </c>
      <c r="M347" s="35">
        <v>500000</v>
      </c>
      <c r="N347" s="32" t="inlineStr">
        <is>
          <t xml:space="preserve">Personal</t>
        </is>
      </c>
      <c r="O347" s="30" t="inlineStr">
        <is>
          <t xml:space="preserve">Personal - regular use</t>
        </is>
      </c>
      <c r="P347" s="30" t="inlineStr">
        <is>
          <t xml:space="preserve">1,000 - 2,500</t>
        </is>
      </c>
      <c r="Q347" s="30" t="inlineStr">
        <is>
          <t xml:space="preserve">Arkansas</t>
        </is>
      </c>
      <c r="R347" s="30" t="inlineStr">
        <is>
          <t xml:space="preserve">72201</t>
        </is>
      </c>
      <c r="S347" s="32" t="inlineStr">
        <is>
          <t xml:space="preserve">Severe convective - hail / tornado (moderate)</t>
        </is>
      </c>
      <c r="T347" s="36">
        <f>IF($A347="","",IF($S347="","",IFERROR(INDEX('[1]natural catastrophe'!$D$6:$D$17,MATCH($S347,'[1]natural catastrophe'!$B$6:$B$17,0)),"?")))</f>
      </c>
      <c r="U347" s="30" t="inlineStr">
        <is>
          <t xml:space="preserve">$5,000</t>
        </is>
      </c>
      <c r="V347" s="32" t="inlineStr">
        <is>
          <t xml:space="preserve">Agreed Value</t>
        </is>
      </c>
      <c r="W347" s="30" t="inlineStr">
        <is>
          <t xml:space="preserve">$1,000</t>
        </is>
      </c>
      <c r="X347" s="32" t="inlineStr">
        <is>
          <t xml:space="preserve">$1,000,000 CSL</t>
        </is>
      </c>
      <c r="Y347" s="30"/>
      <c r="Z347" s="30"/>
      <c r="AA347" s="32" t="inlineStr">
        <is>
          <t xml:space="preserve">Surplus Lines</t>
        </is>
      </c>
      <c r="AB347" s="35">
        <v>4281.43</v>
      </c>
      <c r="AC347" s="37">
        <v>0</v>
      </c>
      <c r="AD347" s="38">
        <f>IF(ISNUMBER($AB347),$AB347*(1+N($AC347)),"")</f>
      </c>
      <c r="AE347" s="35">
        <v>350</v>
      </c>
      <c r="AF347" s="35">
        <v>0</v>
      </c>
      <c r="AG347" s="37"/>
      <c r="AH347" s="39">
        <f>IF(ISNUMBER($AD347),($AD347+$AE347+$AF347)*$AG347,"")</f>
      </c>
      <c r="AI347" s="35"/>
      <c r="AJ347" s="38">
        <f>IF(ISNUMBER($AD347),SUM($AD347:$AH347),"")</f>
      </c>
      <c r="AK347" s="40">
        <f>IF(AND(ISNUMBER($AB347),ISNUMBER($AD347)),IF($AB347&gt;0,$AD347/$AB347,""),"")</f>
      </c>
      <c r="AL347" s="32" t="inlineStr">
        <is>
          <t xml:space="preserve">At technical</t>
        </is>
      </c>
      <c r="AM347" s="41">
        <f>IF(ISNUMBER($AD347),Header!$I$3,"")</f>
      </c>
      <c r="AN347" s="39">
        <f>IF(ISNUMBER($AD347),$AO347+$AP347,"")</f>
      </c>
      <c r="AO347" s="39">
        <f>IF(ISNUMBER($AD347),ROUND($AD347*Header!$K$3,2),"")</f>
      </c>
      <c r="AP347" s="39">
        <f>IF(ISNUMBER($AD347),ROUND($AD347*Header!$M$3,2),"")</f>
      </c>
      <c r="AQ347" s="38">
        <f>IF(ISNUMBER($AD347),ROUND($AD347,2)-$AO347-$AP347,"")</f>
      </c>
      <c r="AR347" s="39">
        <f>IF(ISNUMBER($AD347),IF(Header!$D$34="","?",$AD347*Header!$D$34),"")</f>
      </c>
      <c r="AS347" s="39">
        <f>IF(ISNUMBER($AB347),IF(Header!$D$34="","?",$AB347*Header!$D$34),"")</f>
      </c>
      <c r="AT347" s="42">
        <f>IF(AND(ISNUMBER($AB347),$M347&gt;0),$AB347/$M347*100,"")</f>
      </c>
      <c r="AU347" s="42">
        <f>IF(AND(ISNUMBER($AD347),$M347&gt;0),$AD347/$M347*100,"")</f>
      </c>
      <c r="AV347" s="40">
        <f>IF(AND(ISNUMBER($AB347),ISNUMBER($AD347),ABS($AB347)&gt;0),$AD347/$AB347,"")</f>
      </c>
      <c r="AW347" s="39">
        <f>IF(ISNUMBER($AD347),MAX(0,(1-0.55-Header!$O$3)*Header!$Q$3*$AQ347),"")</f>
      </c>
      <c r="AX347" s="43">
        <f>IF($A347="","",IF(TRIM(IF($A347="","Missing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",""))="","PASS","FAIL: "&amp;TRIM(IF($A347="","Missing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f>
      </c>
      <c r="AY347" s="44">
        <f>IF($M347="","",IF(ISNUMBER($M347),IF($M347&gt;=Header!$C$18,"YES — refer","No"),""))</f>
      </c>
      <c r="AZ347" s="44">
        <f>IF($AD347="","",IF(ISNUMBER($AD347),IF($AD347&lt;Header!$C$20,"BELOW MIN PREMIUM","OK"),""))</f>
      </c>
      <c r="BA347" s="32" t="inlineStr">
        <is>
          <t xml:space="preserve">Yes</t>
        </is>
      </c>
      <c r="BB347" s="32" t="inlineStr">
        <is>
          <t xml:space="preserve">Yes</t>
        </is>
      </c>
      <c r="BC347" s="30" t="inlineStr">
        <is>
          <t xml:space="preserve">Synthetic demo data</t>
        </is>
      </c>
      <c r="BE347" s="45">
        <f>IF(OR($A347="",$L347="",$H347=""),"",IF(AND(LEFT($L347,2)="06",$H347&gt;1945),"FAIL - pre-war class, year "&amp;$H347,IF(AND(LEFT($L347,2)="07",OR($H347&lt;1946,$H347&gt;1972)),"FAIL - 1946-72 class, year "&amp;$H347,IF(AND(LEFT($L347,2)="08",OR($H347&lt;1973,$H347&gt;1999)),"FAIL - 1973-99 class, year "&amp;$H347,IF(AND(LEFT($L347,2)="09",OR($H347&lt;2000,$H347&gt;2010)),"FAIL - 2000-10 class, year "&amp;$H347,"OK")))))</f>
      </c>
      <c r="BF347" s="45">
        <f>IF($AD347="","",IF(ROUND($AO347+$AP347+$AQ347-$AD347,2)=0,"OK","FAIL - out by "&amp;TEXT($AO347+$AP347+$AQ347-$AD347,"$0.00")))</f>
      </c>
    </row>
    <row r="348" spans="1:58" ht="18.75" customHeight="1" x14ac:dyDescent="0.25">
      <c r="A348" s="46" t="inlineStr">
        <is>
          <t xml:space="preserve">CANON-202606-008879</t>
        </is>
      </c>
      <c r="B348" s="46" t="inlineStr">
        <is>
          <t xml:space="preserve">Delphine Chattopadhyay</t>
        </is>
      </c>
      <c r="C348" s="47">
        <v>46202</v>
      </c>
      <c r="D348" s="48" t="inlineStr">
        <is>
          <t xml:space="preserve">Bound - within authority</t>
        </is>
      </c>
      <c r="E348" s="48" t="inlineStr">
        <is>
          <t xml:space="preserve">New business</t>
        </is>
      </c>
      <c r="F348" s="46" t="inlineStr">
        <is>
          <t xml:space="preserve">B1234EXOTIC26</t>
        </is>
      </c>
      <c r="G348" s="33">
        <f>IF($A348="","",IF($C348="","",YEAR($C348)))</f>
      </c>
      <c r="H348" s="49">
        <v>1982</v>
      </c>
      <c r="I348" s="46" t="inlineStr">
        <is>
          <t xml:space="preserve">Aston Martin</t>
        </is>
      </c>
      <c r="J348" s="46" t="inlineStr">
        <is>
          <t xml:space="preserve">DB12</t>
        </is>
      </c>
      <c r="K348" s="46" t="inlineStr">
        <is>
          <t xml:space="preserve">8HGWKGK775KCUHBV3</t>
        </is>
      </c>
      <c r="L348" s="48" t="inlineStr">
        <is>
          <t xml:space="preserve">02 - Sports / GT</t>
        </is>
      </c>
      <c r="M348" s="50">
        <v>480000</v>
      </c>
      <c r="N348" s="48" t="inlineStr">
        <is>
          <t xml:space="preserve">Personal</t>
        </is>
      </c>
      <c r="O348" s="46" t="inlineStr">
        <is>
          <t xml:space="preserve">Personal - regular use</t>
        </is>
      </c>
      <c r="P348" s="46" t="inlineStr">
        <is>
          <t xml:space="preserve">Under 1,000</t>
        </is>
      </c>
      <c r="Q348" s="46" t="inlineStr">
        <is>
          <t xml:space="preserve">Rhode Island</t>
        </is>
      </c>
      <c r="R348" s="46" t="inlineStr">
        <is>
          <t xml:space="preserve">02903</t>
        </is>
      </c>
      <c r="S348" s="48" t="inlineStr">
        <is>
          <t xml:space="preserve">Tier 3 - Coastal wind (25-100 miles)</t>
        </is>
      </c>
      <c r="T348" s="36">
        <f>IF($A348="","",IF($S348="","",IFERROR(INDEX('[1]natural catastrophe'!$D$6:$D$17,MATCH($S348,'[1]natural catastrophe'!$B$6:$B$17,0)),"?")))</f>
      </c>
      <c r="U348" s="46" t="inlineStr">
        <is>
          <t xml:space="preserve">2% of agreed value, minimum $10,000</t>
        </is>
      </c>
      <c r="V348" s="48" t="inlineStr">
        <is>
          <t xml:space="preserve">Agreed Value</t>
        </is>
      </c>
      <c r="W348" s="46" t="inlineStr">
        <is>
          <t xml:space="preserve">$1,000</t>
        </is>
      </c>
      <c r="X348" s="48" t="inlineStr">
        <is>
          <t xml:space="preserve">$1,000,000 CSL</t>
        </is>
      </c>
      <c r="Y348" s="46"/>
      <c r="Z348" s="46"/>
      <c r="AA348" s="48" t="inlineStr">
        <is>
          <t xml:space="preserve">Surplus Lines</t>
        </is>
      </c>
      <c r="AB348" s="50">
        <v>7116.97</v>
      </c>
      <c r="AC348" s="51">
        <v>0</v>
      </c>
      <c r="AD348" s="38">
        <f>IF(ISNUMBER($AB348),$AB348*(1+N($AC348)),"")</f>
      </c>
      <c r="AE348" s="50">
        <v>350</v>
      </c>
      <c r="AF348" s="50">
        <v>0</v>
      </c>
      <c r="AG348" s="51"/>
      <c r="AH348" s="39">
        <f>IF(ISNUMBER($AD348),($AD348+$AE348+$AF348)*$AG348,"")</f>
      </c>
      <c r="AI348" s="50"/>
      <c r="AJ348" s="38">
        <f>IF(ISNUMBER($AD348),SUM($AD348:$AH348),"")</f>
      </c>
      <c r="AK348" s="40">
        <f>IF(AND(ISNUMBER($AB348),ISNUMBER($AD348)),IF($AB348&gt;0,$AD348/$AB348,""),"")</f>
      </c>
      <c r="AL348" s="48" t="inlineStr">
        <is>
          <t xml:space="preserve">At technical</t>
        </is>
      </c>
      <c r="AM348" s="41">
        <f>IF(ISNUMBER($AD348),Header!$I$3,"")</f>
      </c>
      <c r="AN348" s="39">
        <f>IF(ISNUMBER($AD348),$AO348+$AP348,"")</f>
      </c>
      <c r="AO348" s="39">
        <f>IF(ISNUMBER($AD348),ROUND($AD348*Header!$K$3,2),"")</f>
      </c>
      <c r="AP348" s="39">
        <f>IF(ISNUMBER($AD348),ROUND($AD348*Header!$M$3,2),"")</f>
      </c>
      <c r="AQ348" s="38">
        <f>IF(ISNUMBER($AD348),ROUND($AD348,2)-$AO348-$AP348,"")</f>
      </c>
      <c r="AR348" s="39">
        <f>IF(ISNUMBER($AD348),IF(Header!$D$34="","?",$AD348*Header!$D$34),"")</f>
      </c>
      <c r="AS348" s="39">
        <f>IF(ISNUMBER($AB348),IF(Header!$D$34="","?",$AB348*Header!$D$34),"")</f>
      </c>
      <c r="AT348" s="42">
        <f>IF(AND(ISNUMBER($AB348),$M348&gt;0),$AB348/$M348*100,"")</f>
      </c>
      <c r="AU348" s="42">
        <f>IF(AND(ISNUMBER($AD348),$M348&gt;0),$AD348/$M348*100,"")</f>
      </c>
      <c r="AV348" s="40">
        <f>IF(AND(ISNUMBER($AB348),ISNUMBER($AD348),ABS($AB348)&gt;0),$AD348/$AB348,"")</f>
      </c>
      <c r="AW348" s="39">
        <f>IF(ISNUMBER($AD348),MAX(0,(1-0.55-Header!$O$3)*Header!$Q$3*$AQ348),"")</f>
      </c>
      <c r="AX348" s="43">
        <f>IF($A348="","",IF(TRIM(IF($A348="","Missing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",""))="","PASS","FAIL: "&amp;TRIM(IF($A348="","Missing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f>
      </c>
      <c r="AY348" s="44">
        <f>IF($M348="","",IF(ISNUMBER($M348),IF($M348&gt;=Header!$C$18,"YES — refer","No"),""))</f>
      </c>
      <c r="AZ348" s="44">
        <f>IF($AD348="","",IF(ISNUMBER($AD348),IF($AD348&lt;Header!$C$20,"BELOW MIN PREMIUM","OK"),""))</f>
      </c>
      <c r="BA348" s="48" t="inlineStr">
        <is>
          <t xml:space="preserve">Yes</t>
        </is>
      </c>
      <c r="BB348" s="48" t="inlineStr">
        <is>
          <t xml:space="preserve">Yes</t>
        </is>
      </c>
      <c r="BC348" s="46" t="inlineStr">
        <is>
          <t xml:space="preserve">Synthetic demo data</t>
        </is>
      </c>
      <c r="BE348" s="45">
        <f>IF(OR($A348="",$L348="",$H348=""),"",IF(AND(LEFT($L348,2)="06",$H348&gt;1945),"FAIL - pre-war class, year "&amp;$H348,IF(AND(LEFT($L348,2)="07",OR($H348&lt;1946,$H348&gt;1972)),"FAIL - 1946-72 class, year "&amp;$H348,IF(AND(LEFT($L348,2)="08",OR($H348&lt;1973,$H348&gt;1999)),"FAIL - 1973-99 class, year "&amp;$H348,IF(AND(LEFT($L348,2)="09",OR($H348&lt;2000,$H348&gt;2010)),"FAIL - 2000-10 class, year "&amp;$H348,"OK")))))</f>
      </c>
      <c r="BF348" s="45">
        <f>IF($AD348="","",IF(ROUND($AO348+$AP348+$AQ348-$AD348,2)=0,"OK","FAIL - out by "&amp;TEXT($AO348+$AP348+$AQ348-$AD348,"$0.00")))</f>
      </c>
    </row>
    <row r="349" spans="1:58" ht="18.75" customHeight="1" x14ac:dyDescent="0.25">
      <c r="A349" s="30" t="inlineStr">
        <is>
          <t xml:space="preserve">CANON-202606-008880</t>
        </is>
      </c>
      <c r="B349" s="30" t="inlineStr">
        <is>
          <t xml:space="preserve">Ingrid Ashcombe</t>
        </is>
      </c>
      <c r="C349" s="31">
        <v>46196</v>
      </c>
      <c r="D349" s="32" t="inlineStr">
        <is>
          <t xml:space="preserve">Bound - within authority</t>
        </is>
      </c>
      <c r="E349" s="32" t="inlineStr">
        <is>
          <t xml:space="preserve">New business</t>
        </is>
      </c>
      <c r="F349" s="30" t="inlineStr">
        <is>
          <t xml:space="preserve">B1234EXOTIC26</t>
        </is>
      </c>
      <c r="G349" s="33">
        <f>IF($A349="","",IF($C349="","",YEAR($C349)))</f>
      </c>
      <c r="H349" s="34">
        <v>1967</v>
      </c>
      <c r="I349" s="30" t="inlineStr">
        <is>
          <t xml:space="preserve">Maserati</t>
        </is>
      </c>
      <c r="J349" s="30" t="inlineStr">
        <is>
          <t xml:space="preserve">GranTurismo</t>
        </is>
      </c>
      <c r="K349" s="30" t="inlineStr">
        <is>
          <t xml:space="preserve">CGVZ2SN6D9RA6GJB6</t>
        </is>
      </c>
      <c r="L349" s="32" t="inlineStr">
        <is>
          <t xml:space="preserve">02 - Sports / GT</t>
        </is>
      </c>
      <c r="M349" s="35">
        <v>275000</v>
      </c>
      <c r="N349" s="32" t="inlineStr">
        <is>
          <t xml:space="preserve">Personal</t>
        </is>
      </c>
      <c r="O349" s="30" t="inlineStr">
        <is>
          <t xml:space="preserve">Personal - regular use</t>
        </is>
      </c>
      <c r="P349" s="30" t="inlineStr">
        <is>
          <t xml:space="preserve">1,000 - 2,500</t>
        </is>
      </c>
      <c r="Q349" s="30" t="inlineStr">
        <is>
          <t xml:space="preserve">Minnesota</t>
        </is>
      </c>
      <c r="R349" s="30" t="inlineStr">
        <is>
          <t xml:space="preserve">55401</t>
        </is>
      </c>
      <c r="S349" s="32" t="inlineStr">
        <is>
          <t xml:space="preserve">Severe convective - hail / tornado (moderate)</t>
        </is>
      </c>
      <c r="T349" s="36">
        <f>IF($A349="","",IF($S349="","",IFERROR(INDEX('[1]natural catastrophe'!$D$6:$D$17,MATCH($S349,'[1]natural catastrophe'!$B$6:$B$17,0)),"?")))</f>
      </c>
      <c r="U349" s="30" t="inlineStr">
        <is>
          <t xml:space="preserve">$5,000</t>
        </is>
      </c>
      <c r="V349" s="32" t="inlineStr">
        <is>
          <t xml:space="preserve">Agreed Value</t>
        </is>
      </c>
      <c r="W349" s="30" t="inlineStr">
        <is>
          <t xml:space="preserve">$1,000</t>
        </is>
      </c>
      <c r="X349" s="32" t="inlineStr">
        <is>
          <t xml:space="preserve">$1,000,000 CSL</t>
        </is>
      </c>
      <c r="Y349" s="30"/>
      <c r="Z349" s="30"/>
      <c r="AA349" s="32" t="inlineStr">
        <is>
          <t xml:space="preserve">Surplus Lines</t>
        </is>
      </c>
      <c r="AB349" s="35">
        <v>3928.62</v>
      </c>
      <c r="AC349" s="37">
        <v>0</v>
      </c>
      <c r="AD349" s="38">
        <f>IF(ISNUMBER($AB349),$AB349*(1+N($AC349)),"")</f>
      </c>
      <c r="AE349" s="35">
        <v>350</v>
      </c>
      <c r="AF349" s="35">
        <v>0</v>
      </c>
      <c r="AG349" s="37"/>
      <c r="AH349" s="39">
        <f>IF(ISNUMBER($AD349),($AD349+$AE349+$AF349)*$AG349,"")</f>
      </c>
      <c r="AI349" s="35"/>
      <c r="AJ349" s="38">
        <f>IF(ISNUMBER($AD349),SUM($AD349:$AH349),"")</f>
      </c>
      <c r="AK349" s="40">
        <f>IF(AND(ISNUMBER($AB349),ISNUMBER($AD349)),IF($AB349&gt;0,$AD349/$AB349,""),"")</f>
      </c>
      <c r="AL349" s="32" t="inlineStr">
        <is>
          <t xml:space="preserve">At technical</t>
        </is>
      </c>
      <c r="AM349" s="41">
        <f>IF(ISNUMBER($AD349),Header!$I$3,"")</f>
      </c>
      <c r="AN349" s="39">
        <f>IF(ISNUMBER($AD349),$AO349+$AP349,"")</f>
      </c>
      <c r="AO349" s="39">
        <f>IF(ISNUMBER($AD349),ROUND($AD349*Header!$K$3,2),"")</f>
      </c>
      <c r="AP349" s="39">
        <f>IF(ISNUMBER($AD349),ROUND($AD349*Header!$M$3,2),"")</f>
      </c>
      <c r="AQ349" s="38">
        <f>IF(ISNUMBER($AD349),ROUND($AD349,2)-$AO349-$AP349,"")</f>
      </c>
      <c r="AR349" s="39">
        <f>IF(ISNUMBER($AD349),IF(Header!$D$34="","?",$AD349*Header!$D$34),"")</f>
      </c>
      <c r="AS349" s="39">
        <f>IF(ISNUMBER($AB349),IF(Header!$D$34="","?",$AB349*Header!$D$34),"")</f>
      </c>
      <c r="AT349" s="42">
        <f>IF(AND(ISNUMBER($AB349),$M349&gt;0),$AB349/$M349*100,"")</f>
      </c>
      <c r="AU349" s="42">
        <f>IF(AND(ISNUMBER($AD349),$M349&gt;0),$AD349/$M349*100,"")</f>
      </c>
      <c r="AV349" s="40">
        <f>IF(AND(ISNUMBER($AB349),ISNUMBER($AD349),ABS($AB349)&gt;0),$AD349/$AB349,"")</f>
      </c>
      <c r="AW349" s="39">
        <f>IF(ISNUMBER($AD349),MAX(0,(1-0.55-Header!$O$3)*Header!$Q$3*$AQ349),"")</f>
      </c>
      <c r="AX349" s="43">
        <f>IF($A349="","",IF(TRIM(IF($A349="","Missing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",""))="","PASS","FAIL: "&amp;TRIM(IF($A349="","Missing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f>
      </c>
      <c r="AY349" s="44">
        <f>IF($M349="","",IF(ISNUMBER($M349),IF($M349&gt;=Header!$C$18,"YES — refer","No"),""))</f>
      </c>
      <c r="AZ349" s="44">
        <f>IF($AD349="","",IF(ISNUMBER($AD349),IF($AD349&lt;Header!$C$20,"BELOW MIN PREMIUM","OK"),""))</f>
      </c>
      <c r="BA349" s="32" t="inlineStr">
        <is>
          <t xml:space="preserve">Yes</t>
        </is>
      </c>
      <c r="BB349" s="32" t="inlineStr">
        <is>
          <t xml:space="preserve">Yes</t>
        </is>
      </c>
      <c r="BC349" s="30" t="inlineStr">
        <is>
          <t xml:space="preserve">Synthetic demo data</t>
        </is>
      </c>
      <c r="BE349" s="45">
        <f>IF(OR($A349="",$L349="",$H349=""),"",IF(AND(LEFT($L349,2)="06",$H349&gt;1945),"FAIL - pre-war class, year "&amp;$H349,IF(AND(LEFT($L349,2)="07",OR($H349&lt;1946,$H349&gt;1972)),"FAIL - 1946-72 class, year "&amp;$H349,IF(AND(LEFT($L349,2)="08",OR($H349&lt;1973,$H349&gt;1999)),"FAIL - 1973-99 class, year "&amp;$H349,IF(AND(LEFT($L349,2)="09",OR($H349&lt;2000,$H349&gt;2010)),"FAIL - 2000-10 class, year "&amp;$H349,"OK")))))</f>
      </c>
      <c r="BF349" s="45">
        <f>IF($AD349="","",IF(ROUND($AO349+$AP349+$AQ349-$AD349,2)=0,"OK","FAIL - out by "&amp;TEXT($AO349+$AP349+$AQ349-$AD349,"$0.00")))</f>
      </c>
    </row>
    <row r="350" spans="1:58" ht="18.75" customHeight="1" x14ac:dyDescent="0.25">
      <c r="A350" s="46" t="inlineStr">
        <is>
          <t xml:space="preserve">CANON-202606-008882</t>
        </is>
      </c>
      <c r="B350" s="46" t="inlineStr">
        <is>
          <t xml:space="preserve">Horace Ashcombe</t>
        </is>
      </c>
      <c r="C350" s="47">
        <v>46188</v>
      </c>
      <c r="D350" s="48" t="inlineStr">
        <is>
          <t xml:space="preserve">Bound - within authority</t>
        </is>
      </c>
      <c r="E350" s="48" t="inlineStr">
        <is>
          <t xml:space="preserve">New business</t>
        </is>
      </c>
      <c r="F350" s="46" t="inlineStr">
        <is>
          <t xml:space="preserve">B1234EXOTIC26</t>
        </is>
      </c>
      <c r="G350" s="33">
        <f>IF($A350="","",IF($C350="","",YEAR($C350)))</f>
      </c>
      <c r="H350" s="49">
        <v>1991</v>
      </c>
      <c r="I350" s="46" t="inlineStr">
        <is>
          <t xml:space="preserve">Aston Martin</t>
        </is>
      </c>
      <c r="J350" s="46" t="inlineStr">
        <is>
          <t xml:space="preserve">DB5</t>
        </is>
      </c>
      <c r="K350" s="46" t="inlineStr">
        <is>
          <t xml:space="preserve">GT4PXG803KE7M0MPG</t>
        </is>
      </c>
      <c r="L350" s="48" t="inlineStr">
        <is>
          <t xml:space="preserve">08 - Modern Classic (1973-1999)</t>
        </is>
      </c>
      <c r="M350" s="50">
        <v>950000</v>
      </c>
      <c r="N350" s="48" t="inlineStr">
        <is>
          <t xml:space="preserve">Personal</t>
        </is>
      </c>
      <c r="O350" s="46" t="inlineStr">
        <is>
          <t xml:space="preserve">Personal - regular use</t>
        </is>
      </c>
      <c r="P350" s="46" t="inlineStr">
        <is>
          <t xml:space="preserve">1,000 - 2,500</t>
        </is>
      </c>
      <c r="Q350" s="46" t="inlineStr">
        <is>
          <t xml:space="preserve">Ohio</t>
        </is>
      </c>
      <c r="R350" s="46" t="inlineStr">
        <is>
          <t xml:space="preserve">43215</t>
        </is>
      </c>
      <c r="S350" s="48" t="inlineStr">
        <is>
          <t xml:space="preserve">Severe convective - hail / tornado (moderate)</t>
        </is>
      </c>
      <c r="T350" s="36">
        <f>IF($A350="","",IF($S350="","",IFERROR(INDEX('[1]natural catastrophe'!$D$6:$D$17,MATCH($S350,'[1]natural catastrophe'!$B$6:$B$17,0)),"?")))</f>
      </c>
      <c r="U350" s="46" t="inlineStr">
        <is>
          <t xml:space="preserve">$5,000</t>
        </is>
      </c>
      <c r="V350" s="48" t="inlineStr">
        <is>
          <t xml:space="preserve">Agreed Value</t>
        </is>
      </c>
      <c r="W350" s="46" t="inlineStr">
        <is>
          <t xml:space="preserve">$1,000</t>
        </is>
      </c>
      <c r="X350" s="48" t="inlineStr">
        <is>
          <t xml:space="preserve">$1,000,000 CSL</t>
        </is>
      </c>
      <c r="Y350" s="46"/>
      <c r="Z350" s="46"/>
      <c r="AA350" s="48" t="inlineStr">
        <is>
          <t xml:space="preserve">Surplus Lines</t>
        </is>
      </c>
      <c r="AB350" s="50">
        <v>8193.68</v>
      </c>
      <c r="AC350" s="51">
        <v>0</v>
      </c>
      <c r="AD350" s="38">
        <f>IF(ISNUMBER($AB350),$AB350*(1+N($AC350)),"")</f>
      </c>
      <c r="AE350" s="50">
        <v>350</v>
      </c>
      <c r="AF350" s="50">
        <v>0</v>
      </c>
      <c r="AG350" s="51"/>
      <c r="AH350" s="39">
        <f>IF(ISNUMBER($AD350),($AD350+$AE350+$AF350)*$AG350,"")</f>
      </c>
      <c r="AI350" s="50"/>
      <c r="AJ350" s="38">
        <f>IF(ISNUMBER($AD350),SUM($AD350:$AH350),"")</f>
      </c>
      <c r="AK350" s="40">
        <f>IF(AND(ISNUMBER($AB350),ISNUMBER($AD350)),IF($AB350&gt;0,$AD350/$AB350,""),"")</f>
      </c>
      <c r="AL350" s="48" t="inlineStr">
        <is>
          <t xml:space="preserve">At technical</t>
        </is>
      </c>
      <c r="AM350" s="41">
        <f>IF(ISNUMBER($AD350),Header!$I$3,"")</f>
      </c>
      <c r="AN350" s="39">
        <f>IF(ISNUMBER($AD350),$AO350+$AP350,"")</f>
      </c>
      <c r="AO350" s="39">
        <f>IF(ISNUMBER($AD350),ROUND($AD350*Header!$K$3,2),"")</f>
      </c>
      <c r="AP350" s="39">
        <f>IF(ISNUMBER($AD350),ROUND($AD350*Header!$M$3,2),"")</f>
      </c>
      <c r="AQ350" s="38">
        <f>IF(ISNUMBER($AD350),ROUND($AD350,2)-$AO350-$AP350,"")</f>
      </c>
      <c r="AR350" s="39">
        <f>IF(ISNUMBER($AD350),IF(Header!$D$34="","?",$AD350*Header!$D$34),"")</f>
      </c>
      <c r="AS350" s="39">
        <f>IF(ISNUMBER($AB350),IF(Header!$D$34="","?",$AB350*Header!$D$34),"")</f>
      </c>
      <c r="AT350" s="42">
        <f>IF(AND(ISNUMBER($AB350),$M350&gt;0),$AB350/$M350*100,"")</f>
      </c>
      <c r="AU350" s="42">
        <f>IF(AND(ISNUMBER($AD350),$M350&gt;0),$AD350/$M350*100,"")</f>
      </c>
      <c r="AV350" s="40">
        <f>IF(AND(ISNUMBER($AB350),ISNUMBER($AD350),ABS($AB350)&gt;0),$AD350/$AB350,"")</f>
      </c>
      <c r="AW350" s="39">
        <f>IF(ISNUMBER($AD350),MAX(0,(1-0.55-Header!$O$3)*Header!$Q$3*$AQ350),"")</f>
      </c>
      <c r="AX350" s="43">
        <f>IF($A350="","",IF(TRIM(IF($A350="","Missing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",""))="","PASS","FAIL: "&amp;TRIM(IF($A350="","Missing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f>
      </c>
      <c r="AY350" s="44">
        <f>IF($M350="","",IF(ISNUMBER($M350),IF($M350&gt;=Header!$C$18,"YES — refer","No"),""))</f>
      </c>
      <c r="AZ350" s="44">
        <f>IF($AD350="","",IF(ISNUMBER($AD350),IF($AD350&lt;Header!$C$20,"BELOW MIN PREMIUM","OK"),""))</f>
      </c>
      <c r="BA350" s="48" t="inlineStr">
        <is>
          <t xml:space="preserve">Yes</t>
        </is>
      </c>
      <c r="BB350" s="48" t="inlineStr">
        <is>
          <t xml:space="preserve">Yes</t>
        </is>
      </c>
      <c r="BC350" s="46" t="inlineStr">
        <is>
          <t xml:space="preserve">Synthetic demo data</t>
        </is>
      </c>
      <c r="BE350" s="45">
        <f>IF(OR($A350="",$L350="",$H350=""),"",IF(AND(LEFT($L350,2)="06",$H350&gt;1945),"FAIL - pre-war class, year "&amp;$H350,IF(AND(LEFT($L350,2)="07",OR($H350&lt;1946,$H350&gt;1972)),"FAIL - 1946-72 class, year "&amp;$H350,IF(AND(LEFT($L350,2)="08",OR($H350&lt;1973,$H350&gt;1999)),"FAIL - 1973-99 class, year "&amp;$H350,IF(AND(LEFT($L350,2)="09",OR($H350&lt;2000,$H350&gt;2010)),"FAIL - 2000-10 class, year "&amp;$H350,"OK")))))</f>
      </c>
      <c r="BF350" s="45">
        <f>IF($AD350="","",IF(ROUND($AO350+$AP350+$AQ350-$AD350,2)=0,"OK","FAIL - out by "&amp;TEXT($AO350+$AP350+$AQ350-$AD350,"$0.00")))</f>
      </c>
    </row>
    <row r="351" spans="1:58" ht="18.75" customHeight="1" x14ac:dyDescent="0.25">
      <c r="A351" s="30" t="inlineStr">
        <is>
          <t xml:space="preserve">CANON-202606-008884</t>
        </is>
      </c>
      <c r="B351" s="30" t="inlineStr">
        <is>
          <t xml:space="preserve">Delphine Blackwood</t>
        </is>
      </c>
      <c r="C351" s="31">
        <v>46202</v>
      </c>
      <c r="D351" s="32" t="inlineStr">
        <is>
          <t xml:space="preserve">Bound - within authority</t>
        </is>
      </c>
      <c r="E351" s="32" t="inlineStr">
        <is>
          <t xml:space="preserve">New business</t>
        </is>
      </c>
      <c r="F351" s="30" t="inlineStr">
        <is>
          <t xml:space="preserve">B1234EXOTIC26</t>
        </is>
      </c>
      <c r="G351" s="33">
        <f>IF($A351="","",IF($C351="","",YEAR($C351)))</f>
      </c>
      <c r="H351" s="34">
        <v>2024</v>
      </c>
      <c r="I351" s="30" t="inlineStr">
        <is>
          <t xml:space="preserve">Ferrari</t>
        </is>
      </c>
      <c r="J351" s="30" t="inlineStr">
        <is>
          <t xml:space="preserve">275 GTB/4</t>
        </is>
      </c>
      <c r="K351" s="30" t="inlineStr">
        <is>
          <t xml:space="preserve">CVS7LDJ9JGJ5KUE4V</t>
        </is>
      </c>
      <c r="L351" s="32" t="inlineStr">
        <is>
          <t xml:space="preserve">02 - Sports / GT</t>
        </is>
      </c>
      <c r="M351" s="35">
        <v>1190000</v>
      </c>
      <c r="N351" s="32" t="inlineStr">
        <is>
          <t xml:space="preserve">Personal</t>
        </is>
      </c>
      <c r="O351" s="30" t="inlineStr">
        <is>
          <t xml:space="preserve">Personal - regular use</t>
        </is>
      </c>
      <c r="P351" s="30" t="inlineStr">
        <is>
          <t xml:space="preserve">2,500 - 5,000</t>
        </is>
      </c>
      <c r="Q351" s="30" t="inlineStr">
        <is>
          <t xml:space="preserve">Colorado</t>
        </is>
      </c>
      <c r="R351" s="30" t="inlineStr">
        <is>
          <t xml:space="preserve">80202</t>
        </is>
      </c>
      <c r="S351" s="32" t="inlineStr">
        <is>
          <t xml:space="preserve">Severe convective - hail alley (high)</t>
        </is>
      </c>
      <c r="T351" s="36">
        <f>IF($A351="","",IF($S351="","",IFERROR(INDEX('[1]natural catastrophe'!$D$6:$D$17,MATCH($S351,'[1]natural catastrophe'!$B$6:$B$17,0)),"?")))</f>
      </c>
      <c r="U351" s="30" t="inlineStr">
        <is>
          <t xml:space="preserve">$5,000</t>
        </is>
      </c>
      <c r="V351" s="32" t="inlineStr">
        <is>
          <t xml:space="preserve">Agreed Value</t>
        </is>
      </c>
      <c r="W351" s="30" t="inlineStr">
        <is>
          <t xml:space="preserve">$1,000</t>
        </is>
      </c>
      <c r="X351" s="32" t="inlineStr">
        <is>
          <t xml:space="preserve">$1,000,000 CSL</t>
        </is>
      </c>
      <c r="Y351" s="30"/>
      <c r="Z351" s="30"/>
      <c r="AA351" s="32" t="inlineStr">
        <is>
          <t xml:space="preserve">Surplus Lines</t>
        </is>
      </c>
      <c r="AB351" s="35">
        <v>7177.86</v>
      </c>
      <c r="AC351" s="37">
        <v>0</v>
      </c>
      <c r="AD351" s="38">
        <f>IF(ISNUMBER($AB351),$AB351*(1+N($AC351)),"")</f>
      </c>
      <c r="AE351" s="35">
        <v>350</v>
      </c>
      <c r="AF351" s="35">
        <v>250</v>
      </c>
      <c r="AG351" s="37"/>
      <c r="AH351" s="39">
        <f>IF(ISNUMBER($AD351),($AD351+$AE351+$AF351)*$AG351,"")</f>
      </c>
      <c r="AI351" s="35"/>
      <c r="AJ351" s="38">
        <f>IF(ISNUMBER($AD351),SUM($AD351:$AH351),"")</f>
      </c>
      <c r="AK351" s="40">
        <f>IF(AND(ISNUMBER($AB351),ISNUMBER($AD351)),IF($AB351&gt;0,$AD351/$AB351,""),"")</f>
      </c>
      <c r="AL351" s="32" t="inlineStr">
        <is>
          <t xml:space="preserve">At technical</t>
        </is>
      </c>
      <c r="AM351" s="41">
        <f>IF(ISNUMBER($AD351),Header!$I$3,"")</f>
      </c>
      <c r="AN351" s="39">
        <f>IF(ISNUMBER($AD351),$AO351+$AP351,"")</f>
      </c>
      <c r="AO351" s="39">
        <f>IF(ISNUMBER($AD351),ROUND($AD351*Header!$K$3,2),"")</f>
      </c>
      <c r="AP351" s="39">
        <f>IF(ISNUMBER($AD351),ROUND($AD351*Header!$M$3,2),"")</f>
      </c>
      <c r="AQ351" s="38">
        <f>IF(ISNUMBER($AD351),ROUND($AD351,2)-$AO351-$AP351,"")</f>
      </c>
      <c r="AR351" s="39">
        <f>IF(ISNUMBER($AD351),IF(Header!$D$34="","?",$AD351*Header!$D$34),"")</f>
      </c>
      <c r="AS351" s="39">
        <f>IF(ISNUMBER($AB351),IF(Header!$D$34="","?",$AB351*Header!$D$34),"")</f>
      </c>
      <c r="AT351" s="42">
        <f>IF(AND(ISNUMBER($AB351),$M351&gt;0),$AB351/$M351*100,"")</f>
      </c>
      <c r="AU351" s="42">
        <f>IF(AND(ISNUMBER($AD351),$M351&gt;0),$AD351/$M351*100,"")</f>
      </c>
      <c r="AV351" s="40">
        <f>IF(AND(ISNUMBER($AB351),ISNUMBER($AD351),ABS($AB351)&gt;0),$AD351/$AB351,"")</f>
      </c>
      <c r="AW351" s="39">
        <f>IF(ISNUMBER($AD351),MAX(0,(1-0.55-Header!$O$3)*Header!$Q$3*$AQ351),"")</f>
      </c>
      <c r="AX351" s="43">
        <f>IF($A351="","",IF(TRIM(IF($A351="","Missing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",""))="","PASS","FAIL: "&amp;TRIM(IF($A351="","Missing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f>
      </c>
      <c r="AY351" s="44">
        <f>IF($M351="","",IF(ISNUMBER($M351),IF($M351&gt;=Header!$C$18,"YES — refer","No"),""))</f>
      </c>
      <c r="AZ351" s="44">
        <f>IF($AD351="","",IF(ISNUMBER($AD351),IF($AD351&lt;Header!$C$20,"BELOW MIN PREMIUM","OK"),""))</f>
      </c>
      <c r="BA351" s="32" t="inlineStr">
        <is>
          <t xml:space="preserve">Yes</t>
        </is>
      </c>
      <c r="BB351" s="32" t="inlineStr">
        <is>
          <t xml:space="preserve">Yes</t>
        </is>
      </c>
      <c r="BC351" s="30" t="inlineStr">
        <is>
          <t xml:space="preserve">Synthetic demo data</t>
        </is>
      </c>
      <c r="BE351" s="45">
        <f>IF(OR($A351="",$L351="",$H351=""),"",IF(AND(LEFT($L351,2)="06",$H351&gt;1945),"FAIL - pre-war class, year "&amp;$H351,IF(AND(LEFT($L351,2)="07",OR($H351&lt;1946,$H351&gt;1972)),"FAIL - 1946-72 class, year "&amp;$H351,IF(AND(LEFT($L351,2)="08",OR($H351&lt;1973,$H351&gt;1999)),"FAIL - 1973-99 class, year "&amp;$H351,IF(AND(LEFT($L351,2)="09",OR($H351&lt;2000,$H351&gt;2010)),"FAIL - 2000-10 class, year "&amp;$H351,"OK")))))</f>
      </c>
      <c r="BF351" s="45">
        <f>IF($AD351="","",IF(ROUND($AO351+$AP351+$AQ351-$AD351,2)=0,"OK","FAIL - out by "&amp;TEXT($AO351+$AP351+$AQ351-$AD351,"$0.00")))</f>
      </c>
    </row>
    <row r="352" spans="1:58" ht="18.75" customHeight="1" x14ac:dyDescent="0.25">
      <c r="A352" s="46" t="inlineStr">
        <is>
          <t xml:space="preserve">CANON-202606-008885</t>
        </is>
      </c>
      <c r="B352" s="46" t="inlineStr">
        <is>
          <t xml:space="preserve">Fitzgerald Pennington</t>
        </is>
      </c>
      <c r="C352" s="47">
        <v>46202</v>
      </c>
      <c r="D352" s="48" t="inlineStr">
        <is>
          <t xml:space="preserve">Bound - within authority</t>
        </is>
      </c>
      <c r="E352" s="48" t="inlineStr">
        <is>
          <t xml:space="preserve">New business</t>
        </is>
      </c>
      <c r="F352" s="46" t="inlineStr">
        <is>
          <t xml:space="preserve">B1234EXOTIC26</t>
        </is>
      </c>
      <c r="G352" s="33">
        <f>IF($A352="","",IF($C352="","",YEAR($C352)))</f>
      </c>
      <c r="H352" s="49">
        <v>2024</v>
      </c>
      <c r="I352" s="46" t="inlineStr">
        <is>
          <t xml:space="preserve">BMW</t>
        </is>
      </c>
      <c r="J352" s="46" t="inlineStr">
        <is>
          <t xml:space="preserve">M8 Competition</t>
        </is>
      </c>
      <c r="K352" s="46" t="inlineStr">
        <is>
          <t xml:space="preserve">7LNTHMYLE66PHS1EL</t>
        </is>
      </c>
      <c r="L352" s="48" t="inlineStr">
        <is>
          <t xml:space="preserve">02 - Sports / GT</t>
        </is>
      </c>
      <c r="M352" s="50">
        <v>865000</v>
      </c>
      <c r="N352" s="48" t="inlineStr">
        <is>
          <t xml:space="preserve">Personal</t>
        </is>
      </c>
      <c r="O352" s="46" t="inlineStr">
        <is>
          <t xml:space="preserve">Personal - regular use</t>
        </is>
      </c>
      <c r="P352" s="46" t="inlineStr">
        <is>
          <t xml:space="preserve">Under 1,000</t>
        </is>
      </c>
      <c r="Q352" s="46" t="inlineStr">
        <is>
          <t xml:space="preserve">Alaska</t>
        </is>
      </c>
      <c r="R352" s="46" t="inlineStr">
        <is>
          <t xml:space="preserve">99501</t>
        </is>
      </c>
      <c r="S352" s="48" t="inlineStr">
        <is>
          <t xml:space="preserve">Earthquake - high (CA, Cascadia, New Madrid)</t>
        </is>
      </c>
      <c r="T352" s="36">
        <f>IF($A352="","",IF($S352="","",IFERROR(INDEX('[1]natural catastrophe'!$D$6:$D$17,MATCH($S352,'[1]natural catastrophe'!$B$6:$B$17,0)),"?")))</f>
      </c>
      <c r="U352" s="46" t="inlineStr">
        <is>
          <t xml:space="preserve">$5,000</t>
        </is>
      </c>
      <c r="V352" s="48" t="inlineStr">
        <is>
          <t xml:space="preserve">Agreed Value</t>
        </is>
      </c>
      <c r="W352" s="46" t="inlineStr">
        <is>
          <t xml:space="preserve">$1,000</t>
        </is>
      </c>
      <c r="X352" s="48" t="inlineStr">
        <is>
          <t xml:space="preserve">$1,000,000 CSL</t>
        </is>
      </c>
      <c r="Y352" s="46"/>
      <c r="Z352" s="46"/>
      <c r="AA352" s="48" t="inlineStr">
        <is>
          <t xml:space="preserve">Surplus Lines</t>
        </is>
      </c>
      <c r="AB352" s="50">
        <v>9249.25</v>
      </c>
      <c r="AC352" s="51">
        <v>0</v>
      </c>
      <c r="AD352" s="38">
        <f>IF(ISNUMBER($AB352),$AB352*(1+N($AC352)),"")</f>
      </c>
      <c r="AE352" s="50">
        <v>350</v>
      </c>
      <c r="AF352" s="50">
        <v>0</v>
      </c>
      <c r="AG352" s="51"/>
      <c r="AH352" s="39">
        <f>IF(ISNUMBER($AD352),($AD352+$AE352+$AF352)*$AG352,"")</f>
      </c>
      <c r="AI352" s="50"/>
      <c r="AJ352" s="38">
        <f>IF(ISNUMBER($AD352),SUM($AD352:$AH352),"")</f>
      </c>
      <c r="AK352" s="40">
        <f>IF(AND(ISNUMBER($AB352),ISNUMBER($AD352)),IF($AB352&gt;0,$AD352/$AB352,""),"")</f>
      </c>
      <c r="AL352" s="48" t="inlineStr">
        <is>
          <t xml:space="preserve">At technical</t>
        </is>
      </c>
      <c r="AM352" s="41">
        <f>IF(ISNUMBER($AD352),Header!$I$3,"")</f>
      </c>
      <c r="AN352" s="39">
        <f>IF(ISNUMBER($AD352),$AO352+$AP352,"")</f>
      </c>
      <c r="AO352" s="39">
        <f>IF(ISNUMBER($AD352),ROUND($AD352*Header!$K$3,2),"")</f>
      </c>
      <c r="AP352" s="39">
        <f>IF(ISNUMBER($AD352),ROUND($AD352*Header!$M$3,2),"")</f>
      </c>
      <c r="AQ352" s="38">
        <f>IF(ISNUMBER($AD352),ROUND($AD352,2)-$AO352-$AP352,"")</f>
      </c>
      <c r="AR352" s="39">
        <f>IF(ISNUMBER($AD352),IF(Header!$D$34="","?",$AD352*Header!$D$34),"")</f>
      </c>
      <c r="AS352" s="39">
        <f>IF(ISNUMBER($AB352),IF(Header!$D$34="","?",$AB352*Header!$D$34),"")</f>
      </c>
      <c r="AT352" s="42">
        <f>IF(AND(ISNUMBER($AB352),$M352&gt;0),$AB352/$M352*100,"")</f>
      </c>
      <c r="AU352" s="42">
        <f>IF(AND(ISNUMBER($AD352),$M352&gt;0),$AD352/$M352*100,"")</f>
      </c>
      <c r="AV352" s="40">
        <f>IF(AND(ISNUMBER($AB352),ISNUMBER($AD352),ABS($AB352)&gt;0),$AD352/$AB352,"")</f>
      </c>
      <c r="AW352" s="39">
        <f>IF(ISNUMBER($AD352),MAX(0,(1-0.55-Header!$O$3)*Header!$Q$3*$AQ352),"")</f>
      </c>
      <c r="AX352" s="43">
        <f>IF($A352="","",IF(TRIM(IF($A352="","Missing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",""))="","PASS","FAIL: "&amp;TRIM(IF($A352="","Missing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f>
      </c>
      <c r="AY352" s="44">
        <f>IF($M352="","",IF(ISNUMBER($M352),IF($M352&gt;=Header!$C$18,"YES — refer","No"),""))</f>
      </c>
      <c r="AZ352" s="44">
        <f>IF($AD352="","",IF(ISNUMBER($AD352),IF($AD352&lt;Header!$C$20,"BELOW MIN PREMIUM","OK"),""))</f>
      </c>
      <c r="BA352" s="48" t="inlineStr">
        <is>
          <t xml:space="preserve">Yes</t>
        </is>
      </c>
      <c r="BB352" s="48" t="inlineStr">
        <is>
          <t xml:space="preserve">Yes</t>
        </is>
      </c>
      <c r="BC352" s="46" t="inlineStr">
        <is>
          <t xml:space="preserve">Synthetic demo data</t>
        </is>
      </c>
      <c r="BE352" s="45">
        <f>IF(OR($A352="",$L352="",$H352=""),"",IF(AND(LEFT($L352,2)="06",$H352&gt;1945),"FAIL - pre-war class, year "&amp;$H352,IF(AND(LEFT($L352,2)="07",OR($H352&lt;1946,$H352&gt;1972)),"FAIL - 1946-72 class, year "&amp;$H352,IF(AND(LEFT($L352,2)="08",OR($H352&lt;1973,$H352&gt;1999)),"FAIL - 1973-99 class, year "&amp;$H352,IF(AND(LEFT($L352,2)="09",OR($H352&lt;2000,$H352&gt;2010)),"FAIL - 2000-10 class, year "&amp;$H352,"OK")))))</f>
      </c>
      <c r="BF352" s="45">
        <f>IF($AD352="","",IF(ROUND($AO352+$AP352+$AQ352-$AD352,2)=0,"OK","FAIL - out by "&amp;TEXT($AO352+$AP352+$AQ352-$AD352,"$0.00")))</f>
      </c>
    </row>
    <row r="353" spans="1:58" ht="18.75" customHeight="1" x14ac:dyDescent="0.25">
      <c r="A353" s="30" t="inlineStr">
        <is>
          <t xml:space="preserve">CANON-202606-008886</t>
        </is>
      </c>
      <c r="B353" s="30" t="inlineStr">
        <is>
          <t xml:space="preserve">Anouk Merriweather</t>
        </is>
      </c>
      <c r="C353" s="31">
        <v>46187</v>
      </c>
      <c r="D353" s="32" t="inlineStr">
        <is>
          <t xml:space="preserve">Bound - within authority</t>
        </is>
      </c>
      <c r="E353" s="32" t="inlineStr">
        <is>
          <t xml:space="preserve">New business</t>
        </is>
      </c>
      <c r="F353" s="30" t="inlineStr">
        <is>
          <t xml:space="preserve">B1234EXOTIC26</t>
        </is>
      </c>
      <c r="G353" s="33">
        <f>IF($A353="","",IF($C353="","",YEAR($C353)))</f>
      </c>
      <c r="H353" s="34">
        <v>1987</v>
      </c>
      <c r="I353" s="30" t="inlineStr">
        <is>
          <t xml:space="preserve">Ferrari</t>
        </is>
      </c>
      <c r="J353" s="30" t="inlineStr">
        <is>
          <t xml:space="preserve">SF90 Stradale</t>
        </is>
      </c>
      <c r="K353" s="30" t="inlineStr">
        <is>
          <t xml:space="preserve">MYFJVH81RUG0M7MAM</t>
        </is>
      </c>
      <c r="L353" s="32" t="inlineStr">
        <is>
          <t xml:space="preserve">03 - Supercar</t>
        </is>
      </c>
      <c r="M353" s="35">
        <v>1040000</v>
      </c>
      <c r="N353" s="32" t="inlineStr">
        <is>
          <t xml:space="preserve">Personal</t>
        </is>
      </c>
      <c r="O353" s="30" t="inlineStr">
        <is>
          <t xml:space="preserve">Personal - regular use</t>
        </is>
      </c>
      <c r="P353" s="30" t="inlineStr">
        <is>
          <t xml:space="preserve">1,000 - 2,500</t>
        </is>
      </c>
      <c r="Q353" s="30" t="inlineStr">
        <is>
          <t xml:space="preserve">California</t>
        </is>
      </c>
      <c r="R353" s="30" t="inlineStr">
        <is>
          <t xml:space="preserve">90012</t>
        </is>
      </c>
      <c r="S353" s="32" t="inlineStr">
        <is>
          <t xml:space="preserve">Earthquake - high (CA, Cascadia, New Madrid)</t>
        </is>
      </c>
      <c r="T353" s="36">
        <f>IF($A353="","",IF($S353="","",IFERROR(INDEX('[1]natural catastrophe'!$D$6:$D$17,MATCH($S353,'[1]natural catastrophe'!$B$6:$B$17,0)),"?")))</f>
      </c>
      <c r="U353" s="30" t="inlineStr">
        <is>
          <t xml:space="preserve">$5,000</t>
        </is>
      </c>
      <c r="V353" s="32" t="inlineStr">
        <is>
          <t xml:space="preserve">Agreed Value</t>
        </is>
      </c>
      <c r="W353" s="30" t="inlineStr">
        <is>
          <t xml:space="preserve">$1,000</t>
        </is>
      </c>
      <c r="X353" s="32" t="inlineStr">
        <is>
          <t xml:space="preserve">$1,000,000 CSL</t>
        </is>
      </c>
      <c r="Y353" s="30"/>
      <c r="Z353" s="30"/>
      <c r="AA353" s="32" t="inlineStr">
        <is>
          <t xml:space="preserve">Surplus Lines</t>
        </is>
      </c>
      <c r="AB353" s="35">
        <v>16207.99</v>
      </c>
      <c r="AC353" s="37">
        <v>0</v>
      </c>
      <c r="AD353" s="38">
        <f>IF(ISNUMBER($AB353),$AB353*(1+N($AC353)),"")</f>
      </c>
      <c r="AE353" s="35">
        <v>350</v>
      </c>
      <c r="AF353" s="35">
        <v>250</v>
      </c>
      <c r="AG353" s="37"/>
      <c r="AH353" s="39">
        <f>IF(ISNUMBER($AD353),($AD353+$AE353+$AF353)*$AG353,"")</f>
      </c>
      <c r="AI353" s="35"/>
      <c r="AJ353" s="38">
        <f>IF(ISNUMBER($AD353),SUM($AD353:$AH353),"")</f>
      </c>
      <c r="AK353" s="40">
        <f>IF(AND(ISNUMBER($AB353),ISNUMBER($AD353)),IF($AB353&gt;0,$AD353/$AB353,""),"")</f>
      </c>
      <c r="AL353" s="32" t="inlineStr">
        <is>
          <t xml:space="preserve">At technical</t>
        </is>
      </c>
      <c r="AM353" s="41">
        <f>IF(ISNUMBER($AD353),Header!$I$3,"")</f>
      </c>
      <c r="AN353" s="39">
        <f>IF(ISNUMBER($AD353),$AO353+$AP353,"")</f>
      </c>
      <c r="AO353" s="39">
        <f>IF(ISNUMBER($AD353),ROUND($AD353*Header!$K$3,2),"")</f>
      </c>
      <c r="AP353" s="39">
        <f>IF(ISNUMBER($AD353),ROUND($AD353*Header!$M$3,2),"")</f>
      </c>
      <c r="AQ353" s="38">
        <f>IF(ISNUMBER($AD353),ROUND($AD353,2)-$AO353-$AP353,"")</f>
      </c>
      <c r="AR353" s="39">
        <f>IF(ISNUMBER($AD353),IF(Header!$D$34="","?",$AD353*Header!$D$34),"")</f>
      </c>
      <c r="AS353" s="39">
        <f>IF(ISNUMBER($AB353),IF(Header!$D$34="","?",$AB353*Header!$D$34),"")</f>
      </c>
      <c r="AT353" s="42">
        <f>IF(AND(ISNUMBER($AB353),$M353&gt;0),$AB353/$M353*100,"")</f>
      </c>
      <c r="AU353" s="42">
        <f>IF(AND(ISNUMBER($AD353),$M353&gt;0),$AD353/$M353*100,"")</f>
      </c>
      <c r="AV353" s="40">
        <f>IF(AND(ISNUMBER($AB353),ISNUMBER($AD353),ABS($AB353)&gt;0),$AD353/$AB353,"")</f>
      </c>
      <c r="AW353" s="39">
        <f>IF(ISNUMBER($AD353),MAX(0,(1-0.55-Header!$O$3)*Header!$Q$3*$AQ353),"")</f>
      </c>
      <c r="AX353" s="43">
        <f>IF($A353="","",IF(TRIM(IF($A353="","Missing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",""))="","PASS","FAIL: "&amp;TRIM(IF($A353="","Missing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f>
      </c>
      <c r="AY353" s="44">
        <f>IF($M353="","",IF(ISNUMBER($M353),IF($M353&gt;=Header!$C$18,"YES — refer","No"),""))</f>
      </c>
      <c r="AZ353" s="44">
        <f>IF($AD353="","",IF(ISNUMBER($AD353),IF($AD353&lt;Header!$C$20,"BELOW MIN PREMIUM","OK"),""))</f>
      </c>
      <c r="BA353" s="32" t="inlineStr">
        <is>
          <t xml:space="preserve">Yes</t>
        </is>
      </c>
      <c r="BB353" s="32" t="inlineStr">
        <is>
          <t xml:space="preserve">Yes</t>
        </is>
      </c>
      <c r="BC353" s="30" t="inlineStr">
        <is>
          <t xml:space="preserve">Synthetic demo data</t>
        </is>
      </c>
      <c r="BE353" s="45">
        <f>IF(OR($A353="",$L353="",$H353=""),"",IF(AND(LEFT($L353,2)="06",$H353&gt;1945),"FAIL - pre-war class, year "&amp;$H353,IF(AND(LEFT($L353,2)="07",OR($H353&lt;1946,$H353&gt;1972)),"FAIL - 1946-72 class, year "&amp;$H353,IF(AND(LEFT($L353,2)="08",OR($H353&lt;1973,$H353&gt;1999)),"FAIL - 1973-99 class, year "&amp;$H353,IF(AND(LEFT($L353,2)="09",OR($H353&lt;2000,$H353&gt;2010)),"FAIL - 2000-10 class, year "&amp;$H353,"OK")))))</f>
      </c>
      <c r="BF353" s="45">
        <f>IF($AD353="","",IF(ROUND($AO353+$AP353+$AQ353-$AD353,2)=0,"OK","FAIL - out by "&amp;TEXT($AO353+$AP353+$AQ353-$AD353,"$0.00")))</f>
      </c>
    </row>
    <row r="354" spans="1:58" ht="18.75" customHeight="1" x14ac:dyDescent="0.25">
      <c r="A354" s="46" t="inlineStr">
        <is>
          <t xml:space="preserve">CANON-202606-008887</t>
        </is>
      </c>
      <c r="B354" s="46" t="inlineStr">
        <is>
          <t xml:space="preserve">Sunniva Okonkwo</t>
        </is>
      </c>
      <c r="C354" s="47">
        <v>46184</v>
      </c>
      <c r="D354" s="48" t="inlineStr">
        <is>
          <t xml:space="preserve">Bound - within authority</t>
        </is>
      </c>
      <c r="E354" s="48" t="inlineStr">
        <is>
          <t xml:space="preserve">New business</t>
        </is>
      </c>
      <c r="F354" s="46" t="inlineStr">
        <is>
          <t xml:space="preserve">B1234EXOTIC26</t>
        </is>
      </c>
      <c r="G354" s="33">
        <f>IF($A354="","",IF($C354="","",YEAR($C354)))</f>
      </c>
      <c r="H354" s="49">
        <v>1989</v>
      </c>
      <c r="I354" s="46" t="inlineStr">
        <is>
          <t xml:space="preserve">Aston Martin</t>
        </is>
      </c>
      <c r="J354" s="46" t="inlineStr">
        <is>
          <t xml:space="preserve">DB12</t>
        </is>
      </c>
      <c r="K354" s="46" t="inlineStr">
        <is>
          <t xml:space="preserve">HXYTRBFTDTLY95EJ6</t>
        </is>
      </c>
      <c r="L354" s="48" t="inlineStr">
        <is>
          <t xml:space="preserve">02 - Sports / GT</t>
        </is>
      </c>
      <c r="M354" s="50">
        <v>1020000</v>
      </c>
      <c r="N354" s="48" t="inlineStr">
        <is>
          <t xml:space="preserve">Personal</t>
        </is>
      </c>
      <c r="O354" s="46" t="inlineStr">
        <is>
          <t xml:space="preserve">Personal - regular use</t>
        </is>
      </c>
      <c r="P354" s="46" t="inlineStr">
        <is>
          <t xml:space="preserve">2,500 - 5,000</t>
        </is>
      </c>
      <c r="Q354" s="46" t="inlineStr">
        <is>
          <t xml:space="preserve">Michigan</t>
        </is>
      </c>
      <c r="R354" s="46" t="inlineStr">
        <is>
          <t xml:space="preserve">48226</t>
        </is>
      </c>
      <c r="S354" s="48" t="inlineStr">
        <is>
          <t xml:space="preserve">Severe convective - hail / tornado (moderate)</t>
        </is>
      </c>
      <c r="T354" s="36">
        <f>IF($A354="","",IF($S354="","",IFERROR(INDEX('[1]natural catastrophe'!$D$6:$D$17,MATCH($S354,'[1]natural catastrophe'!$B$6:$B$17,0)),"?")))</f>
      </c>
      <c r="U354" s="46" t="inlineStr">
        <is>
          <t xml:space="preserve">$5,000</t>
        </is>
      </c>
      <c r="V354" s="48" t="inlineStr">
        <is>
          <t xml:space="preserve">Agreed Value</t>
        </is>
      </c>
      <c r="W354" s="46" t="inlineStr">
        <is>
          <t xml:space="preserve">$1,000</t>
        </is>
      </c>
      <c r="X354" s="48" t="inlineStr">
        <is>
          <t xml:space="preserve">$1,000,000 CSL</t>
        </is>
      </c>
      <c r="Y354" s="46"/>
      <c r="Z354" s="46"/>
      <c r="AA354" s="48" t="inlineStr">
        <is>
          <t xml:space="preserve">Surplus Lines</t>
        </is>
      </c>
      <c r="AB354" s="50">
        <v>12547.77</v>
      </c>
      <c r="AC354" s="51">
        <v>0</v>
      </c>
      <c r="AD354" s="38">
        <f>IF(ISNUMBER($AB354),$AB354*(1+N($AC354)),"")</f>
      </c>
      <c r="AE354" s="50">
        <v>350</v>
      </c>
      <c r="AF354" s="50">
        <v>250</v>
      </c>
      <c r="AG354" s="51"/>
      <c r="AH354" s="39">
        <f>IF(ISNUMBER($AD354),($AD354+$AE354+$AF354)*$AG354,"")</f>
      </c>
      <c r="AI354" s="50"/>
      <c r="AJ354" s="38">
        <f>IF(ISNUMBER($AD354),SUM($AD354:$AH354),"")</f>
      </c>
      <c r="AK354" s="40">
        <f>IF(AND(ISNUMBER($AB354),ISNUMBER($AD354)),IF($AB354&gt;0,$AD354/$AB354,""),"")</f>
      </c>
      <c r="AL354" s="48" t="inlineStr">
        <is>
          <t xml:space="preserve">At technical</t>
        </is>
      </c>
      <c r="AM354" s="41">
        <f>IF(ISNUMBER($AD354),Header!$I$3,"")</f>
      </c>
      <c r="AN354" s="39">
        <f>IF(ISNUMBER($AD354),$AO354+$AP354,"")</f>
      </c>
      <c r="AO354" s="39">
        <f>IF(ISNUMBER($AD354),ROUND($AD354*Header!$K$3,2),"")</f>
      </c>
      <c r="AP354" s="39">
        <f>IF(ISNUMBER($AD354),ROUND($AD354*Header!$M$3,2),"")</f>
      </c>
      <c r="AQ354" s="38">
        <f>IF(ISNUMBER($AD354),ROUND($AD354,2)-$AO354-$AP354,"")</f>
      </c>
      <c r="AR354" s="39">
        <f>IF(ISNUMBER($AD354),IF(Header!$D$34="","?",$AD354*Header!$D$34),"")</f>
      </c>
      <c r="AS354" s="39">
        <f>IF(ISNUMBER($AB354),IF(Header!$D$34="","?",$AB354*Header!$D$34),"")</f>
      </c>
      <c r="AT354" s="42">
        <f>IF(AND(ISNUMBER($AB354),$M354&gt;0),$AB354/$M354*100,"")</f>
      </c>
      <c r="AU354" s="42">
        <f>IF(AND(ISNUMBER($AD354),$M354&gt;0),$AD354/$M354*100,"")</f>
      </c>
      <c r="AV354" s="40">
        <f>IF(AND(ISNUMBER($AB354),ISNUMBER($AD354),ABS($AB354)&gt;0),$AD354/$AB354,"")</f>
      </c>
      <c r="AW354" s="39">
        <f>IF(ISNUMBER($AD354),MAX(0,(1-0.55-Header!$O$3)*Header!$Q$3*$AQ354),"")</f>
      </c>
      <c r="AX354" s="43">
        <f>IF($A354="","",IF(TRIM(IF($A354="","Missing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",""))="","PASS","FAIL: "&amp;TRIM(IF($A354="","Missing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f>
      </c>
      <c r="AY354" s="44">
        <f>IF($M354="","",IF(ISNUMBER($M354),IF($M354&gt;=Header!$C$18,"YES — refer","No"),""))</f>
      </c>
      <c r="AZ354" s="44">
        <f>IF($AD354="","",IF(ISNUMBER($AD354),IF($AD354&lt;Header!$C$20,"BELOW MIN PREMIUM","OK"),""))</f>
      </c>
      <c r="BA354" s="48" t="inlineStr">
        <is>
          <t xml:space="preserve">Yes</t>
        </is>
      </c>
      <c r="BB354" s="48" t="inlineStr">
        <is>
          <t xml:space="preserve">Yes</t>
        </is>
      </c>
      <c r="BC354" s="46" t="inlineStr">
        <is>
          <t xml:space="preserve">Synthetic demo data</t>
        </is>
      </c>
      <c r="BE354" s="45">
        <f>IF(OR($A354="",$L354="",$H354=""),"",IF(AND(LEFT($L354,2)="06",$H354&gt;1945),"FAIL - pre-war class, year "&amp;$H354,IF(AND(LEFT($L354,2)="07",OR($H354&lt;1946,$H354&gt;1972)),"FAIL - 1946-72 class, year "&amp;$H354,IF(AND(LEFT($L354,2)="08",OR($H354&lt;1973,$H354&gt;1999)),"FAIL - 1973-99 class, year "&amp;$H354,IF(AND(LEFT($L354,2)="09",OR($H354&lt;2000,$H354&gt;2010)),"FAIL - 2000-10 class, year "&amp;$H354,"OK")))))</f>
      </c>
      <c r="BF354" s="45">
        <f>IF($AD354="","",IF(ROUND($AO354+$AP354+$AQ354-$AD354,2)=0,"OK","FAIL - out by "&amp;TEXT($AO354+$AP354+$AQ354-$AD354,"$0.00")))</f>
      </c>
    </row>
    <row r="355" spans="1:58" ht="18.75" customHeight="1" x14ac:dyDescent="0.25">
      <c r="A355" s="30" t="inlineStr">
        <is>
          <t xml:space="preserve">CANON-202606-008888</t>
        </is>
      </c>
      <c r="B355" s="30" t="inlineStr">
        <is>
          <t xml:space="preserve">Leopold Delacroix</t>
        </is>
      </c>
      <c r="C355" s="31">
        <v>46201</v>
      </c>
      <c r="D355" s="32" t="inlineStr">
        <is>
          <t xml:space="preserve">Bound - within authority</t>
        </is>
      </c>
      <c r="E355" s="32" t="inlineStr">
        <is>
          <t xml:space="preserve">New business</t>
        </is>
      </c>
      <c r="F355" s="30" t="inlineStr">
        <is>
          <t xml:space="preserve">B1234EXOTIC26</t>
        </is>
      </c>
      <c r="G355" s="33">
        <f>IF($A355="","",IF($C355="","",YEAR($C355)))</f>
      </c>
      <c r="H355" s="34">
        <v>2015</v>
      </c>
      <c r="I355" s="30" t="inlineStr">
        <is>
          <t xml:space="preserve">Ferrari</t>
        </is>
      </c>
      <c r="J355" s="30" t="inlineStr">
        <is>
          <t xml:space="preserve">275 GTB/4</t>
        </is>
      </c>
      <c r="K355" s="30" t="inlineStr">
        <is>
          <t xml:space="preserve">4NEF02K4MRPMS715U</t>
        </is>
      </c>
      <c r="L355" s="32" t="inlineStr">
        <is>
          <t xml:space="preserve">02 - Sports / GT</t>
        </is>
      </c>
      <c r="M355" s="35">
        <v>350000</v>
      </c>
      <c r="N355" s="32" t="inlineStr">
        <is>
          <t xml:space="preserve">Personal</t>
        </is>
      </c>
      <c r="O355" s="30" t="inlineStr">
        <is>
          <t xml:space="preserve">Personal - regular use</t>
        </is>
      </c>
      <c r="P355" s="30" t="inlineStr">
        <is>
          <t xml:space="preserve">Under 1,000</t>
        </is>
      </c>
      <c r="Q355" s="30" t="inlineStr">
        <is>
          <t xml:space="preserve">Georgia</t>
        </is>
      </c>
      <c r="R355" s="30" t="inlineStr">
        <is>
          <t xml:space="preserve">30303</t>
        </is>
      </c>
      <c r="S355" s="32" t="inlineStr">
        <is>
          <t xml:space="preserve">Tier 2 - Coastal wind (1-25 miles)</t>
        </is>
      </c>
      <c r="T355" s="36">
        <f>IF($A355="","",IF($S355="","",IFERROR(INDEX('[1]natural catastrophe'!$D$6:$D$17,MATCH($S355,'[1]natural catastrophe'!$B$6:$B$17,0)),"?")))</f>
      </c>
      <c r="U355" s="30" t="inlineStr">
        <is>
          <t xml:space="preserve">2% of agreed value, minimum $10,000</t>
        </is>
      </c>
      <c r="V355" s="32" t="inlineStr">
        <is>
          <t xml:space="preserve">Agreed Value</t>
        </is>
      </c>
      <c r="W355" s="30" t="inlineStr">
        <is>
          <t xml:space="preserve">$1,000</t>
        </is>
      </c>
      <c r="X355" s="32" t="inlineStr">
        <is>
          <t xml:space="preserve">$1,000,000 CSL</t>
        </is>
      </c>
      <c r="Y355" s="30"/>
      <c r="Z355" s="30"/>
      <c r="AA355" s="32" t="inlineStr">
        <is>
          <t xml:space="preserve">Surplus Lines</t>
        </is>
      </c>
      <c r="AB355" s="35">
        <v>2715.19</v>
      </c>
      <c r="AC355" s="37">
        <v>0</v>
      </c>
      <c r="AD355" s="38">
        <f>IF(ISNUMBER($AB355),$AB355*(1+N($AC355)),"")</f>
      </c>
      <c r="AE355" s="35">
        <v>350</v>
      </c>
      <c r="AF355" s="35">
        <v>0</v>
      </c>
      <c r="AG355" s="37"/>
      <c r="AH355" s="39">
        <f>IF(ISNUMBER($AD355),($AD355+$AE355+$AF355)*$AG355,"")</f>
      </c>
      <c r="AI355" s="35"/>
      <c r="AJ355" s="38">
        <f>IF(ISNUMBER($AD355),SUM($AD355:$AH355),"")</f>
      </c>
      <c r="AK355" s="40">
        <f>IF(AND(ISNUMBER($AB355),ISNUMBER($AD355)),IF($AB355&gt;0,$AD355/$AB355,""),"")</f>
      </c>
      <c r="AL355" s="32" t="inlineStr">
        <is>
          <t xml:space="preserve">At technical</t>
        </is>
      </c>
      <c r="AM355" s="41">
        <f>IF(ISNUMBER($AD355),Header!$I$3,"")</f>
      </c>
      <c r="AN355" s="39">
        <f>IF(ISNUMBER($AD355),$AO355+$AP355,"")</f>
      </c>
      <c r="AO355" s="39">
        <f>IF(ISNUMBER($AD355),ROUND($AD355*Header!$K$3,2),"")</f>
      </c>
      <c r="AP355" s="39">
        <f>IF(ISNUMBER($AD355),ROUND($AD355*Header!$M$3,2),"")</f>
      </c>
      <c r="AQ355" s="38">
        <f>IF(ISNUMBER($AD355),ROUND($AD355,2)-$AO355-$AP355,"")</f>
      </c>
      <c r="AR355" s="39">
        <f>IF(ISNUMBER($AD355),IF(Header!$D$34="","?",$AD355*Header!$D$34),"")</f>
      </c>
      <c r="AS355" s="39">
        <f>IF(ISNUMBER($AB355),IF(Header!$D$34="","?",$AB355*Header!$D$34),"")</f>
      </c>
      <c r="AT355" s="42">
        <f>IF(AND(ISNUMBER($AB355),$M355&gt;0),$AB355/$M355*100,"")</f>
      </c>
      <c r="AU355" s="42">
        <f>IF(AND(ISNUMBER($AD355),$M355&gt;0),$AD355/$M355*100,"")</f>
      </c>
      <c r="AV355" s="40">
        <f>IF(AND(ISNUMBER($AB355),ISNUMBER($AD355),ABS($AB355)&gt;0),$AD355/$AB355,"")</f>
      </c>
      <c r="AW355" s="39">
        <f>IF(ISNUMBER($AD355),MAX(0,(1-0.55-Header!$O$3)*Header!$Q$3*$AQ355),"")</f>
      </c>
      <c r="AX355" s="43">
        <f>IF($A355="","",IF(TRIM(IF($A355="","Missing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",""))="","PASS","FAIL: "&amp;TRIM(IF($A355="","Missing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f>
      </c>
      <c r="AY355" s="44">
        <f>IF($M355="","",IF(ISNUMBER($M355),IF($M355&gt;=Header!$C$18,"YES — refer","No"),""))</f>
      </c>
      <c r="AZ355" s="44">
        <f>IF($AD355="","",IF(ISNUMBER($AD355),IF($AD355&lt;Header!$C$20,"BELOW MIN PREMIUM","OK"),""))</f>
      </c>
      <c r="BA355" s="32" t="inlineStr">
        <is>
          <t xml:space="preserve">Yes</t>
        </is>
      </c>
      <c r="BB355" s="32" t="inlineStr">
        <is>
          <t xml:space="preserve">Yes</t>
        </is>
      </c>
      <c r="BC355" s="30" t="inlineStr">
        <is>
          <t xml:space="preserve">Synthetic demo data</t>
        </is>
      </c>
      <c r="BE355" s="45">
        <f>IF(OR($A355="",$L355="",$H355=""),"",IF(AND(LEFT($L355,2)="06",$H355&gt;1945),"FAIL - pre-war class, year "&amp;$H355,IF(AND(LEFT($L355,2)="07",OR($H355&lt;1946,$H355&gt;1972)),"FAIL - 1946-72 class, year "&amp;$H355,IF(AND(LEFT($L355,2)="08",OR($H355&lt;1973,$H355&gt;1999)),"FAIL - 1973-99 class, year "&amp;$H355,IF(AND(LEFT($L355,2)="09",OR($H355&lt;2000,$H355&gt;2010)),"FAIL - 2000-10 class, year "&amp;$H355,"OK")))))</f>
      </c>
      <c r="BF355" s="45">
        <f>IF($AD355="","",IF(ROUND($AO355+$AP355+$AQ355-$AD355,2)=0,"OK","FAIL - out by "&amp;TEXT($AO355+$AP355+$AQ355-$AD355,"$0.00")))</f>
      </c>
    </row>
    <row r="356" spans="1:58" ht="18.75" customHeight="1" x14ac:dyDescent="0.25">
      <c r="A356" s="46" t="inlineStr">
        <is>
          <t xml:space="preserve">CANON-202606-008889</t>
        </is>
      </c>
      <c r="B356" s="46" t="inlineStr">
        <is>
          <t xml:space="preserve">Callum Montoya</t>
        </is>
      </c>
      <c r="C356" s="47">
        <v>46181</v>
      </c>
      <c r="D356" s="48" t="inlineStr">
        <is>
          <t xml:space="preserve">Bound - within authority</t>
        </is>
      </c>
      <c r="E356" s="48" t="inlineStr">
        <is>
          <t xml:space="preserve">New business</t>
        </is>
      </c>
      <c r="F356" s="46" t="inlineStr">
        <is>
          <t xml:space="preserve">B1234EXOTIC26</t>
        </is>
      </c>
      <c r="G356" s="33">
        <f>IF($A356="","",IF($C356="","",YEAR($C356)))</f>
      </c>
      <c r="H356" s="49">
        <v>1970</v>
      </c>
      <c r="I356" s="46" t="inlineStr">
        <is>
          <t xml:space="preserve">Jaguar</t>
        </is>
      </c>
      <c r="J356" s="46" t="inlineStr">
        <is>
          <t xml:space="preserve">E-Type Series 1</t>
        </is>
      </c>
      <c r="K356" s="46" t="inlineStr">
        <is>
          <t xml:space="preserve">FPRMWVTVZJCM9UMD8</t>
        </is>
      </c>
      <c r="L356" s="48" t="inlineStr">
        <is>
          <t xml:space="preserve">07 - Post-War Classic (1946-1972)</t>
        </is>
      </c>
      <c r="M356" s="50">
        <v>570000</v>
      </c>
      <c r="N356" s="48" t="inlineStr">
        <is>
          <t xml:space="preserve">Personal</t>
        </is>
      </c>
      <c r="O356" s="46" t="inlineStr">
        <is>
          <t xml:space="preserve">Personal - regular use</t>
        </is>
      </c>
      <c r="P356" s="46" t="inlineStr">
        <is>
          <t xml:space="preserve">1,000 - 2,500</t>
        </is>
      </c>
      <c r="Q356" s="46" t="inlineStr">
        <is>
          <t xml:space="preserve">Arizona</t>
        </is>
      </c>
      <c r="R356" s="46" t="inlineStr">
        <is>
          <t xml:space="preserve">85001</t>
        </is>
      </c>
      <c r="S356" s="48" t="inlineStr">
        <is>
          <t xml:space="preserve">Wildfire - WUI high hazard</t>
        </is>
      </c>
      <c r="T356" s="36">
        <f>IF($A356="","",IF($S356="","",IFERROR(INDEX('[1]natural catastrophe'!$D$6:$D$17,MATCH($S356,'[1]natural catastrophe'!$B$6:$B$17,0)),"?")))</f>
      </c>
      <c r="U356" s="46" t="inlineStr">
        <is>
          <t xml:space="preserve">$5,000</t>
        </is>
      </c>
      <c r="V356" s="48" t="inlineStr">
        <is>
          <t xml:space="preserve">Agreed Value</t>
        </is>
      </c>
      <c r="W356" s="46" t="inlineStr">
        <is>
          <t xml:space="preserve">$1,000</t>
        </is>
      </c>
      <c r="X356" s="48" t="inlineStr">
        <is>
          <t xml:space="preserve">$1,000,000 CSL</t>
        </is>
      </c>
      <c r="Y356" s="46"/>
      <c r="Z356" s="46"/>
      <c r="AA356" s="48" t="inlineStr">
        <is>
          <t xml:space="preserve">Surplus Lines</t>
        </is>
      </c>
      <c r="AB356" s="50">
        <v>3572.2</v>
      </c>
      <c r="AC356" s="51">
        <v>0</v>
      </c>
      <c r="AD356" s="38">
        <f>IF(ISNUMBER($AB356),$AB356*(1+N($AC356)),"")</f>
      </c>
      <c r="AE356" s="50">
        <v>350</v>
      </c>
      <c r="AF356" s="50">
        <v>0</v>
      </c>
      <c r="AG356" s="51"/>
      <c r="AH356" s="39">
        <f>IF(ISNUMBER($AD356),($AD356+$AE356+$AF356)*$AG356,"")</f>
      </c>
      <c r="AI356" s="50"/>
      <c r="AJ356" s="38">
        <f>IF(ISNUMBER($AD356),SUM($AD356:$AH356),"")</f>
      </c>
      <c r="AK356" s="40">
        <f>IF(AND(ISNUMBER($AB356),ISNUMBER($AD356)),IF($AB356&gt;0,$AD356/$AB356,""),"")</f>
      </c>
      <c r="AL356" s="48" t="inlineStr">
        <is>
          <t xml:space="preserve">At technical</t>
        </is>
      </c>
      <c r="AM356" s="41">
        <f>IF(ISNUMBER($AD356),Header!$I$3,"")</f>
      </c>
      <c r="AN356" s="39">
        <f>IF(ISNUMBER($AD356),$AO356+$AP356,"")</f>
      </c>
      <c r="AO356" s="39">
        <f>IF(ISNUMBER($AD356),ROUND($AD356*Header!$K$3,2),"")</f>
      </c>
      <c r="AP356" s="39">
        <f>IF(ISNUMBER($AD356),ROUND($AD356*Header!$M$3,2),"")</f>
      </c>
      <c r="AQ356" s="38">
        <f>IF(ISNUMBER($AD356),ROUND($AD356,2)-$AO356-$AP356,"")</f>
      </c>
      <c r="AR356" s="39">
        <f>IF(ISNUMBER($AD356),IF(Header!$D$34="","?",$AD356*Header!$D$34),"")</f>
      </c>
      <c r="AS356" s="39">
        <f>IF(ISNUMBER($AB356),IF(Header!$D$34="","?",$AB356*Header!$D$34),"")</f>
      </c>
      <c r="AT356" s="42">
        <f>IF(AND(ISNUMBER($AB356),$M356&gt;0),$AB356/$M356*100,"")</f>
      </c>
      <c r="AU356" s="42">
        <f>IF(AND(ISNUMBER($AD356),$M356&gt;0),$AD356/$M356*100,"")</f>
      </c>
      <c r="AV356" s="40">
        <f>IF(AND(ISNUMBER($AB356),ISNUMBER($AD356),ABS($AB356)&gt;0),$AD356/$AB356,"")</f>
      </c>
      <c r="AW356" s="39">
        <f>IF(ISNUMBER($AD356),MAX(0,(1-0.55-Header!$O$3)*Header!$Q$3*$AQ356),"")</f>
      </c>
      <c r="AX356" s="43">
        <f>IF($A356="","",IF(TRIM(IF($A356="","Missing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",""))="","PASS","FAIL: "&amp;TRIM(IF($A356="","Missing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f>
      </c>
      <c r="AY356" s="44">
        <f>IF($M356="","",IF(ISNUMBER($M356),IF($M356&gt;=Header!$C$18,"YES — refer","No"),""))</f>
      </c>
      <c r="AZ356" s="44">
        <f>IF($AD356="","",IF(ISNUMBER($AD356),IF($AD356&lt;Header!$C$20,"BELOW MIN PREMIUM","OK"),""))</f>
      </c>
      <c r="BA356" s="48" t="inlineStr">
        <is>
          <t xml:space="preserve">Yes</t>
        </is>
      </c>
      <c r="BB356" s="48" t="inlineStr">
        <is>
          <t xml:space="preserve">Yes</t>
        </is>
      </c>
      <c r="BC356" s="46" t="inlineStr">
        <is>
          <t xml:space="preserve">Synthetic demo data</t>
        </is>
      </c>
      <c r="BE356" s="45">
        <f>IF(OR($A356="",$L356="",$H356=""),"",IF(AND(LEFT($L356,2)="06",$H356&gt;1945),"FAIL - pre-war class, year "&amp;$H356,IF(AND(LEFT($L356,2)="07",OR($H356&lt;1946,$H356&gt;1972)),"FAIL - 1946-72 class, year "&amp;$H356,IF(AND(LEFT($L356,2)="08",OR($H356&lt;1973,$H356&gt;1999)),"FAIL - 1973-99 class, year "&amp;$H356,IF(AND(LEFT($L356,2)="09",OR($H356&lt;2000,$H356&gt;2010)),"FAIL - 2000-10 class, year "&amp;$H356,"OK")))))</f>
      </c>
      <c r="BF356" s="45">
        <f>IF($AD356="","",IF(ROUND($AO356+$AP356+$AQ356-$AD356,2)=0,"OK","FAIL - out by "&amp;TEXT($AO356+$AP356+$AQ356-$AD356,"$0.00")))</f>
      </c>
    </row>
    <row r="357" spans="1:58" ht="18.75" customHeight="1" x14ac:dyDescent="0.25">
      <c r="A357" s="30" t="inlineStr">
        <is>
          <t xml:space="preserve">CANON-202606-008890</t>
        </is>
      </c>
      <c r="B357" s="30" t="inlineStr">
        <is>
          <t xml:space="preserve">Ottilie Thistlewood</t>
        </is>
      </c>
      <c r="C357" s="31">
        <v>46182</v>
      </c>
      <c r="D357" s="32" t="inlineStr">
        <is>
          <t xml:space="preserve">Bound - within authority</t>
        </is>
      </c>
      <c r="E357" s="32" t="inlineStr">
        <is>
          <t xml:space="preserve">New business</t>
        </is>
      </c>
      <c r="F357" s="30" t="inlineStr">
        <is>
          <t xml:space="preserve">B1234EXOTIC26</t>
        </is>
      </c>
      <c r="G357" s="33">
        <f>IF($A357="","",IF($C357="","",YEAR($C357)))</f>
      </c>
      <c r="H357" s="34">
        <v>1981</v>
      </c>
      <c r="I357" s="30" t="inlineStr">
        <is>
          <t xml:space="preserve">BMW</t>
        </is>
      </c>
      <c r="J357" s="30" t="inlineStr">
        <is>
          <t xml:space="preserve">M8 Competition</t>
        </is>
      </c>
      <c r="K357" s="30" t="inlineStr">
        <is>
          <t xml:space="preserve">PUJF9TYMKL4WKTXKN</t>
        </is>
      </c>
      <c r="L357" s="32" t="inlineStr">
        <is>
          <t xml:space="preserve">02 - Sports / GT</t>
        </is>
      </c>
      <c r="M357" s="35">
        <v>515000</v>
      </c>
      <c r="N357" s="32" t="inlineStr">
        <is>
          <t xml:space="preserve">Personal</t>
        </is>
      </c>
      <c r="O357" s="30" t="inlineStr">
        <is>
          <t xml:space="preserve">Personal - regular use</t>
        </is>
      </c>
      <c r="P357" s="30" t="inlineStr">
        <is>
          <t xml:space="preserve">2,500 - 5,000</t>
        </is>
      </c>
      <c r="Q357" s="30" t="inlineStr">
        <is>
          <t xml:space="preserve">Oregon</t>
        </is>
      </c>
      <c r="R357" s="30" t="inlineStr">
        <is>
          <t xml:space="preserve">97204</t>
        </is>
      </c>
      <c r="S357" s="32" t="inlineStr">
        <is>
          <t xml:space="preserve">Earthquake - high (CA, Cascadia, New Madrid)</t>
        </is>
      </c>
      <c r="T357" s="36">
        <f>IF($A357="","",IF($S357="","",IFERROR(INDEX('[1]natural catastrophe'!$D$6:$D$17,MATCH($S357,'[1]natural catastrophe'!$B$6:$B$17,0)),"?")))</f>
      </c>
      <c r="U357" s="30" t="inlineStr">
        <is>
          <t xml:space="preserve">$5,000</t>
        </is>
      </c>
      <c r="V357" s="32" t="inlineStr">
        <is>
          <t xml:space="preserve">Agreed Value</t>
        </is>
      </c>
      <c r="W357" s="30" t="inlineStr">
        <is>
          <t xml:space="preserve">$1,000</t>
        </is>
      </c>
      <c r="X357" s="32" t="inlineStr">
        <is>
          <t xml:space="preserve">$1,000,000 CSL</t>
        </is>
      </c>
      <c r="Y357" s="30"/>
      <c r="Z357" s="30"/>
      <c r="AA357" s="32" t="inlineStr">
        <is>
          <t xml:space="preserve">Surplus Lines</t>
        </is>
      </c>
      <c r="AB357" s="35">
        <v>5458.47</v>
      </c>
      <c r="AC357" s="37">
        <v>0</v>
      </c>
      <c r="AD357" s="38">
        <f>IF(ISNUMBER($AB357),$AB357*(1+N($AC357)),"")</f>
      </c>
      <c r="AE357" s="35">
        <v>350</v>
      </c>
      <c r="AF357" s="35">
        <v>0</v>
      </c>
      <c r="AG357" s="37"/>
      <c r="AH357" s="39">
        <f>IF(ISNUMBER($AD357),($AD357+$AE357+$AF357)*$AG357,"")</f>
      </c>
      <c r="AI357" s="35"/>
      <c r="AJ357" s="38">
        <f>IF(ISNUMBER($AD357),SUM($AD357:$AH357),"")</f>
      </c>
      <c r="AK357" s="40">
        <f>IF(AND(ISNUMBER($AB357),ISNUMBER($AD357)),IF($AB357&gt;0,$AD357/$AB357,""),"")</f>
      </c>
      <c r="AL357" s="32" t="inlineStr">
        <is>
          <t xml:space="preserve">At technical</t>
        </is>
      </c>
      <c r="AM357" s="41">
        <f>IF(ISNUMBER($AD357),Header!$I$3,"")</f>
      </c>
      <c r="AN357" s="39">
        <f>IF(ISNUMBER($AD357),$AO357+$AP357,"")</f>
      </c>
      <c r="AO357" s="39">
        <f>IF(ISNUMBER($AD357),ROUND($AD357*Header!$K$3,2),"")</f>
      </c>
      <c r="AP357" s="39">
        <f>IF(ISNUMBER($AD357),ROUND($AD357*Header!$M$3,2),"")</f>
      </c>
      <c r="AQ357" s="38">
        <f>IF(ISNUMBER($AD357),ROUND($AD357,2)-$AO357-$AP357,"")</f>
      </c>
      <c r="AR357" s="39">
        <f>IF(ISNUMBER($AD357),IF(Header!$D$34="","?",$AD357*Header!$D$34),"")</f>
      </c>
      <c r="AS357" s="39">
        <f>IF(ISNUMBER($AB357),IF(Header!$D$34="","?",$AB357*Header!$D$34),"")</f>
      </c>
      <c r="AT357" s="42">
        <f>IF(AND(ISNUMBER($AB357),$M357&gt;0),$AB357/$M357*100,"")</f>
      </c>
      <c r="AU357" s="42">
        <f>IF(AND(ISNUMBER($AD357),$M357&gt;0),$AD357/$M357*100,"")</f>
      </c>
      <c r="AV357" s="40">
        <f>IF(AND(ISNUMBER($AB357),ISNUMBER($AD357),ABS($AB357)&gt;0),$AD357/$AB357,"")</f>
      </c>
      <c r="AW357" s="39">
        <f>IF(ISNUMBER($AD357),MAX(0,(1-0.55-Header!$O$3)*Header!$Q$3*$AQ357),"")</f>
      </c>
      <c r="AX357" s="43">
        <f>IF($A357="","",IF(TRIM(IF($A357="","Missing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",""))="","PASS","FAIL: "&amp;TRIM(IF($A357="","Missing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f>
      </c>
      <c r="AY357" s="44">
        <f>IF($M357="","",IF(ISNUMBER($M357),IF($M357&gt;=Header!$C$18,"YES — refer","No"),""))</f>
      </c>
      <c r="AZ357" s="44">
        <f>IF($AD357="","",IF(ISNUMBER($AD357),IF($AD357&lt;Header!$C$20,"BELOW MIN PREMIUM","OK"),""))</f>
      </c>
      <c r="BA357" s="32" t="inlineStr">
        <is>
          <t xml:space="preserve">Yes</t>
        </is>
      </c>
      <c r="BB357" s="32" t="inlineStr">
        <is>
          <t xml:space="preserve">Yes</t>
        </is>
      </c>
      <c r="BC357" s="30" t="inlineStr">
        <is>
          <t xml:space="preserve">Synthetic demo data</t>
        </is>
      </c>
      <c r="BE357" s="45">
        <f>IF(OR($A357="",$L357="",$H357=""),"",IF(AND(LEFT($L357,2)="06",$H357&gt;1945),"FAIL - pre-war class, year "&amp;$H357,IF(AND(LEFT($L357,2)="07",OR($H357&lt;1946,$H357&gt;1972)),"FAIL - 1946-72 class, year "&amp;$H357,IF(AND(LEFT($L357,2)="08",OR($H357&lt;1973,$H357&gt;1999)),"FAIL - 1973-99 class, year "&amp;$H357,IF(AND(LEFT($L357,2)="09",OR($H357&lt;2000,$H357&gt;2010)),"FAIL - 2000-10 class, year "&amp;$H357,"OK")))))</f>
      </c>
      <c r="BF357" s="45">
        <f>IF($AD357="","",IF(ROUND($AO357+$AP357+$AQ357-$AD357,2)=0,"OK","FAIL - out by "&amp;TEXT($AO357+$AP357+$AQ357-$AD357,"$0.00")))</f>
      </c>
    </row>
    <row r="358" spans="1:58" ht="18.75" customHeight="1" x14ac:dyDescent="0.25">
      <c r="A358" s="46" t="inlineStr">
        <is>
          <t xml:space="preserve">CANON-202606-008892</t>
        </is>
      </c>
      <c r="B358" s="46" t="inlineStr">
        <is>
          <t xml:space="preserve">Aurelio Chattopadhyay</t>
        </is>
      </c>
      <c r="C358" s="47">
        <v>46177</v>
      </c>
      <c r="D358" s="48" t="inlineStr">
        <is>
          <t xml:space="preserve">Bound - within authority</t>
        </is>
      </c>
      <c r="E358" s="48" t="inlineStr">
        <is>
          <t xml:space="preserve">New business</t>
        </is>
      </c>
      <c r="F358" s="46" t="inlineStr">
        <is>
          <t xml:space="preserve">B1234EXOTIC26</t>
        </is>
      </c>
      <c r="G358" s="33">
        <f>IF($A358="","",IF($C358="","",YEAR($C358)))</f>
      </c>
      <c r="H358" s="49">
        <v>2015</v>
      </c>
      <c r="I358" s="46" t="inlineStr">
        <is>
          <t xml:space="preserve">Bentley</t>
        </is>
      </c>
      <c r="J358" s="46" t="inlineStr">
        <is>
          <t xml:space="preserve">Continental GT</t>
        </is>
      </c>
      <c r="K358" s="46" t="inlineStr">
        <is>
          <t xml:space="preserve">B9KB9E33Z80AHX19R</t>
        </is>
      </c>
      <c r="L358" s="48" t="inlineStr">
        <is>
          <t xml:space="preserve">02 - Sports / GT</t>
        </is>
      </c>
      <c r="M358" s="50">
        <v>555000</v>
      </c>
      <c r="N358" s="48" t="inlineStr">
        <is>
          <t xml:space="preserve">Personal</t>
        </is>
      </c>
      <c r="O358" s="46" t="inlineStr">
        <is>
          <t xml:space="preserve">Personal - regular use</t>
        </is>
      </c>
      <c r="P358" s="46" t="inlineStr">
        <is>
          <t xml:space="preserve">2,500 - 5,000</t>
        </is>
      </c>
      <c r="Q358" s="46" t="inlineStr">
        <is>
          <t xml:space="preserve">Maine</t>
        </is>
      </c>
      <c r="R358" s="46" t="inlineStr">
        <is>
          <t xml:space="preserve">04101</t>
        </is>
      </c>
      <c r="S358" s="48" t="inlineStr">
        <is>
          <t xml:space="preserve">Tier 3 - Coastal wind (25-100 miles)</t>
        </is>
      </c>
      <c r="T358" s="36">
        <f>IF($A358="","",IF($S358="","",IFERROR(INDEX('[1]natural catastrophe'!$D$6:$D$17,MATCH($S358,'[1]natural catastrophe'!$B$6:$B$17,0)),"?")))</f>
      </c>
      <c r="U358" s="46" t="inlineStr">
        <is>
          <t xml:space="preserve">2% of agreed value, minimum $10,000</t>
        </is>
      </c>
      <c r="V358" s="48" t="inlineStr">
        <is>
          <t xml:space="preserve">Agreed Value</t>
        </is>
      </c>
      <c r="W358" s="46" t="inlineStr">
        <is>
          <t xml:space="preserve">$1,000</t>
        </is>
      </c>
      <c r="X358" s="48" t="inlineStr">
        <is>
          <t xml:space="preserve">$1,000,000 CSL</t>
        </is>
      </c>
      <c r="Y358" s="46"/>
      <c r="Z358" s="46"/>
      <c r="AA358" s="48" t="inlineStr">
        <is>
          <t xml:space="preserve">Surplus Lines</t>
        </is>
      </c>
      <c r="AB358" s="50">
        <v>5622.14</v>
      </c>
      <c r="AC358" s="51">
        <v>0</v>
      </c>
      <c r="AD358" s="38">
        <f>IF(ISNUMBER($AB358),$AB358*(1+N($AC358)),"")</f>
      </c>
      <c r="AE358" s="50">
        <v>350</v>
      </c>
      <c r="AF358" s="50">
        <v>0</v>
      </c>
      <c r="AG358" s="51"/>
      <c r="AH358" s="39">
        <f>IF(ISNUMBER($AD358),($AD358+$AE358+$AF358)*$AG358,"")</f>
      </c>
      <c r="AI358" s="50"/>
      <c r="AJ358" s="38">
        <f>IF(ISNUMBER($AD358),SUM($AD358:$AH358),"")</f>
      </c>
      <c r="AK358" s="40">
        <f>IF(AND(ISNUMBER($AB358),ISNUMBER($AD358)),IF($AB358&gt;0,$AD358/$AB358,""),"")</f>
      </c>
      <c r="AL358" s="48" t="inlineStr">
        <is>
          <t xml:space="preserve">At technical</t>
        </is>
      </c>
      <c r="AM358" s="41">
        <f>IF(ISNUMBER($AD358),Header!$I$3,"")</f>
      </c>
      <c r="AN358" s="39">
        <f>IF(ISNUMBER($AD358),$AO358+$AP358,"")</f>
      </c>
      <c r="AO358" s="39">
        <f>IF(ISNUMBER($AD358),ROUND($AD358*Header!$K$3,2),"")</f>
      </c>
      <c r="AP358" s="39">
        <f>IF(ISNUMBER($AD358),ROUND($AD358*Header!$M$3,2),"")</f>
      </c>
      <c r="AQ358" s="38">
        <f>IF(ISNUMBER($AD358),ROUND($AD358,2)-$AO358-$AP358,"")</f>
      </c>
      <c r="AR358" s="39">
        <f>IF(ISNUMBER($AD358),IF(Header!$D$34="","?",$AD358*Header!$D$34),"")</f>
      </c>
      <c r="AS358" s="39">
        <f>IF(ISNUMBER($AB358),IF(Header!$D$34="","?",$AB358*Header!$D$34),"")</f>
      </c>
      <c r="AT358" s="42">
        <f>IF(AND(ISNUMBER($AB358),$M358&gt;0),$AB358/$M358*100,"")</f>
      </c>
      <c r="AU358" s="42">
        <f>IF(AND(ISNUMBER($AD358),$M358&gt;0),$AD358/$M358*100,"")</f>
      </c>
      <c r="AV358" s="40">
        <f>IF(AND(ISNUMBER($AB358),ISNUMBER($AD358),ABS($AB358)&gt;0),$AD358/$AB358,"")</f>
      </c>
      <c r="AW358" s="39">
        <f>IF(ISNUMBER($AD358),MAX(0,(1-0.55-Header!$O$3)*Header!$Q$3*$AQ358),"")</f>
      </c>
      <c r="AX358" s="43">
        <f>IF($A358="","",IF(TRIM(IF($A358="","Missing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",""))="","PASS","FAIL: "&amp;TRIM(IF($A358="","Missing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f>
      </c>
      <c r="AY358" s="44">
        <f>IF($M358="","",IF(ISNUMBER($M358),IF($M358&gt;=Header!$C$18,"YES — refer","No"),""))</f>
      </c>
      <c r="AZ358" s="44">
        <f>IF($AD358="","",IF(ISNUMBER($AD358),IF($AD358&lt;Header!$C$20,"BELOW MIN PREMIUM","OK"),""))</f>
      </c>
      <c r="BA358" s="48" t="inlineStr">
        <is>
          <t xml:space="preserve">Yes</t>
        </is>
      </c>
      <c r="BB358" s="48" t="inlineStr">
        <is>
          <t xml:space="preserve">Yes</t>
        </is>
      </c>
      <c r="BC358" s="46" t="inlineStr">
        <is>
          <t xml:space="preserve">Synthetic demo data</t>
        </is>
      </c>
      <c r="BE358" s="45">
        <f>IF(OR($A358="",$L358="",$H358=""),"",IF(AND(LEFT($L358,2)="06",$H358&gt;1945),"FAIL - pre-war class, year "&amp;$H358,IF(AND(LEFT($L358,2)="07",OR($H358&lt;1946,$H358&gt;1972)),"FAIL - 1946-72 class, year "&amp;$H358,IF(AND(LEFT($L358,2)="08",OR($H358&lt;1973,$H358&gt;1999)),"FAIL - 1973-99 class, year "&amp;$H358,IF(AND(LEFT($L358,2)="09",OR($H358&lt;2000,$H358&gt;2010)),"FAIL - 2000-10 class, year "&amp;$H358,"OK")))))</f>
      </c>
      <c r="BF358" s="45">
        <f>IF($AD358="","",IF(ROUND($AO358+$AP358+$AQ358-$AD358,2)=0,"OK","FAIL - out by "&amp;TEXT($AO358+$AP358+$AQ358-$AD358,"$0.00")))</f>
      </c>
    </row>
    <row r="359" spans="1:58" ht="18.75" customHeight="1" x14ac:dyDescent="0.25">
      <c r="A359" s="30" t="inlineStr">
        <is>
          <t xml:space="preserve">CANON-202606-008893</t>
        </is>
      </c>
      <c r="B359" s="30" t="inlineStr">
        <is>
          <t xml:space="preserve">Cassius Chattopadhyay</t>
        </is>
      </c>
      <c r="C359" s="31">
        <v>46192</v>
      </c>
      <c r="D359" s="32" t="inlineStr">
        <is>
          <t xml:space="preserve">Bound - within authority</t>
        </is>
      </c>
      <c r="E359" s="32" t="inlineStr">
        <is>
          <t xml:space="preserve">New business</t>
        </is>
      </c>
      <c r="F359" s="30" t="inlineStr">
        <is>
          <t xml:space="preserve">B1234EXOTIC26</t>
        </is>
      </c>
      <c r="G359" s="33">
        <f>IF($A359="","",IF($C359="","",YEAR($C359)))</f>
      </c>
      <c r="H359" s="34">
        <v>2017</v>
      </c>
      <c r="I359" s="30" t="inlineStr">
        <is>
          <t xml:space="preserve">Ferrari</t>
        </is>
      </c>
      <c r="J359" s="30" t="inlineStr">
        <is>
          <t xml:space="preserve">275 GTB/4</t>
        </is>
      </c>
      <c r="K359" s="30" t="inlineStr">
        <is>
          <t xml:space="preserve">5MX8KVNKJP2ES1M38</t>
        </is>
      </c>
      <c r="L359" s="32" t="inlineStr">
        <is>
          <t xml:space="preserve">02 - Sports / GT</t>
        </is>
      </c>
      <c r="M359" s="35">
        <v>565000</v>
      </c>
      <c r="N359" s="32" t="inlineStr">
        <is>
          <t xml:space="preserve">Personal</t>
        </is>
      </c>
      <c r="O359" s="30" t="inlineStr">
        <is>
          <t xml:space="preserve">Personal - regular use</t>
        </is>
      </c>
      <c r="P359" s="30" t="inlineStr">
        <is>
          <t xml:space="preserve">Under 1,000</t>
        </is>
      </c>
      <c r="Q359" s="30" t="inlineStr">
        <is>
          <t xml:space="preserve">North Dakota</t>
        </is>
      </c>
      <c r="R359" s="30" t="inlineStr">
        <is>
          <t xml:space="preserve">58501</t>
        </is>
      </c>
      <c r="S359" s="32" t="inlineStr">
        <is>
          <t xml:space="preserve">Severe convective - hail alley (high)</t>
        </is>
      </c>
      <c r="T359" s="36">
        <f>IF($A359="","",IF($S359="","",IFERROR(INDEX('[1]natural catastrophe'!$D$6:$D$17,MATCH($S359,'[1]natural catastrophe'!$B$6:$B$17,0)),"?")))</f>
      </c>
      <c r="U359" s="30" t="inlineStr">
        <is>
          <t xml:space="preserve">$5,000</t>
        </is>
      </c>
      <c r="V359" s="32" t="inlineStr">
        <is>
          <t xml:space="preserve">Agreed Value</t>
        </is>
      </c>
      <c r="W359" s="30" t="inlineStr">
        <is>
          <t xml:space="preserve">$1,000</t>
        </is>
      </c>
      <c r="X359" s="32" t="inlineStr">
        <is>
          <t xml:space="preserve">$1,000,000 CSL</t>
        </is>
      </c>
      <c r="Y359" s="30"/>
      <c r="Z359" s="30"/>
      <c r="AA359" s="32" t="inlineStr">
        <is>
          <t xml:space="preserve">Surplus Lines</t>
        </is>
      </c>
      <c r="AB359" s="35">
        <v>3575.93</v>
      </c>
      <c r="AC359" s="37">
        <v>0</v>
      </c>
      <c r="AD359" s="38">
        <f>IF(ISNUMBER($AB359),$AB359*(1+N($AC359)),"")</f>
      </c>
      <c r="AE359" s="35">
        <v>350</v>
      </c>
      <c r="AF359" s="35">
        <v>0</v>
      </c>
      <c r="AG359" s="37"/>
      <c r="AH359" s="39">
        <f>IF(ISNUMBER($AD359),($AD359+$AE359+$AF359)*$AG359,"")</f>
      </c>
      <c r="AI359" s="35"/>
      <c r="AJ359" s="38">
        <f>IF(ISNUMBER($AD359),SUM($AD359:$AH359),"")</f>
      </c>
      <c r="AK359" s="40">
        <f>IF(AND(ISNUMBER($AB359),ISNUMBER($AD359)),IF($AB359&gt;0,$AD359/$AB359,""),"")</f>
      </c>
      <c r="AL359" s="32" t="inlineStr">
        <is>
          <t xml:space="preserve">At technical</t>
        </is>
      </c>
      <c r="AM359" s="41">
        <f>IF(ISNUMBER($AD359),Header!$I$3,"")</f>
      </c>
      <c r="AN359" s="39">
        <f>IF(ISNUMBER($AD359),$AO359+$AP359,"")</f>
      </c>
      <c r="AO359" s="39">
        <f>IF(ISNUMBER($AD359),ROUND($AD359*Header!$K$3,2),"")</f>
      </c>
      <c r="AP359" s="39">
        <f>IF(ISNUMBER($AD359),ROUND($AD359*Header!$M$3,2),"")</f>
      </c>
      <c r="AQ359" s="38">
        <f>IF(ISNUMBER($AD359),ROUND($AD359,2)-$AO359-$AP359,"")</f>
      </c>
      <c r="AR359" s="39">
        <f>IF(ISNUMBER($AD359),IF(Header!$D$34="","?",$AD359*Header!$D$34),"")</f>
      </c>
      <c r="AS359" s="39">
        <f>IF(ISNUMBER($AB359),IF(Header!$D$34="","?",$AB359*Header!$D$34),"")</f>
      </c>
      <c r="AT359" s="42">
        <f>IF(AND(ISNUMBER($AB359),$M359&gt;0),$AB359/$M359*100,"")</f>
      </c>
      <c r="AU359" s="42">
        <f>IF(AND(ISNUMBER($AD359),$M359&gt;0),$AD359/$M359*100,"")</f>
      </c>
      <c r="AV359" s="40">
        <f>IF(AND(ISNUMBER($AB359),ISNUMBER($AD359),ABS($AB359)&gt;0),$AD359/$AB359,"")</f>
      </c>
      <c r="AW359" s="39">
        <f>IF(ISNUMBER($AD359),MAX(0,(1-0.55-Header!$O$3)*Header!$Q$3*$AQ359),"")</f>
      </c>
      <c r="AX359" s="43">
        <f>IF($A359="","",IF(TRIM(IF($A359="","Missing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",""))="","PASS","FAIL: "&amp;TRIM(IF($A359="","Missing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f>
      </c>
      <c r="AY359" s="44">
        <f>IF($M359="","",IF(ISNUMBER($M359),IF($M359&gt;=Header!$C$18,"YES — refer","No"),""))</f>
      </c>
      <c r="AZ359" s="44">
        <f>IF($AD359="","",IF(ISNUMBER($AD359),IF($AD359&lt;Header!$C$20,"BELOW MIN PREMIUM","OK"),""))</f>
      </c>
      <c r="BA359" s="32" t="inlineStr">
        <is>
          <t xml:space="preserve">Yes</t>
        </is>
      </c>
      <c r="BB359" s="32" t="inlineStr">
        <is>
          <t xml:space="preserve">Yes</t>
        </is>
      </c>
      <c r="BC359" s="30" t="inlineStr">
        <is>
          <t xml:space="preserve">Synthetic demo data</t>
        </is>
      </c>
      <c r="BE359" s="45">
        <f>IF(OR($A359="",$L359="",$H359=""),"",IF(AND(LEFT($L359,2)="06",$H359&gt;1945),"FAIL - pre-war class, year "&amp;$H359,IF(AND(LEFT($L359,2)="07",OR($H359&lt;1946,$H359&gt;1972)),"FAIL - 1946-72 class, year "&amp;$H359,IF(AND(LEFT($L359,2)="08",OR($H359&lt;1973,$H359&gt;1999)),"FAIL - 1973-99 class, year "&amp;$H359,IF(AND(LEFT($L359,2)="09",OR($H359&lt;2000,$H359&gt;2010)),"FAIL - 2000-10 class, year "&amp;$H359,"OK")))))</f>
      </c>
      <c r="BF359" s="45">
        <f>IF($AD359="","",IF(ROUND($AO359+$AP359+$AQ359-$AD359,2)=0,"OK","FAIL - out by "&amp;TEXT($AO359+$AP359+$AQ359-$AD359,"$0.00")))</f>
      </c>
    </row>
    <row r="360" spans="1:58" ht="18.75" customHeight="1" x14ac:dyDescent="0.25">
      <c r="A360" s="46" t="inlineStr">
        <is>
          <t xml:space="preserve">CANON-202606-008894</t>
        </is>
      </c>
      <c r="B360" s="46" t="inlineStr">
        <is>
          <t xml:space="preserve">Thaddeus Harrington</t>
        </is>
      </c>
      <c r="C360" s="47">
        <v>46196</v>
      </c>
      <c r="D360" s="48" t="inlineStr">
        <is>
          <t xml:space="preserve">Bound - within authority</t>
        </is>
      </c>
      <c r="E360" s="48" t="inlineStr">
        <is>
          <t xml:space="preserve">New business</t>
        </is>
      </c>
      <c r="F360" s="46" t="inlineStr">
        <is>
          <t xml:space="preserve">B1234EXOTIC26</t>
        </is>
      </c>
      <c r="G360" s="33">
        <f>IF($A360="","",IF($C360="","",YEAR($C360)))</f>
      </c>
      <c r="H360" s="49">
        <v>2002</v>
      </c>
      <c r="I360" s="46" t="inlineStr">
        <is>
          <t xml:space="preserve">Maserati</t>
        </is>
      </c>
      <c r="J360" s="46" t="inlineStr">
        <is>
          <t xml:space="preserve">GranTurismo</t>
        </is>
      </c>
      <c r="K360" s="46" t="inlineStr">
        <is>
          <t xml:space="preserve">SBRHG5HRH0NLRE029</t>
        </is>
      </c>
      <c r="L360" s="48" t="inlineStr">
        <is>
          <t xml:space="preserve">02 - Sports / GT</t>
        </is>
      </c>
      <c r="M360" s="50">
        <v>1510000</v>
      </c>
      <c r="N360" s="48" t="inlineStr">
        <is>
          <t xml:space="preserve">Personal</t>
        </is>
      </c>
      <c r="O360" s="46" t="inlineStr">
        <is>
          <t xml:space="preserve">Personal - regular use</t>
        </is>
      </c>
      <c r="P360" s="46" t="inlineStr">
        <is>
          <t xml:space="preserve">Under 1,000</t>
        </is>
      </c>
      <c r="Q360" s="46" t="inlineStr">
        <is>
          <t xml:space="preserve">New Jersey</t>
        </is>
      </c>
      <c r="R360" s="46" t="inlineStr">
        <is>
          <t xml:space="preserve">07102</t>
        </is>
      </c>
      <c r="S360" s="48" t="inlineStr">
        <is>
          <t xml:space="preserve">Tier 3 - Coastal wind (25-100 miles)</t>
        </is>
      </c>
      <c r="T360" s="36">
        <f>IF($A360="","",IF($S360="","",IFERROR(INDEX('[1]natural catastrophe'!$D$6:$D$17,MATCH($S360,'[1]natural catastrophe'!$B$6:$B$17,0)),"?")))</f>
      </c>
      <c r="U360" s="46" t="inlineStr">
        <is>
          <t xml:space="preserve">2% of agreed value, minimum $10,000</t>
        </is>
      </c>
      <c r="V360" s="48" t="inlineStr">
        <is>
          <t xml:space="preserve">Agreed Value</t>
        </is>
      </c>
      <c r="W360" s="46" t="inlineStr">
        <is>
          <t xml:space="preserve">$1,000</t>
        </is>
      </c>
      <c r="X360" s="48" t="inlineStr">
        <is>
          <t xml:space="preserve">$1,000,000 CSL</t>
        </is>
      </c>
      <c r="Y360" s="46"/>
      <c r="Z360" s="46"/>
      <c r="AA360" s="48" t="inlineStr">
        <is>
          <t xml:space="preserve">Surplus Lines</t>
        </is>
      </c>
      <c r="AB360" s="50">
        <v>10905.69</v>
      </c>
      <c r="AC360" s="51">
        <v>0</v>
      </c>
      <c r="AD360" s="38">
        <f>IF(ISNUMBER($AB360),$AB360*(1+N($AC360)),"")</f>
      </c>
      <c r="AE360" s="50">
        <v>350</v>
      </c>
      <c r="AF360" s="50">
        <v>250</v>
      </c>
      <c r="AG360" s="51"/>
      <c r="AH360" s="39">
        <f>IF(ISNUMBER($AD360),($AD360+$AE360+$AF360)*$AG360,"")</f>
      </c>
      <c r="AI360" s="50"/>
      <c r="AJ360" s="38">
        <f>IF(ISNUMBER($AD360),SUM($AD360:$AH360),"")</f>
      </c>
      <c r="AK360" s="40">
        <f>IF(AND(ISNUMBER($AB360),ISNUMBER($AD360)),IF($AB360&gt;0,$AD360/$AB360,""),"")</f>
      </c>
      <c r="AL360" s="48" t="inlineStr">
        <is>
          <t xml:space="preserve">At technical</t>
        </is>
      </c>
      <c r="AM360" s="41">
        <f>IF(ISNUMBER($AD360),Header!$I$3,"")</f>
      </c>
      <c r="AN360" s="39">
        <f>IF(ISNUMBER($AD360),$AO360+$AP360,"")</f>
      </c>
      <c r="AO360" s="39">
        <f>IF(ISNUMBER($AD360),ROUND($AD360*Header!$K$3,2),"")</f>
      </c>
      <c r="AP360" s="39">
        <f>IF(ISNUMBER($AD360),ROUND($AD360*Header!$M$3,2),"")</f>
      </c>
      <c r="AQ360" s="38">
        <f>IF(ISNUMBER($AD360),ROUND($AD360,2)-$AO360-$AP360,"")</f>
      </c>
      <c r="AR360" s="39">
        <f>IF(ISNUMBER($AD360),IF(Header!$D$34="","?",$AD360*Header!$D$34),"")</f>
      </c>
      <c r="AS360" s="39">
        <f>IF(ISNUMBER($AB360),IF(Header!$D$34="","?",$AB360*Header!$D$34),"")</f>
      </c>
      <c r="AT360" s="42">
        <f>IF(AND(ISNUMBER($AB360),$M360&gt;0),$AB360/$M360*100,"")</f>
      </c>
      <c r="AU360" s="42">
        <f>IF(AND(ISNUMBER($AD360),$M360&gt;0),$AD360/$M360*100,"")</f>
      </c>
      <c r="AV360" s="40">
        <f>IF(AND(ISNUMBER($AB360),ISNUMBER($AD360),ABS($AB360)&gt;0),$AD360/$AB360,"")</f>
      </c>
      <c r="AW360" s="39">
        <f>IF(ISNUMBER($AD360),MAX(0,(1-0.55-Header!$O$3)*Header!$Q$3*$AQ360),"")</f>
      </c>
      <c r="AX360" s="43">
        <f>IF($A360="","",IF(TRIM(IF($A360="","Missing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",""))="","PASS","FAIL: "&amp;TRIM(IF($A360="","Missing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f>
      </c>
      <c r="AY360" s="44">
        <f>IF($M360="","",IF(ISNUMBER($M360),IF($M360&gt;=Header!$C$18,"YES — refer","No"),""))</f>
      </c>
      <c r="AZ360" s="44">
        <f>IF($AD360="","",IF(ISNUMBER($AD360),IF($AD360&lt;Header!$C$20,"BELOW MIN PREMIUM","OK"),""))</f>
      </c>
      <c r="BA360" s="48" t="inlineStr">
        <is>
          <t xml:space="preserve">Yes</t>
        </is>
      </c>
      <c r="BB360" s="48" t="inlineStr">
        <is>
          <t xml:space="preserve">Yes</t>
        </is>
      </c>
      <c r="BC360" s="46" t="inlineStr">
        <is>
          <t xml:space="preserve">Synthetic demo data</t>
        </is>
      </c>
      <c r="BE360" s="45">
        <f>IF(OR($A360="",$L360="",$H360=""),"",IF(AND(LEFT($L360,2)="06",$H360&gt;1945),"FAIL - pre-war class, year "&amp;$H360,IF(AND(LEFT($L360,2)="07",OR($H360&lt;1946,$H360&gt;1972)),"FAIL - 1946-72 class, year "&amp;$H360,IF(AND(LEFT($L360,2)="08",OR($H360&lt;1973,$H360&gt;1999)),"FAIL - 1973-99 class, year "&amp;$H360,IF(AND(LEFT($L360,2)="09",OR($H360&lt;2000,$H360&gt;2010)),"FAIL - 2000-10 class, year "&amp;$H360,"OK")))))</f>
      </c>
      <c r="BF360" s="45">
        <f>IF($AD360="","",IF(ROUND($AO360+$AP360+$AQ360-$AD360,2)=0,"OK","FAIL - out by "&amp;TEXT($AO360+$AP360+$AQ360-$AD360,"$0.00")))</f>
      </c>
    </row>
    <row r="361" spans="1:58" ht="18.75" customHeight="1" x14ac:dyDescent="0.25">
      <c r="A361" s="30" t="inlineStr">
        <is>
          <t xml:space="preserve">CANON-202606-008895</t>
        </is>
      </c>
      <c r="B361" s="30" t="inlineStr">
        <is>
          <t xml:space="preserve">Beatrix Rourke</t>
        </is>
      </c>
      <c r="C361" s="31">
        <v>46194</v>
      </c>
      <c r="D361" s="32" t="inlineStr">
        <is>
          <t xml:space="preserve">Bound - within authority</t>
        </is>
      </c>
      <c r="E361" s="32" t="inlineStr">
        <is>
          <t xml:space="preserve">New business</t>
        </is>
      </c>
      <c r="F361" s="30" t="inlineStr">
        <is>
          <t xml:space="preserve">B1234EXOTIC26</t>
        </is>
      </c>
      <c r="G361" s="33">
        <f>IF($A361="","",IF($C361="","",YEAR($C361)))</f>
      </c>
      <c r="H361" s="34">
        <v>2007</v>
      </c>
      <c r="I361" s="30" t="inlineStr">
        <is>
          <t xml:space="preserve">Ferrari</t>
        </is>
      </c>
      <c r="J361" s="30" t="inlineStr">
        <is>
          <t xml:space="preserve">275 GTB/4</t>
        </is>
      </c>
      <c r="K361" s="30" t="inlineStr">
        <is>
          <t xml:space="preserve">1ZB8U00LREL5CXSNW</t>
        </is>
      </c>
      <c r="L361" s="32" t="inlineStr">
        <is>
          <t xml:space="preserve">09 - Youngtimer / Collectible (2000-2010)</t>
        </is>
      </c>
      <c r="M361" s="35">
        <v>600000</v>
      </c>
      <c r="N361" s="32" t="inlineStr">
        <is>
          <t xml:space="preserve">Personal</t>
        </is>
      </c>
      <c r="O361" s="30" t="inlineStr">
        <is>
          <t xml:space="preserve">Personal - regular use</t>
        </is>
      </c>
      <c r="P361" s="30" t="inlineStr">
        <is>
          <t xml:space="preserve">Under 1,000</t>
        </is>
      </c>
      <c r="Q361" s="30" t="inlineStr">
        <is>
          <t xml:space="preserve">Michigan</t>
        </is>
      </c>
      <c r="R361" s="30" t="inlineStr">
        <is>
          <t xml:space="preserve">48226</t>
        </is>
      </c>
      <c r="S361" s="32" t="inlineStr">
        <is>
          <t xml:space="preserve">Severe convective - hail / tornado (moderate)</t>
        </is>
      </c>
      <c r="T361" s="36">
        <f>IF($A361="","",IF($S361="","",IFERROR(INDEX('[1]natural catastrophe'!$D$6:$D$17,MATCH($S361,'[1]natural catastrophe'!$B$6:$B$17,0)),"?")))</f>
      </c>
      <c r="U361" s="30" t="inlineStr">
        <is>
          <t xml:space="preserve">$5,000</t>
        </is>
      </c>
      <c r="V361" s="32" t="inlineStr">
        <is>
          <t xml:space="preserve">Agreed Value</t>
        </is>
      </c>
      <c r="W361" s="30" t="inlineStr">
        <is>
          <t xml:space="preserve">$1,000</t>
        </is>
      </c>
      <c r="X361" s="32" t="inlineStr">
        <is>
          <t xml:space="preserve">$1,000,000 CSL</t>
        </is>
      </c>
      <c r="Y361" s="30"/>
      <c r="Z361" s="30"/>
      <c r="AA361" s="32" t="inlineStr">
        <is>
          <t xml:space="preserve">Surplus Lines</t>
        </is>
      </c>
      <c r="AB361" s="35">
        <v>5770.63</v>
      </c>
      <c r="AC361" s="37">
        <v>0</v>
      </c>
      <c r="AD361" s="38">
        <f>IF(ISNUMBER($AB361),$AB361*(1+N($AC361)),"")</f>
      </c>
      <c r="AE361" s="35">
        <v>350</v>
      </c>
      <c r="AF361" s="35">
        <v>0</v>
      </c>
      <c r="AG361" s="37"/>
      <c r="AH361" s="39">
        <f>IF(ISNUMBER($AD361),($AD361+$AE361+$AF361)*$AG361,"")</f>
      </c>
      <c r="AI361" s="35"/>
      <c r="AJ361" s="38">
        <f>IF(ISNUMBER($AD361),SUM($AD361:$AH361),"")</f>
      </c>
      <c r="AK361" s="40">
        <f>IF(AND(ISNUMBER($AB361),ISNUMBER($AD361)),IF($AB361&gt;0,$AD361/$AB361,""),"")</f>
      </c>
      <c r="AL361" s="32" t="inlineStr">
        <is>
          <t xml:space="preserve">At technical</t>
        </is>
      </c>
      <c r="AM361" s="41">
        <f>IF(ISNUMBER($AD361),Header!$I$3,"")</f>
      </c>
      <c r="AN361" s="39">
        <f>IF(ISNUMBER($AD361),$AO361+$AP361,"")</f>
      </c>
      <c r="AO361" s="39">
        <f>IF(ISNUMBER($AD361),ROUND($AD361*Header!$K$3,2),"")</f>
      </c>
      <c r="AP361" s="39">
        <f>IF(ISNUMBER($AD361),ROUND($AD361*Header!$M$3,2),"")</f>
      </c>
      <c r="AQ361" s="38">
        <f>IF(ISNUMBER($AD361),ROUND($AD361,2)-$AO361-$AP361,"")</f>
      </c>
      <c r="AR361" s="39">
        <f>IF(ISNUMBER($AD361),IF(Header!$D$34="","?",$AD361*Header!$D$34),"")</f>
      </c>
      <c r="AS361" s="39">
        <f>IF(ISNUMBER($AB361),IF(Header!$D$34="","?",$AB361*Header!$D$34),"")</f>
      </c>
      <c r="AT361" s="42">
        <f>IF(AND(ISNUMBER($AB361),$M361&gt;0),$AB361/$M361*100,"")</f>
      </c>
      <c r="AU361" s="42">
        <f>IF(AND(ISNUMBER($AD361),$M361&gt;0),$AD361/$M361*100,"")</f>
      </c>
      <c r="AV361" s="40">
        <f>IF(AND(ISNUMBER($AB361),ISNUMBER($AD361),ABS($AB361)&gt;0),$AD361/$AB361,"")</f>
      </c>
      <c r="AW361" s="39">
        <f>IF(ISNUMBER($AD361),MAX(0,(1-0.55-Header!$O$3)*Header!$Q$3*$AQ361),"")</f>
      </c>
      <c r="AX361" s="43">
        <f>IF($A361="","",IF(TRIM(IF($A361="","Missing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",""))="","PASS","FAIL: "&amp;TRIM(IF($A361="","Missing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f>
      </c>
      <c r="AY361" s="44">
        <f>IF($M361="","",IF(ISNUMBER($M361),IF($M361&gt;=Header!$C$18,"YES — refer","No"),""))</f>
      </c>
      <c r="AZ361" s="44">
        <f>IF($AD361="","",IF(ISNUMBER($AD361),IF($AD361&lt;Header!$C$20,"BELOW MIN PREMIUM","OK"),""))</f>
      </c>
      <c r="BA361" s="32" t="inlineStr">
        <is>
          <t xml:space="preserve">Yes</t>
        </is>
      </c>
      <c r="BB361" s="32" t="inlineStr">
        <is>
          <t xml:space="preserve">Yes</t>
        </is>
      </c>
      <c r="BC361" s="30" t="inlineStr">
        <is>
          <t xml:space="preserve">Synthetic demo data</t>
        </is>
      </c>
      <c r="BE361" s="45">
        <f>IF(OR($A361="",$L361="",$H361=""),"",IF(AND(LEFT($L361,2)="06",$H361&gt;1945),"FAIL - pre-war class, year "&amp;$H361,IF(AND(LEFT($L361,2)="07",OR($H361&lt;1946,$H361&gt;1972)),"FAIL - 1946-72 class, year "&amp;$H361,IF(AND(LEFT($L361,2)="08",OR($H361&lt;1973,$H361&gt;1999)),"FAIL - 1973-99 class, year "&amp;$H361,IF(AND(LEFT($L361,2)="09",OR($H361&lt;2000,$H361&gt;2010)),"FAIL - 2000-10 class, year "&amp;$H361,"OK")))))</f>
      </c>
      <c r="BF361" s="45">
        <f>IF($AD361="","",IF(ROUND($AO361+$AP361+$AQ361-$AD361,2)=0,"OK","FAIL - out by "&amp;TEXT($AO361+$AP361+$AQ361-$AD361,"$0.00")))</f>
      </c>
    </row>
    <row r="362" spans="1:58" ht="18.75" customHeight="1" x14ac:dyDescent="0.25">
      <c r="A362" s="46" t="inlineStr">
        <is>
          <t xml:space="preserve">CANON-202606-008897</t>
        </is>
      </c>
      <c r="B362" s="46" t="inlineStr">
        <is>
          <t xml:space="preserve">Callum Nakashima</t>
        </is>
      </c>
      <c r="C362" s="47">
        <v>46195</v>
      </c>
      <c r="D362" s="48" t="inlineStr">
        <is>
          <t xml:space="preserve">Bound - within authority</t>
        </is>
      </c>
      <c r="E362" s="48" t="inlineStr">
        <is>
          <t xml:space="preserve">New business</t>
        </is>
      </c>
      <c r="F362" s="46" t="inlineStr">
        <is>
          <t xml:space="preserve">B1234EXOTIC26</t>
        </is>
      </c>
      <c r="G362" s="33">
        <f>IF($A362="","",IF($C362="","",YEAR($C362)))</f>
      </c>
      <c r="H362" s="49">
        <v>1998</v>
      </c>
      <c r="I362" s="46" t="inlineStr">
        <is>
          <t xml:space="preserve">Singer</t>
        </is>
      </c>
      <c r="J362" s="46" t="inlineStr">
        <is>
          <t xml:space="preserve">911 Reimagined</t>
        </is>
      </c>
      <c r="K362" s="46" t="inlineStr">
        <is>
          <t xml:space="preserve">H5PB4Y040G2FLW1ZZ</t>
        </is>
      </c>
      <c r="L362" s="48" t="inlineStr">
        <is>
          <t xml:space="preserve">11 - Restomod / Coachbuilt / Bespoke</t>
        </is>
      </c>
      <c r="M362" s="50">
        <v>395000</v>
      </c>
      <c r="N362" s="48" t="inlineStr">
        <is>
          <t xml:space="preserve">Personal</t>
        </is>
      </c>
      <c r="O362" s="46" t="inlineStr">
        <is>
          <t xml:space="preserve">Personal - regular use</t>
        </is>
      </c>
      <c r="P362" s="46" t="inlineStr">
        <is>
          <t xml:space="preserve">2,500 - 5,000</t>
        </is>
      </c>
      <c r="Q362" s="46" t="inlineStr">
        <is>
          <t xml:space="preserve">South Dakota</t>
        </is>
      </c>
      <c r="R362" s="46" t="inlineStr">
        <is>
          <t xml:space="preserve">57501</t>
        </is>
      </c>
      <c r="S362" s="48" t="inlineStr">
        <is>
          <t xml:space="preserve">Severe convective - hail alley (high)</t>
        </is>
      </c>
      <c r="T362" s="36">
        <f>IF($A362="","",IF($S362="","",IFERROR(INDEX('[1]natural catastrophe'!$D$6:$D$17,MATCH($S362,'[1]natural catastrophe'!$B$6:$B$17,0)),"?")))</f>
      </c>
      <c r="U362" s="46" t="inlineStr">
        <is>
          <t xml:space="preserve">$5,000</t>
        </is>
      </c>
      <c r="V362" s="48" t="inlineStr">
        <is>
          <t xml:space="preserve">Agreed Value</t>
        </is>
      </c>
      <c r="W362" s="46" t="inlineStr">
        <is>
          <t xml:space="preserve">$1,000</t>
        </is>
      </c>
      <c r="X362" s="48" t="inlineStr">
        <is>
          <t xml:space="preserve">$1,000,000 CSL</t>
        </is>
      </c>
      <c r="Y362" s="46"/>
      <c r="Z362" s="46"/>
      <c r="AA362" s="48" t="inlineStr">
        <is>
          <t xml:space="preserve">Surplus Lines</t>
        </is>
      </c>
      <c r="AB362" s="50">
        <v>5567.68</v>
      </c>
      <c r="AC362" s="51">
        <v>0</v>
      </c>
      <c r="AD362" s="38">
        <f>IF(ISNUMBER($AB362),$AB362*(1+N($AC362)),"")</f>
      </c>
      <c r="AE362" s="50">
        <v>350</v>
      </c>
      <c r="AF362" s="50">
        <v>0</v>
      </c>
      <c r="AG362" s="51"/>
      <c r="AH362" s="39">
        <f>IF(ISNUMBER($AD362),($AD362+$AE362+$AF362)*$AG362,"")</f>
      </c>
      <c r="AI362" s="50"/>
      <c r="AJ362" s="38">
        <f>IF(ISNUMBER($AD362),SUM($AD362:$AH362),"")</f>
      </c>
      <c r="AK362" s="40">
        <f>IF(AND(ISNUMBER($AB362),ISNUMBER($AD362)),IF($AB362&gt;0,$AD362/$AB362,""),"")</f>
      </c>
      <c r="AL362" s="48" t="inlineStr">
        <is>
          <t xml:space="preserve">At technical</t>
        </is>
      </c>
      <c r="AM362" s="41">
        <f>IF(ISNUMBER($AD362),Header!$I$3,"")</f>
      </c>
      <c r="AN362" s="39">
        <f>IF(ISNUMBER($AD362),$AO362+$AP362,"")</f>
      </c>
      <c r="AO362" s="39">
        <f>IF(ISNUMBER($AD362),ROUND($AD362*Header!$K$3,2),"")</f>
      </c>
      <c r="AP362" s="39">
        <f>IF(ISNUMBER($AD362),ROUND($AD362*Header!$M$3,2),"")</f>
      </c>
      <c r="AQ362" s="38">
        <f>IF(ISNUMBER($AD362),ROUND($AD362,2)-$AO362-$AP362,"")</f>
      </c>
      <c r="AR362" s="39">
        <f>IF(ISNUMBER($AD362),IF(Header!$D$34="","?",$AD362*Header!$D$34),"")</f>
      </c>
      <c r="AS362" s="39">
        <f>IF(ISNUMBER($AB362),IF(Header!$D$34="","?",$AB362*Header!$D$34),"")</f>
      </c>
      <c r="AT362" s="42">
        <f>IF(AND(ISNUMBER($AB362),$M362&gt;0),$AB362/$M362*100,"")</f>
      </c>
      <c r="AU362" s="42">
        <f>IF(AND(ISNUMBER($AD362),$M362&gt;0),$AD362/$M362*100,"")</f>
      </c>
      <c r="AV362" s="40">
        <f>IF(AND(ISNUMBER($AB362),ISNUMBER($AD362),ABS($AB362)&gt;0),$AD362/$AB362,"")</f>
      </c>
      <c r="AW362" s="39">
        <f>IF(ISNUMBER($AD362),MAX(0,(1-0.55-Header!$O$3)*Header!$Q$3*$AQ362),"")</f>
      </c>
      <c r="AX362" s="43">
        <f>IF($A362="","",IF(TRIM(IF($A362="","Missing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",""))="","PASS","FAIL: "&amp;TRIM(IF($A362="","Missing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f>
      </c>
      <c r="AY362" s="44">
        <f>IF($M362="","",IF(ISNUMBER($M362),IF($M362&gt;=Header!$C$18,"YES — refer","No"),""))</f>
      </c>
      <c r="AZ362" s="44">
        <f>IF($AD362="","",IF(ISNUMBER($AD362),IF($AD362&lt;Header!$C$20,"BELOW MIN PREMIUM","OK"),""))</f>
      </c>
      <c r="BA362" s="48" t="inlineStr">
        <is>
          <t xml:space="preserve">Yes</t>
        </is>
      </c>
      <c r="BB362" s="48" t="inlineStr">
        <is>
          <t xml:space="preserve">Yes</t>
        </is>
      </c>
      <c r="BC362" s="46" t="inlineStr">
        <is>
          <t xml:space="preserve">Synthetic demo data</t>
        </is>
      </c>
      <c r="BE362" s="45">
        <f>IF(OR($A362="",$L362="",$H362=""),"",IF(AND(LEFT($L362,2)="06",$H362&gt;1945),"FAIL - pre-war class, year "&amp;$H362,IF(AND(LEFT($L362,2)="07",OR($H362&lt;1946,$H362&gt;1972)),"FAIL - 1946-72 class, year "&amp;$H362,IF(AND(LEFT($L362,2)="08",OR($H362&lt;1973,$H362&gt;1999)),"FAIL - 1973-99 class, year "&amp;$H362,IF(AND(LEFT($L362,2)="09",OR($H362&lt;2000,$H362&gt;2010)),"FAIL - 2000-10 class, year "&amp;$H362,"OK")))))</f>
      </c>
      <c r="BF362" s="45">
        <f>IF($AD362="","",IF(ROUND($AO362+$AP362+$AQ362-$AD362,2)=0,"OK","FAIL - out by "&amp;TEXT($AO362+$AP362+$AQ362-$AD362,"$0.00")))</f>
      </c>
    </row>
    <row r="363" spans="1:58" ht="18.75" customHeight="1" x14ac:dyDescent="0.25">
      <c r="A363" s="30" t="inlineStr">
        <is>
          <t xml:space="preserve">CANON-202606-008898</t>
        </is>
      </c>
      <c r="B363" s="30" t="inlineStr">
        <is>
          <t xml:space="preserve">Thaddeus Whitlock</t>
        </is>
      </c>
      <c r="C363" s="31">
        <v>46175</v>
      </c>
      <c r="D363" s="32" t="inlineStr">
        <is>
          <t xml:space="preserve">Bound - within authority</t>
        </is>
      </c>
      <c r="E363" s="32" t="inlineStr">
        <is>
          <t xml:space="preserve">New business</t>
        </is>
      </c>
      <c r="F363" s="30" t="inlineStr">
        <is>
          <t xml:space="preserve">B1234EXOTIC26</t>
        </is>
      </c>
      <c r="G363" s="33">
        <f>IF($A363="","",IF($C363="","",YEAR($C363)))</f>
      </c>
      <c r="H363" s="34">
        <v>2015</v>
      </c>
      <c r="I363" s="30" t="inlineStr">
        <is>
          <t xml:space="preserve">Aston Martin</t>
        </is>
      </c>
      <c r="J363" s="30" t="inlineStr">
        <is>
          <t xml:space="preserve">DB12</t>
        </is>
      </c>
      <c r="K363" s="30" t="inlineStr">
        <is>
          <t xml:space="preserve">Y5Y9JV9DWPR5VSX4F</t>
        </is>
      </c>
      <c r="L363" s="32" t="inlineStr">
        <is>
          <t xml:space="preserve">02 - Sports / GT</t>
        </is>
      </c>
      <c r="M363" s="35">
        <v>800000</v>
      </c>
      <c r="N363" s="32" t="inlineStr">
        <is>
          <t xml:space="preserve">Personal</t>
        </is>
      </c>
      <c r="O363" s="30" t="inlineStr">
        <is>
          <t xml:space="preserve">Personal - regular use</t>
        </is>
      </c>
      <c r="P363" s="30" t="inlineStr">
        <is>
          <t xml:space="preserve">Under 1,000</t>
        </is>
      </c>
      <c r="Q363" s="30" t="inlineStr">
        <is>
          <t xml:space="preserve">Texas</t>
        </is>
      </c>
      <c r="R363" s="30" t="inlineStr">
        <is>
          <t xml:space="preserve">75201</t>
        </is>
      </c>
      <c r="S363" s="32" t="inlineStr">
        <is>
          <t xml:space="preserve">Tier 2 - Coastal wind (1-25 miles)</t>
        </is>
      </c>
      <c r="T363" s="36">
        <f>IF($A363="","",IF($S363="","",IFERROR(INDEX('[1]natural catastrophe'!$D$6:$D$17,MATCH($S363,'[1]natural catastrophe'!$B$6:$B$17,0)),"?")))</f>
      </c>
      <c r="U363" s="30" t="inlineStr">
        <is>
          <t xml:space="preserve">2% of agreed value, minimum $10,000</t>
        </is>
      </c>
      <c r="V363" s="32" t="inlineStr">
        <is>
          <t xml:space="preserve">Agreed Value</t>
        </is>
      </c>
      <c r="W363" s="30" t="inlineStr">
        <is>
          <t xml:space="preserve">$1,000</t>
        </is>
      </c>
      <c r="X363" s="32" t="inlineStr">
        <is>
          <t xml:space="preserve">$1,000,000 CSL</t>
        </is>
      </c>
      <c r="Y363" s="30"/>
      <c r="Z363" s="30"/>
      <c r="AA363" s="32" t="inlineStr">
        <is>
          <t xml:space="preserve">Surplus Lines</t>
        </is>
      </c>
      <c r="AB363" s="35">
        <v>8629.25</v>
      </c>
      <c r="AC363" s="37">
        <v>0</v>
      </c>
      <c r="AD363" s="38">
        <f>IF(ISNUMBER($AB363),$AB363*(1+N($AC363)),"")</f>
      </c>
      <c r="AE363" s="35">
        <v>350</v>
      </c>
      <c r="AF363" s="35">
        <v>0</v>
      </c>
      <c r="AG363" s="37"/>
      <c r="AH363" s="39">
        <f>IF(ISNUMBER($AD363),($AD363+$AE363+$AF363)*$AG363,"")</f>
      </c>
      <c r="AI363" s="35"/>
      <c r="AJ363" s="38">
        <f>IF(ISNUMBER($AD363),SUM($AD363:$AH363),"")</f>
      </c>
      <c r="AK363" s="40">
        <f>IF(AND(ISNUMBER($AB363),ISNUMBER($AD363)),IF($AB363&gt;0,$AD363/$AB363,""),"")</f>
      </c>
      <c r="AL363" s="32" t="inlineStr">
        <is>
          <t xml:space="preserve">At technical</t>
        </is>
      </c>
      <c r="AM363" s="41">
        <f>IF(ISNUMBER($AD363),Header!$I$3,"")</f>
      </c>
      <c r="AN363" s="39">
        <f>IF(ISNUMBER($AD363),$AO363+$AP363,"")</f>
      </c>
      <c r="AO363" s="39">
        <f>IF(ISNUMBER($AD363),ROUND($AD363*Header!$K$3,2),"")</f>
      </c>
      <c r="AP363" s="39">
        <f>IF(ISNUMBER($AD363),ROUND($AD363*Header!$M$3,2),"")</f>
      </c>
      <c r="AQ363" s="38">
        <f>IF(ISNUMBER($AD363),ROUND($AD363,2)-$AO363-$AP363,"")</f>
      </c>
      <c r="AR363" s="39">
        <f>IF(ISNUMBER($AD363),IF(Header!$D$34="","?",$AD363*Header!$D$34),"")</f>
      </c>
      <c r="AS363" s="39">
        <f>IF(ISNUMBER($AB363),IF(Header!$D$34="","?",$AB363*Header!$D$34),"")</f>
      </c>
      <c r="AT363" s="42">
        <f>IF(AND(ISNUMBER($AB363),$M363&gt;0),$AB363/$M363*100,"")</f>
      </c>
      <c r="AU363" s="42">
        <f>IF(AND(ISNUMBER($AD363),$M363&gt;0),$AD363/$M363*100,"")</f>
      </c>
      <c r="AV363" s="40">
        <f>IF(AND(ISNUMBER($AB363),ISNUMBER($AD363),ABS($AB363)&gt;0),$AD363/$AB363,"")</f>
      </c>
      <c r="AW363" s="39">
        <f>IF(ISNUMBER($AD363),MAX(0,(1-0.55-Header!$O$3)*Header!$Q$3*$AQ363),"")</f>
      </c>
      <c r="AX363" s="43">
        <f>IF($A363="","",IF(TRIM(IF($A363="","Missing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",""))="","PASS","FAIL: "&amp;TRIM(IF($A363="","Missing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f>
      </c>
      <c r="AY363" s="44">
        <f>IF($M363="","",IF(ISNUMBER($M363),IF($M363&gt;=Header!$C$18,"YES — refer","No"),""))</f>
      </c>
      <c r="AZ363" s="44">
        <f>IF($AD363="","",IF(ISNUMBER($AD363),IF($AD363&lt;Header!$C$20,"BELOW MIN PREMIUM","OK"),""))</f>
      </c>
      <c r="BA363" s="32" t="inlineStr">
        <is>
          <t xml:space="preserve">Yes</t>
        </is>
      </c>
      <c r="BB363" s="32" t="inlineStr">
        <is>
          <t xml:space="preserve">Yes</t>
        </is>
      </c>
      <c r="BC363" s="30" t="inlineStr">
        <is>
          <t xml:space="preserve">Synthetic demo data</t>
        </is>
      </c>
      <c r="BE363" s="45">
        <f>IF(OR($A363="",$L363="",$H363=""),"",IF(AND(LEFT($L363,2)="06",$H363&gt;1945),"FAIL - pre-war class, year "&amp;$H363,IF(AND(LEFT($L363,2)="07",OR($H363&lt;1946,$H363&gt;1972)),"FAIL - 1946-72 class, year "&amp;$H363,IF(AND(LEFT($L363,2)="08",OR($H363&lt;1973,$H363&gt;1999)),"FAIL - 1973-99 class, year "&amp;$H363,IF(AND(LEFT($L363,2)="09",OR($H363&lt;2000,$H363&gt;2010)),"FAIL - 2000-10 class, year "&amp;$H363,"OK")))))</f>
      </c>
      <c r="BF363" s="45">
        <f>IF($AD363="","",IF(ROUND($AO363+$AP363+$AQ363-$AD363,2)=0,"OK","FAIL - out by "&amp;TEXT($AO363+$AP363+$AQ363-$AD363,"$0.00")))</f>
      </c>
    </row>
    <row r="364" spans="1:58" ht="18.75" customHeight="1" x14ac:dyDescent="0.25">
      <c r="A364" s="46" t="inlineStr">
        <is>
          <t xml:space="preserve">CANON-202606-008899</t>
        </is>
      </c>
      <c r="B364" s="46" t="inlineStr">
        <is>
          <t xml:space="preserve">Priya Blackwood</t>
        </is>
      </c>
      <c r="C364" s="47">
        <v>46201</v>
      </c>
      <c r="D364" s="48" t="inlineStr">
        <is>
          <t xml:space="preserve">Bound - within authority</t>
        </is>
      </c>
      <c r="E364" s="48" t="inlineStr">
        <is>
          <t xml:space="preserve">New business</t>
        </is>
      </c>
      <c r="F364" s="46" t="inlineStr">
        <is>
          <t xml:space="preserve">B1234EXOTIC26</t>
        </is>
      </c>
      <c r="G364" s="33">
        <f>IF($A364="","",IF($C364="","",YEAR($C364)))</f>
      </c>
      <c r="H364" s="49">
        <v>2012</v>
      </c>
      <c r="I364" s="46" t="inlineStr">
        <is>
          <t xml:space="preserve">Bentley</t>
        </is>
      </c>
      <c r="J364" s="46" t="inlineStr">
        <is>
          <t xml:space="preserve">4.5 Litre</t>
        </is>
      </c>
      <c r="K364" s="46" t="inlineStr">
        <is>
          <t xml:space="preserve">CT2720V7ARUC27LGW</t>
        </is>
      </c>
      <c r="L364" s="48" t="inlineStr">
        <is>
          <t xml:space="preserve">02 - Sports / GT</t>
        </is>
      </c>
      <c r="M364" s="50">
        <v>1040000</v>
      </c>
      <c r="N364" s="48" t="inlineStr">
        <is>
          <t xml:space="preserve">Personal</t>
        </is>
      </c>
      <c r="O364" s="46" t="inlineStr">
        <is>
          <t xml:space="preserve">Personal - regular use</t>
        </is>
      </c>
      <c r="P364" s="46" t="inlineStr">
        <is>
          <t xml:space="preserve">2,500 - 5,000</t>
        </is>
      </c>
      <c r="Q364" s="46" t="inlineStr">
        <is>
          <t xml:space="preserve">Virginia</t>
        </is>
      </c>
      <c r="R364" s="46" t="inlineStr">
        <is>
          <t xml:space="preserve">23219</t>
        </is>
      </c>
      <c r="S364" s="48" t="inlineStr">
        <is>
          <t xml:space="preserve">Tier 3 - Coastal wind (25-100 miles)</t>
        </is>
      </c>
      <c r="T364" s="36">
        <f>IF($A364="","",IF($S364="","",IFERROR(INDEX('[1]natural catastrophe'!$D$6:$D$17,MATCH($S364,'[1]natural catastrophe'!$B$6:$B$17,0)),"?")))</f>
      </c>
      <c r="U364" s="46" t="inlineStr">
        <is>
          <t xml:space="preserve">2% of agreed value, minimum $10,000</t>
        </is>
      </c>
      <c r="V364" s="48" t="inlineStr">
        <is>
          <t xml:space="preserve">Agreed Value</t>
        </is>
      </c>
      <c r="W364" s="46" t="inlineStr">
        <is>
          <t xml:space="preserve">$1,000</t>
        </is>
      </c>
      <c r="X364" s="48" t="inlineStr">
        <is>
          <t xml:space="preserve">$1,000,000 CSL</t>
        </is>
      </c>
      <c r="Y364" s="46"/>
      <c r="Z364" s="46"/>
      <c r="AA364" s="48" t="inlineStr">
        <is>
          <t xml:space="preserve">Surplus Lines</t>
        </is>
      </c>
      <c r="AB364" s="50">
        <v>5561.74</v>
      </c>
      <c r="AC364" s="51">
        <v>0</v>
      </c>
      <c r="AD364" s="38">
        <f>IF(ISNUMBER($AB364),$AB364*(1+N($AC364)),"")</f>
      </c>
      <c r="AE364" s="50">
        <v>350</v>
      </c>
      <c r="AF364" s="50">
        <v>250</v>
      </c>
      <c r="AG364" s="51"/>
      <c r="AH364" s="39">
        <f>IF(ISNUMBER($AD364),($AD364+$AE364+$AF364)*$AG364,"")</f>
      </c>
      <c r="AI364" s="50"/>
      <c r="AJ364" s="38">
        <f>IF(ISNUMBER($AD364),SUM($AD364:$AH364),"")</f>
      </c>
      <c r="AK364" s="40">
        <f>IF(AND(ISNUMBER($AB364),ISNUMBER($AD364)),IF($AB364&gt;0,$AD364/$AB364,""),"")</f>
      </c>
      <c r="AL364" s="48" t="inlineStr">
        <is>
          <t xml:space="preserve">At technical</t>
        </is>
      </c>
      <c r="AM364" s="41">
        <f>IF(ISNUMBER($AD364),Header!$I$3,"")</f>
      </c>
      <c r="AN364" s="39">
        <f>IF(ISNUMBER($AD364),$AO364+$AP364,"")</f>
      </c>
      <c r="AO364" s="39">
        <f>IF(ISNUMBER($AD364),ROUND($AD364*Header!$K$3,2),"")</f>
      </c>
      <c r="AP364" s="39">
        <f>IF(ISNUMBER($AD364),ROUND($AD364*Header!$M$3,2),"")</f>
      </c>
      <c r="AQ364" s="38">
        <f>IF(ISNUMBER($AD364),ROUND($AD364,2)-$AO364-$AP364,"")</f>
      </c>
      <c r="AR364" s="39">
        <f>IF(ISNUMBER($AD364),IF(Header!$D$34="","?",$AD364*Header!$D$34),"")</f>
      </c>
      <c r="AS364" s="39">
        <f>IF(ISNUMBER($AB364),IF(Header!$D$34="","?",$AB364*Header!$D$34),"")</f>
      </c>
      <c r="AT364" s="42">
        <f>IF(AND(ISNUMBER($AB364),$M364&gt;0),$AB364/$M364*100,"")</f>
      </c>
      <c r="AU364" s="42">
        <f>IF(AND(ISNUMBER($AD364),$M364&gt;0),$AD364/$M364*100,"")</f>
      </c>
      <c r="AV364" s="40">
        <f>IF(AND(ISNUMBER($AB364),ISNUMBER($AD364),ABS($AB364)&gt;0),$AD364/$AB364,"")</f>
      </c>
      <c r="AW364" s="39">
        <f>IF(ISNUMBER($AD364),MAX(0,(1-0.55-Header!$O$3)*Header!$Q$3*$AQ364),"")</f>
      </c>
      <c r="AX364" s="43">
        <f>IF($A364="","",IF(TRIM(IF($A364="","Missing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",""))="","PASS","FAIL: "&amp;TRIM(IF($A364="","Missing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f>
      </c>
      <c r="AY364" s="44">
        <f>IF($M364="","",IF(ISNUMBER($M364),IF($M364&gt;=Header!$C$18,"YES — refer","No"),""))</f>
      </c>
      <c r="AZ364" s="44">
        <f>IF($AD364="","",IF(ISNUMBER($AD364),IF($AD364&lt;Header!$C$20,"BELOW MIN PREMIUM","OK"),""))</f>
      </c>
      <c r="BA364" s="48" t="inlineStr">
        <is>
          <t xml:space="preserve">Yes</t>
        </is>
      </c>
      <c r="BB364" s="48" t="inlineStr">
        <is>
          <t xml:space="preserve">Yes</t>
        </is>
      </c>
      <c r="BC364" s="46" t="inlineStr">
        <is>
          <t xml:space="preserve">Synthetic demo data</t>
        </is>
      </c>
      <c r="BE364" s="45">
        <f>IF(OR($A364="",$L364="",$H364=""),"",IF(AND(LEFT($L364,2)="06",$H364&gt;1945),"FAIL - pre-war class, year "&amp;$H364,IF(AND(LEFT($L364,2)="07",OR($H364&lt;1946,$H364&gt;1972)),"FAIL - 1946-72 class, year "&amp;$H364,IF(AND(LEFT($L364,2)="08",OR($H364&lt;1973,$H364&gt;1999)),"FAIL - 1973-99 class, year "&amp;$H364,IF(AND(LEFT($L364,2)="09",OR($H364&lt;2000,$H364&gt;2010)),"FAIL - 2000-10 class, year "&amp;$H364,"OK")))))</f>
      </c>
      <c r="BF364" s="45">
        <f>IF($AD364="","",IF(ROUND($AO364+$AP364+$AQ364-$AD364,2)=0,"OK","FAIL - out by "&amp;TEXT($AO364+$AP364+$AQ364-$AD364,"$0.00")))</f>
      </c>
    </row>
    <row r="365" spans="1:58" ht="18.75" customHeight="1" x14ac:dyDescent="0.25">
      <c r="A365" s="30" t="inlineStr">
        <is>
          <t xml:space="preserve">CANON-202606-008900</t>
        </is>
      </c>
      <c r="B365" s="30" t="inlineStr">
        <is>
          <t xml:space="preserve">Desmond Vandermeer</t>
        </is>
      </c>
      <c r="C365" s="31">
        <v>46202</v>
      </c>
      <c r="D365" s="32" t="inlineStr">
        <is>
          <t xml:space="preserve">Bound - within authority</t>
        </is>
      </c>
      <c r="E365" s="32" t="inlineStr">
        <is>
          <t xml:space="preserve">New business</t>
        </is>
      </c>
      <c r="F365" s="30" t="inlineStr">
        <is>
          <t xml:space="preserve">B1234EXOTIC26</t>
        </is>
      </c>
      <c r="G365" s="33">
        <f>IF($A365="","",IF($C365="","",YEAR($C365)))</f>
      </c>
      <c r="H365" s="34">
        <v>2013</v>
      </c>
      <c r="I365" s="30" t="inlineStr">
        <is>
          <t xml:space="preserve">Aston Martin</t>
        </is>
      </c>
      <c r="J365" s="30" t="inlineStr">
        <is>
          <t xml:space="preserve">DB12</t>
        </is>
      </c>
      <c r="K365" s="30" t="inlineStr">
        <is>
          <t xml:space="preserve">R1KEESYTDVDLRX9AZ</t>
        </is>
      </c>
      <c r="L365" s="32" t="inlineStr">
        <is>
          <t xml:space="preserve">02 - Sports / GT</t>
        </is>
      </c>
      <c r="M365" s="35">
        <v>240000</v>
      </c>
      <c r="N365" s="32" t="inlineStr">
        <is>
          <t xml:space="preserve">Personal</t>
        </is>
      </c>
      <c r="O365" s="30" t="inlineStr">
        <is>
          <t xml:space="preserve">Personal - regular use</t>
        </is>
      </c>
      <c r="P365" s="30" t="inlineStr">
        <is>
          <t xml:space="preserve">2,500 - 5,000</t>
        </is>
      </c>
      <c r="Q365" s="30" t="inlineStr">
        <is>
          <t xml:space="preserve">Maine</t>
        </is>
      </c>
      <c r="R365" s="30" t="inlineStr">
        <is>
          <t xml:space="preserve">04101</t>
        </is>
      </c>
      <c r="S365" s="32" t="inlineStr">
        <is>
          <t xml:space="preserve">Tier 3 - Coastal wind (25-100 miles)</t>
        </is>
      </c>
      <c r="T365" s="36">
        <f>IF($A365="","",IF($S365="","",IFERROR(INDEX('[1]natural catastrophe'!$D$6:$D$17,MATCH($S365,'[1]natural catastrophe'!$B$6:$B$17,0)),"?")))</f>
      </c>
      <c r="U365" s="30" t="inlineStr">
        <is>
          <t xml:space="preserve">2% of agreed value, minimum $10,000</t>
        </is>
      </c>
      <c r="V365" s="32" t="inlineStr">
        <is>
          <t xml:space="preserve">Agreed Value</t>
        </is>
      </c>
      <c r="W365" s="30" t="inlineStr">
        <is>
          <t xml:space="preserve">$1,000</t>
        </is>
      </c>
      <c r="X365" s="32" t="inlineStr">
        <is>
          <t xml:space="preserve">$1,000,000 CSL</t>
        </is>
      </c>
      <c r="Y365" s="30"/>
      <c r="Z365" s="30"/>
      <c r="AA365" s="32" t="inlineStr">
        <is>
          <t xml:space="preserve">Surplus Lines</t>
        </is>
      </c>
      <c r="AB365" s="35">
        <v>3441.08</v>
      </c>
      <c r="AC365" s="37">
        <v>0</v>
      </c>
      <c r="AD365" s="38">
        <f>IF(ISNUMBER($AB365),$AB365*(1+N($AC365)),"")</f>
      </c>
      <c r="AE365" s="35">
        <v>350</v>
      </c>
      <c r="AF365" s="35">
        <v>0</v>
      </c>
      <c r="AG365" s="37"/>
      <c r="AH365" s="39">
        <f>IF(ISNUMBER($AD365),($AD365+$AE365+$AF365)*$AG365,"")</f>
      </c>
      <c r="AI365" s="35"/>
      <c r="AJ365" s="38">
        <f>IF(ISNUMBER($AD365),SUM($AD365:$AH365),"")</f>
      </c>
      <c r="AK365" s="40">
        <f>IF(AND(ISNUMBER($AB365),ISNUMBER($AD365)),IF($AB365&gt;0,$AD365/$AB365,""),"")</f>
      </c>
      <c r="AL365" s="32" t="inlineStr">
        <is>
          <t xml:space="preserve">At technical</t>
        </is>
      </c>
      <c r="AM365" s="41">
        <f>IF(ISNUMBER($AD365),Header!$I$3,"")</f>
      </c>
      <c r="AN365" s="39">
        <f>IF(ISNUMBER($AD365),$AO365+$AP365,"")</f>
      </c>
      <c r="AO365" s="39">
        <f>IF(ISNUMBER($AD365),ROUND($AD365*Header!$K$3,2),"")</f>
      </c>
      <c r="AP365" s="39">
        <f>IF(ISNUMBER($AD365),ROUND($AD365*Header!$M$3,2),"")</f>
      </c>
      <c r="AQ365" s="38">
        <f>IF(ISNUMBER($AD365),ROUND($AD365,2)-$AO365-$AP365,"")</f>
      </c>
      <c r="AR365" s="39">
        <f>IF(ISNUMBER($AD365),IF(Header!$D$34="","?",$AD365*Header!$D$34),"")</f>
      </c>
      <c r="AS365" s="39">
        <f>IF(ISNUMBER($AB365),IF(Header!$D$34="","?",$AB365*Header!$D$34),"")</f>
      </c>
      <c r="AT365" s="42">
        <f>IF(AND(ISNUMBER($AB365),$M365&gt;0),$AB365/$M365*100,"")</f>
      </c>
      <c r="AU365" s="42">
        <f>IF(AND(ISNUMBER($AD365),$M365&gt;0),$AD365/$M365*100,"")</f>
      </c>
      <c r="AV365" s="40">
        <f>IF(AND(ISNUMBER($AB365),ISNUMBER($AD365),ABS($AB365)&gt;0),$AD365/$AB365,"")</f>
      </c>
      <c r="AW365" s="39">
        <f>IF(ISNUMBER($AD365),MAX(0,(1-0.55-Header!$O$3)*Header!$Q$3*$AQ365),"")</f>
      </c>
      <c r="AX365" s="43">
        <f>IF($A365="","",IF(TRIM(IF($A365="","Missing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",""))="","PASS","FAIL: "&amp;TRIM(IF($A365="","Missing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f>
      </c>
      <c r="AY365" s="44">
        <f>IF($M365="","",IF(ISNUMBER($M365),IF($M365&gt;=Header!$C$18,"YES — refer","No"),""))</f>
      </c>
      <c r="AZ365" s="44">
        <f>IF($AD365="","",IF(ISNUMBER($AD365),IF($AD365&lt;Header!$C$20,"BELOW MIN PREMIUM","OK"),""))</f>
      </c>
      <c r="BA365" s="32" t="inlineStr">
        <is>
          <t xml:space="preserve">Yes</t>
        </is>
      </c>
      <c r="BB365" s="32" t="inlineStr">
        <is>
          <t xml:space="preserve">Yes</t>
        </is>
      </c>
      <c r="BC365" s="30" t="inlineStr">
        <is>
          <t xml:space="preserve">Synthetic demo data</t>
        </is>
      </c>
      <c r="BE365" s="45">
        <f>IF(OR($A365="",$L365="",$H365=""),"",IF(AND(LEFT($L365,2)="06",$H365&gt;1945),"FAIL - pre-war class, year "&amp;$H365,IF(AND(LEFT($L365,2)="07",OR($H365&lt;1946,$H365&gt;1972)),"FAIL - 1946-72 class, year "&amp;$H365,IF(AND(LEFT($L365,2)="08",OR($H365&lt;1973,$H365&gt;1999)),"FAIL - 1973-99 class, year "&amp;$H365,IF(AND(LEFT($L365,2)="09",OR($H365&lt;2000,$H365&gt;2010)),"FAIL - 2000-10 class, year "&amp;$H365,"OK")))))</f>
      </c>
      <c r="BF365" s="45">
        <f>IF($AD365="","",IF(ROUND($AO365+$AP365+$AQ365-$AD365,2)=0,"OK","FAIL - out by "&amp;TEXT($AO365+$AP365+$AQ365-$AD365,"$0.00")))</f>
      </c>
    </row>
    <row r="366" spans="1:58" ht="18.75" customHeight="1" x14ac:dyDescent="0.25">
      <c r="A366" s="46" t="inlineStr">
        <is>
          <t xml:space="preserve">CANON-202606-008901</t>
        </is>
      </c>
      <c r="B366" s="46" t="inlineStr">
        <is>
          <t xml:space="preserve">Mireille Whitlock</t>
        </is>
      </c>
      <c r="C366" s="47">
        <v>46199</v>
      </c>
      <c r="D366" s="48" t="inlineStr">
        <is>
          <t xml:space="preserve">Bound - within authority</t>
        </is>
      </c>
      <c r="E366" s="48" t="inlineStr">
        <is>
          <t xml:space="preserve">New business</t>
        </is>
      </c>
      <c r="F366" s="46" t="inlineStr">
        <is>
          <t xml:space="preserve">B1234EXOTIC26</t>
        </is>
      </c>
      <c r="G366" s="33">
        <f>IF($A366="","",IF($C366="","",YEAR($C366)))</f>
      </c>
      <c r="H366" s="49">
        <v>1975</v>
      </c>
      <c r="I366" s="46" t="inlineStr">
        <is>
          <t xml:space="preserve">McLaren</t>
        </is>
      </c>
      <c r="J366" s="46" t="inlineStr">
        <is>
          <t xml:space="preserve">750S</t>
        </is>
      </c>
      <c r="K366" s="46" t="inlineStr">
        <is>
          <t xml:space="preserve">3CCXY7VKUD60AHBNC</t>
        </is>
      </c>
      <c r="L366" s="48" t="inlineStr">
        <is>
          <t xml:space="preserve">03 - Supercar</t>
        </is>
      </c>
      <c r="M366" s="50">
        <v>305000</v>
      </c>
      <c r="N366" s="48" t="inlineStr">
        <is>
          <t xml:space="preserve">Personal</t>
        </is>
      </c>
      <c r="O366" s="46" t="inlineStr">
        <is>
          <t xml:space="preserve">Personal - regular use</t>
        </is>
      </c>
      <c r="P366" s="46" t="inlineStr">
        <is>
          <t xml:space="preserve">Under 1,000</t>
        </is>
      </c>
      <c r="Q366" s="46" t="inlineStr">
        <is>
          <t xml:space="preserve">Maine</t>
        </is>
      </c>
      <c r="R366" s="46" t="inlineStr">
        <is>
          <t xml:space="preserve">04101</t>
        </is>
      </c>
      <c r="S366" s="48" t="inlineStr">
        <is>
          <t xml:space="preserve">Tier 3 - Coastal wind (25-100 miles)</t>
        </is>
      </c>
      <c r="T366" s="36">
        <f>IF($A366="","",IF($S366="","",IFERROR(INDEX('[1]natural catastrophe'!$D$6:$D$17,MATCH($S366,'[1]natural catastrophe'!$B$6:$B$17,0)),"?")))</f>
      </c>
      <c r="U366" s="46" t="inlineStr">
        <is>
          <t xml:space="preserve">2% of agreed value, minimum $10,000</t>
        </is>
      </c>
      <c r="V366" s="48" t="inlineStr">
        <is>
          <t xml:space="preserve">Agreed Value</t>
        </is>
      </c>
      <c r="W366" s="46" t="inlineStr">
        <is>
          <t xml:space="preserve">$1,000</t>
        </is>
      </c>
      <c r="X366" s="48" t="inlineStr">
        <is>
          <t xml:space="preserve">$1,000,000 CSL</t>
        </is>
      </c>
      <c r="Y366" s="46"/>
      <c r="Z366" s="46"/>
      <c r="AA366" s="48" t="inlineStr">
        <is>
          <t xml:space="preserve">Surplus Lines</t>
        </is>
      </c>
      <c r="AB366" s="50">
        <v>5466.3</v>
      </c>
      <c r="AC366" s="51">
        <v>0</v>
      </c>
      <c r="AD366" s="38">
        <f>IF(ISNUMBER($AB366),$AB366*(1+N($AC366)),"")</f>
      </c>
      <c r="AE366" s="50">
        <v>350</v>
      </c>
      <c r="AF366" s="50">
        <v>0</v>
      </c>
      <c r="AG366" s="51"/>
      <c r="AH366" s="39">
        <f>IF(ISNUMBER($AD366),($AD366+$AE366+$AF366)*$AG366,"")</f>
      </c>
      <c r="AI366" s="50"/>
      <c r="AJ366" s="38">
        <f>IF(ISNUMBER($AD366),SUM($AD366:$AH366),"")</f>
      </c>
      <c r="AK366" s="40">
        <f>IF(AND(ISNUMBER($AB366),ISNUMBER($AD366)),IF($AB366&gt;0,$AD366/$AB366,""),"")</f>
      </c>
      <c r="AL366" s="48" t="inlineStr">
        <is>
          <t xml:space="preserve">At technical</t>
        </is>
      </c>
      <c r="AM366" s="41">
        <f>IF(ISNUMBER($AD366),Header!$I$3,"")</f>
      </c>
      <c r="AN366" s="39">
        <f>IF(ISNUMBER($AD366),$AO366+$AP366,"")</f>
      </c>
      <c r="AO366" s="39">
        <f>IF(ISNUMBER($AD366),ROUND($AD366*Header!$K$3,2),"")</f>
      </c>
      <c r="AP366" s="39">
        <f>IF(ISNUMBER($AD366),ROUND($AD366*Header!$M$3,2),"")</f>
      </c>
      <c r="AQ366" s="38">
        <f>IF(ISNUMBER($AD366),ROUND($AD366,2)-$AO366-$AP366,"")</f>
      </c>
      <c r="AR366" s="39">
        <f>IF(ISNUMBER($AD366),IF(Header!$D$34="","?",$AD366*Header!$D$34),"")</f>
      </c>
      <c r="AS366" s="39">
        <f>IF(ISNUMBER($AB366),IF(Header!$D$34="","?",$AB366*Header!$D$34),"")</f>
      </c>
      <c r="AT366" s="42">
        <f>IF(AND(ISNUMBER($AB366),$M366&gt;0),$AB366/$M366*100,"")</f>
      </c>
      <c r="AU366" s="42">
        <f>IF(AND(ISNUMBER($AD366),$M366&gt;0),$AD366/$M366*100,"")</f>
      </c>
      <c r="AV366" s="40">
        <f>IF(AND(ISNUMBER($AB366),ISNUMBER($AD366),ABS($AB366)&gt;0),$AD366/$AB366,"")</f>
      </c>
      <c r="AW366" s="39">
        <f>IF(ISNUMBER($AD366),MAX(0,(1-0.55-Header!$O$3)*Header!$Q$3*$AQ366),"")</f>
      </c>
      <c r="AX366" s="43">
        <f>IF($A366="","",IF(TRIM(IF($A366="","Missing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",""))="","PASS","FAIL: "&amp;TRIM(IF($A366="","Missing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f>
      </c>
      <c r="AY366" s="44">
        <f>IF($M366="","",IF(ISNUMBER($M366),IF($M366&gt;=Header!$C$18,"YES — refer","No"),""))</f>
      </c>
      <c r="AZ366" s="44">
        <f>IF($AD366="","",IF(ISNUMBER($AD366),IF($AD366&lt;Header!$C$20,"BELOW MIN PREMIUM","OK"),""))</f>
      </c>
      <c r="BA366" s="48" t="inlineStr">
        <is>
          <t xml:space="preserve">Yes</t>
        </is>
      </c>
      <c r="BB366" s="48" t="inlineStr">
        <is>
          <t xml:space="preserve">Yes</t>
        </is>
      </c>
      <c r="BC366" s="46" t="inlineStr">
        <is>
          <t xml:space="preserve">Synthetic demo data</t>
        </is>
      </c>
      <c r="BE366" s="45">
        <f>IF(OR($A366="",$L366="",$H366=""),"",IF(AND(LEFT($L366,2)="06",$H366&gt;1945),"FAIL - pre-war class, year "&amp;$H366,IF(AND(LEFT($L366,2)="07",OR($H366&lt;1946,$H366&gt;1972)),"FAIL - 1946-72 class, year "&amp;$H366,IF(AND(LEFT($L366,2)="08",OR($H366&lt;1973,$H366&gt;1999)),"FAIL - 1973-99 class, year "&amp;$H366,IF(AND(LEFT($L366,2)="09",OR($H366&lt;2000,$H366&gt;2010)),"FAIL - 2000-10 class, year "&amp;$H366,"OK")))))</f>
      </c>
      <c r="BF366" s="45">
        <f>IF($AD366="","",IF(ROUND($AO366+$AP366+$AQ366-$AD366,2)=0,"OK","FAIL - out by "&amp;TEXT($AO366+$AP366+$AQ366-$AD366,"$0.00")))</f>
      </c>
    </row>
    <row r="367" spans="1:58" ht="18.75" customHeight="1" x14ac:dyDescent="0.25">
      <c r="A367" s="30" t="inlineStr">
        <is>
          <t xml:space="preserve">CANON-202606-008904</t>
        </is>
      </c>
      <c r="B367" s="30" t="inlineStr">
        <is>
          <t xml:space="preserve">Fitzgerald Delacroix</t>
        </is>
      </c>
      <c r="C367" s="31">
        <v>46200</v>
      </c>
      <c r="D367" s="32" t="inlineStr">
        <is>
          <t xml:space="preserve">Bound - within authority</t>
        </is>
      </c>
      <c r="E367" s="32" t="inlineStr">
        <is>
          <t xml:space="preserve">New business</t>
        </is>
      </c>
      <c r="F367" s="30" t="inlineStr">
        <is>
          <t xml:space="preserve">B1234EXOTIC26</t>
        </is>
      </c>
      <c r="G367" s="33">
        <f>IF($A367="","",IF($C367="","",YEAR($C367)))</f>
      </c>
      <c r="H367" s="34">
        <v>1988</v>
      </c>
      <c r="I367" s="30" t="inlineStr">
        <is>
          <t xml:space="preserve">BMW</t>
        </is>
      </c>
      <c r="J367" s="30" t="inlineStr">
        <is>
          <t xml:space="preserve">M8 Competition</t>
        </is>
      </c>
      <c r="K367" s="30" t="inlineStr">
        <is>
          <t xml:space="preserve">2NDY93FGEJZGSVGE1</t>
        </is>
      </c>
      <c r="L367" s="32" t="inlineStr">
        <is>
          <t xml:space="preserve">02 - Sports / GT</t>
        </is>
      </c>
      <c r="M367" s="35">
        <v>905000</v>
      </c>
      <c r="N367" s="32" t="inlineStr">
        <is>
          <t xml:space="preserve">Personal</t>
        </is>
      </c>
      <c r="O367" s="30" t="inlineStr">
        <is>
          <t xml:space="preserve">Personal - regular use</t>
        </is>
      </c>
      <c r="P367" s="30" t="inlineStr">
        <is>
          <t xml:space="preserve">Under 1,000</t>
        </is>
      </c>
      <c r="Q367" s="30" t="inlineStr">
        <is>
          <t xml:space="preserve">South Carolina</t>
        </is>
      </c>
      <c r="R367" s="30" t="inlineStr">
        <is>
          <t xml:space="preserve">29401</t>
        </is>
      </c>
      <c r="S367" s="32" t="inlineStr">
        <is>
          <t xml:space="preserve">Tier 2 - Coastal wind (1-25 miles)</t>
        </is>
      </c>
      <c r="T367" s="36">
        <f>IF($A367="","",IF($S367="","",IFERROR(INDEX('[1]natural catastrophe'!$D$6:$D$17,MATCH($S367,'[1]natural catastrophe'!$B$6:$B$17,0)),"?")))</f>
      </c>
      <c r="U367" s="30" t="inlineStr">
        <is>
          <t xml:space="preserve">2% of agreed value, minimum $10,000</t>
        </is>
      </c>
      <c r="V367" s="32" t="inlineStr">
        <is>
          <t xml:space="preserve">Agreed Value</t>
        </is>
      </c>
      <c r="W367" s="30" t="inlineStr">
        <is>
          <t xml:space="preserve">$1,000</t>
        </is>
      </c>
      <c r="X367" s="32" t="inlineStr">
        <is>
          <t xml:space="preserve">$1,000,000 CSL</t>
        </is>
      </c>
      <c r="Y367" s="30"/>
      <c r="Z367" s="30"/>
      <c r="AA367" s="32" t="inlineStr">
        <is>
          <t xml:space="preserve">Surplus Lines</t>
        </is>
      </c>
      <c r="AB367" s="35">
        <v>10525.81</v>
      </c>
      <c r="AC367" s="37">
        <v>0</v>
      </c>
      <c r="AD367" s="38">
        <f>IF(ISNUMBER($AB367),$AB367*(1+N($AC367)),"")</f>
      </c>
      <c r="AE367" s="35">
        <v>350</v>
      </c>
      <c r="AF367" s="35">
        <v>0</v>
      </c>
      <c r="AG367" s="37"/>
      <c r="AH367" s="39">
        <f>IF(ISNUMBER($AD367),($AD367+$AE367+$AF367)*$AG367,"")</f>
      </c>
      <c r="AI367" s="35"/>
      <c r="AJ367" s="38">
        <f>IF(ISNUMBER($AD367),SUM($AD367:$AH367),"")</f>
      </c>
      <c r="AK367" s="40">
        <f>IF(AND(ISNUMBER($AB367),ISNUMBER($AD367)),IF($AB367&gt;0,$AD367/$AB367,""),"")</f>
      </c>
      <c r="AL367" s="32" t="inlineStr">
        <is>
          <t xml:space="preserve">At technical</t>
        </is>
      </c>
      <c r="AM367" s="41">
        <f>IF(ISNUMBER($AD367),Header!$I$3,"")</f>
      </c>
      <c r="AN367" s="39">
        <f>IF(ISNUMBER($AD367),$AO367+$AP367,"")</f>
      </c>
      <c r="AO367" s="39">
        <f>IF(ISNUMBER($AD367),ROUND($AD367*Header!$K$3,2),"")</f>
      </c>
      <c r="AP367" s="39">
        <f>IF(ISNUMBER($AD367),ROUND($AD367*Header!$M$3,2),"")</f>
      </c>
      <c r="AQ367" s="38">
        <f>IF(ISNUMBER($AD367),ROUND($AD367,2)-$AO367-$AP367,"")</f>
      </c>
      <c r="AR367" s="39">
        <f>IF(ISNUMBER($AD367),IF(Header!$D$34="","?",$AD367*Header!$D$34),"")</f>
      </c>
      <c r="AS367" s="39">
        <f>IF(ISNUMBER($AB367),IF(Header!$D$34="","?",$AB367*Header!$D$34),"")</f>
      </c>
      <c r="AT367" s="42">
        <f>IF(AND(ISNUMBER($AB367),$M367&gt;0),$AB367/$M367*100,"")</f>
      </c>
      <c r="AU367" s="42">
        <f>IF(AND(ISNUMBER($AD367),$M367&gt;0),$AD367/$M367*100,"")</f>
      </c>
      <c r="AV367" s="40">
        <f>IF(AND(ISNUMBER($AB367),ISNUMBER($AD367),ABS($AB367)&gt;0),$AD367/$AB367,"")</f>
      </c>
      <c r="AW367" s="39">
        <f>IF(ISNUMBER($AD367),MAX(0,(1-0.55-Header!$O$3)*Header!$Q$3*$AQ367),"")</f>
      </c>
      <c r="AX367" s="43">
        <f>IF($A367="","",IF(TRIM(IF($A367="","Missing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",""))="","PASS","FAIL: "&amp;TRIM(IF($A367="","Missing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f>
      </c>
      <c r="AY367" s="44">
        <f>IF($M367="","",IF(ISNUMBER($M367),IF($M367&gt;=Header!$C$18,"YES — refer","No"),""))</f>
      </c>
      <c r="AZ367" s="44">
        <f>IF($AD367="","",IF(ISNUMBER($AD367),IF($AD367&lt;Header!$C$20,"BELOW MIN PREMIUM","OK"),""))</f>
      </c>
      <c r="BA367" s="32" t="inlineStr">
        <is>
          <t xml:space="preserve">Yes</t>
        </is>
      </c>
      <c r="BB367" s="32" t="inlineStr">
        <is>
          <t xml:space="preserve">Yes</t>
        </is>
      </c>
      <c r="BC367" s="30" t="inlineStr">
        <is>
          <t xml:space="preserve">Synthetic demo data</t>
        </is>
      </c>
      <c r="BE367" s="45">
        <f>IF(OR($A367="",$L367="",$H367=""),"",IF(AND(LEFT($L367,2)="06",$H367&gt;1945),"FAIL - pre-war class, year "&amp;$H367,IF(AND(LEFT($L367,2)="07",OR($H367&lt;1946,$H367&gt;1972)),"FAIL - 1946-72 class, year "&amp;$H367,IF(AND(LEFT($L367,2)="08",OR($H367&lt;1973,$H367&gt;1999)),"FAIL - 1973-99 class, year "&amp;$H367,IF(AND(LEFT($L367,2)="09",OR($H367&lt;2000,$H367&gt;2010)),"FAIL - 2000-10 class, year "&amp;$H367,"OK")))))</f>
      </c>
      <c r="BF367" s="45">
        <f>IF($AD367="","",IF(ROUND($AO367+$AP367+$AQ367-$AD367,2)=0,"OK","FAIL - out by "&amp;TEXT($AO367+$AP367+$AQ367-$AD367,"$0.00")))</f>
      </c>
    </row>
    <row r="368" spans="1:58" ht="18.75" customHeight="1" x14ac:dyDescent="0.25">
      <c r="A368" s="46" t="inlineStr">
        <is>
          <t xml:space="preserve">CANON-202606-008905</t>
        </is>
      </c>
      <c r="B368" s="46" t="inlineStr">
        <is>
          <t xml:space="preserve">Beatrix Bellandi</t>
        </is>
      </c>
      <c r="C368" s="47">
        <v>46180</v>
      </c>
      <c r="D368" s="48" t="inlineStr">
        <is>
          <t xml:space="preserve">Bound - within authority</t>
        </is>
      </c>
      <c r="E368" s="48" t="inlineStr">
        <is>
          <t xml:space="preserve">New business</t>
        </is>
      </c>
      <c r="F368" s="46" t="inlineStr">
        <is>
          <t xml:space="preserve">B1234EXOTIC26</t>
        </is>
      </c>
      <c r="G368" s="33">
        <f>IF($A368="","",IF($C368="","",YEAR($C368)))</f>
      </c>
      <c r="H368" s="49">
        <v>1966</v>
      </c>
      <c r="I368" s="46" t="inlineStr">
        <is>
          <t xml:space="preserve">Lamborghini</t>
        </is>
      </c>
      <c r="J368" s="46" t="inlineStr">
        <is>
          <t xml:space="preserve">Huracan EVO</t>
        </is>
      </c>
      <c r="K368" s="46" t="inlineStr">
        <is>
          <t xml:space="preserve">GGJR1T75SMALP0UZ4</t>
        </is>
      </c>
      <c r="L368" s="48" t="inlineStr">
        <is>
          <t xml:space="preserve">03 - Supercar</t>
        </is>
      </c>
      <c r="M368" s="50">
        <v>1700000</v>
      </c>
      <c r="N368" s="48" t="inlineStr">
        <is>
          <t xml:space="preserve">Personal</t>
        </is>
      </c>
      <c r="O368" s="46" t="inlineStr">
        <is>
          <t xml:space="preserve">Personal - regular use</t>
        </is>
      </c>
      <c r="P368" s="46" t="inlineStr">
        <is>
          <t xml:space="preserve">Under 1,000</t>
        </is>
      </c>
      <c r="Q368" s="46" t="inlineStr">
        <is>
          <t xml:space="preserve">Oklahoma</t>
        </is>
      </c>
      <c r="R368" s="46" t="inlineStr">
        <is>
          <t xml:space="preserve">73102</t>
        </is>
      </c>
      <c r="S368" s="48" t="inlineStr">
        <is>
          <t xml:space="preserve">Severe convective - hail alley (high)</t>
        </is>
      </c>
      <c r="T368" s="36">
        <f>IF($A368="","",IF($S368="","",IFERROR(INDEX('[1]natural catastrophe'!$D$6:$D$17,MATCH($S368,'[1]natural catastrophe'!$B$6:$B$17,0)),"?")))</f>
      </c>
      <c r="U368" s="46" t="inlineStr">
        <is>
          <t xml:space="preserve">$5,000</t>
        </is>
      </c>
      <c r="V368" s="48" t="inlineStr">
        <is>
          <t xml:space="preserve">Agreed Value</t>
        </is>
      </c>
      <c r="W368" s="46" t="inlineStr">
        <is>
          <t xml:space="preserve">$1,000</t>
        </is>
      </c>
      <c r="X368" s="48" t="inlineStr">
        <is>
          <t xml:space="preserve">$1,000,000 CSL</t>
        </is>
      </c>
      <c r="Y368" s="46"/>
      <c r="Z368" s="46"/>
      <c r="AA368" s="48" t="inlineStr">
        <is>
          <t xml:space="preserve">Surplus Lines</t>
        </is>
      </c>
      <c r="AB368" s="50">
        <v>24727.57</v>
      </c>
      <c r="AC368" s="51">
        <v>0</v>
      </c>
      <c r="AD368" s="38">
        <f>IF(ISNUMBER($AB368),$AB368*(1+N($AC368)),"")</f>
      </c>
      <c r="AE368" s="50">
        <v>350</v>
      </c>
      <c r="AF368" s="50">
        <v>250</v>
      </c>
      <c r="AG368" s="51"/>
      <c r="AH368" s="39">
        <f>IF(ISNUMBER($AD368),($AD368+$AE368+$AF368)*$AG368,"")</f>
      </c>
      <c r="AI368" s="50"/>
      <c r="AJ368" s="38">
        <f>IF(ISNUMBER($AD368),SUM($AD368:$AH368),"")</f>
      </c>
      <c r="AK368" s="40">
        <f>IF(AND(ISNUMBER($AB368),ISNUMBER($AD368)),IF($AB368&gt;0,$AD368/$AB368,""),"")</f>
      </c>
      <c r="AL368" s="48" t="inlineStr">
        <is>
          <t xml:space="preserve">At technical</t>
        </is>
      </c>
      <c r="AM368" s="41">
        <f>IF(ISNUMBER($AD368),Header!$I$3,"")</f>
      </c>
      <c r="AN368" s="39">
        <f>IF(ISNUMBER($AD368),$AO368+$AP368,"")</f>
      </c>
      <c r="AO368" s="39">
        <f>IF(ISNUMBER($AD368),ROUND($AD368*Header!$K$3,2),"")</f>
      </c>
      <c r="AP368" s="39">
        <f>IF(ISNUMBER($AD368),ROUND($AD368*Header!$M$3,2),"")</f>
      </c>
      <c r="AQ368" s="38">
        <f>IF(ISNUMBER($AD368),ROUND($AD368,2)-$AO368-$AP368,"")</f>
      </c>
      <c r="AR368" s="39">
        <f>IF(ISNUMBER($AD368),IF(Header!$D$34="","?",$AD368*Header!$D$34),"")</f>
      </c>
      <c r="AS368" s="39">
        <f>IF(ISNUMBER($AB368),IF(Header!$D$34="","?",$AB368*Header!$D$34),"")</f>
      </c>
      <c r="AT368" s="42">
        <f>IF(AND(ISNUMBER($AB368),$M368&gt;0),$AB368/$M368*100,"")</f>
      </c>
      <c r="AU368" s="42">
        <f>IF(AND(ISNUMBER($AD368),$M368&gt;0),$AD368/$M368*100,"")</f>
      </c>
      <c r="AV368" s="40">
        <f>IF(AND(ISNUMBER($AB368),ISNUMBER($AD368),ABS($AB368)&gt;0),$AD368/$AB368,"")</f>
      </c>
      <c r="AW368" s="39">
        <f>IF(ISNUMBER($AD368),MAX(0,(1-0.55-Header!$O$3)*Header!$Q$3*$AQ368),"")</f>
      </c>
      <c r="AX368" s="43">
        <f>IF($A368="","",IF(TRIM(IF($A368="","Missing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",""))="","PASS","FAIL: "&amp;TRIM(IF($A368="","Missing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f>
      </c>
      <c r="AY368" s="44">
        <f>IF($M368="","",IF(ISNUMBER($M368),IF($M368&gt;=Header!$C$18,"YES — refer","No"),""))</f>
      </c>
      <c r="AZ368" s="44">
        <f>IF($AD368="","",IF(ISNUMBER($AD368),IF($AD368&lt;Header!$C$20,"BELOW MIN PREMIUM","OK"),""))</f>
      </c>
      <c r="BA368" s="48" t="inlineStr">
        <is>
          <t xml:space="preserve">Yes</t>
        </is>
      </c>
      <c r="BB368" s="48" t="inlineStr">
        <is>
          <t xml:space="preserve">Yes</t>
        </is>
      </c>
      <c r="BC368" s="46" t="inlineStr">
        <is>
          <t xml:space="preserve">Synthetic demo data</t>
        </is>
      </c>
      <c r="BE368" s="45">
        <f>IF(OR($A368="",$L368="",$H368=""),"",IF(AND(LEFT($L368,2)="06",$H368&gt;1945),"FAIL - pre-war class, year "&amp;$H368,IF(AND(LEFT($L368,2)="07",OR($H368&lt;1946,$H368&gt;1972)),"FAIL - 1946-72 class, year "&amp;$H368,IF(AND(LEFT($L368,2)="08",OR($H368&lt;1973,$H368&gt;1999)),"FAIL - 1973-99 class, year "&amp;$H368,IF(AND(LEFT($L368,2)="09",OR($H368&lt;2000,$H368&gt;2010)),"FAIL - 2000-10 class, year "&amp;$H368,"OK")))))</f>
      </c>
      <c r="BF368" s="45">
        <f>IF($AD368="","",IF(ROUND($AO368+$AP368+$AQ368-$AD368,2)=0,"OK","FAIL - out by "&amp;TEXT($AO368+$AP368+$AQ368-$AD368,"$0.00")))</f>
      </c>
    </row>
    <row r="369" spans="1:58" ht="18.75" customHeight="1" x14ac:dyDescent="0.25">
      <c r="A369" s="30" t="inlineStr">
        <is>
          <t xml:space="preserve">CANON-202606-008906</t>
        </is>
      </c>
      <c r="B369" s="30" t="inlineStr">
        <is>
          <t xml:space="preserve">Emiliano Nakashima</t>
        </is>
      </c>
      <c r="C369" s="31">
        <v>46197</v>
      </c>
      <c r="D369" s="32" t="inlineStr">
        <is>
          <t xml:space="preserve">Bound - within authority</t>
        </is>
      </c>
      <c r="E369" s="32" t="inlineStr">
        <is>
          <t xml:space="preserve">New business</t>
        </is>
      </c>
      <c r="F369" s="30" t="inlineStr">
        <is>
          <t xml:space="preserve">B1234EXOTIC26</t>
        </is>
      </c>
      <c r="G369" s="33">
        <f>IF($A369="","",IF($C369="","",YEAR($C369)))</f>
      </c>
      <c r="H369" s="34">
        <v>1981</v>
      </c>
      <c r="I369" s="30" t="inlineStr">
        <is>
          <t xml:space="preserve">Porsche</t>
        </is>
      </c>
      <c r="J369" s="30" t="inlineStr">
        <is>
          <t xml:space="preserve">911 Turbo S</t>
        </is>
      </c>
      <c r="K369" s="30" t="inlineStr">
        <is>
          <t xml:space="preserve">BYZKTNLPSHDVF3G22</t>
        </is>
      </c>
      <c r="L369" s="32" t="inlineStr">
        <is>
          <t xml:space="preserve">02 - Sports / GT</t>
        </is>
      </c>
      <c r="M369" s="35">
        <v>590000</v>
      </c>
      <c r="N369" s="32" t="inlineStr">
        <is>
          <t xml:space="preserve">Personal</t>
        </is>
      </c>
      <c r="O369" s="30" t="inlineStr">
        <is>
          <t xml:space="preserve">Personal - regular use</t>
        </is>
      </c>
      <c r="P369" s="30" t="inlineStr">
        <is>
          <t xml:space="preserve">2,500 - 5,000</t>
        </is>
      </c>
      <c r="Q369" s="30" t="inlineStr">
        <is>
          <t xml:space="preserve">Wyoming</t>
        </is>
      </c>
      <c r="R369" s="30" t="inlineStr">
        <is>
          <t xml:space="preserve">82001</t>
        </is>
      </c>
      <c r="S369" s="32" t="inlineStr">
        <is>
          <t xml:space="preserve">Severe convective - hail alley (high)</t>
        </is>
      </c>
      <c r="T369" s="36">
        <f>IF($A369="","",IF($S369="","",IFERROR(INDEX('[1]natural catastrophe'!$D$6:$D$17,MATCH($S369,'[1]natural catastrophe'!$B$6:$B$17,0)),"?")))</f>
      </c>
      <c r="U369" s="30" t="inlineStr">
        <is>
          <t xml:space="preserve">$5,000</t>
        </is>
      </c>
      <c r="V369" s="32" t="inlineStr">
        <is>
          <t xml:space="preserve">Agreed Value</t>
        </is>
      </c>
      <c r="W369" s="30" t="inlineStr">
        <is>
          <t xml:space="preserve">$1,000</t>
        </is>
      </c>
      <c r="X369" s="32" t="inlineStr">
        <is>
          <t xml:space="preserve">$1,000,000 CSL</t>
        </is>
      </c>
      <c r="Y369" s="30"/>
      <c r="Z369" s="30"/>
      <c r="AA369" s="32" t="inlineStr">
        <is>
          <t xml:space="preserve">Surplus Lines</t>
        </is>
      </c>
      <c r="AB369" s="35">
        <v>5921.36</v>
      </c>
      <c r="AC369" s="37">
        <v>0</v>
      </c>
      <c r="AD369" s="38">
        <f>IF(ISNUMBER($AB369),$AB369*(1+N($AC369)),"")</f>
      </c>
      <c r="AE369" s="35">
        <v>350</v>
      </c>
      <c r="AF369" s="35">
        <v>0</v>
      </c>
      <c r="AG369" s="37"/>
      <c r="AH369" s="39">
        <f>IF(ISNUMBER($AD369),($AD369+$AE369+$AF369)*$AG369,"")</f>
      </c>
      <c r="AI369" s="35"/>
      <c r="AJ369" s="38">
        <f>IF(ISNUMBER($AD369),SUM($AD369:$AH369),"")</f>
      </c>
      <c r="AK369" s="40">
        <f>IF(AND(ISNUMBER($AB369),ISNUMBER($AD369)),IF($AB369&gt;0,$AD369/$AB369,""),"")</f>
      </c>
      <c r="AL369" s="32" t="inlineStr">
        <is>
          <t xml:space="preserve">At technical</t>
        </is>
      </c>
      <c r="AM369" s="41">
        <f>IF(ISNUMBER($AD369),Header!$I$3,"")</f>
      </c>
      <c r="AN369" s="39">
        <f>IF(ISNUMBER($AD369),$AO369+$AP369,"")</f>
      </c>
      <c r="AO369" s="39">
        <f>IF(ISNUMBER($AD369),ROUND($AD369*Header!$K$3,2),"")</f>
      </c>
      <c r="AP369" s="39">
        <f>IF(ISNUMBER($AD369),ROUND($AD369*Header!$M$3,2),"")</f>
      </c>
      <c r="AQ369" s="38">
        <f>IF(ISNUMBER($AD369),ROUND($AD369,2)-$AO369-$AP369,"")</f>
      </c>
      <c r="AR369" s="39">
        <f>IF(ISNUMBER($AD369),IF(Header!$D$34="","?",$AD369*Header!$D$34),"")</f>
      </c>
      <c r="AS369" s="39">
        <f>IF(ISNUMBER($AB369),IF(Header!$D$34="","?",$AB369*Header!$D$34),"")</f>
      </c>
      <c r="AT369" s="42">
        <f>IF(AND(ISNUMBER($AB369),$M369&gt;0),$AB369/$M369*100,"")</f>
      </c>
      <c r="AU369" s="42">
        <f>IF(AND(ISNUMBER($AD369),$M369&gt;0),$AD369/$M369*100,"")</f>
      </c>
      <c r="AV369" s="40">
        <f>IF(AND(ISNUMBER($AB369),ISNUMBER($AD369),ABS($AB369)&gt;0),$AD369/$AB369,"")</f>
      </c>
      <c r="AW369" s="39">
        <f>IF(ISNUMBER($AD369),MAX(0,(1-0.55-Header!$O$3)*Header!$Q$3*$AQ369),"")</f>
      </c>
      <c r="AX369" s="43">
        <f>IF($A369="","",IF(TRIM(IF($A369="","Missing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",""))="","PASS","FAIL: "&amp;TRIM(IF($A369="","Missing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f>
      </c>
      <c r="AY369" s="44">
        <f>IF($M369="","",IF(ISNUMBER($M369),IF($M369&gt;=Header!$C$18,"YES — refer","No"),""))</f>
      </c>
      <c r="AZ369" s="44">
        <f>IF($AD369="","",IF(ISNUMBER($AD369),IF($AD369&lt;Header!$C$20,"BELOW MIN PREMIUM","OK"),""))</f>
      </c>
      <c r="BA369" s="32" t="inlineStr">
        <is>
          <t xml:space="preserve">Yes</t>
        </is>
      </c>
      <c r="BB369" s="32" t="inlineStr">
        <is>
          <t xml:space="preserve">Yes</t>
        </is>
      </c>
      <c r="BC369" s="30" t="inlineStr">
        <is>
          <t xml:space="preserve">Synthetic demo data</t>
        </is>
      </c>
      <c r="BE369" s="45">
        <f>IF(OR($A369="",$L369="",$H369=""),"",IF(AND(LEFT($L369,2)="06",$H369&gt;1945),"FAIL - pre-war class, year "&amp;$H369,IF(AND(LEFT($L369,2)="07",OR($H369&lt;1946,$H369&gt;1972)),"FAIL - 1946-72 class, year "&amp;$H369,IF(AND(LEFT($L369,2)="08",OR($H369&lt;1973,$H369&gt;1999)),"FAIL - 1973-99 class, year "&amp;$H369,IF(AND(LEFT($L369,2)="09",OR($H369&lt;2000,$H369&gt;2010)),"FAIL - 2000-10 class, year "&amp;$H369,"OK")))))</f>
      </c>
      <c r="BF369" s="45">
        <f>IF($AD369="","",IF(ROUND($AO369+$AP369+$AQ369-$AD369,2)=0,"OK","FAIL - out by "&amp;TEXT($AO369+$AP369+$AQ369-$AD369,"$0.00")))</f>
      </c>
    </row>
    <row r="370" spans="1:58" ht="18.75" customHeight="1" x14ac:dyDescent="0.25">
      <c r="A370" s="46" t="inlineStr">
        <is>
          <t xml:space="preserve">CANON-202606-008907</t>
        </is>
      </c>
      <c r="B370" s="46" t="inlineStr">
        <is>
          <t xml:space="preserve">Callum Nakashima</t>
        </is>
      </c>
      <c r="C370" s="47">
        <v>46197</v>
      </c>
      <c r="D370" s="48" t="inlineStr">
        <is>
          <t xml:space="preserve">Bound - within authority</t>
        </is>
      </c>
      <c r="E370" s="48" t="inlineStr">
        <is>
          <t xml:space="preserve">New business</t>
        </is>
      </c>
      <c r="F370" s="46" t="inlineStr">
        <is>
          <t xml:space="preserve">B1234EXOTIC26</t>
        </is>
      </c>
      <c r="G370" s="33">
        <f>IF($A370="","",IF($C370="","",YEAR($C370)))</f>
      </c>
      <c r="H370" s="49">
        <v>1959</v>
      </c>
      <c r="I370" s="46" t="inlineStr">
        <is>
          <t xml:space="preserve">Mercedes-Benz</t>
        </is>
      </c>
      <c r="J370" s="46" t="inlineStr">
        <is>
          <t xml:space="preserve">AMG GT</t>
        </is>
      </c>
      <c r="K370" s="46" t="inlineStr">
        <is>
          <t xml:space="preserve">GAENSPNWBE4YWCCN9</t>
        </is>
      </c>
      <c r="L370" s="48" t="inlineStr">
        <is>
          <t xml:space="preserve">02 - Sports / GT</t>
        </is>
      </c>
      <c r="M370" s="50">
        <v>615000</v>
      </c>
      <c r="N370" s="48" t="inlineStr">
        <is>
          <t xml:space="preserve">Personal</t>
        </is>
      </c>
      <c r="O370" s="46" t="inlineStr">
        <is>
          <t xml:space="preserve">Personal - regular use</t>
        </is>
      </c>
      <c r="P370" s="46" t="inlineStr">
        <is>
          <t xml:space="preserve">2,500 - 5,000</t>
        </is>
      </c>
      <c r="Q370" s="46" t="inlineStr">
        <is>
          <t xml:space="preserve">Michigan</t>
        </is>
      </c>
      <c r="R370" s="46" t="inlineStr">
        <is>
          <t xml:space="preserve">48226</t>
        </is>
      </c>
      <c r="S370" s="48" t="inlineStr">
        <is>
          <t xml:space="preserve">Severe convective - hail / tornado (moderate)</t>
        </is>
      </c>
      <c r="T370" s="36">
        <f>IF($A370="","",IF($S370="","",IFERROR(INDEX('[1]natural catastrophe'!$D$6:$D$17,MATCH($S370,'[1]natural catastrophe'!$B$6:$B$17,0)),"?")))</f>
      </c>
      <c r="U370" s="46" t="inlineStr">
        <is>
          <t xml:space="preserve">$5,000</t>
        </is>
      </c>
      <c r="V370" s="48" t="inlineStr">
        <is>
          <t xml:space="preserve">Agreed Value</t>
        </is>
      </c>
      <c r="W370" s="46" t="inlineStr">
        <is>
          <t xml:space="preserve">$1,000</t>
        </is>
      </c>
      <c r="X370" s="48" t="inlineStr">
        <is>
          <t xml:space="preserve">$1,000,000 CSL</t>
        </is>
      </c>
      <c r="Y370" s="46"/>
      <c r="Z370" s="46"/>
      <c r="AA370" s="48" t="inlineStr">
        <is>
          <t xml:space="preserve">Surplus Lines</t>
        </is>
      </c>
      <c r="AB370" s="50">
        <v>8941.12</v>
      </c>
      <c r="AC370" s="51">
        <v>0</v>
      </c>
      <c r="AD370" s="38">
        <f>IF(ISNUMBER($AB370),$AB370*(1+N($AC370)),"")</f>
      </c>
      <c r="AE370" s="50">
        <v>350</v>
      </c>
      <c r="AF370" s="50">
        <v>0</v>
      </c>
      <c r="AG370" s="51"/>
      <c r="AH370" s="39">
        <f>IF(ISNUMBER($AD370),($AD370+$AE370+$AF370)*$AG370,"")</f>
      </c>
      <c r="AI370" s="50"/>
      <c r="AJ370" s="38">
        <f>IF(ISNUMBER($AD370),SUM($AD370:$AH370),"")</f>
      </c>
      <c r="AK370" s="40">
        <f>IF(AND(ISNUMBER($AB370),ISNUMBER($AD370)),IF($AB370&gt;0,$AD370/$AB370,""),"")</f>
      </c>
      <c r="AL370" s="48" t="inlineStr">
        <is>
          <t xml:space="preserve">At technical</t>
        </is>
      </c>
      <c r="AM370" s="41">
        <f>IF(ISNUMBER($AD370),Header!$I$3,"")</f>
      </c>
      <c r="AN370" s="39">
        <f>IF(ISNUMBER($AD370),$AO370+$AP370,"")</f>
      </c>
      <c r="AO370" s="39">
        <f>IF(ISNUMBER($AD370),ROUND($AD370*Header!$K$3,2),"")</f>
      </c>
      <c r="AP370" s="39">
        <f>IF(ISNUMBER($AD370),ROUND($AD370*Header!$M$3,2),"")</f>
      </c>
      <c r="AQ370" s="38">
        <f>IF(ISNUMBER($AD370),ROUND($AD370,2)-$AO370-$AP370,"")</f>
      </c>
      <c r="AR370" s="39">
        <f>IF(ISNUMBER($AD370),IF(Header!$D$34="","?",$AD370*Header!$D$34),"")</f>
      </c>
      <c r="AS370" s="39">
        <f>IF(ISNUMBER($AB370),IF(Header!$D$34="","?",$AB370*Header!$D$34),"")</f>
      </c>
      <c r="AT370" s="42">
        <f>IF(AND(ISNUMBER($AB370),$M370&gt;0),$AB370/$M370*100,"")</f>
      </c>
      <c r="AU370" s="42">
        <f>IF(AND(ISNUMBER($AD370),$M370&gt;0),$AD370/$M370*100,"")</f>
      </c>
      <c r="AV370" s="40">
        <f>IF(AND(ISNUMBER($AB370),ISNUMBER($AD370),ABS($AB370)&gt;0),$AD370/$AB370,"")</f>
      </c>
      <c r="AW370" s="39">
        <f>IF(ISNUMBER($AD370),MAX(0,(1-0.55-Header!$O$3)*Header!$Q$3*$AQ370),"")</f>
      </c>
      <c r="AX370" s="43">
        <f>IF($A370="","",IF(TRIM(IF($A370="","Missing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",""))="","PASS","FAIL: "&amp;TRIM(IF($A370="","Missing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f>
      </c>
      <c r="AY370" s="44">
        <f>IF($M370="","",IF(ISNUMBER($M370),IF($M370&gt;=Header!$C$18,"YES — refer","No"),""))</f>
      </c>
      <c r="AZ370" s="44">
        <f>IF($AD370="","",IF(ISNUMBER($AD370),IF($AD370&lt;Header!$C$20,"BELOW MIN PREMIUM","OK"),""))</f>
      </c>
      <c r="BA370" s="48" t="inlineStr">
        <is>
          <t xml:space="preserve">Yes</t>
        </is>
      </c>
      <c r="BB370" s="48" t="inlineStr">
        <is>
          <t xml:space="preserve">Yes</t>
        </is>
      </c>
      <c r="BC370" s="46" t="inlineStr">
        <is>
          <t xml:space="preserve">Synthetic demo data</t>
        </is>
      </c>
      <c r="BE370" s="45">
        <f>IF(OR($A370="",$L370="",$H370=""),"",IF(AND(LEFT($L370,2)="06",$H370&gt;1945),"FAIL - pre-war class, year "&amp;$H370,IF(AND(LEFT($L370,2)="07",OR($H370&lt;1946,$H370&gt;1972)),"FAIL - 1946-72 class, year "&amp;$H370,IF(AND(LEFT($L370,2)="08",OR($H370&lt;1973,$H370&gt;1999)),"FAIL - 1973-99 class, year "&amp;$H370,IF(AND(LEFT($L370,2)="09",OR($H370&lt;2000,$H370&gt;2010)),"FAIL - 2000-10 class, year "&amp;$H370,"OK")))))</f>
      </c>
      <c r="BF370" s="45">
        <f>IF($AD370="","",IF(ROUND($AO370+$AP370+$AQ370-$AD370,2)=0,"OK","FAIL - out by "&amp;TEXT($AO370+$AP370+$AQ370-$AD370,"$0.00")))</f>
      </c>
    </row>
    <row r="371" spans="1:58" ht="18.75" customHeight="1" x14ac:dyDescent="0.25">
      <c r="A371" s="30" t="inlineStr">
        <is>
          <t xml:space="preserve">CANON-202606-008908</t>
        </is>
      </c>
      <c r="B371" s="30" t="inlineStr">
        <is>
          <t xml:space="preserve">Ingrid Farkas</t>
        </is>
      </c>
      <c r="C371" s="31">
        <v>46185</v>
      </c>
      <c r="D371" s="32" t="inlineStr">
        <is>
          <t xml:space="preserve">Bound - within authority</t>
        </is>
      </c>
      <c r="E371" s="32" t="inlineStr">
        <is>
          <t xml:space="preserve">New business</t>
        </is>
      </c>
      <c r="F371" s="30" t="inlineStr">
        <is>
          <t xml:space="preserve">B1234EXOTIC26</t>
        </is>
      </c>
      <c r="G371" s="33">
        <f>IF($A371="","",IF($C371="","",YEAR($C371)))</f>
      </c>
      <c r="H371" s="34">
        <v>1984</v>
      </c>
      <c r="I371" s="30" t="inlineStr">
        <is>
          <t xml:space="preserve">BMW</t>
        </is>
      </c>
      <c r="J371" s="30" t="inlineStr">
        <is>
          <t xml:space="preserve">M8 Competition</t>
        </is>
      </c>
      <c r="K371" s="30" t="inlineStr">
        <is>
          <t xml:space="preserve">TVRAF7AXYMU1CWV5U</t>
        </is>
      </c>
      <c r="L371" s="32" t="inlineStr">
        <is>
          <t xml:space="preserve">02 - Sports / GT</t>
        </is>
      </c>
      <c r="M371" s="35">
        <v>390000</v>
      </c>
      <c r="N371" s="32" t="inlineStr">
        <is>
          <t xml:space="preserve">Personal</t>
        </is>
      </c>
      <c r="O371" s="30" t="inlineStr">
        <is>
          <t xml:space="preserve">Personal - regular use</t>
        </is>
      </c>
      <c r="P371" s="30" t="inlineStr">
        <is>
          <t xml:space="preserve">Under 1,000</t>
        </is>
      </c>
      <c r="Q371" s="30" t="inlineStr">
        <is>
          <t xml:space="preserve">Texas</t>
        </is>
      </c>
      <c r="R371" s="30" t="inlineStr">
        <is>
          <t xml:space="preserve">75201</t>
        </is>
      </c>
      <c r="S371" s="32" t="inlineStr">
        <is>
          <t xml:space="preserve">Tier 2 - Coastal wind (1-25 miles)</t>
        </is>
      </c>
      <c r="T371" s="36">
        <f>IF($A371="","",IF($S371="","",IFERROR(INDEX('[1]natural catastrophe'!$D$6:$D$17,MATCH($S371,'[1]natural catastrophe'!$B$6:$B$17,0)),"?")))</f>
      </c>
      <c r="U371" s="30" t="inlineStr">
        <is>
          <t xml:space="preserve">2% of agreed value, minimum $10,000</t>
        </is>
      </c>
      <c r="V371" s="32" t="inlineStr">
        <is>
          <t xml:space="preserve">Agreed Value</t>
        </is>
      </c>
      <c r="W371" s="30" t="inlineStr">
        <is>
          <t xml:space="preserve">$1,000</t>
        </is>
      </c>
      <c r="X371" s="32" t="inlineStr">
        <is>
          <t xml:space="preserve">$1,000,000 CSL</t>
        </is>
      </c>
      <c r="Y371" s="30"/>
      <c r="Z371" s="30"/>
      <c r="AA371" s="32" t="inlineStr">
        <is>
          <t xml:space="preserve">Surplus Lines</t>
        </is>
      </c>
      <c r="AB371" s="35">
        <v>4853.96</v>
      </c>
      <c r="AC371" s="37">
        <v>0</v>
      </c>
      <c r="AD371" s="38">
        <f>IF(ISNUMBER($AB371),$AB371*(1+N($AC371)),"")</f>
      </c>
      <c r="AE371" s="35">
        <v>350</v>
      </c>
      <c r="AF371" s="35">
        <v>0</v>
      </c>
      <c r="AG371" s="37"/>
      <c r="AH371" s="39">
        <f>IF(ISNUMBER($AD371),($AD371+$AE371+$AF371)*$AG371,"")</f>
      </c>
      <c r="AI371" s="35"/>
      <c r="AJ371" s="38">
        <f>IF(ISNUMBER($AD371),SUM($AD371:$AH371),"")</f>
      </c>
      <c r="AK371" s="40">
        <f>IF(AND(ISNUMBER($AB371),ISNUMBER($AD371)),IF($AB371&gt;0,$AD371/$AB371,""),"")</f>
      </c>
      <c r="AL371" s="32" t="inlineStr">
        <is>
          <t xml:space="preserve">At technical</t>
        </is>
      </c>
      <c r="AM371" s="41">
        <f>IF(ISNUMBER($AD371),Header!$I$3,"")</f>
      </c>
      <c r="AN371" s="39">
        <f>IF(ISNUMBER($AD371),$AO371+$AP371,"")</f>
      </c>
      <c r="AO371" s="39">
        <f>IF(ISNUMBER($AD371),ROUND($AD371*Header!$K$3,2),"")</f>
      </c>
      <c r="AP371" s="39">
        <f>IF(ISNUMBER($AD371),ROUND($AD371*Header!$M$3,2),"")</f>
      </c>
      <c r="AQ371" s="38">
        <f>IF(ISNUMBER($AD371),ROUND($AD371,2)-$AO371-$AP371,"")</f>
      </c>
      <c r="AR371" s="39">
        <f>IF(ISNUMBER($AD371),IF(Header!$D$34="","?",$AD371*Header!$D$34),"")</f>
      </c>
      <c r="AS371" s="39">
        <f>IF(ISNUMBER($AB371),IF(Header!$D$34="","?",$AB371*Header!$D$34),"")</f>
      </c>
      <c r="AT371" s="42">
        <f>IF(AND(ISNUMBER($AB371),$M371&gt;0),$AB371/$M371*100,"")</f>
      </c>
      <c r="AU371" s="42">
        <f>IF(AND(ISNUMBER($AD371),$M371&gt;0),$AD371/$M371*100,"")</f>
      </c>
      <c r="AV371" s="40">
        <f>IF(AND(ISNUMBER($AB371),ISNUMBER($AD371),ABS($AB371)&gt;0),$AD371/$AB371,"")</f>
      </c>
      <c r="AW371" s="39">
        <f>IF(ISNUMBER($AD371),MAX(0,(1-0.55-Header!$O$3)*Header!$Q$3*$AQ371),"")</f>
      </c>
      <c r="AX371" s="43">
        <f>IF($A371="","",IF(TRIM(IF($A371="","Missing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",""))="","PASS","FAIL: "&amp;TRIM(IF($A371="","Missing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f>
      </c>
      <c r="AY371" s="44">
        <f>IF($M371="","",IF(ISNUMBER($M371),IF($M371&gt;=Header!$C$18,"YES — refer","No"),""))</f>
      </c>
      <c r="AZ371" s="44">
        <f>IF($AD371="","",IF(ISNUMBER($AD371),IF($AD371&lt;Header!$C$20,"BELOW MIN PREMIUM","OK"),""))</f>
      </c>
      <c r="BA371" s="32" t="inlineStr">
        <is>
          <t xml:space="preserve">Yes</t>
        </is>
      </c>
      <c r="BB371" s="32" t="inlineStr">
        <is>
          <t xml:space="preserve">Yes</t>
        </is>
      </c>
      <c r="BC371" s="30" t="inlineStr">
        <is>
          <t xml:space="preserve">Synthetic demo data</t>
        </is>
      </c>
      <c r="BE371" s="45">
        <f>IF(OR($A371="",$L371="",$H371=""),"",IF(AND(LEFT($L371,2)="06",$H371&gt;1945),"FAIL - pre-war class, year "&amp;$H371,IF(AND(LEFT($L371,2)="07",OR($H371&lt;1946,$H371&gt;1972)),"FAIL - 1946-72 class, year "&amp;$H371,IF(AND(LEFT($L371,2)="08",OR($H371&lt;1973,$H371&gt;1999)),"FAIL - 1973-99 class, year "&amp;$H371,IF(AND(LEFT($L371,2)="09",OR($H371&lt;2000,$H371&gt;2010)),"FAIL - 2000-10 class, year "&amp;$H371,"OK")))))</f>
      </c>
      <c r="BF371" s="45">
        <f>IF($AD371="","",IF(ROUND($AO371+$AP371+$AQ371-$AD371,2)=0,"OK","FAIL - out by "&amp;TEXT($AO371+$AP371+$AQ371-$AD371,"$0.00")))</f>
      </c>
    </row>
    <row r="372" spans="1:58" ht="18.75" customHeight="1" x14ac:dyDescent="0.25">
      <c r="A372" s="46" t="inlineStr">
        <is>
          <t xml:space="preserve">CANON-202606-008910</t>
        </is>
      </c>
      <c r="B372" s="46" t="inlineStr">
        <is>
          <t xml:space="preserve">Saoirse Larsson</t>
        </is>
      </c>
      <c r="C372" s="47">
        <v>46201</v>
      </c>
      <c r="D372" s="48" t="inlineStr">
        <is>
          <t xml:space="preserve">Bound - within authority</t>
        </is>
      </c>
      <c r="E372" s="48" t="inlineStr">
        <is>
          <t xml:space="preserve">New business</t>
        </is>
      </c>
      <c r="F372" s="46" t="inlineStr">
        <is>
          <t xml:space="preserve">B1234EXOTIC26</t>
        </is>
      </c>
      <c r="G372" s="33">
        <f>IF($A372="","",IF($C372="","",YEAR($C372)))</f>
      </c>
      <c r="H372" s="49">
        <v>2016</v>
      </c>
      <c r="I372" s="46" t="inlineStr">
        <is>
          <t xml:space="preserve">Ferrari</t>
        </is>
      </c>
      <c r="J372" s="46" t="inlineStr">
        <is>
          <t xml:space="preserve">275 GTB/4</t>
        </is>
      </c>
      <c r="K372" s="46" t="inlineStr">
        <is>
          <t xml:space="preserve">L5P4SHTF5KUDETUS4</t>
        </is>
      </c>
      <c r="L372" s="48" t="inlineStr">
        <is>
          <t xml:space="preserve">02 - Sports / GT</t>
        </is>
      </c>
      <c r="M372" s="50">
        <v>800000</v>
      </c>
      <c r="N372" s="48" t="inlineStr">
        <is>
          <t xml:space="preserve">Personal</t>
        </is>
      </c>
      <c r="O372" s="46" t="inlineStr">
        <is>
          <t xml:space="preserve">Personal - regular use</t>
        </is>
      </c>
      <c r="P372" s="46" t="inlineStr">
        <is>
          <t xml:space="preserve">1,000 - 2,500</t>
        </is>
      </c>
      <c r="Q372" s="46" t="inlineStr">
        <is>
          <t xml:space="preserve">North Dakota</t>
        </is>
      </c>
      <c r="R372" s="46" t="inlineStr">
        <is>
          <t xml:space="preserve">58501</t>
        </is>
      </c>
      <c r="S372" s="48" t="inlineStr">
        <is>
          <t xml:space="preserve">Severe convective - hail alley (high)</t>
        </is>
      </c>
      <c r="T372" s="36">
        <f>IF($A372="","",IF($S372="","",IFERROR(INDEX('[1]natural catastrophe'!$D$6:$D$17,MATCH($S372,'[1]natural catastrophe'!$B$6:$B$17,0)),"?")))</f>
      </c>
      <c r="U372" s="46" t="inlineStr">
        <is>
          <t xml:space="preserve">$5,000</t>
        </is>
      </c>
      <c r="V372" s="48" t="inlineStr">
        <is>
          <t xml:space="preserve">Agreed Value</t>
        </is>
      </c>
      <c r="W372" s="46" t="inlineStr">
        <is>
          <t xml:space="preserve">$1,000</t>
        </is>
      </c>
      <c r="X372" s="48" t="inlineStr">
        <is>
          <t xml:space="preserve">$1,000,000 CSL</t>
        </is>
      </c>
      <c r="Y372" s="46"/>
      <c r="Z372" s="46"/>
      <c r="AA372" s="48" t="inlineStr">
        <is>
          <t xml:space="preserve">Surplus Lines</t>
        </is>
      </c>
      <c r="AB372" s="50">
        <v>5063.27</v>
      </c>
      <c r="AC372" s="51">
        <v>0</v>
      </c>
      <c r="AD372" s="38">
        <f>IF(ISNUMBER($AB372),$AB372*(1+N($AC372)),"")</f>
      </c>
      <c r="AE372" s="50">
        <v>350</v>
      </c>
      <c r="AF372" s="50">
        <v>0</v>
      </c>
      <c r="AG372" s="51"/>
      <c r="AH372" s="39">
        <f>IF(ISNUMBER($AD372),($AD372+$AE372+$AF372)*$AG372,"")</f>
      </c>
      <c r="AI372" s="50"/>
      <c r="AJ372" s="38">
        <f>IF(ISNUMBER($AD372),SUM($AD372:$AH372),"")</f>
      </c>
      <c r="AK372" s="40">
        <f>IF(AND(ISNUMBER($AB372),ISNUMBER($AD372)),IF($AB372&gt;0,$AD372/$AB372,""),"")</f>
      </c>
      <c r="AL372" s="48" t="inlineStr">
        <is>
          <t xml:space="preserve">At technical</t>
        </is>
      </c>
      <c r="AM372" s="41">
        <f>IF(ISNUMBER($AD372),Header!$I$3,"")</f>
      </c>
      <c r="AN372" s="39">
        <f>IF(ISNUMBER($AD372),$AO372+$AP372,"")</f>
      </c>
      <c r="AO372" s="39">
        <f>IF(ISNUMBER($AD372),ROUND($AD372*Header!$K$3,2),"")</f>
      </c>
      <c r="AP372" s="39">
        <f>IF(ISNUMBER($AD372),ROUND($AD372*Header!$M$3,2),"")</f>
      </c>
      <c r="AQ372" s="38">
        <f>IF(ISNUMBER($AD372),ROUND($AD372,2)-$AO372-$AP372,"")</f>
      </c>
      <c r="AR372" s="39">
        <f>IF(ISNUMBER($AD372),IF(Header!$D$34="","?",$AD372*Header!$D$34),"")</f>
      </c>
      <c r="AS372" s="39">
        <f>IF(ISNUMBER($AB372),IF(Header!$D$34="","?",$AB372*Header!$D$34),"")</f>
      </c>
      <c r="AT372" s="42">
        <f>IF(AND(ISNUMBER($AB372),$M372&gt;0),$AB372/$M372*100,"")</f>
      </c>
      <c r="AU372" s="42">
        <f>IF(AND(ISNUMBER($AD372),$M372&gt;0),$AD372/$M372*100,"")</f>
      </c>
      <c r="AV372" s="40">
        <f>IF(AND(ISNUMBER($AB372),ISNUMBER($AD372),ABS($AB372)&gt;0),$AD372/$AB372,"")</f>
      </c>
      <c r="AW372" s="39">
        <f>IF(ISNUMBER($AD372),MAX(0,(1-0.55-Header!$O$3)*Header!$Q$3*$AQ372),"")</f>
      </c>
      <c r="AX372" s="43">
        <f>IF($A372="","",IF(TRIM(IF($A372="","Missing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",""))="","PASS","FAIL: "&amp;TRIM(IF($A372="","Missing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f>
      </c>
      <c r="AY372" s="44">
        <f>IF($M372="","",IF(ISNUMBER($M372),IF($M372&gt;=Header!$C$18,"YES — refer","No"),""))</f>
      </c>
      <c r="AZ372" s="44">
        <f>IF($AD372="","",IF(ISNUMBER($AD372),IF($AD372&lt;Header!$C$20,"BELOW MIN PREMIUM","OK"),""))</f>
      </c>
      <c r="BA372" s="48" t="inlineStr">
        <is>
          <t xml:space="preserve">Yes</t>
        </is>
      </c>
      <c r="BB372" s="48" t="inlineStr">
        <is>
          <t xml:space="preserve">Yes</t>
        </is>
      </c>
      <c r="BC372" s="46" t="inlineStr">
        <is>
          <t xml:space="preserve">Synthetic demo data</t>
        </is>
      </c>
      <c r="BE372" s="45">
        <f>IF(OR($A372="",$L372="",$H372=""),"",IF(AND(LEFT($L372,2)="06",$H372&gt;1945),"FAIL - pre-war class, year "&amp;$H372,IF(AND(LEFT($L372,2)="07",OR($H372&lt;1946,$H372&gt;1972)),"FAIL - 1946-72 class, year "&amp;$H372,IF(AND(LEFT($L372,2)="08",OR($H372&lt;1973,$H372&gt;1999)),"FAIL - 1973-99 class, year "&amp;$H372,IF(AND(LEFT($L372,2)="09",OR($H372&lt;2000,$H372&gt;2010)),"FAIL - 2000-10 class, year "&amp;$H372,"OK")))))</f>
      </c>
      <c r="BF372" s="45">
        <f>IF($AD372="","",IF(ROUND($AO372+$AP372+$AQ372-$AD372,2)=0,"OK","FAIL - out by "&amp;TEXT($AO372+$AP372+$AQ372-$AD372,"$0.00")))</f>
      </c>
    </row>
    <row r="373" spans="1:58" ht="18.75" customHeight="1" x14ac:dyDescent="0.25">
      <c r="A373" s="30" t="inlineStr">
        <is>
          <t xml:space="preserve">CANON-202606-008911</t>
        </is>
      </c>
      <c r="B373" s="30" t="inlineStr">
        <is>
          <t xml:space="preserve">Delphine Thistlewood</t>
        </is>
      </c>
      <c r="C373" s="31">
        <v>46179</v>
      </c>
      <c r="D373" s="32" t="inlineStr">
        <is>
          <t xml:space="preserve">Bound - within authority</t>
        </is>
      </c>
      <c r="E373" s="32" t="inlineStr">
        <is>
          <t xml:space="preserve">New business</t>
        </is>
      </c>
      <c r="F373" s="30" t="inlineStr">
        <is>
          <t xml:space="preserve">B1234EXOTIC26</t>
        </is>
      </c>
      <c r="G373" s="33">
        <f>IF($A373="","",IF($C373="","",YEAR($C373)))</f>
      </c>
      <c r="H373" s="34">
        <v>2021</v>
      </c>
      <c r="I373" s="30" t="inlineStr">
        <is>
          <t xml:space="preserve">Maserati</t>
        </is>
      </c>
      <c r="J373" s="30" t="inlineStr">
        <is>
          <t xml:space="preserve">GranTurismo</t>
        </is>
      </c>
      <c r="K373" s="30" t="inlineStr">
        <is>
          <t xml:space="preserve">2BPVY0418B5KR4AZE</t>
        </is>
      </c>
      <c r="L373" s="32" t="inlineStr">
        <is>
          <t xml:space="preserve">02 - Sports / GT</t>
        </is>
      </c>
      <c r="M373" s="35">
        <v>255000</v>
      </c>
      <c r="N373" s="32" t="inlineStr">
        <is>
          <t xml:space="preserve">Personal</t>
        </is>
      </c>
      <c r="O373" s="30" t="inlineStr">
        <is>
          <t xml:space="preserve">Personal - regular use</t>
        </is>
      </c>
      <c r="P373" s="30" t="inlineStr">
        <is>
          <t xml:space="preserve">Under 1,000</t>
        </is>
      </c>
      <c r="Q373" s="30" t="inlineStr">
        <is>
          <t xml:space="preserve">South Dakota</t>
        </is>
      </c>
      <c r="R373" s="30" t="inlineStr">
        <is>
          <t xml:space="preserve">57501</t>
        </is>
      </c>
      <c r="S373" s="32" t="inlineStr">
        <is>
          <t xml:space="preserve">Severe convective - hail alley (high)</t>
        </is>
      </c>
      <c r="T373" s="36">
        <f>IF($A373="","",IF($S373="","",IFERROR(INDEX('[1]natural catastrophe'!$D$6:$D$17,MATCH($S373,'[1]natural catastrophe'!$B$6:$B$17,0)),"?")))</f>
      </c>
      <c r="U373" s="30" t="inlineStr">
        <is>
          <t xml:space="preserve">$5,000</t>
        </is>
      </c>
      <c r="V373" s="32" t="inlineStr">
        <is>
          <t xml:space="preserve">Agreed Value</t>
        </is>
      </c>
      <c r="W373" s="30" t="inlineStr">
        <is>
          <t xml:space="preserve">$1,000</t>
        </is>
      </c>
      <c r="X373" s="32" t="inlineStr">
        <is>
          <t xml:space="preserve">$1,000,000 CSL</t>
        </is>
      </c>
      <c r="Y373" s="30"/>
      <c r="Z373" s="30"/>
      <c r="AA373" s="32" t="inlineStr">
        <is>
          <t xml:space="preserve">Surplus Lines</t>
        </is>
      </c>
      <c r="AB373" s="35">
        <v>3063.35</v>
      </c>
      <c r="AC373" s="37">
        <v>0</v>
      </c>
      <c r="AD373" s="38">
        <f>IF(ISNUMBER($AB373),$AB373*(1+N($AC373)),"")</f>
      </c>
      <c r="AE373" s="35">
        <v>350</v>
      </c>
      <c r="AF373" s="35">
        <v>0</v>
      </c>
      <c r="AG373" s="37"/>
      <c r="AH373" s="39">
        <f>IF(ISNUMBER($AD373),($AD373+$AE373+$AF373)*$AG373,"")</f>
      </c>
      <c r="AI373" s="35"/>
      <c r="AJ373" s="38">
        <f>IF(ISNUMBER($AD373),SUM($AD373:$AH373),"")</f>
      </c>
      <c r="AK373" s="40">
        <f>IF(AND(ISNUMBER($AB373),ISNUMBER($AD373)),IF($AB373&gt;0,$AD373/$AB373,""),"")</f>
      </c>
      <c r="AL373" s="32" t="inlineStr">
        <is>
          <t xml:space="preserve">At technical</t>
        </is>
      </c>
      <c r="AM373" s="41">
        <f>IF(ISNUMBER($AD373),Header!$I$3,"")</f>
      </c>
      <c r="AN373" s="39">
        <f>IF(ISNUMBER($AD373),$AO373+$AP373,"")</f>
      </c>
      <c r="AO373" s="39">
        <f>IF(ISNUMBER($AD373),ROUND($AD373*Header!$K$3,2),"")</f>
      </c>
      <c r="AP373" s="39">
        <f>IF(ISNUMBER($AD373),ROUND($AD373*Header!$M$3,2),"")</f>
      </c>
      <c r="AQ373" s="38">
        <f>IF(ISNUMBER($AD373),ROUND($AD373,2)-$AO373-$AP373,"")</f>
      </c>
      <c r="AR373" s="39">
        <f>IF(ISNUMBER($AD373),IF(Header!$D$34="","?",$AD373*Header!$D$34),"")</f>
      </c>
      <c r="AS373" s="39">
        <f>IF(ISNUMBER($AB373),IF(Header!$D$34="","?",$AB373*Header!$D$34),"")</f>
      </c>
      <c r="AT373" s="42">
        <f>IF(AND(ISNUMBER($AB373),$M373&gt;0),$AB373/$M373*100,"")</f>
      </c>
      <c r="AU373" s="42">
        <f>IF(AND(ISNUMBER($AD373),$M373&gt;0),$AD373/$M373*100,"")</f>
      </c>
      <c r="AV373" s="40">
        <f>IF(AND(ISNUMBER($AB373),ISNUMBER($AD373),ABS($AB373)&gt;0),$AD373/$AB373,"")</f>
      </c>
      <c r="AW373" s="39">
        <f>IF(ISNUMBER($AD373),MAX(0,(1-0.55-Header!$O$3)*Header!$Q$3*$AQ373),"")</f>
      </c>
      <c r="AX373" s="43">
        <f>IF($A373="","",IF(TRIM(IF($A373="","Missing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",""))="","PASS","FAIL: "&amp;TRIM(IF($A373="","Missing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f>
      </c>
      <c r="AY373" s="44">
        <f>IF($M373="","",IF(ISNUMBER($M373),IF($M373&gt;=Header!$C$18,"YES — refer","No"),""))</f>
      </c>
      <c r="AZ373" s="44">
        <f>IF($AD373="","",IF(ISNUMBER($AD373),IF($AD373&lt;Header!$C$20,"BELOW MIN PREMIUM","OK"),""))</f>
      </c>
      <c r="BA373" s="32" t="inlineStr">
        <is>
          <t xml:space="preserve">Yes</t>
        </is>
      </c>
      <c r="BB373" s="32" t="inlineStr">
        <is>
          <t xml:space="preserve">Yes</t>
        </is>
      </c>
      <c r="BC373" s="30" t="inlineStr">
        <is>
          <t xml:space="preserve">Synthetic demo data</t>
        </is>
      </c>
      <c r="BE373" s="45">
        <f>IF(OR($A373="",$L373="",$H373=""),"",IF(AND(LEFT($L373,2)="06",$H373&gt;1945),"FAIL - pre-war class, year "&amp;$H373,IF(AND(LEFT($L373,2)="07",OR($H373&lt;1946,$H373&gt;1972)),"FAIL - 1946-72 class, year "&amp;$H373,IF(AND(LEFT($L373,2)="08",OR($H373&lt;1973,$H373&gt;1999)),"FAIL - 1973-99 class, year "&amp;$H373,IF(AND(LEFT($L373,2)="09",OR($H373&lt;2000,$H373&gt;2010)),"FAIL - 2000-10 class, year "&amp;$H373,"OK")))))</f>
      </c>
      <c r="BF373" s="45">
        <f>IF($AD373="","",IF(ROUND($AO373+$AP373+$AQ373-$AD373,2)=0,"OK","FAIL - out by "&amp;TEXT($AO373+$AP373+$AQ373-$AD373,"$0.00")))</f>
      </c>
    </row>
    <row r="374" spans="1:58" ht="18.75" customHeight="1" x14ac:dyDescent="0.25">
      <c r="A374" s="46" t="inlineStr">
        <is>
          <t xml:space="preserve">CANON-202606-008912</t>
        </is>
      </c>
      <c r="B374" s="46" t="inlineStr">
        <is>
          <t xml:space="preserve">Delphine Castellanos</t>
        </is>
      </c>
      <c r="C374" s="47">
        <v>46183</v>
      </c>
      <c r="D374" s="48" t="inlineStr">
        <is>
          <t xml:space="preserve">Bound - within authority</t>
        </is>
      </c>
      <c r="E374" s="48" t="inlineStr">
        <is>
          <t xml:space="preserve">New business</t>
        </is>
      </c>
      <c r="F374" s="46" t="inlineStr">
        <is>
          <t xml:space="preserve">B1234EXOTIC26</t>
        </is>
      </c>
      <c r="G374" s="33">
        <f>IF($A374="","",IF($C374="","",YEAR($C374)))</f>
      </c>
      <c r="H374" s="49">
        <v>1983</v>
      </c>
      <c r="I374" s="46" t="inlineStr">
        <is>
          <t xml:space="preserve">Lamborghini</t>
        </is>
      </c>
      <c r="J374" s="46" t="inlineStr">
        <is>
          <t xml:space="preserve">Huracan EVO</t>
        </is>
      </c>
      <c r="K374" s="46" t="inlineStr">
        <is>
          <t xml:space="preserve">GVBCMJAGBRJ756D7P</t>
        </is>
      </c>
      <c r="L374" s="48" t="inlineStr">
        <is>
          <t xml:space="preserve">03 - Supercar</t>
        </is>
      </c>
      <c r="M374" s="50">
        <v>645000</v>
      </c>
      <c r="N374" s="48" t="inlineStr">
        <is>
          <t xml:space="preserve">Personal</t>
        </is>
      </c>
      <c r="O374" s="46" t="inlineStr">
        <is>
          <t xml:space="preserve">Personal - regular use</t>
        </is>
      </c>
      <c r="P374" s="46" t="inlineStr">
        <is>
          <t xml:space="preserve">2,500 - 5,000</t>
        </is>
      </c>
      <c r="Q374" s="46" t="inlineStr">
        <is>
          <t xml:space="preserve">Kentucky</t>
        </is>
      </c>
      <c r="R374" s="46" t="inlineStr">
        <is>
          <t xml:space="preserve">40202</t>
        </is>
      </c>
      <c r="S374" s="48" t="inlineStr">
        <is>
          <t xml:space="preserve">Severe convective - hail / tornado (moderate)</t>
        </is>
      </c>
      <c r="T374" s="36">
        <f>IF($A374="","",IF($S374="","",IFERROR(INDEX('[1]natural catastrophe'!$D$6:$D$17,MATCH($S374,'[1]natural catastrophe'!$B$6:$B$17,0)),"?")))</f>
      </c>
      <c r="U374" s="46" t="inlineStr">
        <is>
          <t xml:space="preserve">$5,000</t>
        </is>
      </c>
      <c r="V374" s="48" t="inlineStr">
        <is>
          <t xml:space="preserve">Agreed Value</t>
        </is>
      </c>
      <c r="W374" s="46" t="inlineStr">
        <is>
          <t xml:space="preserve">$1,000</t>
        </is>
      </c>
      <c r="X374" s="48" t="inlineStr">
        <is>
          <t xml:space="preserve">$1,000,000 CSL</t>
        </is>
      </c>
      <c r="Y374" s="46"/>
      <c r="Z374" s="46"/>
      <c r="AA374" s="48" t="inlineStr">
        <is>
          <t xml:space="preserve">Surplus Lines</t>
        </is>
      </c>
      <c r="AB374" s="50">
        <v>11848.41</v>
      </c>
      <c r="AC374" s="51">
        <v>0</v>
      </c>
      <c r="AD374" s="38">
        <f>IF(ISNUMBER($AB374),$AB374*(1+N($AC374)),"")</f>
      </c>
      <c r="AE374" s="50">
        <v>350</v>
      </c>
      <c r="AF374" s="50">
        <v>0</v>
      </c>
      <c r="AG374" s="51"/>
      <c r="AH374" s="39">
        <f>IF(ISNUMBER($AD374),($AD374+$AE374+$AF374)*$AG374,"")</f>
      </c>
      <c r="AI374" s="50"/>
      <c r="AJ374" s="38">
        <f>IF(ISNUMBER($AD374),SUM($AD374:$AH374),"")</f>
      </c>
      <c r="AK374" s="40">
        <f>IF(AND(ISNUMBER($AB374),ISNUMBER($AD374)),IF($AB374&gt;0,$AD374/$AB374,""),"")</f>
      </c>
      <c r="AL374" s="48" t="inlineStr">
        <is>
          <t xml:space="preserve">At technical</t>
        </is>
      </c>
      <c r="AM374" s="41">
        <f>IF(ISNUMBER($AD374),Header!$I$3,"")</f>
      </c>
      <c r="AN374" s="39">
        <f>IF(ISNUMBER($AD374),$AO374+$AP374,"")</f>
      </c>
      <c r="AO374" s="39">
        <f>IF(ISNUMBER($AD374),ROUND($AD374*Header!$K$3,2),"")</f>
      </c>
      <c r="AP374" s="39">
        <f>IF(ISNUMBER($AD374),ROUND($AD374*Header!$M$3,2),"")</f>
      </c>
      <c r="AQ374" s="38">
        <f>IF(ISNUMBER($AD374),ROUND($AD374,2)-$AO374-$AP374,"")</f>
      </c>
      <c r="AR374" s="39">
        <f>IF(ISNUMBER($AD374),IF(Header!$D$34="","?",$AD374*Header!$D$34),"")</f>
      </c>
      <c r="AS374" s="39">
        <f>IF(ISNUMBER($AB374),IF(Header!$D$34="","?",$AB374*Header!$D$34),"")</f>
      </c>
      <c r="AT374" s="42">
        <f>IF(AND(ISNUMBER($AB374),$M374&gt;0),$AB374/$M374*100,"")</f>
      </c>
      <c r="AU374" s="42">
        <f>IF(AND(ISNUMBER($AD374),$M374&gt;0),$AD374/$M374*100,"")</f>
      </c>
      <c r="AV374" s="40">
        <f>IF(AND(ISNUMBER($AB374),ISNUMBER($AD374),ABS($AB374)&gt;0),$AD374/$AB374,"")</f>
      </c>
      <c r="AW374" s="39">
        <f>IF(ISNUMBER($AD374),MAX(0,(1-0.55-Header!$O$3)*Header!$Q$3*$AQ374),"")</f>
      </c>
      <c r="AX374" s="43">
        <f>IF($A374="","",IF(TRIM(IF($A374="","Missing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",""))="","PASS","FAIL: "&amp;TRIM(IF($A374="","Missing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f>
      </c>
      <c r="AY374" s="44">
        <f>IF($M374="","",IF(ISNUMBER($M374),IF($M374&gt;=Header!$C$18,"YES — refer","No"),""))</f>
      </c>
      <c r="AZ374" s="44">
        <f>IF($AD374="","",IF(ISNUMBER($AD374),IF($AD374&lt;Header!$C$20,"BELOW MIN PREMIUM","OK"),""))</f>
      </c>
      <c r="BA374" s="48" t="inlineStr">
        <is>
          <t xml:space="preserve">Yes</t>
        </is>
      </c>
      <c r="BB374" s="48" t="inlineStr">
        <is>
          <t xml:space="preserve">Yes</t>
        </is>
      </c>
      <c r="BC374" s="46" t="inlineStr">
        <is>
          <t xml:space="preserve">Synthetic demo data</t>
        </is>
      </c>
      <c r="BE374" s="45">
        <f>IF(OR($A374="",$L374="",$H374=""),"",IF(AND(LEFT($L374,2)="06",$H374&gt;1945),"FAIL - pre-war class, year "&amp;$H374,IF(AND(LEFT($L374,2)="07",OR($H374&lt;1946,$H374&gt;1972)),"FAIL - 1946-72 class, year "&amp;$H374,IF(AND(LEFT($L374,2)="08",OR($H374&lt;1973,$H374&gt;1999)),"FAIL - 1973-99 class, year "&amp;$H374,IF(AND(LEFT($L374,2)="09",OR($H374&lt;2000,$H374&gt;2010)),"FAIL - 2000-10 class, year "&amp;$H374,"OK")))))</f>
      </c>
      <c r="BF374" s="45">
        <f>IF($AD374="","",IF(ROUND($AO374+$AP374+$AQ374-$AD374,2)=0,"OK","FAIL - out by "&amp;TEXT($AO374+$AP374+$AQ374-$AD374,"$0.00")))</f>
      </c>
    </row>
    <row r="375" spans="1:58" ht="18.75" customHeight="1" x14ac:dyDescent="0.25">
      <c r="A375" s="30" t="inlineStr">
        <is>
          <t xml:space="preserve">CANON-202606-008913</t>
        </is>
      </c>
      <c r="B375" s="30" t="inlineStr">
        <is>
          <t xml:space="preserve">Aurelio Montoya</t>
        </is>
      </c>
      <c r="C375" s="31">
        <v>46178</v>
      </c>
      <c r="D375" s="32" t="inlineStr">
        <is>
          <t xml:space="preserve">Bound - within authority</t>
        </is>
      </c>
      <c r="E375" s="32" t="inlineStr">
        <is>
          <t xml:space="preserve">New business</t>
        </is>
      </c>
      <c r="F375" s="30" t="inlineStr">
        <is>
          <t xml:space="preserve">B1234EXOTIC26</t>
        </is>
      </c>
      <c r="G375" s="33">
        <f>IF($A375="","",IF($C375="","",YEAR($C375)))</f>
      </c>
      <c r="H375" s="34">
        <v>1980</v>
      </c>
      <c r="I375" s="30" t="inlineStr">
        <is>
          <t xml:space="preserve">Mercedes-Benz</t>
        </is>
      </c>
      <c r="J375" s="30" t="inlineStr">
        <is>
          <t xml:space="preserve">AMG GT</t>
        </is>
      </c>
      <c r="K375" s="30" t="inlineStr">
        <is>
          <t xml:space="preserve">S4VLLTBXRBDFBGFHH</t>
        </is>
      </c>
      <c r="L375" s="32" t="inlineStr">
        <is>
          <t xml:space="preserve">02 - Sports / GT</t>
        </is>
      </c>
      <c r="M375" s="35">
        <v>560000</v>
      </c>
      <c r="N375" s="32" t="inlineStr">
        <is>
          <t xml:space="preserve">Personal</t>
        </is>
      </c>
      <c r="O375" s="30" t="inlineStr">
        <is>
          <t xml:space="preserve">Personal - regular use</t>
        </is>
      </c>
      <c r="P375" s="30" t="inlineStr">
        <is>
          <t xml:space="preserve">Under 1,000</t>
        </is>
      </c>
      <c r="Q375" s="30" t="inlineStr">
        <is>
          <t xml:space="preserve">Delaware</t>
        </is>
      </c>
      <c r="R375" s="30" t="inlineStr">
        <is>
          <t xml:space="preserve">19801</t>
        </is>
      </c>
      <c r="S375" s="32" t="inlineStr">
        <is>
          <t xml:space="preserve">Tier 3 - Coastal wind (25-100 miles)</t>
        </is>
      </c>
      <c r="T375" s="36">
        <f>IF($A375="","",IF($S375="","",IFERROR(INDEX('[1]natural catastrophe'!$D$6:$D$17,MATCH($S375,'[1]natural catastrophe'!$B$6:$B$17,0)),"?")))</f>
      </c>
      <c r="U375" s="30" t="inlineStr">
        <is>
          <t xml:space="preserve">2% of agreed value, minimum $10,000</t>
        </is>
      </c>
      <c r="V375" s="32" t="inlineStr">
        <is>
          <t xml:space="preserve">Agreed Value</t>
        </is>
      </c>
      <c r="W375" s="30" t="inlineStr">
        <is>
          <t xml:space="preserve">$1,000</t>
        </is>
      </c>
      <c r="X375" s="32" t="inlineStr">
        <is>
          <t xml:space="preserve">$1,000,000 CSL</t>
        </is>
      </c>
      <c r="Y375" s="30"/>
      <c r="Z375" s="30"/>
      <c r="AA375" s="32" t="inlineStr">
        <is>
          <t xml:space="preserve">Surplus Lines</t>
        </is>
      </c>
      <c r="AB375" s="35">
        <v>6565.74</v>
      </c>
      <c r="AC375" s="37">
        <v>0</v>
      </c>
      <c r="AD375" s="38">
        <f>IF(ISNUMBER($AB375),$AB375*(1+N($AC375)),"")</f>
      </c>
      <c r="AE375" s="35">
        <v>350</v>
      </c>
      <c r="AF375" s="35">
        <v>0</v>
      </c>
      <c r="AG375" s="37"/>
      <c r="AH375" s="39">
        <f>IF(ISNUMBER($AD375),($AD375+$AE375+$AF375)*$AG375,"")</f>
      </c>
      <c r="AI375" s="35"/>
      <c r="AJ375" s="38">
        <f>IF(ISNUMBER($AD375),SUM($AD375:$AH375),"")</f>
      </c>
      <c r="AK375" s="40">
        <f>IF(AND(ISNUMBER($AB375),ISNUMBER($AD375)),IF($AB375&gt;0,$AD375/$AB375,""),"")</f>
      </c>
      <c r="AL375" s="32" t="inlineStr">
        <is>
          <t xml:space="preserve">At technical</t>
        </is>
      </c>
      <c r="AM375" s="41">
        <f>IF(ISNUMBER($AD375),Header!$I$3,"")</f>
      </c>
      <c r="AN375" s="39">
        <f>IF(ISNUMBER($AD375),$AO375+$AP375,"")</f>
      </c>
      <c r="AO375" s="39">
        <f>IF(ISNUMBER($AD375),ROUND($AD375*Header!$K$3,2),"")</f>
      </c>
      <c r="AP375" s="39">
        <f>IF(ISNUMBER($AD375),ROUND($AD375*Header!$M$3,2),"")</f>
      </c>
      <c r="AQ375" s="38">
        <f>IF(ISNUMBER($AD375),ROUND($AD375,2)-$AO375-$AP375,"")</f>
      </c>
      <c r="AR375" s="39">
        <f>IF(ISNUMBER($AD375),IF(Header!$D$34="","?",$AD375*Header!$D$34),"")</f>
      </c>
      <c r="AS375" s="39">
        <f>IF(ISNUMBER($AB375),IF(Header!$D$34="","?",$AB375*Header!$D$34),"")</f>
      </c>
      <c r="AT375" s="42">
        <f>IF(AND(ISNUMBER($AB375),$M375&gt;0),$AB375/$M375*100,"")</f>
      </c>
      <c r="AU375" s="42">
        <f>IF(AND(ISNUMBER($AD375),$M375&gt;0),$AD375/$M375*100,"")</f>
      </c>
      <c r="AV375" s="40">
        <f>IF(AND(ISNUMBER($AB375),ISNUMBER($AD375),ABS($AB375)&gt;0),$AD375/$AB375,"")</f>
      </c>
      <c r="AW375" s="39">
        <f>IF(ISNUMBER($AD375),MAX(0,(1-0.55-Header!$O$3)*Header!$Q$3*$AQ375),"")</f>
      </c>
      <c r="AX375" s="43">
        <f>IF($A375="","",IF(TRIM(IF($A375="","Missing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",""))="","PASS","FAIL: "&amp;TRIM(IF($A375="","Missing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f>
      </c>
      <c r="AY375" s="44">
        <f>IF($M375="","",IF(ISNUMBER($M375),IF($M375&gt;=Header!$C$18,"YES — refer","No"),""))</f>
      </c>
      <c r="AZ375" s="44">
        <f>IF($AD375="","",IF(ISNUMBER($AD375),IF($AD375&lt;Header!$C$20,"BELOW MIN PREMIUM","OK"),""))</f>
      </c>
      <c r="BA375" s="32" t="inlineStr">
        <is>
          <t xml:space="preserve">Yes</t>
        </is>
      </c>
      <c r="BB375" s="32" t="inlineStr">
        <is>
          <t xml:space="preserve">Yes</t>
        </is>
      </c>
      <c r="BC375" s="30" t="inlineStr">
        <is>
          <t xml:space="preserve">Synthetic demo data</t>
        </is>
      </c>
      <c r="BE375" s="45">
        <f>IF(OR($A375="",$L375="",$H375=""),"",IF(AND(LEFT($L375,2)="06",$H375&gt;1945),"FAIL - pre-war class, year "&amp;$H375,IF(AND(LEFT($L375,2)="07",OR($H375&lt;1946,$H375&gt;1972)),"FAIL - 1946-72 class, year "&amp;$H375,IF(AND(LEFT($L375,2)="08",OR($H375&lt;1973,$H375&gt;1999)),"FAIL - 1973-99 class, year "&amp;$H375,IF(AND(LEFT($L375,2)="09",OR($H375&lt;2000,$H375&gt;2010)),"FAIL - 2000-10 class, year "&amp;$H375,"OK")))))</f>
      </c>
      <c r="BF375" s="45">
        <f>IF($AD375="","",IF(ROUND($AO375+$AP375+$AQ375-$AD375,2)=0,"OK","FAIL - out by "&amp;TEXT($AO375+$AP375+$AQ375-$AD375,"$0.00")))</f>
      </c>
    </row>
    <row r="376" spans="1:58" ht="18.75" customHeight="1" x14ac:dyDescent="0.25">
      <c r="A376" s="46" t="inlineStr">
        <is>
          <t xml:space="preserve">CANON-202606-008914</t>
        </is>
      </c>
      <c r="B376" s="46" t="inlineStr">
        <is>
          <t xml:space="preserve">Anouk Ashcombe</t>
        </is>
      </c>
      <c r="C376" s="47">
        <v>46183</v>
      </c>
      <c r="D376" s="48" t="inlineStr">
        <is>
          <t xml:space="preserve">Bound - within authority</t>
        </is>
      </c>
      <c r="E376" s="48" t="inlineStr">
        <is>
          <t xml:space="preserve">New business</t>
        </is>
      </c>
      <c r="F376" s="46" t="inlineStr">
        <is>
          <t xml:space="preserve">B1234EXOTIC26</t>
        </is>
      </c>
      <c r="G376" s="33">
        <f>IF($A376="","",IF($C376="","",YEAR($C376)))</f>
      </c>
      <c r="H376" s="49">
        <v>1965</v>
      </c>
      <c r="I376" s="46" t="inlineStr">
        <is>
          <t xml:space="preserve">Mercedes-Benz</t>
        </is>
      </c>
      <c r="J376" s="46" t="inlineStr">
        <is>
          <t xml:space="preserve">AMG GT</t>
        </is>
      </c>
      <c r="K376" s="46" t="inlineStr">
        <is>
          <t xml:space="preserve">YK3B3R5FW5BAWLPTH</t>
        </is>
      </c>
      <c r="L376" s="48" t="inlineStr">
        <is>
          <t xml:space="preserve">02 - Sports / GT</t>
        </is>
      </c>
      <c r="M376" s="50">
        <v>590000</v>
      </c>
      <c r="N376" s="48" t="inlineStr">
        <is>
          <t xml:space="preserve">Personal</t>
        </is>
      </c>
      <c r="O376" s="46" t="inlineStr">
        <is>
          <t xml:space="preserve">Personal - regular use</t>
        </is>
      </c>
      <c r="P376" s="46" t="inlineStr">
        <is>
          <t xml:space="preserve">2,500 - 5,000</t>
        </is>
      </c>
      <c r="Q376" s="46" t="inlineStr">
        <is>
          <t xml:space="preserve">Utah</t>
        </is>
      </c>
      <c r="R376" s="46" t="inlineStr">
        <is>
          <t xml:space="preserve">84101</t>
        </is>
      </c>
      <c r="S376" s="48" t="inlineStr">
        <is>
          <t xml:space="preserve">Wildfire - WUI high hazard</t>
        </is>
      </c>
      <c r="T376" s="36">
        <f>IF($A376="","",IF($S376="","",IFERROR(INDEX('[1]natural catastrophe'!$D$6:$D$17,MATCH($S376,'[1]natural catastrophe'!$B$6:$B$17,0)),"?")))</f>
      </c>
      <c r="U376" s="46" t="inlineStr">
        <is>
          <t xml:space="preserve">$5,000</t>
        </is>
      </c>
      <c r="V376" s="48" t="inlineStr">
        <is>
          <t xml:space="preserve">Agreed Value</t>
        </is>
      </c>
      <c r="W376" s="46" t="inlineStr">
        <is>
          <t xml:space="preserve">$1,000</t>
        </is>
      </c>
      <c r="X376" s="48" t="inlineStr">
        <is>
          <t xml:space="preserve">$1,000,000 CSL</t>
        </is>
      </c>
      <c r="Y376" s="46"/>
      <c r="Z376" s="46"/>
      <c r="AA376" s="48" t="inlineStr">
        <is>
          <t xml:space="preserve">Surplus Lines</t>
        </is>
      </c>
      <c r="AB376" s="50">
        <v>7470.87</v>
      </c>
      <c r="AC376" s="51">
        <v>0</v>
      </c>
      <c r="AD376" s="38">
        <f>IF(ISNUMBER($AB376),$AB376*(1+N($AC376)),"")</f>
      </c>
      <c r="AE376" s="50">
        <v>350</v>
      </c>
      <c r="AF376" s="50">
        <v>0</v>
      </c>
      <c r="AG376" s="51"/>
      <c r="AH376" s="39">
        <f>IF(ISNUMBER($AD376),($AD376+$AE376+$AF376)*$AG376,"")</f>
      </c>
      <c r="AI376" s="50"/>
      <c r="AJ376" s="38">
        <f>IF(ISNUMBER($AD376),SUM($AD376:$AH376),"")</f>
      </c>
      <c r="AK376" s="40">
        <f>IF(AND(ISNUMBER($AB376),ISNUMBER($AD376)),IF($AB376&gt;0,$AD376/$AB376,""),"")</f>
      </c>
      <c r="AL376" s="48" t="inlineStr">
        <is>
          <t xml:space="preserve">At technical</t>
        </is>
      </c>
      <c r="AM376" s="41">
        <f>IF(ISNUMBER($AD376),Header!$I$3,"")</f>
      </c>
      <c r="AN376" s="39">
        <f>IF(ISNUMBER($AD376),$AO376+$AP376,"")</f>
      </c>
      <c r="AO376" s="39">
        <f>IF(ISNUMBER($AD376),ROUND($AD376*Header!$K$3,2),"")</f>
      </c>
      <c r="AP376" s="39">
        <f>IF(ISNUMBER($AD376),ROUND($AD376*Header!$M$3,2),"")</f>
      </c>
      <c r="AQ376" s="38">
        <f>IF(ISNUMBER($AD376),ROUND($AD376,2)-$AO376-$AP376,"")</f>
      </c>
      <c r="AR376" s="39">
        <f>IF(ISNUMBER($AD376),IF(Header!$D$34="","?",$AD376*Header!$D$34),"")</f>
      </c>
      <c r="AS376" s="39">
        <f>IF(ISNUMBER($AB376),IF(Header!$D$34="","?",$AB376*Header!$D$34),"")</f>
      </c>
      <c r="AT376" s="42">
        <f>IF(AND(ISNUMBER($AB376),$M376&gt;0),$AB376/$M376*100,"")</f>
      </c>
      <c r="AU376" s="42">
        <f>IF(AND(ISNUMBER($AD376),$M376&gt;0),$AD376/$M376*100,"")</f>
      </c>
      <c r="AV376" s="40">
        <f>IF(AND(ISNUMBER($AB376),ISNUMBER($AD376),ABS($AB376)&gt;0),$AD376/$AB376,"")</f>
      </c>
      <c r="AW376" s="39">
        <f>IF(ISNUMBER($AD376),MAX(0,(1-0.55-Header!$O$3)*Header!$Q$3*$AQ376),"")</f>
      </c>
      <c r="AX376" s="43">
        <f>IF($A376="","",IF(TRIM(IF($A376="","Missing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",""))="","PASS","FAIL: "&amp;TRIM(IF($A376="","Missing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f>
      </c>
      <c r="AY376" s="44">
        <f>IF($M376="","",IF(ISNUMBER($M376),IF($M376&gt;=Header!$C$18,"YES — refer","No"),""))</f>
      </c>
      <c r="AZ376" s="44">
        <f>IF($AD376="","",IF(ISNUMBER($AD376),IF($AD376&lt;Header!$C$20,"BELOW MIN PREMIUM","OK"),""))</f>
      </c>
      <c r="BA376" s="48" t="inlineStr">
        <is>
          <t xml:space="preserve">Yes</t>
        </is>
      </c>
      <c r="BB376" s="48" t="inlineStr">
        <is>
          <t xml:space="preserve">Yes</t>
        </is>
      </c>
      <c r="BC376" s="46" t="inlineStr">
        <is>
          <t xml:space="preserve">Synthetic demo data</t>
        </is>
      </c>
      <c r="BE376" s="45">
        <f>IF(OR($A376="",$L376="",$H376=""),"",IF(AND(LEFT($L376,2)="06",$H376&gt;1945),"FAIL - pre-war class, year "&amp;$H376,IF(AND(LEFT($L376,2)="07",OR($H376&lt;1946,$H376&gt;1972)),"FAIL - 1946-72 class, year "&amp;$H376,IF(AND(LEFT($L376,2)="08",OR($H376&lt;1973,$H376&gt;1999)),"FAIL - 1973-99 class, year "&amp;$H376,IF(AND(LEFT($L376,2)="09",OR($H376&lt;2000,$H376&gt;2010)),"FAIL - 2000-10 class, year "&amp;$H376,"OK")))))</f>
      </c>
      <c r="BF376" s="45">
        <f>IF($AD376="","",IF(ROUND($AO376+$AP376+$AQ376-$AD376,2)=0,"OK","FAIL - out by "&amp;TEXT($AO376+$AP376+$AQ376-$AD376,"$0.00")))</f>
      </c>
    </row>
    <row r="377" spans="1:58" ht="18.75" customHeight="1" x14ac:dyDescent="0.25">
      <c r="A377" s="30" t="inlineStr">
        <is>
          <t xml:space="preserve">CANON-202606-008915</t>
        </is>
      </c>
      <c r="B377" s="30" t="inlineStr">
        <is>
          <t xml:space="preserve">Fenwick Vandermeer</t>
        </is>
      </c>
      <c r="C377" s="31">
        <v>46184</v>
      </c>
      <c r="D377" s="32" t="inlineStr">
        <is>
          <t xml:space="preserve">Bound - within authority</t>
        </is>
      </c>
      <c r="E377" s="32" t="inlineStr">
        <is>
          <t xml:space="preserve">New business</t>
        </is>
      </c>
      <c r="F377" s="30" t="inlineStr">
        <is>
          <t xml:space="preserve">B1234EXOTIC26</t>
        </is>
      </c>
      <c r="G377" s="33">
        <f>IF($A377="","",IF($C377="","",YEAR($C377)))</f>
      </c>
      <c r="H377" s="34">
        <v>2011</v>
      </c>
      <c r="I377" s="30" t="inlineStr">
        <is>
          <t xml:space="preserve">Icon</t>
        </is>
      </c>
      <c r="J377" s="30" t="inlineStr">
        <is>
          <t xml:space="preserve">Derelict</t>
        </is>
      </c>
      <c r="K377" s="30" t="inlineStr">
        <is>
          <t xml:space="preserve">7MC1PY7JMAYAWLMLG</t>
        </is>
      </c>
      <c r="L377" s="32" t="inlineStr">
        <is>
          <t xml:space="preserve">11 - Restomod / Coachbuilt / Bespoke</t>
        </is>
      </c>
      <c r="M377" s="35">
        <v>800000</v>
      </c>
      <c r="N377" s="32" t="inlineStr">
        <is>
          <t xml:space="preserve">Personal</t>
        </is>
      </c>
      <c r="O377" s="30" t="inlineStr">
        <is>
          <t xml:space="preserve">Personal - regular use</t>
        </is>
      </c>
      <c r="P377" s="30" t="inlineStr">
        <is>
          <t xml:space="preserve">2,500 - 5,000</t>
        </is>
      </c>
      <c r="Q377" s="30" t="inlineStr">
        <is>
          <t xml:space="preserve">Washington</t>
        </is>
      </c>
      <c r="R377" s="30" t="inlineStr">
        <is>
          <t xml:space="preserve">98101</t>
        </is>
      </c>
      <c r="S377" s="32" t="inlineStr">
        <is>
          <t xml:space="preserve">Earthquake - high (CA, Cascadia, New Madrid)</t>
        </is>
      </c>
      <c r="T377" s="36">
        <f>IF($A377="","",IF($S377="","",IFERROR(INDEX('[1]natural catastrophe'!$D$6:$D$17,MATCH($S377,'[1]natural catastrophe'!$B$6:$B$17,0)),"?")))</f>
      </c>
      <c r="U377" s="30" t="inlineStr">
        <is>
          <t xml:space="preserve">$5,000</t>
        </is>
      </c>
      <c r="V377" s="32" t="inlineStr">
        <is>
          <t xml:space="preserve">Agreed Value</t>
        </is>
      </c>
      <c r="W377" s="30" t="inlineStr">
        <is>
          <t xml:space="preserve">$1,000</t>
        </is>
      </c>
      <c r="X377" s="32" t="inlineStr">
        <is>
          <t xml:space="preserve">$1,000,000 CSL</t>
        </is>
      </c>
      <c r="Y377" s="30"/>
      <c r="Z377" s="30"/>
      <c r="AA377" s="32" t="inlineStr">
        <is>
          <t xml:space="preserve">Surplus Lines</t>
        </is>
      </c>
      <c r="AB377" s="35">
        <v>8644.26</v>
      </c>
      <c r="AC377" s="37">
        <v>0</v>
      </c>
      <c r="AD377" s="38">
        <f>IF(ISNUMBER($AB377),$AB377*(1+N($AC377)),"")</f>
      </c>
      <c r="AE377" s="35">
        <v>350</v>
      </c>
      <c r="AF377" s="35">
        <v>0</v>
      </c>
      <c r="AG377" s="37"/>
      <c r="AH377" s="39">
        <f>IF(ISNUMBER($AD377),($AD377+$AE377+$AF377)*$AG377,"")</f>
      </c>
      <c r="AI377" s="35"/>
      <c r="AJ377" s="38">
        <f>IF(ISNUMBER($AD377),SUM($AD377:$AH377),"")</f>
      </c>
      <c r="AK377" s="40">
        <f>IF(AND(ISNUMBER($AB377),ISNUMBER($AD377)),IF($AB377&gt;0,$AD377/$AB377,""),"")</f>
      </c>
      <c r="AL377" s="32" t="inlineStr">
        <is>
          <t xml:space="preserve">At technical</t>
        </is>
      </c>
      <c r="AM377" s="41">
        <f>IF(ISNUMBER($AD377),Header!$I$3,"")</f>
      </c>
      <c r="AN377" s="39">
        <f>IF(ISNUMBER($AD377),$AO377+$AP377,"")</f>
      </c>
      <c r="AO377" s="39">
        <f>IF(ISNUMBER($AD377),ROUND($AD377*Header!$K$3,2),"")</f>
      </c>
      <c r="AP377" s="39">
        <f>IF(ISNUMBER($AD377),ROUND($AD377*Header!$M$3,2),"")</f>
      </c>
      <c r="AQ377" s="38">
        <f>IF(ISNUMBER($AD377),ROUND($AD377,2)-$AO377-$AP377,"")</f>
      </c>
      <c r="AR377" s="39">
        <f>IF(ISNUMBER($AD377),IF(Header!$D$34="","?",$AD377*Header!$D$34),"")</f>
      </c>
      <c r="AS377" s="39">
        <f>IF(ISNUMBER($AB377),IF(Header!$D$34="","?",$AB377*Header!$D$34),"")</f>
      </c>
      <c r="AT377" s="42">
        <f>IF(AND(ISNUMBER($AB377),$M377&gt;0),$AB377/$M377*100,"")</f>
      </c>
      <c r="AU377" s="42">
        <f>IF(AND(ISNUMBER($AD377),$M377&gt;0),$AD377/$M377*100,"")</f>
      </c>
      <c r="AV377" s="40">
        <f>IF(AND(ISNUMBER($AB377),ISNUMBER($AD377),ABS($AB377)&gt;0),$AD377/$AB377,"")</f>
      </c>
      <c r="AW377" s="39">
        <f>IF(ISNUMBER($AD377),MAX(0,(1-0.55-Header!$O$3)*Header!$Q$3*$AQ377),"")</f>
      </c>
      <c r="AX377" s="43">
        <f>IF($A377="","",IF(TRIM(IF($A377="","Missing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",""))="","PASS","FAIL: "&amp;TRIM(IF($A377="","Missing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f>
      </c>
      <c r="AY377" s="44">
        <f>IF($M377="","",IF(ISNUMBER($M377),IF($M377&gt;=Header!$C$18,"YES — refer","No"),""))</f>
      </c>
      <c r="AZ377" s="44">
        <f>IF($AD377="","",IF(ISNUMBER($AD377),IF($AD377&lt;Header!$C$20,"BELOW MIN PREMIUM","OK"),""))</f>
      </c>
      <c r="BA377" s="32" t="inlineStr">
        <is>
          <t xml:space="preserve">Yes</t>
        </is>
      </c>
      <c r="BB377" s="32" t="inlineStr">
        <is>
          <t xml:space="preserve">Yes</t>
        </is>
      </c>
      <c r="BC377" s="30" t="inlineStr">
        <is>
          <t xml:space="preserve">Synthetic demo data</t>
        </is>
      </c>
      <c r="BE377" s="45">
        <f>IF(OR($A377="",$L377="",$H377=""),"",IF(AND(LEFT($L377,2)="06",$H377&gt;1945),"FAIL - pre-war class, year "&amp;$H377,IF(AND(LEFT($L377,2)="07",OR($H377&lt;1946,$H377&gt;1972)),"FAIL - 1946-72 class, year "&amp;$H377,IF(AND(LEFT($L377,2)="08",OR($H377&lt;1973,$H377&gt;1999)),"FAIL - 1973-99 class, year "&amp;$H377,IF(AND(LEFT($L377,2)="09",OR($H377&lt;2000,$H377&gt;2010)),"FAIL - 2000-10 class, year "&amp;$H377,"OK")))))</f>
      </c>
      <c r="BF377" s="45">
        <f>IF($AD377="","",IF(ROUND($AO377+$AP377+$AQ377-$AD377,2)=0,"OK","FAIL - out by "&amp;TEXT($AO377+$AP377+$AQ377-$AD377,"$0.00")))</f>
      </c>
    </row>
    <row r="378" spans="1:58" ht="18.75" customHeight="1" x14ac:dyDescent="0.25">
      <c r="A378" s="46" t="inlineStr">
        <is>
          <t xml:space="preserve">CANON-202606-008916</t>
        </is>
      </c>
      <c r="B378" s="46" t="inlineStr">
        <is>
          <t xml:space="preserve">Wilhelmina Rourke</t>
        </is>
      </c>
      <c r="C378" s="47">
        <v>46183</v>
      </c>
      <c r="D378" s="48" t="inlineStr">
        <is>
          <t xml:space="preserve">Bound - within authority</t>
        </is>
      </c>
      <c r="E378" s="48" t="inlineStr">
        <is>
          <t xml:space="preserve">New business</t>
        </is>
      </c>
      <c r="F378" s="46" t="inlineStr">
        <is>
          <t xml:space="preserve">B1234EXOTIC26</t>
        </is>
      </c>
      <c r="G378" s="33">
        <f>IF($A378="","",IF($C378="","",YEAR($C378)))</f>
      </c>
      <c r="H378" s="49">
        <v>1992</v>
      </c>
      <c r="I378" s="46" t="inlineStr">
        <is>
          <t xml:space="preserve">BMW</t>
        </is>
      </c>
      <c r="J378" s="46" t="inlineStr">
        <is>
          <t xml:space="preserve">M8 Competition</t>
        </is>
      </c>
      <c r="K378" s="46" t="inlineStr">
        <is>
          <t xml:space="preserve">C9EUYDJWGBT5WLZD1</t>
        </is>
      </c>
      <c r="L378" s="48" t="inlineStr">
        <is>
          <t xml:space="preserve">02 - Sports / GT</t>
        </is>
      </c>
      <c r="M378" s="50">
        <v>525000</v>
      </c>
      <c r="N378" s="48" t="inlineStr">
        <is>
          <t xml:space="preserve">Personal</t>
        </is>
      </c>
      <c r="O378" s="46" t="inlineStr">
        <is>
          <t xml:space="preserve">Personal - regular use</t>
        </is>
      </c>
      <c r="P378" s="46" t="inlineStr">
        <is>
          <t xml:space="preserve">1,000 - 2,500</t>
        </is>
      </c>
      <c r="Q378" s="46" t="inlineStr">
        <is>
          <t xml:space="preserve">Ohio</t>
        </is>
      </c>
      <c r="R378" s="46" t="inlineStr">
        <is>
          <t xml:space="preserve">43215</t>
        </is>
      </c>
      <c r="S378" s="48" t="inlineStr">
        <is>
          <t xml:space="preserve">Severe convective - hail / tornado (moderate)</t>
        </is>
      </c>
      <c r="T378" s="36">
        <f>IF($A378="","",IF($S378="","",IFERROR(INDEX('[1]natural catastrophe'!$D$6:$D$17,MATCH($S378,'[1]natural catastrophe'!$B$6:$B$17,0)),"?")))</f>
      </c>
      <c r="U378" s="46" t="inlineStr">
        <is>
          <t xml:space="preserve">$5,000</t>
        </is>
      </c>
      <c r="V378" s="48" t="inlineStr">
        <is>
          <t xml:space="preserve">Agreed Value</t>
        </is>
      </c>
      <c r="W378" s="46" t="inlineStr">
        <is>
          <t xml:space="preserve">$1,000</t>
        </is>
      </c>
      <c r="X378" s="48" t="inlineStr">
        <is>
          <t xml:space="preserve">$1,000,000 CSL</t>
        </is>
      </c>
      <c r="Y378" s="46"/>
      <c r="Z378" s="46"/>
      <c r="AA378" s="48" t="inlineStr">
        <is>
          <t xml:space="preserve">Surplus Lines</t>
        </is>
      </c>
      <c r="AB378" s="50">
        <v>6844.78</v>
      </c>
      <c r="AC378" s="51">
        <v>0</v>
      </c>
      <c r="AD378" s="38">
        <f>IF(ISNUMBER($AB378),$AB378*(1+N($AC378)),"")</f>
      </c>
      <c r="AE378" s="50">
        <v>350</v>
      </c>
      <c r="AF378" s="50">
        <v>0</v>
      </c>
      <c r="AG378" s="51"/>
      <c r="AH378" s="39">
        <f>IF(ISNUMBER($AD378),($AD378+$AE378+$AF378)*$AG378,"")</f>
      </c>
      <c r="AI378" s="50"/>
      <c r="AJ378" s="38">
        <f>IF(ISNUMBER($AD378),SUM($AD378:$AH378),"")</f>
      </c>
      <c r="AK378" s="40">
        <f>IF(AND(ISNUMBER($AB378),ISNUMBER($AD378)),IF($AB378&gt;0,$AD378/$AB378,""),"")</f>
      </c>
      <c r="AL378" s="48" t="inlineStr">
        <is>
          <t xml:space="preserve">At technical</t>
        </is>
      </c>
      <c r="AM378" s="41">
        <f>IF(ISNUMBER($AD378),Header!$I$3,"")</f>
      </c>
      <c r="AN378" s="39">
        <f>IF(ISNUMBER($AD378),$AO378+$AP378,"")</f>
      </c>
      <c r="AO378" s="39">
        <f>IF(ISNUMBER($AD378),ROUND($AD378*Header!$K$3,2),"")</f>
      </c>
      <c r="AP378" s="39">
        <f>IF(ISNUMBER($AD378),ROUND($AD378*Header!$M$3,2),"")</f>
      </c>
      <c r="AQ378" s="38">
        <f>IF(ISNUMBER($AD378),ROUND($AD378,2)-$AO378-$AP378,"")</f>
      </c>
      <c r="AR378" s="39">
        <f>IF(ISNUMBER($AD378),IF(Header!$D$34="","?",$AD378*Header!$D$34),"")</f>
      </c>
      <c r="AS378" s="39">
        <f>IF(ISNUMBER($AB378),IF(Header!$D$34="","?",$AB378*Header!$D$34),"")</f>
      </c>
      <c r="AT378" s="42">
        <f>IF(AND(ISNUMBER($AB378),$M378&gt;0),$AB378/$M378*100,"")</f>
      </c>
      <c r="AU378" s="42">
        <f>IF(AND(ISNUMBER($AD378),$M378&gt;0),$AD378/$M378*100,"")</f>
      </c>
      <c r="AV378" s="40">
        <f>IF(AND(ISNUMBER($AB378),ISNUMBER($AD378),ABS($AB378)&gt;0),$AD378/$AB378,"")</f>
      </c>
      <c r="AW378" s="39">
        <f>IF(ISNUMBER($AD378),MAX(0,(1-0.55-Header!$O$3)*Header!$Q$3*$AQ378),"")</f>
      </c>
      <c r="AX378" s="43">
        <f>IF($A378="","",IF(TRIM(IF($A378="","Missing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",""))="","PASS","FAIL: "&amp;TRIM(IF($A378="","Missing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f>
      </c>
      <c r="AY378" s="44">
        <f>IF($M378="","",IF(ISNUMBER($M378),IF($M378&gt;=Header!$C$18,"YES — refer","No"),""))</f>
      </c>
      <c r="AZ378" s="44">
        <f>IF($AD378="","",IF(ISNUMBER($AD378),IF($AD378&lt;Header!$C$20,"BELOW MIN PREMIUM","OK"),""))</f>
      </c>
      <c r="BA378" s="48" t="inlineStr">
        <is>
          <t xml:space="preserve">Yes</t>
        </is>
      </c>
      <c r="BB378" s="48" t="inlineStr">
        <is>
          <t xml:space="preserve">Yes</t>
        </is>
      </c>
      <c r="BC378" s="46" t="inlineStr">
        <is>
          <t xml:space="preserve">Synthetic demo data</t>
        </is>
      </c>
      <c r="BE378" s="45">
        <f>IF(OR($A378="",$L378="",$H378=""),"",IF(AND(LEFT($L378,2)="06",$H378&gt;1945),"FAIL - pre-war class, year "&amp;$H378,IF(AND(LEFT($L378,2)="07",OR($H378&lt;1946,$H378&gt;1972)),"FAIL - 1946-72 class, year "&amp;$H378,IF(AND(LEFT($L378,2)="08",OR($H378&lt;1973,$H378&gt;1999)),"FAIL - 1973-99 class, year "&amp;$H378,IF(AND(LEFT($L378,2)="09",OR($H378&lt;2000,$H378&gt;2010)),"FAIL - 2000-10 class, year "&amp;$H378,"OK")))))</f>
      </c>
      <c r="BF378" s="45">
        <f>IF($AD378="","",IF(ROUND($AO378+$AP378+$AQ378-$AD378,2)=0,"OK","FAIL - out by "&amp;TEXT($AO378+$AP378+$AQ378-$AD378,"$0.00")))</f>
      </c>
    </row>
    <row r="379" spans="1:58" ht="18.75" customHeight="1" x14ac:dyDescent="0.25">
      <c r="A379" s="30" t="inlineStr">
        <is>
          <t xml:space="preserve">CANON-202606-008918</t>
        </is>
      </c>
      <c r="B379" s="30" t="inlineStr">
        <is>
          <t xml:space="preserve">Desmond Bellandi</t>
        </is>
      </c>
      <c r="C379" s="31">
        <v>46192</v>
      </c>
      <c r="D379" s="32" t="inlineStr">
        <is>
          <t xml:space="preserve">Bound - within authority</t>
        </is>
      </c>
      <c r="E379" s="32" t="inlineStr">
        <is>
          <t xml:space="preserve">New business</t>
        </is>
      </c>
      <c r="F379" s="30" t="inlineStr">
        <is>
          <t xml:space="preserve">B1234EXOTIC26</t>
        </is>
      </c>
      <c r="G379" s="33">
        <f>IF($A379="","",IF($C379="","",YEAR($C379)))</f>
      </c>
      <c r="H379" s="34">
        <v>1983</v>
      </c>
      <c r="I379" s="30" t="inlineStr">
        <is>
          <t xml:space="preserve">Aston Martin</t>
        </is>
      </c>
      <c r="J379" s="30" t="inlineStr">
        <is>
          <t xml:space="preserve">DB12</t>
        </is>
      </c>
      <c r="K379" s="30" t="inlineStr">
        <is>
          <t xml:space="preserve">TX327TELXM23JXD6C</t>
        </is>
      </c>
      <c r="L379" s="32" t="inlineStr">
        <is>
          <t xml:space="preserve">02 - Sports / GT</t>
        </is>
      </c>
      <c r="M379" s="35">
        <v>690000</v>
      </c>
      <c r="N379" s="32" t="inlineStr">
        <is>
          <t xml:space="preserve">Personal</t>
        </is>
      </c>
      <c r="O379" s="30" t="inlineStr">
        <is>
          <t xml:space="preserve">Personal - regular use</t>
        </is>
      </c>
      <c r="P379" s="30" t="inlineStr">
        <is>
          <t xml:space="preserve">2,500 - 5,000</t>
        </is>
      </c>
      <c r="Q379" s="30" t="inlineStr">
        <is>
          <t xml:space="preserve">Oregon</t>
        </is>
      </c>
      <c r="R379" s="30" t="inlineStr">
        <is>
          <t xml:space="preserve">97204</t>
        </is>
      </c>
      <c r="S379" s="32" t="inlineStr">
        <is>
          <t xml:space="preserve">Earthquake - high (CA, Cascadia, New Madrid)</t>
        </is>
      </c>
      <c r="T379" s="36">
        <f>IF($A379="","",IF($S379="","",IFERROR(INDEX('[1]natural catastrophe'!$D$6:$D$17,MATCH($S379,'[1]natural catastrophe'!$B$6:$B$17,0)),"?")))</f>
      </c>
      <c r="U379" s="30" t="inlineStr">
        <is>
          <t xml:space="preserve">$5,000</t>
        </is>
      </c>
      <c r="V379" s="32" t="inlineStr">
        <is>
          <t xml:space="preserve">Agreed Value</t>
        </is>
      </c>
      <c r="W379" s="30" t="inlineStr">
        <is>
          <t xml:space="preserve">$1,000</t>
        </is>
      </c>
      <c r="X379" s="32" t="inlineStr">
        <is>
          <t xml:space="preserve">$1,000,000 CSL</t>
        </is>
      </c>
      <c r="Y379" s="30"/>
      <c r="Z379" s="30"/>
      <c r="AA379" s="32" t="inlineStr">
        <is>
          <t xml:space="preserve">Surplus Lines</t>
        </is>
      </c>
      <c r="AB379" s="35">
        <v>7313.29</v>
      </c>
      <c r="AC379" s="37">
        <v>0</v>
      </c>
      <c r="AD379" s="38">
        <f>IF(ISNUMBER($AB379),$AB379*(1+N($AC379)),"")</f>
      </c>
      <c r="AE379" s="35">
        <v>350</v>
      </c>
      <c r="AF379" s="35">
        <v>0</v>
      </c>
      <c r="AG379" s="37"/>
      <c r="AH379" s="39">
        <f>IF(ISNUMBER($AD379),($AD379+$AE379+$AF379)*$AG379,"")</f>
      </c>
      <c r="AI379" s="35"/>
      <c r="AJ379" s="38">
        <f>IF(ISNUMBER($AD379),SUM($AD379:$AH379),"")</f>
      </c>
      <c r="AK379" s="40">
        <f>IF(AND(ISNUMBER($AB379),ISNUMBER($AD379)),IF($AB379&gt;0,$AD379/$AB379,""),"")</f>
      </c>
      <c r="AL379" s="32" t="inlineStr">
        <is>
          <t xml:space="preserve">At technical</t>
        </is>
      </c>
      <c r="AM379" s="41">
        <f>IF(ISNUMBER($AD379),Header!$I$3,"")</f>
      </c>
      <c r="AN379" s="39">
        <f>IF(ISNUMBER($AD379),$AO379+$AP379,"")</f>
      </c>
      <c r="AO379" s="39">
        <f>IF(ISNUMBER($AD379),ROUND($AD379*Header!$K$3,2),"")</f>
      </c>
      <c r="AP379" s="39">
        <f>IF(ISNUMBER($AD379),ROUND($AD379*Header!$M$3,2),"")</f>
      </c>
      <c r="AQ379" s="38">
        <f>IF(ISNUMBER($AD379),ROUND($AD379,2)-$AO379-$AP379,"")</f>
      </c>
      <c r="AR379" s="39">
        <f>IF(ISNUMBER($AD379),IF(Header!$D$34="","?",$AD379*Header!$D$34),"")</f>
      </c>
      <c r="AS379" s="39">
        <f>IF(ISNUMBER($AB379),IF(Header!$D$34="","?",$AB379*Header!$D$34),"")</f>
      </c>
      <c r="AT379" s="42">
        <f>IF(AND(ISNUMBER($AB379),$M379&gt;0),$AB379/$M379*100,"")</f>
      </c>
      <c r="AU379" s="42">
        <f>IF(AND(ISNUMBER($AD379),$M379&gt;0),$AD379/$M379*100,"")</f>
      </c>
      <c r="AV379" s="40">
        <f>IF(AND(ISNUMBER($AB379),ISNUMBER($AD379),ABS($AB379)&gt;0),$AD379/$AB379,"")</f>
      </c>
      <c r="AW379" s="39">
        <f>IF(ISNUMBER($AD379),MAX(0,(1-0.55-Header!$O$3)*Header!$Q$3*$AQ379),"")</f>
      </c>
      <c r="AX379" s="43">
        <f>IF($A379="","",IF(TRIM(IF($A379="","Missing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",""))="","PASS","FAIL: "&amp;TRIM(IF($A379="","Missing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f>
      </c>
      <c r="AY379" s="44">
        <f>IF($M379="","",IF(ISNUMBER($M379),IF($M379&gt;=Header!$C$18,"YES — refer","No"),""))</f>
      </c>
      <c r="AZ379" s="44">
        <f>IF($AD379="","",IF(ISNUMBER($AD379),IF($AD379&lt;Header!$C$20,"BELOW MIN PREMIUM","OK"),""))</f>
      </c>
      <c r="BA379" s="32" t="inlineStr">
        <is>
          <t xml:space="preserve">Yes</t>
        </is>
      </c>
      <c r="BB379" s="32" t="inlineStr">
        <is>
          <t xml:space="preserve">Yes</t>
        </is>
      </c>
      <c r="BC379" s="30" t="inlineStr">
        <is>
          <t xml:space="preserve">Synthetic demo data</t>
        </is>
      </c>
      <c r="BE379" s="45">
        <f>IF(OR($A379="",$L379="",$H379=""),"",IF(AND(LEFT($L379,2)="06",$H379&gt;1945),"FAIL - pre-war class, year "&amp;$H379,IF(AND(LEFT($L379,2)="07",OR($H379&lt;1946,$H379&gt;1972)),"FAIL - 1946-72 class, year "&amp;$H379,IF(AND(LEFT($L379,2)="08",OR($H379&lt;1973,$H379&gt;1999)),"FAIL - 1973-99 class, year "&amp;$H379,IF(AND(LEFT($L379,2)="09",OR($H379&lt;2000,$H379&gt;2010)),"FAIL - 2000-10 class, year "&amp;$H379,"OK")))))</f>
      </c>
      <c r="BF379" s="45">
        <f>IF($AD379="","",IF(ROUND($AO379+$AP379+$AQ379-$AD379,2)=0,"OK","FAIL - out by "&amp;TEXT($AO379+$AP379+$AQ379-$AD379,"$0.00")))</f>
      </c>
    </row>
    <row r="380" spans="1:58" ht="18.75" customHeight="1" x14ac:dyDescent="0.25">
      <c r="A380" s="46" t="inlineStr">
        <is>
          <t xml:space="preserve">CANON-202606-008919</t>
        </is>
      </c>
      <c r="B380" s="46" t="inlineStr">
        <is>
          <t xml:space="preserve">Anouk Vasquez</t>
        </is>
      </c>
      <c r="C380" s="47">
        <v>46185</v>
      </c>
      <c r="D380" s="48" t="inlineStr">
        <is>
          <t xml:space="preserve">Bound - within authority</t>
        </is>
      </c>
      <c r="E380" s="48" t="inlineStr">
        <is>
          <t xml:space="preserve">New business</t>
        </is>
      </c>
      <c r="F380" s="46" t="inlineStr">
        <is>
          <t xml:space="preserve">B1234EXOTIC26</t>
        </is>
      </c>
      <c r="G380" s="33">
        <f>IF($A380="","",IF($C380="","",YEAR($C380)))</f>
      </c>
      <c r="H380" s="49">
        <v>2019</v>
      </c>
      <c r="I380" s="46" t="inlineStr">
        <is>
          <t xml:space="preserve">Jaguar</t>
        </is>
      </c>
      <c r="J380" s="46" t="inlineStr">
        <is>
          <t xml:space="preserve">E-Type Series 1</t>
        </is>
      </c>
      <c r="K380" s="46" t="inlineStr">
        <is>
          <t xml:space="preserve">PNE0511CGC4W441S6</t>
        </is>
      </c>
      <c r="L380" s="48" t="inlineStr">
        <is>
          <t xml:space="preserve">02 - Sports / GT</t>
        </is>
      </c>
      <c r="M380" s="50">
        <v>1670000</v>
      </c>
      <c r="N380" s="48" t="inlineStr">
        <is>
          <t xml:space="preserve">Personal</t>
        </is>
      </c>
      <c r="O380" s="46" t="inlineStr">
        <is>
          <t xml:space="preserve">Personal - regular use</t>
        </is>
      </c>
      <c r="P380" s="46" t="inlineStr">
        <is>
          <t xml:space="preserve">Under 1,000</t>
        </is>
      </c>
      <c r="Q380" s="46" t="inlineStr">
        <is>
          <t xml:space="preserve">Idaho</t>
        </is>
      </c>
      <c r="R380" s="46" t="inlineStr">
        <is>
          <t xml:space="preserve">83702</t>
        </is>
      </c>
      <c r="S380" s="48" t="inlineStr">
        <is>
          <t xml:space="preserve">Wildfire - WUI high hazard</t>
        </is>
      </c>
      <c r="T380" s="36">
        <f>IF($A380="","",IF($S380="","",IFERROR(INDEX('[1]natural catastrophe'!$D$6:$D$17,MATCH($S380,'[1]natural catastrophe'!$B$6:$B$17,0)),"?")))</f>
      </c>
      <c r="U380" s="46" t="inlineStr">
        <is>
          <t xml:space="preserve">$5,000</t>
        </is>
      </c>
      <c r="V380" s="48" t="inlineStr">
        <is>
          <t xml:space="preserve">Agreed Value</t>
        </is>
      </c>
      <c r="W380" s="46" t="inlineStr">
        <is>
          <t xml:space="preserve">$1,000</t>
        </is>
      </c>
      <c r="X380" s="48" t="inlineStr">
        <is>
          <t xml:space="preserve">$1,000,000 CSL</t>
        </is>
      </c>
      <c r="Y380" s="46"/>
      <c r="Z380" s="46"/>
      <c r="AA380" s="48" t="inlineStr">
        <is>
          <t xml:space="preserve">Surplus Lines</t>
        </is>
      </c>
      <c r="AB380" s="50">
        <v>9065.82</v>
      </c>
      <c r="AC380" s="51">
        <v>0</v>
      </c>
      <c r="AD380" s="38">
        <f>IF(ISNUMBER($AB380),$AB380*(1+N($AC380)),"")</f>
      </c>
      <c r="AE380" s="50">
        <v>350</v>
      </c>
      <c r="AF380" s="50">
        <v>250</v>
      </c>
      <c r="AG380" s="51"/>
      <c r="AH380" s="39">
        <f>IF(ISNUMBER($AD380),($AD380+$AE380+$AF380)*$AG380,"")</f>
      </c>
      <c r="AI380" s="50"/>
      <c r="AJ380" s="38">
        <f>IF(ISNUMBER($AD380),SUM($AD380:$AH380),"")</f>
      </c>
      <c r="AK380" s="40">
        <f>IF(AND(ISNUMBER($AB380),ISNUMBER($AD380)),IF($AB380&gt;0,$AD380/$AB380,""),"")</f>
      </c>
      <c r="AL380" s="48" t="inlineStr">
        <is>
          <t xml:space="preserve">At technical</t>
        </is>
      </c>
      <c r="AM380" s="41">
        <f>IF(ISNUMBER($AD380),Header!$I$3,"")</f>
      </c>
      <c r="AN380" s="39">
        <f>IF(ISNUMBER($AD380),$AO380+$AP380,"")</f>
      </c>
      <c r="AO380" s="39">
        <f>IF(ISNUMBER($AD380),ROUND($AD380*Header!$K$3,2),"")</f>
      </c>
      <c r="AP380" s="39">
        <f>IF(ISNUMBER($AD380),ROUND($AD380*Header!$M$3,2),"")</f>
      </c>
      <c r="AQ380" s="38">
        <f>IF(ISNUMBER($AD380),ROUND($AD380,2)-$AO380-$AP380,"")</f>
      </c>
      <c r="AR380" s="39">
        <f>IF(ISNUMBER($AD380),IF(Header!$D$34="","?",$AD380*Header!$D$34),"")</f>
      </c>
      <c r="AS380" s="39">
        <f>IF(ISNUMBER($AB380),IF(Header!$D$34="","?",$AB380*Header!$D$34),"")</f>
      </c>
      <c r="AT380" s="42">
        <f>IF(AND(ISNUMBER($AB380),$M380&gt;0),$AB380/$M380*100,"")</f>
      </c>
      <c r="AU380" s="42">
        <f>IF(AND(ISNUMBER($AD380),$M380&gt;0),$AD380/$M380*100,"")</f>
      </c>
      <c r="AV380" s="40">
        <f>IF(AND(ISNUMBER($AB380),ISNUMBER($AD380),ABS($AB380)&gt;0),$AD380/$AB380,"")</f>
      </c>
      <c r="AW380" s="39">
        <f>IF(ISNUMBER($AD380),MAX(0,(1-0.55-Header!$O$3)*Header!$Q$3*$AQ380),"")</f>
      </c>
      <c r="AX380" s="43">
        <f>IF($A380="","",IF(TRIM(IF($A380="","Missing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",""))="","PASS","FAIL: "&amp;TRIM(IF($A380="","Missing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f>
      </c>
      <c r="AY380" s="44">
        <f>IF($M380="","",IF(ISNUMBER($M380),IF($M380&gt;=Header!$C$18,"YES — refer","No"),""))</f>
      </c>
      <c r="AZ380" s="44">
        <f>IF($AD380="","",IF(ISNUMBER($AD380),IF($AD380&lt;Header!$C$20,"BELOW MIN PREMIUM","OK"),""))</f>
      </c>
      <c r="BA380" s="48" t="inlineStr">
        <is>
          <t xml:space="preserve">Yes</t>
        </is>
      </c>
      <c r="BB380" s="48" t="inlineStr">
        <is>
          <t xml:space="preserve">Yes</t>
        </is>
      </c>
      <c r="BC380" s="46" t="inlineStr">
        <is>
          <t xml:space="preserve">Synthetic demo data</t>
        </is>
      </c>
      <c r="BE380" s="45">
        <f>IF(OR($A380="",$L380="",$H380=""),"",IF(AND(LEFT($L380,2)="06",$H380&gt;1945),"FAIL - pre-war class, year "&amp;$H380,IF(AND(LEFT($L380,2)="07",OR($H380&lt;1946,$H380&gt;1972)),"FAIL - 1946-72 class, year "&amp;$H380,IF(AND(LEFT($L380,2)="08",OR($H380&lt;1973,$H380&gt;1999)),"FAIL - 1973-99 class, year "&amp;$H380,IF(AND(LEFT($L380,2)="09",OR($H380&lt;2000,$H380&gt;2010)),"FAIL - 2000-10 class, year "&amp;$H380,"OK")))))</f>
      </c>
      <c r="BF380" s="45">
        <f>IF($AD380="","",IF(ROUND($AO380+$AP380+$AQ380-$AD380,2)=0,"OK","FAIL - out by "&amp;TEXT($AO380+$AP380+$AQ380-$AD380,"$0.00")))</f>
      </c>
    </row>
    <row r="381" spans="1:58" ht="18.75" customHeight="1" x14ac:dyDescent="0.25">
      <c r="A381" s="30" t="inlineStr">
        <is>
          <t xml:space="preserve">CANON-202606-008920</t>
        </is>
      </c>
      <c r="B381" s="30" t="inlineStr">
        <is>
          <t xml:space="preserve">Delphine Nakashima</t>
        </is>
      </c>
      <c r="C381" s="31">
        <v>46176</v>
      </c>
      <c r="D381" s="32" t="inlineStr">
        <is>
          <t xml:space="preserve">Bound - within authority</t>
        </is>
      </c>
      <c r="E381" s="32" t="inlineStr">
        <is>
          <t xml:space="preserve">New business</t>
        </is>
      </c>
      <c r="F381" s="30" t="inlineStr">
        <is>
          <t xml:space="preserve">B1234EXOTIC26</t>
        </is>
      </c>
      <c r="G381" s="33">
        <f>IF($A381="","",IF($C381="","",YEAR($C381)))</f>
      </c>
      <c r="H381" s="34">
        <v>1983</v>
      </c>
      <c r="I381" s="30" t="inlineStr">
        <is>
          <t xml:space="preserve">BMW</t>
        </is>
      </c>
      <c r="J381" s="30" t="inlineStr">
        <is>
          <t xml:space="preserve">M8 Competition</t>
        </is>
      </c>
      <c r="K381" s="30" t="inlineStr">
        <is>
          <t xml:space="preserve">DPU6SB46TDJX6TC9A</t>
        </is>
      </c>
      <c r="L381" s="32" t="inlineStr">
        <is>
          <t xml:space="preserve">02 - Sports / GT</t>
        </is>
      </c>
      <c r="M381" s="35">
        <v>555000</v>
      </c>
      <c r="N381" s="32" t="inlineStr">
        <is>
          <t xml:space="preserve">Personal</t>
        </is>
      </c>
      <c r="O381" s="30" t="inlineStr">
        <is>
          <t xml:space="preserve">Personal - regular use</t>
        </is>
      </c>
      <c r="P381" s="30" t="inlineStr">
        <is>
          <t xml:space="preserve">2,500 - 5,000</t>
        </is>
      </c>
      <c r="Q381" s="30" t="inlineStr">
        <is>
          <t xml:space="preserve">Nevada</t>
        </is>
      </c>
      <c r="R381" s="30" t="inlineStr">
        <is>
          <t xml:space="preserve">89101</t>
        </is>
      </c>
      <c r="S381" s="32" t="inlineStr">
        <is>
          <t xml:space="preserve">Wildfire - WUI high hazard</t>
        </is>
      </c>
      <c r="T381" s="36">
        <f>IF($A381="","",IF($S381="","",IFERROR(INDEX('[1]natural catastrophe'!$D$6:$D$17,MATCH($S381,'[1]natural catastrophe'!$B$6:$B$17,0)),"?")))</f>
      </c>
      <c r="U381" s="30" t="inlineStr">
        <is>
          <t xml:space="preserve">$5,000</t>
        </is>
      </c>
      <c r="V381" s="32" t="inlineStr">
        <is>
          <t xml:space="preserve">Agreed Value</t>
        </is>
      </c>
      <c r="W381" s="30" t="inlineStr">
        <is>
          <t xml:space="preserve">$1,000</t>
        </is>
      </c>
      <c r="X381" s="32" t="inlineStr">
        <is>
          <t xml:space="preserve">$1,000,000 CSL</t>
        </is>
      </c>
      <c r="Y381" s="30"/>
      <c r="Z381" s="30"/>
      <c r="AA381" s="32" t="inlineStr">
        <is>
          <t xml:space="preserve">Surplus Lines</t>
        </is>
      </c>
      <c r="AB381" s="35">
        <v>6090.66</v>
      </c>
      <c r="AC381" s="37">
        <v>0</v>
      </c>
      <c r="AD381" s="38">
        <f>IF(ISNUMBER($AB381),$AB381*(1+N($AC381)),"")</f>
      </c>
      <c r="AE381" s="35">
        <v>350</v>
      </c>
      <c r="AF381" s="35">
        <v>0</v>
      </c>
      <c r="AG381" s="37"/>
      <c r="AH381" s="39">
        <f>IF(ISNUMBER($AD381),($AD381+$AE381+$AF381)*$AG381,"")</f>
      </c>
      <c r="AI381" s="35"/>
      <c r="AJ381" s="38">
        <f>IF(ISNUMBER($AD381),SUM($AD381:$AH381),"")</f>
      </c>
      <c r="AK381" s="40">
        <f>IF(AND(ISNUMBER($AB381),ISNUMBER($AD381)),IF($AB381&gt;0,$AD381/$AB381,""),"")</f>
      </c>
      <c r="AL381" s="32" t="inlineStr">
        <is>
          <t xml:space="preserve">At technical</t>
        </is>
      </c>
      <c r="AM381" s="41">
        <f>IF(ISNUMBER($AD381),Header!$I$3,"")</f>
      </c>
      <c r="AN381" s="39">
        <f>IF(ISNUMBER($AD381),$AO381+$AP381,"")</f>
      </c>
      <c r="AO381" s="39">
        <f>IF(ISNUMBER($AD381),ROUND($AD381*Header!$K$3,2),"")</f>
      </c>
      <c r="AP381" s="39">
        <f>IF(ISNUMBER($AD381),ROUND($AD381*Header!$M$3,2),"")</f>
      </c>
      <c r="AQ381" s="38">
        <f>IF(ISNUMBER($AD381),ROUND($AD381,2)-$AO381-$AP381,"")</f>
      </c>
      <c r="AR381" s="39">
        <f>IF(ISNUMBER($AD381),IF(Header!$D$34="","?",$AD381*Header!$D$34),"")</f>
      </c>
      <c r="AS381" s="39">
        <f>IF(ISNUMBER($AB381),IF(Header!$D$34="","?",$AB381*Header!$D$34),"")</f>
      </c>
      <c r="AT381" s="42">
        <f>IF(AND(ISNUMBER($AB381),$M381&gt;0),$AB381/$M381*100,"")</f>
      </c>
      <c r="AU381" s="42">
        <f>IF(AND(ISNUMBER($AD381),$M381&gt;0),$AD381/$M381*100,"")</f>
      </c>
      <c r="AV381" s="40">
        <f>IF(AND(ISNUMBER($AB381),ISNUMBER($AD381),ABS($AB381)&gt;0),$AD381/$AB381,"")</f>
      </c>
      <c r="AW381" s="39">
        <f>IF(ISNUMBER($AD381),MAX(0,(1-0.55-Header!$O$3)*Header!$Q$3*$AQ381),"")</f>
      </c>
      <c r="AX381" s="43">
        <f>IF($A381="","",IF(TRIM(IF($A381="","Missing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",""))="","PASS","FAIL: "&amp;TRIM(IF($A381="","Missing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f>
      </c>
      <c r="AY381" s="44">
        <f>IF($M381="","",IF(ISNUMBER($M381),IF($M381&gt;=Header!$C$18,"YES — refer","No"),""))</f>
      </c>
      <c r="AZ381" s="44">
        <f>IF($AD381="","",IF(ISNUMBER($AD381),IF($AD381&lt;Header!$C$20,"BELOW MIN PREMIUM","OK"),""))</f>
      </c>
      <c r="BA381" s="32" t="inlineStr">
        <is>
          <t xml:space="preserve">Yes</t>
        </is>
      </c>
      <c r="BB381" s="32" t="inlineStr">
        <is>
          <t xml:space="preserve">Yes</t>
        </is>
      </c>
      <c r="BC381" s="30" t="inlineStr">
        <is>
          <t xml:space="preserve">Synthetic demo data</t>
        </is>
      </c>
      <c r="BE381" s="45">
        <f>IF(OR($A381="",$L381="",$H381=""),"",IF(AND(LEFT($L381,2)="06",$H381&gt;1945),"FAIL - pre-war class, year "&amp;$H381,IF(AND(LEFT($L381,2)="07",OR($H381&lt;1946,$H381&gt;1972)),"FAIL - 1946-72 class, year "&amp;$H381,IF(AND(LEFT($L381,2)="08",OR($H381&lt;1973,$H381&gt;1999)),"FAIL - 1973-99 class, year "&amp;$H381,IF(AND(LEFT($L381,2)="09",OR($H381&lt;2000,$H381&gt;2010)),"FAIL - 2000-10 class, year "&amp;$H381,"OK")))))</f>
      </c>
      <c r="BF381" s="45">
        <f>IF($AD381="","",IF(ROUND($AO381+$AP381+$AQ381-$AD381,2)=0,"OK","FAIL - out by "&amp;TEXT($AO381+$AP381+$AQ381-$AD381,"$0.00")))</f>
      </c>
    </row>
    <row r="382" spans="1:58" ht="18.75" customHeight="1" x14ac:dyDescent="0.25">
      <c r="A382" s="46" t="inlineStr">
        <is>
          <t xml:space="preserve">CANON-202606-008921</t>
        </is>
      </c>
      <c r="B382" s="46" t="inlineStr">
        <is>
          <t xml:space="preserve">Thaddeus Delacroix</t>
        </is>
      </c>
      <c r="C382" s="47">
        <v>46196</v>
      </c>
      <c r="D382" s="48" t="inlineStr">
        <is>
          <t xml:space="preserve">Bound - within authority</t>
        </is>
      </c>
      <c r="E382" s="48" t="inlineStr">
        <is>
          <t xml:space="preserve">New business</t>
        </is>
      </c>
      <c r="F382" s="46" t="inlineStr">
        <is>
          <t xml:space="preserve">B1234EXOTIC26</t>
        </is>
      </c>
      <c r="G382" s="33">
        <f>IF($A382="","",IF($C382="","",YEAR($C382)))</f>
      </c>
      <c r="H382" s="49">
        <v>1986</v>
      </c>
      <c r="I382" s="46" t="inlineStr">
        <is>
          <t xml:space="preserve">Lamborghini</t>
        </is>
      </c>
      <c r="J382" s="46" t="inlineStr">
        <is>
          <t xml:space="preserve">Huracan EVO</t>
        </is>
      </c>
      <c r="K382" s="46" t="inlineStr">
        <is>
          <t xml:space="preserve">9PDCJAM6JH75JJRUZ</t>
        </is>
      </c>
      <c r="L382" s="48" t="inlineStr">
        <is>
          <t xml:space="preserve">03 - Supercar</t>
        </is>
      </c>
      <c r="M382" s="50">
        <v>1400000</v>
      </c>
      <c r="N382" s="48" t="inlineStr">
        <is>
          <t xml:space="preserve">Personal</t>
        </is>
      </c>
      <c r="O382" s="46" t="inlineStr">
        <is>
          <t xml:space="preserve">Personal - regular use</t>
        </is>
      </c>
      <c r="P382" s="46" t="inlineStr">
        <is>
          <t xml:space="preserve">1,000 - 2,500</t>
        </is>
      </c>
      <c r="Q382" s="46" t="inlineStr">
        <is>
          <t xml:space="preserve">North Carolina</t>
        </is>
      </c>
      <c r="R382" s="46" t="inlineStr">
        <is>
          <t xml:space="preserve">28202</t>
        </is>
      </c>
      <c r="S382" s="48" t="inlineStr">
        <is>
          <t xml:space="preserve">Tier 2 - Coastal wind (1-25 miles)</t>
        </is>
      </c>
      <c r="T382" s="36">
        <f>IF($A382="","",IF($S382="","",IFERROR(INDEX('[1]natural catastrophe'!$D$6:$D$17,MATCH($S382,'[1]natural catastrophe'!$B$6:$B$17,0)),"?")))</f>
      </c>
      <c r="U382" s="46" t="inlineStr">
        <is>
          <t xml:space="preserve">2% of agreed value, minimum $10,000</t>
        </is>
      </c>
      <c r="V382" s="48" t="inlineStr">
        <is>
          <t xml:space="preserve">Agreed Value</t>
        </is>
      </c>
      <c r="W382" s="46" t="inlineStr">
        <is>
          <t xml:space="preserve">$1,000</t>
        </is>
      </c>
      <c r="X382" s="48" t="inlineStr">
        <is>
          <t xml:space="preserve">$1,000,000 CSL</t>
        </is>
      </c>
      <c r="Y382" s="46"/>
      <c r="Z382" s="46"/>
      <c r="AA382" s="48" t="inlineStr">
        <is>
          <t xml:space="preserve">Surplus Lines</t>
        </is>
      </c>
      <c r="AB382" s="50">
        <v>18586.09</v>
      </c>
      <c r="AC382" s="51">
        <v>0</v>
      </c>
      <c r="AD382" s="38">
        <f>IF(ISNUMBER($AB382),$AB382*(1+N($AC382)),"")</f>
      </c>
      <c r="AE382" s="50">
        <v>350</v>
      </c>
      <c r="AF382" s="50">
        <v>250</v>
      </c>
      <c r="AG382" s="51"/>
      <c r="AH382" s="39">
        <f>IF(ISNUMBER($AD382),($AD382+$AE382+$AF382)*$AG382,"")</f>
      </c>
      <c r="AI382" s="50"/>
      <c r="AJ382" s="38">
        <f>IF(ISNUMBER($AD382),SUM($AD382:$AH382),"")</f>
      </c>
      <c r="AK382" s="40">
        <f>IF(AND(ISNUMBER($AB382),ISNUMBER($AD382)),IF($AB382&gt;0,$AD382/$AB382,""),"")</f>
      </c>
      <c r="AL382" s="48" t="inlineStr">
        <is>
          <t xml:space="preserve">At technical</t>
        </is>
      </c>
      <c r="AM382" s="41">
        <f>IF(ISNUMBER($AD382),Header!$I$3,"")</f>
      </c>
      <c r="AN382" s="39">
        <f>IF(ISNUMBER($AD382),$AO382+$AP382,"")</f>
      </c>
      <c r="AO382" s="39">
        <f>IF(ISNUMBER($AD382),ROUND($AD382*Header!$K$3,2),"")</f>
      </c>
      <c r="AP382" s="39">
        <f>IF(ISNUMBER($AD382),ROUND($AD382*Header!$M$3,2),"")</f>
      </c>
      <c r="AQ382" s="38">
        <f>IF(ISNUMBER($AD382),ROUND($AD382,2)-$AO382-$AP382,"")</f>
      </c>
      <c r="AR382" s="39">
        <f>IF(ISNUMBER($AD382),IF(Header!$D$34="","?",$AD382*Header!$D$34),"")</f>
      </c>
      <c r="AS382" s="39">
        <f>IF(ISNUMBER($AB382),IF(Header!$D$34="","?",$AB382*Header!$D$34),"")</f>
      </c>
      <c r="AT382" s="42">
        <f>IF(AND(ISNUMBER($AB382),$M382&gt;0),$AB382/$M382*100,"")</f>
      </c>
      <c r="AU382" s="42">
        <f>IF(AND(ISNUMBER($AD382),$M382&gt;0),$AD382/$M382*100,"")</f>
      </c>
      <c r="AV382" s="40">
        <f>IF(AND(ISNUMBER($AB382),ISNUMBER($AD382),ABS($AB382)&gt;0),$AD382/$AB382,"")</f>
      </c>
      <c r="AW382" s="39">
        <f>IF(ISNUMBER($AD382),MAX(0,(1-0.55-Header!$O$3)*Header!$Q$3*$AQ382),"")</f>
      </c>
      <c r="AX382" s="43">
        <f>IF($A382="","",IF(TRIM(IF($A382="","Missing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",""))="","PASS","FAIL: "&amp;TRIM(IF($A382="","Missing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f>
      </c>
      <c r="AY382" s="44">
        <f>IF($M382="","",IF(ISNUMBER($M382),IF($M382&gt;=Header!$C$18,"YES — refer","No"),""))</f>
      </c>
      <c r="AZ382" s="44">
        <f>IF($AD382="","",IF(ISNUMBER($AD382),IF($AD382&lt;Header!$C$20,"BELOW MIN PREMIUM","OK"),""))</f>
      </c>
      <c r="BA382" s="48" t="inlineStr">
        <is>
          <t xml:space="preserve">Yes</t>
        </is>
      </c>
      <c r="BB382" s="48" t="inlineStr">
        <is>
          <t xml:space="preserve">Yes</t>
        </is>
      </c>
      <c r="BC382" s="46" t="inlineStr">
        <is>
          <t xml:space="preserve">Synthetic demo data</t>
        </is>
      </c>
      <c r="BE382" s="45">
        <f>IF(OR($A382="",$L382="",$H382=""),"",IF(AND(LEFT($L382,2)="06",$H382&gt;1945),"FAIL - pre-war class, year "&amp;$H382,IF(AND(LEFT($L382,2)="07",OR($H382&lt;1946,$H382&gt;1972)),"FAIL - 1946-72 class, year "&amp;$H382,IF(AND(LEFT($L382,2)="08",OR($H382&lt;1973,$H382&gt;1999)),"FAIL - 1973-99 class, year "&amp;$H382,IF(AND(LEFT($L382,2)="09",OR($H382&lt;2000,$H382&gt;2010)),"FAIL - 2000-10 class, year "&amp;$H382,"OK")))))</f>
      </c>
      <c r="BF382" s="45">
        <f>IF($AD382="","",IF(ROUND($AO382+$AP382+$AQ382-$AD382,2)=0,"OK","FAIL - out by "&amp;TEXT($AO382+$AP382+$AQ382-$AD382,"$0.00")))</f>
      </c>
    </row>
    <row r="383" spans="1:58" ht="18.75" customHeight="1" x14ac:dyDescent="0.25">
      <c r="A383" s="30" t="inlineStr">
        <is>
          <t xml:space="preserve">CANON-202606-008922</t>
        </is>
      </c>
      <c r="B383" s="30" t="inlineStr">
        <is>
          <t xml:space="preserve">Mireille Larsson</t>
        </is>
      </c>
      <c r="C383" s="31">
        <v>46187</v>
      </c>
      <c r="D383" s="32" t="inlineStr">
        <is>
          <t xml:space="preserve">Bound - within authority</t>
        </is>
      </c>
      <c r="E383" s="32" t="inlineStr">
        <is>
          <t xml:space="preserve">New business</t>
        </is>
      </c>
      <c r="F383" s="30" t="inlineStr">
        <is>
          <t xml:space="preserve">B1234EXOTIC26</t>
        </is>
      </c>
      <c r="G383" s="33">
        <f>IF($A383="","",IF($C383="","",YEAR($C383)))</f>
      </c>
      <c r="H383" s="34">
        <v>1967</v>
      </c>
      <c r="I383" s="30" t="inlineStr">
        <is>
          <t xml:space="preserve">Ferrari</t>
        </is>
      </c>
      <c r="J383" s="30" t="inlineStr">
        <is>
          <t xml:space="preserve">296 GTB</t>
        </is>
      </c>
      <c r="K383" s="30" t="inlineStr">
        <is>
          <t xml:space="preserve">ZFK129SA7XNK9GYWL</t>
        </is>
      </c>
      <c r="L383" s="32" t="inlineStr">
        <is>
          <t xml:space="preserve">03 - Supercar</t>
        </is>
      </c>
      <c r="M383" s="35">
        <v>645000</v>
      </c>
      <c r="N383" s="32" t="inlineStr">
        <is>
          <t xml:space="preserve">Personal</t>
        </is>
      </c>
      <c r="O383" s="30" t="inlineStr">
        <is>
          <t xml:space="preserve">Personal - regular use</t>
        </is>
      </c>
      <c r="P383" s="30" t="inlineStr">
        <is>
          <t xml:space="preserve">1,000 - 2,500</t>
        </is>
      </c>
      <c r="Q383" s="30" t="inlineStr">
        <is>
          <t xml:space="preserve">Pennsylvania</t>
        </is>
      </c>
      <c r="R383" s="30" t="inlineStr">
        <is>
          <t xml:space="preserve">19103</t>
        </is>
      </c>
      <c r="S383" s="32" t="inlineStr">
        <is>
          <t xml:space="preserve">Low hazard - inland benign</t>
        </is>
      </c>
      <c r="T383" s="36">
        <f>IF($A383="","",IF($S383="","",IFERROR(INDEX('[1]natural catastrophe'!$D$6:$D$17,MATCH($S383,'[1]natural catastrophe'!$B$6:$B$17,0)),"?")))</f>
      </c>
      <c r="U383" s="30" t="inlineStr">
        <is>
          <t xml:space="preserve">$5,000</t>
        </is>
      </c>
      <c r="V383" s="32" t="inlineStr">
        <is>
          <t xml:space="preserve">Agreed Value</t>
        </is>
      </c>
      <c r="W383" s="30" t="inlineStr">
        <is>
          <t xml:space="preserve">$1,000</t>
        </is>
      </c>
      <c r="X383" s="32" t="inlineStr">
        <is>
          <t xml:space="preserve">$1,000,000 CSL</t>
        </is>
      </c>
      <c r="Y383" s="30"/>
      <c r="Z383" s="30"/>
      <c r="AA383" s="32" t="inlineStr">
        <is>
          <t xml:space="preserve">Surplus Lines</t>
        </is>
      </c>
      <c r="AB383" s="35">
        <v>8842.1</v>
      </c>
      <c r="AC383" s="37">
        <v>0</v>
      </c>
      <c r="AD383" s="38">
        <f>IF(ISNUMBER($AB383),$AB383*(1+N($AC383)),"")</f>
      </c>
      <c r="AE383" s="35">
        <v>350</v>
      </c>
      <c r="AF383" s="35">
        <v>0</v>
      </c>
      <c r="AG383" s="37"/>
      <c r="AH383" s="39">
        <f>IF(ISNUMBER($AD383),($AD383+$AE383+$AF383)*$AG383,"")</f>
      </c>
      <c r="AI383" s="35"/>
      <c r="AJ383" s="38">
        <f>IF(ISNUMBER($AD383),SUM($AD383:$AH383),"")</f>
      </c>
      <c r="AK383" s="40">
        <f>IF(AND(ISNUMBER($AB383),ISNUMBER($AD383)),IF($AB383&gt;0,$AD383/$AB383,""),"")</f>
      </c>
      <c r="AL383" s="32" t="inlineStr">
        <is>
          <t xml:space="preserve">At technical</t>
        </is>
      </c>
      <c r="AM383" s="41">
        <f>IF(ISNUMBER($AD383),Header!$I$3,"")</f>
      </c>
      <c r="AN383" s="39">
        <f>IF(ISNUMBER($AD383),$AO383+$AP383,"")</f>
      </c>
      <c r="AO383" s="39">
        <f>IF(ISNUMBER($AD383),ROUND($AD383*Header!$K$3,2),"")</f>
      </c>
      <c r="AP383" s="39">
        <f>IF(ISNUMBER($AD383),ROUND($AD383*Header!$M$3,2),"")</f>
      </c>
      <c r="AQ383" s="38">
        <f>IF(ISNUMBER($AD383),ROUND($AD383,2)-$AO383-$AP383,"")</f>
      </c>
      <c r="AR383" s="39">
        <f>IF(ISNUMBER($AD383),IF(Header!$D$34="","?",$AD383*Header!$D$34),"")</f>
      </c>
      <c r="AS383" s="39">
        <f>IF(ISNUMBER($AB383),IF(Header!$D$34="","?",$AB383*Header!$D$34),"")</f>
      </c>
      <c r="AT383" s="42">
        <f>IF(AND(ISNUMBER($AB383),$M383&gt;0),$AB383/$M383*100,"")</f>
      </c>
      <c r="AU383" s="42">
        <f>IF(AND(ISNUMBER($AD383),$M383&gt;0),$AD383/$M383*100,"")</f>
      </c>
      <c r="AV383" s="40">
        <f>IF(AND(ISNUMBER($AB383),ISNUMBER($AD383),ABS($AB383)&gt;0),$AD383/$AB383,"")</f>
      </c>
      <c r="AW383" s="39">
        <f>IF(ISNUMBER($AD383),MAX(0,(1-0.55-Header!$O$3)*Header!$Q$3*$AQ383),"")</f>
      </c>
      <c r="AX383" s="43">
        <f>IF($A383="","",IF(TRIM(IF($A383="","Missing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",""))="","PASS","FAIL: "&amp;TRIM(IF($A383="","Missing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f>
      </c>
      <c r="AY383" s="44">
        <f>IF($M383="","",IF(ISNUMBER($M383),IF($M383&gt;=Header!$C$18,"YES — refer","No"),""))</f>
      </c>
      <c r="AZ383" s="44">
        <f>IF($AD383="","",IF(ISNUMBER($AD383),IF($AD383&lt;Header!$C$20,"BELOW MIN PREMIUM","OK"),""))</f>
      </c>
      <c r="BA383" s="32" t="inlineStr">
        <is>
          <t xml:space="preserve">Yes</t>
        </is>
      </c>
      <c r="BB383" s="32" t="inlineStr">
        <is>
          <t xml:space="preserve">Yes</t>
        </is>
      </c>
      <c r="BC383" s="30" t="inlineStr">
        <is>
          <t xml:space="preserve">Synthetic demo data</t>
        </is>
      </c>
      <c r="BE383" s="45">
        <f>IF(OR($A383="",$L383="",$H383=""),"",IF(AND(LEFT($L383,2)="06",$H383&gt;1945),"FAIL - pre-war class, year "&amp;$H383,IF(AND(LEFT($L383,2)="07",OR($H383&lt;1946,$H383&gt;1972)),"FAIL - 1946-72 class, year "&amp;$H383,IF(AND(LEFT($L383,2)="08",OR($H383&lt;1973,$H383&gt;1999)),"FAIL - 1973-99 class, year "&amp;$H383,IF(AND(LEFT($L383,2)="09",OR($H383&lt;2000,$H383&gt;2010)),"FAIL - 2000-10 class, year "&amp;$H383,"OK")))))</f>
      </c>
      <c r="BF383" s="45">
        <f>IF($AD383="","",IF(ROUND($AO383+$AP383+$AQ383-$AD383,2)=0,"OK","FAIL - out by "&amp;TEXT($AO383+$AP383+$AQ383-$AD383,"$0.00")))</f>
      </c>
    </row>
    <row r="384" spans="1:58" ht="18.75" customHeight="1" x14ac:dyDescent="0.25">
      <c r="A384" s="46" t="inlineStr">
        <is>
          <t xml:space="preserve">CANON-202606-008923</t>
        </is>
      </c>
      <c r="B384" s="46" t="inlineStr">
        <is>
          <t xml:space="preserve">Sunniva Ashcombe</t>
        </is>
      </c>
      <c r="C384" s="47">
        <v>46180</v>
      </c>
      <c r="D384" s="48" t="inlineStr">
        <is>
          <t xml:space="preserve">Bound - within authority</t>
        </is>
      </c>
      <c r="E384" s="48" t="inlineStr">
        <is>
          <t xml:space="preserve">New business</t>
        </is>
      </c>
      <c r="F384" s="46" t="inlineStr">
        <is>
          <t xml:space="preserve">B1234EXOTIC26</t>
        </is>
      </c>
      <c r="G384" s="33">
        <f>IF($A384="","",IF($C384="","",YEAR($C384)))</f>
      </c>
      <c r="H384" s="49">
        <v>1965</v>
      </c>
      <c r="I384" s="46" t="inlineStr">
        <is>
          <t xml:space="preserve">Maserati</t>
        </is>
      </c>
      <c r="J384" s="46" t="inlineStr">
        <is>
          <t xml:space="preserve">GranTurismo</t>
        </is>
      </c>
      <c r="K384" s="46" t="inlineStr">
        <is>
          <t xml:space="preserve">T82KDY5B2DY8TXLYM</t>
        </is>
      </c>
      <c r="L384" s="48" t="inlineStr">
        <is>
          <t xml:space="preserve">02 - Sports / GT</t>
        </is>
      </c>
      <c r="M384" s="50">
        <v>375000</v>
      </c>
      <c r="N384" s="48" t="inlineStr">
        <is>
          <t xml:space="preserve">Personal</t>
        </is>
      </c>
      <c r="O384" s="46" t="inlineStr">
        <is>
          <t xml:space="preserve">Personal - regular use</t>
        </is>
      </c>
      <c r="P384" s="46" t="inlineStr">
        <is>
          <t xml:space="preserve">1,000 - 2,500</t>
        </is>
      </c>
      <c r="Q384" s="46" t="inlineStr">
        <is>
          <t xml:space="preserve">New York</t>
        </is>
      </c>
      <c r="R384" s="46" t="inlineStr">
        <is>
          <t xml:space="preserve">10022</t>
        </is>
      </c>
      <c r="S384" s="48" t="inlineStr">
        <is>
          <t xml:space="preserve">Tier 3 - Coastal wind (25-100 miles)</t>
        </is>
      </c>
      <c r="T384" s="36">
        <f>IF($A384="","",IF($S384="","",IFERROR(INDEX('[1]natural catastrophe'!$D$6:$D$17,MATCH($S384,'[1]natural catastrophe'!$B$6:$B$17,0)),"?")))</f>
      </c>
      <c r="U384" s="46" t="inlineStr">
        <is>
          <t xml:space="preserve">2% of agreed value, minimum $10,000</t>
        </is>
      </c>
      <c r="V384" s="48" t="inlineStr">
        <is>
          <t xml:space="preserve">Agreed Value</t>
        </is>
      </c>
      <c r="W384" s="46" t="inlineStr">
        <is>
          <t xml:space="preserve">$1,000</t>
        </is>
      </c>
      <c r="X384" s="48" t="inlineStr">
        <is>
          <t xml:space="preserve">$1,000,000 CSL</t>
        </is>
      </c>
      <c r="Y384" s="46"/>
      <c r="Z384" s="46"/>
      <c r="AA384" s="48" t="inlineStr">
        <is>
          <t xml:space="preserve">Surplus Lines</t>
        </is>
      </c>
      <c r="AB384" s="50">
        <v>5194.87</v>
      </c>
      <c r="AC384" s="51">
        <v>0</v>
      </c>
      <c r="AD384" s="38">
        <f>IF(ISNUMBER($AB384),$AB384*(1+N($AC384)),"")</f>
      </c>
      <c r="AE384" s="50">
        <v>350</v>
      </c>
      <c r="AF384" s="50">
        <v>0</v>
      </c>
      <c r="AG384" s="51"/>
      <c r="AH384" s="39">
        <f>IF(ISNUMBER($AD384),($AD384+$AE384+$AF384)*$AG384,"")</f>
      </c>
      <c r="AI384" s="50"/>
      <c r="AJ384" s="38">
        <f>IF(ISNUMBER($AD384),SUM($AD384:$AH384),"")</f>
      </c>
      <c r="AK384" s="40">
        <f>IF(AND(ISNUMBER($AB384),ISNUMBER($AD384)),IF($AB384&gt;0,$AD384/$AB384,""),"")</f>
      </c>
      <c r="AL384" s="48" t="inlineStr">
        <is>
          <t xml:space="preserve">At technical</t>
        </is>
      </c>
      <c r="AM384" s="41">
        <f>IF(ISNUMBER($AD384),Header!$I$3,"")</f>
      </c>
      <c r="AN384" s="39">
        <f>IF(ISNUMBER($AD384),$AO384+$AP384,"")</f>
      </c>
      <c r="AO384" s="39">
        <f>IF(ISNUMBER($AD384),ROUND($AD384*Header!$K$3,2),"")</f>
      </c>
      <c r="AP384" s="39">
        <f>IF(ISNUMBER($AD384),ROUND($AD384*Header!$M$3,2),"")</f>
      </c>
      <c r="AQ384" s="38">
        <f>IF(ISNUMBER($AD384),ROUND($AD384,2)-$AO384-$AP384,"")</f>
      </c>
      <c r="AR384" s="39">
        <f>IF(ISNUMBER($AD384),IF(Header!$D$34="","?",$AD384*Header!$D$34),"")</f>
      </c>
      <c r="AS384" s="39">
        <f>IF(ISNUMBER($AB384),IF(Header!$D$34="","?",$AB384*Header!$D$34),"")</f>
      </c>
      <c r="AT384" s="42">
        <f>IF(AND(ISNUMBER($AB384),$M384&gt;0),$AB384/$M384*100,"")</f>
      </c>
      <c r="AU384" s="42">
        <f>IF(AND(ISNUMBER($AD384),$M384&gt;0),$AD384/$M384*100,"")</f>
      </c>
      <c r="AV384" s="40">
        <f>IF(AND(ISNUMBER($AB384),ISNUMBER($AD384),ABS($AB384)&gt;0),$AD384/$AB384,"")</f>
      </c>
      <c r="AW384" s="39">
        <f>IF(ISNUMBER($AD384),MAX(0,(1-0.55-Header!$O$3)*Header!$Q$3*$AQ384),"")</f>
      </c>
      <c r="AX384" s="43">
        <f>IF($A384="","",IF(TRIM(IF($A384="","Missing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",""))="","PASS","FAIL: "&amp;TRIM(IF($A384="","Missing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f>
      </c>
      <c r="AY384" s="44">
        <f>IF($M384="","",IF(ISNUMBER($M384),IF($M384&gt;=Header!$C$18,"YES — refer","No"),""))</f>
      </c>
      <c r="AZ384" s="44">
        <f>IF($AD384="","",IF(ISNUMBER($AD384),IF($AD384&lt;Header!$C$20,"BELOW MIN PREMIUM","OK"),""))</f>
      </c>
      <c r="BA384" s="48" t="inlineStr">
        <is>
          <t xml:space="preserve">Yes</t>
        </is>
      </c>
      <c r="BB384" s="48" t="inlineStr">
        <is>
          <t xml:space="preserve">Yes</t>
        </is>
      </c>
      <c r="BC384" s="46" t="inlineStr">
        <is>
          <t xml:space="preserve">Synthetic demo data</t>
        </is>
      </c>
      <c r="BE384" s="45">
        <f>IF(OR($A384="",$L384="",$H384=""),"",IF(AND(LEFT($L384,2)="06",$H384&gt;1945),"FAIL - pre-war class, year "&amp;$H384,IF(AND(LEFT($L384,2)="07",OR($H384&lt;1946,$H384&gt;1972)),"FAIL - 1946-72 class, year "&amp;$H384,IF(AND(LEFT($L384,2)="08",OR($H384&lt;1973,$H384&gt;1999)),"FAIL - 1973-99 class, year "&amp;$H384,IF(AND(LEFT($L384,2)="09",OR($H384&lt;2000,$H384&gt;2010)),"FAIL - 2000-10 class, year "&amp;$H384,"OK")))))</f>
      </c>
      <c r="BF384" s="45">
        <f>IF($AD384="","",IF(ROUND($AO384+$AP384+$AQ384-$AD384,2)=0,"OK","FAIL - out by "&amp;TEXT($AO384+$AP384+$AQ384-$AD384,"$0.00")))</f>
      </c>
    </row>
    <row r="385" spans="1:58" ht="18.75" customHeight="1" x14ac:dyDescent="0.25">
      <c r="A385" s="30" t="inlineStr">
        <is>
          <t xml:space="preserve">CANON-202606-008924</t>
        </is>
      </c>
      <c r="B385" s="30" t="inlineStr">
        <is>
          <t xml:space="preserve">Anouk Nakashima</t>
        </is>
      </c>
      <c r="C385" s="31">
        <v>46192</v>
      </c>
      <c r="D385" s="32" t="inlineStr">
        <is>
          <t xml:space="preserve">Bound - within authority</t>
        </is>
      </c>
      <c r="E385" s="32" t="inlineStr">
        <is>
          <t xml:space="preserve">New business</t>
        </is>
      </c>
      <c r="F385" s="30" t="inlineStr">
        <is>
          <t xml:space="preserve">B1234EXOTIC26</t>
        </is>
      </c>
      <c r="G385" s="33">
        <f>IF($A385="","",IF($C385="","",YEAR($C385)))</f>
      </c>
      <c r="H385" s="34">
        <v>1985</v>
      </c>
      <c r="I385" s="30" t="inlineStr">
        <is>
          <t xml:space="preserve">Jaguar</t>
        </is>
      </c>
      <c r="J385" s="30" t="inlineStr">
        <is>
          <t xml:space="preserve">E-Type Series 1</t>
        </is>
      </c>
      <c r="K385" s="30" t="inlineStr">
        <is>
          <t xml:space="preserve">23TPP502N4H4PEHK2</t>
        </is>
      </c>
      <c r="L385" s="32" t="inlineStr">
        <is>
          <t xml:space="preserve">08 - Modern Classic (1973-1999)</t>
        </is>
      </c>
      <c r="M385" s="35">
        <v>730000</v>
      </c>
      <c r="N385" s="32" t="inlineStr">
        <is>
          <t xml:space="preserve">Personal</t>
        </is>
      </c>
      <c r="O385" s="30" t="inlineStr">
        <is>
          <t xml:space="preserve">Personal - regular use</t>
        </is>
      </c>
      <c r="P385" s="30" t="inlineStr">
        <is>
          <t xml:space="preserve">1,000 - 2,500</t>
        </is>
      </c>
      <c r="Q385" s="30" t="inlineStr">
        <is>
          <t xml:space="preserve">New Mexico</t>
        </is>
      </c>
      <c r="R385" s="30" t="inlineStr">
        <is>
          <t xml:space="preserve">87501</t>
        </is>
      </c>
      <c r="S385" s="32" t="inlineStr">
        <is>
          <t xml:space="preserve">Wildfire - WUI high hazard</t>
        </is>
      </c>
      <c r="T385" s="36">
        <f>IF($A385="","",IF($S385="","",IFERROR(INDEX('[1]natural catastrophe'!$D$6:$D$17,MATCH($S385,'[1]natural catastrophe'!$B$6:$B$17,0)),"?")))</f>
      </c>
      <c r="U385" s="30" t="inlineStr">
        <is>
          <t xml:space="preserve">$5,000</t>
        </is>
      </c>
      <c r="V385" s="32" t="inlineStr">
        <is>
          <t xml:space="preserve">Agreed Value</t>
        </is>
      </c>
      <c r="W385" s="30" t="inlineStr">
        <is>
          <t xml:space="preserve">$1,000</t>
        </is>
      </c>
      <c r="X385" s="32" t="inlineStr">
        <is>
          <t xml:space="preserve">$1,000,000 CSL</t>
        </is>
      </c>
      <c r="Y385" s="30"/>
      <c r="Z385" s="30"/>
      <c r="AA385" s="32" t="inlineStr">
        <is>
          <t xml:space="preserve">Surplus Lines</t>
        </is>
      </c>
      <c r="AB385" s="35">
        <v>5797.93</v>
      </c>
      <c r="AC385" s="37">
        <v>0</v>
      </c>
      <c r="AD385" s="38">
        <f>IF(ISNUMBER($AB385),$AB385*(1+N($AC385)),"")</f>
      </c>
      <c r="AE385" s="35">
        <v>350</v>
      </c>
      <c r="AF385" s="35">
        <v>0</v>
      </c>
      <c r="AG385" s="37"/>
      <c r="AH385" s="39">
        <f>IF(ISNUMBER($AD385),($AD385+$AE385+$AF385)*$AG385,"")</f>
      </c>
      <c r="AI385" s="35"/>
      <c r="AJ385" s="38">
        <f>IF(ISNUMBER($AD385),SUM($AD385:$AH385),"")</f>
      </c>
      <c r="AK385" s="40">
        <f>IF(AND(ISNUMBER($AB385),ISNUMBER($AD385)),IF($AB385&gt;0,$AD385/$AB385,""),"")</f>
      </c>
      <c r="AL385" s="32" t="inlineStr">
        <is>
          <t xml:space="preserve">At technical</t>
        </is>
      </c>
      <c r="AM385" s="41">
        <f>IF(ISNUMBER($AD385),Header!$I$3,"")</f>
      </c>
      <c r="AN385" s="39">
        <f>IF(ISNUMBER($AD385),$AO385+$AP385,"")</f>
      </c>
      <c r="AO385" s="39">
        <f>IF(ISNUMBER($AD385),ROUND($AD385*Header!$K$3,2),"")</f>
      </c>
      <c r="AP385" s="39">
        <f>IF(ISNUMBER($AD385),ROUND($AD385*Header!$M$3,2),"")</f>
      </c>
      <c r="AQ385" s="38">
        <f>IF(ISNUMBER($AD385),ROUND($AD385,2)-$AO385-$AP385,"")</f>
      </c>
      <c r="AR385" s="39">
        <f>IF(ISNUMBER($AD385),IF(Header!$D$34="","?",$AD385*Header!$D$34),"")</f>
      </c>
      <c r="AS385" s="39">
        <f>IF(ISNUMBER($AB385),IF(Header!$D$34="","?",$AB385*Header!$D$34),"")</f>
      </c>
      <c r="AT385" s="42">
        <f>IF(AND(ISNUMBER($AB385),$M385&gt;0),$AB385/$M385*100,"")</f>
      </c>
      <c r="AU385" s="42">
        <f>IF(AND(ISNUMBER($AD385),$M385&gt;0),$AD385/$M385*100,"")</f>
      </c>
      <c r="AV385" s="40">
        <f>IF(AND(ISNUMBER($AB385),ISNUMBER($AD385),ABS($AB385)&gt;0),$AD385/$AB385,"")</f>
      </c>
      <c r="AW385" s="39">
        <f>IF(ISNUMBER($AD385),MAX(0,(1-0.55-Header!$O$3)*Header!$Q$3*$AQ385),"")</f>
      </c>
      <c r="AX385" s="43">
        <f>IF($A385="","",IF(TRIM(IF($A385="","Missing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",""))="","PASS","FAIL: "&amp;TRIM(IF($A385="","Missing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f>
      </c>
      <c r="AY385" s="44">
        <f>IF($M385="","",IF(ISNUMBER($M385),IF($M385&gt;=Header!$C$18,"YES — refer","No"),""))</f>
      </c>
      <c r="AZ385" s="44">
        <f>IF($AD385="","",IF(ISNUMBER($AD385),IF($AD385&lt;Header!$C$20,"BELOW MIN PREMIUM","OK"),""))</f>
      </c>
      <c r="BA385" s="32" t="inlineStr">
        <is>
          <t xml:space="preserve">Yes</t>
        </is>
      </c>
      <c r="BB385" s="32" t="inlineStr">
        <is>
          <t xml:space="preserve">Yes</t>
        </is>
      </c>
      <c r="BC385" s="30" t="inlineStr">
        <is>
          <t xml:space="preserve">Synthetic demo data</t>
        </is>
      </c>
      <c r="BE385" s="45">
        <f>IF(OR($A385="",$L385="",$H385=""),"",IF(AND(LEFT($L385,2)="06",$H385&gt;1945),"FAIL - pre-war class, year "&amp;$H385,IF(AND(LEFT($L385,2)="07",OR($H385&lt;1946,$H385&gt;1972)),"FAIL - 1946-72 class, year "&amp;$H385,IF(AND(LEFT($L385,2)="08",OR($H385&lt;1973,$H385&gt;1999)),"FAIL - 1973-99 class, year "&amp;$H385,IF(AND(LEFT($L385,2)="09",OR($H385&lt;2000,$H385&gt;2010)),"FAIL - 2000-10 class, year "&amp;$H385,"OK")))))</f>
      </c>
      <c r="BF385" s="45">
        <f>IF($AD385="","",IF(ROUND($AO385+$AP385+$AQ385-$AD385,2)=0,"OK","FAIL - out by "&amp;TEXT($AO385+$AP385+$AQ385-$AD385,"$0.00")))</f>
      </c>
    </row>
    <row r="386" spans="1:58" ht="18.75" customHeight="1" x14ac:dyDescent="0.25">
      <c r="A386" s="46" t="inlineStr">
        <is>
          <t xml:space="preserve">CANON-202606-008926</t>
        </is>
      </c>
      <c r="B386" s="46" t="inlineStr">
        <is>
          <t xml:space="preserve">Thaddeus Underwood</t>
        </is>
      </c>
      <c r="C386" s="47">
        <v>46177</v>
      </c>
      <c r="D386" s="48" t="inlineStr">
        <is>
          <t xml:space="preserve">Bound - within authority</t>
        </is>
      </c>
      <c r="E386" s="48" t="inlineStr">
        <is>
          <t xml:space="preserve">New business</t>
        </is>
      </c>
      <c r="F386" s="46" t="inlineStr">
        <is>
          <t xml:space="preserve">B1234EXOTIC26</t>
        </is>
      </c>
      <c r="G386" s="33">
        <f>IF($A386="","",IF($C386="","",YEAR($C386)))</f>
      </c>
      <c r="H386" s="49">
        <v>2006</v>
      </c>
      <c r="I386" s="46" t="inlineStr">
        <is>
          <t xml:space="preserve">Ferrari</t>
        </is>
      </c>
      <c r="J386" s="46" t="inlineStr">
        <is>
          <t xml:space="preserve">SF90 Stradale</t>
        </is>
      </c>
      <c r="K386" s="46" t="inlineStr">
        <is>
          <t xml:space="preserve">M0AF1X8V90N3GU9VN</t>
        </is>
      </c>
      <c r="L386" s="48" t="inlineStr">
        <is>
          <t xml:space="preserve">03 - Supercar</t>
        </is>
      </c>
      <c r="M386" s="50">
        <v>520000</v>
      </c>
      <c r="N386" s="48" t="inlineStr">
        <is>
          <t xml:space="preserve">Personal</t>
        </is>
      </c>
      <c r="O386" s="46" t="inlineStr">
        <is>
          <t xml:space="preserve">Personal - regular use</t>
        </is>
      </c>
      <c r="P386" s="46" t="inlineStr">
        <is>
          <t xml:space="preserve">2,500 - 5,000</t>
        </is>
      </c>
      <c r="Q386" s="46" t="inlineStr">
        <is>
          <t xml:space="preserve">Hawaii</t>
        </is>
      </c>
      <c r="R386" s="46" t="inlineStr">
        <is>
          <t xml:space="preserve">96813</t>
        </is>
      </c>
      <c r="S386" s="48" t="inlineStr">
        <is>
          <t xml:space="preserve">Earthquake - high (CA, Cascadia, New Madrid)</t>
        </is>
      </c>
      <c r="T386" s="36">
        <f>IF($A386="","",IF($S386="","",IFERROR(INDEX('[1]natural catastrophe'!$D$6:$D$17,MATCH($S386,'[1]natural catastrophe'!$B$6:$B$17,0)),"?")))</f>
      </c>
      <c r="U386" s="46" t="inlineStr">
        <is>
          <t xml:space="preserve">$5,000</t>
        </is>
      </c>
      <c r="V386" s="48" t="inlineStr">
        <is>
          <t xml:space="preserve">Agreed Value</t>
        </is>
      </c>
      <c r="W386" s="46" t="inlineStr">
        <is>
          <t xml:space="preserve">$1,000</t>
        </is>
      </c>
      <c r="X386" s="48" t="inlineStr">
        <is>
          <t xml:space="preserve">$1,000,000 CSL</t>
        </is>
      </c>
      <c r="Y386" s="46"/>
      <c r="Z386" s="46"/>
      <c r="AA386" s="48" t="inlineStr">
        <is>
          <t xml:space="preserve">Surplus Lines</t>
        </is>
      </c>
      <c r="AB386" s="50">
        <v>9267.07</v>
      </c>
      <c r="AC386" s="51">
        <v>0</v>
      </c>
      <c r="AD386" s="38">
        <f>IF(ISNUMBER($AB386),$AB386*(1+N($AC386)),"")</f>
      </c>
      <c r="AE386" s="50">
        <v>350</v>
      </c>
      <c r="AF386" s="50">
        <v>0</v>
      </c>
      <c r="AG386" s="51"/>
      <c r="AH386" s="39">
        <f>IF(ISNUMBER($AD386),($AD386+$AE386+$AF386)*$AG386,"")</f>
      </c>
      <c r="AI386" s="50"/>
      <c r="AJ386" s="38">
        <f>IF(ISNUMBER($AD386),SUM($AD386:$AH386),"")</f>
      </c>
      <c r="AK386" s="40">
        <f>IF(AND(ISNUMBER($AB386),ISNUMBER($AD386)),IF($AB386&gt;0,$AD386/$AB386,""),"")</f>
      </c>
      <c r="AL386" s="48" t="inlineStr">
        <is>
          <t xml:space="preserve">At technical</t>
        </is>
      </c>
      <c r="AM386" s="41">
        <f>IF(ISNUMBER($AD386),Header!$I$3,"")</f>
      </c>
      <c r="AN386" s="39">
        <f>IF(ISNUMBER($AD386),$AO386+$AP386,"")</f>
      </c>
      <c r="AO386" s="39">
        <f>IF(ISNUMBER($AD386),ROUND($AD386*Header!$K$3,2),"")</f>
      </c>
      <c r="AP386" s="39">
        <f>IF(ISNUMBER($AD386),ROUND($AD386*Header!$M$3,2),"")</f>
      </c>
      <c r="AQ386" s="38">
        <f>IF(ISNUMBER($AD386),ROUND($AD386,2)-$AO386-$AP386,"")</f>
      </c>
      <c r="AR386" s="39">
        <f>IF(ISNUMBER($AD386),IF(Header!$D$34="","?",$AD386*Header!$D$34),"")</f>
      </c>
      <c r="AS386" s="39">
        <f>IF(ISNUMBER($AB386),IF(Header!$D$34="","?",$AB386*Header!$D$34),"")</f>
      </c>
      <c r="AT386" s="42">
        <f>IF(AND(ISNUMBER($AB386),$M386&gt;0),$AB386/$M386*100,"")</f>
      </c>
      <c r="AU386" s="42">
        <f>IF(AND(ISNUMBER($AD386),$M386&gt;0),$AD386/$M386*100,"")</f>
      </c>
      <c r="AV386" s="40">
        <f>IF(AND(ISNUMBER($AB386),ISNUMBER($AD386),ABS($AB386)&gt;0),$AD386/$AB386,"")</f>
      </c>
      <c r="AW386" s="39">
        <f>IF(ISNUMBER($AD386),MAX(0,(1-0.55-Header!$O$3)*Header!$Q$3*$AQ386),"")</f>
      </c>
      <c r="AX386" s="43">
        <f>IF($A386="","",IF(TRIM(IF($A386="","Missing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",""))="","PASS","FAIL: "&amp;TRIM(IF($A386="","Missing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f>
      </c>
      <c r="AY386" s="44">
        <f>IF($M386="","",IF(ISNUMBER($M386),IF($M386&gt;=Header!$C$18,"YES — refer","No"),""))</f>
      </c>
      <c r="AZ386" s="44">
        <f>IF($AD386="","",IF(ISNUMBER($AD386),IF($AD386&lt;Header!$C$20,"BELOW MIN PREMIUM","OK"),""))</f>
      </c>
      <c r="BA386" s="48" t="inlineStr">
        <is>
          <t xml:space="preserve">Yes</t>
        </is>
      </c>
      <c r="BB386" s="48" t="inlineStr">
        <is>
          <t xml:space="preserve">Yes</t>
        </is>
      </c>
      <c r="BC386" s="46" t="inlineStr">
        <is>
          <t xml:space="preserve">Synthetic demo data</t>
        </is>
      </c>
      <c r="BE386" s="45">
        <f>IF(OR($A386="",$L386="",$H386=""),"",IF(AND(LEFT($L386,2)="06",$H386&gt;1945),"FAIL - pre-war class, year "&amp;$H386,IF(AND(LEFT($L386,2)="07",OR($H386&lt;1946,$H386&gt;1972)),"FAIL - 1946-72 class, year "&amp;$H386,IF(AND(LEFT($L386,2)="08",OR($H386&lt;1973,$H386&gt;1999)),"FAIL - 1973-99 class, year "&amp;$H386,IF(AND(LEFT($L386,2)="09",OR($H386&lt;2000,$H386&gt;2010)),"FAIL - 2000-10 class, year "&amp;$H386,"OK")))))</f>
      </c>
      <c r="BF386" s="45">
        <f>IF($AD386="","",IF(ROUND($AO386+$AP386+$AQ386-$AD386,2)=0,"OK","FAIL - out by "&amp;TEXT($AO386+$AP386+$AQ386-$AD386,"$0.00")))</f>
      </c>
    </row>
    <row r="387" spans="1:58" ht="18.75" customHeight="1" x14ac:dyDescent="0.25">
      <c r="A387" s="30" t="inlineStr">
        <is>
          <t xml:space="preserve">CANON-202606-008928</t>
        </is>
      </c>
      <c r="B387" s="30" t="inlineStr">
        <is>
          <t xml:space="preserve">Ottilie Kingsford</t>
        </is>
      </c>
      <c r="C387" s="31">
        <v>46198</v>
      </c>
      <c r="D387" s="32" t="inlineStr">
        <is>
          <t xml:space="preserve">Bound - within authority</t>
        </is>
      </c>
      <c r="E387" s="32" t="inlineStr">
        <is>
          <t xml:space="preserve">New business</t>
        </is>
      </c>
      <c r="F387" s="30" t="inlineStr">
        <is>
          <t xml:space="preserve">B1234EXOTIC26</t>
        </is>
      </c>
      <c r="G387" s="33">
        <f>IF($A387="","",IF($C387="","",YEAR($C387)))</f>
      </c>
      <c r="H387" s="34">
        <v>1994</v>
      </c>
      <c r="I387" s="30" t="inlineStr">
        <is>
          <t xml:space="preserve">Ferrari</t>
        </is>
      </c>
      <c r="J387" s="30" t="inlineStr">
        <is>
          <t xml:space="preserve">296 GTB</t>
        </is>
      </c>
      <c r="K387" s="30" t="inlineStr">
        <is>
          <t xml:space="preserve">FGD6RWY1YDJJL57K6</t>
        </is>
      </c>
      <c r="L387" s="32" t="inlineStr">
        <is>
          <t xml:space="preserve">03 - Supercar</t>
        </is>
      </c>
      <c r="M387" s="35">
        <v>1665000</v>
      </c>
      <c r="N387" s="32" t="inlineStr">
        <is>
          <t xml:space="preserve">Personal</t>
        </is>
      </c>
      <c r="O387" s="30" t="inlineStr">
        <is>
          <t xml:space="preserve">Personal - regular use</t>
        </is>
      </c>
      <c r="P387" s="30" t="inlineStr">
        <is>
          <t xml:space="preserve">1,000 - 2,500</t>
        </is>
      </c>
      <c r="Q387" s="30" t="inlineStr">
        <is>
          <t xml:space="preserve">Wisconsin</t>
        </is>
      </c>
      <c r="R387" s="30" t="inlineStr">
        <is>
          <t xml:space="preserve">53202</t>
        </is>
      </c>
      <c r="S387" s="32" t="inlineStr">
        <is>
          <t xml:space="preserve">Severe convective - hail / tornado (moderate)</t>
        </is>
      </c>
      <c r="T387" s="36">
        <f>IF($A387="","",IF($S387="","",IFERROR(INDEX('[1]natural catastrophe'!$D$6:$D$17,MATCH($S387,'[1]natural catastrophe'!$B$6:$B$17,0)),"?")))</f>
      </c>
      <c r="U387" s="30" t="inlineStr">
        <is>
          <t xml:space="preserve">$5,000</t>
        </is>
      </c>
      <c r="V387" s="32" t="inlineStr">
        <is>
          <t xml:space="preserve">Agreed Value</t>
        </is>
      </c>
      <c r="W387" s="30" t="inlineStr">
        <is>
          <t xml:space="preserve">$1,000</t>
        </is>
      </c>
      <c r="X387" s="32" t="inlineStr">
        <is>
          <t xml:space="preserve">$1,000,000 CSL</t>
        </is>
      </c>
      <c r="Y387" s="30"/>
      <c r="Z387" s="30"/>
      <c r="AA387" s="32" t="inlineStr">
        <is>
          <t xml:space="preserve">Surplus Lines</t>
        </is>
      </c>
      <c r="AB387" s="35">
        <v>23065.21</v>
      </c>
      <c r="AC387" s="37">
        <v>0</v>
      </c>
      <c r="AD387" s="38">
        <f>IF(ISNUMBER($AB387),$AB387*(1+N($AC387)),"")</f>
      </c>
      <c r="AE387" s="35">
        <v>350</v>
      </c>
      <c r="AF387" s="35">
        <v>250</v>
      </c>
      <c r="AG387" s="37"/>
      <c r="AH387" s="39">
        <f>IF(ISNUMBER($AD387),($AD387+$AE387+$AF387)*$AG387,"")</f>
      </c>
      <c r="AI387" s="35"/>
      <c r="AJ387" s="38">
        <f>IF(ISNUMBER($AD387),SUM($AD387:$AH387),"")</f>
      </c>
      <c r="AK387" s="40">
        <f>IF(AND(ISNUMBER($AB387),ISNUMBER($AD387)),IF($AB387&gt;0,$AD387/$AB387,""),"")</f>
      </c>
      <c r="AL387" s="32" t="inlineStr">
        <is>
          <t xml:space="preserve">At technical</t>
        </is>
      </c>
      <c r="AM387" s="41">
        <f>IF(ISNUMBER($AD387),Header!$I$3,"")</f>
      </c>
      <c r="AN387" s="39">
        <f>IF(ISNUMBER($AD387),$AO387+$AP387,"")</f>
      </c>
      <c r="AO387" s="39">
        <f>IF(ISNUMBER($AD387),ROUND($AD387*Header!$K$3,2),"")</f>
      </c>
      <c r="AP387" s="39">
        <f>IF(ISNUMBER($AD387),ROUND($AD387*Header!$M$3,2),"")</f>
      </c>
      <c r="AQ387" s="38">
        <f>IF(ISNUMBER($AD387),ROUND($AD387,2)-$AO387-$AP387,"")</f>
      </c>
      <c r="AR387" s="39">
        <f>IF(ISNUMBER($AD387),IF(Header!$D$34="","?",$AD387*Header!$D$34),"")</f>
      </c>
      <c r="AS387" s="39">
        <f>IF(ISNUMBER($AB387),IF(Header!$D$34="","?",$AB387*Header!$D$34),"")</f>
      </c>
      <c r="AT387" s="42">
        <f>IF(AND(ISNUMBER($AB387),$M387&gt;0),$AB387/$M387*100,"")</f>
      </c>
      <c r="AU387" s="42">
        <f>IF(AND(ISNUMBER($AD387),$M387&gt;0),$AD387/$M387*100,"")</f>
      </c>
      <c r="AV387" s="40">
        <f>IF(AND(ISNUMBER($AB387),ISNUMBER($AD387),ABS($AB387)&gt;0),$AD387/$AB387,"")</f>
      </c>
      <c r="AW387" s="39">
        <f>IF(ISNUMBER($AD387),MAX(0,(1-0.55-Header!$O$3)*Header!$Q$3*$AQ387),"")</f>
      </c>
      <c r="AX387" s="43">
        <f>IF($A387="","",IF(TRIM(IF($A387="","Missing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",""))="","PASS","FAIL: "&amp;TRIM(IF($A387="","Missing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f>
      </c>
      <c r="AY387" s="44">
        <f>IF($M387="","",IF(ISNUMBER($M387),IF($M387&gt;=Header!$C$18,"YES — refer","No"),""))</f>
      </c>
      <c r="AZ387" s="44">
        <f>IF($AD387="","",IF(ISNUMBER($AD387),IF($AD387&lt;Header!$C$20,"BELOW MIN PREMIUM","OK"),""))</f>
      </c>
      <c r="BA387" s="32" t="inlineStr">
        <is>
          <t xml:space="preserve">Yes</t>
        </is>
      </c>
      <c r="BB387" s="32" t="inlineStr">
        <is>
          <t xml:space="preserve">Yes</t>
        </is>
      </c>
      <c r="BC387" s="30" t="inlineStr">
        <is>
          <t xml:space="preserve">Synthetic demo data</t>
        </is>
      </c>
      <c r="BE387" s="45">
        <f>IF(OR($A387="",$L387="",$H387=""),"",IF(AND(LEFT($L387,2)="06",$H387&gt;1945),"FAIL - pre-war class, year "&amp;$H387,IF(AND(LEFT($L387,2)="07",OR($H387&lt;1946,$H387&gt;1972)),"FAIL - 1946-72 class, year "&amp;$H387,IF(AND(LEFT($L387,2)="08",OR($H387&lt;1973,$H387&gt;1999)),"FAIL - 1973-99 class, year "&amp;$H387,IF(AND(LEFT($L387,2)="09",OR($H387&lt;2000,$H387&gt;2010)),"FAIL - 2000-10 class, year "&amp;$H387,"OK")))))</f>
      </c>
      <c r="BF387" s="45">
        <f>IF($AD387="","",IF(ROUND($AO387+$AP387+$AQ387-$AD387,2)=0,"OK","FAIL - out by "&amp;TEXT($AO387+$AP387+$AQ387-$AD387,"$0.00")))</f>
      </c>
    </row>
    <row r="388" spans="1:58" ht="18.75" customHeight="1" x14ac:dyDescent="0.25">
      <c r="A388" s="46" t="inlineStr">
        <is>
          <t xml:space="preserve">CANON-202606-008930</t>
        </is>
      </c>
      <c r="B388" s="46" t="inlineStr">
        <is>
          <t xml:space="preserve">Delphine Vasquez</t>
        </is>
      </c>
      <c r="C388" s="47">
        <v>46188</v>
      </c>
      <c r="D388" s="48" t="inlineStr">
        <is>
          <t xml:space="preserve">Bound - within authority</t>
        </is>
      </c>
      <c r="E388" s="48" t="inlineStr">
        <is>
          <t xml:space="preserve">New business</t>
        </is>
      </c>
      <c r="F388" s="46" t="inlineStr">
        <is>
          <t xml:space="preserve">B1234EXOTIC26</t>
        </is>
      </c>
      <c r="G388" s="33">
        <f>IF($A388="","",IF($C388="","",YEAR($C388)))</f>
      </c>
      <c r="H388" s="49">
        <v>2014</v>
      </c>
      <c r="I388" s="46" t="inlineStr">
        <is>
          <t xml:space="preserve">Mercedes-Benz</t>
        </is>
      </c>
      <c r="J388" s="46" t="inlineStr">
        <is>
          <t xml:space="preserve">280SL Pagoda</t>
        </is>
      </c>
      <c r="K388" s="46" t="inlineStr">
        <is>
          <t xml:space="preserve">VY7MF37WPSPW5BL8A</t>
        </is>
      </c>
      <c r="L388" s="48" t="inlineStr">
        <is>
          <t xml:space="preserve">02 - Sports / GT</t>
        </is>
      </c>
      <c r="M388" s="50">
        <v>730000</v>
      </c>
      <c r="N388" s="48" t="inlineStr">
        <is>
          <t xml:space="preserve">Personal</t>
        </is>
      </c>
      <c r="O388" s="46" t="inlineStr">
        <is>
          <t xml:space="preserve">Personal - regular use</t>
        </is>
      </c>
      <c r="P388" s="46" t="inlineStr">
        <is>
          <t xml:space="preserve">Under 1,000</t>
        </is>
      </c>
      <c r="Q388" s="46" t="inlineStr">
        <is>
          <t xml:space="preserve">Illinois</t>
        </is>
      </c>
      <c r="R388" s="46" t="inlineStr">
        <is>
          <t xml:space="preserve">60601</t>
        </is>
      </c>
      <c r="S388" s="48" t="inlineStr">
        <is>
          <t xml:space="preserve">Severe convective - hail / tornado (moderate)</t>
        </is>
      </c>
      <c r="T388" s="36">
        <f>IF($A388="","",IF($S388="","",IFERROR(INDEX('[1]natural catastrophe'!$D$6:$D$17,MATCH($S388,'[1]natural catastrophe'!$B$6:$B$17,0)),"?")))</f>
      </c>
      <c r="U388" s="46" t="inlineStr">
        <is>
          <t xml:space="preserve">$5,000</t>
        </is>
      </c>
      <c r="V388" s="48" t="inlineStr">
        <is>
          <t xml:space="preserve">Agreed Value</t>
        </is>
      </c>
      <c r="W388" s="46" t="inlineStr">
        <is>
          <t xml:space="preserve">$1,000</t>
        </is>
      </c>
      <c r="X388" s="48" t="inlineStr">
        <is>
          <t xml:space="preserve">$1,000,000 CSL</t>
        </is>
      </c>
      <c r="Y388" s="46"/>
      <c r="Z388" s="46"/>
      <c r="AA388" s="48" t="inlineStr">
        <is>
          <t xml:space="preserve">Surplus Lines</t>
        </is>
      </c>
      <c r="AB388" s="50">
        <v>6160.3</v>
      </c>
      <c r="AC388" s="51">
        <v>0</v>
      </c>
      <c r="AD388" s="38">
        <f>IF(ISNUMBER($AB388),$AB388*(1+N($AC388)),"")</f>
      </c>
      <c r="AE388" s="50">
        <v>350</v>
      </c>
      <c r="AF388" s="50">
        <v>0</v>
      </c>
      <c r="AG388" s="51"/>
      <c r="AH388" s="39">
        <f>IF(ISNUMBER($AD388),($AD388+$AE388+$AF388)*$AG388,"")</f>
      </c>
      <c r="AI388" s="50"/>
      <c r="AJ388" s="38">
        <f>IF(ISNUMBER($AD388),SUM($AD388:$AH388),"")</f>
      </c>
      <c r="AK388" s="40">
        <f>IF(AND(ISNUMBER($AB388),ISNUMBER($AD388)),IF($AB388&gt;0,$AD388/$AB388,""),"")</f>
      </c>
      <c r="AL388" s="48" t="inlineStr">
        <is>
          <t xml:space="preserve">At technical</t>
        </is>
      </c>
      <c r="AM388" s="41">
        <f>IF(ISNUMBER($AD388),Header!$I$3,"")</f>
      </c>
      <c r="AN388" s="39">
        <f>IF(ISNUMBER($AD388),$AO388+$AP388,"")</f>
      </c>
      <c r="AO388" s="39">
        <f>IF(ISNUMBER($AD388),ROUND($AD388*Header!$K$3,2),"")</f>
      </c>
      <c r="AP388" s="39">
        <f>IF(ISNUMBER($AD388),ROUND($AD388*Header!$M$3,2),"")</f>
      </c>
      <c r="AQ388" s="38">
        <f>IF(ISNUMBER($AD388),ROUND($AD388,2)-$AO388-$AP388,"")</f>
      </c>
      <c r="AR388" s="39">
        <f>IF(ISNUMBER($AD388),IF(Header!$D$34="","?",$AD388*Header!$D$34),"")</f>
      </c>
      <c r="AS388" s="39">
        <f>IF(ISNUMBER($AB388),IF(Header!$D$34="","?",$AB388*Header!$D$34),"")</f>
      </c>
      <c r="AT388" s="42">
        <f>IF(AND(ISNUMBER($AB388),$M388&gt;0),$AB388/$M388*100,"")</f>
      </c>
      <c r="AU388" s="42">
        <f>IF(AND(ISNUMBER($AD388),$M388&gt;0),$AD388/$M388*100,"")</f>
      </c>
      <c r="AV388" s="40">
        <f>IF(AND(ISNUMBER($AB388),ISNUMBER($AD388),ABS($AB388)&gt;0),$AD388/$AB388,"")</f>
      </c>
      <c r="AW388" s="39">
        <f>IF(ISNUMBER($AD388),MAX(0,(1-0.55-Header!$O$3)*Header!$Q$3*$AQ388),"")</f>
      </c>
      <c r="AX388" s="43">
        <f>IF($A388="","",IF(TRIM(IF($A388="","Missing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",""))="","PASS","FAIL: "&amp;TRIM(IF($A388="","Missing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f>
      </c>
      <c r="AY388" s="44">
        <f>IF($M388="","",IF(ISNUMBER($M388),IF($M388&gt;=Header!$C$18,"YES — refer","No"),""))</f>
      </c>
      <c r="AZ388" s="44">
        <f>IF($AD388="","",IF(ISNUMBER($AD388),IF($AD388&lt;Header!$C$20,"BELOW MIN PREMIUM","OK"),""))</f>
      </c>
      <c r="BA388" s="48" t="inlineStr">
        <is>
          <t xml:space="preserve">Yes</t>
        </is>
      </c>
      <c r="BB388" s="48" t="inlineStr">
        <is>
          <t xml:space="preserve">Yes</t>
        </is>
      </c>
      <c r="BC388" s="46" t="inlineStr">
        <is>
          <t xml:space="preserve">Synthetic demo data</t>
        </is>
      </c>
      <c r="BE388" s="45">
        <f>IF(OR($A388="",$L388="",$H388=""),"",IF(AND(LEFT($L388,2)="06",$H388&gt;1945),"FAIL - pre-war class, year "&amp;$H388,IF(AND(LEFT($L388,2)="07",OR($H388&lt;1946,$H388&gt;1972)),"FAIL - 1946-72 class, year "&amp;$H388,IF(AND(LEFT($L388,2)="08",OR($H388&lt;1973,$H388&gt;1999)),"FAIL - 1973-99 class, year "&amp;$H388,IF(AND(LEFT($L388,2)="09",OR($H388&lt;2000,$H388&gt;2010)),"FAIL - 2000-10 class, year "&amp;$H388,"OK")))))</f>
      </c>
      <c r="BF388" s="45">
        <f>IF($AD388="","",IF(ROUND($AO388+$AP388+$AQ388-$AD388,2)=0,"OK","FAIL - out by "&amp;TEXT($AO388+$AP388+$AQ388-$AD388,"$0.00")))</f>
      </c>
    </row>
    <row r="389" spans="1:58" ht="18.75" customHeight="1" x14ac:dyDescent="0.25">
      <c r="A389" s="30" t="inlineStr">
        <is>
          <t xml:space="preserve">CANON-202606-008931</t>
        </is>
      </c>
      <c r="B389" s="30" t="inlineStr">
        <is>
          <t xml:space="preserve">Saoirse Kingsford</t>
        </is>
      </c>
      <c r="C389" s="31">
        <v>46176</v>
      </c>
      <c r="D389" s="32" t="inlineStr">
        <is>
          <t xml:space="preserve">Bound - within authority</t>
        </is>
      </c>
      <c r="E389" s="32" t="inlineStr">
        <is>
          <t xml:space="preserve">New business</t>
        </is>
      </c>
      <c r="F389" s="30" t="inlineStr">
        <is>
          <t xml:space="preserve">B1234EXOTIC26</t>
        </is>
      </c>
      <c r="G389" s="33">
        <f>IF($A389="","",IF($C389="","",YEAR($C389)))</f>
      </c>
      <c r="H389" s="34">
        <v>1957</v>
      </c>
      <c r="I389" s="30" t="inlineStr">
        <is>
          <t xml:space="preserve">McLaren</t>
        </is>
      </c>
      <c r="J389" s="30" t="inlineStr">
        <is>
          <t xml:space="preserve">750S</t>
        </is>
      </c>
      <c r="K389" s="30" t="inlineStr">
        <is>
          <t xml:space="preserve">2CH4W1LFRZE5A2APZ</t>
        </is>
      </c>
      <c r="L389" s="32" t="inlineStr">
        <is>
          <t xml:space="preserve">03 - Supercar</t>
        </is>
      </c>
      <c r="M389" s="35">
        <v>435000</v>
      </c>
      <c r="N389" s="32" t="inlineStr">
        <is>
          <t xml:space="preserve">Personal</t>
        </is>
      </c>
      <c r="O389" s="30" t="inlineStr">
        <is>
          <t xml:space="preserve">Personal - regular use</t>
        </is>
      </c>
      <c r="P389" s="30" t="inlineStr">
        <is>
          <t xml:space="preserve">1,000 - 2,500</t>
        </is>
      </c>
      <c r="Q389" s="30" t="inlineStr">
        <is>
          <t xml:space="preserve">Massachusetts</t>
        </is>
      </c>
      <c r="R389" s="30" t="inlineStr">
        <is>
          <t xml:space="preserve">02108</t>
        </is>
      </c>
      <c r="S389" s="32" t="inlineStr">
        <is>
          <t xml:space="preserve">Tier 3 - Coastal wind (25-100 miles)</t>
        </is>
      </c>
      <c r="T389" s="36">
        <f>IF($A389="","",IF($S389="","",IFERROR(INDEX('[1]natural catastrophe'!$D$6:$D$17,MATCH($S389,'[1]natural catastrophe'!$B$6:$B$17,0)),"?")))</f>
      </c>
      <c r="U389" s="30" t="inlineStr">
        <is>
          <t xml:space="preserve">2% of agreed value, minimum $10,000</t>
        </is>
      </c>
      <c r="V389" s="32" t="inlineStr">
        <is>
          <t xml:space="preserve">Agreed Value</t>
        </is>
      </c>
      <c r="W389" s="30" t="inlineStr">
        <is>
          <t xml:space="preserve">$1,000</t>
        </is>
      </c>
      <c r="X389" s="32" t="inlineStr">
        <is>
          <t xml:space="preserve">$1,000,000 CSL</t>
        </is>
      </c>
      <c r="Y389" s="30"/>
      <c r="Z389" s="30"/>
      <c r="AA389" s="32" t="inlineStr">
        <is>
          <t xml:space="preserve">Surplus Lines</t>
        </is>
      </c>
      <c r="AB389" s="35">
        <v>9023.38</v>
      </c>
      <c r="AC389" s="37">
        <v>0</v>
      </c>
      <c r="AD389" s="38">
        <f>IF(ISNUMBER($AB389),$AB389*(1+N($AC389)),"")</f>
      </c>
      <c r="AE389" s="35">
        <v>350</v>
      </c>
      <c r="AF389" s="35">
        <v>0</v>
      </c>
      <c r="AG389" s="37"/>
      <c r="AH389" s="39">
        <f>IF(ISNUMBER($AD389),($AD389+$AE389+$AF389)*$AG389,"")</f>
      </c>
      <c r="AI389" s="35"/>
      <c r="AJ389" s="38">
        <f>IF(ISNUMBER($AD389),SUM($AD389:$AH389),"")</f>
      </c>
      <c r="AK389" s="40">
        <f>IF(AND(ISNUMBER($AB389),ISNUMBER($AD389)),IF($AB389&gt;0,$AD389/$AB389,""),"")</f>
      </c>
      <c r="AL389" s="32" t="inlineStr">
        <is>
          <t xml:space="preserve">At technical</t>
        </is>
      </c>
      <c r="AM389" s="41">
        <f>IF(ISNUMBER($AD389),Header!$I$3,"")</f>
      </c>
      <c r="AN389" s="39">
        <f>IF(ISNUMBER($AD389),$AO389+$AP389,"")</f>
      </c>
      <c r="AO389" s="39">
        <f>IF(ISNUMBER($AD389),ROUND($AD389*Header!$K$3,2),"")</f>
      </c>
      <c r="AP389" s="39">
        <f>IF(ISNUMBER($AD389),ROUND($AD389*Header!$M$3,2),"")</f>
      </c>
      <c r="AQ389" s="38">
        <f>IF(ISNUMBER($AD389),ROUND($AD389,2)-$AO389-$AP389,"")</f>
      </c>
      <c r="AR389" s="39">
        <f>IF(ISNUMBER($AD389),IF(Header!$D$34="","?",$AD389*Header!$D$34),"")</f>
      </c>
      <c r="AS389" s="39">
        <f>IF(ISNUMBER($AB389),IF(Header!$D$34="","?",$AB389*Header!$D$34),"")</f>
      </c>
      <c r="AT389" s="42">
        <f>IF(AND(ISNUMBER($AB389),$M389&gt;0),$AB389/$M389*100,"")</f>
      </c>
      <c r="AU389" s="42">
        <f>IF(AND(ISNUMBER($AD389),$M389&gt;0),$AD389/$M389*100,"")</f>
      </c>
      <c r="AV389" s="40">
        <f>IF(AND(ISNUMBER($AB389),ISNUMBER($AD389),ABS($AB389)&gt;0),$AD389/$AB389,"")</f>
      </c>
      <c r="AW389" s="39">
        <f>IF(ISNUMBER($AD389),MAX(0,(1-0.55-Header!$O$3)*Header!$Q$3*$AQ389),"")</f>
      </c>
      <c r="AX389" s="43">
        <f>IF($A389="","",IF(TRIM(IF($A389="","Missing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",""))="","PASS","FAIL: "&amp;TRIM(IF($A389="","Missing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f>
      </c>
      <c r="AY389" s="44">
        <f>IF($M389="","",IF(ISNUMBER($M389),IF($M389&gt;=Header!$C$18,"YES — refer","No"),""))</f>
      </c>
      <c r="AZ389" s="44">
        <f>IF($AD389="","",IF(ISNUMBER($AD389),IF($AD389&lt;Header!$C$20,"BELOW MIN PREMIUM","OK"),""))</f>
      </c>
      <c r="BA389" s="32" t="inlineStr">
        <is>
          <t xml:space="preserve">Yes</t>
        </is>
      </c>
      <c r="BB389" s="32" t="inlineStr">
        <is>
          <t xml:space="preserve">Yes</t>
        </is>
      </c>
      <c r="BC389" s="30" t="inlineStr">
        <is>
          <t xml:space="preserve">Synthetic demo data</t>
        </is>
      </c>
      <c r="BE389" s="45">
        <f>IF(OR($A389="",$L389="",$H389=""),"",IF(AND(LEFT($L389,2)="06",$H389&gt;1945),"FAIL - pre-war class, year "&amp;$H389,IF(AND(LEFT($L389,2)="07",OR($H389&lt;1946,$H389&gt;1972)),"FAIL - 1946-72 class, year "&amp;$H389,IF(AND(LEFT($L389,2)="08",OR($H389&lt;1973,$H389&gt;1999)),"FAIL - 1973-99 class, year "&amp;$H389,IF(AND(LEFT($L389,2)="09",OR($H389&lt;2000,$H389&gt;2010)),"FAIL - 2000-10 class, year "&amp;$H389,"OK")))))</f>
      </c>
      <c r="BF389" s="45">
        <f>IF($AD389="","",IF(ROUND($AO389+$AP389+$AQ389-$AD389,2)=0,"OK","FAIL - out by "&amp;TEXT($AO389+$AP389+$AQ389-$AD389,"$0.00")))</f>
      </c>
    </row>
    <row r="390" spans="1:58" ht="18.75" customHeight="1" x14ac:dyDescent="0.25">
      <c r="A390" s="46" t="inlineStr">
        <is>
          <t xml:space="preserve">CANON-202606-008932</t>
        </is>
      </c>
      <c r="B390" s="46" t="inlineStr">
        <is>
          <t xml:space="preserve">Beatrix Bellandi</t>
        </is>
      </c>
      <c r="C390" s="47">
        <v>46191</v>
      </c>
      <c r="D390" s="48" t="inlineStr">
        <is>
          <t xml:space="preserve">Bound - within authority</t>
        </is>
      </c>
      <c r="E390" s="48" t="inlineStr">
        <is>
          <t xml:space="preserve">New business</t>
        </is>
      </c>
      <c r="F390" s="46" t="inlineStr">
        <is>
          <t xml:space="preserve">B1234EXOTIC26</t>
        </is>
      </c>
      <c r="G390" s="33">
        <f>IF($A390="","",IF($C390="","",YEAR($C390)))</f>
      </c>
      <c r="H390" s="49">
        <v>1961</v>
      </c>
      <c r="I390" s="46" t="inlineStr">
        <is>
          <t xml:space="preserve">Bentley</t>
        </is>
      </c>
      <c r="J390" s="46" t="inlineStr">
        <is>
          <t xml:space="preserve">Continental GT</t>
        </is>
      </c>
      <c r="K390" s="46" t="inlineStr">
        <is>
          <t xml:space="preserve">S7ZBSDKBZ1TYAE126</t>
        </is>
      </c>
      <c r="L390" s="48" t="inlineStr">
        <is>
          <t xml:space="preserve">02 - Sports / GT</t>
        </is>
      </c>
      <c r="M390" s="50">
        <v>290000</v>
      </c>
      <c r="N390" s="48" t="inlineStr">
        <is>
          <t xml:space="preserve">Personal</t>
        </is>
      </c>
      <c r="O390" s="46" t="inlineStr">
        <is>
          <t xml:space="preserve">Personal - regular use</t>
        </is>
      </c>
      <c r="P390" s="46" t="inlineStr">
        <is>
          <t xml:space="preserve">2,500 - 5,000</t>
        </is>
      </c>
      <c r="Q390" s="46" t="inlineStr">
        <is>
          <t xml:space="preserve">South Dakota</t>
        </is>
      </c>
      <c r="R390" s="46" t="inlineStr">
        <is>
          <t xml:space="preserve">57501</t>
        </is>
      </c>
      <c r="S390" s="48" t="inlineStr">
        <is>
          <t xml:space="preserve">Severe convective - hail alley (high)</t>
        </is>
      </c>
      <c r="T390" s="36">
        <f>IF($A390="","",IF($S390="","",IFERROR(INDEX('[1]natural catastrophe'!$D$6:$D$17,MATCH($S390,'[1]natural catastrophe'!$B$6:$B$17,0)),"?")))</f>
      </c>
      <c r="U390" s="46" t="inlineStr">
        <is>
          <t xml:space="preserve">$5,000</t>
        </is>
      </c>
      <c r="V390" s="48" t="inlineStr">
        <is>
          <t xml:space="preserve">Agreed Value</t>
        </is>
      </c>
      <c r="W390" s="46" t="inlineStr">
        <is>
          <t xml:space="preserve">$1,000</t>
        </is>
      </c>
      <c r="X390" s="48" t="inlineStr">
        <is>
          <t xml:space="preserve">$1,000,000 CSL</t>
        </is>
      </c>
      <c r="Y390" s="46"/>
      <c r="Z390" s="46"/>
      <c r="AA390" s="48" t="inlineStr">
        <is>
          <t xml:space="preserve">Surplus Lines</t>
        </is>
      </c>
      <c r="AB390" s="50">
        <v>3483.81</v>
      </c>
      <c r="AC390" s="51">
        <v>0</v>
      </c>
      <c r="AD390" s="38">
        <f>IF(ISNUMBER($AB390),$AB390*(1+N($AC390)),"")</f>
      </c>
      <c r="AE390" s="50">
        <v>350</v>
      </c>
      <c r="AF390" s="50">
        <v>0</v>
      </c>
      <c r="AG390" s="51"/>
      <c r="AH390" s="39">
        <f>IF(ISNUMBER($AD390),($AD390+$AE390+$AF390)*$AG390,"")</f>
      </c>
      <c r="AI390" s="50"/>
      <c r="AJ390" s="38">
        <f>IF(ISNUMBER($AD390),SUM($AD390:$AH390),"")</f>
      </c>
      <c r="AK390" s="40">
        <f>IF(AND(ISNUMBER($AB390),ISNUMBER($AD390)),IF($AB390&gt;0,$AD390/$AB390,""),"")</f>
      </c>
      <c r="AL390" s="48" t="inlineStr">
        <is>
          <t xml:space="preserve">At technical</t>
        </is>
      </c>
      <c r="AM390" s="41">
        <f>IF(ISNUMBER($AD390),Header!$I$3,"")</f>
      </c>
      <c r="AN390" s="39">
        <f>IF(ISNUMBER($AD390),$AO390+$AP390,"")</f>
      </c>
      <c r="AO390" s="39">
        <f>IF(ISNUMBER($AD390),ROUND($AD390*Header!$K$3,2),"")</f>
      </c>
      <c r="AP390" s="39">
        <f>IF(ISNUMBER($AD390),ROUND($AD390*Header!$M$3,2),"")</f>
      </c>
      <c r="AQ390" s="38">
        <f>IF(ISNUMBER($AD390),ROUND($AD390,2)-$AO390-$AP390,"")</f>
      </c>
      <c r="AR390" s="39">
        <f>IF(ISNUMBER($AD390),IF(Header!$D$34="","?",$AD390*Header!$D$34),"")</f>
      </c>
      <c r="AS390" s="39">
        <f>IF(ISNUMBER($AB390),IF(Header!$D$34="","?",$AB390*Header!$D$34),"")</f>
      </c>
      <c r="AT390" s="42">
        <f>IF(AND(ISNUMBER($AB390),$M390&gt;0),$AB390/$M390*100,"")</f>
      </c>
      <c r="AU390" s="42">
        <f>IF(AND(ISNUMBER($AD390),$M390&gt;0),$AD390/$M390*100,"")</f>
      </c>
      <c r="AV390" s="40">
        <f>IF(AND(ISNUMBER($AB390),ISNUMBER($AD390),ABS($AB390)&gt;0),$AD390/$AB390,"")</f>
      </c>
      <c r="AW390" s="39">
        <f>IF(ISNUMBER($AD390),MAX(0,(1-0.55-Header!$O$3)*Header!$Q$3*$AQ390),"")</f>
      </c>
      <c r="AX390" s="43">
        <f>IF($A390="","",IF(TRIM(IF($A390="","Missing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",""))="","PASS","FAIL: "&amp;TRIM(IF($A390="","Missing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f>
      </c>
      <c r="AY390" s="44">
        <f>IF($M390="","",IF(ISNUMBER($M390),IF($M390&gt;=Header!$C$18,"YES — refer","No"),""))</f>
      </c>
      <c r="AZ390" s="44">
        <f>IF($AD390="","",IF(ISNUMBER($AD390),IF($AD390&lt;Header!$C$20,"BELOW MIN PREMIUM","OK"),""))</f>
      </c>
      <c r="BA390" s="48" t="inlineStr">
        <is>
          <t xml:space="preserve">Yes</t>
        </is>
      </c>
      <c r="BB390" s="48" t="inlineStr">
        <is>
          <t xml:space="preserve">Yes</t>
        </is>
      </c>
      <c r="BC390" s="46" t="inlineStr">
        <is>
          <t xml:space="preserve">Synthetic demo data</t>
        </is>
      </c>
      <c r="BE390" s="45">
        <f>IF(OR($A390="",$L390="",$H390=""),"",IF(AND(LEFT($L390,2)="06",$H390&gt;1945),"FAIL - pre-war class, year "&amp;$H390,IF(AND(LEFT($L390,2)="07",OR($H390&lt;1946,$H390&gt;1972)),"FAIL - 1946-72 class, year "&amp;$H390,IF(AND(LEFT($L390,2)="08",OR($H390&lt;1973,$H390&gt;1999)),"FAIL - 1973-99 class, year "&amp;$H390,IF(AND(LEFT($L390,2)="09",OR($H390&lt;2000,$H390&gt;2010)),"FAIL - 2000-10 class, year "&amp;$H390,"OK")))))</f>
      </c>
      <c r="BF390" s="45">
        <f>IF($AD390="","",IF(ROUND($AO390+$AP390+$AQ390-$AD390,2)=0,"OK","FAIL - out by "&amp;TEXT($AO390+$AP390+$AQ390-$AD390,"$0.00")))</f>
      </c>
    </row>
    <row r="391" spans="1:58" ht="18.75" customHeight="1" x14ac:dyDescent="0.25">
      <c r="A391" s="30" t="inlineStr">
        <is>
          <t xml:space="preserve">CANON-202606-008933</t>
        </is>
      </c>
      <c r="B391" s="30" t="inlineStr">
        <is>
          <t xml:space="preserve">Wilhelmina Fairweather</t>
        </is>
      </c>
      <c r="C391" s="31">
        <v>46201</v>
      </c>
      <c r="D391" s="32" t="inlineStr">
        <is>
          <t xml:space="preserve">Bound - within authority</t>
        </is>
      </c>
      <c r="E391" s="32" t="inlineStr">
        <is>
          <t xml:space="preserve">New business</t>
        </is>
      </c>
      <c r="F391" s="30" t="inlineStr">
        <is>
          <t xml:space="preserve">B1234EXOTIC26</t>
        </is>
      </c>
      <c r="G391" s="33">
        <f>IF($A391="","",IF($C391="","",YEAR($C391)))</f>
      </c>
      <c r="H391" s="34">
        <v>2014</v>
      </c>
      <c r="I391" s="30" t="inlineStr">
        <is>
          <t xml:space="preserve">Maserati</t>
        </is>
      </c>
      <c r="J391" s="30" t="inlineStr">
        <is>
          <t xml:space="preserve">GranTurismo</t>
        </is>
      </c>
      <c r="K391" s="30" t="inlineStr">
        <is>
          <t xml:space="preserve">33NZWVSZ230HKPTFG</t>
        </is>
      </c>
      <c r="L391" s="32" t="inlineStr">
        <is>
          <t xml:space="preserve">02 - Sports / GT</t>
        </is>
      </c>
      <c r="M391" s="35">
        <v>145000</v>
      </c>
      <c r="N391" s="32" t="inlineStr">
        <is>
          <t xml:space="preserve">Personal</t>
        </is>
      </c>
      <c r="O391" s="30" t="inlineStr">
        <is>
          <t xml:space="preserve">Personal - regular use</t>
        </is>
      </c>
      <c r="P391" s="30" t="inlineStr">
        <is>
          <t xml:space="preserve">Under 1,000</t>
        </is>
      </c>
      <c r="Q391" s="30" t="inlineStr">
        <is>
          <t xml:space="preserve">Tennessee</t>
        </is>
      </c>
      <c r="R391" s="30" t="inlineStr">
        <is>
          <t xml:space="preserve">37203</t>
        </is>
      </c>
      <c r="S391" s="32" t="inlineStr">
        <is>
          <t xml:space="preserve">Severe convective - hail / tornado (moderate)</t>
        </is>
      </c>
      <c r="T391" s="36">
        <f>IF($A391="","",IF($S391="","",IFERROR(INDEX('[1]natural catastrophe'!$D$6:$D$17,MATCH($S391,'[1]natural catastrophe'!$B$6:$B$17,0)),"?")))</f>
      </c>
      <c r="U391" s="30" t="inlineStr">
        <is>
          <t xml:space="preserve">$5,000</t>
        </is>
      </c>
      <c r="V391" s="32" t="inlineStr">
        <is>
          <t xml:space="preserve">Agreed Value</t>
        </is>
      </c>
      <c r="W391" s="30" t="inlineStr">
        <is>
          <t xml:space="preserve">$1,000</t>
        </is>
      </c>
      <c r="X391" s="32" t="inlineStr">
        <is>
          <t xml:space="preserve">$1,000,000 CSL</t>
        </is>
      </c>
      <c r="Y391" s="30"/>
      <c r="Z391" s="30"/>
      <c r="AA391" s="32" t="inlineStr">
        <is>
          <t xml:space="preserve">Surplus Lines</t>
        </is>
      </c>
      <c r="AB391" s="35">
        <v>1886.49</v>
      </c>
      <c r="AC391" s="37">
        <v>0</v>
      </c>
      <c r="AD391" s="38">
        <f>IF(ISNUMBER($AB391),$AB391*(1+N($AC391)),"")</f>
      </c>
      <c r="AE391" s="35">
        <v>350</v>
      </c>
      <c r="AF391" s="35">
        <v>0</v>
      </c>
      <c r="AG391" s="37"/>
      <c r="AH391" s="39">
        <f>IF(ISNUMBER($AD391),($AD391+$AE391+$AF391)*$AG391,"")</f>
      </c>
      <c r="AI391" s="35"/>
      <c r="AJ391" s="38">
        <f>IF(ISNUMBER($AD391),SUM($AD391:$AH391),"")</f>
      </c>
      <c r="AK391" s="40">
        <f>IF(AND(ISNUMBER($AB391),ISNUMBER($AD391)),IF($AB391&gt;0,$AD391/$AB391,""),"")</f>
      </c>
      <c r="AL391" s="32" t="inlineStr">
        <is>
          <t xml:space="preserve">At technical</t>
        </is>
      </c>
      <c r="AM391" s="41">
        <f>IF(ISNUMBER($AD391),Header!$I$3,"")</f>
      </c>
      <c r="AN391" s="39">
        <f>IF(ISNUMBER($AD391),$AO391+$AP391,"")</f>
      </c>
      <c r="AO391" s="39">
        <f>IF(ISNUMBER($AD391),ROUND($AD391*Header!$K$3,2),"")</f>
      </c>
      <c r="AP391" s="39">
        <f>IF(ISNUMBER($AD391),ROUND($AD391*Header!$M$3,2),"")</f>
      </c>
      <c r="AQ391" s="38">
        <f>IF(ISNUMBER($AD391),ROUND($AD391,2)-$AO391-$AP391,"")</f>
      </c>
      <c r="AR391" s="39">
        <f>IF(ISNUMBER($AD391),IF(Header!$D$34="","?",$AD391*Header!$D$34),"")</f>
      </c>
      <c r="AS391" s="39">
        <f>IF(ISNUMBER($AB391),IF(Header!$D$34="","?",$AB391*Header!$D$34),"")</f>
      </c>
      <c r="AT391" s="42">
        <f>IF(AND(ISNUMBER($AB391),$M391&gt;0),$AB391/$M391*100,"")</f>
      </c>
      <c r="AU391" s="42">
        <f>IF(AND(ISNUMBER($AD391),$M391&gt;0),$AD391/$M391*100,"")</f>
      </c>
      <c r="AV391" s="40">
        <f>IF(AND(ISNUMBER($AB391),ISNUMBER($AD391),ABS($AB391)&gt;0),$AD391/$AB391,"")</f>
      </c>
      <c r="AW391" s="39">
        <f>IF(ISNUMBER($AD391),MAX(0,(1-0.55-Header!$O$3)*Header!$Q$3*$AQ391),"")</f>
      </c>
      <c r="AX391" s="43">
        <f>IF($A391="","",IF(TRIM(IF($A391="","Missing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",""))="","PASS","FAIL: "&amp;TRIM(IF($A391="","Missing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f>
      </c>
      <c r="AY391" s="44">
        <f>IF($M391="","",IF(ISNUMBER($M391),IF($M391&gt;=Header!$C$18,"YES — refer","No"),""))</f>
      </c>
      <c r="AZ391" s="44">
        <f>IF($AD391="","",IF(ISNUMBER($AD391),IF($AD391&lt;Header!$C$20,"BELOW MIN PREMIUM","OK"),""))</f>
      </c>
      <c r="BA391" s="32" t="inlineStr">
        <is>
          <t xml:space="preserve">Yes</t>
        </is>
      </c>
      <c r="BB391" s="32" t="inlineStr">
        <is>
          <t xml:space="preserve">Yes</t>
        </is>
      </c>
      <c r="BC391" s="30" t="inlineStr">
        <is>
          <t xml:space="preserve">Synthetic demo data</t>
        </is>
      </c>
      <c r="BE391" s="45">
        <f>IF(OR($A391="",$L391="",$H391=""),"",IF(AND(LEFT($L391,2)="06",$H391&gt;1945),"FAIL - pre-war class, year "&amp;$H391,IF(AND(LEFT($L391,2)="07",OR($H391&lt;1946,$H391&gt;1972)),"FAIL - 1946-72 class, year "&amp;$H391,IF(AND(LEFT($L391,2)="08",OR($H391&lt;1973,$H391&gt;1999)),"FAIL - 1973-99 class, year "&amp;$H391,IF(AND(LEFT($L391,2)="09",OR($H391&lt;2000,$H391&gt;2010)),"FAIL - 2000-10 class, year "&amp;$H391,"OK")))))</f>
      </c>
      <c r="BF391" s="45">
        <f>IF($AD391="","",IF(ROUND($AO391+$AP391+$AQ391-$AD391,2)=0,"OK","FAIL - out by "&amp;TEXT($AO391+$AP391+$AQ391-$AD391,"$0.00")))</f>
      </c>
    </row>
    <row r="392" spans="1:58" ht="18.75" customHeight="1" x14ac:dyDescent="0.25">
      <c r="A392" s="46" t="inlineStr">
        <is>
          <t xml:space="preserve">CANON-202606-008934</t>
        </is>
      </c>
      <c r="B392" s="46" t="inlineStr">
        <is>
          <t xml:space="preserve">Wilhelmina Ashcombe</t>
        </is>
      </c>
      <c r="C392" s="47">
        <v>46187</v>
      </c>
      <c r="D392" s="48" t="inlineStr">
        <is>
          <t xml:space="preserve">Bound - within authority</t>
        </is>
      </c>
      <c r="E392" s="48" t="inlineStr">
        <is>
          <t xml:space="preserve">New business</t>
        </is>
      </c>
      <c r="F392" s="46" t="inlineStr">
        <is>
          <t xml:space="preserve">B1234EXOTIC26</t>
        </is>
      </c>
      <c r="G392" s="33">
        <f>IF($A392="","",IF($C392="","",YEAR($C392)))</f>
      </c>
      <c r="H392" s="49">
        <v>2003</v>
      </c>
      <c r="I392" s="46" t="inlineStr">
        <is>
          <t xml:space="preserve">Aston Martin</t>
        </is>
      </c>
      <c r="J392" s="46" t="inlineStr">
        <is>
          <t xml:space="preserve">DB5</t>
        </is>
      </c>
      <c r="K392" s="46" t="inlineStr">
        <is>
          <t xml:space="preserve">83FBSLPS3B85T50KM</t>
        </is>
      </c>
      <c r="L392" s="48" t="inlineStr">
        <is>
          <t xml:space="preserve">09 - Youngtimer / Collectible (2000-2010)</t>
        </is>
      </c>
      <c r="M392" s="50">
        <v>570000</v>
      </c>
      <c r="N392" s="48" t="inlineStr">
        <is>
          <t xml:space="preserve">Personal</t>
        </is>
      </c>
      <c r="O392" s="46" t="inlineStr">
        <is>
          <t xml:space="preserve">Personal - regular use</t>
        </is>
      </c>
      <c r="P392" s="46" t="inlineStr">
        <is>
          <t xml:space="preserve">2,500 - 5,000</t>
        </is>
      </c>
      <c r="Q392" s="46" t="inlineStr">
        <is>
          <t xml:space="preserve">Florida</t>
        </is>
      </c>
      <c r="R392" s="46" t="inlineStr">
        <is>
          <t xml:space="preserve">33139</t>
        </is>
      </c>
      <c r="S392" s="48" t="inlineStr">
        <is>
          <t xml:space="preserve">Tier 2 - Coastal wind (1-25 miles)</t>
        </is>
      </c>
      <c r="T392" s="36">
        <f>IF($A392="","",IF($S392="","",IFERROR(INDEX('[1]natural catastrophe'!$D$6:$D$17,MATCH($S392,'[1]natural catastrophe'!$B$6:$B$17,0)),"?")))</f>
      </c>
      <c r="U392" s="46" t="inlineStr">
        <is>
          <t xml:space="preserve">2% of agreed value, minimum $10,000</t>
        </is>
      </c>
      <c r="V392" s="48" t="inlineStr">
        <is>
          <t xml:space="preserve">Agreed Value</t>
        </is>
      </c>
      <c r="W392" s="46" t="inlineStr">
        <is>
          <t xml:space="preserve">$1,000</t>
        </is>
      </c>
      <c r="X392" s="48" t="inlineStr">
        <is>
          <t xml:space="preserve">$1,000,000 CSL</t>
        </is>
      </c>
      <c r="Y392" s="46"/>
      <c r="Z392" s="46"/>
      <c r="AA392" s="48" t="inlineStr">
        <is>
          <t xml:space="preserve">Surplus Lines</t>
        </is>
      </c>
      <c r="AB392" s="50">
        <v>5022.31</v>
      </c>
      <c r="AC392" s="51">
        <v>0</v>
      </c>
      <c r="AD392" s="38">
        <f>IF(ISNUMBER($AB392),$AB392*(1+N($AC392)),"")</f>
      </c>
      <c r="AE392" s="50">
        <v>350</v>
      </c>
      <c r="AF392" s="50">
        <v>0</v>
      </c>
      <c r="AG392" s="51"/>
      <c r="AH392" s="39">
        <f>IF(ISNUMBER($AD392),($AD392+$AE392+$AF392)*$AG392,"")</f>
      </c>
      <c r="AI392" s="50"/>
      <c r="AJ392" s="38">
        <f>IF(ISNUMBER($AD392),SUM($AD392:$AH392),"")</f>
      </c>
      <c r="AK392" s="40">
        <f>IF(AND(ISNUMBER($AB392),ISNUMBER($AD392)),IF($AB392&gt;0,$AD392/$AB392,""),"")</f>
      </c>
      <c r="AL392" s="48" t="inlineStr">
        <is>
          <t xml:space="preserve">At technical</t>
        </is>
      </c>
      <c r="AM392" s="41">
        <f>IF(ISNUMBER($AD392),Header!$I$3,"")</f>
      </c>
      <c r="AN392" s="39">
        <f>IF(ISNUMBER($AD392),$AO392+$AP392,"")</f>
      </c>
      <c r="AO392" s="39">
        <f>IF(ISNUMBER($AD392),ROUND($AD392*Header!$K$3,2),"")</f>
      </c>
      <c r="AP392" s="39">
        <f>IF(ISNUMBER($AD392),ROUND($AD392*Header!$M$3,2),"")</f>
      </c>
      <c r="AQ392" s="38">
        <f>IF(ISNUMBER($AD392),ROUND($AD392,2)-$AO392-$AP392,"")</f>
      </c>
      <c r="AR392" s="39">
        <f>IF(ISNUMBER($AD392),IF(Header!$D$34="","?",$AD392*Header!$D$34),"")</f>
      </c>
      <c r="AS392" s="39">
        <f>IF(ISNUMBER($AB392),IF(Header!$D$34="","?",$AB392*Header!$D$34),"")</f>
      </c>
      <c r="AT392" s="42">
        <f>IF(AND(ISNUMBER($AB392),$M392&gt;0),$AB392/$M392*100,"")</f>
      </c>
      <c r="AU392" s="42">
        <f>IF(AND(ISNUMBER($AD392),$M392&gt;0),$AD392/$M392*100,"")</f>
      </c>
      <c r="AV392" s="40">
        <f>IF(AND(ISNUMBER($AB392),ISNUMBER($AD392),ABS($AB392)&gt;0),$AD392/$AB392,"")</f>
      </c>
      <c r="AW392" s="39">
        <f>IF(ISNUMBER($AD392),MAX(0,(1-0.55-Header!$O$3)*Header!$Q$3*$AQ392),"")</f>
      </c>
      <c r="AX392" s="43">
        <f>IF($A392="","",IF(TRIM(IF($A392="","Missing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",""))="","PASS","FAIL: "&amp;TRIM(IF($A392="","Missing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f>
      </c>
      <c r="AY392" s="44">
        <f>IF($M392="","",IF(ISNUMBER($M392),IF($M392&gt;=Header!$C$18,"YES — refer","No"),""))</f>
      </c>
      <c r="AZ392" s="44">
        <f>IF($AD392="","",IF(ISNUMBER($AD392),IF($AD392&lt;Header!$C$20,"BELOW MIN PREMIUM","OK"),""))</f>
      </c>
      <c r="BA392" s="48" t="inlineStr">
        <is>
          <t xml:space="preserve">Yes</t>
        </is>
      </c>
      <c r="BB392" s="48" t="inlineStr">
        <is>
          <t xml:space="preserve">Yes</t>
        </is>
      </c>
      <c r="BC392" s="46" t="inlineStr">
        <is>
          <t xml:space="preserve">Synthetic demo data</t>
        </is>
      </c>
      <c r="BE392" s="45">
        <f>IF(OR($A392="",$L392="",$H392=""),"",IF(AND(LEFT($L392,2)="06",$H392&gt;1945),"FAIL - pre-war class, year "&amp;$H392,IF(AND(LEFT($L392,2)="07",OR($H392&lt;1946,$H392&gt;1972)),"FAIL - 1946-72 class, year "&amp;$H392,IF(AND(LEFT($L392,2)="08",OR($H392&lt;1973,$H392&gt;1999)),"FAIL - 1973-99 class, year "&amp;$H392,IF(AND(LEFT($L392,2)="09",OR($H392&lt;2000,$H392&gt;2010)),"FAIL - 2000-10 class, year "&amp;$H392,"OK")))))</f>
      </c>
      <c r="BF392" s="45">
        <f>IF($AD392="","",IF(ROUND($AO392+$AP392+$AQ392-$AD392,2)=0,"OK","FAIL - out by "&amp;TEXT($AO392+$AP392+$AQ392-$AD392,"$0.00")))</f>
      </c>
    </row>
    <row r="393" spans="1:58" ht="18.75" customHeight="1" x14ac:dyDescent="0.25">
      <c r="A393" s="30" t="inlineStr">
        <is>
          <t xml:space="preserve">CANON-202606-008935</t>
        </is>
      </c>
      <c r="B393" s="30" t="inlineStr">
        <is>
          <t xml:space="preserve">Horace Chattopadhyay</t>
        </is>
      </c>
      <c r="C393" s="31">
        <v>46197</v>
      </c>
      <c r="D393" s="32" t="inlineStr">
        <is>
          <t xml:space="preserve">Bound - within authority</t>
        </is>
      </c>
      <c r="E393" s="32" t="inlineStr">
        <is>
          <t xml:space="preserve">New business</t>
        </is>
      </c>
      <c r="F393" s="30" t="inlineStr">
        <is>
          <t xml:space="preserve">B1234EXOTIC26</t>
        </is>
      </c>
      <c r="G393" s="33">
        <f>IF($A393="","",IF($C393="","",YEAR($C393)))</f>
      </c>
      <c r="H393" s="34">
        <v>1960</v>
      </c>
      <c r="I393" s="30" t="inlineStr">
        <is>
          <t xml:space="preserve">Mercedes-Benz</t>
        </is>
      </c>
      <c r="J393" s="30" t="inlineStr">
        <is>
          <t xml:space="preserve">280SL Pagoda</t>
        </is>
      </c>
      <c r="K393" s="30" t="inlineStr">
        <is>
          <t xml:space="preserve">7MVUPGEAVE0VC020R</t>
        </is>
      </c>
      <c r="L393" s="32" t="inlineStr">
        <is>
          <t xml:space="preserve">07 - Post-War Classic (1946-1972)</t>
        </is>
      </c>
      <c r="M393" s="35">
        <v>635000</v>
      </c>
      <c r="N393" s="32" t="inlineStr">
        <is>
          <t xml:space="preserve">Personal</t>
        </is>
      </c>
      <c r="O393" s="30" t="inlineStr">
        <is>
          <t xml:space="preserve">Personal - regular use</t>
        </is>
      </c>
      <c r="P393" s="30" t="inlineStr">
        <is>
          <t xml:space="preserve">2,500 - 5,000</t>
        </is>
      </c>
      <c r="Q393" s="30" t="inlineStr">
        <is>
          <t xml:space="preserve">California</t>
        </is>
      </c>
      <c r="R393" s="30" t="inlineStr">
        <is>
          <t xml:space="preserve">90012</t>
        </is>
      </c>
      <c r="S393" s="32" t="inlineStr">
        <is>
          <t xml:space="preserve">Earthquake - high (CA, Cascadia, New Madrid)</t>
        </is>
      </c>
      <c r="T393" s="36">
        <f>IF($A393="","",IF($S393="","",IFERROR(INDEX('[1]natural catastrophe'!$D$6:$D$17,MATCH($S393,'[1]natural catastrophe'!$B$6:$B$17,0)),"?")))</f>
      </c>
      <c r="U393" s="30" t="inlineStr">
        <is>
          <t xml:space="preserve">$5,000</t>
        </is>
      </c>
      <c r="V393" s="32" t="inlineStr">
        <is>
          <t xml:space="preserve">Agreed Value</t>
        </is>
      </c>
      <c r="W393" s="30" t="inlineStr">
        <is>
          <t xml:space="preserve">$1,000</t>
        </is>
      </c>
      <c r="X393" s="32" t="inlineStr">
        <is>
          <t xml:space="preserve">$1,000,000 CSL</t>
        </is>
      </c>
      <c r="Y393" s="30"/>
      <c r="Z393" s="30"/>
      <c r="AA393" s="32" t="inlineStr">
        <is>
          <t xml:space="preserve">Surplus Lines</t>
        </is>
      </c>
      <c r="AB393" s="35">
        <v>5319.22</v>
      </c>
      <c r="AC393" s="37">
        <v>0</v>
      </c>
      <c r="AD393" s="38">
        <f>IF(ISNUMBER($AB393),$AB393*(1+N($AC393)),"")</f>
      </c>
      <c r="AE393" s="35">
        <v>350</v>
      </c>
      <c r="AF393" s="35">
        <v>0</v>
      </c>
      <c r="AG393" s="37"/>
      <c r="AH393" s="39">
        <f>IF(ISNUMBER($AD393),($AD393+$AE393+$AF393)*$AG393,"")</f>
      </c>
      <c r="AI393" s="35"/>
      <c r="AJ393" s="38">
        <f>IF(ISNUMBER($AD393),SUM($AD393:$AH393),"")</f>
      </c>
      <c r="AK393" s="40">
        <f>IF(AND(ISNUMBER($AB393),ISNUMBER($AD393)),IF($AB393&gt;0,$AD393/$AB393,""),"")</f>
      </c>
      <c r="AL393" s="32" t="inlineStr">
        <is>
          <t xml:space="preserve">At technical</t>
        </is>
      </c>
      <c r="AM393" s="41">
        <f>IF(ISNUMBER($AD393),Header!$I$3,"")</f>
      </c>
      <c r="AN393" s="39">
        <f>IF(ISNUMBER($AD393),$AO393+$AP393,"")</f>
      </c>
      <c r="AO393" s="39">
        <f>IF(ISNUMBER($AD393),ROUND($AD393*Header!$K$3,2),"")</f>
      </c>
      <c r="AP393" s="39">
        <f>IF(ISNUMBER($AD393),ROUND($AD393*Header!$M$3,2),"")</f>
      </c>
      <c r="AQ393" s="38">
        <f>IF(ISNUMBER($AD393),ROUND($AD393,2)-$AO393-$AP393,"")</f>
      </c>
      <c r="AR393" s="39">
        <f>IF(ISNUMBER($AD393),IF(Header!$D$34="","?",$AD393*Header!$D$34),"")</f>
      </c>
      <c r="AS393" s="39">
        <f>IF(ISNUMBER($AB393),IF(Header!$D$34="","?",$AB393*Header!$D$34),"")</f>
      </c>
      <c r="AT393" s="42">
        <f>IF(AND(ISNUMBER($AB393),$M393&gt;0),$AB393/$M393*100,"")</f>
      </c>
      <c r="AU393" s="42">
        <f>IF(AND(ISNUMBER($AD393),$M393&gt;0),$AD393/$M393*100,"")</f>
      </c>
      <c r="AV393" s="40">
        <f>IF(AND(ISNUMBER($AB393),ISNUMBER($AD393),ABS($AB393)&gt;0),$AD393/$AB393,"")</f>
      </c>
      <c r="AW393" s="39">
        <f>IF(ISNUMBER($AD393),MAX(0,(1-0.55-Header!$O$3)*Header!$Q$3*$AQ393),"")</f>
      </c>
      <c r="AX393" s="43">
        <f>IF($A393="","",IF(TRIM(IF($A393="","Missing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",""))="","PASS","FAIL: "&amp;TRIM(IF($A393="","Missing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f>
      </c>
      <c r="AY393" s="44">
        <f>IF($M393="","",IF(ISNUMBER($M393),IF($M393&gt;=Header!$C$18,"YES — refer","No"),""))</f>
      </c>
      <c r="AZ393" s="44">
        <f>IF($AD393="","",IF(ISNUMBER($AD393),IF($AD393&lt;Header!$C$20,"BELOW MIN PREMIUM","OK"),""))</f>
      </c>
      <c r="BA393" s="32" t="inlineStr">
        <is>
          <t xml:space="preserve">Yes</t>
        </is>
      </c>
      <c r="BB393" s="32" t="inlineStr">
        <is>
          <t xml:space="preserve">Yes</t>
        </is>
      </c>
      <c r="BC393" s="30" t="inlineStr">
        <is>
          <t xml:space="preserve">Synthetic demo data</t>
        </is>
      </c>
      <c r="BE393" s="45">
        <f>IF(OR($A393="",$L393="",$H393=""),"",IF(AND(LEFT($L393,2)="06",$H393&gt;1945),"FAIL - pre-war class, year "&amp;$H393,IF(AND(LEFT($L393,2)="07",OR($H393&lt;1946,$H393&gt;1972)),"FAIL - 1946-72 class, year "&amp;$H393,IF(AND(LEFT($L393,2)="08",OR($H393&lt;1973,$H393&gt;1999)),"FAIL - 1973-99 class, year "&amp;$H393,IF(AND(LEFT($L393,2)="09",OR($H393&lt;2000,$H393&gt;2010)),"FAIL - 2000-10 class, year "&amp;$H393,"OK")))))</f>
      </c>
      <c r="BF393" s="45">
        <f>IF($AD393="","",IF(ROUND($AO393+$AP393+$AQ393-$AD393,2)=0,"OK","FAIL - out by "&amp;TEXT($AO393+$AP393+$AQ393-$AD393,"$0.00")))</f>
      </c>
    </row>
    <row r="394" spans="1:58" ht="18.75" customHeight="1" x14ac:dyDescent="0.25">
      <c r="A394" s="46" t="inlineStr">
        <is>
          <t xml:space="preserve">CANON-202606-008936</t>
        </is>
      </c>
      <c r="B394" s="46" t="inlineStr">
        <is>
          <t xml:space="preserve">Ramona Nakashima</t>
        </is>
      </c>
      <c r="C394" s="47">
        <v>46203</v>
      </c>
      <c r="D394" s="48" t="inlineStr">
        <is>
          <t xml:space="preserve">Bound - within authority</t>
        </is>
      </c>
      <c r="E394" s="48" t="inlineStr">
        <is>
          <t xml:space="preserve">New business</t>
        </is>
      </c>
      <c r="F394" s="46" t="inlineStr">
        <is>
          <t xml:space="preserve">B1234EXOTIC26</t>
        </is>
      </c>
      <c r="G394" s="33">
        <f>IF($A394="","",IF($C394="","",YEAR($C394)))</f>
      </c>
      <c r="H394" s="49">
        <v>2010</v>
      </c>
      <c r="I394" s="46" t="inlineStr">
        <is>
          <t xml:space="preserve">Singer</t>
        </is>
      </c>
      <c r="J394" s="46" t="inlineStr">
        <is>
          <t xml:space="preserve">911 Reimagined</t>
        </is>
      </c>
      <c r="K394" s="46" t="inlineStr">
        <is>
          <t xml:space="preserve">WXW8BVJ5KFBH4K9NY</t>
        </is>
      </c>
      <c r="L394" s="48" t="inlineStr">
        <is>
          <t xml:space="preserve">11 - Restomod / Coachbuilt / Bespoke</t>
        </is>
      </c>
      <c r="M394" s="50">
        <v>285000</v>
      </c>
      <c r="N394" s="48" t="inlineStr">
        <is>
          <t xml:space="preserve">Personal</t>
        </is>
      </c>
      <c r="O394" s="46" t="inlineStr">
        <is>
          <t xml:space="preserve">Personal - regular use</t>
        </is>
      </c>
      <c r="P394" s="46" t="inlineStr">
        <is>
          <t xml:space="preserve">Under 1,000</t>
        </is>
      </c>
      <c r="Q394" s="46" t="inlineStr">
        <is>
          <t xml:space="preserve">Texas</t>
        </is>
      </c>
      <c r="R394" s="46" t="inlineStr">
        <is>
          <t xml:space="preserve">75201</t>
        </is>
      </c>
      <c r="S394" s="48" t="inlineStr">
        <is>
          <t xml:space="preserve">Tier 2 - Coastal wind (1-25 miles)</t>
        </is>
      </c>
      <c r="T394" s="36">
        <f>IF($A394="","",IF($S394="","",IFERROR(INDEX('[1]natural catastrophe'!$D$6:$D$17,MATCH($S394,'[1]natural catastrophe'!$B$6:$B$17,0)),"?")))</f>
      </c>
      <c r="U394" s="46" t="inlineStr">
        <is>
          <t xml:space="preserve">2% of agreed value, minimum $10,000</t>
        </is>
      </c>
      <c r="V394" s="48" t="inlineStr">
        <is>
          <t xml:space="preserve">Agreed Value</t>
        </is>
      </c>
      <c r="W394" s="46" t="inlineStr">
        <is>
          <t xml:space="preserve">$1,000</t>
        </is>
      </c>
      <c r="X394" s="48" t="inlineStr">
        <is>
          <t xml:space="preserve">$1,000,000 CSL</t>
        </is>
      </c>
      <c r="Y394" s="46"/>
      <c r="Z394" s="46"/>
      <c r="AA394" s="48" t="inlineStr">
        <is>
          <t xml:space="preserve">Surplus Lines</t>
        </is>
      </c>
      <c r="AB394" s="50">
        <v>4161.96</v>
      </c>
      <c r="AC394" s="51">
        <v>0</v>
      </c>
      <c r="AD394" s="38">
        <f>IF(ISNUMBER($AB394),$AB394*(1+N($AC394)),"")</f>
      </c>
      <c r="AE394" s="50">
        <v>350</v>
      </c>
      <c r="AF394" s="50">
        <v>0</v>
      </c>
      <c r="AG394" s="51"/>
      <c r="AH394" s="39">
        <f>IF(ISNUMBER($AD394),($AD394+$AE394+$AF394)*$AG394,"")</f>
      </c>
      <c r="AI394" s="50"/>
      <c r="AJ394" s="38">
        <f>IF(ISNUMBER($AD394),SUM($AD394:$AH394),"")</f>
      </c>
      <c r="AK394" s="40">
        <f>IF(AND(ISNUMBER($AB394),ISNUMBER($AD394)),IF($AB394&gt;0,$AD394/$AB394,""),"")</f>
      </c>
      <c r="AL394" s="48" t="inlineStr">
        <is>
          <t xml:space="preserve">At technical</t>
        </is>
      </c>
      <c r="AM394" s="41">
        <f>IF(ISNUMBER($AD394),Header!$I$3,"")</f>
      </c>
      <c r="AN394" s="39">
        <f>IF(ISNUMBER($AD394),$AO394+$AP394,"")</f>
      </c>
      <c r="AO394" s="39">
        <f>IF(ISNUMBER($AD394),ROUND($AD394*Header!$K$3,2),"")</f>
      </c>
      <c r="AP394" s="39">
        <f>IF(ISNUMBER($AD394),ROUND($AD394*Header!$M$3,2),"")</f>
      </c>
      <c r="AQ394" s="38">
        <f>IF(ISNUMBER($AD394),ROUND($AD394,2)-$AO394-$AP394,"")</f>
      </c>
      <c r="AR394" s="39">
        <f>IF(ISNUMBER($AD394),IF(Header!$D$34="","?",$AD394*Header!$D$34),"")</f>
      </c>
      <c r="AS394" s="39">
        <f>IF(ISNUMBER($AB394),IF(Header!$D$34="","?",$AB394*Header!$D$34),"")</f>
      </c>
      <c r="AT394" s="42">
        <f>IF(AND(ISNUMBER($AB394),$M394&gt;0),$AB394/$M394*100,"")</f>
      </c>
      <c r="AU394" s="42">
        <f>IF(AND(ISNUMBER($AD394),$M394&gt;0),$AD394/$M394*100,"")</f>
      </c>
      <c r="AV394" s="40">
        <f>IF(AND(ISNUMBER($AB394),ISNUMBER($AD394),ABS($AB394)&gt;0),$AD394/$AB394,"")</f>
      </c>
      <c r="AW394" s="39">
        <f>IF(ISNUMBER($AD394),MAX(0,(1-0.55-Header!$O$3)*Header!$Q$3*$AQ394),"")</f>
      </c>
      <c r="AX394" s="43">
        <f>IF($A394="","",IF(TRIM(IF($A394="","Missing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",""))="","PASS","FAIL: "&amp;TRIM(IF($A394="","Missing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f>
      </c>
      <c r="AY394" s="44">
        <f>IF($M394="","",IF(ISNUMBER($M394),IF($M394&gt;=Header!$C$18,"YES — refer","No"),""))</f>
      </c>
      <c r="AZ394" s="44">
        <f>IF($AD394="","",IF(ISNUMBER($AD394),IF($AD394&lt;Header!$C$20,"BELOW MIN PREMIUM","OK"),""))</f>
      </c>
      <c r="BA394" s="48" t="inlineStr">
        <is>
          <t xml:space="preserve">Yes</t>
        </is>
      </c>
      <c r="BB394" s="48" t="inlineStr">
        <is>
          <t xml:space="preserve">Yes</t>
        </is>
      </c>
      <c r="BC394" s="46" t="inlineStr">
        <is>
          <t xml:space="preserve">Synthetic demo data</t>
        </is>
      </c>
      <c r="BE394" s="45">
        <f>IF(OR($A394="",$L394="",$H394=""),"",IF(AND(LEFT($L394,2)="06",$H394&gt;1945),"FAIL - pre-war class, year "&amp;$H394,IF(AND(LEFT($L394,2)="07",OR($H394&lt;1946,$H394&gt;1972)),"FAIL - 1946-72 class, year "&amp;$H394,IF(AND(LEFT($L394,2)="08",OR($H394&lt;1973,$H394&gt;1999)),"FAIL - 1973-99 class, year "&amp;$H394,IF(AND(LEFT($L394,2)="09",OR($H394&lt;2000,$H394&gt;2010)),"FAIL - 2000-10 class, year "&amp;$H394,"OK")))))</f>
      </c>
      <c r="BF394" s="45">
        <f>IF($AD394="","",IF(ROUND($AO394+$AP394+$AQ394-$AD394,2)=0,"OK","FAIL - out by "&amp;TEXT($AO394+$AP394+$AQ394-$AD394,"$0.00")))</f>
      </c>
    </row>
    <row r="395" spans="1:58" ht="18.75" customHeight="1" x14ac:dyDescent="0.25">
      <c r="A395" s="30" t="inlineStr">
        <is>
          <t xml:space="preserve">CANON-202606-008938</t>
        </is>
      </c>
      <c r="B395" s="30" t="inlineStr">
        <is>
          <t xml:space="preserve">Delphine Fairweather</t>
        </is>
      </c>
      <c r="C395" s="31">
        <v>46176</v>
      </c>
      <c r="D395" s="32" t="inlineStr">
        <is>
          <t xml:space="preserve">Bound - within authority</t>
        </is>
      </c>
      <c r="E395" s="32" t="inlineStr">
        <is>
          <t xml:space="preserve">New business</t>
        </is>
      </c>
      <c r="F395" s="30" t="inlineStr">
        <is>
          <t xml:space="preserve">B1234EXOTIC26</t>
        </is>
      </c>
      <c r="G395" s="33">
        <f>IF($A395="","",IF($C395="","",YEAR($C395)))</f>
      </c>
      <c r="H395" s="34">
        <v>2007</v>
      </c>
      <c r="I395" s="30" t="inlineStr">
        <is>
          <t xml:space="preserve">Mercedes-Benz</t>
        </is>
      </c>
      <c r="J395" s="30" t="inlineStr">
        <is>
          <t xml:space="preserve">AMG GT</t>
        </is>
      </c>
      <c r="K395" s="30" t="inlineStr">
        <is>
          <t xml:space="preserve">36P0E0161BASVX88Z</t>
        </is>
      </c>
      <c r="L395" s="32" t="inlineStr">
        <is>
          <t xml:space="preserve">02 - Sports / GT</t>
        </is>
      </c>
      <c r="M395" s="35">
        <v>290000</v>
      </c>
      <c r="N395" s="32" t="inlineStr">
        <is>
          <t xml:space="preserve">Personal</t>
        </is>
      </c>
      <c r="O395" s="30" t="inlineStr">
        <is>
          <t xml:space="preserve">Personal - regular use</t>
        </is>
      </c>
      <c r="P395" s="30" t="inlineStr">
        <is>
          <t xml:space="preserve">1,000 - 2,500</t>
        </is>
      </c>
      <c r="Q395" s="30" t="inlineStr">
        <is>
          <t xml:space="preserve">Florida</t>
        </is>
      </c>
      <c r="R395" s="30" t="inlineStr">
        <is>
          <t xml:space="preserve">33139</t>
        </is>
      </c>
      <c r="S395" s="32" t="inlineStr">
        <is>
          <t xml:space="preserve">Tier 2 - Coastal wind (1-25 miles)</t>
        </is>
      </c>
      <c r="T395" s="36">
        <f>IF($A395="","",IF($S395="","",IFERROR(INDEX('[1]natural catastrophe'!$D$6:$D$17,MATCH($S395,'[1]natural catastrophe'!$B$6:$B$17,0)),"?")))</f>
      </c>
      <c r="U395" s="30" t="inlineStr">
        <is>
          <t xml:space="preserve">2% of agreed value, minimum $10,000</t>
        </is>
      </c>
      <c r="V395" s="32" t="inlineStr">
        <is>
          <t xml:space="preserve">Agreed Value</t>
        </is>
      </c>
      <c r="W395" s="30" t="inlineStr">
        <is>
          <t xml:space="preserve">$1,000</t>
        </is>
      </c>
      <c r="X395" s="32" t="inlineStr">
        <is>
          <t xml:space="preserve">$1,000,000 CSL</t>
        </is>
      </c>
      <c r="Y395" s="30"/>
      <c r="Z395" s="30"/>
      <c r="AA395" s="32" t="inlineStr">
        <is>
          <t xml:space="preserve">Surplus Lines</t>
        </is>
      </c>
      <c r="AB395" s="35">
        <v>4456.76</v>
      </c>
      <c r="AC395" s="37">
        <v>0</v>
      </c>
      <c r="AD395" s="38">
        <f>IF(ISNUMBER($AB395),$AB395*(1+N($AC395)),"")</f>
      </c>
      <c r="AE395" s="35">
        <v>350</v>
      </c>
      <c r="AF395" s="35">
        <v>0</v>
      </c>
      <c r="AG395" s="37"/>
      <c r="AH395" s="39">
        <f>IF(ISNUMBER($AD395),($AD395+$AE395+$AF395)*$AG395,"")</f>
      </c>
      <c r="AI395" s="35"/>
      <c r="AJ395" s="38">
        <f>IF(ISNUMBER($AD395),SUM($AD395:$AH395),"")</f>
      </c>
      <c r="AK395" s="40">
        <f>IF(AND(ISNUMBER($AB395),ISNUMBER($AD395)),IF($AB395&gt;0,$AD395/$AB395,""),"")</f>
      </c>
      <c r="AL395" s="32" t="inlineStr">
        <is>
          <t xml:space="preserve">At technical</t>
        </is>
      </c>
      <c r="AM395" s="41">
        <f>IF(ISNUMBER($AD395),Header!$I$3,"")</f>
      </c>
      <c r="AN395" s="39">
        <f>IF(ISNUMBER($AD395),$AO395+$AP395,"")</f>
      </c>
      <c r="AO395" s="39">
        <f>IF(ISNUMBER($AD395),ROUND($AD395*Header!$K$3,2),"")</f>
      </c>
      <c r="AP395" s="39">
        <f>IF(ISNUMBER($AD395),ROUND($AD395*Header!$M$3,2),"")</f>
      </c>
      <c r="AQ395" s="38">
        <f>IF(ISNUMBER($AD395),ROUND($AD395,2)-$AO395-$AP395,"")</f>
      </c>
      <c r="AR395" s="39">
        <f>IF(ISNUMBER($AD395),IF(Header!$D$34="","?",$AD395*Header!$D$34),"")</f>
      </c>
      <c r="AS395" s="39">
        <f>IF(ISNUMBER($AB395),IF(Header!$D$34="","?",$AB395*Header!$D$34),"")</f>
      </c>
      <c r="AT395" s="42">
        <f>IF(AND(ISNUMBER($AB395),$M395&gt;0),$AB395/$M395*100,"")</f>
      </c>
      <c r="AU395" s="42">
        <f>IF(AND(ISNUMBER($AD395),$M395&gt;0),$AD395/$M395*100,"")</f>
      </c>
      <c r="AV395" s="40">
        <f>IF(AND(ISNUMBER($AB395),ISNUMBER($AD395),ABS($AB395)&gt;0),$AD395/$AB395,"")</f>
      </c>
      <c r="AW395" s="39">
        <f>IF(ISNUMBER($AD395),MAX(0,(1-0.55-Header!$O$3)*Header!$Q$3*$AQ395),"")</f>
      </c>
      <c r="AX395" s="43">
        <f>IF($A395="","",IF(TRIM(IF($A395="","Missing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",""))="","PASS","FAIL: "&amp;TRIM(IF($A395="","Missing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f>
      </c>
      <c r="AY395" s="44">
        <f>IF($M395="","",IF(ISNUMBER($M395),IF($M395&gt;=Header!$C$18,"YES — refer","No"),""))</f>
      </c>
      <c r="AZ395" s="44">
        <f>IF($AD395="","",IF(ISNUMBER($AD395),IF($AD395&lt;Header!$C$20,"BELOW MIN PREMIUM","OK"),""))</f>
      </c>
      <c r="BA395" s="32" t="inlineStr">
        <is>
          <t xml:space="preserve">Yes</t>
        </is>
      </c>
      <c r="BB395" s="32" t="inlineStr">
        <is>
          <t xml:space="preserve">Yes</t>
        </is>
      </c>
      <c r="BC395" s="30" t="inlineStr">
        <is>
          <t xml:space="preserve">Synthetic demo data</t>
        </is>
      </c>
      <c r="BE395" s="45">
        <f>IF(OR($A395="",$L395="",$H395=""),"",IF(AND(LEFT($L395,2)="06",$H395&gt;1945),"FAIL - pre-war class, year "&amp;$H395,IF(AND(LEFT($L395,2)="07",OR($H395&lt;1946,$H395&gt;1972)),"FAIL - 1946-72 class, year "&amp;$H395,IF(AND(LEFT($L395,2)="08",OR($H395&lt;1973,$H395&gt;1999)),"FAIL - 1973-99 class, year "&amp;$H395,IF(AND(LEFT($L395,2)="09",OR($H395&lt;2000,$H395&gt;2010)),"FAIL - 2000-10 class, year "&amp;$H395,"OK")))))</f>
      </c>
      <c r="BF395" s="45">
        <f>IF($AD395="","",IF(ROUND($AO395+$AP395+$AQ395-$AD395,2)=0,"OK","FAIL - out by "&amp;TEXT($AO395+$AP395+$AQ395-$AD395,"$0.00")))</f>
      </c>
    </row>
    <row r="396" spans="1:58" ht="18.75" customHeight="1" x14ac:dyDescent="0.25">
      <c r="A396" s="46" t="inlineStr">
        <is>
          <t xml:space="preserve">CANON-202606-008939</t>
        </is>
      </c>
      <c r="B396" s="46" t="inlineStr">
        <is>
          <t xml:space="preserve">Horace Farkas</t>
        </is>
      </c>
      <c r="C396" s="47">
        <v>46197</v>
      </c>
      <c r="D396" s="48" t="inlineStr">
        <is>
          <t xml:space="preserve">Bound - within authority</t>
        </is>
      </c>
      <c r="E396" s="48" t="inlineStr">
        <is>
          <t xml:space="preserve">New business</t>
        </is>
      </c>
      <c r="F396" s="46" t="inlineStr">
        <is>
          <t xml:space="preserve">B1234EXOTIC26</t>
        </is>
      </c>
      <c r="G396" s="33">
        <f>IF($A396="","",IF($C396="","",YEAR($C396)))</f>
      </c>
      <c r="H396" s="49">
        <v>2010</v>
      </c>
      <c r="I396" s="46" t="inlineStr">
        <is>
          <t xml:space="preserve">Porsche</t>
        </is>
      </c>
      <c r="J396" s="46" t="inlineStr">
        <is>
          <t xml:space="preserve">911 Turbo S</t>
        </is>
      </c>
      <c r="K396" s="46" t="inlineStr">
        <is>
          <t xml:space="preserve">260K7WEEZSRCE73Z8</t>
        </is>
      </c>
      <c r="L396" s="48" t="inlineStr">
        <is>
          <t xml:space="preserve">02 - Sports / GT</t>
        </is>
      </c>
      <c r="M396" s="50">
        <v>255000</v>
      </c>
      <c r="N396" s="48" t="inlineStr">
        <is>
          <t xml:space="preserve">Personal</t>
        </is>
      </c>
      <c r="O396" s="46" t="inlineStr">
        <is>
          <t xml:space="preserve">Personal - regular use</t>
        </is>
      </c>
      <c r="P396" s="46" t="inlineStr">
        <is>
          <t xml:space="preserve">2,500 - 5,000</t>
        </is>
      </c>
      <c r="Q396" s="46" t="inlineStr">
        <is>
          <t xml:space="preserve">New York</t>
        </is>
      </c>
      <c r="R396" s="46" t="inlineStr">
        <is>
          <t xml:space="preserve">10022</t>
        </is>
      </c>
      <c r="S396" s="48" t="inlineStr">
        <is>
          <t xml:space="preserve">Tier 3 - Coastal wind (25-100 miles)</t>
        </is>
      </c>
      <c r="T396" s="36">
        <f>IF($A396="","",IF($S396="","",IFERROR(INDEX('[1]natural catastrophe'!$D$6:$D$17,MATCH($S396,'[1]natural catastrophe'!$B$6:$B$17,0)),"?")))</f>
      </c>
      <c r="U396" s="46" t="inlineStr">
        <is>
          <t xml:space="preserve">2% of agreed value, minimum $10,000</t>
        </is>
      </c>
      <c r="V396" s="48" t="inlineStr">
        <is>
          <t xml:space="preserve">Agreed Value</t>
        </is>
      </c>
      <c r="W396" s="46" t="inlineStr">
        <is>
          <t xml:space="preserve">$1,000</t>
        </is>
      </c>
      <c r="X396" s="48" t="inlineStr">
        <is>
          <t xml:space="preserve">$1,000,000 CSL</t>
        </is>
      </c>
      <c r="Y396" s="46"/>
      <c r="Z396" s="46"/>
      <c r="AA396" s="48" t="inlineStr">
        <is>
          <t xml:space="preserve">Surplus Lines</t>
        </is>
      </c>
      <c r="AB396" s="50">
        <v>3532.51</v>
      </c>
      <c r="AC396" s="51">
        <v>0</v>
      </c>
      <c r="AD396" s="38">
        <f>IF(ISNUMBER($AB396),$AB396*(1+N($AC396)),"")</f>
      </c>
      <c r="AE396" s="50">
        <v>350</v>
      </c>
      <c r="AF396" s="50">
        <v>0</v>
      </c>
      <c r="AG396" s="51"/>
      <c r="AH396" s="39">
        <f>IF(ISNUMBER($AD396),($AD396+$AE396+$AF396)*$AG396,"")</f>
      </c>
      <c r="AI396" s="50"/>
      <c r="AJ396" s="38">
        <f>IF(ISNUMBER($AD396),SUM($AD396:$AH396),"")</f>
      </c>
      <c r="AK396" s="40">
        <f>IF(AND(ISNUMBER($AB396),ISNUMBER($AD396)),IF($AB396&gt;0,$AD396/$AB396,""),"")</f>
      </c>
      <c r="AL396" s="48" t="inlineStr">
        <is>
          <t xml:space="preserve">At technical</t>
        </is>
      </c>
      <c r="AM396" s="41">
        <f>IF(ISNUMBER($AD396),Header!$I$3,"")</f>
      </c>
      <c r="AN396" s="39">
        <f>IF(ISNUMBER($AD396),$AO396+$AP396,"")</f>
      </c>
      <c r="AO396" s="39">
        <f>IF(ISNUMBER($AD396),ROUND($AD396*Header!$K$3,2),"")</f>
      </c>
      <c r="AP396" s="39">
        <f>IF(ISNUMBER($AD396),ROUND($AD396*Header!$M$3,2),"")</f>
      </c>
      <c r="AQ396" s="38">
        <f>IF(ISNUMBER($AD396),ROUND($AD396,2)-$AO396-$AP396,"")</f>
      </c>
      <c r="AR396" s="39">
        <f>IF(ISNUMBER($AD396),IF(Header!$D$34="","?",$AD396*Header!$D$34),"")</f>
      </c>
      <c r="AS396" s="39">
        <f>IF(ISNUMBER($AB396),IF(Header!$D$34="","?",$AB396*Header!$D$34),"")</f>
      </c>
      <c r="AT396" s="42">
        <f>IF(AND(ISNUMBER($AB396),$M396&gt;0),$AB396/$M396*100,"")</f>
      </c>
      <c r="AU396" s="42">
        <f>IF(AND(ISNUMBER($AD396),$M396&gt;0),$AD396/$M396*100,"")</f>
      </c>
      <c r="AV396" s="40">
        <f>IF(AND(ISNUMBER($AB396),ISNUMBER($AD396),ABS($AB396)&gt;0),$AD396/$AB396,"")</f>
      </c>
      <c r="AW396" s="39">
        <f>IF(ISNUMBER($AD396),MAX(0,(1-0.55-Header!$O$3)*Header!$Q$3*$AQ396),"")</f>
      </c>
      <c r="AX396" s="43">
        <f>IF($A396="","",IF(TRIM(IF($A396="","Missing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",""))="","PASS","FAIL: "&amp;TRIM(IF($A396="","Missing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f>
      </c>
      <c r="AY396" s="44">
        <f>IF($M396="","",IF(ISNUMBER($M396),IF($M396&gt;=Header!$C$18,"YES — refer","No"),""))</f>
      </c>
      <c r="AZ396" s="44">
        <f>IF($AD396="","",IF(ISNUMBER($AD396),IF($AD396&lt;Header!$C$20,"BELOW MIN PREMIUM","OK"),""))</f>
      </c>
      <c r="BA396" s="48" t="inlineStr">
        <is>
          <t xml:space="preserve">Yes</t>
        </is>
      </c>
      <c r="BB396" s="48" t="inlineStr">
        <is>
          <t xml:space="preserve">Yes</t>
        </is>
      </c>
      <c r="BC396" s="46" t="inlineStr">
        <is>
          <t xml:space="preserve">Synthetic demo data</t>
        </is>
      </c>
      <c r="BE396" s="45">
        <f>IF(OR($A396="",$L396="",$H396=""),"",IF(AND(LEFT($L396,2)="06",$H396&gt;1945),"FAIL - pre-war class, year "&amp;$H396,IF(AND(LEFT($L396,2)="07",OR($H396&lt;1946,$H396&gt;1972)),"FAIL - 1946-72 class, year "&amp;$H396,IF(AND(LEFT($L396,2)="08",OR($H396&lt;1973,$H396&gt;1999)),"FAIL - 1973-99 class, year "&amp;$H396,IF(AND(LEFT($L396,2)="09",OR($H396&lt;2000,$H396&gt;2010)),"FAIL - 2000-10 class, year "&amp;$H396,"OK")))))</f>
      </c>
      <c r="BF396" s="45">
        <f>IF($AD396="","",IF(ROUND($AO396+$AP396+$AQ396-$AD396,2)=0,"OK","FAIL - out by "&amp;TEXT($AO396+$AP396+$AQ396-$AD396,"$0.00")))</f>
      </c>
    </row>
    <row r="397" spans="1:58" ht="18.75" customHeight="1" x14ac:dyDescent="0.25">
      <c r="A397" s="30" t="inlineStr">
        <is>
          <t xml:space="preserve">CANON-202606-008940</t>
        </is>
      </c>
      <c r="B397" s="30" t="inlineStr">
        <is>
          <t xml:space="preserve">Ingrid Rourke</t>
        </is>
      </c>
      <c r="C397" s="31">
        <v>46194</v>
      </c>
      <c r="D397" s="32" t="inlineStr">
        <is>
          <t xml:space="preserve">Bound - within authority</t>
        </is>
      </c>
      <c r="E397" s="32" t="inlineStr">
        <is>
          <t xml:space="preserve">New business</t>
        </is>
      </c>
      <c r="F397" s="30" t="inlineStr">
        <is>
          <t xml:space="preserve">B1234EXOTIC26</t>
        </is>
      </c>
      <c r="G397" s="33">
        <f>IF($A397="","",IF($C397="","",YEAR($C397)))</f>
      </c>
      <c r="H397" s="34">
        <v>1980</v>
      </c>
      <c r="I397" s="30" t="inlineStr">
        <is>
          <t xml:space="preserve">Ferrari</t>
        </is>
      </c>
      <c r="J397" s="30" t="inlineStr">
        <is>
          <t xml:space="preserve">296 GTB</t>
        </is>
      </c>
      <c r="K397" s="30" t="inlineStr">
        <is>
          <t xml:space="preserve">CY2ZESJHVDNYT6GXR</t>
        </is>
      </c>
      <c r="L397" s="32" t="inlineStr">
        <is>
          <t xml:space="preserve">03 - Supercar</t>
        </is>
      </c>
      <c r="M397" s="35">
        <v>1925000</v>
      </c>
      <c r="N397" s="32" t="inlineStr">
        <is>
          <t xml:space="preserve">Personal</t>
        </is>
      </c>
      <c r="O397" s="30" t="inlineStr">
        <is>
          <t xml:space="preserve">Personal - regular use</t>
        </is>
      </c>
      <c r="P397" s="30" t="inlineStr">
        <is>
          <t xml:space="preserve">1,000 - 2,500</t>
        </is>
      </c>
      <c r="Q397" s="30" t="inlineStr">
        <is>
          <t xml:space="preserve">West Virginia</t>
        </is>
      </c>
      <c r="R397" s="30" t="inlineStr">
        <is>
          <t xml:space="preserve">25301</t>
        </is>
      </c>
      <c r="S397" s="32" t="inlineStr">
        <is>
          <t xml:space="preserve">Low hazard - inland benign</t>
        </is>
      </c>
      <c r="T397" s="36">
        <f>IF($A397="","",IF($S397="","",IFERROR(INDEX('[1]natural catastrophe'!$D$6:$D$17,MATCH($S397,'[1]natural catastrophe'!$B$6:$B$17,0)),"?")))</f>
      </c>
      <c r="U397" s="30" t="inlineStr">
        <is>
          <t xml:space="preserve">$5,000</t>
        </is>
      </c>
      <c r="V397" s="32" t="inlineStr">
        <is>
          <t xml:space="preserve">Agreed Value</t>
        </is>
      </c>
      <c r="W397" s="30" t="inlineStr">
        <is>
          <t xml:space="preserve">$1,000</t>
        </is>
      </c>
      <c r="X397" s="32" t="inlineStr">
        <is>
          <t xml:space="preserve">$1,000,000 CSL</t>
        </is>
      </c>
      <c r="Y397" s="30"/>
      <c r="Z397" s="30"/>
      <c r="AA397" s="32" t="inlineStr">
        <is>
          <t xml:space="preserve">Surplus Lines</t>
        </is>
      </c>
      <c r="AB397" s="35">
        <v>29555.91</v>
      </c>
      <c r="AC397" s="37">
        <v>0</v>
      </c>
      <c r="AD397" s="38">
        <f>IF(ISNUMBER($AB397),$AB397*(1+N($AC397)),"")</f>
      </c>
      <c r="AE397" s="35">
        <v>350</v>
      </c>
      <c r="AF397" s="35">
        <v>250</v>
      </c>
      <c r="AG397" s="37"/>
      <c r="AH397" s="39">
        <f>IF(ISNUMBER($AD397),($AD397+$AE397+$AF397)*$AG397,"")</f>
      </c>
      <c r="AI397" s="35"/>
      <c r="AJ397" s="38">
        <f>IF(ISNUMBER($AD397),SUM($AD397:$AH397),"")</f>
      </c>
      <c r="AK397" s="40">
        <f>IF(AND(ISNUMBER($AB397),ISNUMBER($AD397)),IF($AB397&gt;0,$AD397/$AB397,""),"")</f>
      </c>
      <c r="AL397" s="32" t="inlineStr">
        <is>
          <t xml:space="preserve">At technical</t>
        </is>
      </c>
      <c r="AM397" s="41">
        <f>IF(ISNUMBER($AD397),Header!$I$3,"")</f>
      </c>
      <c r="AN397" s="39">
        <f>IF(ISNUMBER($AD397),$AO397+$AP397,"")</f>
      </c>
      <c r="AO397" s="39">
        <f>IF(ISNUMBER($AD397),ROUND($AD397*Header!$K$3,2),"")</f>
      </c>
      <c r="AP397" s="39">
        <f>IF(ISNUMBER($AD397),ROUND($AD397*Header!$M$3,2),"")</f>
      </c>
      <c r="AQ397" s="38">
        <f>IF(ISNUMBER($AD397),ROUND($AD397,2)-$AO397-$AP397,"")</f>
      </c>
      <c r="AR397" s="39">
        <f>IF(ISNUMBER($AD397),IF(Header!$D$34="","?",$AD397*Header!$D$34),"")</f>
      </c>
      <c r="AS397" s="39">
        <f>IF(ISNUMBER($AB397),IF(Header!$D$34="","?",$AB397*Header!$D$34),"")</f>
      </c>
      <c r="AT397" s="42">
        <f>IF(AND(ISNUMBER($AB397),$M397&gt;0),$AB397/$M397*100,"")</f>
      </c>
      <c r="AU397" s="42">
        <f>IF(AND(ISNUMBER($AD397),$M397&gt;0),$AD397/$M397*100,"")</f>
      </c>
      <c r="AV397" s="40">
        <f>IF(AND(ISNUMBER($AB397),ISNUMBER($AD397),ABS($AB397)&gt;0),$AD397/$AB397,"")</f>
      </c>
      <c r="AW397" s="39">
        <f>IF(ISNUMBER($AD397),MAX(0,(1-0.55-Header!$O$3)*Header!$Q$3*$AQ397),"")</f>
      </c>
      <c r="AX397" s="43">
        <f>IF($A397="","",IF(TRIM(IF($A397="","Missing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",""))="","PASS","FAIL: "&amp;TRIM(IF($A397="","Missing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f>
      </c>
      <c r="AY397" s="44">
        <f>IF($M397="","",IF(ISNUMBER($M397),IF($M397&gt;=Header!$C$18,"YES — refer","No"),""))</f>
      </c>
      <c r="AZ397" s="44">
        <f>IF($AD397="","",IF(ISNUMBER($AD397),IF($AD397&lt;Header!$C$20,"BELOW MIN PREMIUM","OK"),""))</f>
      </c>
      <c r="BA397" s="32" t="inlineStr">
        <is>
          <t xml:space="preserve">Yes</t>
        </is>
      </c>
      <c r="BB397" s="32" t="inlineStr">
        <is>
          <t xml:space="preserve">Yes</t>
        </is>
      </c>
      <c r="BC397" s="30" t="inlineStr">
        <is>
          <t xml:space="preserve">Synthetic demo data</t>
        </is>
      </c>
      <c r="BE397" s="45">
        <f>IF(OR($A397="",$L397="",$H397=""),"",IF(AND(LEFT($L397,2)="06",$H397&gt;1945),"FAIL - pre-war class, year "&amp;$H397,IF(AND(LEFT($L397,2)="07",OR($H397&lt;1946,$H397&gt;1972)),"FAIL - 1946-72 class, year "&amp;$H397,IF(AND(LEFT($L397,2)="08",OR($H397&lt;1973,$H397&gt;1999)),"FAIL - 1973-99 class, year "&amp;$H397,IF(AND(LEFT($L397,2)="09",OR($H397&lt;2000,$H397&gt;2010)),"FAIL - 2000-10 class, year "&amp;$H397,"OK")))))</f>
      </c>
      <c r="BF397" s="45">
        <f>IF($AD397="","",IF(ROUND($AO397+$AP397+$AQ397-$AD397,2)=0,"OK","FAIL - out by "&amp;TEXT($AO397+$AP397+$AQ397-$AD397,"$0.00")))</f>
      </c>
    </row>
    <row r="398" spans="1:58" ht="18.75" customHeight="1" x14ac:dyDescent="0.25">
      <c r="A398" s="46" t="inlineStr">
        <is>
          <t xml:space="preserve">CANON-202606-008941</t>
        </is>
      </c>
      <c r="B398" s="46" t="inlineStr">
        <is>
          <t xml:space="preserve">Beatrix Chattopadhyay</t>
        </is>
      </c>
      <c r="C398" s="47">
        <v>46189</v>
      </c>
      <c r="D398" s="48" t="inlineStr">
        <is>
          <t xml:space="preserve">Bound - within authority</t>
        </is>
      </c>
      <c r="E398" s="48" t="inlineStr">
        <is>
          <t xml:space="preserve">New business</t>
        </is>
      </c>
      <c r="F398" s="46" t="inlineStr">
        <is>
          <t xml:space="preserve">B1234EXOTIC26</t>
        </is>
      </c>
      <c r="G398" s="33">
        <f>IF($A398="","",IF($C398="","",YEAR($C398)))</f>
      </c>
      <c r="H398" s="49">
        <v>2023</v>
      </c>
      <c r="I398" s="46" t="inlineStr">
        <is>
          <t xml:space="preserve">BMW</t>
        </is>
      </c>
      <c r="J398" s="46" t="inlineStr">
        <is>
          <t xml:space="preserve">M8 Competition</t>
        </is>
      </c>
      <c r="K398" s="46" t="inlineStr">
        <is>
          <t xml:space="preserve">J81WUP14BZUAHXXZJ</t>
        </is>
      </c>
      <c r="L398" s="48" t="inlineStr">
        <is>
          <t xml:space="preserve">02 - Sports / GT</t>
        </is>
      </c>
      <c r="M398" s="50">
        <v>485000</v>
      </c>
      <c r="N398" s="48" t="inlineStr">
        <is>
          <t xml:space="preserve">Personal</t>
        </is>
      </c>
      <c r="O398" s="46" t="inlineStr">
        <is>
          <t xml:space="preserve">Personal - regular use</t>
        </is>
      </c>
      <c r="P398" s="46" t="inlineStr">
        <is>
          <t xml:space="preserve">2,500 - 5,000</t>
        </is>
      </c>
      <c r="Q398" s="46" t="inlineStr">
        <is>
          <t xml:space="preserve">Hawaii</t>
        </is>
      </c>
      <c r="R398" s="46" t="inlineStr">
        <is>
          <t xml:space="preserve">96813</t>
        </is>
      </c>
      <c r="S398" s="48" t="inlineStr">
        <is>
          <t xml:space="preserve">Earthquake - high (CA, Cascadia, New Madrid)</t>
        </is>
      </c>
      <c r="T398" s="36">
        <f>IF($A398="","",IF($S398="","",IFERROR(INDEX('[1]natural catastrophe'!$D$6:$D$17,MATCH($S398,'[1]natural catastrophe'!$B$6:$B$17,0)),"?")))</f>
      </c>
      <c r="U398" s="46" t="inlineStr">
        <is>
          <t xml:space="preserve">$5,000</t>
        </is>
      </c>
      <c r="V398" s="48" t="inlineStr">
        <is>
          <t xml:space="preserve">Agreed Value</t>
        </is>
      </c>
      <c r="W398" s="46" t="inlineStr">
        <is>
          <t xml:space="preserve">$1,000</t>
        </is>
      </c>
      <c r="X398" s="48" t="inlineStr">
        <is>
          <t xml:space="preserve">$1,000,000 CSL</t>
        </is>
      </c>
      <c r="Y398" s="46"/>
      <c r="Z398" s="46"/>
      <c r="AA398" s="48" t="inlineStr">
        <is>
          <t xml:space="preserve">Surplus Lines</t>
        </is>
      </c>
      <c r="AB398" s="50">
        <v>6823.68</v>
      </c>
      <c r="AC398" s="51">
        <v>0</v>
      </c>
      <c r="AD398" s="38">
        <f>IF(ISNUMBER($AB398),$AB398*(1+N($AC398)),"")</f>
      </c>
      <c r="AE398" s="50">
        <v>350</v>
      </c>
      <c r="AF398" s="50">
        <v>0</v>
      </c>
      <c r="AG398" s="51"/>
      <c r="AH398" s="39">
        <f>IF(ISNUMBER($AD398),($AD398+$AE398+$AF398)*$AG398,"")</f>
      </c>
      <c r="AI398" s="50"/>
      <c r="AJ398" s="38">
        <f>IF(ISNUMBER($AD398),SUM($AD398:$AH398),"")</f>
      </c>
      <c r="AK398" s="40">
        <f>IF(AND(ISNUMBER($AB398),ISNUMBER($AD398)),IF($AB398&gt;0,$AD398/$AB398,""),"")</f>
      </c>
      <c r="AL398" s="48" t="inlineStr">
        <is>
          <t xml:space="preserve">At technical</t>
        </is>
      </c>
      <c r="AM398" s="41">
        <f>IF(ISNUMBER($AD398),Header!$I$3,"")</f>
      </c>
      <c r="AN398" s="39">
        <f>IF(ISNUMBER($AD398),$AO398+$AP398,"")</f>
      </c>
      <c r="AO398" s="39">
        <f>IF(ISNUMBER($AD398),ROUND($AD398*Header!$K$3,2),"")</f>
      </c>
      <c r="AP398" s="39">
        <f>IF(ISNUMBER($AD398),ROUND($AD398*Header!$M$3,2),"")</f>
      </c>
      <c r="AQ398" s="38">
        <f>IF(ISNUMBER($AD398),ROUND($AD398,2)-$AO398-$AP398,"")</f>
      </c>
      <c r="AR398" s="39">
        <f>IF(ISNUMBER($AD398),IF(Header!$D$34="","?",$AD398*Header!$D$34),"")</f>
      </c>
      <c r="AS398" s="39">
        <f>IF(ISNUMBER($AB398),IF(Header!$D$34="","?",$AB398*Header!$D$34),"")</f>
      </c>
      <c r="AT398" s="42">
        <f>IF(AND(ISNUMBER($AB398),$M398&gt;0),$AB398/$M398*100,"")</f>
      </c>
      <c r="AU398" s="42">
        <f>IF(AND(ISNUMBER($AD398),$M398&gt;0),$AD398/$M398*100,"")</f>
      </c>
      <c r="AV398" s="40">
        <f>IF(AND(ISNUMBER($AB398),ISNUMBER($AD398),ABS($AB398)&gt;0),$AD398/$AB398,"")</f>
      </c>
      <c r="AW398" s="39">
        <f>IF(ISNUMBER($AD398),MAX(0,(1-0.55-Header!$O$3)*Header!$Q$3*$AQ398),"")</f>
      </c>
      <c r="AX398" s="43">
        <f>IF($A398="","",IF(TRIM(IF($A398="","Missing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",""))="","PASS","FAIL: "&amp;TRIM(IF($A398="","Missing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f>
      </c>
      <c r="AY398" s="44">
        <f>IF($M398="","",IF(ISNUMBER($M398),IF($M398&gt;=Header!$C$18,"YES — refer","No"),""))</f>
      </c>
      <c r="AZ398" s="44">
        <f>IF($AD398="","",IF(ISNUMBER($AD398),IF($AD398&lt;Header!$C$20,"BELOW MIN PREMIUM","OK"),""))</f>
      </c>
      <c r="BA398" s="48" t="inlineStr">
        <is>
          <t xml:space="preserve">Yes</t>
        </is>
      </c>
      <c r="BB398" s="48" t="inlineStr">
        <is>
          <t xml:space="preserve">Yes</t>
        </is>
      </c>
      <c r="BC398" s="46" t="inlineStr">
        <is>
          <t xml:space="preserve">Synthetic demo data</t>
        </is>
      </c>
      <c r="BE398" s="45">
        <f>IF(OR($A398="",$L398="",$H398=""),"",IF(AND(LEFT($L398,2)="06",$H398&gt;1945),"FAIL - pre-war class, year "&amp;$H398,IF(AND(LEFT($L398,2)="07",OR($H398&lt;1946,$H398&gt;1972)),"FAIL - 1946-72 class, year "&amp;$H398,IF(AND(LEFT($L398,2)="08",OR($H398&lt;1973,$H398&gt;1999)),"FAIL - 1973-99 class, year "&amp;$H398,IF(AND(LEFT($L398,2)="09",OR($H398&lt;2000,$H398&gt;2010)),"FAIL - 2000-10 class, year "&amp;$H398,"OK")))))</f>
      </c>
      <c r="BF398" s="45">
        <f>IF($AD398="","",IF(ROUND($AO398+$AP398+$AQ398-$AD398,2)=0,"OK","FAIL - out by "&amp;TEXT($AO398+$AP398+$AQ398-$AD398,"$0.00")))</f>
      </c>
    </row>
    <row r="399" spans="1:58" ht="18.75" customHeight="1" x14ac:dyDescent="0.25">
      <c r="A399" s="30" t="inlineStr">
        <is>
          <t xml:space="preserve">CANON-202606-008942</t>
        </is>
      </c>
      <c r="B399" s="30" t="inlineStr">
        <is>
          <t xml:space="preserve">Callum Merriweather</t>
        </is>
      </c>
      <c r="C399" s="31">
        <v>46192</v>
      </c>
      <c r="D399" s="32" t="inlineStr">
        <is>
          <t xml:space="preserve">Bound - within authority</t>
        </is>
      </c>
      <c r="E399" s="32" t="inlineStr">
        <is>
          <t xml:space="preserve">New business</t>
        </is>
      </c>
      <c r="F399" s="30" t="inlineStr">
        <is>
          <t xml:space="preserve">B1234EXOTIC26</t>
        </is>
      </c>
      <c r="G399" s="33">
        <f>IF($A399="","",IF($C399="","",YEAR($C399)))</f>
      </c>
      <c r="H399" s="34">
        <v>1972</v>
      </c>
      <c r="I399" s="30" t="inlineStr">
        <is>
          <t xml:space="preserve">Bentley</t>
        </is>
      </c>
      <c r="J399" s="30" t="inlineStr">
        <is>
          <t xml:space="preserve">4.5 Litre</t>
        </is>
      </c>
      <c r="K399" s="30" t="inlineStr">
        <is>
          <t xml:space="preserve">5FAZRRGUMBGK70R3W</t>
        </is>
      </c>
      <c r="L399" s="32" t="inlineStr">
        <is>
          <t xml:space="preserve">07 - Post-War Classic (1946-1972)</t>
        </is>
      </c>
      <c r="M399" s="35">
        <v>800000</v>
      </c>
      <c r="N399" s="32" t="inlineStr">
        <is>
          <t xml:space="preserve">Personal</t>
        </is>
      </c>
      <c r="O399" s="30" t="inlineStr">
        <is>
          <t xml:space="preserve">Personal - regular use</t>
        </is>
      </c>
      <c r="P399" s="30" t="inlineStr">
        <is>
          <t xml:space="preserve">1,000 - 2,500</t>
        </is>
      </c>
      <c r="Q399" s="30" t="inlineStr">
        <is>
          <t xml:space="preserve">Texas</t>
        </is>
      </c>
      <c r="R399" s="30" t="inlineStr">
        <is>
          <t xml:space="preserve">75201</t>
        </is>
      </c>
      <c r="S399" s="32" t="inlineStr">
        <is>
          <t xml:space="preserve">Tier 2 - Coastal wind (1-25 miles)</t>
        </is>
      </c>
      <c r="T399" s="36">
        <f>IF($A399="","",IF($S399="","",IFERROR(INDEX('[1]natural catastrophe'!$D$6:$D$17,MATCH($S399,'[1]natural catastrophe'!$B$6:$B$17,0)),"?")))</f>
      </c>
      <c r="U399" s="30" t="inlineStr">
        <is>
          <t xml:space="preserve">2% of agreed value, minimum $10,000</t>
        </is>
      </c>
      <c r="V399" s="32" t="inlineStr">
        <is>
          <t xml:space="preserve">Agreed Value</t>
        </is>
      </c>
      <c r="W399" s="30" t="inlineStr">
        <is>
          <t xml:space="preserve">$1,000</t>
        </is>
      </c>
      <c r="X399" s="32" t="inlineStr">
        <is>
          <t xml:space="preserve">$1,000,000 CSL</t>
        </is>
      </c>
      <c r="Y399" s="30"/>
      <c r="Z399" s="30"/>
      <c r="AA399" s="32" t="inlineStr">
        <is>
          <t xml:space="preserve">Surplus Lines</t>
        </is>
      </c>
      <c r="AB399" s="35">
        <v>5044.8</v>
      </c>
      <c r="AC399" s="37">
        <v>0</v>
      </c>
      <c r="AD399" s="38">
        <f>IF(ISNUMBER($AB399),$AB399*(1+N($AC399)),"")</f>
      </c>
      <c r="AE399" s="35">
        <v>350</v>
      </c>
      <c r="AF399" s="35">
        <v>0</v>
      </c>
      <c r="AG399" s="37"/>
      <c r="AH399" s="39">
        <f>IF(ISNUMBER($AD399),($AD399+$AE399+$AF399)*$AG399,"")</f>
      </c>
      <c r="AI399" s="35"/>
      <c r="AJ399" s="38">
        <f>IF(ISNUMBER($AD399),SUM($AD399:$AH399),"")</f>
      </c>
      <c r="AK399" s="40">
        <f>IF(AND(ISNUMBER($AB399),ISNUMBER($AD399)),IF($AB399&gt;0,$AD399/$AB399,""),"")</f>
      </c>
      <c r="AL399" s="32" t="inlineStr">
        <is>
          <t xml:space="preserve">At technical</t>
        </is>
      </c>
      <c r="AM399" s="41">
        <f>IF(ISNUMBER($AD399),Header!$I$3,"")</f>
      </c>
      <c r="AN399" s="39">
        <f>IF(ISNUMBER($AD399),$AO399+$AP399,"")</f>
      </c>
      <c r="AO399" s="39">
        <f>IF(ISNUMBER($AD399),ROUND($AD399*Header!$K$3,2),"")</f>
      </c>
      <c r="AP399" s="39">
        <f>IF(ISNUMBER($AD399),ROUND($AD399*Header!$M$3,2),"")</f>
      </c>
      <c r="AQ399" s="38">
        <f>IF(ISNUMBER($AD399),ROUND($AD399,2)-$AO399-$AP399,"")</f>
      </c>
      <c r="AR399" s="39">
        <f>IF(ISNUMBER($AD399),IF(Header!$D$34="","?",$AD399*Header!$D$34),"")</f>
      </c>
      <c r="AS399" s="39">
        <f>IF(ISNUMBER($AB399),IF(Header!$D$34="","?",$AB399*Header!$D$34),"")</f>
      </c>
      <c r="AT399" s="42">
        <f>IF(AND(ISNUMBER($AB399),$M399&gt;0),$AB399/$M399*100,"")</f>
      </c>
      <c r="AU399" s="42">
        <f>IF(AND(ISNUMBER($AD399),$M399&gt;0),$AD399/$M399*100,"")</f>
      </c>
      <c r="AV399" s="40">
        <f>IF(AND(ISNUMBER($AB399),ISNUMBER($AD399),ABS($AB399)&gt;0),$AD399/$AB399,"")</f>
      </c>
      <c r="AW399" s="39">
        <f>IF(ISNUMBER($AD399),MAX(0,(1-0.55-Header!$O$3)*Header!$Q$3*$AQ399),"")</f>
      </c>
      <c r="AX399" s="43">
        <f>IF($A399="","",IF(TRIM(IF($A399="","Missing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",""))="","PASS","FAIL: "&amp;TRIM(IF($A399="","Missing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f>
      </c>
      <c r="AY399" s="44">
        <f>IF($M399="","",IF(ISNUMBER($M399),IF($M399&gt;=Header!$C$18,"YES — refer","No"),""))</f>
      </c>
      <c r="AZ399" s="44">
        <f>IF($AD399="","",IF(ISNUMBER($AD399),IF($AD399&lt;Header!$C$20,"BELOW MIN PREMIUM","OK"),""))</f>
      </c>
      <c r="BA399" s="32" t="inlineStr">
        <is>
          <t xml:space="preserve">Yes</t>
        </is>
      </c>
      <c r="BB399" s="32" t="inlineStr">
        <is>
          <t xml:space="preserve">Yes</t>
        </is>
      </c>
      <c r="BC399" s="30" t="inlineStr">
        <is>
          <t xml:space="preserve">Synthetic demo data</t>
        </is>
      </c>
      <c r="BE399" s="45">
        <f>IF(OR($A399="",$L399="",$H399=""),"",IF(AND(LEFT($L399,2)="06",$H399&gt;1945),"FAIL - pre-war class, year "&amp;$H399,IF(AND(LEFT($L399,2)="07",OR($H399&lt;1946,$H399&gt;1972)),"FAIL - 1946-72 class, year "&amp;$H399,IF(AND(LEFT($L399,2)="08",OR($H399&lt;1973,$H399&gt;1999)),"FAIL - 1973-99 class, year "&amp;$H399,IF(AND(LEFT($L399,2)="09",OR($H399&lt;2000,$H399&gt;2010)),"FAIL - 2000-10 class, year "&amp;$H399,"OK")))))</f>
      </c>
      <c r="BF399" s="45">
        <f>IF($AD399="","",IF(ROUND($AO399+$AP399+$AQ399-$AD399,2)=0,"OK","FAIL - out by "&amp;TEXT($AO399+$AP399+$AQ399-$AD399,"$0.00")))</f>
      </c>
    </row>
    <row r="400" spans="1:58" ht="18.75" customHeight="1" x14ac:dyDescent="0.25">
      <c r="A400" s="46" t="inlineStr">
        <is>
          <t xml:space="preserve">CANON-202606-008943</t>
        </is>
      </c>
      <c r="B400" s="46" t="inlineStr">
        <is>
          <t xml:space="preserve">Callum Castellanos</t>
        </is>
      </c>
      <c r="C400" s="47">
        <v>46194</v>
      </c>
      <c r="D400" s="48" t="inlineStr">
        <is>
          <t xml:space="preserve">Bound - within authority</t>
        </is>
      </c>
      <c r="E400" s="48" t="inlineStr">
        <is>
          <t xml:space="preserve">New business</t>
        </is>
      </c>
      <c r="F400" s="46" t="inlineStr">
        <is>
          <t xml:space="preserve">B1234EXOTIC26</t>
        </is>
      </c>
      <c r="G400" s="33">
        <f>IF($A400="","",IF($C400="","",YEAR($C400)))</f>
      </c>
      <c r="H400" s="49">
        <v>1957</v>
      </c>
      <c r="I400" s="46" t="inlineStr">
        <is>
          <t xml:space="preserve">Bentley</t>
        </is>
      </c>
      <c r="J400" s="46" t="inlineStr">
        <is>
          <t xml:space="preserve">Continental GT</t>
        </is>
      </c>
      <c r="K400" s="46" t="inlineStr">
        <is>
          <t xml:space="preserve">02FUATK8MWDSGPN7C</t>
        </is>
      </c>
      <c r="L400" s="48" t="inlineStr">
        <is>
          <t xml:space="preserve">02 - Sports / GT</t>
        </is>
      </c>
      <c r="M400" s="50">
        <v>315000</v>
      </c>
      <c r="N400" s="48" t="inlineStr">
        <is>
          <t xml:space="preserve">Personal</t>
        </is>
      </c>
      <c r="O400" s="46" t="inlineStr">
        <is>
          <t xml:space="preserve">Personal - regular use</t>
        </is>
      </c>
      <c r="P400" s="46" t="inlineStr">
        <is>
          <t xml:space="preserve">Under 1,000</t>
        </is>
      </c>
      <c r="Q400" s="46" t="inlineStr">
        <is>
          <t xml:space="preserve">Indiana</t>
        </is>
      </c>
      <c r="R400" s="46" t="inlineStr">
        <is>
          <t xml:space="preserve">46204</t>
        </is>
      </c>
      <c r="S400" s="48" t="inlineStr">
        <is>
          <t xml:space="preserve">Severe convective - hail / tornado (moderate)</t>
        </is>
      </c>
      <c r="T400" s="36">
        <f>IF($A400="","",IF($S400="","",IFERROR(INDEX('[1]natural catastrophe'!$D$6:$D$17,MATCH($S400,'[1]natural catastrophe'!$B$6:$B$17,0)),"?")))</f>
      </c>
      <c r="U400" s="46" t="inlineStr">
        <is>
          <t xml:space="preserve">$5,000</t>
        </is>
      </c>
      <c r="V400" s="48" t="inlineStr">
        <is>
          <t xml:space="preserve">Agreed Value</t>
        </is>
      </c>
      <c r="W400" s="46" t="inlineStr">
        <is>
          <t xml:space="preserve">$1,000</t>
        </is>
      </c>
      <c r="X400" s="48" t="inlineStr">
        <is>
          <t xml:space="preserve">$1,000,000 CSL</t>
        </is>
      </c>
      <c r="Y400" s="46"/>
      <c r="Z400" s="46"/>
      <c r="AA400" s="48" t="inlineStr">
        <is>
          <t xml:space="preserve">Surplus Lines</t>
        </is>
      </c>
      <c r="AB400" s="50">
        <v>4193.23</v>
      </c>
      <c r="AC400" s="51">
        <v>0</v>
      </c>
      <c r="AD400" s="38">
        <f>IF(ISNUMBER($AB400),$AB400*(1+N($AC400)),"")</f>
      </c>
      <c r="AE400" s="50">
        <v>350</v>
      </c>
      <c r="AF400" s="50">
        <v>0</v>
      </c>
      <c r="AG400" s="51"/>
      <c r="AH400" s="39">
        <f>IF(ISNUMBER($AD400),($AD400+$AE400+$AF400)*$AG400,"")</f>
      </c>
      <c r="AI400" s="50"/>
      <c r="AJ400" s="38">
        <f>IF(ISNUMBER($AD400),SUM($AD400:$AH400),"")</f>
      </c>
      <c r="AK400" s="40">
        <f>IF(AND(ISNUMBER($AB400),ISNUMBER($AD400)),IF($AB400&gt;0,$AD400/$AB400,""),"")</f>
      </c>
      <c r="AL400" s="48" t="inlineStr">
        <is>
          <t xml:space="preserve">At technical</t>
        </is>
      </c>
      <c r="AM400" s="41">
        <f>IF(ISNUMBER($AD400),Header!$I$3,"")</f>
      </c>
      <c r="AN400" s="39">
        <f>IF(ISNUMBER($AD400),$AO400+$AP400,"")</f>
      </c>
      <c r="AO400" s="39">
        <f>IF(ISNUMBER($AD400),ROUND($AD400*Header!$K$3,2),"")</f>
      </c>
      <c r="AP400" s="39">
        <f>IF(ISNUMBER($AD400),ROUND($AD400*Header!$M$3,2),"")</f>
      </c>
      <c r="AQ400" s="38">
        <f>IF(ISNUMBER($AD400),ROUND($AD400,2)-$AO400-$AP400,"")</f>
      </c>
      <c r="AR400" s="39">
        <f>IF(ISNUMBER($AD400),IF(Header!$D$34="","?",$AD400*Header!$D$34),"")</f>
      </c>
      <c r="AS400" s="39">
        <f>IF(ISNUMBER($AB400),IF(Header!$D$34="","?",$AB400*Header!$D$34),"")</f>
      </c>
      <c r="AT400" s="42">
        <f>IF(AND(ISNUMBER($AB400),$M400&gt;0),$AB400/$M400*100,"")</f>
      </c>
      <c r="AU400" s="42">
        <f>IF(AND(ISNUMBER($AD400),$M400&gt;0),$AD400/$M400*100,"")</f>
      </c>
      <c r="AV400" s="40">
        <f>IF(AND(ISNUMBER($AB400),ISNUMBER($AD400),ABS($AB400)&gt;0),$AD400/$AB400,"")</f>
      </c>
      <c r="AW400" s="39">
        <f>IF(ISNUMBER($AD400),MAX(0,(1-0.55-Header!$O$3)*Header!$Q$3*$AQ400),"")</f>
      </c>
      <c r="AX400" s="43">
        <f>IF($A400="","",IF(TRIM(IF($A400="","Missing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",""))="","PASS","FAIL: "&amp;TRIM(IF($A400="","Missing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f>
      </c>
      <c r="AY400" s="44">
        <f>IF($M400="","",IF(ISNUMBER($M400),IF($M400&gt;=Header!$C$18,"YES — refer","No"),""))</f>
      </c>
      <c r="AZ400" s="44">
        <f>IF($AD400="","",IF(ISNUMBER($AD400),IF($AD400&lt;Header!$C$20,"BELOW MIN PREMIUM","OK"),""))</f>
      </c>
      <c r="BA400" s="48" t="inlineStr">
        <is>
          <t xml:space="preserve">Yes</t>
        </is>
      </c>
      <c r="BB400" s="48" t="inlineStr">
        <is>
          <t xml:space="preserve">Yes</t>
        </is>
      </c>
      <c r="BC400" s="46" t="inlineStr">
        <is>
          <t xml:space="preserve">Synthetic demo data</t>
        </is>
      </c>
      <c r="BE400" s="45">
        <f>IF(OR($A400="",$L400="",$H400=""),"",IF(AND(LEFT($L400,2)="06",$H400&gt;1945),"FAIL - pre-war class, year "&amp;$H400,IF(AND(LEFT($L400,2)="07",OR($H400&lt;1946,$H400&gt;1972)),"FAIL - 1946-72 class, year "&amp;$H400,IF(AND(LEFT($L400,2)="08",OR($H400&lt;1973,$H400&gt;1999)),"FAIL - 1973-99 class, year "&amp;$H400,IF(AND(LEFT($L400,2)="09",OR($H400&lt;2000,$H400&gt;2010)),"FAIL - 2000-10 class, year "&amp;$H400,"OK")))))</f>
      </c>
      <c r="BF400" s="45">
        <f>IF($AD400="","",IF(ROUND($AO400+$AP400+$AQ400-$AD400,2)=0,"OK","FAIL - out by "&amp;TEXT($AO400+$AP400+$AQ400-$AD400,"$0.00")))</f>
      </c>
    </row>
    <row r="401" spans="1:58" ht="18.75" customHeight="1" x14ac:dyDescent="0.25">
      <c r="A401" s="30" t="inlineStr">
        <is>
          <t xml:space="preserve">CANON-202606-008944</t>
        </is>
      </c>
      <c r="B401" s="30" t="inlineStr">
        <is>
          <t xml:space="preserve">Emiliano Rourke</t>
        </is>
      </c>
      <c r="C401" s="31">
        <v>46199</v>
      </c>
      <c r="D401" s="32" t="inlineStr">
        <is>
          <t xml:space="preserve">Bound - within authority</t>
        </is>
      </c>
      <c r="E401" s="32" t="inlineStr">
        <is>
          <t xml:space="preserve">New business</t>
        </is>
      </c>
      <c r="F401" s="30" t="inlineStr">
        <is>
          <t xml:space="preserve">B1234EXOTIC26</t>
        </is>
      </c>
      <c r="G401" s="33">
        <f>IF($A401="","",IF($C401="","",YEAR($C401)))</f>
      </c>
      <c r="H401" s="34">
        <v>2002</v>
      </c>
      <c r="I401" s="30" t="inlineStr">
        <is>
          <t xml:space="preserve">Bugatti</t>
        </is>
      </c>
      <c r="J401" s="30" t="inlineStr">
        <is>
          <t xml:space="preserve">Type 57</t>
        </is>
      </c>
      <c r="K401" s="30" t="inlineStr">
        <is>
          <t xml:space="preserve">65MR24S2L6VX7NWFB</t>
        </is>
      </c>
      <c r="L401" s="32" t="inlineStr">
        <is>
          <t xml:space="preserve">09 - Youngtimer / Collectible (2000-2010)</t>
        </is>
      </c>
      <c r="M401" s="35">
        <v>445000</v>
      </c>
      <c r="N401" s="32" t="inlineStr">
        <is>
          <t xml:space="preserve">Personal</t>
        </is>
      </c>
      <c r="O401" s="30" t="inlineStr">
        <is>
          <t xml:space="preserve">Personal - regular use</t>
        </is>
      </c>
      <c r="P401" s="30" t="inlineStr">
        <is>
          <t xml:space="preserve">1,000 - 2,500</t>
        </is>
      </c>
      <c r="Q401" s="30" t="inlineStr">
        <is>
          <t xml:space="preserve">South Carolina</t>
        </is>
      </c>
      <c r="R401" s="30" t="inlineStr">
        <is>
          <t xml:space="preserve">29401</t>
        </is>
      </c>
      <c r="S401" s="32" t="inlineStr">
        <is>
          <t xml:space="preserve">Tier 2 - Coastal wind (1-25 miles)</t>
        </is>
      </c>
      <c r="T401" s="36">
        <f>IF($A401="","",IF($S401="","",IFERROR(INDEX('[1]natural catastrophe'!$D$6:$D$17,MATCH($S401,'[1]natural catastrophe'!$B$6:$B$17,0)),"?")))</f>
      </c>
      <c r="U401" s="30" t="inlineStr">
        <is>
          <t xml:space="preserve">2% of agreed value, minimum $10,000</t>
        </is>
      </c>
      <c r="V401" s="32" t="inlineStr">
        <is>
          <t xml:space="preserve">Agreed Value</t>
        </is>
      </c>
      <c r="W401" s="30" t="inlineStr">
        <is>
          <t xml:space="preserve">$1,000</t>
        </is>
      </c>
      <c r="X401" s="32" t="inlineStr">
        <is>
          <t xml:space="preserve">$1,000,000 CSL</t>
        </is>
      </c>
      <c r="Y401" s="30"/>
      <c r="Z401" s="30"/>
      <c r="AA401" s="32" t="inlineStr">
        <is>
          <t xml:space="preserve">Surplus Lines</t>
        </is>
      </c>
      <c r="AB401" s="35">
        <v>3344.28</v>
      </c>
      <c r="AC401" s="37">
        <v>0</v>
      </c>
      <c r="AD401" s="38">
        <f>IF(ISNUMBER($AB401),$AB401*(1+N($AC401)),"")</f>
      </c>
      <c r="AE401" s="35">
        <v>350</v>
      </c>
      <c r="AF401" s="35">
        <v>0</v>
      </c>
      <c r="AG401" s="37"/>
      <c r="AH401" s="39">
        <f>IF(ISNUMBER($AD401),($AD401+$AE401+$AF401)*$AG401,"")</f>
      </c>
      <c r="AI401" s="35"/>
      <c r="AJ401" s="38">
        <f>IF(ISNUMBER($AD401),SUM($AD401:$AH401),"")</f>
      </c>
      <c r="AK401" s="40">
        <f>IF(AND(ISNUMBER($AB401),ISNUMBER($AD401)),IF($AB401&gt;0,$AD401/$AB401,""),"")</f>
      </c>
      <c r="AL401" s="32" t="inlineStr">
        <is>
          <t xml:space="preserve">At technical</t>
        </is>
      </c>
      <c r="AM401" s="41">
        <f>IF(ISNUMBER($AD401),Header!$I$3,"")</f>
      </c>
      <c r="AN401" s="39">
        <f>IF(ISNUMBER($AD401),$AO401+$AP401,"")</f>
      </c>
      <c r="AO401" s="39">
        <f>IF(ISNUMBER($AD401),ROUND($AD401*Header!$K$3,2),"")</f>
      </c>
      <c r="AP401" s="39">
        <f>IF(ISNUMBER($AD401),ROUND($AD401*Header!$M$3,2),"")</f>
      </c>
      <c r="AQ401" s="38">
        <f>IF(ISNUMBER($AD401),ROUND($AD401,2)-$AO401-$AP401,"")</f>
      </c>
      <c r="AR401" s="39">
        <f>IF(ISNUMBER($AD401),IF(Header!$D$34="","?",$AD401*Header!$D$34),"")</f>
      </c>
      <c r="AS401" s="39">
        <f>IF(ISNUMBER($AB401),IF(Header!$D$34="","?",$AB401*Header!$D$34),"")</f>
      </c>
      <c r="AT401" s="42">
        <f>IF(AND(ISNUMBER($AB401),$M401&gt;0),$AB401/$M401*100,"")</f>
      </c>
      <c r="AU401" s="42">
        <f>IF(AND(ISNUMBER($AD401),$M401&gt;0),$AD401/$M401*100,"")</f>
      </c>
      <c r="AV401" s="40">
        <f>IF(AND(ISNUMBER($AB401),ISNUMBER($AD401),ABS($AB401)&gt;0),$AD401/$AB401,"")</f>
      </c>
      <c r="AW401" s="39">
        <f>IF(ISNUMBER($AD401),MAX(0,(1-0.55-Header!$O$3)*Header!$Q$3*$AQ401),"")</f>
      </c>
      <c r="AX401" s="43">
        <f>IF($A401="","",IF(TRIM(IF($A401="","Missing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",""))="","PASS","FAIL: "&amp;TRIM(IF($A401="","Missing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f>
      </c>
      <c r="AY401" s="44">
        <f>IF($M401="","",IF(ISNUMBER($M401),IF($M401&gt;=Header!$C$18,"YES — refer","No"),""))</f>
      </c>
      <c r="AZ401" s="44">
        <f>IF($AD401="","",IF(ISNUMBER($AD401),IF($AD401&lt;Header!$C$20,"BELOW MIN PREMIUM","OK"),""))</f>
      </c>
      <c r="BA401" s="32" t="inlineStr">
        <is>
          <t xml:space="preserve">Yes</t>
        </is>
      </c>
      <c r="BB401" s="32" t="inlineStr">
        <is>
          <t xml:space="preserve">Yes</t>
        </is>
      </c>
      <c r="BC401" s="30" t="inlineStr">
        <is>
          <t xml:space="preserve">Synthetic demo data</t>
        </is>
      </c>
      <c r="BE401" s="45">
        <f>IF(OR($A401="",$L401="",$H401=""),"",IF(AND(LEFT($L401,2)="06",$H401&gt;1945),"FAIL - pre-war class, year "&amp;$H401,IF(AND(LEFT($L401,2)="07",OR($H401&lt;1946,$H401&gt;1972)),"FAIL - 1946-72 class, year "&amp;$H401,IF(AND(LEFT($L401,2)="08",OR($H401&lt;1973,$H401&gt;1999)),"FAIL - 1973-99 class, year "&amp;$H401,IF(AND(LEFT($L401,2)="09",OR($H401&lt;2000,$H401&gt;2010)),"FAIL - 2000-10 class, year "&amp;$H401,"OK")))))</f>
      </c>
      <c r="BF401" s="45">
        <f>IF($AD401="","",IF(ROUND($AO401+$AP401+$AQ401-$AD401,2)=0,"OK","FAIL - out by "&amp;TEXT($AO401+$AP401+$AQ401-$AD401,"$0.00")))</f>
      </c>
    </row>
    <row r="402" spans="1:58" ht="18.75" customHeight="1" x14ac:dyDescent="0.25">
      <c r="A402" s="46" t="inlineStr">
        <is>
          <t xml:space="preserve">CANON-202606-008946</t>
        </is>
      </c>
      <c r="B402" s="46" t="inlineStr">
        <is>
          <t xml:space="preserve">Saoirse Harrington</t>
        </is>
      </c>
      <c r="C402" s="47">
        <v>46195</v>
      </c>
      <c r="D402" s="48" t="inlineStr">
        <is>
          <t xml:space="preserve">Bound - within authority</t>
        </is>
      </c>
      <c r="E402" s="48" t="inlineStr">
        <is>
          <t xml:space="preserve">New business</t>
        </is>
      </c>
      <c r="F402" s="46" t="inlineStr">
        <is>
          <t xml:space="preserve">B1234EXOTIC26</t>
        </is>
      </c>
      <c r="G402" s="33">
        <f>IF($A402="","",IF($C402="","",YEAR($C402)))</f>
      </c>
      <c r="H402" s="49">
        <v>1978</v>
      </c>
      <c r="I402" s="46" t="inlineStr">
        <is>
          <t xml:space="preserve">McLaren</t>
        </is>
      </c>
      <c r="J402" s="46" t="inlineStr">
        <is>
          <t xml:space="preserve">750S</t>
        </is>
      </c>
      <c r="K402" s="46" t="inlineStr">
        <is>
          <t xml:space="preserve">VFW961GX0252B9MC6</t>
        </is>
      </c>
      <c r="L402" s="48" t="inlineStr">
        <is>
          <t xml:space="preserve">03 - Supercar</t>
        </is>
      </c>
      <c r="M402" s="50">
        <v>1950000</v>
      </c>
      <c r="N402" s="48" t="inlineStr">
        <is>
          <t xml:space="preserve">Personal</t>
        </is>
      </c>
      <c r="O402" s="46" t="inlineStr">
        <is>
          <t xml:space="preserve">Personal - regular use</t>
        </is>
      </c>
      <c r="P402" s="46" t="inlineStr">
        <is>
          <t xml:space="preserve">2,500 - 5,000</t>
        </is>
      </c>
      <c r="Q402" s="46" t="inlineStr">
        <is>
          <t xml:space="preserve">Delaware</t>
        </is>
      </c>
      <c r="R402" s="46" t="inlineStr">
        <is>
          <t xml:space="preserve">19801</t>
        </is>
      </c>
      <c r="S402" s="48" t="inlineStr">
        <is>
          <t xml:space="preserve">Tier 3 - Coastal wind (25-100 miles)</t>
        </is>
      </c>
      <c r="T402" s="36">
        <f>IF($A402="","",IF($S402="","",IFERROR(INDEX('[1]natural catastrophe'!$D$6:$D$17,MATCH($S402,'[1]natural catastrophe'!$B$6:$B$17,0)),"?")))</f>
      </c>
      <c r="U402" s="46" t="inlineStr">
        <is>
          <t xml:space="preserve">2% of agreed value, minimum $10,000</t>
        </is>
      </c>
      <c r="V402" s="48" t="inlineStr">
        <is>
          <t xml:space="preserve">Agreed Value</t>
        </is>
      </c>
      <c r="W402" s="46" t="inlineStr">
        <is>
          <t xml:space="preserve">$1,000</t>
        </is>
      </c>
      <c r="X402" s="48" t="inlineStr">
        <is>
          <t xml:space="preserve">$1,000,000 CSL</t>
        </is>
      </c>
      <c r="Y402" s="46"/>
      <c r="Z402" s="46"/>
      <c r="AA402" s="48" t="inlineStr">
        <is>
          <t xml:space="preserve">Surplus Lines</t>
        </is>
      </c>
      <c r="AB402" s="50">
        <v>28138.87</v>
      </c>
      <c r="AC402" s="51">
        <v>0</v>
      </c>
      <c r="AD402" s="38">
        <f>IF(ISNUMBER($AB402),$AB402*(1+N($AC402)),"")</f>
      </c>
      <c r="AE402" s="50">
        <v>350</v>
      </c>
      <c r="AF402" s="50">
        <v>250</v>
      </c>
      <c r="AG402" s="51"/>
      <c r="AH402" s="39">
        <f>IF(ISNUMBER($AD402),($AD402+$AE402+$AF402)*$AG402,"")</f>
      </c>
      <c r="AI402" s="50"/>
      <c r="AJ402" s="38">
        <f>IF(ISNUMBER($AD402),SUM($AD402:$AH402),"")</f>
      </c>
      <c r="AK402" s="40">
        <f>IF(AND(ISNUMBER($AB402),ISNUMBER($AD402)),IF($AB402&gt;0,$AD402/$AB402,""),"")</f>
      </c>
      <c r="AL402" s="48" t="inlineStr">
        <is>
          <t xml:space="preserve">At technical</t>
        </is>
      </c>
      <c r="AM402" s="41">
        <f>IF(ISNUMBER($AD402),Header!$I$3,"")</f>
      </c>
      <c r="AN402" s="39">
        <f>IF(ISNUMBER($AD402),$AO402+$AP402,"")</f>
      </c>
      <c r="AO402" s="39">
        <f>IF(ISNUMBER($AD402),ROUND($AD402*Header!$K$3,2),"")</f>
      </c>
      <c r="AP402" s="39">
        <f>IF(ISNUMBER($AD402),ROUND($AD402*Header!$M$3,2),"")</f>
      </c>
      <c r="AQ402" s="38">
        <f>IF(ISNUMBER($AD402),ROUND($AD402,2)-$AO402-$AP402,"")</f>
      </c>
      <c r="AR402" s="39">
        <f>IF(ISNUMBER($AD402),IF(Header!$D$34="","?",$AD402*Header!$D$34),"")</f>
      </c>
      <c r="AS402" s="39">
        <f>IF(ISNUMBER($AB402),IF(Header!$D$34="","?",$AB402*Header!$D$34),"")</f>
      </c>
      <c r="AT402" s="42">
        <f>IF(AND(ISNUMBER($AB402),$M402&gt;0),$AB402/$M402*100,"")</f>
      </c>
      <c r="AU402" s="42">
        <f>IF(AND(ISNUMBER($AD402),$M402&gt;0),$AD402/$M402*100,"")</f>
      </c>
      <c r="AV402" s="40">
        <f>IF(AND(ISNUMBER($AB402),ISNUMBER($AD402),ABS($AB402)&gt;0),$AD402/$AB402,"")</f>
      </c>
      <c r="AW402" s="39">
        <f>IF(ISNUMBER($AD402),MAX(0,(1-0.55-Header!$O$3)*Header!$Q$3*$AQ402),"")</f>
      </c>
      <c r="AX402" s="43">
        <f>IF($A402="","",IF(TRIM(IF($A402="","Missing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",""))="","PASS","FAIL: "&amp;TRIM(IF($A402="","Missing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f>
      </c>
      <c r="AY402" s="44">
        <f>IF($M402="","",IF(ISNUMBER($M402),IF($M402&gt;=Header!$C$18,"YES — refer","No"),""))</f>
      </c>
      <c r="AZ402" s="44">
        <f>IF($AD402="","",IF(ISNUMBER($AD402),IF($AD402&lt;Header!$C$20,"BELOW MIN PREMIUM","OK"),""))</f>
      </c>
      <c r="BA402" s="48" t="inlineStr">
        <is>
          <t xml:space="preserve">Yes</t>
        </is>
      </c>
      <c r="BB402" s="48" t="inlineStr">
        <is>
          <t xml:space="preserve">Yes</t>
        </is>
      </c>
      <c r="BC402" s="46" t="inlineStr">
        <is>
          <t xml:space="preserve">Synthetic demo data</t>
        </is>
      </c>
      <c r="BE402" s="45">
        <f>IF(OR($A402="",$L402="",$H402=""),"",IF(AND(LEFT($L402,2)="06",$H402&gt;1945),"FAIL - pre-war class, year "&amp;$H402,IF(AND(LEFT($L402,2)="07",OR($H402&lt;1946,$H402&gt;1972)),"FAIL - 1946-72 class, year "&amp;$H402,IF(AND(LEFT($L402,2)="08",OR($H402&lt;1973,$H402&gt;1999)),"FAIL - 1973-99 class, year "&amp;$H402,IF(AND(LEFT($L402,2)="09",OR($H402&lt;2000,$H402&gt;2010)),"FAIL - 2000-10 class, year "&amp;$H402,"OK")))))</f>
      </c>
      <c r="BF402" s="45">
        <f>IF($AD402="","",IF(ROUND($AO402+$AP402+$AQ402-$AD402,2)=0,"OK","FAIL - out by "&amp;TEXT($AO402+$AP402+$AQ402-$AD402,"$0.00")))</f>
      </c>
    </row>
    <row r="403" spans="1:58" ht="18.75" customHeight="1" x14ac:dyDescent="0.25">
      <c r="A403" s="30" t="inlineStr">
        <is>
          <t xml:space="preserve">CANON-202606-008951</t>
        </is>
      </c>
      <c r="B403" s="30" t="inlineStr">
        <is>
          <t xml:space="preserve">Sunniva Delacroix</t>
        </is>
      </c>
      <c r="C403" s="31">
        <v>46189</v>
      </c>
      <c r="D403" s="32" t="inlineStr">
        <is>
          <t xml:space="preserve">Bound - within authority</t>
        </is>
      </c>
      <c r="E403" s="32" t="inlineStr">
        <is>
          <t xml:space="preserve">New business</t>
        </is>
      </c>
      <c r="F403" s="30" t="inlineStr">
        <is>
          <t xml:space="preserve">B1234EXOTIC26</t>
        </is>
      </c>
      <c r="G403" s="33">
        <f>IF($A403="","",IF($C403="","",YEAR($C403)))</f>
      </c>
      <c r="H403" s="34">
        <v>1958</v>
      </c>
      <c r="I403" s="30" t="inlineStr">
        <is>
          <t xml:space="preserve">Porsche</t>
        </is>
      </c>
      <c r="J403" s="30" t="inlineStr">
        <is>
          <t xml:space="preserve">911 Turbo S</t>
        </is>
      </c>
      <c r="K403" s="30" t="inlineStr">
        <is>
          <t xml:space="preserve">PPWP11WZ0V3AFEH7H</t>
        </is>
      </c>
      <c r="L403" s="32" t="inlineStr">
        <is>
          <t xml:space="preserve">02 - Sports / GT</t>
        </is>
      </c>
      <c r="M403" s="35">
        <v>1950000</v>
      </c>
      <c r="N403" s="32" t="inlineStr">
        <is>
          <t xml:space="preserve">Personal</t>
        </is>
      </c>
      <c r="O403" s="30" t="inlineStr">
        <is>
          <t xml:space="preserve">Personal - regular use</t>
        </is>
      </c>
      <c r="P403" s="30" t="inlineStr">
        <is>
          <t xml:space="preserve">1,000 - 2,500</t>
        </is>
      </c>
      <c r="Q403" s="30" t="inlineStr">
        <is>
          <t xml:space="preserve">Virginia</t>
        </is>
      </c>
      <c r="R403" s="30" t="inlineStr">
        <is>
          <t xml:space="preserve">23219</t>
        </is>
      </c>
      <c r="S403" s="32" t="inlineStr">
        <is>
          <t xml:space="preserve">Tier 3 - Coastal wind (25-100 miles)</t>
        </is>
      </c>
      <c r="T403" s="36">
        <f>IF($A403="","",IF($S403="","",IFERROR(INDEX('[1]natural catastrophe'!$D$6:$D$17,MATCH($S403,'[1]natural catastrophe'!$B$6:$B$17,0)),"?")))</f>
      </c>
      <c r="U403" s="30" t="inlineStr">
        <is>
          <t xml:space="preserve">2% of agreed value, minimum $10,000</t>
        </is>
      </c>
      <c r="V403" s="32" t="inlineStr">
        <is>
          <t xml:space="preserve">Agreed Value</t>
        </is>
      </c>
      <c r="W403" s="30" t="inlineStr">
        <is>
          <t xml:space="preserve">$1,000</t>
        </is>
      </c>
      <c r="X403" s="32" t="inlineStr">
        <is>
          <t xml:space="preserve">$1,000,000 CSL</t>
        </is>
      </c>
      <c r="Y403" s="30"/>
      <c r="Z403" s="30"/>
      <c r="AA403" s="32" t="inlineStr">
        <is>
          <t xml:space="preserve">Surplus Lines</t>
        </is>
      </c>
      <c r="AB403" s="35">
        <v>16869.25</v>
      </c>
      <c r="AC403" s="37">
        <v>0</v>
      </c>
      <c r="AD403" s="38">
        <f>IF(ISNUMBER($AB403),$AB403*(1+N($AC403)),"")</f>
      </c>
      <c r="AE403" s="35">
        <v>350</v>
      </c>
      <c r="AF403" s="35">
        <v>250</v>
      </c>
      <c r="AG403" s="37"/>
      <c r="AH403" s="39">
        <f>IF(ISNUMBER($AD403),($AD403+$AE403+$AF403)*$AG403,"")</f>
      </c>
      <c r="AI403" s="35"/>
      <c r="AJ403" s="38">
        <f>IF(ISNUMBER($AD403),SUM($AD403:$AH403),"")</f>
      </c>
      <c r="AK403" s="40">
        <f>IF(AND(ISNUMBER($AB403),ISNUMBER($AD403)),IF($AB403&gt;0,$AD403/$AB403,""),"")</f>
      </c>
      <c r="AL403" s="32" t="inlineStr">
        <is>
          <t xml:space="preserve">At technical</t>
        </is>
      </c>
      <c r="AM403" s="41">
        <f>IF(ISNUMBER($AD403),Header!$I$3,"")</f>
      </c>
      <c r="AN403" s="39">
        <f>IF(ISNUMBER($AD403),$AO403+$AP403,"")</f>
      </c>
      <c r="AO403" s="39">
        <f>IF(ISNUMBER($AD403),ROUND($AD403*Header!$K$3,2),"")</f>
      </c>
      <c r="AP403" s="39">
        <f>IF(ISNUMBER($AD403),ROUND($AD403*Header!$M$3,2),"")</f>
      </c>
      <c r="AQ403" s="38">
        <f>IF(ISNUMBER($AD403),ROUND($AD403,2)-$AO403-$AP403,"")</f>
      </c>
      <c r="AR403" s="39">
        <f>IF(ISNUMBER($AD403),IF(Header!$D$34="","?",$AD403*Header!$D$34),"")</f>
      </c>
      <c r="AS403" s="39">
        <f>IF(ISNUMBER($AB403),IF(Header!$D$34="","?",$AB403*Header!$D$34),"")</f>
      </c>
      <c r="AT403" s="42">
        <f>IF(AND(ISNUMBER($AB403),$M403&gt;0),$AB403/$M403*100,"")</f>
      </c>
      <c r="AU403" s="42">
        <f>IF(AND(ISNUMBER($AD403),$M403&gt;0),$AD403/$M403*100,"")</f>
      </c>
      <c r="AV403" s="40">
        <f>IF(AND(ISNUMBER($AB403),ISNUMBER($AD403),ABS($AB403)&gt;0),$AD403/$AB403,"")</f>
      </c>
      <c r="AW403" s="39">
        <f>IF(ISNUMBER($AD403),MAX(0,(1-0.55-Header!$O$3)*Header!$Q$3*$AQ403),"")</f>
      </c>
      <c r="AX403" s="43">
        <f>IF($A403="","",IF(TRIM(IF($A403="","Missing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",""))="","PASS","FAIL: "&amp;TRIM(IF($A403="","Missing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f>
      </c>
      <c r="AY403" s="44">
        <f>IF($M403="","",IF(ISNUMBER($M403),IF($M403&gt;=Header!$C$18,"YES — refer","No"),""))</f>
      </c>
      <c r="AZ403" s="44">
        <f>IF($AD403="","",IF(ISNUMBER($AD403),IF($AD403&lt;Header!$C$20,"BELOW MIN PREMIUM","OK"),""))</f>
      </c>
      <c r="BA403" s="32" t="inlineStr">
        <is>
          <t xml:space="preserve">Yes</t>
        </is>
      </c>
      <c r="BB403" s="32" t="inlineStr">
        <is>
          <t xml:space="preserve">Yes</t>
        </is>
      </c>
      <c r="BC403" s="30" t="inlineStr">
        <is>
          <t xml:space="preserve">Synthetic demo data</t>
        </is>
      </c>
      <c r="BE403" s="45">
        <f>IF(OR($A403="",$L403="",$H403=""),"",IF(AND(LEFT($L403,2)="06",$H403&gt;1945),"FAIL - pre-war class, year "&amp;$H403,IF(AND(LEFT($L403,2)="07",OR($H403&lt;1946,$H403&gt;1972)),"FAIL - 1946-72 class, year "&amp;$H403,IF(AND(LEFT($L403,2)="08",OR($H403&lt;1973,$H403&gt;1999)),"FAIL - 1973-99 class, year "&amp;$H403,IF(AND(LEFT($L403,2)="09",OR($H403&lt;2000,$H403&gt;2010)),"FAIL - 2000-10 class, year "&amp;$H403,"OK")))))</f>
      </c>
      <c r="BF403" s="45">
        <f>IF($AD403="","",IF(ROUND($AO403+$AP403+$AQ403-$AD403,2)=0,"OK","FAIL - out by "&amp;TEXT($AO403+$AP403+$AQ403-$AD403,"$0.00")))</f>
      </c>
    </row>
    <row r="404" spans="1:58" ht="18.75" customHeight="1" x14ac:dyDescent="0.25">
      <c r="A404" s="46" t="inlineStr">
        <is>
          <t xml:space="preserve">CANON-202606-008953</t>
        </is>
      </c>
      <c r="B404" s="46" t="inlineStr">
        <is>
          <t xml:space="preserve">Desmond Larsson</t>
        </is>
      </c>
      <c r="C404" s="47">
        <v>46186</v>
      </c>
      <c r="D404" s="48" t="inlineStr">
        <is>
          <t xml:space="preserve">Bound - within authority</t>
        </is>
      </c>
      <c r="E404" s="48" t="inlineStr">
        <is>
          <t xml:space="preserve">New business</t>
        </is>
      </c>
      <c r="F404" s="46" t="inlineStr">
        <is>
          <t xml:space="preserve">B1234EXOTIC26</t>
        </is>
      </c>
      <c r="G404" s="33">
        <f>IF($A404="","",IF($C404="","",YEAR($C404)))</f>
      </c>
      <c r="H404" s="49">
        <v>1963</v>
      </c>
      <c r="I404" s="46" t="inlineStr">
        <is>
          <t xml:space="preserve">BMW</t>
        </is>
      </c>
      <c r="J404" s="46" t="inlineStr">
        <is>
          <t xml:space="preserve">M8 Competition</t>
        </is>
      </c>
      <c r="K404" s="46" t="inlineStr">
        <is>
          <t xml:space="preserve">F77ZMZWRYZRC3GJSJ</t>
        </is>
      </c>
      <c r="L404" s="48" t="inlineStr">
        <is>
          <t xml:space="preserve">02 - Sports / GT</t>
        </is>
      </c>
      <c r="M404" s="50">
        <v>260000</v>
      </c>
      <c r="N404" s="48" t="inlineStr">
        <is>
          <t xml:space="preserve">Personal</t>
        </is>
      </c>
      <c r="O404" s="46" t="inlineStr">
        <is>
          <t xml:space="preserve">Personal - regular use</t>
        </is>
      </c>
      <c r="P404" s="46" t="inlineStr">
        <is>
          <t xml:space="preserve">2,500 - 5,000</t>
        </is>
      </c>
      <c r="Q404" s="46" t="inlineStr">
        <is>
          <t xml:space="preserve">Wisconsin</t>
        </is>
      </c>
      <c r="R404" s="46" t="inlineStr">
        <is>
          <t xml:space="preserve">53202</t>
        </is>
      </c>
      <c r="S404" s="48" t="inlineStr">
        <is>
          <t xml:space="preserve">Severe convective - hail / tornado (moderate)</t>
        </is>
      </c>
      <c r="T404" s="36">
        <f>IF($A404="","",IF($S404="","",IFERROR(INDEX('[1]natural catastrophe'!$D$6:$D$17,MATCH($S404,'[1]natural catastrophe'!$B$6:$B$17,0)),"?")))</f>
      </c>
      <c r="U404" s="46" t="inlineStr">
        <is>
          <t xml:space="preserve">$5,000</t>
        </is>
      </c>
      <c r="V404" s="48" t="inlineStr">
        <is>
          <t xml:space="preserve">Agreed Value</t>
        </is>
      </c>
      <c r="W404" s="46" t="inlineStr">
        <is>
          <t xml:space="preserve">$1,000</t>
        </is>
      </c>
      <c r="X404" s="48" t="inlineStr">
        <is>
          <t xml:space="preserve">$1,000,000 CSL</t>
        </is>
      </c>
      <c r="Y404" s="46"/>
      <c r="Z404" s="46"/>
      <c r="AA404" s="48" t="inlineStr">
        <is>
          <t xml:space="preserve">Surplus Lines</t>
        </is>
      </c>
      <c r="AB404" s="50">
        <v>3376.66</v>
      </c>
      <c r="AC404" s="51">
        <v>0</v>
      </c>
      <c r="AD404" s="38">
        <f>IF(ISNUMBER($AB404),$AB404*(1+N($AC404)),"")</f>
      </c>
      <c r="AE404" s="50">
        <v>350</v>
      </c>
      <c r="AF404" s="50">
        <v>0</v>
      </c>
      <c r="AG404" s="51"/>
      <c r="AH404" s="39">
        <f>IF(ISNUMBER($AD404),($AD404+$AE404+$AF404)*$AG404,"")</f>
      </c>
      <c r="AI404" s="50"/>
      <c r="AJ404" s="38">
        <f>IF(ISNUMBER($AD404),SUM($AD404:$AH404),"")</f>
      </c>
      <c r="AK404" s="40">
        <f>IF(AND(ISNUMBER($AB404),ISNUMBER($AD404)),IF($AB404&gt;0,$AD404/$AB404,""),"")</f>
      </c>
      <c r="AL404" s="48" t="inlineStr">
        <is>
          <t xml:space="preserve">At technical</t>
        </is>
      </c>
      <c r="AM404" s="41">
        <f>IF(ISNUMBER($AD404),Header!$I$3,"")</f>
      </c>
      <c r="AN404" s="39">
        <f>IF(ISNUMBER($AD404),$AO404+$AP404,"")</f>
      </c>
      <c r="AO404" s="39">
        <f>IF(ISNUMBER($AD404),ROUND($AD404*Header!$K$3,2),"")</f>
      </c>
      <c r="AP404" s="39">
        <f>IF(ISNUMBER($AD404),ROUND($AD404*Header!$M$3,2),"")</f>
      </c>
      <c r="AQ404" s="38">
        <f>IF(ISNUMBER($AD404),ROUND($AD404,2)-$AO404-$AP404,"")</f>
      </c>
      <c r="AR404" s="39">
        <f>IF(ISNUMBER($AD404),IF(Header!$D$34="","?",$AD404*Header!$D$34),"")</f>
      </c>
      <c r="AS404" s="39">
        <f>IF(ISNUMBER($AB404),IF(Header!$D$34="","?",$AB404*Header!$D$34),"")</f>
      </c>
      <c r="AT404" s="42">
        <f>IF(AND(ISNUMBER($AB404),$M404&gt;0),$AB404/$M404*100,"")</f>
      </c>
      <c r="AU404" s="42">
        <f>IF(AND(ISNUMBER($AD404),$M404&gt;0),$AD404/$M404*100,"")</f>
      </c>
      <c r="AV404" s="40">
        <f>IF(AND(ISNUMBER($AB404),ISNUMBER($AD404),ABS($AB404)&gt;0),$AD404/$AB404,"")</f>
      </c>
      <c r="AW404" s="39">
        <f>IF(ISNUMBER($AD404),MAX(0,(1-0.55-Header!$O$3)*Header!$Q$3*$AQ404),"")</f>
      </c>
      <c r="AX404" s="43">
        <f>IF($A404="","",IF(TRIM(IF($A404="","Missing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",""))="","PASS","FAIL: "&amp;TRIM(IF($A404="","Missing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f>
      </c>
      <c r="AY404" s="44">
        <f>IF($M404="","",IF(ISNUMBER($M404),IF($M404&gt;=Header!$C$18,"YES — refer","No"),""))</f>
      </c>
      <c r="AZ404" s="44">
        <f>IF($AD404="","",IF(ISNUMBER($AD404),IF($AD404&lt;Header!$C$20,"BELOW MIN PREMIUM","OK"),""))</f>
      </c>
      <c r="BA404" s="48" t="inlineStr">
        <is>
          <t xml:space="preserve">Yes</t>
        </is>
      </c>
      <c r="BB404" s="48" t="inlineStr">
        <is>
          <t xml:space="preserve">Yes</t>
        </is>
      </c>
      <c r="BC404" s="46" t="inlineStr">
        <is>
          <t xml:space="preserve">Synthetic demo data</t>
        </is>
      </c>
      <c r="BE404" s="45">
        <f>IF(OR($A404="",$L404="",$H404=""),"",IF(AND(LEFT($L404,2)="06",$H404&gt;1945),"FAIL - pre-war class, year "&amp;$H404,IF(AND(LEFT($L404,2)="07",OR($H404&lt;1946,$H404&gt;1972)),"FAIL - 1946-72 class, year "&amp;$H404,IF(AND(LEFT($L404,2)="08",OR($H404&lt;1973,$H404&gt;1999)),"FAIL - 1973-99 class, year "&amp;$H404,IF(AND(LEFT($L404,2)="09",OR($H404&lt;2000,$H404&gt;2010)),"FAIL - 2000-10 class, year "&amp;$H404,"OK")))))</f>
      </c>
      <c r="BF404" s="45">
        <f>IF($AD404="","",IF(ROUND($AO404+$AP404+$AQ404-$AD404,2)=0,"OK","FAIL - out by "&amp;TEXT($AO404+$AP404+$AQ404-$AD404,"$0.00")))</f>
      </c>
    </row>
    <row r="405" spans="1:58" ht="18.75" customHeight="1" x14ac:dyDescent="0.25">
      <c r="A405" s="30" t="inlineStr">
        <is>
          <t xml:space="preserve">CANON-202606-008954</t>
        </is>
      </c>
      <c r="B405" s="30" t="inlineStr">
        <is>
          <t xml:space="preserve">Callum Okonkwo</t>
        </is>
      </c>
      <c r="C405" s="31">
        <v>46188</v>
      </c>
      <c r="D405" s="32" t="inlineStr">
        <is>
          <t xml:space="preserve">Bound - within authority</t>
        </is>
      </c>
      <c r="E405" s="32" t="inlineStr">
        <is>
          <t xml:space="preserve">New business</t>
        </is>
      </c>
      <c r="F405" s="30" t="inlineStr">
        <is>
          <t xml:space="preserve">B1234EXOTIC26</t>
        </is>
      </c>
      <c r="G405" s="33">
        <f>IF($A405="","",IF($C405="","",YEAR($C405)))</f>
      </c>
      <c r="H405" s="34">
        <v>1961</v>
      </c>
      <c r="I405" s="30" t="inlineStr">
        <is>
          <t xml:space="preserve">BMW</t>
        </is>
      </c>
      <c r="J405" s="30" t="inlineStr">
        <is>
          <t xml:space="preserve">M8 Competition</t>
        </is>
      </c>
      <c r="K405" s="30" t="inlineStr">
        <is>
          <t xml:space="preserve">N3386N87VTP67JTTH</t>
        </is>
      </c>
      <c r="L405" s="32" t="inlineStr">
        <is>
          <t xml:space="preserve">02 - Sports / GT</t>
        </is>
      </c>
      <c r="M405" s="35">
        <v>845000</v>
      </c>
      <c r="N405" s="32" t="inlineStr">
        <is>
          <t xml:space="preserve">Personal</t>
        </is>
      </c>
      <c r="O405" s="30" t="inlineStr">
        <is>
          <t xml:space="preserve">Personal - regular use</t>
        </is>
      </c>
      <c r="P405" s="30" t="inlineStr">
        <is>
          <t xml:space="preserve">1,000 - 2,500</t>
        </is>
      </c>
      <c r="Q405" s="30" t="inlineStr">
        <is>
          <t xml:space="preserve">Massachusetts</t>
        </is>
      </c>
      <c r="R405" s="30" t="inlineStr">
        <is>
          <t xml:space="preserve">02108</t>
        </is>
      </c>
      <c r="S405" s="32" t="inlineStr">
        <is>
          <t xml:space="preserve">Tier 3 - Coastal wind (25-100 miles)</t>
        </is>
      </c>
      <c r="T405" s="36">
        <f>IF($A405="","",IF($S405="","",IFERROR(INDEX('[1]natural catastrophe'!$D$6:$D$17,MATCH($S405,'[1]natural catastrophe'!$B$6:$B$17,0)),"?")))</f>
      </c>
      <c r="U405" s="30" t="inlineStr">
        <is>
          <t xml:space="preserve">2% of agreed value, minimum $10,000</t>
        </is>
      </c>
      <c r="V405" s="32" t="inlineStr">
        <is>
          <t xml:space="preserve">Agreed Value</t>
        </is>
      </c>
      <c r="W405" s="30" t="inlineStr">
        <is>
          <t xml:space="preserve">$1,000</t>
        </is>
      </c>
      <c r="X405" s="32" t="inlineStr">
        <is>
          <t xml:space="preserve">$1,000,000 CSL</t>
        </is>
      </c>
      <c r="Y405" s="30"/>
      <c r="Z405" s="30"/>
      <c r="AA405" s="32" t="inlineStr">
        <is>
          <t xml:space="preserve">Surplus Lines</t>
        </is>
      </c>
      <c r="AB405" s="35">
        <v>9907.23</v>
      </c>
      <c r="AC405" s="37">
        <v>0</v>
      </c>
      <c r="AD405" s="38">
        <f>IF(ISNUMBER($AB405),$AB405*(1+N($AC405)),"")</f>
      </c>
      <c r="AE405" s="35">
        <v>350</v>
      </c>
      <c r="AF405" s="35">
        <v>0</v>
      </c>
      <c r="AG405" s="37"/>
      <c r="AH405" s="39">
        <f>IF(ISNUMBER($AD405),($AD405+$AE405+$AF405)*$AG405,"")</f>
      </c>
      <c r="AI405" s="35"/>
      <c r="AJ405" s="38">
        <f>IF(ISNUMBER($AD405),SUM($AD405:$AH405),"")</f>
      </c>
      <c r="AK405" s="40">
        <f>IF(AND(ISNUMBER($AB405),ISNUMBER($AD405)),IF($AB405&gt;0,$AD405/$AB405,""),"")</f>
      </c>
      <c r="AL405" s="32" t="inlineStr">
        <is>
          <t xml:space="preserve">At technical</t>
        </is>
      </c>
      <c r="AM405" s="41">
        <f>IF(ISNUMBER($AD405),Header!$I$3,"")</f>
      </c>
      <c r="AN405" s="39">
        <f>IF(ISNUMBER($AD405),$AO405+$AP405,"")</f>
      </c>
      <c r="AO405" s="39">
        <f>IF(ISNUMBER($AD405),ROUND($AD405*Header!$K$3,2),"")</f>
      </c>
      <c r="AP405" s="39">
        <f>IF(ISNUMBER($AD405),ROUND($AD405*Header!$M$3,2),"")</f>
      </c>
      <c r="AQ405" s="38">
        <f>IF(ISNUMBER($AD405),ROUND($AD405,2)-$AO405-$AP405,"")</f>
      </c>
      <c r="AR405" s="39">
        <f>IF(ISNUMBER($AD405),IF(Header!$D$34="","?",$AD405*Header!$D$34),"")</f>
      </c>
      <c r="AS405" s="39">
        <f>IF(ISNUMBER($AB405),IF(Header!$D$34="","?",$AB405*Header!$D$34),"")</f>
      </c>
      <c r="AT405" s="42">
        <f>IF(AND(ISNUMBER($AB405),$M405&gt;0),$AB405/$M405*100,"")</f>
      </c>
      <c r="AU405" s="42">
        <f>IF(AND(ISNUMBER($AD405),$M405&gt;0),$AD405/$M405*100,"")</f>
      </c>
      <c r="AV405" s="40">
        <f>IF(AND(ISNUMBER($AB405),ISNUMBER($AD405),ABS($AB405)&gt;0),$AD405/$AB405,"")</f>
      </c>
      <c r="AW405" s="39">
        <f>IF(ISNUMBER($AD405),MAX(0,(1-0.55-Header!$O$3)*Header!$Q$3*$AQ405),"")</f>
      </c>
      <c r="AX405" s="43">
        <f>IF($A405="","",IF(TRIM(IF($A405="","Missing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",""))="","PASS","FAIL: "&amp;TRIM(IF($A405="","Missing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f>
      </c>
      <c r="AY405" s="44">
        <f>IF($M405="","",IF(ISNUMBER($M405),IF($M405&gt;=Header!$C$18,"YES — refer","No"),""))</f>
      </c>
      <c r="AZ405" s="44">
        <f>IF($AD405="","",IF(ISNUMBER($AD405),IF($AD405&lt;Header!$C$20,"BELOW MIN PREMIUM","OK"),""))</f>
      </c>
      <c r="BA405" s="32" t="inlineStr">
        <is>
          <t xml:space="preserve">Yes</t>
        </is>
      </c>
      <c r="BB405" s="32" t="inlineStr">
        <is>
          <t xml:space="preserve">Yes</t>
        </is>
      </c>
      <c r="BC405" s="30" t="inlineStr">
        <is>
          <t xml:space="preserve">Synthetic demo data</t>
        </is>
      </c>
      <c r="BE405" s="45">
        <f>IF(OR($A405="",$L405="",$H405=""),"",IF(AND(LEFT($L405,2)="06",$H405&gt;1945),"FAIL - pre-war class, year "&amp;$H405,IF(AND(LEFT($L405,2)="07",OR($H405&lt;1946,$H405&gt;1972)),"FAIL - 1946-72 class, year "&amp;$H405,IF(AND(LEFT($L405,2)="08",OR($H405&lt;1973,$H405&gt;1999)),"FAIL - 1973-99 class, year "&amp;$H405,IF(AND(LEFT($L405,2)="09",OR($H405&lt;2000,$H405&gt;2010)),"FAIL - 2000-10 class, year "&amp;$H405,"OK")))))</f>
      </c>
      <c r="BF405" s="45">
        <f>IF($AD405="","",IF(ROUND($AO405+$AP405+$AQ405-$AD405,2)=0,"OK","FAIL - out by "&amp;TEXT($AO405+$AP405+$AQ405-$AD405,"$0.00")))</f>
      </c>
    </row>
    <row r="406" spans="1:58" ht="18.75" customHeight="1" x14ac:dyDescent="0.25">
      <c r="A406" s="46" t="inlineStr">
        <is>
          <t xml:space="preserve">CANON-202606-008956</t>
        </is>
      </c>
      <c r="B406" s="46" t="inlineStr">
        <is>
          <t xml:space="preserve">Cassius Okonkwo</t>
        </is>
      </c>
      <c r="C406" s="47">
        <v>46184</v>
      </c>
      <c r="D406" s="48" t="inlineStr">
        <is>
          <t xml:space="preserve">Bound - within authority</t>
        </is>
      </c>
      <c r="E406" s="48" t="inlineStr">
        <is>
          <t xml:space="preserve">New business</t>
        </is>
      </c>
      <c r="F406" s="46" t="inlineStr">
        <is>
          <t xml:space="preserve">B1234EXOTIC26</t>
        </is>
      </c>
      <c r="G406" s="33">
        <f>IF($A406="","",IF($C406="","",YEAR($C406)))</f>
      </c>
      <c r="H406" s="49">
        <v>1975</v>
      </c>
      <c r="I406" s="46" t="inlineStr">
        <is>
          <t xml:space="preserve">Aston Martin</t>
        </is>
      </c>
      <c r="J406" s="46" t="inlineStr">
        <is>
          <t xml:space="preserve">DB12</t>
        </is>
      </c>
      <c r="K406" s="46" t="inlineStr">
        <is>
          <t xml:space="preserve">3THH4CH4MCM8XTX2X</t>
        </is>
      </c>
      <c r="L406" s="48" t="inlineStr">
        <is>
          <t xml:space="preserve">02 - Sports / GT</t>
        </is>
      </c>
      <c r="M406" s="50">
        <v>685000</v>
      </c>
      <c r="N406" s="48" t="inlineStr">
        <is>
          <t xml:space="preserve">Personal</t>
        </is>
      </c>
      <c r="O406" s="46" t="inlineStr">
        <is>
          <t xml:space="preserve">Personal - regular use</t>
        </is>
      </c>
      <c r="P406" s="46" t="inlineStr">
        <is>
          <t xml:space="preserve">1,000 - 2,500</t>
        </is>
      </c>
      <c r="Q406" s="46" t="inlineStr">
        <is>
          <t xml:space="preserve">California</t>
        </is>
      </c>
      <c r="R406" s="46" t="inlineStr">
        <is>
          <t xml:space="preserve">90012</t>
        </is>
      </c>
      <c r="S406" s="48" t="inlineStr">
        <is>
          <t xml:space="preserve">Earthquake - high (CA, Cascadia, New Madrid)</t>
        </is>
      </c>
      <c r="T406" s="36">
        <f>IF($A406="","",IF($S406="","",IFERROR(INDEX('[1]natural catastrophe'!$D$6:$D$17,MATCH($S406,'[1]natural catastrophe'!$B$6:$B$17,0)),"?")))</f>
      </c>
      <c r="U406" s="46" t="inlineStr">
        <is>
          <t xml:space="preserve">$5,000</t>
        </is>
      </c>
      <c r="V406" s="48" t="inlineStr">
        <is>
          <t xml:space="preserve">Agreed Value</t>
        </is>
      </c>
      <c r="W406" s="46" t="inlineStr">
        <is>
          <t xml:space="preserve">$1,000</t>
        </is>
      </c>
      <c r="X406" s="48" t="inlineStr">
        <is>
          <t xml:space="preserve">$1,000,000 CSL</t>
        </is>
      </c>
      <c r="Y406" s="46"/>
      <c r="Z406" s="46"/>
      <c r="AA406" s="48" t="inlineStr">
        <is>
          <t xml:space="preserve">Surplus Lines</t>
        </is>
      </c>
      <c r="AB406" s="50">
        <v>8673.8</v>
      </c>
      <c r="AC406" s="51">
        <v>0</v>
      </c>
      <c r="AD406" s="38">
        <f>IF(ISNUMBER($AB406),$AB406*(1+N($AC406)),"")</f>
      </c>
      <c r="AE406" s="50">
        <v>350</v>
      </c>
      <c r="AF406" s="50">
        <v>0</v>
      </c>
      <c r="AG406" s="51"/>
      <c r="AH406" s="39">
        <f>IF(ISNUMBER($AD406),($AD406+$AE406+$AF406)*$AG406,"")</f>
      </c>
      <c r="AI406" s="50"/>
      <c r="AJ406" s="38">
        <f>IF(ISNUMBER($AD406),SUM($AD406:$AH406),"")</f>
      </c>
      <c r="AK406" s="40">
        <f>IF(AND(ISNUMBER($AB406),ISNUMBER($AD406)),IF($AB406&gt;0,$AD406/$AB406,""),"")</f>
      </c>
      <c r="AL406" s="48" t="inlineStr">
        <is>
          <t xml:space="preserve">At technical</t>
        </is>
      </c>
      <c r="AM406" s="41">
        <f>IF(ISNUMBER($AD406),Header!$I$3,"")</f>
      </c>
      <c r="AN406" s="39">
        <f>IF(ISNUMBER($AD406),$AO406+$AP406,"")</f>
      </c>
      <c r="AO406" s="39">
        <f>IF(ISNUMBER($AD406),ROUND($AD406*Header!$K$3,2),"")</f>
      </c>
      <c r="AP406" s="39">
        <f>IF(ISNUMBER($AD406),ROUND($AD406*Header!$M$3,2),"")</f>
      </c>
      <c r="AQ406" s="38">
        <f>IF(ISNUMBER($AD406),ROUND($AD406,2)-$AO406-$AP406,"")</f>
      </c>
      <c r="AR406" s="39">
        <f>IF(ISNUMBER($AD406),IF(Header!$D$34="","?",$AD406*Header!$D$34),"")</f>
      </c>
      <c r="AS406" s="39">
        <f>IF(ISNUMBER($AB406),IF(Header!$D$34="","?",$AB406*Header!$D$34),"")</f>
      </c>
      <c r="AT406" s="42">
        <f>IF(AND(ISNUMBER($AB406),$M406&gt;0),$AB406/$M406*100,"")</f>
      </c>
      <c r="AU406" s="42">
        <f>IF(AND(ISNUMBER($AD406),$M406&gt;0),$AD406/$M406*100,"")</f>
      </c>
      <c r="AV406" s="40">
        <f>IF(AND(ISNUMBER($AB406),ISNUMBER($AD406),ABS($AB406)&gt;0),$AD406/$AB406,"")</f>
      </c>
      <c r="AW406" s="39">
        <f>IF(ISNUMBER($AD406),MAX(0,(1-0.55-Header!$O$3)*Header!$Q$3*$AQ406),"")</f>
      </c>
      <c r="AX406" s="43">
        <f>IF($A406="","",IF(TRIM(IF($A406="","Missing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",""))="","PASS","FAIL: "&amp;TRIM(IF($A406="","Missing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f>
      </c>
      <c r="AY406" s="44">
        <f>IF($M406="","",IF(ISNUMBER($M406),IF($M406&gt;=Header!$C$18,"YES — refer","No"),""))</f>
      </c>
      <c r="AZ406" s="44">
        <f>IF($AD406="","",IF(ISNUMBER($AD406),IF($AD406&lt;Header!$C$20,"BELOW MIN PREMIUM","OK"),""))</f>
      </c>
      <c r="BA406" s="48" t="inlineStr">
        <is>
          <t xml:space="preserve">Yes</t>
        </is>
      </c>
      <c r="BB406" s="48" t="inlineStr">
        <is>
          <t xml:space="preserve">Yes</t>
        </is>
      </c>
      <c r="BC406" s="46" t="inlineStr">
        <is>
          <t xml:space="preserve">Synthetic demo data</t>
        </is>
      </c>
      <c r="BE406" s="45">
        <f>IF(OR($A406="",$L406="",$H406=""),"",IF(AND(LEFT($L406,2)="06",$H406&gt;1945),"FAIL - pre-war class, year "&amp;$H406,IF(AND(LEFT($L406,2)="07",OR($H406&lt;1946,$H406&gt;1972)),"FAIL - 1946-72 class, year "&amp;$H406,IF(AND(LEFT($L406,2)="08",OR($H406&lt;1973,$H406&gt;1999)),"FAIL - 1973-99 class, year "&amp;$H406,IF(AND(LEFT($L406,2)="09",OR($H406&lt;2000,$H406&gt;2010)),"FAIL - 2000-10 class, year "&amp;$H406,"OK")))))</f>
      </c>
      <c r="BF406" s="45">
        <f>IF($AD406="","",IF(ROUND($AO406+$AP406+$AQ406-$AD406,2)=0,"OK","FAIL - out by "&amp;TEXT($AO406+$AP406+$AQ406-$AD406,"$0.00")))</f>
      </c>
    </row>
    <row r="407" spans="1:58" ht="18.75" customHeight="1" x14ac:dyDescent="0.25">
      <c r="A407" s="30" t="inlineStr">
        <is>
          <t xml:space="preserve">CANON-202606-008957</t>
        </is>
      </c>
      <c r="B407" s="30" t="inlineStr">
        <is>
          <t xml:space="preserve">Callum Farkas</t>
        </is>
      </c>
      <c r="C407" s="31">
        <v>46197</v>
      </c>
      <c r="D407" s="32" t="inlineStr">
        <is>
          <t xml:space="preserve">Bound - within authority</t>
        </is>
      </c>
      <c r="E407" s="32" t="inlineStr">
        <is>
          <t xml:space="preserve">New business</t>
        </is>
      </c>
      <c r="F407" s="30" t="inlineStr">
        <is>
          <t xml:space="preserve">B1234EXOTIC26</t>
        </is>
      </c>
      <c r="G407" s="33">
        <f>IF($A407="","",IF($C407="","",YEAR($C407)))</f>
      </c>
      <c r="H407" s="34">
        <v>1967</v>
      </c>
      <c r="I407" s="30" t="inlineStr">
        <is>
          <t xml:space="preserve">McLaren</t>
        </is>
      </c>
      <c r="J407" s="30" t="inlineStr">
        <is>
          <t xml:space="preserve">750S</t>
        </is>
      </c>
      <c r="K407" s="30" t="inlineStr">
        <is>
          <t xml:space="preserve">YZGRWLGCYBJ6Z6ULP</t>
        </is>
      </c>
      <c r="L407" s="32" t="inlineStr">
        <is>
          <t xml:space="preserve">03 - Supercar</t>
        </is>
      </c>
      <c r="M407" s="35">
        <v>835000</v>
      </c>
      <c r="N407" s="32" t="inlineStr">
        <is>
          <t xml:space="preserve">Personal</t>
        </is>
      </c>
      <c r="O407" s="30" t="inlineStr">
        <is>
          <t xml:space="preserve">Personal - regular use</t>
        </is>
      </c>
      <c r="P407" s="30" t="inlineStr">
        <is>
          <t xml:space="preserve">Under 1,000</t>
        </is>
      </c>
      <c r="Q407" s="30" t="inlineStr">
        <is>
          <t xml:space="preserve">Idaho</t>
        </is>
      </c>
      <c r="R407" s="30" t="inlineStr">
        <is>
          <t xml:space="preserve">83702</t>
        </is>
      </c>
      <c r="S407" s="32" t="inlineStr">
        <is>
          <t xml:space="preserve">Wildfire - WUI high hazard</t>
        </is>
      </c>
      <c r="T407" s="36">
        <f>IF($A407="","",IF($S407="","",IFERROR(INDEX('[1]natural catastrophe'!$D$6:$D$17,MATCH($S407,'[1]natural catastrophe'!$B$6:$B$17,0)),"?")))</f>
      </c>
      <c r="U407" s="30" t="inlineStr">
        <is>
          <t xml:space="preserve">$5,000</t>
        </is>
      </c>
      <c r="V407" s="32" t="inlineStr">
        <is>
          <t xml:space="preserve">Agreed Value</t>
        </is>
      </c>
      <c r="W407" s="30" t="inlineStr">
        <is>
          <t xml:space="preserve">$1,000</t>
        </is>
      </c>
      <c r="X407" s="32" t="inlineStr">
        <is>
          <t xml:space="preserve">$1,000,000 CSL</t>
        </is>
      </c>
      <c r="Y407" s="30"/>
      <c r="Z407" s="30"/>
      <c r="AA407" s="32" t="inlineStr">
        <is>
          <t xml:space="preserve">Surplus Lines</t>
        </is>
      </c>
      <c r="AB407" s="35">
        <v>11332.28</v>
      </c>
      <c r="AC407" s="37">
        <v>0</v>
      </c>
      <c r="AD407" s="38">
        <f>IF(ISNUMBER($AB407),$AB407*(1+N($AC407)),"")</f>
      </c>
      <c r="AE407" s="35">
        <v>350</v>
      </c>
      <c r="AF407" s="35">
        <v>0</v>
      </c>
      <c r="AG407" s="37"/>
      <c r="AH407" s="39">
        <f>IF(ISNUMBER($AD407),($AD407+$AE407+$AF407)*$AG407,"")</f>
      </c>
      <c r="AI407" s="35"/>
      <c r="AJ407" s="38">
        <f>IF(ISNUMBER($AD407),SUM($AD407:$AH407),"")</f>
      </c>
      <c r="AK407" s="40">
        <f>IF(AND(ISNUMBER($AB407),ISNUMBER($AD407)),IF($AB407&gt;0,$AD407/$AB407,""),"")</f>
      </c>
      <c r="AL407" s="32" t="inlineStr">
        <is>
          <t xml:space="preserve">At technical</t>
        </is>
      </c>
      <c r="AM407" s="41">
        <f>IF(ISNUMBER($AD407),Header!$I$3,"")</f>
      </c>
      <c r="AN407" s="39">
        <f>IF(ISNUMBER($AD407),$AO407+$AP407,"")</f>
      </c>
      <c r="AO407" s="39">
        <f>IF(ISNUMBER($AD407),ROUND($AD407*Header!$K$3,2),"")</f>
      </c>
      <c r="AP407" s="39">
        <f>IF(ISNUMBER($AD407),ROUND($AD407*Header!$M$3,2),"")</f>
      </c>
      <c r="AQ407" s="38">
        <f>IF(ISNUMBER($AD407),ROUND($AD407,2)-$AO407-$AP407,"")</f>
      </c>
      <c r="AR407" s="39">
        <f>IF(ISNUMBER($AD407),IF(Header!$D$34="","?",$AD407*Header!$D$34),"")</f>
      </c>
      <c r="AS407" s="39">
        <f>IF(ISNUMBER($AB407),IF(Header!$D$34="","?",$AB407*Header!$D$34),"")</f>
      </c>
      <c r="AT407" s="42">
        <f>IF(AND(ISNUMBER($AB407),$M407&gt;0),$AB407/$M407*100,"")</f>
      </c>
      <c r="AU407" s="42">
        <f>IF(AND(ISNUMBER($AD407),$M407&gt;0),$AD407/$M407*100,"")</f>
      </c>
      <c r="AV407" s="40">
        <f>IF(AND(ISNUMBER($AB407),ISNUMBER($AD407),ABS($AB407)&gt;0),$AD407/$AB407,"")</f>
      </c>
      <c r="AW407" s="39">
        <f>IF(ISNUMBER($AD407),MAX(0,(1-0.55-Header!$O$3)*Header!$Q$3*$AQ407),"")</f>
      </c>
      <c r="AX407" s="43">
        <f>IF($A407="","",IF(TRIM(IF($A407="","Missing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",""))="","PASS","FAIL: "&amp;TRIM(IF($A407="","Missing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f>
      </c>
      <c r="AY407" s="44">
        <f>IF($M407="","",IF(ISNUMBER($M407),IF($M407&gt;=Header!$C$18,"YES — refer","No"),""))</f>
      </c>
      <c r="AZ407" s="44">
        <f>IF($AD407="","",IF(ISNUMBER($AD407),IF($AD407&lt;Header!$C$20,"BELOW MIN PREMIUM","OK"),""))</f>
      </c>
      <c r="BA407" s="32" t="inlineStr">
        <is>
          <t xml:space="preserve">Yes</t>
        </is>
      </c>
      <c r="BB407" s="32" t="inlineStr">
        <is>
          <t xml:space="preserve">Yes</t>
        </is>
      </c>
      <c r="BC407" s="30" t="inlineStr">
        <is>
          <t xml:space="preserve">Synthetic demo data</t>
        </is>
      </c>
      <c r="BE407" s="45">
        <f>IF(OR($A407="",$L407="",$H407=""),"",IF(AND(LEFT($L407,2)="06",$H407&gt;1945),"FAIL - pre-war class, year "&amp;$H407,IF(AND(LEFT($L407,2)="07",OR($H407&lt;1946,$H407&gt;1972)),"FAIL - 1946-72 class, year "&amp;$H407,IF(AND(LEFT($L407,2)="08",OR($H407&lt;1973,$H407&gt;1999)),"FAIL - 1973-99 class, year "&amp;$H407,IF(AND(LEFT($L407,2)="09",OR($H407&lt;2000,$H407&gt;2010)),"FAIL - 2000-10 class, year "&amp;$H407,"OK")))))</f>
      </c>
      <c r="BF407" s="45">
        <f>IF($AD407="","",IF(ROUND($AO407+$AP407+$AQ407-$AD407,2)=0,"OK","FAIL - out by "&amp;TEXT($AO407+$AP407+$AQ407-$AD407,"$0.00")))</f>
      </c>
    </row>
    <row r="408" spans="1:58" ht="18.75" customHeight="1" x14ac:dyDescent="0.25">
      <c r="A408" s="46" t="inlineStr">
        <is>
          <t xml:space="preserve">CANON-202606-008959</t>
        </is>
      </c>
      <c r="B408" s="46" t="inlineStr">
        <is>
          <t xml:space="preserve">Ramona Thistlewood</t>
        </is>
      </c>
      <c r="C408" s="47">
        <v>46196</v>
      </c>
      <c r="D408" s="48" t="inlineStr">
        <is>
          <t xml:space="preserve">Bound - within authority</t>
        </is>
      </c>
      <c r="E408" s="48" t="inlineStr">
        <is>
          <t xml:space="preserve">New business</t>
        </is>
      </c>
      <c r="F408" s="46" t="inlineStr">
        <is>
          <t xml:space="preserve">B1234EXOTIC26</t>
        </is>
      </c>
      <c r="G408" s="33">
        <f>IF($A408="","",IF($C408="","",YEAR($C408)))</f>
      </c>
      <c r="H408" s="49">
        <v>1971</v>
      </c>
      <c r="I408" s="46" t="inlineStr">
        <is>
          <t xml:space="preserve">Maserati</t>
        </is>
      </c>
      <c r="J408" s="46" t="inlineStr">
        <is>
          <t xml:space="preserve">GranTurismo</t>
        </is>
      </c>
      <c r="K408" s="46" t="inlineStr">
        <is>
          <t xml:space="preserve">Z6SMVHEALK6TNPYFW</t>
        </is>
      </c>
      <c r="L408" s="48" t="inlineStr">
        <is>
          <t xml:space="preserve">02 - Sports / GT</t>
        </is>
      </c>
      <c r="M408" s="50">
        <v>310000</v>
      </c>
      <c r="N408" s="48" t="inlineStr">
        <is>
          <t xml:space="preserve">Personal</t>
        </is>
      </c>
      <c r="O408" s="46" t="inlineStr">
        <is>
          <t xml:space="preserve">Personal - regular use</t>
        </is>
      </c>
      <c r="P408" s="46" t="inlineStr">
        <is>
          <t xml:space="preserve">1,000 - 2,500</t>
        </is>
      </c>
      <c r="Q408" s="46" t="inlineStr">
        <is>
          <t xml:space="preserve">Hawaii</t>
        </is>
      </c>
      <c r="R408" s="46" t="inlineStr">
        <is>
          <t xml:space="preserve">96813</t>
        </is>
      </c>
      <c r="S408" s="48" t="inlineStr">
        <is>
          <t xml:space="preserve">Earthquake - high (CA, Cascadia, New Madrid)</t>
        </is>
      </c>
      <c r="T408" s="36">
        <f>IF($A408="","",IF($S408="","",IFERROR(INDEX('[1]natural catastrophe'!$D$6:$D$17,MATCH($S408,'[1]natural catastrophe'!$B$6:$B$17,0)),"?")))</f>
      </c>
      <c r="U408" s="46" t="inlineStr">
        <is>
          <t xml:space="preserve">$5,000</t>
        </is>
      </c>
      <c r="V408" s="48" t="inlineStr">
        <is>
          <t xml:space="preserve">Agreed Value</t>
        </is>
      </c>
      <c r="W408" s="46" t="inlineStr">
        <is>
          <t xml:space="preserve">$1,000</t>
        </is>
      </c>
      <c r="X408" s="48" t="inlineStr">
        <is>
          <t xml:space="preserve">$1,000,000 CSL</t>
        </is>
      </c>
      <c r="Y408" s="46"/>
      <c r="Z408" s="46"/>
      <c r="AA408" s="48" t="inlineStr">
        <is>
          <t xml:space="preserve">Surplus Lines</t>
        </is>
      </c>
      <c r="AB408" s="50">
        <v>4361.52</v>
      </c>
      <c r="AC408" s="51">
        <v>0</v>
      </c>
      <c r="AD408" s="38">
        <f>IF(ISNUMBER($AB408),$AB408*(1+N($AC408)),"")</f>
      </c>
      <c r="AE408" s="50">
        <v>350</v>
      </c>
      <c r="AF408" s="50">
        <v>0</v>
      </c>
      <c r="AG408" s="51"/>
      <c r="AH408" s="39">
        <f>IF(ISNUMBER($AD408),($AD408+$AE408+$AF408)*$AG408,"")</f>
      </c>
      <c r="AI408" s="50"/>
      <c r="AJ408" s="38">
        <f>IF(ISNUMBER($AD408),SUM($AD408:$AH408),"")</f>
      </c>
      <c r="AK408" s="40">
        <f>IF(AND(ISNUMBER($AB408),ISNUMBER($AD408)),IF($AB408&gt;0,$AD408/$AB408,""),"")</f>
      </c>
      <c r="AL408" s="48" t="inlineStr">
        <is>
          <t xml:space="preserve">At technical</t>
        </is>
      </c>
      <c r="AM408" s="41">
        <f>IF(ISNUMBER($AD408),Header!$I$3,"")</f>
      </c>
      <c r="AN408" s="39">
        <f>IF(ISNUMBER($AD408),$AO408+$AP408,"")</f>
      </c>
      <c r="AO408" s="39">
        <f>IF(ISNUMBER($AD408),ROUND($AD408*Header!$K$3,2),"")</f>
      </c>
      <c r="AP408" s="39">
        <f>IF(ISNUMBER($AD408),ROUND($AD408*Header!$M$3,2),"")</f>
      </c>
      <c r="AQ408" s="38">
        <f>IF(ISNUMBER($AD408),ROUND($AD408,2)-$AO408-$AP408,"")</f>
      </c>
      <c r="AR408" s="39">
        <f>IF(ISNUMBER($AD408),IF(Header!$D$34="","?",$AD408*Header!$D$34),"")</f>
      </c>
      <c r="AS408" s="39">
        <f>IF(ISNUMBER($AB408),IF(Header!$D$34="","?",$AB408*Header!$D$34),"")</f>
      </c>
      <c r="AT408" s="42">
        <f>IF(AND(ISNUMBER($AB408),$M408&gt;0),$AB408/$M408*100,"")</f>
      </c>
      <c r="AU408" s="42">
        <f>IF(AND(ISNUMBER($AD408),$M408&gt;0),$AD408/$M408*100,"")</f>
      </c>
      <c r="AV408" s="40">
        <f>IF(AND(ISNUMBER($AB408),ISNUMBER($AD408),ABS($AB408)&gt;0),$AD408/$AB408,"")</f>
      </c>
      <c r="AW408" s="39">
        <f>IF(ISNUMBER($AD408),MAX(0,(1-0.55-Header!$O$3)*Header!$Q$3*$AQ408),"")</f>
      </c>
      <c r="AX408" s="43">
        <f>IF($A408="","",IF(TRIM(IF($A408="","Missing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",""))="","PASS","FAIL: "&amp;TRIM(IF($A408="","Missing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f>
      </c>
      <c r="AY408" s="44">
        <f>IF($M408="","",IF(ISNUMBER($M408),IF($M408&gt;=Header!$C$18,"YES — refer","No"),""))</f>
      </c>
      <c r="AZ408" s="44">
        <f>IF($AD408="","",IF(ISNUMBER($AD408),IF($AD408&lt;Header!$C$20,"BELOW MIN PREMIUM","OK"),""))</f>
      </c>
      <c r="BA408" s="48" t="inlineStr">
        <is>
          <t xml:space="preserve">Yes</t>
        </is>
      </c>
      <c r="BB408" s="48" t="inlineStr">
        <is>
          <t xml:space="preserve">Yes</t>
        </is>
      </c>
      <c r="BC408" s="46" t="inlineStr">
        <is>
          <t xml:space="preserve">Synthetic demo data</t>
        </is>
      </c>
      <c r="BE408" s="45">
        <f>IF(OR($A408="",$L408="",$H408=""),"",IF(AND(LEFT($L408,2)="06",$H408&gt;1945),"FAIL - pre-war class, year "&amp;$H408,IF(AND(LEFT($L408,2)="07",OR($H408&lt;1946,$H408&gt;1972)),"FAIL - 1946-72 class, year "&amp;$H408,IF(AND(LEFT($L408,2)="08",OR($H408&lt;1973,$H408&gt;1999)),"FAIL - 1973-99 class, year "&amp;$H408,IF(AND(LEFT($L408,2)="09",OR($H408&lt;2000,$H408&gt;2010)),"FAIL - 2000-10 class, year "&amp;$H408,"OK")))))</f>
      </c>
      <c r="BF408" s="45">
        <f>IF($AD408="","",IF(ROUND($AO408+$AP408+$AQ408-$AD408,2)=0,"OK","FAIL - out by "&amp;TEXT($AO408+$AP408+$AQ408-$AD408,"$0.00")))</f>
      </c>
    </row>
    <row r="409" spans="1:58" ht="18.75" customHeight="1" x14ac:dyDescent="0.25">
      <c r="A409" s="30" t="inlineStr">
        <is>
          <t xml:space="preserve">CANON-202606-008960</t>
        </is>
      </c>
      <c r="B409" s="30" t="inlineStr">
        <is>
          <t xml:space="preserve">Fenwick Underwood</t>
        </is>
      </c>
      <c r="C409" s="31">
        <v>46199</v>
      </c>
      <c r="D409" s="32" t="inlineStr">
        <is>
          <t xml:space="preserve">Bound - within authority</t>
        </is>
      </c>
      <c r="E409" s="32" t="inlineStr">
        <is>
          <t xml:space="preserve">New business</t>
        </is>
      </c>
      <c r="F409" s="30" t="inlineStr">
        <is>
          <t xml:space="preserve">B1234EXOTIC26</t>
        </is>
      </c>
      <c r="G409" s="33">
        <f>IF($A409="","",IF($C409="","",YEAR($C409)))</f>
      </c>
      <c r="H409" s="34">
        <v>2022</v>
      </c>
      <c r="I409" s="30" t="inlineStr">
        <is>
          <t xml:space="preserve">Ferrari</t>
        </is>
      </c>
      <c r="J409" s="30" t="inlineStr">
        <is>
          <t xml:space="preserve">SF90 Stradale</t>
        </is>
      </c>
      <c r="K409" s="30" t="inlineStr">
        <is>
          <t xml:space="preserve">DN60RYKE4GG7MEEY2</t>
        </is>
      </c>
      <c r="L409" s="32" t="inlineStr">
        <is>
          <t xml:space="preserve">03 - Supercar</t>
        </is>
      </c>
      <c r="M409" s="35">
        <v>825000</v>
      </c>
      <c r="N409" s="32" t="inlineStr">
        <is>
          <t xml:space="preserve">Personal</t>
        </is>
      </c>
      <c r="O409" s="30" t="inlineStr">
        <is>
          <t xml:space="preserve">Personal - regular use</t>
        </is>
      </c>
      <c r="P409" s="30" t="inlineStr">
        <is>
          <t xml:space="preserve">2,500 - 5,000</t>
        </is>
      </c>
      <c r="Q409" s="30" t="inlineStr">
        <is>
          <t xml:space="preserve">South Carolina</t>
        </is>
      </c>
      <c r="R409" s="30" t="inlineStr">
        <is>
          <t xml:space="preserve">29401</t>
        </is>
      </c>
      <c r="S409" s="32" t="inlineStr">
        <is>
          <t xml:space="preserve">Tier 2 - Coastal wind (1-25 miles)</t>
        </is>
      </c>
      <c r="T409" s="36">
        <f>IF($A409="","",IF($S409="","",IFERROR(INDEX('[1]natural catastrophe'!$D$6:$D$17,MATCH($S409,'[1]natural catastrophe'!$B$6:$B$17,0)),"?")))</f>
      </c>
      <c r="U409" s="30" t="inlineStr">
        <is>
          <t xml:space="preserve">2% of agreed value, minimum $10,000</t>
        </is>
      </c>
      <c r="V409" s="32" t="inlineStr">
        <is>
          <t xml:space="preserve">Agreed Value</t>
        </is>
      </c>
      <c r="W409" s="30" t="inlineStr">
        <is>
          <t xml:space="preserve">$1,000</t>
        </is>
      </c>
      <c r="X409" s="32" t="inlineStr">
        <is>
          <t xml:space="preserve">$1,000,000 CSL</t>
        </is>
      </c>
      <c r="Y409" s="30"/>
      <c r="Z409" s="30"/>
      <c r="AA409" s="32" t="inlineStr">
        <is>
          <t xml:space="preserve">Surplus Lines</t>
        </is>
      </c>
      <c r="AB409" s="35">
        <v>14023.98</v>
      </c>
      <c r="AC409" s="37">
        <v>0</v>
      </c>
      <c r="AD409" s="38">
        <f>IF(ISNUMBER($AB409),$AB409*(1+N($AC409)),"")</f>
      </c>
      <c r="AE409" s="35">
        <v>350</v>
      </c>
      <c r="AF409" s="35">
        <v>0</v>
      </c>
      <c r="AG409" s="37"/>
      <c r="AH409" s="39">
        <f>IF(ISNUMBER($AD409),($AD409+$AE409+$AF409)*$AG409,"")</f>
      </c>
      <c r="AI409" s="35"/>
      <c r="AJ409" s="38">
        <f>IF(ISNUMBER($AD409),SUM($AD409:$AH409),"")</f>
      </c>
      <c r="AK409" s="40">
        <f>IF(AND(ISNUMBER($AB409),ISNUMBER($AD409)),IF($AB409&gt;0,$AD409/$AB409,""),"")</f>
      </c>
      <c r="AL409" s="32" t="inlineStr">
        <is>
          <t xml:space="preserve">At technical</t>
        </is>
      </c>
      <c r="AM409" s="41">
        <f>IF(ISNUMBER($AD409),Header!$I$3,"")</f>
      </c>
      <c r="AN409" s="39">
        <f>IF(ISNUMBER($AD409),$AO409+$AP409,"")</f>
      </c>
      <c r="AO409" s="39">
        <f>IF(ISNUMBER($AD409),ROUND($AD409*Header!$K$3,2),"")</f>
      </c>
      <c r="AP409" s="39">
        <f>IF(ISNUMBER($AD409),ROUND($AD409*Header!$M$3,2),"")</f>
      </c>
      <c r="AQ409" s="38">
        <f>IF(ISNUMBER($AD409),ROUND($AD409,2)-$AO409-$AP409,"")</f>
      </c>
      <c r="AR409" s="39">
        <f>IF(ISNUMBER($AD409),IF(Header!$D$34="","?",$AD409*Header!$D$34),"")</f>
      </c>
      <c r="AS409" s="39">
        <f>IF(ISNUMBER($AB409),IF(Header!$D$34="","?",$AB409*Header!$D$34),"")</f>
      </c>
      <c r="AT409" s="42">
        <f>IF(AND(ISNUMBER($AB409),$M409&gt;0),$AB409/$M409*100,"")</f>
      </c>
      <c r="AU409" s="42">
        <f>IF(AND(ISNUMBER($AD409),$M409&gt;0),$AD409/$M409*100,"")</f>
      </c>
      <c r="AV409" s="40">
        <f>IF(AND(ISNUMBER($AB409),ISNUMBER($AD409),ABS($AB409)&gt;0),$AD409/$AB409,"")</f>
      </c>
      <c r="AW409" s="39">
        <f>IF(ISNUMBER($AD409),MAX(0,(1-0.55-Header!$O$3)*Header!$Q$3*$AQ409),"")</f>
      </c>
      <c r="AX409" s="43">
        <f>IF($A409="","",IF(TRIM(IF($A409="","Missing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",""))="","PASS","FAIL: "&amp;TRIM(IF($A409="","Missing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f>
      </c>
      <c r="AY409" s="44">
        <f>IF($M409="","",IF(ISNUMBER($M409),IF($M409&gt;=Header!$C$18,"YES — refer","No"),""))</f>
      </c>
      <c r="AZ409" s="44">
        <f>IF($AD409="","",IF(ISNUMBER($AD409),IF($AD409&lt;Header!$C$20,"BELOW MIN PREMIUM","OK"),""))</f>
      </c>
      <c r="BA409" s="32" t="inlineStr">
        <is>
          <t xml:space="preserve">Yes</t>
        </is>
      </c>
      <c r="BB409" s="32" t="inlineStr">
        <is>
          <t xml:space="preserve">Yes</t>
        </is>
      </c>
      <c r="BC409" s="30" t="inlineStr">
        <is>
          <t xml:space="preserve">Synthetic demo data</t>
        </is>
      </c>
      <c r="BE409" s="45">
        <f>IF(OR($A409="",$L409="",$H409=""),"",IF(AND(LEFT($L409,2)="06",$H409&gt;1945),"FAIL - pre-war class, year "&amp;$H409,IF(AND(LEFT($L409,2)="07",OR($H409&lt;1946,$H409&gt;1972)),"FAIL - 1946-72 class, year "&amp;$H409,IF(AND(LEFT($L409,2)="08",OR($H409&lt;1973,$H409&gt;1999)),"FAIL - 1973-99 class, year "&amp;$H409,IF(AND(LEFT($L409,2)="09",OR($H409&lt;2000,$H409&gt;2010)),"FAIL - 2000-10 class, year "&amp;$H409,"OK")))))</f>
      </c>
      <c r="BF409" s="45">
        <f>IF($AD409="","",IF(ROUND($AO409+$AP409+$AQ409-$AD409,2)=0,"OK","FAIL - out by "&amp;TEXT($AO409+$AP409+$AQ409-$AD409,"$0.00")))</f>
      </c>
    </row>
    <row r="410" spans="1:58" ht="18.75" customHeight="1" x14ac:dyDescent="0.25">
      <c r="A410" s="46" t="inlineStr">
        <is>
          <t xml:space="preserve">CANON-202606-008961</t>
        </is>
      </c>
      <c r="B410" s="46" t="inlineStr">
        <is>
          <t xml:space="preserve">Mireille Castellanos</t>
        </is>
      </c>
      <c r="C410" s="47">
        <v>46191</v>
      </c>
      <c r="D410" s="48" t="inlineStr">
        <is>
          <t xml:space="preserve">Bound - within authority</t>
        </is>
      </c>
      <c r="E410" s="48" t="inlineStr">
        <is>
          <t xml:space="preserve">New business</t>
        </is>
      </c>
      <c r="F410" s="46" t="inlineStr">
        <is>
          <t xml:space="preserve">B1234EXOTIC26</t>
        </is>
      </c>
      <c r="G410" s="33">
        <f>IF($A410="","",IF($C410="","",YEAR($C410)))</f>
      </c>
      <c r="H410" s="49">
        <v>1995</v>
      </c>
      <c r="I410" s="46" t="inlineStr">
        <is>
          <t xml:space="preserve">Aston Martin</t>
        </is>
      </c>
      <c r="J410" s="46" t="inlineStr">
        <is>
          <t xml:space="preserve">DB5</t>
        </is>
      </c>
      <c r="K410" s="46" t="inlineStr">
        <is>
          <t xml:space="preserve">HDXETEE3MD3ZHZ7FT</t>
        </is>
      </c>
      <c r="L410" s="48" t="inlineStr">
        <is>
          <t xml:space="preserve">08 - Modern Classic (1973-1999)</t>
        </is>
      </c>
      <c r="M410" s="50">
        <v>770000</v>
      </c>
      <c r="N410" s="48" t="inlineStr">
        <is>
          <t xml:space="preserve">Personal</t>
        </is>
      </c>
      <c r="O410" s="46" t="inlineStr">
        <is>
          <t xml:space="preserve">Personal - regular use</t>
        </is>
      </c>
      <c r="P410" s="46" t="inlineStr">
        <is>
          <t xml:space="preserve">Under 1,000</t>
        </is>
      </c>
      <c r="Q410" s="46" t="inlineStr">
        <is>
          <t xml:space="preserve">Florida</t>
        </is>
      </c>
      <c r="R410" s="46" t="inlineStr">
        <is>
          <t xml:space="preserve">33139</t>
        </is>
      </c>
      <c r="S410" s="48" t="inlineStr">
        <is>
          <t xml:space="preserve">Tier 2 - Coastal wind (1-25 miles)</t>
        </is>
      </c>
      <c r="T410" s="36">
        <f>IF($A410="","",IF($S410="","",IFERROR(INDEX('[1]natural catastrophe'!$D$6:$D$17,MATCH($S410,'[1]natural catastrophe'!$B$6:$B$17,0)),"?")))</f>
      </c>
      <c r="U410" s="46" t="inlineStr">
        <is>
          <t xml:space="preserve">2% of agreed value, minimum $10,000</t>
        </is>
      </c>
      <c r="V410" s="48" t="inlineStr">
        <is>
          <t xml:space="preserve">Agreed Value</t>
        </is>
      </c>
      <c r="W410" s="46" t="inlineStr">
        <is>
          <t xml:space="preserve">$1,000</t>
        </is>
      </c>
      <c r="X410" s="48" t="inlineStr">
        <is>
          <t xml:space="preserve">$1,000,000 CSL</t>
        </is>
      </c>
      <c r="Y410" s="46"/>
      <c r="Z410" s="46"/>
      <c r="AA410" s="48" t="inlineStr">
        <is>
          <t xml:space="preserve">Surplus Lines</t>
        </is>
      </c>
      <c r="AB410" s="50">
        <v>6784.53</v>
      </c>
      <c r="AC410" s="51">
        <v>0</v>
      </c>
      <c r="AD410" s="38">
        <f>IF(ISNUMBER($AB410),$AB410*(1+N($AC410)),"")</f>
      </c>
      <c r="AE410" s="50">
        <v>350</v>
      </c>
      <c r="AF410" s="50">
        <v>0</v>
      </c>
      <c r="AG410" s="51"/>
      <c r="AH410" s="39">
        <f>IF(ISNUMBER($AD410),($AD410+$AE410+$AF410)*$AG410,"")</f>
      </c>
      <c r="AI410" s="50"/>
      <c r="AJ410" s="38">
        <f>IF(ISNUMBER($AD410),SUM($AD410:$AH410),"")</f>
      </c>
      <c r="AK410" s="40">
        <f>IF(AND(ISNUMBER($AB410),ISNUMBER($AD410)),IF($AB410&gt;0,$AD410/$AB410,""),"")</f>
      </c>
      <c r="AL410" s="48" t="inlineStr">
        <is>
          <t xml:space="preserve">At technical</t>
        </is>
      </c>
      <c r="AM410" s="41">
        <f>IF(ISNUMBER($AD410),Header!$I$3,"")</f>
      </c>
      <c r="AN410" s="39">
        <f>IF(ISNUMBER($AD410),$AO410+$AP410,"")</f>
      </c>
      <c r="AO410" s="39">
        <f>IF(ISNUMBER($AD410),ROUND($AD410*Header!$K$3,2),"")</f>
      </c>
      <c r="AP410" s="39">
        <f>IF(ISNUMBER($AD410),ROUND($AD410*Header!$M$3,2),"")</f>
      </c>
      <c r="AQ410" s="38">
        <f>IF(ISNUMBER($AD410),ROUND($AD410,2)-$AO410-$AP410,"")</f>
      </c>
      <c r="AR410" s="39">
        <f>IF(ISNUMBER($AD410),IF(Header!$D$34="","?",$AD410*Header!$D$34),"")</f>
      </c>
      <c r="AS410" s="39">
        <f>IF(ISNUMBER($AB410),IF(Header!$D$34="","?",$AB410*Header!$D$34),"")</f>
      </c>
      <c r="AT410" s="42">
        <f>IF(AND(ISNUMBER($AB410),$M410&gt;0),$AB410/$M410*100,"")</f>
      </c>
      <c r="AU410" s="42">
        <f>IF(AND(ISNUMBER($AD410),$M410&gt;0),$AD410/$M410*100,"")</f>
      </c>
      <c r="AV410" s="40">
        <f>IF(AND(ISNUMBER($AB410),ISNUMBER($AD410),ABS($AB410)&gt;0),$AD410/$AB410,"")</f>
      </c>
      <c r="AW410" s="39">
        <f>IF(ISNUMBER($AD410),MAX(0,(1-0.55-Header!$O$3)*Header!$Q$3*$AQ410),"")</f>
      </c>
      <c r="AX410" s="43">
        <f>IF($A410="","",IF(TRIM(IF($A410="","Missing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",""))="","PASS","FAIL: "&amp;TRIM(IF($A410="","Missing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f>
      </c>
      <c r="AY410" s="44">
        <f>IF($M410="","",IF(ISNUMBER($M410),IF($M410&gt;=Header!$C$18,"YES — refer","No"),""))</f>
      </c>
      <c r="AZ410" s="44">
        <f>IF($AD410="","",IF(ISNUMBER($AD410),IF($AD410&lt;Header!$C$20,"BELOW MIN PREMIUM","OK"),""))</f>
      </c>
      <c r="BA410" s="48" t="inlineStr">
        <is>
          <t xml:space="preserve">Yes</t>
        </is>
      </c>
      <c r="BB410" s="48" t="inlineStr">
        <is>
          <t xml:space="preserve">Yes</t>
        </is>
      </c>
      <c r="BC410" s="46" t="inlineStr">
        <is>
          <t xml:space="preserve">Synthetic demo data</t>
        </is>
      </c>
      <c r="BE410" s="45">
        <f>IF(OR($A410="",$L410="",$H410=""),"",IF(AND(LEFT($L410,2)="06",$H410&gt;1945),"FAIL - pre-war class, year "&amp;$H410,IF(AND(LEFT($L410,2)="07",OR($H410&lt;1946,$H410&gt;1972)),"FAIL - 1946-72 class, year "&amp;$H410,IF(AND(LEFT($L410,2)="08",OR($H410&lt;1973,$H410&gt;1999)),"FAIL - 1973-99 class, year "&amp;$H410,IF(AND(LEFT($L410,2)="09",OR($H410&lt;2000,$H410&gt;2010)),"FAIL - 2000-10 class, year "&amp;$H410,"OK")))))</f>
      </c>
      <c r="BF410" s="45">
        <f>IF($AD410="","",IF(ROUND($AO410+$AP410+$AQ410-$AD410,2)=0,"OK","FAIL - out by "&amp;TEXT($AO410+$AP410+$AQ410-$AD410,"$0.00")))</f>
      </c>
    </row>
    <row r="411" spans="1:58" ht="18.75" customHeight="1" x14ac:dyDescent="0.25">
      <c r="A411" s="30" t="inlineStr">
        <is>
          <t xml:space="preserve">CANON-202606-008964</t>
        </is>
      </c>
      <c r="B411" s="30" t="inlineStr">
        <is>
          <t xml:space="preserve">Ramona Okonkwo</t>
        </is>
      </c>
      <c r="C411" s="31">
        <v>46187</v>
      </c>
      <c r="D411" s="32" t="inlineStr">
        <is>
          <t xml:space="preserve">Bound - within authority</t>
        </is>
      </c>
      <c r="E411" s="32" t="inlineStr">
        <is>
          <t xml:space="preserve">New business</t>
        </is>
      </c>
      <c r="F411" s="30" t="inlineStr">
        <is>
          <t xml:space="preserve">B1234EXOTIC26</t>
        </is>
      </c>
      <c r="G411" s="33">
        <f>IF($A411="","",IF($C411="","",YEAR($C411)))</f>
      </c>
      <c r="H411" s="34">
        <v>2001</v>
      </c>
      <c r="I411" s="30" t="inlineStr">
        <is>
          <t xml:space="preserve">Aston Martin</t>
        </is>
      </c>
      <c r="J411" s="30" t="inlineStr">
        <is>
          <t xml:space="preserve">DB12</t>
        </is>
      </c>
      <c r="K411" s="30" t="inlineStr">
        <is>
          <t xml:space="preserve">1PJ5SMTK1RX6F7HYY</t>
        </is>
      </c>
      <c r="L411" s="32" t="inlineStr">
        <is>
          <t xml:space="preserve">02 - Sports / GT</t>
        </is>
      </c>
      <c r="M411" s="35">
        <v>910000</v>
      </c>
      <c r="N411" s="32" t="inlineStr">
        <is>
          <t xml:space="preserve">Personal</t>
        </is>
      </c>
      <c r="O411" s="30" t="inlineStr">
        <is>
          <t xml:space="preserve">Personal - regular use</t>
        </is>
      </c>
      <c r="P411" s="30" t="inlineStr">
        <is>
          <t xml:space="preserve">Under 1,000</t>
        </is>
      </c>
      <c r="Q411" s="30" t="inlineStr">
        <is>
          <t xml:space="preserve">Ohio</t>
        </is>
      </c>
      <c r="R411" s="30" t="inlineStr">
        <is>
          <t xml:space="preserve">43215</t>
        </is>
      </c>
      <c r="S411" s="32" t="inlineStr">
        <is>
          <t xml:space="preserve">Severe convective - hail / tornado (moderate)</t>
        </is>
      </c>
      <c r="T411" s="36">
        <f>IF($A411="","",IF($S411="","",IFERROR(INDEX('[1]natural catastrophe'!$D$6:$D$17,MATCH($S411,'[1]natural catastrophe'!$B$6:$B$17,0)),"?")))</f>
      </c>
      <c r="U411" s="30" t="inlineStr">
        <is>
          <t xml:space="preserve">$5,000</t>
        </is>
      </c>
      <c r="V411" s="32" t="inlineStr">
        <is>
          <t xml:space="preserve">Agreed Value</t>
        </is>
      </c>
      <c r="W411" s="30" t="inlineStr">
        <is>
          <t xml:space="preserve">$1,000</t>
        </is>
      </c>
      <c r="X411" s="32" t="inlineStr">
        <is>
          <t xml:space="preserve">$1,000,000 CSL</t>
        </is>
      </c>
      <c r="Y411" s="30"/>
      <c r="Z411" s="30"/>
      <c r="AA411" s="32" t="inlineStr">
        <is>
          <t xml:space="preserve">Surplus Lines</t>
        </is>
      </c>
      <c r="AB411" s="35">
        <v>11864.28</v>
      </c>
      <c r="AC411" s="37">
        <v>0</v>
      </c>
      <c r="AD411" s="38">
        <f>IF(ISNUMBER($AB411),$AB411*(1+N($AC411)),"")</f>
      </c>
      <c r="AE411" s="35">
        <v>350</v>
      </c>
      <c r="AF411" s="35">
        <v>0</v>
      </c>
      <c r="AG411" s="37"/>
      <c r="AH411" s="39">
        <f>IF(ISNUMBER($AD411),($AD411+$AE411+$AF411)*$AG411,"")</f>
      </c>
      <c r="AI411" s="35"/>
      <c r="AJ411" s="38">
        <f>IF(ISNUMBER($AD411),SUM($AD411:$AH411),"")</f>
      </c>
      <c r="AK411" s="40">
        <f>IF(AND(ISNUMBER($AB411),ISNUMBER($AD411)),IF($AB411&gt;0,$AD411/$AB411,""),"")</f>
      </c>
      <c r="AL411" s="32" t="inlineStr">
        <is>
          <t xml:space="preserve">At technical</t>
        </is>
      </c>
      <c r="AM411" s="41">
        <f>IF(ISNUMBER($AD411),Header!$I$3,"")</f>
      </c>
      <c r="AN411" s="39">
        <f>IF(ISNUMBER($AD411),$AO411+$AP411,"")</f>
      </c>
      <c r="AO411" s="39">
        <f>IF(ISNUMBER($AD411),ROUND($AD411*Header!$K$3,2),"")</f>
      </c>
      <c r="AP411" s="39">
        <f>IF(ISNUMBER($AD411),ROUND($AD411*Header!$M$3,2),"")</f>
      </c>
      <c r="AQ411" s="38">
        <f>IF(ISNUMBER($AD411),ROUND($AD411,2)-$AO411-$AP411,"")</f>
      </c>
      <c r="AR411" s="39">
        <f>IF(ISNUMBER($AD411),IF(Header!$D$34="","?",$AD411*Header!$D$34),"")</f>
      </c>
      <c r="AS411" s="39">
        <f>IF(ISNUMBER($AB411),IF(Header!$D$34="","?",$AB411*Header!$D$34),"")</f>
      </c>
      <c r="AT411" s="42">
        <f>IF(AND(ISNUMBER($AB411),$M411&gt;0),$AB411/$M411*100,"")</f>
      </c>
      <c r="AU411" s="42">
        <f>IF(AND(ISNUMBER($AD411),$M411&gt;0),$AD411/$M411*100,"")</f>
      </c>
      <c r="AV411" s="40">
        <f>IF(AND(ISNUMBER($AB411),ISNUMBER($AD411),ABS($AB411)&gt;0),$AD411/$AB411,"")</f>
      </c>
      <c r="AW411" s="39">
        <f>IF(ISNUMBER($AD411),MAX(0,(1-0.55-Header!$O$3)*Header!$Q$3*$AQ411),"")</f>
      </c>
      <c r="AX411" s="43">
        <f>IF($A411="","",IF(TRIM(IF($A411="","Missing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",""))="","PASS","FAIL: "&amp;TRIM(IF($A411="","Missing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f>
      </c>
      <c r="AY411" s="44">
        <f>IF($M411="","",IF(ISNUMBER($M411),IF($M411&gt;=Header!$C$18,"YES — refer","No"),""))</f>
      </c>
      <c r="AZ411" s="44">
        <f>IF($AD411="","",IF(ISNUMBER($AD411),IF($AD411&lt;Header!$C$20,"BELOW MIN PREMIUM","OK"),""))</f>
      </c>
      <c r="BA411" s="32" t="inlineStr">
        <is>
          <t xml:space="preserve">Yes</t>
        </is>
      </c>
      <c r="BB411" s="32" t="inlineStr">
        <is>
          <t xml:space="preserve">Yes</t>
        </is>
      </c>
      <c r="BC411" s="30" t="inlineStr">
        <is>
          <t xml:space="preserve">Synthetic demo data</t>
        </is>
      </c>
      <c r="BE411" s="45">
        <f>IF(OR($A411="",$L411="",$H411=""),"",IF(AND(LEFT($L411,2)="06",$H411&gt;1945),"FAIL - pre-war class, year "&amp;$H411,IF(AND(LEFT($L411,2)="07",OR($H411&lt;1946,$H411&gt;1972)),"FAIL - 1946-72 class, year "&amp;$H411,IF(AND(LEFT($L411,2)="08",OR($H411&lt;1973,$H411&gt;1999)),"FAIL - 1973-99 class, year "&amp;$H411,IF(AND(LEFT($L411,2)="09",OR($H411&lt;2000,$H411&gt;2010)),"FAIL - 2000-10 class, year "&amp;$H411,"OK")))))</f>
      </c>
      <c r="BF411" s="45">
        <f>IF($AD411="","",IF(ROUND($AO411+$AP411+$AQ411-$AD411,2)=0,"OK","FAIL - out by "&amp;TEXT($AO411+$AP411+$AQ411-$AD411,"$0.00")))</f>
      </c>
    </row>
    <row r="412" spans="1:58" ht="18.75" customHeight="1" x14ac:dyDescent="0.25">
      <c r="A412" s="46" t="inlineStr">
        <is>
          <t xml:space="preserve">CANON-202606-008965</t>
        </is>
      </c>
      <c r="B412" s="46" t="inlineStr">
        <is>
          <t xml:space="preserve">Aurelio Harrington</t>
        </is>
      </c>
      <c r="C412" s="47">
        <v>46186</v>
      </c>
      <c r="D412" s="48" t="inlineStr">
        <is>
          <t xml:space="preserve">Bound - within authority</t>
        </is>
      </c>
      <c r="E412" s="48" t="inlineStr">
        <is>
          <t xml:space="preserve">New business</t>
        </is>
      </c>
      <c r="F412" s="46" t="inlineStr">
        <is>
          <t xml:space="preserve">B1234EXOTIC26</t>
        </is>
      </c>
      <c r="G412" s="33">
        <f>IF($A412="","",IF($C412="","",YEAR($C412)))</f>
      </c>
      <c r="H412" s="49">
        <v>1991</v>
      </c>
      <c r="I412" s="46" t="inlineStr">
        <is>
          <t xml:space="preserve">Singer</t>
        </is>
      </c>
      <c r="J412" s="46" t="inlineStr">
        <is>
          <t xml:space="preserve">911 Reimagined</t>
        </is>
      </c>
      <c r="K412" s="46" t="inlineStr">
        <is>
          <t xml:space="preserve">MSYHPXA351E7ZAZFZ</t>
        </is>
      </c>
      <c r="L412" s="48" t="inlineStr">
        <is>
          <t xml:space="preserve">11 - Restomod / Coachbuilt / Bespoke</t>
        </is>
      </c>
      <c r="M412" s="50">
        <v>325000</v>
      </c>
      <c r="N412" s="48" t="inlineStr">
        <is>
          <t xml:space="preserve">Personal</t>
        </is>
      </c>
      <c r="O412" s="46" t="inlineStr">
        <is>
          <t xml:space="preserve">Personal - regular use</t>
        </is>
      </c>
      <c r="P412" s="46" t="inlineStr">
        <is>
          <t xml:space="preserve">2,500 - 5,000</t>
        </is>
      </c>
      <c r="Q412" s="46" t="inlineStr">
        <is>
          <t xml:space="preserve">Iowa</t>
        </is>
      </c>
      <c r="R412" s="46" t="inlineStr">
        <is>
          <t xml:space="preserve">50309</t>
        </is>
      </c>
      <c r="S412" s="48" t="inlineStr">
        <is>
          <t xml:space="preserve">Severe convective - hail alley (high)</t>
        </is>
      </c>
      <c r="T412" s="36">
        <f>IF($A412="","",IF($S412="","",IFERROR(INDEX('[1]natural catastrophe'!$D$6:$D$17,MATCH($S412,'[1]natural catastrophe'!$B$6:$B$17,0)),"?")))</f>
      </c>
      <c r="U412" s="46" t="inlineStr">
        <is>
          <t xml:space="preserve">$5,000</t>
        </is>
      </c>
      <c r="V412" s="48" t="inlineStr">
        <is>
          <t xml:space="preserve">Agreed Value</t>
        </is>
      </c>
      <c r="W412" s="46" t="inlineStr">
        <is>
          <t xml:space="preserve">$1,000</t>
        </is>
      </c>
      <c r="X412" s="48" t="inlineStr">
        <is>
          <t xml:space="preserve">$1,000,000 CSL</t>
        </is>
      </c>
      <c r="Y412" s="46"/>
      <c r="Z412" s="46"/>
      <c r="AA412" s="48" t="inlineStr">
        <is>
          <t xml:space="preserve">Surplus Lines</t>
        </is>
      </c>
      <c r="AB412" s="50">
        <v>4539.74</v>
      </c>
      <c r="AC412" s="51">
        <v>0</v>
      </c>
      <c r="AD412" s="38">
        <f>IF(ISNUMBER($AB412),$AB412*(1+N($AC412)),"")</f>
      </c>
      <c r="AE412" s="50">
        <v>350</v>
      </c>
      <c r="AF412" s="50">
        <v>0</v>
      </c>
      <c r="AG412" s="51"/>
      <c r="AH412" s="39">
        <f>IF(ISNUMBER($AD412),($AD412+$AE412+$AF412)*$AG412,"")</f>
      </c>
      <c r="AI412" s="50"/>
      <c r="AJ412" s="38">
        <f>IF(ISNUMBER($AD412),SUM($AD412:$AH412),"")</f>
      </c>
      <c r="AK412" s="40">
        <f>IF(AND(ISNUMBER($AB412),ISNUMBER($AD412)),IF($AB412&gt;0,$AD412/$AB412,""),"")</f>
      </c>
      <c r="AL412" s="48" t="inlineStr">
        <is>
          <t xml:space="preserve">At technical</t>
        </is>
      </c>
      <c r="AM412" s="41">
        <f>IF(ISNUMBER($AD412),Header!$I$3,"")</f>
      </c>
      <c r="AN412" s="39">
        <f>IF(ISNUMBER($AD412),$AO412+$AP412,"")</f>
      </c>
      <c r="AO412" s="39">
        <f>IF(ISNUMBER($AD412),ROUND($AD412*Header!$K$3,2),"")</f>
      </c>
      <c r="AP412" s="39">
        <f>IF(ISNUMBER($AD412),ROUND($AD412*Header!$M$3,2),"")</f>
      </c>
      <c r="AQ412" s="38">
        <f>IF(ISNUMBER($AD412),ROUND($AD412,2)-$AO412-$AP412,"")</f>
      </c>
      <c r="AR412" s="39">
        <f>IF(ISNUMBER($AD412),IF(Header!$D$34="","?",$AD412*Header!$D$34),"")</f>
      </c>
      <c r="AS412" s="39">
        <f>IF(ISNUMBER($AB412),IF(Header!$D$34="","?",$AB412*Header!$D$34),"")</f>
      </c>
      <c r="AT412" s="42">
        <f>IF(AND(ISNUMBER($AB412),$M412&gt;0),$AB412/$M412*100,"")</f>
      </c>
      <c r="AU412" s="42">
        <f>IF(AND(ISNUMBER($AD412),$M412&gt;0),$AD412/$M412*100,"")</f>
      </c>
      <c r="AV412" s="40">
        <f>IF(AND(ISNUMBER($AB412),ISNUMBER($AD412),ABS($AB412)&gt;0),$AD412/$AB412,"")</f>
      </c>
      <c r="AW412" s="39">
        <f>IF(ISNUMBER($AD412),MAX(0,(1-0.55-Header!$O$3)*Header!$Q$3*$AQ412),"")</f>
      </c>
      <c r="AX412" s="43">
        <f>IF($A412="","",IF(TRIM(IF($A412="","Missing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",""))="","PASS","FAIL: "&amp;TRIM(IF($A412="","Missing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f>
      </c>
      <c r="AY412" s="44">
        <f>IF($M412="","",IF(ISNUMBER($M412),IF($M412&gt;=Header!$C$18,"YES — refer","No"),""))</f>
      </c>
      <c r="AZ412" s="44">
        <f>IF($AD412="","",IF(ISNUMBER($AD412),IF($AD412&lt;Header!$C$20,"BELOW MIN PREMIUM","OK"),""))</f>
      </c>
      <c r="BA412" s="48" t="inlineStr">
        <is>
          <t xml:space="preserve">Yes</t>
        </is>
      </c>
      <c r="BB412" s="48" t="inlineStr">
        <is>
          <t xml:space="preserve">Yes</t>
        </is>
      </c>
      <c r="BC412" s="46" t="inlineStr">
        <is>
          <t xml:space="preserve">Synthetic demo data</t>
        </is>
      </c>
      <c r="BE412" s="45">
        <f>IF(OR($A412="",$L412="",$H412=""),"",IF(AND(LEFT($L412,2)="06",$H412&gt;1945),"FAIL - pre-war class, year "&amp;$H412,IF(AND(LEFT($L412,2)="07",OR($H412&lt;1946,$H412&gt;1972)),"FAIL - 1946-72 class, year "&amp;$H412,IF(AND(LEFT($L412,2)="08",OR($H412&lt;1973,$H412&gt;1999)),"FAIL - 1973-99 class, year "&amp;$H412,IF(AND(LEFT($L412,2)="09",OR($H412&lt;2000,$H412&gt;2010)),"FAIL - 2000-10 class, year "&amp;$H412,"OK")))))</f>
      </c>
      <c r="BF412" s="45">
        <f>IF($AD412="","",IF(ROUND($AO412+$AP412+$AQ412-$AD412,2)=0,"OK","FAIL - out by "&amp;TEXT($AO412+$AP412+$AQ412-$AD412,"$0.00")))</f>
      </c>
    </row>
    <row r="413" spans="1:58" ht="18.75" customHeight="1" x14ac:dyDescent="0.25">
      <c r="A413" s="30" t="inlineStr">
        <is>
          <t xml:space="preserve">CANON-202606-008967</t>
        </is>
      </c>
      <c r="B413" s="30" t="inlineStr">
        <is>
          <t xml:space="preserve">Noor Vasquez</t>
        </is>
      </c>
      <c r="C413" s="31">
        <v>46177</v>
      </c>
      <c r="D413" s="32" t="inlineStr">
        <is>
          <t xml:space="preserve">Bound - within authority</t>
        </is>
      </c>
      <c r="E413" s="32" t="inlineStr">
        <is>
          <t xml:space="preserve">New business</t>
        </is>
      </c>
      <c r="F413" s="30" t="inlineStr">
        <is>
          <t xml:space="preserve">B1234EXOTIC26</t>
        </is>
      </c>
      <c r="G413" s="33">
        <f>IF($A413="","",IF($C413="","",YEAR($C413)))</f>
      </c>
      <c r="H413" s="34">
        <v>2009</v>
      </c>
      <c r="I413" s="30" t="inlineStr">
        <is>
          <t xml:space="preserve">Ferrari</t>
        </is>
      </c>
      <c r="J413" s="30" t="inlineStr">
        <is>
          <t xml:space="preserve">296 GTB</t>
        </is>
      </c>
      <c r="K413" s="30" t="inlineStr">
        <is>
          <t xml:space="preserve">0NY2PJN51JLEL05Z8</t>
        </is>
      </c>
      <c r="L413" s="32" t="inlineStr">
        <is>
          <t xml:space="preserve">03 - Supercar</t>
        </is>
      </c>
      <c r="M413" s="35">
        <v>380000</v>
      </c>
      <c r="N413" s="32" t="inlineStr">
        <is>
          <t xml:space="preserve">Personal</t>
        </is>
      </c>
      <c r="O413" s="30" t="inlineStr">
        <is>
          <t xml:space="preserve">Personal - regular use</t>
        </is>
      </c>
      <c r="P413" s="30" t="inlineStr">
        <is>
          <t xml:space="preserve">Under 1,000</t>
        </is>
      </c>
      <c r="Q413" s="30" t="inlineStr">
        <is>
          <t xml:space="preserve">California</t>
        </is>
      </c>
      <c r="R413" s="30" t="inlineStr">
        <is>
          <t xml:space="preserve">90012</t>
        </is>
      </c>
      <c r="S413" s="32" t="inlineStr">
        <is>
          <t xml:space="preserve">Earthquake - high (CA, Cascadia, New Madrid)</t>
        </is>
      </c>
      <c r="T413" s="36">
        <f>IF($A413="","",IF($S413="","",IFERROR(INDEX('[1]natural catastrophe'!$D$6:$D$17,MATCH($S413,'[1]natural catastrophe'!$B$6:$B$17,0)),"?")))</f>
      </c>
      <c r="U413" s="30" t="inlineStr">
        <is>
          <t xml:space="preserve">$5,000</t>
        </is>
      </c>
      <c r="V413" s="32" t="inlineStr">
        <is>
          <t xml:space="preserve">Agreed Value</t>
        </is>
      </c>
      <c r="W413" s="30" t="inlineStr">
        <is>
          <t xml:space="preserve">$1,000</t>
        </is>
      </c>
      <c r="X413" s="32" t="inlineStr">
        <is>
          <t xml:space="preserve">$1,000,000 CSL</t>
        </is>
      </c>
      <c r="Y413" s="30"/>
      <c r="Z413" s="30"/>
      <c r="AA413" s="32" t="inlineStr">
        <is>
          <t xml:space="preserve">Surplus Lines</t>
        </is>
      </c>
      <c r="AB413" s="35">
        <v>8513.09</v>
      </c>
      <c r="AC413" s="37">
        <v>0</v>
      </c>
      <c r="AD413" s="38">
        <f>IF(ISNUMBER($AB413),$AB413*(1+N($AC413)),"")</f>
      </c>
      <c r="AE413" s="35">
        <v>350</v>
      </c>
      <c r="AF413" s="35">
        <v>0</v>
      </c>
      <c r="AG413" s="37"/>
      <c r="AH413" s="39">
        <f>IF(ISNUMBER($AD413),($AD413+$AE413+$AF413)*$AG413,"")</f>
      </c>
      <c r="AI413" s="35"/>
      <c r="AJ413" s="38">
        <f>IF(ISNUMBER($AD413),SUM($AD413:$AH413),"")</f>
      </c>
      <c r="AK413" s="40">
        <f>IF(AND(ISNUMBER($AB413),ISNUMBER($AD413)),IF($AB413&gt;0,$AD413/$AB413,""),"")</f>
      </c>
      <c r="AL413" s="32" t="inlineStr">
        <is>
          <t xml:space="preserve">At technical</t>
        </is>
      </c>
      <c r="AM413" s="41">
        <f>IF(ISNUMBER($AD413),Header!$I$3,"")</f>
      </c>
      <c r="AN413" s="39">
        <f>IF(ISNUMBER($AD413),$AO413+$AP413,"")</f>
      </c>
      <c r="AO413" s="39">
        <f>IF(ISNUMBER($AD413),ROUND($AD413*Header!$K$3,2),"")</f>
      </c>
      <c r="AP413" s="39">
        <f>IF(ISNUMBER($AD413),ROUND($AD413*Header!$M$3,2),"")</f>
      </c>
      <c r="AQ413" s="38">
        <f>IF(ISNUMBER($AD413),ROUND($AD413,2)-$AO413-$AP413,"")</f>
      </c>
      <c r="AR413" s="39">
        <f>IF(ISNUMBER($AD413),IF(Header!$D$34="","?",$AD413*Header!$D$34),"")</f>
      </c>
      <c r="AS413" s="39">
        <f>IF(ISNUMBER($AB413),IF(Header!$D$34="","?",$AB413*Header!$D$34),"")</f>
      </c>
      <c r="AT413" s="42">
        <f>IF(AND(ISNUMBER($AB413),$M413&gt;0),$AB413/$M413*100,"")</f>
      </c>
      <c r="AU413" s="42">
        <f>IF(AND(ISNUMBER($AD413),$M413&gt;0),$AD413/$M413*100,"")</f>
      </c>
      <c r="AV413" s="40">
        <f>IF(AND(ISNUMBER($AB413),ISNUMBER($AD413),ABS($AB413)&gt;0),$AD413/$AB413,"")</f>
      </c>
      <c r="AW413" s="39">
        <f>IF(ISNUMBER($AD413),MAX(0,(1-0.55-Header!$O$3)*Header!$Q$3*$AQ413),"")</f>
      </c>
      <c r="AX413" s="43">
        <f>IF($A413="","",IF(TRIM(IF($A413="","Missing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",""))="","PASS","FAIL: "&amp;TRIM(IF($A413="","Missing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f>
      </c>
      <c r="AY413" s="44">
        <f>IF($M413="","",IF(ISNUMBER($M413),IF($M413&gt;=Header!$C$18,"YES — refer","No"),""))</f>
      </c>
      <c r="AZ413" s="44">
        <f>IF($AD413="","",IF(ISNUMBER($AD413),IF($AD413&lt;Header!$C$20,"BELOW MIN PREMIUM","OK"),""))</f>
      </c>
      <c r="BA413" s="32" t="inlineStr">
        <is>
          <t xml:space="preserve">Yes</t>
        </is>
      </c>
      <c r="BB413" s="32" t="inlineStr">
        <is>
          <t xml:space="preserve">Yes</t>
        </is>
      </c>
      <c r="BC413" s="30" t="inlineStr">
        <is>
          <t xml:space="preserve">Synthetic demo data</t>
        </is>
      </c>
      <c r="BE413" s="45">
        <f>IF(OR($A413="",$L413="",$H413=""),"",IF(AND(LEFT($L413,2)="06",$H413&gt;1945),"FAIL - pre-war class, year "&amp;$H413,IF(AND(LEFT($L413,2)="07",OR($H413&lt;1946,$H413&gt;1972)),"FAIL - 1946-72 class, year "&amp;$H413,IF(AND(LEFT($L413,2)="08",OR($H413&lt;1973,$H413&gt;1999)),"FAIL - 1973-99 class, year "&amp;$H413,IF(AND(LEFT($L413,2)="09",OR($H413&lt;2000,$H413&gt;2010)),"FAIL - 2000-10 class, year "&amp;$H413,"OK")))))</f>
      </c>
      <c r="BF413" s="45">
        <f>IF($AD413="","",IF(ROUND($AO413+$AP413+$AQ413-$AD413,2)=0,"OK","FAIL - out by "&amp;TEXT($AO413+$AP413+$AQ413-$AD413,"$0.00")))</f>
      </c>
    </row>
    <row r="414" spans="1:58" ht="18.75" customHeight="1" x14ac:dyDescent="0.25">
      <c r="A414" s="46" t="inlineStr">
        <is>
          <t xml:space="preserve">CANON-202606-008968</t>
        </is>
      </c>
      <c r="B414" s="46" t="inlineStr">
        <is>
          <t xml:space="preserve">Ottilie Castellanos</t>
        </is>
      </c>
      <c r="C414" s="47">
        <v>46193</v>
      </c>
      <c r="D414" s="48" t="inlineStr">
        <is>
          <t xml:space="preserve">Bound - within authority</t>
        </is>
      </c>
      <c r="E414" s="48" t="inlineStr">
        <is>
          <t xml:space="preserve">New business</t>
        </is>
      </c>
      <c r="F414" s="46" t="inlineStr">
        <is>
          <t xml:space="preserve">B1234EXOTIC26</t>
        </is>
      </c>
      <c r="G414" s="33">
        <f>IF($A414="","",IF($C414="","",YEAR($C414)))</f>
      </c>
      <c r="H414" s="49">
        <v>1994</v>
      </c>
      <c r="I414" s="46" t="inlineStr">
        <is>
          <t xml:space="preserve">Jaguar</t>
        </is>
      </c>
      <c r="J414" s="46" t="inlineStr">
        <is>
          <t xml:space="preserve">E-Type Series 1</t>
        </is>
      </c>
      <c r="K414" s="46" t="inlineStr">
        <is>
          <t xml:space="preserve">UUHKNNYWNCACG7FFF</t>
        </is>
      </c>
      <c r="L414" s="48" t="inlineStr">
        <is>
          <t xml:space="preserve">08 - Modern Classic (1973-1999)</t>
        </is>
      </c>
      <c r="M414" s="50">
        <v>945000</v>
      </c>
      <c r="N414" s="48" t="inlineStr">
        <is>
          <t xml:space="preserve">Personal</t>
        </is>
      </c>
      <c r="O414" s="46" t="inlineStr">
        <is>
          <t xml:space="preserve">Personal - regular use</t>
        </is>
      </c>
      <c r="P414" s="46" t="inlineStr">
        <is>
          <t xml:space="preserve">Under 1,000</t>
        </is>
      </c>
      <c r="Q414" s="46" t="inlineStr">
        <is>
          <t xml:space="preserve">Nevada</t>
        </is>
      </c>
      <c r="R414" s="46" t="inlineStr">
        <is>
          <t xml:space="preserve">89101</t>
        </is>
      </c>
      <c r="S414" s="48" t="inlineStr">
        <is>
          <t xml:space="preserve">Wildfire - WUI high hazard</t>
        </is>
      </c>
      <c r="T414" s="36">
        <f>IF($A414="","",IF($S414="","",IFERROR(INDEX('[1]natural catastrophe'!$D$6:$D$17,MATCH($S414,'[1]natural catastrophe'!$B$6:$B$17,0)),"?")))</f>
      </c>
      <c r="U414" s="46" t="inlineStr">
        <is>
          <t xml:space="preserve">$5,000</t>
        </is>
      </c>
      <c r="V414" s="48" t="inlineStr">
        <is>
          <t xml:space="preserve">Agreed Value</t>
        </is>
      </c>
      <c r="W414" s="46" t="inlineStr">
        <is>
          <t xml:space="preserve">$1,000</t>
        </is>
      </c>
      <c r="X414" s="48" t="inlineStr">
        <is>
          <t xml:space="preserve">$1,000,000 CSL</t>
        </is>
      </c>
      <c r="Y414" s="46"/>
      <c r="Z414" s="46"/>
      <c r="AA414" s="48" t="inlineStr">
        <is>
          <t xml:space="preserve">Surplus Lines</t>
        </is>
      </c>
      <c r="AB414" s="50">
        <v>6860.54</v>
      </c>
      <c r="AC414" s="51">
        <v>0</v>
      </c>
      <c r="AD414" s="38">
        <f>IF(ISNUMBER($AB414),$AB414*(1+N($AC414)),"")</f>
      </c>
      <c r="AE414" s="50">
        <v>350</v>
      </c>
      <c r="AF414" s="50">
        <v>0</v>
      </c>
      <c r="AG414" s="51"/>
      <c r="AH414" s="39">
        <f>IF(ISNUMBER($AD414),($AD414+$AE414+$AF414)*$AG414,"")</f>
      </c>
      <c r="AI414" s="50"/>
      <c r="AJ414" s="38">
        <f>IF(ISNUMBER($AD414),SUM($AD414:$AH414),"")</f>
      </c>
      <c r="AK414" s="40">
        <f>IF(AND(ISNUMBER($AB414),ISNUMBER($AD414)),IF($AB414&gt;0,$AD414/$AB414,""),"")</f>
      </c>
      <c r="AL414" s="48" t="inlineStr">
        <is>
          <t xml:space="preserve">At technical</t>
        </is>
      </c>
      <c r="AM414" s="41">
        <f>IF(ISNUMBER($AD414),Header!$I$3,"")</f>
      </c>
      <c r="AN414" s="39">
        <f>IF(ISNUMBER($AD414),$AO414+$AP414,"")</f>
      </c>
      <c r="AO414" s="39">
        <f>IF(ISNUMBER($AD414),ROUND($AD414*Header!$K$3,2),"")</f>
      </c>
      <c r="AP414" s="39">
        <f>IF(ISNUMBER($AD414),ROUND($AD414*Header!$M$3,2),"")</f>
      </c>
      <c r="AQ414" s="38">
        <f>IF(ISNUMBER($AD414),ROUND($AD414,2)-$AO414-$AP414,"")</f>
      </c>
      <c r="AR414" s="39">
        <f>IF(ISNUMBER($AD414),IF(Header!$D$34="","?",$AD414*Header!$D$34),"")</f>
      </c>
      <c r="AS414" s="39">
        <f>IF(ISNUMBER($AB414),IF(Header!$D$34="","?",$AB414*Header!$D$34),"")</f>
      </c>
      <c r="AT414" s="42">
        <f>IF(AND(ISNUMBER($AB414),$M414&gt;0),$AB414/$M414*100,"")</f>
      </c>
      <c r="AU414" s="42">
        <f>IF(AND(ISNUMBER($AD414),$M414&gt;0),$AD414/$M414*100,"")</f>
      </c>
      <c r="AV414" s="40">
        <f>IF(AND(ISNUMBER($AB414),ISNUMBER($AD414),ABS($AB414)&gt;0),$AD414/$AB414,"")</f>
      </c>
      <c r="AW414" s="39">
        <f>IF(ISNUMBER($AD414),MAX(0,(1-0.55-Header!$O$3)*Header!$Q$3*$AQ414),"")</f>
      </c>
      <c r="AX414" s="43">
        <f>IF($A414="","",IF(TRIM(IF($A414="","Missing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",""))="","PASS","FAIL: "&amp;TRIM(IF($A414="","Missing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f>
      </c>
      <c r="AY414" s="44">
        <f>IF($M414="","",IF(ISNUMBER($M414),IF($M414&gt;=Header!$C$18,"YES — refer","No"),""))</f>
      </c>
      <c r="AZ414" s="44">
        <f>IF($AD414="","",IF(ISNUMBER($AD414),IF($AD414&lt;Header!$C$20,"BELOW MIN PREMIUM","OK"),""))</f>
      </c>
      <c r="BA414" s="48" t="inlineStr">
        <is>
          <t xml:space="preserve">Yes</t>
        </is>
      </c>
      <c r="BB414" s="48" t="inlineStr">
        <is>
          <t xml:space="preserve">Yes</t>
        </is>
      </c>
      <c r="BC414" s="46" t="inlineStr">
        <is>
          <t xml:space="preserve">Synthetic demo data</t>
        </is>
      </c>
      <c r="BE414" s="45">
        <f>IF(OR($A414="",$L414="",$H414=""),"",IF(AND(LEFT($L414,2)="06",$H414&gt;1945),"FAIL - pre-war class, year "&amp;$H414,IF(AND(LEFT($L414,2)="07",OR($H414&lt;1946,$H414&gt;1972)),"FAIL - 1946-72 class, year "&amp;$H414,IF(AND(LEFT($L414,2)="08",OR($H414&lt;1973,$H414&gt;1999)),"FAIL - 1973-99 class, year "&amp;$H414,IF(AND(LEFT($L414,2)="09",OR($H414&lt;2000,$H414&gt;2010)),"FAIL - 2000-10 class, year "&amp;$H414,"OK")))))</f>
      </c>
      <c r="BF414" s="45">
        <f>IF($AD414="","",IF(ROUND($AO414+$AP414+$AQ414-$AD414,2)=0,"OK","FAIL - out by "&amp;TEXT($AO414+$AP414+$AQ414-$AD414,"$0.00")))</f>
      </c>
    </row>
    <row r="415" spans="1:58" ht="18.75" customHeight="1" x14ac:dyDescent="0.25">
      <c r="A415" s="30" t="inlineStr">
        <is>
          <t xml:space="preserve">CANON-202606-008971</t>
        </is>
      </c>
      <c r="B415" s="30" t="inlineStr">
        <is>
          <t xml:space="preserve">Mireille Castellanos</t>
        </is>
      </c>
      <c r="C415" s="31">
        <v>46197</v>
      </c>
      <c r="D415" s="32" t="inlineStr">
        <is>
          <t xml:space="preserve">Bound - within authority</t>
        </is>
      </c>
      <c r="E415" s="32" t="inlineStr">
        <is>
          <t xml:space="preserve">New business</t>
        </is>
      </c>
      <c r="F415" s="30" t="inlineStr">
        <is>
          <t xml:space="preserve">B1234EXOTIC26</t>
        </is>
      </c>
      <c r="G415" s="33">
        <f>IF($A415="","",IF($C415="","",YEAR($C415)))</f>
      </c>
      <c r="H415" s="34">
        <v>1989</v>
      </c>
      <c r="I415" s="30" t="inlineStr">
        <is>
          <t xml:space="preserve">Porsche</t>
        </is>
      </c>
      <c r="J415" s="30" t="inlineStr">
        <is>
          <t xml:space="preserve">911 Turbo S</t>
        </is>
      </c>
      <c r="K415" s="30" t="inlineStr">
        <is>
          <t xml:space="preserve">6EU9TG7T54NBPSL3Y</t>
        </is>
      </c>
      <c r="L415" s="32" t="inlineStr">
        <is>
          <t xml:space="preserve">02 - Sports / GT</t>
        </is>
      </c>
      <c r="M415" s="35">
        <v>210000</v>
      </c>
      <c r="N415" s="32" t="inlineStr">
        <is>
          <t xml:space="preserve">Personal</t>
        </is>
      </c>
      <c r="O415" s="30" t="inlineStr">
        <is>
          <t xml:space="preserve">Personal - regular use</t>
        </is>
      </c>
      <c r="P415" s="30" t="inlineStr">
        <is>
          <t xml:space="preserve">1,000 - 2,500</t>
        </is>
      </c>
      <c r="Q415" s="30" t="inlineStr">
        <is>
          <t xml:space="preserve">Wyoming</t>
        </is>
      </c>
      <c r="R415" s="30" t="inlineStr">
        <is>
          <t xml:space="preserve">82001</t>
        </is>
      </c>
      <c r="S415" s="32" t="inlineStr">
        <is>
          <t xml:space="preserve">Severe convective - hail alley (high)</t>
        </is>
      </c>
      <c r="T415" s="36">
        <f>IF($A415="","",IF($S415="","",IFERROR(INDEX('[1]natural catastrophe'!$D$6:$D$17,MATCH($S415,'[1]natural catastrophe'!$B$6:$B$17,0)),"?")))</f>
      </c>
      <c r="U415" s="30" t="inlineStr">
        <is>
          <t xml:space="preserve">$5,000</t>
        </is>
      </c>
      <c r="V415" s="32" t="inlineStr">
        <is>
          <t xml:space="preserve">Agreed Value</t>
        </is>
      </c>
      <c r="W415" s="30" t="inlineStr">
        <is>
          <t xml:space="preserve">$1,000</t>
        </is>
      </c>
      <c r="X415" s="32" t="inlineStr">
        <is>
          <t xml:space="preserve">$1,000,000 CSL</t>
        </is>
      </c>
      <c r="Y415" s="30"/>
      <c r="Z415" s="30"/>
      <c r="AA415" s="32" t="inlineStr">
        <is>
          <t xml:space="preserve">Surplus Lines</t>
        </is>
      </c>
      <c r="AB415" s="35">
        <v>2983.06</v>
      </c>
      <c r="AC415" s="37">
        <v>0</v>
      </c>
      <c r="AD415" s="38">
        <f>IF(ISNUMBER($AB415),$AB415*(1+N($AC415)),"")</f>
      </c>
      <c r="AE415" s="35">
        <v>350</v>
      </c>
      <c r="AF415" s="35">
        <v>0</v>
      </c>
      <c r="AG415" s="37"/>
      <c r="AH415" s="39">
        <f>IF(ISNUMBER($AD415),($AD415+$AE415+$AF415)*$AG415,"")</f>
      </c>
      <c r="AI415" s="35"/>
      <c r="AJ415" s="38">
        <f>IF(ISNUMBER($AD415),SUM($AD415:$AH415),"")</f>
      </c>
      <c r="AK415" s="40">
        <f>IF(AND(ISNUMBER($AB415),ISNUMBER($AD415)),IF($AB415&gt;0,$AD415/$AB415,""),"")</f>
      </c>
      <c r="AL415" s="32" t="inlineStr">
        <is>
          <t xml:space="preserve">At technical</t>
        </is>
      </c>
      <c r="AM415" s="41">
        <f>IF(ISNUMBER($AD415),Header!$I$3,"")</f>
      </c>
      <c r="AN415" s="39">
        <f>IF(ISNUMBER($AD415),$AO415+$AP415,"")</f>
      </c>
      <c r="AO415" s="39">
        <f>IF(ISNUMBER($AD415),ROUND($AD415*Header!$K$3,2),"")</f>
      </c>
      <c r="AP415" s="39">
        <f>IF(ISNUMBER($AD415),ROUND($AD415*Header!$M$3,2),"")</f>
      </c>
      <c r="AQ415" s="38">
        <f>IF(ISNUMBER($AD415),ROUND($AD415,2)-$AO415-$AP415,"")</f>
      </c>
      <c r="AR415" s="39">
        <f>IF(ISNUMBER($AD415),IF(Header!$D$34="","?",$AD415*Header!$D$34),"")</f>
      </c>
      <c r="AS415" s="39">
        <f>IF(ISNUMBER($AB415),IF(Header!$D$34="","?",$AB415*Header!$D$34),"")</f>
      </c>
      <c r="AT415" s="42">
        <f>IF(AND(ISNUMBER($AB415),$M415&gt;0),$AB415/$M415*100,"")</f>
      </c>
      <c r="AU415" s="42">
        <f>IF(AND(ISNUMBER($AD415),$M415&gt;0),$AD415/$M415*100,"")</f>
      </c>
      <c r="AV415" s="40">
        <f>IF(AND(ISNUMBER($AB415),ISNUMBER($AD415),ABS($AB415)&gt;0),$AD415/$AB415,"")</f>
      </c>
      <c r="AW415" s="39">
        <f>IF(ISNUMBER($AD415),MAX(0,(1-0.55-Header!$O$3)*Header!$Q$3*$AQ415),"")</f>
      </c>
      <c r="AX415" s="43">
        <f>IF($A415="","",IF(TRIM(IF($A415="","Missing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",""))="","PASS","FAIL: "&amp;TRIM(IF($A415="","Missing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f>
      </c>
      <c r="AY415" s="44">
        <f>IF($M415="","",IF(ISNUMBER($M415),IF($M415&gt;=Header!$C$18,"YES — refer","No"),""))</f>
      </c>
      <c r="AZ415" s="44">
        <f>IF($AD415="","",IF(ISNUMBER($AD415),IF($AD415&lt;Header!$C$20,"BELOW MIN PREMIUM","OK"),""))</f>
      </c>
      <c r="BA415" s="32" t="inlineStr">
        <is>
          <t xml:space="preserve">Yes</t>
        </is>
      </c>
      <c r="BB415" s="32" t="inlineStr">
        <is>
          <t xml:space="preserve">Yes</t>
        </is>
      </c>
      <c r="BC415" s="30" t="inlineStr">
        <is>
          <t xml:space="preserve">Synthetic demo data</t>
        </is>
      </c>
      <c r="BE415" s="45">
        <f>IF(OR($A415="",$L415="",$H415=""),"",IF(AND(LEFT($L415,2)="06",$H415&gt;1945),"FAIL - pre-war class, year "&amp;$H415,IF(AND(LEFT($L415,2)="07",OR($H415&lt;1946,$H415&gt;1972)),"FAIL - 1946-72 class, year "&amp;$H415,IF(AND(LEFT($L415,2)="08",OR($H415&lt;1973,$H415&gt;1999)),"FAIL - 1973-99 class, year "&amp;$H415,IF(AND(LEFT($L415,2)="09",OR($H415&lt;2000,$H415&gt;2010)),"FAIL - 2000-10 class, year "&amp;$H415,"OK")))))</f>
      </c>
      <c r="BF415" s="45">
        <f>IF($AD415="","",IF(ROUND($AO415+$AP415+$AQ415-$AD415,2)=0,"OK","FAIL - out by "&amp;TEXT($AO415+$AP415+$AQ415-$AD415,"$0.00")))</f>
      </c>
    </row>
    <row r="416" spans="1:58" ht="18.75" customHeight="1" x14ac:dyDescent="0.25">
      <c r="A416" s="46" t="inlineStr">
        <is>
          <t xml:space="preserve">CANON-202606-008974</t>
        </is>
      </c>
      <c r="B416" s="46" t="inlineStr">
        <is>
          <t xml:space="preserve">Wilhelmina Blackwood</t>
        </is>
      </c>
      <c r="C416" s="47">
        <v>46196</v>
      </c>
      <c r="D416" s="48" t="inlineStr">
        <is>
          <t xml:space="preserve">Bound - within authority</t>
        </is>
      </c>
      <c r="E416" s="48" t="inlineStr">
        <is>
          <t xml:space="preserve">New business</t>
        </is>
      </c>
      <c r="F416" s="46" t="inlineStr">
        <is>
          <t xml:space="preserve">B1234EXOTIC26</t>
        </is>
      </c>
      <c r="G416" s="33">
        <f>IF($A416="","",IF($C416="","",YEAR($C416)))</f>
      </c>
      <c r="H416" s="49">
        <v>1971</v>
      </c>
      <c r="I416" s="46" t="inlineStr">
        <is>
          <t xml:space="preserve">Icon</t>
        </is>
      </c>
      <c r="J416" s="46" t="inlineStr">
        <is>
          <t xml:space="preserve">Derelict</t>
        </is>
      </c>
      <c r="K416" s="46" t="inlineStr">
        <is>
          <t xml:space="preserve">NMYLRG77NV5PLMW5K</t>
        </is>
      </c>
      <c r="L416" s="48" t="inlineStr">
        <is>
          <t xml:space="preserve">11 - Restomod / Coachbuilt / Bespoke</t>
        </is>
      </c>
      <c r="M416" s="50">
        <v>540000</v>
      </c>
      <c r="N416" s="48" t="inlineStr">
        <is>
          <t xml:space="preserve">Personal</t>
        </is>
      </c>
      <c r="O416" s="46" t="inlineStr">
        <is>
          <t xml:space="preserve">Personal - regular use</t>
        </is>
      </c>
      <c r="P416" s="46" t="inlineStr">
        <is>
          <t xml:space="preserve">2,500 - 5,000</t>
        </is>
      </c>
      <c r="Q416" s="46" t="inlineStr">
        <is>
          <t xml:space="preserve">Idaho</t>
        </is>
      </c>
      <c r="R416" s="46" t="inlineStr">
        <is>
          <t xml:space="preserve">83702</t>
        </is>
      </c>
      <c r="S416" s="48" t="inlineStr">
        <is>
          <t xml:space="preserve">Wildfire - WUI high hazard</t>
        </is>
      </c>
      <c r="T416" s="36">
        <f>IF($A416="","",IF($S416="","",IFERROR(INDEX('[1]natural catastrophe'!$D$6:$D$17,MATCH($S416,'[1]natural catastrophe'!$B$6:$B$17,0)),"?")))</f>
      </c>
      <c r="U416" s="46" t="inlineStr">
        <is>
          <t xml:space="preserve">$5,000</t>
        </is>
      </c>
      <c r="V416" s="48" t="inlineStr">
        <is>
          <t xml:space="preserve">Agreed Value</t>
        </is>
      </c>
      <c r="W416" s="46" t="inlineStr">
        <is>
          <t xml:space="preserve">$1,000</t>
        </is>
      </c>
      <c r="X416" s="48" t="inlineStr">
        <is>
          <t xml:space="preserve">$1,000,000 CSL</t>
        </is>
      </c>
      <c r="Y416" s="46"/>
      <c r="Z416" s="46"/>
      <c r="AA416" s="48" t="inlineStr">
        <is>
          <t xml:space="preserve">Surplus Lines</t>
        </is>
      </c>
      <c r="AB416" s="50">
        <v>6017.22</v>
      </c>
      <c r="AC416" s="51">
        <v>0</v>
      </c>
      <c r="AD416" s="38">
        <f>IF(ISNUMBER($AB416),$AB416*(1+N($AC416)),"")</f>
      </c>
      <c r="AE416" s="50">
        <v>350</v>
      </c>
      <c r="AF416" s="50">
        <v>0</v>
      </c>
      <c r="AG416" s="51"/>
      <c r="AH416" s="39">
        <f>IF(ISNUMBER($AD416),($AD416+$AE416+$AF416)*$AG416,"")</f>
      </c>
      <c r="AI416" s="50"/>
      <c r="AJ416" s="38">
        <f>IF(ISNUMBER($AD416),SUM($AD416:$AH416),"")</f>
      </c>
      <c r="AK416" s="40">
        <f>IF(AND(ISNUMBER($AB416),ISNUMBER($AD416)),IF($AB416&gt;0,$AD416/$AB416,""),"")</f>
      </c>
      <c r="AL416" s="48" t="inlineStr">
        <is>
          <t xml:space="preserve">At technical</t>
        </is>
      </c>
      <c r="AM416" s="41">
        <f>IF(ISNUMBER($AD416),Header!$I$3,"")</f>
      </c>
      <c r="AN416" s="39">
        <f>IF(ISNUMBER($AD416),$AO416+$AP416,"")</f>
      </c>
      <c r="AO416" s="39">
        <f>IF(ISNUMBER($AD416),ROUND($AD416*Header!$K$3,2),"")</f>
      </c>
      <c r="AP416" s="39">
        <f>IF(ISNUMBER($AD416),ROUND($AD416*Header!$M$3,2),"")</f>
      </c>
      <c r="AQ416" s="38">
        <f>IF(ISNUMBER($AD416),ROUND($AD416,2)-$AO416-$AP416,"")</f>
      </c>
      <c r="AR416" s="39">
        <f>IF(ISNUMBER($AD416),IF(Header!$D$34="","?",$AD416*Header!$D$34),"")</f>
      </c>
      <c r="AS416" s="39">
        <f>IF(ISNUMBER($AB416),IF(Header!$D$34="","?",$AB416*Header!$D$34),"")</f>
      </c>
      <c r="AT416" s="42">
        <f>IF(AND(ISNUMBER($AB416),$M416&gt;0),$AB416/$M416*100,"")</f>
      </c>
      <c r="AU416" s="42">
        <f>IF(AND(ISNUMBER($AD416),$M416&gt;0),$AD416/$M416*100,"")</f>
      </c>
      <c r="AV416" s="40">
        <f>IF(AND(ISNUMBER($AB416),ISNUMBER($AD416),ABS($AB416)&gt;0),$AD416/$AB416,"")</f>
      </c>
      <c r="AW416" s="39">
        <f>IF(ISNUMBER($AD416),MAX(0,(1-0.55-Header!$O$3)*Header!$Q$3*$AQ416),"")</f>
      </c>
      <c r="AX416" s="43">
        <f>IF($A416="","",IF(TRIM(IF($A416="","Missing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",""))="","PASS","FAIL: "&amp;TRIM(IF($A416="","Missing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f>
      </c>
      <c r="AY416" s="44">
        <f>IF($M416="","",IF(ISNUMBER($M416),IF($M416&gt;=Header!$C$18,"YES — refer","No"),""))</f>
      </c>
      <c r="AZ416" s="44">
        <f>IF($AD416="","",IF(ISNUMBER($AD416),IF($AD416&lt;Header!$C$20,"BELOW MIN PREMIUM","OK"),""))</f>
      </c>
      <c r="BA416" s="48" t="inlineStr">
        <is>
          <t xml:space="preserve">Yes</t>
        </is>
      </c>
      <c r="BB416" s="48" t="inlineStr">
        <is>
          <t xml:space="preserve">Yes</t>
        </is>
      </c>
      <c r="BC416" s="46" t="inlineStr">
        <is>
          <t xml:space="preserve">Synthetic demo data</t>
        </is>
      </c>
      <c r="BE416" s="45">
        <f>IF(OR($A416="",$L416="",$H416=""),"",IF(AND(LEFT($L416,2)="06",$H416&gt;1945),"FAIL - pre-war class, year "&amp;$H416,IF(AND(LEFT($L416,2)="07",OR($H416&lt;1946,$H416&gt;1972)),"FAIL - 1946-72 class, year "&amp;$H416,IF(AND(LEFT($L416,2)="08",OR($H416&lt;1973,$H416&gt;1999)),"FAIL - 1973-99 class, year "&amp;$H416,IF(AND(LEFT($L416,2)="09",OR($H416&lt;2000,$H416&gt;2010)),"FAIL - 2000-10 class, year "&amp;$H416,"OK")))))</f>
      </c>
      <c r="BF416" s="45">
        <f>IF($AD416="","",IF(ROUND($AO416+$AP416+$AQ416-$AD416,2)=0,"OK","FAIL - out by "&amp;TEXT($AO416+$AP416+$AQ416-$AD416,"$0.00")))</f>
      </c>
    </row>
    <row r="417" spans="1:58" ht="18.75" customHeight="1" x14ac:dyDescent="0.25">
      <c r="A417" s="30" t="inlineStr">
        <is>
          <t xml:space="preserve">CANON-202606-008975</t>
        </is>
      </c>
      <c r="B417" s="30" t="inlineStr">
        <is>
          <t xml:space="preserve">Emiliano Kingsford</t>
        </is>
      </c>
      <c r="C417" s="31">
        <v>46193</v>
      </c>
      <c r="D417" s="32" t="inlineStr">
        <is>
          <t xml:space="preserve">Bound - within authority</t>
        </is>
      </c>
      <c r="E417" s="32" t="inlineStr">
        <is>
          <t xml:space="preserve">New business</t>
        </is>
      </c>
      <c r="F417" s="30" t="inlineStr">
        <is>
          <t xml:space="preserve">B1234EXOTIC26</t>
        </is>
      </c>
      <c r="G417" s="33">
        <f>IF($A417="","",IF($C417="","",YEAR($C417)))</f>
      </c>
      <c r="H417" s="34">
        <v>1961</v>
      </c>
      <c r="I417" s="30" t="inlineStr">
        <is>
          <t xml:space="preserve">Mercedes-Benz</t>
        </is>
      </c>
      <c r="J417" s="30" t="inlineStr">
        <is>
          <t xml:space="preserve">AMG GT</t>
        </is>
      </c>
      <c r="K417" s="30" t="inlineStr">
        <is>
          <t xml:space="preserve">ZK55B48JHV91YNG3Y</t>
        </is>
      </c>
      <c r="L417" s="32" t="inlineStr">
        <is>
          <t xml:space="preserve">02 - Sports / GT</t>
        </is>
      </c>
      <c r="M417" s="35">
        <v>400000</v>
      </c>
      <c r="N417" s="32" t="inlineStr">
        <is>
          <t xml:space="preserve">Personal</t>
        </is>
      </c>
      <c r="O417" s="30" t="inlineStr">
        <is>
          <t xml:space="preserve">Personal - regular use</t>
        </is>
      </c>
      <c r="P417" s="30" t="inlineStr">
        <is>
          <t xml:space="preserve">Under 1,000</t>
        </is>
      </c>
      <c r="Q417" s="30" t="inlineStr">
        <is>
          <t xml:space="preserve">California</t>
        </is>
      </c>
      <c r="R417" s="30" t="inlineStr">
        <is>
          <t xml:space="preserve">90012</t>
        </is>
      </c>
      <c r="S417" s="32" t="inlineStr">
        <is>
          <t xml:space="preserve">Earthquake - high (CA, Cascadia, New Madrid)</t>
        </is>
      </c>
      <c r="T417" s="36">
        <f>IF($A417="","",IF($S417="","",IFERROR(INDEX('[1]natural catastrophe'!$D$6:$D$17,MATCH($S417,'[1]natural catastrophe'!$B$6:$B$17,0)),"?")))</f>
      </c>
      <c r="U417" s="30" t="inlineStr">
        <is>
          <t xml:space="preserve">$5,000</t>
        </is>
      </c>
      <c r="V417" s="32" t="inlineStr">
        <is>
          <t xml:space="preserve">Agreed Value</t>
        </is>
      </c>
      <c r="W417" s="30" t="inlineStr">
        <is>
          <t xml:space="preserve">$1,000</t>
        </is>
      </c>
      <c r="X417" s="32" t="inlineStr">
        <is>
          <t xml:space="preserve">$1,000,000 CSL</t>
        </is>
      </c>
      <c r="Y417" s="30"/>
      <c r="Z417" s="30"/>
      <c r="AA417" s="32" t="inlineStr">
        <is>
          <t xml:space="preserve">Surplus Lines</t>
        </is>
      </c>
      <c r="AB417" s="35">
        <v>5844.23</v>
      </c>
      <c r="AC417" s="37">
        <v>0</v>
      </c>
      <c r="AD417" s="38">
        <f>IF(ISNUMBER($AB417),$AB417*(1+N($AC417)),"")</f>
      </c>
      <c r="AE417" s="35">
        <v>350</v>
      </c>
      <c r="AF417" s="35">
        <v>0</v>
      </c>
      <c r="AG417" s="37"/>
      <c r="AH417" s="39">
        <f>IF(ISNUMBER($AD417),($AD417+$AE417+$AF417)*$AG417,"")</f>
      </c>
      <c r="AI417" s="35"/>
      <c r="AJ417" s="38">
        <f>IF(ISNUMBER($AD417),SUM($AD417:$AH417),"")</f>
      </c>
      <c r="AK417" s="40">
        <f>IF(AND(ISNUMBER($AB417),ISNUMBER($AD417)),IF($AB417&gt;0,$AD417/$AB417,""),"")</f>
      </c>
      <c r="AL417" s="32" t="inlineStr">
        <is>
          <t xml:space="preserve">At technical</t>
        </is>
      </c>
      <c r="AM417" s="41">
        <f>IF(ISNUMBER($AD417),Header!$I$3,"")</f>
      </c>
      <c r="AN417" s="39">
        <f>IF(ISNUMBER($AD417),$AO417+$AP417,"")</f>
      </c>
      <c r="AO417" s="39">
        <f>IF(ISNUMBER($AD417),ROUND($AD417*Header!$K$3,2),"")</f>
      </c>
      <c r="AP417" s="39">
        <f>IF(ISNUMBER($AD417),ROUND($AD417*Header!$M$3,2),"")</f>
      </c>
      <c r="AQ417" s="38">
        <f>IF(ISNUMBER($AD417),ROUND($AD417,2)-$AO417-$AP417,"")</f>
      </c>
      <c r="AR417" s="39">
        <f>IF(ISNUMBER($AD417),IF(Header!$D$34="","?",$AD417*Header!$D$34),"")</f>
      </c>
      <c r="AS417" s="39">
        <f>IF(ISNUMBER($AB417),IF(Header!$D$34="","?",$AB417*Header!$D$34),"")</f>
      </c>
      <c r="AT417" s="42">
        <f>IF(AND(ISNUMBER($AB417),$M417&gt;0),$AB417/$M417*100,"")</f>
      </c>
      <c r="AU417" s="42">
        <f>IF(AND(ISNUMBER($AD417),$M417&gt;0),$AD417/$M417*100,"")</f>
      </c>
      <c r="AV417" s="40">
        <f>IF(AND(ISNUMBER($AB417),ISNUMBER($AD417),ABS($AB417)&gt;0),$AD417/$AB417,"")</f>
      </c>
      <c r="AW417" s="39">
        <f>IF(ISNUMBER($AD417),MAX(0,(1-0.55-Header!$O$3)*Header!$Q$3*$AQ417),"")</f>
      </c>
      <c r="AX417" s="43">
        <f>IF($A417="","",IF(TRIM(IF($A417="","Missing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",""))="","PASS","FAIL: "&amp;TRIM(IF($A417="","Missing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f>
      </c>
      <c r="AY417" s="44">
        <f>IF($M417="","",IF(ISNUMBER($M417),IF($M417&gt;=Header!$C$18,"YES — refer","No"),""))</f>
      </c>
      <c r="AZ417" s="44">
        <f>IF($AD417="","",IF(ISNUMBER($AD417),IF($AD417&lt;Header!$C$20,"BELOW MIN PREMIUM","OK"),""))</f>
      </c>
      <c r="BA417" s="32" t="inlineStr">
        <is>
          <t xml:space="preserve">Yes</t>
        </is>
      </c>
      <c r="BB417" s="32" t="inlineStr">
        <is>
          <t xml:space="preserve">Yes</t>
        </is>
      </c>
      <c r="BC417" s="30" t="inlineStr">
        <is>
          <t xml:space="preserve">Synthetic demo data</t>
        </is>
      </c>
      <c r="BE417" s="45">
        <f>IF(OR($A417="",$L417="",$H417=""),"",IF(AND(LEFT($L417,2)="06",$H417&gt;1945),"FAIL - pre-war class, year "&amp;$H417,IF(AND(LEFT($L417,2)="07",OR($H417&lt;1946,$H417&gt;1972)),"FAIL - 1946-72 class, year "&amp;$H417,IF(AND(LEFT($L417,2)="08",OR($H417&lt;1973,$H417&gt;1999)),"FAIL - 1973-99 class, year "&amp;$H417,IF(AND(LEFT($L417,2)="09",OR($H417&lt;2000,$H417&gt;2010)),"FAIL - 2000-10 class, year "&amp;$H417,"OK")))))</f>
      </c>
      <c r="BF417" s="45">
        <f>IF($AD417="","",IF(ROUND($AO417+$AP417+$AQ417-$AD417,2)=0,"OK","FAIL - out by "&amp;TEXT($AO417+$AP417+$AQ417-$AD417,"$0.00")))</f>
      </c>
    </row>
    <row r="418" spans="1:58" ht="18.75" customHeight="1" x14ac:dyDescent="0.25">
      <c r="A418" s="46" t="inlineStr">
        <is>
          <t xml:space="preserve">CANON-202606-008976</t>
        </is>
      </c>
      <c r="B418" s="46" t="inlineStr">
        <is>
          <t xml:space="preserve">Ingrid Vasquez</t>
        </is>
      </c>
      <c r="C418" s="47">
        <v>46185</v>
      </c>
      <c r="D418" s="48" t="inlineStr">
        <is>
          <t xml:space="preserve">Bound - within authority</t>
        </is>
      </c>
      <c r="E418" s="48" t="inlineStr">
        <is>
          <t xml:space="preserve">New business</t>
        </is>
      </c>
      <c r="F418" s="46" t="inlineStr">
        <is>
          <t xml:space="preserve">B1234EXOTIC26</t>
        </is>
      </c>
      <c r="G418" s="33">
        <f>IF($A418="","",IF($C418="","",YEAR($C418)))</f>
      </c>
      <c r="H418" s="49">
        <v>1983</v>
      </c>
      <c r="I418" s="46" t="inlineStr">
        <is>
          <t xml:space="preserve">Ferrari</t>
        </is>
      </c>
      <c r="J418" s="46" t="inlineStr">
        <is>
          <t xml:space="preserve">SF90 Stradale</t>
        </is>
      </c>
      <c r="K418" s="46" t="inlineStr">
        <is>
          <t xml:space="preserve">W9RYZRYFL2MLLY02S</t>
        </is>
      </c>
      <c r="L418" s="48" t="inlineStr">
        <is>
          <t xml:space="preserve">03 - Supercar</t>
        </is>
      </c>
      <c r="M418" s="50">
        <v>420000</v>
      </c>
      <c r="N418" s="48" t="inlineStr">
        <is>
          <t xml:space="preserve">Personal</t>
        </is>
      </c>
      <c r="O418" s="46" t="inlineStr">
        <is>
          <t xml:space="preserve">Personal - regular use</t>
        </is>
      </c>
      <c r="P418" s="46" t="inlineStr">
        <is>
          <t xml:space="preserve">1,000 - 2,500</t>
        </is>
      </c>
      <c r="Q418" s="46" t="inlineStr">
        <is>
          <t xml:space="preserve">Pennsylvania</t>
        </is>
      </c>
      <c r="R418" s="46" t="inlineStr">
        <is>
          <t xml:space="preserve">19103</t>
        </is>
      </c>
      <c r="S418" s="48" t="inlineStr">
        <is>
          <t xml:space="preserve">Low hazard - inland benign</t>
        </is>
      </c>
      <c r="T418" s="36">
        <f>IF($A418="","",IF($S418="","",IFERROR(INDEX('[1]natural catastrophe'!$D$6:$D$17,MATCH($S418,'[1]natural catastrophe'!$B$6:$B$17,0)),"?")))</f>
      </c>
      <c r="U418" s="46" t="inlineStr">
        <is>
          <t xml:space="preserve">$5,000</t>
        </is>
      </c>
      <c r="V418" s="48" t="inlineStr">
        <is>
          <t xml:space="preserve">Agreed Value</t>
        </is>
      </c>
      <c r="W418" s="46" t="inlineStr">
        <is>
          <t xml:space="preserve">$1,000</t>
        </is>
      </c>
      <c r="X418" s="48" t="inlineStr">
        <is>
          <t xml:space="preserve">$1,000,000 CSL</t>
        </is>
      </c>
      <c r="Y418" s="46"/>
      <c r="Z418" s="46"/>
      <c r="AA418" s="48" t="inlineStr">
        <is>
          <t xml:space="preserve">Surplus Lines</t>
        </is>
      </c>
      <c r="AB418" s="50">
        <v>6969.78</v>
      </c>
      <c r="AC418" s="51">
        <v>0</v>
      </c>
      <c r="AD418" s="38">
        <f>IF(ISNUMBER($AB418),$AB418*(1+N($AC418)),"")</f>
      </c>
      <c r="AE418" s="50">
        <v>350</v>
      </c>
      <c r="AF418" s="50">
        <v>0</v>
      </c>
      <c r="AG418" s="51"/>
      <c r="AH418" s="39">
        <f>IF(ISNUMBER($AD418),($AD418+$AE418+$AF418)*$AG418,"")</f>
      </c>
      <c r="AI418" s="50"/>
      <c r="AJ418" s="38">
        <f>IF(ISNUMBER($AD418),SUM($AD418:$AH418),"")</f>
      </c>
      <c r="AK418" s="40">
        <f>IF(AND(ISNUMBER($AB418),ISNUMBER($AD418)),IF($AB418&gt;0,$AD418/$AB418,""),"")</f>
      </c>
      <c r="AL418" s="48" t="inlineStr">
        <is>
          <t xml:space="preserve">At technical</t>
        </is>
      </c>
      <c r="AM418" s="41">
        <f>IF(ISNUMBER($AD418),Header!$I$3,"")</f>
      </c>
      <c r="AN418" s="39">
        <f>IF(ISNUMBER($AD418),$AO418+$AP418,"")</f>
      </c>
      <c r="AO418" s="39">
        <f>IF(ISNUMBER($AD418),ROUND($AD418*Header!$K$3,2),"")</f>
      </c>
      <c r="AP418" s="39">
        <f>IF(ISNUMBER($AD418),ROUND($AD418*Header!$M$3,2),"")</f>
      </c>
      <c r="AQ418" s="38">
        <f>IF(ISNUMBER($AD418),ROUND($AD418,2)-$AO418-$AP418,"")</f>
      </c>
      <c r="AR418" s="39">
        <f>IF(ISNUMBER($AD418),IF(Header!$D$34="","?",$AD418*Header!$D$34),"")</f>
      </c>
      <c r="AS418" s="39">
        <f>IF(ISNUMBER($AB418),IF(Header!$D$34="","?",$AB418*Header!$D$34),"")</f>
      </c>
      <c r="AT418" s="42">
        <f>IF(AND(ISNUMBER($AB418),$M418&gt;0),$AB418/$M418*100,"")</f>
      </c>
      <c r="AU418" s="42">
        <f>IF(AND(ISNUMBER($AD418),$M418&gt;0),$AD418/$M418*100,"")</f>
      </c>
      <c r="AV418" s="40">
        <f>IF(AND(ISNUMBER($AB418),ISNUMBER($AD418),ABS($AB418)&gt;0),$AD418/$AB418,"")</f>
      </c>
      <c r="AW418" s="39">
        <f>IF(ISNUMBER($AD418),MAX(0,(1-0.55-Header!$O$3)*Header!$Q$3*$AQ418),"")</f>
      </c>
      <c r="AX418" s="43">
        <f>IF($A418="","",IF(TRIM(IF($A418="","Missing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",""))="","PASS","FAIL: "&amp;TRIM(IF($A418="","Missing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f>
      </c>
      <c r="AY418" s="44">
        <f>IF($M418="","",IF(ISNUMBER($M418),IF($M418&gt;=Header!$C$18,"YES — refer","No"),""))</f>
      </c>
      <c r="AZ418" s="44">
        <f>IF($AD418="","",IF(ISNUMBER($AD418),IF($AD418&lt;Header!$C$20,"BELOW MIN PREMIUM","OK"),""))</f>
      </c>
      <c r="BA418" s="48" t="inlineStr">
        <is>
          <t xml:space="preserve">Yes</t>
        </is>
      </c>
      <c r="BB418" s="48" t="inlineStr">
        <is>
          <t xml:space="preserve">Yes</t>
        </is>
      </c>
      <c r="BC418" s="46" t="inlineStr">
        <is>
          <t xml:space="preserve">Synthetic demo data</t>
        </is>
      </c>
      <c r="BE418" s="45">
        <f>IF(OR($A418="",$L418="",$H418=""),"",IF(AND(LEFT($L418,2)="06",$H418&gt;1945),"FAIL - pre-war class, year "&amp;$H418,IF(AND(LEFT($L418,2)="07",OR($H418&lt;1946,$H418&gt;1972)),"FAIL - 1946-72 class, year "&amp;$H418,IF(AND(LEFT($L418,2)="08",OR($H418&lt;1973,$H418&gt;1999)),"FAIL - 1973-99 class, year "&amp;$H418,IF(AND(LEFT($L418,2)="09",OR($H418&lt;2000,$H418&gt;2010)),"FAIL - 2000-10 class, year "&amp;$H418,"OK")))))</f>
      </c>
      <c r="BF418" s="45">
        <f>IF($AD418="","",IF(ROUND($AO418+$AP418+$AQ418-$AD418,2)=0,"OK","FAIL - out by "&amp;TEXT($AO418+$AP418+$AQ418-$AD418,"$0.00")))</f>
      </c>
    </row>
    <row r="419" spans="1:58" ht="18.75" customHeight="1" x14ac:dyDescent="0.25">
      <c r="A419" s="30" t="inlineStr">
        <is>
          <t xml:space="preserve">CANON-202606-008977</t>
        </is>
      </c>
      <c r="B419" s="30" t="inlineStr">
        <is>
          <t xml:space="preserve">Emiliano Rourke</t>
        </is>
      </c>
      <c r="C419" s="31">
        <v>46201</v>
      </c>
      <c r="D419" s="32" t="inlineStr">
        <is>
          <t xml:space="preserve">Bound - within authority</t>
        </is>
      </c>
      <c r="E419" s="32" t="inlineStr">
        <is>
          <t xml:space="preserve">New business</t>
        </is>
      </c>
      <c r="F419" s="30" t="inlineStr">
        <is>
          <t xml:space="preserve">B1234EXOTIC26</t>
        </is>
      </c>
      <c r="G419" s="33">
        <f>IF($A419="","",IF($C419="","",YEAR($C419)))</f>
      </c>
      <c r="H419" s="34">
        <v>1998</v>
      </c>
      <c r="I419" s="30" t="inlineStr">
        <is>
          <t xml:space="preserve">Bentley</t>
        </is>
      </c>
      <c r="J419" s="30" t="inlineStr">
        <is>
          <t xml:space="preserve">Continental GT</t>
        </is>
      </c>
      <c r="K419" s="30" t="inlineStr">
        <is>
          <t xml:space="preserve">Z8U4NKLCUUM7AT1L6</t>
        </is>
      </c>
      <c r="L419" s="32" t="inlineStr">
        <is>
          <t xml:space="preserve">02 - Sports / GT</t>
        </is>
      </c>
      <c r="M419" s="35">
        <v>525000</v>
      </c>
      <c r="N419" s="32" t="inlineStr">
        <is>
          <t xml:space="preserve">Personal</t>
        </is>
      </c>
      <c r="O419" s="30" t="inlineStr">
        <is>
          <t xml:space="preserve">Personal - regular use</t>
        </is>
      </c>
      <c r="P419" s="30" t="inlineStr">
        <is>
          <t xml:space="preserve">Under 1,000</t>
        </is>
      </c>
      <c r="Q419" s="30" t="inlineStr">
        <is>
          <t xml:space="preserve">Virginia</t>
        </is>
      </c>
      <c r="R419" s="30" t="inlineStr">
        <is>
          <t xml:space="preserve">23219</t>
        </is>
      </c>
      <c r="S419" s="32" t="inlineStr">
        <is>
          <t xml:space="preserve">Tier 3 - Coastal wind (25-100 miles)</t>
        </is>
      </c>
      <c r="T419" s="36">
        <f>IF($A419="","",IF($S419="","",IFERROR(INDEX('[1]natural catastrophe'!$D$6:$D$17,MATCH($S419,'[1]natural catastrophe'!$B$6:$B$17,0)),"?")))</f>
      </c>
      <c r="U419" s="30" t="inlineStr">
        <is>
          <t xml:space="preserve">2% of agreed value, minimum $10,000</t>
        </is>
      </c>
      <c r="V419" s="32" t="inlineStr">
        <is>
          <t xml:space="preserve">Agreed Value</t>
        </is>
      </c>
      <c r="W419" s="30" t="inlineStr">
        <is>
          <t xml:space="preserve">$1,000</t>
        </is>
      </c>
      <c r="X419" s="32" t="inlineStr">
        <is>
          <t xml:space="preserve">$1,000,000 CSL</t>
        </is>
      </c>
      <c r="Y419" s="30"/>
      <c r="Z419" s="30"/>
      <c r="AA419" s="32" t="inlineStr">
        <is>
          <t xml:space="preserve">Surplus Lines</t>
        </is>
      </c>
      <c r="AB419" s="35">
        <v>5367.49</v>
      </c>
      <c r="AC419" s="37">
        <v>0</v>
      </c>
      <c r="AD419" s="38">
        <f>IF(ISNUMBER($AB419),$AB419*(1+N($AC419)),"")</f>
      </c>
      <c r="AE419" s="35">
        <v>350</v>
      </c>
      <c r="AF419" s="35">
        <v>0</v>
      </c>
      <c r="AG419" s="37"/>
      <c r="AH419" s="39">
        <f>IF(ISNUMBER($AD419),($AD419+$AE419+$AF419)*$AG419,"")</f>
      </c>
      <c r="AI419" s="35"/>
      <c r="AJ419" s="38">
        <f>IF(ISNUMBER($AD419),SUM($AD419:$AH419),"")</f>
      </c>
      <c r="AK419" s="40">
        <f>IF(AND(ISNUMBER($AB419),ISNUMBER($AD419)),IF($AB419&gt;0,$AD419/$AB419,""),"")</f>
      </c>
      <c r="AL419" s="32" t="inlineStr">
        <is>
          <t xml:space="preserve">At technical</t>
        </is>
      </c>
      <c r="AM419" s="41">
        <f>IF(ISNUMBER($AD419),Header!$I$3,"")</f>
      </c>
      <c r="AN419" s="39">
        <f>IF(ISNUMBER($AD419),$AO419+$AP419,"")</f>
      </c>
      <c r="AO419" s="39">
        <f>IF(ISNUMBER($AD419),ROUND($AD419*Header!$K$3,2),"")</f>
      </c>
      <c r="AP419" s="39">
        <f>IF(ISNUMBER($AD419),ROUND($AD419*Header!$M$3,2),"")</f>
      </c>
      <c r="AQ419" s="38">
        <f>IF(ISNUMBER($AD419),ROUND($AD419,2)-$AO419-$AP419,"")</f>
      </c>
      <c r="AR419" s="39">
        <f>IF(ISNUMBER($AD419),IF(Header!$D$34="","?",$AD419*Header!$D$34),"")</f>
      </c>
      <c r="AS419" s="39">
        <f>IF(ISNUMBER($AB419),IF(Header!$D$34="","?",$AB419*Header!$D$34),"")</f>
      </c>
      <c r="AT419" s="42">
        <f>IF(AND(ISNUMBER($AB419),$M419&gt;0),$AB419/$M419*100,"")</f>
      </c>
      <c r="AU419" s="42">
        <f>IF(AND(ISNUMBER($AD419),$M419&gt;0),$AD419/$M419*100,"")</f>
      </c>
      <c r="AV419" s="40">
        <f>IF(AND(ISNUMBER($AB419),ISNUMBER($AD419),ABS($AB419)&gt;0),$AD419/$AB419,"")</f>
      </c>
      <c r="AW419" s="39">
        <f>IF(ISNUMBER($AD419),MAX(0,(1-0.55-Header!$O$3)*Header!$Q$3*$AQ419),"")</f>
      </c>
      <c r="AX419" s="43">
        <f>IF($A419="","",IF(TRIM(IF($A419="","Missing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",""))="","PASS","FAIL: "&amp;TRIM(IF($A419="","Missing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f>
      </c>
      <c r="AY419" s="44">
        <f>IF($M419="","",IF(ISNUMBER($M419),IF($M419&gt;=Header!$C$18,"YES — refer","No"),""))</f>
      </c>
      <c r="AZ419" s="44">
        <f>IF($AD419="","",IF(ISNUMBER($AD419),IF($AD419&lt;Header!$C$20,"BELOW MIN PREMIUM","OK"),""))</f>
      </c>
      <c r="BA419" s="32" t="inlineStr">
        <is>
          <t xml:space="preserve">Yes</t>
        </is>
      </c>
      <c r="BB419" s="32" t="inlineStr">
        <is>
          <t xml:space="preserve">Yes</t>
        </is>
      </c>
      <c r="BC419" s="30" t="inlineStr">
        <is>
          <t xml:space="preserve">Synthetic demo data</t>
        </is>
      </c>
      <c r="BE419" s="45">
        <f>IF(OR($A419="",$L419="",$H419=""),"",IF(AND(LEFT($L419,2)="06",$H419&gt;1945),"FAIL - pre-war class, year "&amp;$H419,IF(AND(LEFT($L419,2)="07",OR($H419&lt;1946,$H419&gt;1972)),"FAIL - 1946-72 class, year "&amp;$H419,IF(AND(LEFT($L419,2)="08",OR($H419&lt;1973,$H419&gt;1999)),"FAIL - 1973-99 class, year "&amp;$H419,IF(AND(LEFT($L419,2)="09",OR($H419&lt;2000,$H419&gt;2010)),"FAIL - 2000-10 class, year "&amp;$H419,"OK")))))</f>
      </c>
      <c r="BF419" s="45">
        <f>IF($AD419="","",IF(ROUND($AO419+$AP419+$AQ419-$AD419,2)=0,"OK","FAIL - out by "&amp;TEXT($AO419+$AP419+$AQ419-$AD419,"$0.00")))</f>
      </c>
    </row>
    <row r="420" spans="1:58" ht="18.75" customHeight="1" x14ac:dyDescent="0.25">
      <c r="A420" s="46" t="inlineStr">
        <is>
          <t xml:space="preserve">CANON-202606-008978</t>
        </is>
      </c>
      <c r="B420" s="46" t="inlineStr">
        <is>
          <t xml:space="preserve">Priya Blackwood</t>
        </is>
      </c>
      <c r="C420" s="47">
        <v>46183</v>
      </c>
      <c r="D420" s="48" t="inlineStr">
        <is>
          <t xml:space="preserve">Bound - within authority</t>
        </is>
      </c>
      <c r="E420" s="48" t="inlineStr">
        <is>
          <t xml:space="preserve">New business</t>
        </is>
      </c>
      <c r="F420" s="46" t="inlineStr">
        <is>
          <t xml:space="preserve">B1234EXOTIC26</t>
        </is>
      </c>
      <c r="G420" s="33">
        <f>IF($A420="","",IF($C420="","",YEAR($C420)))</f>
      </c>
      <c r="H420" s="49">
        <v>1994</v>
      </c>
      <c r="I420" s="46" t="inlineStr">
        <is>
          <t xml:space="preserve">Ferrari</t>
        </is>
      </c>
      <c r="J420" s="46" t="inlineStr">
        <is>
          <t xml:space="preserve">SF90 Stradale</t>
        </is>
      </c>
      <c r="K420" s="46" t="inlineStr">
        <is>
          <t xml:space="preserve">TB38AVNBU6YSTXNBB</t>
        </is>
      </c>
      <c r="L420" s="48" t="inlineStr">
        <is>
          <t xml:space="preserve">03 - Supercar</t>
        </is>
      </c>
      <c r="M420" s="50">
        <v>975000</v>
      </c>
      <c r="N420" s="48" t="inlineStr">
        <is>
          <t xml:space="preserve">Personal</t>
        </is>
      </c>
      <c r="O420" s="46" t="inlineStr">
        <is>
          <t xml:space="preserve">Personal - regular use</t>
        </is>
      </c>
      <c r="P420" s="46" t="inlineStr">
        <is>
          <t xml:space="preserve">2,500 - 5,000</t>
        </is>
      </c>
      <c r="Q420" s="46" t="inlineStr">
        <is>
          <t xml:space="preserve">Oklahoma</t>
        </is>
      </c>
      <c r="R420" s="46" t="inlineStr">
        <is>
          <t xml:space="preserve">73102</t>
        </is>
      </c>
      <c r="S420" s="48" t="inlineStr">
        <is>
          <t xml:space="preserve">Severe convective - hail alley (high)</t>
        </is>
      </c>
      <c r="T420" s="36">
        <f>IF($A420="","",IF($S420="","",IFERROR(INDEX('[1]natural catastrophe'!$D$6:$D$17,MATCH($S420,'[1]natural catastrophe'!$B$6:$B$17,0)),"?")))</f>
      </c>
      <c r="U420" s="46" t="inlineStr">
        <is>
          <t xml:space="preserve">$5,000</t>
        </is>
      </c>
      <c r="V420" s="48" t="inlineStr">
        <is>
          <t xml:space="preserve">Agreed Value</t>
        </is>
      </c>
      <c r="W420" s="46" t="inlineStr">
        <is>
          <t xml:space="preserve">$1,000</t>
        </is>
      </c>
      <c r="X420" s="48" t="inlineStr">
        <is>
          <t xml:space="preserve">$1,000,000 CSL</t>
        </is>
      </c>
      <c r="Y420" s="46"/>
      <c r="Z420" s="46"/>
      <c r="AA420" s="48" t="inlineStr">
        <is>
          <t xml:space="preserve">Surplus Lines</t>
        </is>
      </c>
      <c r="AB420" s="50">
        <v>16841.11</v>
      </c>
      <c r="AC420" s="51">
        <v>0</v>
      </c>
      <c r="AD420" s="38">
        <f>IF(ISNUMBER($AB420),$AB420*(1+N($AC420)),"")</f>
      </c>
      <c r="AE420" s="50">
        <v>350</v>
      </c>
      <c r="AF420" s="50">
        <v>0</v>
      </c>
      <c r="AG420" s="51"/>
      <c r="AH420" s="39">
        <f>IF(ISNUMBER($AD420),($AD420+$AE420+$AF420)*$AG420,"")</f>
      </c>
      <c r="AI420" s="50"/>
      <c r="AJ420" s="38">
        <f>IF(ISNUMBER($AD420),SUM($AD420:$AH420),"")</f>
      </c>
      <c r="AK420" s="40">
        <f>IF(AND(ISNUMBER($AB420),ISNUMBER($AD420)),IF($AB420&gt;0,$AD420/$AB420,""),"")</f>
      </c>
      <c r="AL420" s="48" t="inlineStr">
        <is>
          <t xml:space="preserve">At technical</t>
        </is>
      </c>
      <c r="AM420" s="41">
        <f>IF(ISNUMBER($AD420),Header!$I$3,"")</f>
      </c>
      <c r="AN420" s="39">
        <f>IF(ISNUMBER($AD420),$AO420+$AP420,"")</f>
      </c>
      <c r="AO420" s="39">
        <f>IF(ISNUMBER($AD420),ROUND($AD420*Header!$K$3,2),"")</f>
      </c>
      <c r="AP420" s="39">
        <f>IF(ISNUMBER($AD420),ROUND($AD420*Header!$M$3,2),"")</f>
      </c>
      <c r="AQ420" s="38">
        <f>IF(ISNUMBER($AD420),ROUND($AD420,2)-$AO420-$AP420,"")</f>
      </c>
      <c r="AR420" s="39">
        <f>IF(ISNUMBER($AD420),IF(Header!$D$34="","?",$AD420*Header!$D$34),"")</f>
      </c>
      <c r="AS420" s="39">
        <f>IF(ISNUMBER($AB420),IF(Header!$D$34="","?",$AB420*Header!$D$34),"")</f>
      </c>
      <c r="AT420" s="42">
        <f>IF(AND(ISNUMBER($AB420),$M420&gt;0),$AB420/$M420*100,"")</f>
      </c>
      <c r="AU420" s="42">
        <f>IF(AND(ISNUMBER($AD420),$M420&gt;0),$AD420/$M420*100,"")</f>
      </c>
      <c r="AV420" s="40">
        <f>IF(AND(ISNUMBER($AB420),ISNUMBER($AD420),ABS($AB420)&gt;0),$AD420/$AB420,"")</f>
      </c>
      <c r="AW420" s="39">
        <f>IF(ISNUMBER($AD420),MAX(0,(1-0.55-Header!$O$3)*Header!$Q$3*$AQ420),"")</f>
      </c>
      <c r="AX420" s="43">
        <f>IF($A420="","",IF(TRIM(IF($A420="","Missing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",""))="","PASS","FAIL: "&amp;TRIM(IF($A420="","Missing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f>
      </c>
      <c r="AY420" s="44">
        <f>IF($M420="","",IF(ISNUMBER($M420),IF($M420&gt;=Header!$C$18,"YES — refer","No"),""))</f>
      </c>
      <c r="AZ420" s="44">
        <f>IF($AD420="","",IF(ISNUMBER($AD420),IF($AD420&lt;Header!$C$20,"BELOW MIN PREMIUM","OK"),""))</f>
      </c>
      <c r="BA420" s="48" t="inlineStr">
        <is>
          <t xml:space="preserve">Yes</t>
        </is>
      </c>
      <c r="BB420" s="48" t="inlineStr">
        <is>
          <t xml:space="preserve">Yes</t>
        </is>
      </c>
      <c r="BC420" s="46" t="inlineStr">
        <is>
          <t xml:space="preserve">Synthetic demo data</t>
        </is>
      </c>
      <c r="BE420" s="45">
        <f>IF(OR($A420="",$L420="",$H420=""),"",IF(AND(LEFT($L420,2)="06",$H420&gt;1945),"FAIL - pre-war class, year "&amp;$H420,IF(AND(LEFT($L420,2)="07",OR($H420&lt;1946,$H420&gt;1972)),"FAIL - 1946-72 class, year "&amp;$H420,IF(AND(LEFT($L420,2)="08",OR($H420&lt;1973,$H420&gt;1999)),"FAIL - 1973-99 class, year "&amp;$H420,IF(AND(LEFT($L420,2)="09",OR($H420&lt;2000,$H420&gt;2010)),"FAIL - 2000-10 class, year "&amp;$H420,"OK")))))</f>
      </c>
      <c r="BF420" s="45">
        <f>IF($AD420="","",IF(ROUND($AO420+$AP420+$AQ420-$AD420,2)=0,"OK","FAIL - out by "&amp;TEXT($AO420+$AP420+$AQ420-$AD420,"$0.00")))</f>
      </c>
    </row>
    <row r="421" spans="1:58" ht="18.75" customHeight="1" x14ac:dyDescent="0.25">
      <c r="A421" s="30" t="inlineStr">
        <is>
          <t xml:space="preserve">CANON-202606-008979</t>
        </is>
      </c>
      <c r="B421" s="30" t="inlineStr">
        <is>
          <t xml:space="preserve">Noor Underwood</t>
        </is>
      </c>
      <c r="C421" s="31">
        <v>46190</v>
      </c>
      <c r="D421" s="32" t="inlineStr">
        <is>
          <t xml:space="preserve">Bound - within authority</t>
        </is>
      </c>
      <c r="E421" s="32" t="inlineStr">
        <is>
          <t xml:space="preserve">New business</t>
        </is>
      </c>
      <c r="F421" s="30" t="inlineStr">
        <is>
          <t xml:space="preserve">B1234EXOTIC26</t>
        </is>
      </c>
      <c r="G421" s="33">
        <f>IF($A421="","",IF($C421="","",YEAR($C421)))</f>
      </c>
      <c r="H421" s="34">
        <v>1960</v>
      </c>
      <c r="I421" s="30" t="inlineStr">
        <is>
          <t xml:space="preserve">Mercedes-Benz</t>
        </is>
      </c>
      <c r="J421" s="30" t="inlineStr">
        <is>
          <t xml:space="preserve">AMG GT</t>
        </is>
      </c>
      <c r="K421" s="30" t="inlineStr">
        <is>
          <t xml:space="preserve">VFW52Y3JA9HABJDJR</t>
        </is>
      </c>
      <c r="L421" s="32" t="inlineStr">
        <is>
          <t xml:space="preserve">02 - Sports / GT</t>
        </is>
      </c>
      <c r="M421" s="35">
        <v>420000</v>
      </c>
      <c r="N421" s="32" t="inlineStr">
        <is>
          <t xml:space="preserve">Personal</t>
        </is>
      </c>
      <c r="O421" s="30" t="inlineStr">
        <is>
          <t xml:space="preserve">Personal - regular use</t>
        </is>
      </c>
      <c r="P421" s="30" t="inlineStr">
        <is>
          <t xml:space="preserve">1,000 - 2,500</t>
        </is>
      </c>
      <c r="Q421" s="30" t="inlineStr">
        <is>
          <t xml:space="preserve">Iowa</t>
        </is>
      </c>
      <c r="R421" s="30" t="inlineStr">
        <is>
          <t xml:space="preserve">50309</t>
        </is>
      </c>
      <c r="S421" s="32" t="inlineStr">
        <is>
          <t xml:space="preserve">Severe convective - hail alley (high)</t>
        </is>
      </c>
      <c r="T421" s="36">
        <f>IF($A421="","",IF($S421="","",IFERROR(INDEX('[1]natural catastrophe'!$D$6:$D$17,MATCH($S421,'[1]natural catastrophe'!$B$6:$B$17,0)),"?")))</f>
      </c>
      <c r="U421" s="30" t="inlineStr">
        <is>
          <t xml:space="preserve">$5,000</t>
        </is>
      </c>
      <c r="V421" s="32" t="inlineStr">
        <is>
          <t xml:space="preserve">Agreed Value</t>
        </is>
      </c>
      <c r="W421" s="30" t="inlineStr">
        <is>
          <t xml:space="preserve">$1,000</t>
        </is>
      </c>
      <c r="X421" s="32" t="inlineStr">
        <is>
          <t xml:space="preserve">$1,000,000 CSL</t>
        </is>
      </c>
      <c r="Y421" s="30"/>
      <c r="Z421" s="30"/>
      <c r="AA421" s="32" t="inlineStr">
        <is>
          <t xml:space="preserve">Surplus Lines</t>
        </is>
      </c>
      <c r="AB421" s="35">
        <v>5000.06</v>
      </c>
      <c r="AC421" s="37">
        <v>0</v>
      </c>
      <c r="AD421" s="38">
        <f>IF(ISNUMBER($AB421),$AB421*(1+N($AC421)),"")</f>
      </c>
      <c r="AE421" s="35">
        <v>350</v>
      </c>
      <c r="AF421" s="35">
        <v>0</v>
      </c>
      <c r="AG421" s="37"/>
      <c r="AH421" s="39">
        <f>IF(ISNUMBER($AD421),($AD421+$AE421+$AF421)*$AG421,"")</f>
      </c>
      <c r="AI421" s="35"/>
      <c r="AJ421" s="38">
        <f>IF(ISNUMBER($AD421),SUM($AD421:$AH421),"")</f>
      </c>
      <c r="AK421" s="40">
        <f>IF(AND(ISNUMBER($AB421),ISNUMBER($AD421)),IF($AB421&gt;0,$AD421/$AB421,""),"")</f>
      </c>
      <c r="AL421" s="32" t="inlineStr">
        <is>
          <t xml:space="preserve">At technical</t>
        </is>
      </c>
      <c r="AM421" s="41">
        <f>IF(ISNUMBER($AD421),Header!$I$3,"")</f>
      </c>
      <c r="AN421" s="39">
        <f>IF(ISNUMBER($AD421),$AO421+$AP421,"")</f>
      </c>
      <c r="AO421" s="39">
        <f>IF(ISNUMBER($AD421),ROUND($AD421*Header!$K$3,2),"")</f>
      </c>
      <c r="AP421" s="39">
        <f>IF(ISNUMBER($AD421),ROUND($AD421*Header!$M$3,2),"")</f>
      </c>
      <c r="AQ421" s="38">
        <f>IF(ISNUMBER($AD421),ROUND($AD421,2)-$AO421-$AP421,"")</f>
      </c>
      <c r="AR421" s="39">
        <f>IF(ISNUMBER($AD421),IF(Header!$D$34="","?",$AD421*Header!$D$34),"")</f>
      </c>
      <c r="AS421" s="39">
        <f>IF(ISNUMBER($AB421),IF(Header!$D$34="","?",$AB421*Header!$D$34),"")</f>
      </c>
      <c r="AT421" s="42">
        <f>IF(AND(ISNUMBER($AB421),$M421&gt;0),$AB421/$M421*100,"")</f>
      </c>
      <c r="AU421" s="42">
        <f>IF(AND(ISNUMBER($AD421),$M421&gt;0),$AD421/$M421*100,"")</f>
      </c>
      <c r="AV421" s="40">
        <f>IF(AND(ISNUMBER($AB421),ISNUMBER($AD421),ABS($AB421)&gt;0),$AD421/$AB421,"")</f>
      </c>
      <c r="AW421" s="39">
        <f>IF(ISNUMBER($AD421),MAX(0,(1-0.55-Header!$O$3)*Header!$Q$3*$AQ421),"")</f>
      </c>
      <c r="AX421" s="43">
        <f>IF($A421="","",IF(TRIM(IF($A421="","Missing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",""))="","PASS","FAIL: "&amp;TRIM(IF($A421="","Missing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f>
      </c>
      <c r="AY421" s="44">
        <f>IF($M421="","",IF(ISNUMBER($M421),IF($M421&gt;=Header!$C$18,"YES — refer","No"),""))</f>
      </c>
      <c r="AZ421" s="44">
        <f>IF($AD421="","",IF(ISNUMBER($AD421),IF($AD421&lt;Header!$C$20,"BELOW MIN PREMIUM","OK"),""))</f>
      </c>
      <c r="BA421" s="32" t="inlineStr">
        <is>
          <t xml:space="preserve">Yes</t>
        </is>
      </c>
      <c r="BB421" s="32" t="inlineStr">
        <is>
          <t xml:space="preserve">Yes</t>
        </is>
      </c>
      <c r="BC421" s="30" t="inlineStr">
        <is>
          <t xml:space="preserve">Synthetic demo data</t>
        </is>
      </c>
      <c r="BE421" s="45">
        <f>IF(OR($A421="",$L421="",$H421=""),"",IF(AND(LEFT($L421,2)="06",$H421&gt;1945),"FAIL - pre-war class, year "&amp;$H421,IF(AND(LEFT($L421,2)="07",OR($H421&lt;1946,$H421&gt;1972)),"FAIL - 1946-72 class, year "&amp;$H421,IF(AND(LEFT($L421,2)="08",OR($H421&lt;1973,$H421&gt;1999)),"FAIL - 1973-99 class, year "&amp;$H421,IF(AND(LEFT($L421,2)="09",OR($H421&lt;2000,$H421&gt;2010)),"FAIL - 2000-10 class, year "&amp;$H421,"OK")))))</f>
      </c>
      <c r="BF421" s="45">
        <f>IF($AD421="","",IF(ROUND($AO421+$AP421+$AQ421-$AD421,2)=0,"OK","FAIL - out by "&amp;TEXT($AO421+$AP421+$AQ421-$AD421,"$0.00")))</f>
      </c>
    </row>
    <row r="422" spans="1:58" ht="18.75" customHeight="1" x14ac:dyDescent="0.25">
      <c r="A422" s="46" t="inlineStr">
        <is>
          <t xml:space="preserve">CANON-202606-008981</t>
        </is>
      </c>
      <c r="B422" s="46" t="inlineStr">
        <is>
          <t xml:space="preserve">Fitzgerald Underwood</t>
        </is>
      </c>
      <c r="C422" s="47">
        <v>46186</v>
      </c>
      <c r="D422" s="48" t="inlineStr">
        <is>
          <t xml:space="preserve">Bound - within authority</t>
        </is>
      </c>
      <c r="E422" s="48" t="inlineStr">
        <is>
          <t xml:space="preserve">New business</t>
        </is>
      </c>
      <c r="F422" s="46" t="inlineStr">
        <is>
          <t xml:space="preserve">B1234EXOTIC26</t>
        </is>
      </c>
      <c r="G422" s="33">
        <f>IF($A422="","",IF($C422="","",YEAR($C422)))</f>
      </c>
      <c r="H422" s="49">
        <v>1968</v>
      </c>
      <c r="I422" s="46" t="inlineStr">
        <is>
          <t xml:space="preserve">Ringbrothers</t>
        </is>
      </c>
      <c r="J422" s="46" t="inlineStr">
        <is>
          <t xml:space="preserve">Mustang</t>
        </is>
      </c>
      <c r="K422" s="46" t="inlineStr">
        <is>
          <t xml:space="preserve">DUUL19WPTF30MP227</t>
        </is>
      </c>
      <c r="L422" s="48" t="inlineStr">
        <is>
          <t xml:space="preserve">11 - Restomod / Coachbuilt / Bespoke</t>
        </is>
      </c>
      <c r="M422" s="50">
        <v>890000</v>
      </c>
      <c r="N422" s="48" t="inlineStr">
        <is>
          <t xml:space="preserve">Personal</t>
        </is>
      </c>
      <c r="O422" s="46" t="inlineStr">
        <is>
          <t xml:space="preserve">Personal - regular use</t>
        </is>
      </c>
      <c r="P422" s="46" t="inlineStr">
        <is>
          <t xml:space="preserve">Under 1,000</t>
        </is>
      </c>
      <c r="Q422" s="46" t="inlineStr">
        <is>
          <t xml:space="preserve">Tennessee</t>
        </is>
      </c>
      <c r="R422" s="46" t="inlineStr">
        <is>
          <t xml:space="preserve">37203</t>
        </is>
      </c>
      <c r="S422" s="48" t="inlineStr">
        <is>
          <t xml:space="preserve">Severe convective - hail / tornado (moderate)</t>
        </is>
      </c>
      <c r="T422" s="36">
        <f>IF($A422="","",IF($S422="","",IFERROR(INDEX('[1]natural catastrophe'!$D$6:$D$17,MATCH($S422,'[1]natural catastrophe'!$B$6:$B$17,0)),"?")))</f>
      </c>
      <c r="U422" s="46" t="inlineStr">
        <is>
          <t xml:space="preserve">$5,000</t>
        </is>
      </c>
      <c r="V422" s="48" t="inlineStr">
        <is>
          <t xml:space="preserve">Agreed Value</t>
        </is>
      </c>
      <c r="W422" s="46" t="inlineStr">
        <is>
          <t xml:space="preserve">$1,000</t>
        </is>
      </c>
      <c r="X422" s="48" t="inlineStr">
        <is>
          <t xml:space="preserve">$1,000,000 CSL</t>
        </is>
      </c>
      <c r="Y422" s="46"/>
      <c r="Z422" s="46"/>
      <c r="AA422" s="48" t="inlineStr">
        <is>
          <t xml:space="preserve">Surplus Lines</t>
        </is>
      </c>
      <c r="AB422" s="50">
        <v>9817.09</v>
      </c>
      <c r="AC422" s="51">
        <v>0</v>
      </c>
      <c r="AD422" s="38">
        <f>IF(ISNUMBER($AB422),$AB422*(1+N($AC422)),"")</f>
      </c>
      <c r="AE422" s="50">
        <v>350</v>
      </c>
      <c r="AF422" s="50">
        <v>0</v>
      </c>
      <c r="AG422" s="51"/>
      <c r="AH422" s="39">
        <f>IF(ISNUMBER($AD422),($AD422+$AE422+$AF422)*$AG422,"")</f>
      </c>
      <c r="AI422" s="50"/>
      <c r="AJ422" s="38">
        <f>IF(ISNUMBER($AD422),SUM($AD422:$AH422),"")</f>
      </c>
      <c r="AK422" s="40">
        <f>IF(AND(ISNUMBER($AB422),ISNUMBER($AD422)),IF($AB422&gt;0,$AD422/$AB422,""),"")</f>
      </c>
      <c r="AL422" s="48" t="inlineStr">
        <is>
          <t xml:space="preserve">At technical</t>
        </is>
      </c>
      <c r="AM422" s="41">
        <f>IF(ISNUMBER($AD422),Header!$I$3,"")</f>
      </c>
      <c r="AN422" s="39">
        <f>IF(ISNUMBER($AD422),$AO422+$AP422,"")</f>
      </c>
      <c r="AO422" s="39">
        <f>IF(ISNUMBER($AD422),ROUND($AD422*Header!$K$3,2),"")</f>
      </c>
      <c r="AP422" s="39">
        <f>IF(ISNUMBER($AD422),ROUND($AD422*Header!$M$3,2),"")</f>
      </c>
      <c r="AQ422" s="38">
        <f>IF(ISNUMBER($AD422),ROUND($AD422,2)-$AO422-$AP422,"")</f>
      </c>
      <c r="AR422" s="39">
        <f>IF(ISNUMBER($AD422),IF(Header!$D$34="","?",$AD422*Header!$D$34),"")</f>
      </c>
      <c r="AS422" s="39">
        <f>IF(ISNUMBER($AB422),IF(Header!$D$34="","?",$AB422*Header!$D$34),"")</f>
      </c>
      <c r="AT422" s="42">
        <f>IF(AND(ISNUMBER($AB422),$M422&gt;0),$AB422/$M422*100,"")</f>
      </c>
      <c r="AU422" s="42">
        <f>IF(AND(ISNUMBER($AD422),$M422&gt;0),$AD422/$M422*100,"")</f>
      </c>
      <c r="AV422" s="40">
        <f>IF(AND(ISNUMBER($AB422),ISNUMBER($AD422),ABS($AB422)&gt;0),$AD422/$AB422,"")</f>
      </c>
      <c r="AW422" s="39">
        <f>IF(ISNUMBER($AD422),MAX(0,(1-0.55-Header!$O$3)*Header!$Q$3*$AQ422),"")</f>
      </c>
      <c r="AX422" s="43">
        <f>IF($A422="","",IF(TRIM(IF($A422="","Missing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",""))="","PASS","FAIL: "&amp;TRIM(IF($A422="","Missing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f>
      </c>
      <c r="AY422" s="44">
        <f>IF($M422="","",IF(ISNUMBER($M422),IF($M422&gt;=Header!$C$18,"YES — refer","No"),""))</f>
      </c>
      <c r="AZ422" s="44">
        <f>IF($AD422="","",IF(ISNUMBER($AD422),IF($AD422&lt;Header!$C$20,"BELOW MIN PREMIUM","OK"),""))</f>
      </c>
      <c r="BA422" s="48" t="inlineStr">
        <is>
          <t xml:space="preserve">Yes</t>
        </is>
      </c>
      <c r="BB422" s="48" t="inlineStr">
        <is>
          <t xml:space="preserve">Yes</t>
        </is>
      </c>
      <c r="BC422" s="46" t="inlineStr">
        <is>
          <t xml:space="preserve">Synthetic demo data</t>
        </is>
      </c>
      <c r="BE422" s="45">
        <f>IF(OR($A422="",$L422="",$H422=""),"",IF(AND(LEFT($L422,2)="06",$H422&gt;1945),"FAIL - pre-war class, year "&amp;$H422,IF(AND(LEFT($L422,2)="07",OR($H422&lt;1946,$H422&gt;1972)),"FAIL - 1946-72 class, year "&amp;$H422,IF(AND(LEFT($L422,2)="08",OR($H422&lt;1973,$H422&gt;1999)),"FAIL - 1973-99 class, year "&amp;$H422,IF(AND(LEFT($L422,2)="09",OR($H422&lt;2000,$H422&gt;2010)),"FAIL - 2000-10 class, year "&amp;$H422,"OK")))))</f>
      </c>
      <c r="BF422" s="45">
        <f>IF($AD422="","",IF(ROUND($AO422+$AP422+$AQ422-$AD422,2)=0,"OK","FAIL - out by "&amp;TEXT($AO422+$AP422+$AQ422-$AD422,"$0.00")))</f>
      </c>
    </row>
    <row r="423" spans="1:58" ht="18.75" customHeight="1" x14ac:dyDescent="0.25">
      <c r="A423" s="30" t="inlineStr">
        <is>
          <t xml:space="preserve">CANON-202606-008982</t>
        </is>
      </c>
      <c r="B423" s="30" t="inlineStr">
        <is>
          <t xml:space="preserve">Fenwick Bellandi</t>
        </is>
      </c>
      <c r="C423" s="31">
        <v>46179</v>
      </c>
      <c r="D423" s="32" t="inlineStr">
        <is>
          <t xml:space="preserve">Bound - within authority</t>
        </is>
      </c>
      <c r="E423" s="32" t="inlineStr">
        <is>
          <t xml:space="preserve">New business</t>
        </is>
      </c>
      <c r="F423" s="30" t="inlineStr">
        <is>
          <t xml:space="preserve">B1234EXOTIC26</t>
        </is>
      </c>
      <c r="G423" s="33">
        <f>IF($A423="","",IF($C423="","",YEAR($C423)))</f>
      </c>
      <c r="H423" s="34">
        <v>2024</v>
      </c>
      <c r="I423" s="30" t="inlineStr">
        <is>
          <t xml:space="preserve">BMW</t>
        </is>
      </c>
      <c r="J423" s="30" t="inlineStr">
        <is>
          <t xml:space="preserve">M8 Competition</t>
        </is>
      </c>
      <c r="K423" s="30" t="inlineStr">
        <is>
          <t xml:space="preserve">JTEMT8SW0A2TRZHYA</t>
        </is>
      </c>
      <c r="L423" s="32" t="inlineStr">
        <is>
          <t xml:space="preserve">02 - Sports / GT</t>
        </is>
      </c>
      <c r="M423" s="35">
        <v>925000</v>
      </c>
      <c r="N423" s="32" t="inlineStr">
        <is>
          <t xml:space="preserve">Personal</t>
        </is>
      </c>
      <c r="O423" s="30" t="inlineStr">
        <is>
          <t xml:space="preserve">Personal - regular use</t>
        </is>
      </c>
      <c r="P423" s="30" t="inlineStr">
        <is>
          <t xml:space="preserve">2,500 - 5,000</t>
        </is>
      </c>
      <c r="Q423" s="30" t="inlineStr">
        <is>
          <t xml:space="preserve">Idaho</t>
        </is>
      </c>
      <c r="R423" s="30" t="inlineStr">
        <is>
          <t xml:space="preserve">83702</t>
        </is>
      </c>
      <c r="S423" s="32" t="inlineStr">
        <is>
          <t xml:space="preserve">Wildfire - WUI high hazard</t>
        </is>
      </c>
      <c r="T423" s="36">
        <f>IF($A423="","",IF($S423="","",IFERROR(INDEX('[1]natural catastrophe'!$D$6:$D$17,MATCH($S423,'[1]natural catastrophe'!$B$6:$B$17,0)),"?")))</f>
      </c>
      <c r="U423" s="30" t="inlineStr">
        <is>
          <t xml:space="preserve">$5,000</t>
        </is>
      </c>
      <c r="V423" s="32" t="inlineStr">
        <is>
          <t xml:space="preserve">Agreed Value</t>
        </is>
      </c>
      <c r="W423" s="30" t="inlineStr">
        <is>
          <t xml:space="preserve">$1,000</t>
        </is>
      </c>
      <c r="X423" s="32" t="inlineStr">
        <is>
          <t xml:space="preserve">$1,000,000 CSL</t>
        </is>
      </c>
      <c r="Y423" s="30"/>
      <c r="Z423" s="30"/>
      <c r="AA423" s="32" t="inlineStr">
        <is>
          <t xml:space="preserve">Surplus Lines</t>
        </is>
      </c>
      <c r="AB423" s="35">
        <v>8589.39</v>
      </c>
      <c r="AC423" s="37">
        <v>0</v>
      </c>
      <c r="AD423" s="38">
        <f>IF(ISNUMBER($AB423),$AB423*(1+N($AC423)),"")</f>
      </c>
      <c r="AE423" s="35">
        <v>350</v>
      </c>
      <c r="AF423" s="35">
        <v>0</v>
      </c>
      <c r="AG423" s="37"/>
      <c r="AH423" s="39">
        <f>IF(ISNUMBER($AD423),($AD423+$AE423+$AF423)*$AG423,"")</f>
      </c>
      <c r="AI423" s="35"/>
      <c r="AJ423" s="38">
        <f>IF(ISNUMBER($AD423),SUM($AD423:$AH423),"")</f>
      </c>
      <c r="AK423" s="40">
        <f>IF(AND(ISNUMBER($AB423),ISNUMBER($AD423)),IF($AB423&gt;0,$AD423/$AB423,""),"")</f>
      </c>
      <c r="AL423" s="32" t="inlineStr">
        <is>
          <t xml:space="preserve">At technical</t>
        </is>
      </c>
      <c r="AM423" s="41">
        <f>IF(ISNUMBER($AD423),Header!$I$3,"")</f>
      </c>
      <c r="AN423" s="39">
        <f>IF(ISNUMBER($AD423),$AO423+$AP423,"")</f>
      </c>
      <c r="AO423" s="39">
        <f>IF(ISNUMBER($AD423),ROUND($AD423*Header!$K$3,2),"")</f>
      </c>
      <c r="AP423" s="39">
        <f>IF(ISNUMBER($AD423),ROUND($AD423*Header!$M$3,2),"")</f>
      </c>
      <c r="AQ423" s="38">
        <f>IF(ISNUMBER($AD423),ROUND($AD423,2)-$AO423-$AP423,"")</f>
      </c>
      <c r="AR423" s="39">
        <f>IF(ISNUMBER($AD423),IF(Header!$D$34="","?",$AD423*Header!$D$34),"")</f>
      </c>
      <c r="AS423" s="39">
        <f>IF(ISNUMBER($AB423),IF(Header!$D$34="","?",$AB423*Header!$D$34),"")</f>
      </c>
      <c r="AT423" s="42">
        <f>IF(AND(ISNUMBER($AB423),$M423&gt;0),$AB423/$M423*100,"")</f>
      </c>
      <c r="AU423" s="42">
        <f>IF(AND(ISNUMBER($AD423),$M423&gt;0),$AD423/$M423*100,"")</f>
      </c>
      <c r="AV423" s="40">
        <f>IF(AND(ISNUMBER($AB423),ISNUMBER($AD423),ABS($AB423)&gt;0),$AD423/$AB423,"")</f>
      </c>
      <c r="AW423" s="39">
        <f>IF(ISNUMBER($AD423),MAX(0,(1-0.55-Header!$O$3)*Header!$Q$3*$AQ423),"")</f>
      </c>
      <c r="AX423" s="43">
        <f>IF($A423="","",IF(TRIM(IF($A423="","Missing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",""))="","PASS","FAIL: "&amp;TRIM(IF($A423="","Missing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f>
      </c>
      <c r="AY423" s="44">
        <f>IF($M423="","",IF(ISNUMBER($M423),IF($M423&gt;=Header!$C$18,"YES — refer","No"),""))</f>
      </c>
      <c r="AZ423" s="44">
        <f>IF($AD423="","",IF(ISNUMBER($AD423),IF($AD423&lt;Header!$C$20,"BELOW MIN PREMIUM","OK"),""))</f>
      </c>
      <c r="BA423" s="32" t="inlineStr">
        <is>
          <t xml:space="preserve">Yes</t>
        </is>
      </c>
      <c r="BB423" s="32" t="inlineStr">
        <is>
          <t xml:space="preserve">Yes</t>
        </is>
      </c>
      <c r="BC423" s="30" t="inlineStr">
        <is>
          <t xml:space="preserve">Synthetic demo data</t>
        </is>
      </c>
      <c r="BE423" s="45">
        <f>IF(OR($A423="",$L423="",$H423=""),"",IF(AND(LEFT($L423,2)="06",$H423&gt;1945),"FAIL - pre-war class, year "&amp;$H423,IF(AND(LEFT($L423,2)="07",OR($H423&lt;1946,$H423&gt;1972)),"FAIL - 1946-72 class, year "&amp;$H423,IF(AND(LEFT($L423,2)="08",OR($H423&lt;1973,$H423&gt;1999)),"FAIL - 1973-99 class, year "&amp;$H423,IF(AND(LEFT($L423,2)="09",OR($H423&lt;2000,$H423&gt;2010)),"FAIL - 2000-10 class, year "&amp;$H423,"OK")))))</f>
      </c>
      <c r="BF423" s="45">
        <f>IF($AD423="","",IF(ROUND($AO423+$AP423+$AQ423-$AD423,2)=0,"OK","FAIL - out by "&amp;TEXT($AO423+$AP423+$AQ423-$AD423,"$0.00")))</f>
      </c>
    </row>
    <row r="424" spans="1:58" ht="18.75" customHeight="1" x14ac:dyDescent="0.25">
      <c r="A424" s="46" t="inlineStr">
        <is>
          <t xml:space="preserve">CANON-202606-008983</t>
        </is>
      </c>
      <c r="B424" s="46" t="inlineStr">
        <is>
          <t xml:space="preserve">Beatrix Harrington</t>
        </is>
      </c>
      <c r="C424" s="47">
        <v>46198</v>
      </c>
      <c r="D424" s="48" t="inlineStr">
        <is>
          <t xml:space="preserve">Bound - within authority</t>
        </is>
      </c>
      <c r="E424" s="48" t="inlineStr">
        <is>
          <t xml:space="preserve">New business</t>
        </is>
      </c>
      <c r="F424" s="46" t="inlineStr">
        <is>
          <t xml:space="preserve">B1234EXOTIC26</t>
        </is>
      </c>
      <c r="G424" s="33">
        <f>IF($A424="","",IF($C424="","",YEAR($C424)))</f>
      </c>
      <c r="H424" s="49">
        <v>1992</v>
      </c>
      <c r="I424" s="46" t="inlineStr">
        <is>
          <t xml:space="preserve">Bentley</t>
        </is>
      </c>
      <c r="J424" s="46" t="inlineStr">
        <is>
          <t xml:space="preserve">Continental GT</t>
        </is>
      </c>
      <c r="K424" s="46" t="inlineStr">
        <is>
          <t xml:space="preserve">X1P60U1ALYT14RW2B</t>
        </is>
      </c>
      <c r="L424" s="48" t="inlineStr">
        <is>
          <t xml:space="preserve">02 - Sports / GT</t>
        </is>
      </c>
      <c r="M424" s="50">
        <v>410000</v>
      </c>
      <c r="N424" s="48" t="inlineStr">
        <is>
          <t xml:space="preserve">Personal</t>
        </is>
      </c>
      <c r="O424" s="46" t="inlineStr">
        <is>
          <t xml:space="preserve">Personal - regular use</t>
        </is>
      </c>
      <c r="P424" s="46" t="inlineStr">
        <is>
          <t xml:space="preserve">1,000 - 2,500</t>
        </is>
      </c>
      <c r="Q424" s="46" t="inlineStr">
        <is>
          <t xml:space="preserve">New York</t>
        </is>
      </c>
      <c r="R424" s="46" t="inlineStr">
        <is>
          <t xml:space="preserve">10022</t>
        </is>
      </c>
      <c r="S424" s="48" t="inlineStr">
        <is>
          <t xml:space="preserve">Tier 3 - Coastal wind (25-100 miles)</t>
        </is>
      </c>
      <c r="T424" s="36">
        <f>IF($A424="","",IF($S424="","",IFERROR(INDEX('[1]natural catastrophe'!$D$6:$D$17,MATCH($S424,'[1]natural catastrophe'!$B$6:$B$17,0)),"?")))</f>
      </c>
      <c r="U424" s="46" t="inlineStr">
        <is>
          <t xml:space="preserve">2% of agreed value, minimum $10,000</t>
        </is>
      </c>
      <c r="V424" s="48" t="inlineStr">
        <is>
          <t xml:space="preserve">Agreed Value</t>
        </is>
      </c>
      <c r="W424" s="46" t="inlineStr">
        <is>
          <t xml:space="preserve">$1,000</t>
        </is>
      </c>
      <c r="X424" s="48" t="inlineStr">
        <is>
          <t xml:space="preserve">$1,000,000 CSL</t>
        </is>
      </c>
      <c r="Y424" s="46"/>
      <c r="Z424" s="46"/>
      <c r="AA424" s="48" t="inlineStr">
        <is>
          <t xml:space="preserve">Surplus Lines</t>
        </is>
      </c>
      <c r="AB424" s="50">
        <v>5679.73</v>
      </c>
      <c r="AC424" s="51">
        <v>0</v>
      </c>
      <c r="AD424" s="38">
        <f>IF(ISNUMBER($AB424),$AB424*(1+N($AC424)),"")</f>
      </c>
      <c r="AE424" s="50">
        <v>350</v>
      </c>
      <c r="AF424" s="50">
        <v>0</v>
      </c>
      <c r="AG424" s="51"/>
      <c r="AH424" s="39">
        <f>IF(ISNUMBER($AD424),($AD424+$AE424+$AF424)*$AG424,"")</f>
      </c>
      <c r="AI424" s="50"/>
      <c r="AJ424" s="38">
        <f>IF(ISNUMBER($AD424),SUM($AD424:$AH424),"")</f>
      </c>
      <c r="AK424" s="40">
        <f>IF(AND(ISNUMBER($AB424),ISNUMBER($AD424)),IF($AB424&gt;0,$AD424/$AB424,""),"")</f>
      </c>
      <c r="AL424" s="48" t="inlineStr">
        <is>
          <t xml:space="preserve">At technical</t>
        </is>
      </c>
      <c r="AM424" s="41">
        <f>IF(ISNUMBER($AD424),Header!$I$3,"")</f>
      </c>
      <c r="AN424" s="39">
        <f>IF(ISNUMBER($AD424),$AO424+$AP424,"")</f>
      </c>
      <c r="AO424" s="39">
        <f>IF(ISNUMBER($AD424),ROUND($AD424*Header!$K$3,2),"")</f>
      </c>
      <c r="AP424" s="39">
        <f>IF(ISNUMBER($AD424),ROUND($AD424*Header!$M$3,2),"")</f>
      </c>
      <c r="AQ424" s="38">
        <f>IF(ISNUMBER($AD424),ROUND($AD424,2)-$AO424-$AP424,"")</f>
      </c>
      <c r="AR424" s="39">
        <f>IF(ISNUMBER($AD424),IF(Header!$D$34="","?",$AD424*Header!$D$34),"")</f>
      </c>
      <c r="AS424" s="39">
        <f>IF(ISNUMBER($AB424),IF(Header!$D$34="","?",$AB424*Header!$D$34),"")</f>
      </c>
      <c r="AT424" s="42">
        <f>IF(AND(ISNUMBER($AB424),$M424&gt;0),$AB424/$M424*100,"")</f>
      </c>
      <c r="AU424" s="42">
        <f>IF(AND(ISNUMBER($AD424),$M424&gt;0),$AD424/$M424*100,"")</f>
      </c>
      <c r="AV424" s="40">
        <f>IF(AND(ISNUMBER($AB424),ISNUMBER($AD424),ABS($AB424)&gt;0),$AD424/$AB424,"")</f>
      </c>
      <c r="AW424" s="39">
        <f>IF(ISNUMBER($AD424),MAX(0,(1-0.55-Header!$O$3)*Header!$Q$3*$AQ424),"")</f>
      </c>
      <c r="AX424" s="43">
        <f>IF($A424="","",IF(TRIM(IF($A424="","Missing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",""))="","PASS","FAIL: "&amp;TRIM(IF($A424="","Missing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f>
      </c>
      <c r="AY424" s="44">
        <f>IF($M424="","",IF(ISNUMBER($M424),IF($M424&gt;=Header!$C$18,"YES — refer","No"),""))</f>
      </c>
      <c r="AZ424" s="44">
        <f>IF($AD424="","",IF(ISNUMBER($AD424),IF($AD424&lt;Header!$C$20,"BELOW MIN PREMIUM","OK"),""))</f>
      </c>
      <c r="BA424" s="48" t="inlineStr">
        <is>
          <t xml:space="preserve">Yes</t>
        </is>
      </c>
      <c r="BB424" s="48" t="inlineStr">
        <is>
          <t xml:space="preserve">Yes</t>
        </is>
      </c>
      <c r="BC424" s="46" t="inlineStr">
        <is>
          <t xml:space="preserve">Synthetic demo data</t>
        </is>
      </c>
      <c r="BE424" s="45">
        <f>IF(OR($A424="",$L424="",$H424=""),"",IF(AND(LEFT($L424,2)="06",$H424&gt;1945),"FAIL - pre-war class, year "&amp;$H424,IF(AND(LEFT($L424,2)="07",OR($H424&lt;1946,$H424&gt;1972)),"FAIL - 1946-72 class, year "&amp;$H424,IF(AND(LEFT($L424,2)="08",OR($H424&lt;1973,$H424&gt;1999)),"FAIL - 1973-99 class, year "&amp;$H424,IF(AND(LEFT($L424,2)="09",OR($H424&lt;2000,$H424&gt;2010)),"FAIL - 2000-10 class, year "&amp;$H424,"OK")))))</f>
      </c>
      <c r="BF424" s="45">
        <f>IF($AD424="","",IF(ROUND($AO424+$AP424+$AQ424-$AD424,2)=0,"OK","FAIL - out by "&amp;TEXT($AO424+$AP424+$AQ424-$AD424,"$0.00")))</f>
      </c>
    </row>
    <row r="425" spans="1:58" ht="18.75" customHeight="1" x14ac:dyDescent="0.25">
      <c r="A425" s="30" t="inlineStr">
        <is>
          <t xml:space="preserve">CANON-202606-008984</t>
        </is>
      </c>
      <c r="B425" s="30" t="inlineStr">
        <is>
          <t xml:space="preserve">Anouk Delacroix</t>
        </is>
      </c>
      <c r="C425" s="31">
        <v>46196</v>
      </c>
      <c r="D425" s="32" t="inlineStr">
        <is>
          <t xml:space="preserve">Bound - within authority</t>
        </is>
      </c>
      <c r="E425" s="32" t="inlineStr">
        <is>
          <t xml:space="preserve">New business</t>
        </is>
      </c>
      <c r="F425" s="30" t="inlineStr">
        <is>
          <t xml:space="preserve">B1234EXOTIC26</t>
        </is>
      </c>
      <c r="G425" s="33">
        <f>IF($A425="","",IF($C425="","",YEAR($C425)))</f>
      </c>
      <c r="H425" s="34">
        <v>1971</v>
      </c>
      <c r="I425" s="30" t="inlineStr">
        <is>
          <t xml:space="preserve">Mercedes-Benz</t>
        </is>
      </c>
      <c r="J425" s="30" t="inlineStr">
        <is>
          <t xml:space="preserve">AMG GT</t>
        </is>
      </c>
      <c r="K425" s="30" t="inlineStr">
        <is>
          <t xml:space="preserve">0GZWTMPCAGVC1HHCW</t>
        </is>
      </c>
      <c r="L425" s="32" t="inlineStr">
        <is>
          <t xml:space="preserve">02 - Sports / GT</t>
        </is>
      </c>
      <c r="M425" s="35">
        <v>720000</v>
      </c>
      <c r="N425" s="32" t="inlineStr">
        <is>
          <t xml:space="preserve">Personal</t>
        </is>
      </c>
      <c r="O425" s="30" t="inlineStr">
        <is>
          <t xml:space="preserve">Personal - regular use</t>
        </is>
      </c>
      <c r="P425" s="30" t="inlineStr">
        <is>
          <t xml:space="preserve">1,000 - 2,500</t>
        </is>
      </c>
      <c r="Q425" s="30" t="inlineStr">
        <is>
          <t xml:space="preserve">California</t>
        </is>
      </c>
      <c r="R425" s="30" t="inlineStr">
        <is>
          <t xml:space="preserve">90012</t>
        </is>
      </c>
      <c r="S425" s="32" t="inlineStr">
        <is>
          <t xml:space="preserve">Earthquake - high (CA, Cascadia, New Madrid)</t>
        </is>
      </c>
      <c r="T425" s="36">
        <f>IF($A425="","",IF($S425="","",IFERROR(INDEX('[1]natural catastrophe'!$D$6:$D$17,MATCH($S425,'[1]natural catastrophe'!$B$6:$B$17,0)),"?")))</f>
      </c>
      <c r="U425" s="30" t="inlineStr">
        <is>
          <t xml:space="preserve">$5,000</t>
        </is>
      </c>
      <c r="V425" s="32" t="inlineStr">
        <is>
          <t xml:space="preserve">Agreed Value</t>
        </is>
      </c>
      <c r="W425" s="30" t="inlineStr">
        <is>
          <t xml:space="preserve">$1,000</t>
        </is>
      </c>
      <c r="X425" s="32" t="inlineStr">
        <is>
          <t xml:space="preserve">$1,000,000 CSL</t>
        </is>
      </c>
      <c r="Y425" s="30"/>
      <c r="Z425" s="30"/>
      <c r="AA425" s="32" t="inlineStr">
        <is>
          <t xml:space="preserve">Surplus Lines</t>
        </is>
      </c>
      <c r="AB425" s="35">
        <v>9116.99</v>
      </c>
      <c r="AC425" s="37">
        <v>0</v>
      </c>
      <c r="AD425" s="38">
        <f>IF(ISNUMBER($AB425),$AB425*(1+N($AC425)),"")</f>
      </c>
      <c r="AE425" s="35">
        <v>350</v>
      </c>
      <c r="AF425" s="35">
        <v>0</v>
      </c>
      <c r="AG425" s="37"/>
      <c r="AH425" s="39">
        <f>IF(ISNUMBER($AD425),($AD425+$AE425+$AF425)*$AG425,"")</f>
      </c>
      <c r="AI425" s="35"/>
      <c r="AJ425" s="38">
        <f>IF(ISNUMBER($AD425),SUM($AD425:$AH425),"")</f>
      </c>
      <c r="AK425" s="40">
        <f>IF(AND(ISNUMBER($AB425),ISNUMBER($AD425)),IF($AB425&gt;0,$AD425/$AB425,""),"")</f>
      </c>
      <c r="AL425" s="32" t="inlineStr">
        <is>
          <t xml:space="preserve">At technical</t>
        </is>
      </c>
      <c r="AM425" s="41">
        <f>IF(ISNUMBER($AD425),Header!$I$3,"")</f>
      </c>
      <c r="AN425" s="39">
        <f>IF(ISNUMBER($AD425),$AO425+$AP425,"")</f>
      </c>
      <c r="AO425" s="39">
        <f>IF(ISNUMBER($AD425),ROUND($AD425*Header!$K$3,2),"")</f>
      </c>
      <c r="AP425" s="39">
        <f>IF(ISNUMBER($AD425),ROUND($AD425*Header!$M$3,2),"")</f>
      </c>
      <c r="AQ425" s="38">
        <f>IF(ISNUMBER($AD425),ROUND($AD425,2)-$AO425-$AP425,"")</f>
      </c>
      <c r="AR425" s="39">
        <f>IF(ISNUMBER($AD425),IF(Header!$D$34="","?",$AD425*Header!$D$34),"")</f>
      </c>
      <c r="AS425" s="39">
        <f>IF(ISNUMBER($AB425),IF(Header!$D$34="","?",$AB425*Header!$D$34),"")</f>
      </c>
      <c r="AT425" s="42">
        <f>IF(AND(ISNUMBER($AB425),$M425&gt;0),$AB425/$M425*100,"")</f>
      </c>
      <c r="AU425" s="42">
        <f>IF(AND(ISNUMBER($AD425),$M425&gt;0),$AD425/$M425*100,"")</f>
      </c>
      <c r="AV425" s="40">
        <f>IF(AND(ISNUMBER($AB425),ISNUMBER($AD425),ABS($AB425)&gt;0),$AD425/$AB425,"")</f>
      </c>
      <c r="AW425" s="39">
        <f>IF(ISNUMBER($AD425),MAX(0,(1-0.55-Header!$O$3)*Header!$Q$3*$AQ425),"")</f>
      </c>
      <c r="AX425" s="43">
        <f>IF($A425="","",IF(TRIM(IF($A425="","Missing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",""))="","PASS","FAIL: "&amp;TRIM(IF($A425="","Missing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f>
      </c>
      <c r="AY425" s="44">
        <f>IF($M425="","",IF(ISNUMBER($M425),IF($M425&gt;=Header!$C$18,"YES — refer","No"),""))</f>
      </c>
      <c r="AZ425" s="44">
        <f>IF($AD425="","",IF(ISNUMBER($AD425),IF($AD425&lt;Header!$C$20,"BELOW MIN PREMIUM","OK"),""))</f>
      </c>
      <c r="BA425" s="32" t="inlineStr">
        <is>
          <t xml:space="preserve">Yes</t>
        </is>
      </c>
      <c r="BB425" s="32" t="inlineStr">
        <is>
          <t xml:space="preserve">Yes</t>
        </is>
      </c>
      <c r="BC425" s="30" t="inlineStr">
        <is>
          <t xml:space="preserve">Synthetic demo data</t>
        </is>
      </c>
      <c r="BE425" s="45">
        <f>IF(OR($A425="",$L425="",$H425=""),"",IF(AND(LEFT($L425,2)="06",$H425&gt;1945),"FAIL - pre-war class, year "&amp;$H425,IF(AND(LEFT($L425,2)="07",OR($H425&lt;1946,$H425&gt;1972)),"FAIL - 1946-72 class, year "&amp;$H425,IF(AND(LEFT($L425,2)="08",OR($H425&lt;1973,$H425&gt;1999)),"FAIL - 1973-99 class, year "&amp;$H425,IF(AND(LEFT($L425,2)="09",OR($H425&lt;2000,$H425&gt;2010)),"FAIL - 2000-10 class, year "&amp;$H425,"OK")))))</f>
      </c>
      <c r="BF425" s="45">
        <f>IF($AD425="","",IF(ROUND($AO425+$AP425+$AQ425-$AD425,2)=0,"OK","FAIL - out by "&amp;TEXT($AO425+$AP425+$AQ425-$AD425,"$0.00")))</f>
      </c>
    </row>
    <row r="426" spans="1:58" ht="18.75" customHeight="1" x14ac:dyDescent="0.25">
      <c r="A426" s="46" t="inlineStr">
        <is>
          <t xml:space="preserve">CANON-202606-008985</t>
        </is>
      </c>
      <c r="B426" s="46" t="inlineStr">
        <is>
          <t xml:space="preserve">Delphine Bellandi</t>
        </is>
      </c>
      <c r="C426" s="47">
        <v>46196</v>
      </c>
      <c r="D426" s="48" t="inlineStr">
        <is>
          <t xml:space="preserve">Bound - within authority</t>
        </is>
      </c>
      <c r="E426" s="48" t="inlineStr">
        <is>
          <t xml:space="preserve">New business</t>
        </is>
      </c>
      <c r="F426" s="46" t="inlineStr">
        <is>
          <t xml:space="preserve">B1234EXOTIC26</t>
        </is>
      </c>
      <c r="G426" s="33">
        <f>IF($A426="","",IF($C426="","",YEAR($C426)))</f>
      </c>
      <c r="H426" s="49">
        <v>1980</v>
      </c>
      <c r="I426" s="46" t="inlineStr">
        <is>
          <t xml:space="preserve">Bentley</t>
        </is>
      </c>
      <c r="J426" s="46" t="inlineStr">
        <is>
          <t xml:space="preserve">Continental GT</t>
        </is>
      </c>
      <c r="K426" s="46" t="inlineStr">
        <is>
          <t xml:space="preserve">J7ZHY961L2398GJAG</t>
        </is>
      </c>
      <c r="L426" s="48" t="inlineStr">
        <is>
          <t xml:space="preserve">02 - Sports / GT</t>
        </is>
      </c>
      <c r="M426" s="50">
        <v>460000</v>
      </c>
      <c r="N426" s="48" t="inlineStr">
        <is>
          <t xml:space="preserve">Personal</t>
        </is>
      </c>
      <c r="O426" s="46" t="inlineStr">
        <is>
          <t xml:space="preserve">Personal - regular use</t>
        </is>
      </c>
      <c r="P426" s="46" t="inlineStr">
        <is>
          <t xml:space="preserve">Under 1,000</t>
        </is>
      </c>
      <c r="Q426" s="46" t="inlineStr">
        <is>
          <t xml:space="preserve">North Carolina</t>
        </is>
      </c>
      <c r="R426" s="46" t="inlineStr">
        <is>
          <t xml:space="preserve">28202</t>
        </is>
      </c>
      <c r="S426" s="48" t="inlineStr">
        <is>
          <t xml:space="preserve">Tier 2 - Coastal wind (1-25 miles)</t>
        </is>
      </c>
      <c r="T426" s="36">
        <f>IF($A426="","",IF($S426="","",IFERROR(INDEX('[1]natural catastrophe'!$D$6:$D$17,MATCH($S426,'[1]natural catastrophe'!$B$6:$B$17,0)),"?")))</f>
      </c>
      <c r="U426" s="46" t="inlineStr">
        <is>
          <t xml:space="preserve">2% of agreed value, minimum $10,000</t>
        </is>
      </c>
      <c r="V426" s="48" t="inlineStr">
        <is>
          <t xml:space="preserve">Agreed Value</t>
        </is>
      </c>
      <c r="W426" s="46" t="inlineStr">
        <is>
          <t xml:space="preserve">$1,000</t>
        </is>
      </c>
      <c r="X426" s="48" t="inlineStr">
        <is>
          <t xml:space="preserve">$1,000,000 CSL</t>
        </is>
      </c>
      <c r="Y426" s="46"/>
      <c r="Z426" s="46"/>
      <c r="AA426" s="48" t="inlineStr">
        <is>
          <t xml:space="preserve">Surplus Lines</t>
        </is>
      </c>
      <c r="AB426" s="50">
        <v>5725.18</v>
      </c>
      <c r="AC426" s="51">
        <v>0</v>
      </c>
      <c r="AD426" s="38">
        <f>IF(ISNUMBER($AB426),$AB426*(1+N($AC426)),"")</f>
      </c>
      <c r="AE426" s="50">
        <v>350</v>
      </c>
      <c r="AF426" s="50">
        <v>0</v>
      </c>
      <c r="AG426" s="51"/>
      <c r="AH426" s="39">
        <f>IF(ISNUMBER($AD426),($AD426+$AE426+$AF426)*$AG426,"")</f>
      </c>
      <c r="AI426" s="50"/>
      <c r="AJ426" s="38">
        <f>IF(ISNUMBER($AD426),SUM($AD426:$AH426),"")</f>
      </c>
      <c r="AK426" s="40">
        <f>IF(AND(ISNUMBER($AB426),ISNUMBER($AD426)),IF($AB426&gt;0,$AD426/$AB426,""),"")</f>
      </c>
      <c r="AL426" s="48" t="inlineStr">
        <is>
          <t xml:space="preserve">At technical</t>
        </is>
      </c>
      <c r="AM426" s="41">
        <f>IF(ISNUMBER($AD426),Header!$I$3,"")</f>
      </c>
      <c r="AN426" s="39">
        <f>IF(ISNUMBER($AD426),$AO426+$AP426,"")</f>
      </c>
      <c r="AO426" s="39">
        <f>IF(ISNUMBER($AD426),ROUND($AD426*Header!$K$3,2),"")</f>
      </c>
      <c r="AP426" s="39">
        <f>IF(ISNUMBER($AD426),ROUND($AD426*Header!$M$3,2),"")</f>
      </c>
      <c r="AQ426" s="38">
        <f>IF(ISNUMBER($AD426),ROUND($AD426,2)-$AO426-$AP426,"")</f>
      </c>
      <c r="AR426" s="39">
        <f>IF(ISNUMBER($AD426),IF(Header!$D$34="","?",$AD426*Header!$D$34),"")</f>
      </c>
      <c r="AS426" s="39">
        <f>IF(ISNUMBER($AB426),IF(Header!$D$34="","?",$AB426*Header!$D$34),"")</f>
      </c>
      <c r="AT426" s="42">
        <f>IF(AND(ISNUMBER($AB426),$M426&gt;0),$AB426/$M426*100,"")</f>
      </c>
      <c r="AU426" s="42">
        <f>IF(AND(ISNUMBER($AD426),$M426&gt;0),$AD426/$M426*100,"")</f>
      </c>
      <c r="AV426" s="40">
        <f>IF(AND(ISNUMBER($AB426),ISNUMBER($AD426),ABS($AB426)&gt;0),$AD426/$AB426,"")</f>
      </c>
      <c r="AW426" s="39">
        <f>IF(ISNUMBER($AD426),MAX(0,(1-0.55-Header!$O$3)*Header!$Q$3*$AQ426),"")</f>
      </c>
      <c r="AX426" s="43">
        <f>IF($A426="","",IF(TRIM(IF($A426="","Missing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",""))="","PASS","FAIL: "&amp;TRIM(IF($A426="","Missing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f>
      </c>
      <c r="AY426" s="44">
        <f>IF($M426="","",IF(ISNUMBER($M426),IF($M426&gt;=Header!$C$18,"YES — refer","No"),""))</f>
      </c>
      <c r="AZ426" s="44">
        <f>IF($AD426="","",IF(ISNUMBER($AD426),IF($AD426&lt;Header!$C$20,"BELOW MIN PREMIUM","OK"),""))</f>
      </c>
      <c r="BA426" s="48" t="inlineStr">
        <is>
          <t xml:space="preserve">Yes</t>
        </is>
      </c>
      <c r="BB426" s="48" t="inlineStr">
        <is>
          <t xml:space="preserve">Yes</t>
        </is>
      </c>
      <c r="BC426" s="46" t="inlineStr">
        <is>
          <t xml:space="preserve">Synthetic demo data</t>
        </is>
      </c>
      <c r="BE426" s="45">
        <f>IF(OR($A426="",$L426="",$H426=""),"",IF(AND(LEFT($L426,2)="06",$H426&gt;1945),"FAIL - pre-war class, year "&amp;$H426,IF(AND(LEFT($L426,2)="07",OR($H426&lt;1946,$H426&gt;1972)),"FAIL - 1946-72 class, year "&amp;$H426,IF(AND(LEFT($L426,2)="08",OR($H426&lt;1973,$H426&gt;1999)),"FAIL - 1973-99 class, year "&amp;$H426,IF(AND(LEFT($L426,2)="09",OR($H426&lt;2000,$H426&gt;2010)),"FAIL - 2000-10 class, year "&amp;$H426,"OK")))))</f>
      </c>
      <c r="BF426" s="45">
        <f>IF($AD426="","",IF(ROUND($AO426+$AP426+$AQ426-$AD426,2)=0,"OK","FAIL - out by "&amp;TEXT($AO426+$AP426+$AQ426-$AD426,"$0.00")))</f>
      </c>
    </row>
    <row r="427" spans="1:58" ht="18.75" customHeight="1" x14ac:dyDescent="0.25">
      <c r="A427" s="30" t="inlineStr">
        <is>
          <t xml:space="preserve">CANON-202606-008986</t>
        </is>
      </c>
      <c r="B427" s="30" t="inlineStr">
        <is>
          <t xml:space="preserve">Saoirse Castellanos</t>
        </is>
      </c>
      <c r="C427" s="31">
        <v>46202</v>
      </c>
      <c r="D427" s="32" t="inlineStr">
        <is>
          <t xml:space="preserve">Bound - within authority</t>
        </is>
      </c>
      <c r="E427" s="32" t="inlineStr">
        <is>
          <t xml:space="preserve">New business</t>
        </is>
      </c>
      <c r="F427" s="30" t="inlineStr">
        <is>
          <t xml:space="preserve">B1234EXOTIC26</t>
        </is>
      </c>
      <c r="G427" s="33">
        <f>IF($A427="","",IF($C427="","",YEAR($C427)))</f>
      </c>
      <c r="H427" s="34">
        <v>2015</v>
      </c>
      <c r="I427" s="30" t="inlineStr">
        <is>
          <t xml:space="preserve">Maserati</t>
        </is>
      </c>
      <c r="J427" s="30" t="inlineStr">
        <is>
          <t xml:space="preserve">GranTurismo</t>
        </is>
      </c>
      <c r="K427" s="30" t="inlineStr">
        <is>
          <t xml:space="preserve">94WSAGGJU0NKMKC9Z</t>
        </is>
      </c>
      <c r="L427" s="32" t="inlineStr">
        <is>
          <t xml:space="preserve">02 - Sports / GT</t>
        </is>
      </c>
      <c r="M427" s="35">
        <v>940000</v>
      </c>
      <c r="N427" s="32" t="inlineStr">
        <is>
          <t xml:space="preserve">Personal</t>
        </is>
      </c>
      <c r="O427" s="30" t="inlineStr">
        <is>
          <t xml:space="preserve">Personal - regular use</t>
        </is>
      </c>
      <c r="P427" s="30" t="inlineStr">
        <is>
          <t xml:space="preserve">2,500 - 5,000</t>
        </is>
      </c>
      <c r="Q427" s="30" t="inlineStr">
        <is>
          <t xml:space="preserve">Kansas</t>
        </is>
      </c>
      <c r="R427" s="30" t="inlineStr">
        <is>
          <t xml:space="preserve">66603</t>
        </is>
      </c>
      <c r="S427" s="32" t="inlineStr">
        <is>
          <t xml:space="preserve">Severe convective - hail alley (high)</t>
        </is>
      </c>
      <c r="T427" s="36">
        <f>IF($A427="","",IF($S427="","",IFERROR(INDEX('[1]natural catastrophe'!$D$6:$D$17,MATCH($S427,'[1]natural catastrophe'!$B$6:$B$17,0)),"?")))</f>
      </c>
      <c r="U427" s="30" t="inlineStr">
        <is>
          <t xml:space="preserve">$5,000</t>
        </is>
      </c>
      <c r="V427" s="32" t="inlineStr">
        <is>
          <t xml:space="preserve">Agreed Value</t>
        </is>
      </c>
      <c r="W427" s="30" t="inlineStr">
        <is>
          <t xml:space="preserve">$1,000</t>
        </is>
      </c>
      <c r="X427" s="32" t="inlineStr">
        <is>
          <t xml:space="preserve">$1,000,000 CSL</t>
        </is>
      </c>
      <c r="Y427" s="30"/>
      <c r="Z427" s="30"/>
      <c r="AA427" s="32" t="inlineStr">
        <is>
          <t xml:space="preserve">Surplus Lines</t>
        </is>
      </c>
      <c r="AB427" s="35">
        <v>8552.34</v>
      </c>
      <c r="AC427" s="37">
        <v>0</v>
      </c>
      <c r="AD427" s="38">
        <f>IF(ISNUMBER($AB427),$AB427*(1+N($AC427)),"")</f>
      </c>
      <c r="AE427" s="35">
        <v>350</v>
      </c>
      <c r="AF427" s="35">
        <v>0</v>
      </c>
      <c r="AG427" s="37"/>
      <c r="AH427" s="39">
        <f>IF(ISNUMBER($AD427),($AD427+$AE427+$AF427)*$AG427,"")</f>
      </c>
      <c r="AI427" s="35"/>
      <c r="AJ427" s="38">
        <f>IF(ISNUMBER($AD427),SUM($AD427:$AH427),"")</f>
      </c>
      <c r="AK427" s="40">
        <f>IF(AND(ISNUMBER($AB427),ISNUMBER($AD427)),IF($AB427&gt;0,$AD427/$AB427,""),"")</f>
      </c>
      <c r="AL427" s="32" t="inlineStr">
        <is>
          <t xml:space="preserve">At technical</t>
        </is>
      </c>
      <c r="AM427" s="41">
        <f>IF(ISNUMBER($AD427),Header!$I$3,"")</f>
      </c>
      <c r="AN427" s="39">
        <f>IF(ISNUMBER($AD427),$AO427+$AP427,"")</f>
      </c>
      <c r="AO427" s="39">
        <f>IF(ISNUMBER($AD427),ROUND($AD427*Header!$K$3,2),"")</f>
      </c>
      <c r="AP427" s="39">
        <f>IF(ISNUMBER($AD427),ROUND($AD427*Header!$M$3,2),"")</f>
      </c>
      <c r="AQ427" s="38">
        <f>IF(ISNUMBER($AD427),ROUND($AD427,2)-$AO427-$AP427,"")</f>
      </c>
      <c r="AR427" s="39">
        <f>IF(ISNUMBER($AD427),IF(Header!$D$34="","?",$AD427*Header!$D$34),"")</f>
      </c>
      <c r="AS427" s="39">
        <f>IF(ISNUMBER($AB427),IF(Header!$D$34="","?",$AB427*Header!$D$34),"")</f>
      </c>
      <c r="AT427" s="42">
        <f>IF(AND(ISNUMBER($AB427),$M427&gt;0),$AB427/$M427*100,"")</f>
      </c>
      <c r="AU427" s="42">
        <f>IF(AND(ISNUMBER($AD427),$M427&gt;0),$AD427/$M427*100,"")</f>
      </c>
      <c r="AV427" s="40">
        <f>IF(AND(ISNUMBER($AB427),ISNUMBER($AD427),ABS($AB427)&gt;0),$AD427/$AB427,"")</f>
      </c>
      <c r="AW427" s="39">
        <f>IF(ISNUMBER($AD427),MAX(0,(1-0.55-Header!$O$3)*Header!$Q$3*$AQ427),"")</f>
      </c>
      <c r="AX427" s="43">
        <f>IF($A427="","",IF(TRIM(IF($A427="","Missing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",""))="","PASS","FAIL: "&amp;TRIM(IF($A427="","Missing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f>
      </c>
      <c r="AY427" s="44">
        <f>IF($M427="","",IF(ISNUMBER($M427),IF($M427&gt;=Header!$C$18,"YES — refer","No"),""))</f>
      </c>
      <c r="AZ427" s="44">
        <f>IF($AD427="","",IF(ISNUMBER($AD427),IF($AD427&lt;Header!$C$20,"BELOW MIN PREMIUM","OK"),""))</f>
      </c>
      <c r="BA427" s="32" t="inlineStr">
        <is>
          <t xml:space="preserve">Yes</t>
        </is>
      </c>
      <c r="BB427" s="32" t="inlineStr">
        <is>
          <t xml:space="preserve">Yes</t>
        </is>
      </c>
      <c r="BC427" s="30" t="inlineStr">
        <is>
          <t xml:space="preserve">Synthetic demo data</t>
        </is>
      </c>
      <c r="BE427" s="45">
        <f>IF(OR($A427="",$L427="",$H427=""),"",IF(AND(LEFT($L427,2)="06",$H427&gt;1945),"FAIL - pre-war class, year "&amp;$H427,IF(AND(LEFT($L427,2)="07",OR($H427&lt;1946,$H427&gt;1972)),"FAIL - 1946-72 class, year "&amp;$H427,IF(AND(LEFT($L427,2)="08",OR($H427&lt;1973,$H427&gt;1999)),"FAIL - 1973-99 class, year "&amp;$H427,IF(AND(LEFT($L427,2)="09",OR($H427&lt;2000,$H427&gt;2010)),"FAIL - 2000-10 class, year "&amp;$H427,"OK")))))</f>
      </c>
      <c r="BF427" s="45">
        <f>IF($AD427="","",IF(ROUND($AO427+$AP427+$AQ427-$AD427,2)=0,"OK","FAIL - out by "&amp;TEXT($AO427+$AP427+$AQ427-$AD427,"$0.00")))</f>
      </c>
    </row>
    <row r="428" spans="1:58" ht="18.75" customHeight="1" x14ac:dyDescent="0.25">
      <c r="A428" s="46" t="inlineStr">
        <is>
          <t xml:space="preserve">CANON-202606-008987</t>
        </is>
      </c>
      <c r="B428" s="46" t="inlineStr">
        <is>
          <t xml:space="preserve">Mireille Whitlock</t>
        </is>
      </c>
      <c r="C428" s="47">
        <v>46200</v>
      </c>
      <c r="D428" s="48" t="inlineStr">
        <is>
          <t xml:space="preserve">Bound - within authority</t>
        </is>
      </c>
      <c r="E428" s="48" t="inlineStr">
        <is>
          <t xml:space="preserve">New business</t>
        </is>
      </c>
      <c r="F428" s="46" t="inlineStr">
        <is>
          <t xml:space="preserve">B1234EXOTIC26</t>
        </is>
      </c>
      <c r="G428" s="33">
        <f>IF($A428="","",IF($C428="","",YEAR($C428)))</f>
      </c>
      <c r="H428" s="49">
        <v>1963</v>
      </c>
      <c r="I428" s="46" t="inlineStr">
        <is>
          <t xml:space="preserve">Aston Martin</t>
        </is>
      </c>
      <c r="J428" s="46" t="inlineStr">
        <is>
          <t xml:space="preserve">DB12</t>
        </is>
      </c>
      <c r="K428" s="46" t="inlineStr">
        <is>
          <t xml:space="preserve">2AKLUPR37X8ZWTT7T</t>
        </is>
      </c>
      <c r="L428" s="48" t="inlineStr">
        <is>
          <t xml:space="preserve">02 - Sports / GT</t>
        </is>
      </c>
      <c r="M428" s="50">
        <v>865000</v>
      </c>
      <c r="N428" s="48" t="inlineStr">
        <is>
          <t xml:space="preserve">Personal</t>
        </is>
      </c>
      <c r="O428" s="46" t="inlineStr">
        <is>
          <t xml:space="preserve">Personal - regular use</t>
        </is>
      </c>
      <c r="P428" s="46" t="inlineStr">
        <is>
          <t xml:space="preserve">Under 1,000</t>
        </is>
      </c>
      <c r="Q428" s="46" t="inlineStr">
        <is>
          <t xml:space="preserve">South Dakota</t>
        </is>
      </c>
      <c r="R428" s="46" t="inlineStr">
        <is>
          <t xml:space="preserve">57501</t>
        </is>
      </c>
      <c r="S428" s="48" t="inlineStr">
        <is>
          <t xml:space="preserve">Severe convective - hail alley (high)</t>
        </is>
      </c>
      <c r="T428" s="36">
        <f>IF($A428="","",IF($S428="","",IFERROR(INDEX('[1]natural catastrophe'!$D$6:$D$17,MATCH($S428,'[1]natural catastrophe'!$B$6:$B$17,0)),"?")))</f>
      </c>
      <c r="U428" s="46" t="inlineStr">
        <is>
          <t xml:space="preserve">$5,000</t>
        </is>
      </c>
      <c r="V428" s="48" t="inlineStr">
        <is>
          <t xml:space="preserve">Agreed Value</t>
        </is>
      </c>
      <c r="W428" s="46" t="inlineStr">
        <is>
          <t xml:space="preserve">$1,000</t>
        </is>
      </c>
      <c r="X428" s="48" t="inlineStr">
        <is>
          <t xml:space="preserve">$1,000,000 CSL</t>
        </is>
      </c>
      <c r="Y428" s="46"/>
      <c r="Z428" s="46"/>
      <c r="AA428" s="48" t="inlineStr">
        <is>
          <t xml:space="preserve">Surplus Lines</t>
        </is>
      </c>
      <c r="AB428" s="50">
        <v>9005.84</v>
      </c>
      <c r="AC428" s="51">
        <v>0</v>
      </c>
      <c r="AD428" s="38">
        <f>IF(ISNUMBER($AB428),$AB428*(1+N($AC428)),"")</f>
      </c>
      <c r="AE428" s="50">
        <v>350</v>
      </c>
      <c r="AF428" s="50">
        <v>0</v>
      </c>
      <c r="AG428" s="51"/>
      <c r="AH428" s="39">
        <f>IF(ISNUMBER($AD428),($AD428+$AE428+$AF428)*$AG428,"")</f>
      </c>
      <c r="AI428" s="50"/>
      <c r="AJ428" s="38">
        <f>IF(ISNUMBER($AD428),SUM($AD428:$AH428),"")</f>
      </c>
      <c r="AK428" s="40">
        <f>IF(AND(ISNUMBER($AB428),ISNUMBER($AD428)),IF($AB428&gt;0,$AD428/$AB428,""),"")</f>
      </c>
      <c r="AL428" s="48" t="inlineStr">
        <is>
          <t xml:space="preserve">At technical</t>
        </is>
      </c>
      <c r="AM428" s="41">
        <f>IF(ISNUMBER($AD428),Header!$I$3,"")</f>
      </c>
      <c r="AN428" s="39">
        <f>IF(ISNUMBER($AD428),$AO428+$AP428,"")</f>
      </c>
      <c r="AO428" s="39">
        <f>IF(ISNUMBER($AD428),ROUND($AD428*Header!$K$3,2),"")</f>
      </c>
      <c r="AP428" s="39">
        <f>IF(ISNUMBER($AD428),ROUND($AD428*Header!$M$3,2),"")</f>
      </c>
      <c r="AQ428" s="38">
        <f>IF(ISNUMBER($AD428),ROUND($AD428,2)-$AO428-$AP428,"")</f>
      </c>
      <c r="AR428" s="39">
        <f>IF(ISNUMBER($AD428),IF(Header!$D$34="","?",$AD428*Header!$D$34),"")</f>
      </c>
      <c r="AS428" s="39">
        <f>IF(ISNUMBER($AB428),IF(Header!$D$34="","?",$AB428*Header!$D$34),"")</f>
      </c>
      <c r="AT428" s="42">
        <f>IF(AND(ISNUMBER($AB428),$M428&gt;0),$AB428/$M428*100,"")</f>
      </c>
      <c r="AU428" s="42">
        <f>IF(AND(ISNUMBER($AD428),$M428&gt;0),$AD428/$M428*100,"")</f>
      </c>
      <c r="AV428" s="40">
        <f>IF(AND(ISNUMBER($AB428),ISNUMBER($AD428),ABS($AB428)&gt;0),$AD428/$AB428,"")</f>
      </c>
      <c r="AW428" s="39">
        <f>IF(ISNUMBER($AD428),MAX(0,(1-0.55-Header!$O$3)*Header!$Q$3*$AQ428),"")</f>
      </c>
      <c r="AX428" s="43">
        <f>IF($A428="","",IF(TRIM(IF($A428="","Missing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",""))="","PASS","FAIL: "&amp;TRIM(IF($A428="","Missing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f>
      </c>
      <c r="AY428" s="44">
        <f>IF($M428="","",IF(ISNUMBER($M428),IF($M428&gt;=Header!$C$18,"YES — refer","No"),""))</f>
      </c>
      <c r="AZ428" s="44">
        <f>IF($AD428="","",IF(ISNUMBER($AD428),IF($AD428&lt;Header!$C$20,"BELOW MIN PREMIUM","OK"),""))</f>
      </c>
      <c r="BA428" s="48" t="inlineStr">
        <is>
          <t xml:space="preserve">Yes</t>
        </is>
      </c>
      <c r="BB428" s="48" t="inlineStr">
        <is>
          <t xml:space="preserve">Yes</t>
        </is>
      </c>
      <c r="BC428" s="46" t="inlineStr">
        <is>
          <t xml:space="preserve">Synthetic demo data</t>
        </is>
      </c>
      <c r="BE428" s="45">
        <f>IF(OR($A428="",$L428="",$H428=""),"",IF(AND(LEFT($L428,2)="06",$H428&gt;1945),"FAIL - pre-war class, year "&amp;$H428,IF(AND(LEFT($L428,2)="07",OR($H428&lt;1946,$H428&gt;1972)),"FAIL - 1946-72 class, year "&amp;$H428,IF(AND(LEFT($L428,2)="08",OR($H428&lt;1973,$H428&gt;1999)),"FAIL - 1973-99 class, year "&amp;$H428,IF(AND(LEFT($L428,2)="09",OR($H428&lt;2000,$H428&gt;2010)),"FAIL - 2000-10 class, year "&amp;$H428,"OK")))))</f>
      </c>
      <c r="BF428" s="45">
        <f>IF($AD428="","",IF(ROUND($AO428+$AP428+$AQ428-$AD428,2)=0,"OK","FAIL - out by "&amp;TEXT($AO428+$AP428+$AQ428-$AD428,"$0.00")))</f>
      </c>
    </row>
    <row r="429" spans="1:58" ht="18.75" customHeight="1" x14ac:dyDescent="0.25">
      <c r="A429" s="30" t="inlineStr">
        <is>
          <t xml:space="preserve">CANON-202606-008988</t>
        </is>
      </c>
      <c r="B429" s="30" t="inlineStr">
        <is>
          <t xml:space="preserve">Desmond Ashcombe</t>
        </is>
      </c>
      <c r="C429" s="31">
        <v>46184</v>
      </c>
      <c r="D429" s="32" t="inlineStr">
        <is>
          <t xml:space="preserve">Bound - within authority</t>
        </is>
      </c>
      <c r="E429" s="32" t="inlineStr">
        <is>
          <t xml:space="preserve">New business</t>
        </is>
      </c>
      <c r="F429" s="30" t="inlineStr">
        <is>
          <t xml:space="preserve">B1234EXOTIC26</t>
        </is>
      </c>
      <c r="G429" s="33">
        <f>IF($A429="","",IF($C429="","",YEAR($C429)))</f>
      </c>
      <c r="H429" s="34">
        <v>2014</v>
      </c>
      <c r="I429" s="30" t="inlineStr">
        <is>
          <t xml:space="preserve">Aston Martin</t>
        </is>
      </c>
      <c r="J429" s="30" t="inlineStr">
        <is>
          <t xml:space="preserve">DB5</t>
        </is>
      </c>
      <c r="K429" s="30" t="inlineStr">
        <is>
          <t xml:space="preserve">N7UJVJ5MY5ZA58UK8</t>
        </is>
      </c>
      <c r="L429" s="32" t="inlineStr">
        <is>
          <t xml:space="preserve">02 - Sports / GT</t>
        </is>
      </c>
      <c r="M429" s="35">
        <v>420000</v>
      </c>
      <c r="N429" s="32" t="inlineStr">
        <is>
          <t xml:space="preserve">Personal</t>
        </is>
      </c>
      <c r="O429" s="30" t="inlineStr">
        <is>
          <t xml:space="preserve">Personal - regular use</t>
        </is>
      </c>
      <c r="P429" s="30" t="inlineStr">
        <is>
          <t xml:space="preserve">2,500 - 5,000</t>
        </is>
      </c>
      <c r="Q429" s="30" t="inlineStr">
        <is>
          <t xml:space="preserve">North Carolina</t>
        </is>
      </c>
      <c r="R429" s="30" t="inlineStr">
        <is>
          <t xml:space="preserve">28202</t>
        </is>
      </c>
      <c r="S429" s="32" t="inlineStr">
        <is>
          <t xml:space="preserve">Tier 2 - Coastal wind (1-25 miles)</t>
        </is>
      </c>
      <c r="T429" s="36">
        <f>IF($A429="","",IF($S429="","",IFERROR(INDEX('[1]natural catastrophe'!$D$6:$D$17,MATCH($S429,'[1]natural catastrophe'!$B$6:$B$17,0)),"?")))</f>
      </c>
      <c r="U429" s="30" t="inlineStr">
        <is>
          <t xml:space="preserve">2% of agreed value, minimum $10,000</t>
        </is>
      </c>
      <c r="V429" s="32" t="inlineStr">
        <is>
          <t xml:space="preserve">Agreed Value</t>
        </is>
      </c>
      <c r="W429" s="30" t="inlineStr">
        <is>
          <t xml:space="preserve">$1,000</t>
        </is>
      </c>
      <c r="X429" s="32" t="inlineStr">
        <is>
          <t xml:space="preserve">$1,000,000 CSL</t>
        </is>
      </c>
      <c r="Y429" s="30"/>
      <c r="Z429" s="30"/>
      <c r="AA429" s="32" t="inlineStr">
        <is>
          <t xml:space="preserve">Surplus Lines</t>
        </is>
      </c>
      <c r="AB429" s="35">
        <v>3345.5</v>
      </c>
      <c r="AC429" s="37">
        <v>0</v>
      </c>
      <c r="AD429" s="38">
        <f>IF(ISNUMBER($AB429),$AB429*(1+N($AC429)),"")</f>
      </c>
      <c r="AE429" s="35">
        <v>350</v>
      </c>
      <c r="AF429" s="35">
        <v>0</v>
      </c>
      <c r="AG429" s="37"/>
      <c r="AH429" s="39">
        <f>IF(ISNUMBER($AD429),($AD429+$AE429+$AF429)*$AG429,"")</f>
      </c>
      <c r="AI429" s="35"/>
      <c r="AJ429" s="38">
        <f>IF(ISNUMBER($AD429),SUM($AD429:$AH429),"")</f>
      </c>
      <c r="AK429" s="40">
        <f>IF(AND(ISNUMBER($AB429),ISNUMBER($AD429)),IF($AB429&gt;0,$AD429/$AB429,""),"")</f>
      </c>
      <c r="AL429" s="32" t="inlineStr">
        <is>
          <t xml:space="preserve">At technical</t>
        </is>
      </c>
      <c r="AM429" s="41">
        <f>IF(ISNUMBER($AD429),Header!$I$3,"")</f>
      </c>
      <c r="AN429" s="39">
        <f>IF(ISNUMBER($AD429),$AO429+$AP429,"")</f>
      </c>
      <c r="AO429" s="39">
        <f>IF(ISNUMBER($AD429),ROUND($AD429*Header!$K$3,2),"")</f>
      </c>
      <c r="AP429" s="39">
        <f>IF(ISNUMBER($AD429),ROUND($AD429*Header!$M$3,2),"")</f>
      </c>
      <c r="AQ429" s="38">
        <f>IF(ISNUMBER($AD429),ROUND($AD429,2)-$AO429-$AP429,"")</f>
      </c>
      <c r="AR429" s="39">
        <f>IF(ISNUMBER($AD429),IF(Header!$D$34="","?",$AD429*Header!$D$34),"")</f>
      </c>
      <c r="AS429" s="39">
        <f>IF(ISNUMBER($AB429),IF(Header!$D$34="","?",$AB429*Header!$D$34),"")</f>
      </c>
      <c r="AT429" s="42">
        <f>IF(AND(ISNUMBER($AB429),$M429&gt;0),$AB429/$M429*100,"")</f>
      </c>
      <c r="AU429" s="42">
        <f>IF(AND(ISNUMBER($AD429),$M429&gt;0),$AD429/$M429*100,"")</f>
      </c>
      <c r="AV429" s="40">
        <f>IF(AND(ISNUMBER($AB429),ISNUMBER($AD429),ABS($AB429)&gt;0),$AD429/$AB429,"")</f>
      </c>
      <c r="AW429" s="39">
        <f>IF(ISNUMBER($AD429),MAX(0,(1-0.55-Header!$O$3)*Header!$Q$3*$AQ429),"")</f>
      </c>
      <c r="AX429" s="43">
        <f>IF($A429="","",IF(TRIM(IF($A429="","Missing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",""))="","PASS","FAIL: "&amp;TRIM(IF($A429="","Missing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f>
      </c>
      <c r="AY429" s="44">
        <f>IF($M429="","",IF(ISNUMBER($M429),IF($M429&gt;=Header!$C$18,"YES — refer","No"),""))</f>
      </c>
      <c r="AZ429" s="44">
        <f>IF($AD429="","",IF(ISNUMBER($AD429),IF($AD429&lt;Header!$C$20,"BELOW MIN PREMIUM","OK"),""))</f>
      </c>
      <c r="BA429" s="32" t="inlineStr">
        <is>
          <t xml:space="preserve">Yes</t>
        </is>
      </c>
      <c r="BB429" s="32" t="inlineStr">
        <is>
          <t xml:space="preserve">Yes</t>
        </is>
      </c>
      <c r="BC429" s="30" t="inlineStr">
        <is>
          <t xml:space="preserve">Synthetic demo data</t>
        </is>
      </c>
      <c r="BE429" s="45">
        <f>IF(OR($A429="",$L429="",$H429=""),"",IF(AND(LEFT($L429,2)="06",$H429&gt;1945),"FAIL - pre-war class, year "&amp;$H429,IF(AND(LEFT($L429,2)="07",OR($H429&lt;1946,$H429&gt;1972)),"FAIL - 1946-72 class, year "&amp;$H429,IF(AND(LEFT($L429,2)="08",OR($H429&lt;1973,$H429&gt;1999)),"FAIL - 1973-99 class, year "&amp;$H429,IF(AND(LEFT($L429,2)="09",OR($H429&lt;2000,$H429&gt;2010)),"FAIL - 2000-10 class, year "&amp;$H429,"OK")))))</f>
      </c>
      <c r="BF429" s="45">
        <f>IF($AD429="","",IF(ROUND($AO429+$AP429+$AQ429-$AD429,2)=0,"OK","FAIL - out by "&amp;TEXT($AO429+$AP429+$AQ429-$AD429,"$0.00")))</f>
      </c>
    </row>
    <row r="430" spans="1:58" ht="18.75" customHeight="1" x14ac:dyDescent="0.25">
      <c r="A430" s="46" t="inlineStr">
        <is>
          <t xml:space="preserve">CANON-202606-008990</t>
        </is>
      </c>
      <c r="B430" s="46" t="inlineStr">
        <is>
          <t xml:space="preserve">Cassius Kingsford</t>
        </is>
      </c>
      <c r="C430" s="47">
        <v>46191</v>
      </c>
      <c r="D430" s="48" t="inlineStr">
        <is>
          <t xml:space="preserve">Bound - within authority</t>
        </is>
      </c>
      <c r="E430" s="48" t="inlineStr">
        <is>
          <t xml:space="preserve">New business</t>
        </is>
      </c>
      <c r="F430" s="46" t="inlineStr">
        <is>
          <t xml:space="preserve">B1234EXOTIC26</t>
        </is>
      </c>
      <c r="G430" s="33">
        <f>IF($A430="","",IF($C430="","",YEAR($C430)))</f>
      </c>
      <c r="H430" s="49">
        <v>1981</v>
      </c>
      <c r="I430" s="46" t="inlineStr">
        <is>
          <t xml:space="preserve">Icon</t>
        </is>
      </c>
      <c r="J430" s="46" t="inlineStr">
        <is>
          <t xml:space="preserve">Derelict</t>
        </is>
      </c>
      <c r="K430" s="46" t="inlineStr">
        <is>
          <t xml:space="preserve">V48FLB5MD4EM3BPA4</t>
        </is>
      </c>
      <c r="L430" s="48" t="inlineStr">
        <is>
          <t xml:space="preserve">11 - Restomod / Coachbuilt / Bespoke</t>
        </is>
      </c>
      <c r="M430" s="50">
        <v>1050000</v>
      </c>
      <c r="N430" s="48" t="inlineStr">
        <is>
          <t xml:space="preserve">Personal</t>
        </is>
      </c>
      <c r="O430" s="46" t="inlineStr">
        <is>
          <t xml:space="preserve">Personal - regular use</t>
        </is>
      </c>
      <c r="P430" s="46" t="inlineStr">
        <is>
          <t xml:space="preserve">Under 1,000</t>
        </is>
      </c>
      <c r="Q430" s="46" t="inlineStr">
        <is>
          <t xml:space="preserve">Ohio</t>
        </is>
      </c>
      <c r="R430" s="46" t="inlineStr">
        <is>
          <t xml:space="preserve">43215</t>
        </is>
      </c>
      <c r="S430" s="48" t="inlineStr">
        <is>
          <t xml:space="preserve">Severe convective - hail / tornado (moderate)</t>
        </is>
      </c>
      <c r="T430" s="36">
        <f>IF($A430="","",IF($S430="","",IFERROR(INDEX('[1]natural catastrophe'!$D$6:$D$17,MATCH($S430,'[1]natural catastrophe'!$B$6:$B$17,0)),"?")))</f>
      </c>
      <c r="U430" s="46" t="inlineStr">
        <is>
          <t xml:space="preserve">$5,000</t>
        </is>
      </c>
      <c r="V430" s="48" t="inlineStr">
        <is>
          <t xml:space="preserve">Agreed Value</t>
        </is>
      </c>
      <c r="W430" s="46" t="inlineStr">
        <is>
          <t xml:space="preserve">$1,000</t>
        </is>
      </c>
      <c r="X430" s="48" t="inlineStr">
        <is>
          <t xml:space="preserve">$1,000,000 CSL</t>
        </is>
      </c>
      <c r="Y430" s="46"/>
      <c r="Z430" s="46"/>
      <c r="AA430" s="48" t="inlineStr">
        <is>
          <t xml:space="preserve">Surplus Lines</t>
        </is>
      </c>
      <c r="AB430" s="50">
        <v>14321.38</v>
      </c>
      <c r="AC430" s="51">
        <v>0</v>
      </c>
      <c r="AD430" s="38">
        <f>IF(ISNUMBER($AB430),$AB430*(1+N($AC430)),"")</f>
      </c>
      <c r="AE430" s="50">
        <v>350</v>
      </c>
      <c r="AF430" s="50">
        <v>250</v>
      </c>
      <c r="AG430" s="51"/>
      <c r="AH430" s="39">
        <f>IF(ISNUMBER($AD430),($AD430+$AE430+$AF430)*$AG430,"")</f>
      </c>
      <c r="AI430" s="50"/>
      <c r="AJ430" s="38">
        <f>IF(ISNUMBER($AD430),SUM($AD430:$AH430),"")</f>
      </c>
      <c r="AK430" s="40">
        <f>IF(AND(ISNUMBER($AB430),ISNUMBER($AD430)),IF($AB430&gt;0,$AD430/$AB430,""),"")</f>
      </c>
      <c r="AL430" s="48" t="inlineStr">
        <is>
          <t xml:space="preserve">At technical</t>
        </is>
      </c>
      <c r="AM430" s="41">
        <f>IF(ISNUMBER($AD430),Header!$I$3,"")</f>
      </c>
      <c r="AN430" s="39">
        <f>IF(ISNUMBER($AD430),$AO430+$AP430,"")</f>
      </c>
      <c r="AO430" s="39">
        <f>IF(ISNUMBER($AD430),ROUND($AD430*Header!$K$3,2),"")</f>
      </c>
      <c r="AP430" s="39">
        <f>IF(ISNUMBER($AD430),ROUND($AD430*Header!$M$3,2),"")</f>
      </c>
      <c r="AQ430" s="38">
        <f>IF(ISNUMBER($AD430),ROUND($AD430,2)-$AO430-$AP430,"")</f>
      </c>
      <c r="AR430" s="39">
        <f>IF(ISNUMBER($AD430),IF(Header!$D$34="","?",$AD430*Header!$D$34),"")</f>
      </c>
      <c r="AS430" s="39">
        <f>IF(ISNUMBER($AB430),IF(Header!$D$34="","?",$AB430*Header!$D$34),"")</f>
      </c>
      <c r="AT430" s="42">
        <f>IF(AND(ISNUMBER($AB430),$M430&gt;0),$AB430/$M430*100,"")</f>
      </c>
      <c r="AU430" s="42">
        <f>IF(AND(ISNUMBER($AD430),$M430&gt;0),$AD430/$M430*100,"")</f>
      </c>
      <c r="AV430" s="40">
        <f>IF(AND(ISNUMBER($AB430),ISNUMBER($AD430),ABS($AB430)&gt;0),$AD430/$AB430,"")</f>
      </c>
      <c r="AW430" s="39">
        <f>IF(ISNUMBER($AD430),MAX(0,(1-0.55-Header!$O$3)*Header!$Q$3*$AQ430),"")</f>
      </c>
      <c r="AX430" s="43">
        <f>IF($A430="","",IF(TRIM(IF($A430="","Missing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",""))="","PASS","FAIL: "&amp;TRIM(IF($A430="","Missing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f>
      </c>
      <c r="AY430" s="44">
        <f>IF($M430="","",IF(ISNUMBER($M430),IF($M430&gt;=Header!$C$18,"YES — refer","No"),""))</f>
      </c>
      <c r="AZ430" s="44">
        <f>IF($AD430="","",IF(ISNUMBER($AD430),IF($AD430&lt;Header!$C$20,"BELOW MIN PREMIUM","OK"),""))</f>
      </c>
      <c r="BA430" s="48" t="inlineStr">
        <is>
          <t xml:space="preserve">Yes</t>
        </is>
      </c>
      <c r="BB430" s="48" t="inlineStr">
        <is>
          <t xml:space="preserve">Yes</t>
        </is>
      </c>
      <c r="BC430" s="46" t="inlineStr">
        <is>
          <t xml:space="preserve">Synthetic demo data</t>
        </is>
      </c>
      <c r="BE430" s="45">
        <f>IF(OR($A430="",$L430="",$H430=""),"",IF(AND(LEFT($L430,2)="06",$H430&gt;1945),"FAIL - pre-war class, year "&amp;$H430,IF(AND(LEFT($L430,2)="07",OR($H430&lt;1946,$H430&gt;1972)),"FAIL - 1946-72 class, year "&amp;$H430,IF(AND(LEFT($L430,2)="08",OR($H430&lt;1973,$H430&gt;1999)),"FAIL - 1973-99 class, year "&amp;$H430,IF(AND(LEFT($L430,2)="09",OR($H430&lt;2000,$H430&gt;2010)),"FAIL - 2000-10 class, year "&amp;$H430,"OK")))))</f>
      </c>
      <c r="BF430" s="45">
        <f>IF($AD430="","",IF(ROUND($AO430+$AP430+$AQ430-$AD430,2)=0,"OK","FAIL - out by "&amp;TEXT($AO430+$AP430+$AQ430-$AD430,"$0.00")))</f>
      </c>
    </row>
    <row r="431" spans="1:58" ht="18.75" customHeight="1" x14ac:dyDescent="0.25">
      <c r="A431" s="30" t="inlineStr">
        <is>
          <t xml:space="preserve">CANON-202606-008992</t>
        </is>
      </c>
      <c r="B431" s="30" t="inlineStr">
        <is>
          <t xml:space="preserve">Callum Rourke</t>
        </is>
      </c>
      <c r="C431" s="31">
        <v>46187</v>
      </c>
      <c r="D431" s="32" t="inlineStr">
        <is>
          <t xml:space="preserve">Bound - within authority</t>
        </is>
      </c>
      <c r="E431" s="32" t="inlineStr">
        <is>
          <t xml:space="preserve">New business</t>
        </is>
      </c>
      <c r="F431" s="30" t="inlineStr">
        <is>
          <t xml:space="preserve">B1234EXOTIC26</t>
        </is>
      </c>
      <c r="G431" s="33">
        <f>IF($A431="","",IF($C431="","",YEAR($C431)))</f>
      </c>
      <c r="H431" s="34">
        <v>2001</v>
      </c>
      <c r="I431" s="30" t="inlineStr">
        <is>
          <t xml:space="preserve">Porsche</t>
        </is>
      </c>
      <c r="J431" s="30" t="inlineStr">
        <is>
          <t xml:space="preserve">911 Turbo S</t>
        </is>
      </c>
      <c r="K431" s="30" t="inlineStr">
        <is>
          <t xml:space="preserve">YP4E5VT640H7L2YEU</t>
        </is>
      </c>
      <c r="L431" s="32" t="inlineStr">
        <is>
          <t xml:space="preserve">02 - Sports / GT</t>
        </is>
      </c>
      <c r="M431" s="35">
        <v>495000</v>
      </c>
      <c r="N431" s="32" t="inlineStr">
        <is>
          <t xml:space="preserve">Personal</t>
        </is>
      </c>
      <c r="O431" s="30" t="inlineStr">
        <is>
          <t xml:space="preserve">Personal - regular use</t>
        </is>
      </c>
      <c r="P431" s="30" t="inlineStr">
        <is>
          <t xml:space="preserve">1,000 - 2,500</t>
        </is>
      </c>
      <c r="Q431" s="30" t="inlineStr">
        <is>
          <t xml:space="preserve">Colorado</t>
        </is>
      </c>
      <c r="R431" s="30" t="inlineStr">
        <is>
          <t xml:space="preserve">80202</t>
        </is>
      </c>
      <c r="S431" s="32" t="inlineStr">
        <is>
          <t xml:space="preserve">Severe convective - hail alley (high)</t>
        </is>
      </c>
      <c r="T431" s="36">
        <f>IF($A431="","",IF($S431="","",IFERROR(INDEX('[1]natural catastrophe'!$D$6:$D$17,MATCH($S431,'[1]natural catastrophe'!$B$6:$B$17,0)),"?")))</f>
      </c>
      <c r="U431" s="30" t="inlineStr">
        <is>
          <t xml:space="preserve">$5,000</t>
        </is>
      </c>
      <c r="V431" s="32" t="inlineStr">
        <is>
          <t xml:space="preserve">Agreed Value</t>
        </is>
      </c>
      <c r="W431" s="30" t="inlineStr">
        <is>
          <t xml:space="preserve">$1,000</t>
        </is>
      </c>
      <c r="X431" s="32" t="inlineStr">
        <is>
          <t xml:space="preserve">$1,000,000 CSL</t>
        </is>
      </c>
      <c r="Y431" s="30"/>
      <c r="Z431" s="30"/>
      <c r="AA431" s="32" t="inlineStr">
        <is>
          <t xml:space="preserve">Surplus Lines</t>
        </is>
      </c>
      <c r="AB431" s="35">
        <v>5892.93</v>
      </c>
      <c r="AC431" s="37">
        <v>0</v>
      </c>
      <c r="AD431" s="38">
        <f>IF(ISNUMBER($AB431),$AB431*(1+N($AC431)),"")</f>
      </c>
      <c r="AE431" s="35">
        <v>350</v>
      </c>
      <c r="AF431" s="35">
        <v>0</v>
      </c>
      <c r="AG431" s="37"/>
      <c r="AH431" s="39">
        <f>IF(ISNUMBER($AD431),($AD431+$AE431+$AF431)*$AG431,"")</f>
      </c>
      <c r="AI431" s="35"/>
      <c r="AJ431" s="38">
        <f>IF(ISNUMBER($AD431),SUM($AD431:$AH431),"")</f>
      </c>
      <c r="AK431" s="40">
        <f>IF(AND(ISNUMBER($AB431),ISNUMBER($AD431)),IF($AB431&gt;0,$AD431/$AB431,""),"")</f>
      </c>
      <c r="AL431" s="32" t="inlineStr">
        <is>
          <t xml:space="preserve">At technical</t>
        </is>
      </c>
      <c r="AM431" s="41">
        <f>IF(ISNUMBER($AD431),Header!$I$3,"")</f>
      </c>
      <c r="AN431" s="39">
        <f>IF(ISNUMBER($AD431),$AO431+$AP431,"")</f>
      </c>
      <c r="AO431" s="39">
        <f>IF(ISNUMBER($AD431),ROUND($AD431*Header!$K$3,2),"")</f>
      </c>
      <c r="AP431" s="39">
        <f>IF(ISNUMBER($AD431),ROUND($AD431*Header!$M$3,2),"")</f>
      </c>
      <c r="AQ431" s="38">
        <f>IF(ISNUMBER($AD431),ROUND($AD431,2)-$AO431-$AP431,"")</f>
      </c>
      <c r="AR431" s="39">
        <f>IF(ISNUMBER($AD431),IF(Header!$D$34="","?",$AD431*Header!$D$34),"")</f>
      </c>
      <c r="AS431" s="39">
        <f>IF(ISNUMBER($AB431),IF(Header!$D$34="","?",$AB431*Header!$D$34),"")</f>
      </c>
      <c r="AT431" s="42">
        <f>IF(AND(ISNUMBER($AB431),$M431&gt;0),$AB431/$M431*100,"")</f>
      </c>
      <c r="AU431" s="42">
        <f>IF(AND(ISNUMBER($AD431),$M431&gt;0),$AD431/$M431*100,"")</f>
      </c>
      <c r="AV431" s="40">
        <f>IF(AND(ISNUMBER($AB431),ISNUMBER($AD431),ABS($AB431)&gt;0),$AD431/$AB431,"")</f>
      </c>
      <c r="AW431" s="39">
        <f>IF(ISNUMBER($AD431),MAX(0,(1-0.55-Header!$O$3)*Header!$Q$3*$AQ431),"")</f>
      </c>
      <c r="AX431" s="43">
        <f>IF($A431="","",IF(TRIM(IF($A431="","Missing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",""))="","PASS","FAIL: "&amp;TRIM(IF($A431="","Missing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f>
      </c>
      <c r="AY431" s="44">
        <f>IF($M431="","",IF(ISNUMBER($M431),IF($M431&gt;=Header!$C$18,"YES — refer","No"),""))</f>
      </c>
      <c r="AZ431" s="44">
        <f>IF($AD431="","",IF(ISNUMBER($AD431),IF($AD431&lt;Header!$C$20,"BELOW MIN PREMIUM","OK"),""))</f>
      </c>
      <c r="BA431" s="32" t="inlineStr">
        <is>
          <t xml:space="preserve">Yes</t>
        </is>
      </c>
      <c r="BB431" s="32" t="inlineStr">
        <is>
          <t xml:space="preserve">Yes</t>
        </is>
      </c>
      <c r="BC431" s="30" t="inlineStr">
        <is>
          <t xml:space="preserve">Synthetic demo data</t>
        </is>
      </c>
      <c r="BE431" s="45">
        <f>IF(OR($A431="",$L431="",$H431=""),"",IF(AND(LEFT($L431,2)="06",$H431&gt;1945),"FAIL - pre-war class, year "&amp;$H431,IF(AND(LEFT($L431,2)="07",OR($H431&lt;1946,$H431&gt;1972)),"FAIL - 1946-72 class, year "&amp;$H431,IF(AND(LEFT($L431,2)="08",OR($H431&lt;1973,$H431&gt;1999)),"FAIL - 1973-99 class, year "&amp;$H431,IF(AND(LEFT($L431,2)="09",OR($H431&lt;2000,$H431&gt;2010)),"FAIL - 2000-10 class, year "&amp;$H431,"OK")))))</f>
      </c>
      <c r="BF431" s="45">
        <f>IF($AD431="","",IF(ROUND($AO431+$AP431+$AQ431-$AD431,2)=0,"OK","FAIL - out by "&amp;TEXT($AO431+$AP431+$AQ431-$AD431,"$0.00")))</f>
      </c>
    </row>
    <row r="432" spans="1:58" ht="18.75" customHeight="1" x14ac:dyDescent="0.25">
      <c r="A432" s="46" t="inlineStr">
        <is>
          <t xml:space="preserve">CANON-202606-008993</t>
        </is>
      </c>
      <c r="B432" s="46" t="inlineStr">
        <is>
          <t xml:space="preserve">Marisol Farkas</t>
        </is>
      </c>
      <c r="C432" s="47">
        <v>46191</v>
      </c>
      <c r="D432" s="48" t="inlineStr">
        <is>
          <t xml:space="preserve">Bound - within authority</t>
        </is>
      </c>
      <c r="E432" s="48" t="inlineStr">
        <is>
          <t xml:space="preserve">New business</t>
        </is>
      </c>
      <c r="F432" s="46" t="inlineStr">
        <is>
          <t xml:space="preserve">B1234EXOTIC26</t>
        </is>
      </c>
      <c r="G432" s="33">
        <f>IF($A432="","",IF($C432="","",YEAR($C432)))</f>
      </c>
      <c r="H432" s="49">
        <v>1978</v>
      </c>
      <c r="I432" s="46" t="inlineStr">
        <is>
          <t xml:space="preserve">Bentley</t>
        </is>
      </c>
      <c r="J432" s="46" t="inlineStr">
        <is>
          <t xml:space="preserve">Continental GT</t>
        </is>
      </c>
      <c r="K432" s="46" t="inlineStr">
        <is>
          <t xml:space="preserve">VENVN8DZUJAEWML8J</t>
        </is>
      </c>
      <c r="L432" s="48" t="inlineStr">
        <is>
          <t xml:space="preserve">02 - Sports / GT</t>
        </is>
      </c>
      <c r="M432" s="50">
        <v>220000</v>
      </c>
      <c r="N432" s="48" t="inlineStr">
        <is>
          <t xml:space="preserve">Personal</t>
        </is>
      </c>
      <c r="O432" s="46" t="inlineStr">
        <is>
          <t xml:space="preserve">Personal - regular use</t>
        </is>
      </c>
      <c r="P432" s="46" t="inlineStr">
        <is>
          <t xml:space="preserve">1,000 - 2,500</t>
        </is>
      </c>
      <c r="Q432" s="46" t="inlineStr">
        <is>
          <t xml:space="preserve">Wyoming</t>
        </is>
      </c>
      <c r="R432" s="46" t="inlineStr">
        <is>
          <t xml:space="preserve">82001</t>
        </is>
      </c>
      <c r="S432" s="48" t="inlineStr">
        <is>
          <t xml:space="preserve">Severe convective - hail alley (high)</t>
        </is>
      </c>
      <c r="T432" s="36">
        <f>IF($A432="","",IF($S432="","",IFERROR(INDEX('[1]natural catastrophe'!$D$6:$D$17,MATCH($S432,'[1]natural catastrophe'!$B$6:$B$17,0)),"?")))</f>
      </c>
      <c r="U432" s="46" t="inlineStr">
        <is>
          <t xml:space="preserve">$5,000</t>
        </is>
      </c>
      <c r="V432" s="48" t="inlineStr">
        <is>
          <t xml:space="preserve">Agreed Value</t>
        </is>
      </c>
      <c r="W432" s="46" t="inlineStr">
        <is>
          <t xml:space="preserve">$1,000</t>
        </is>
      </c>
      <c r="X432" s="48" t="inlineStr">
        <is>
          <t xml:space="preserve">$1,000,000 CSL</t>
        </is>
      </c>
      <c r="Y432" s="46"/>
      <c r="Z432" s="46"/>
      <c r="AA432" s="48" t="inlineStr">
        <is>
          <t xml:space="preserve">Surplus Lines</t>
        </is>
      </c>
      <c r="AB432" s="50">
        <v>3125.12</v>
      </c>
      <c r="AC432" s="51">
        <v>0</v>
      </c>
      <c r="AD432" s="38">
        <f>IF(ISNUMBER($AB432),$AB432*(1+N($AC432)),"")</f>
      </c>
      <c r="AE432" s="50">
        <v>350</v>
      </c>
      <c r="AF432" s="50">
        <v>0</v>
      </c>
      <c r="AG432" s="51"/>
      <c r="AH432" s="39">
        <f>IF(ISNUMBER($AD432),($AD432+$AE432+$AF432)*$AG432,"")</f>
      </c>
      <c r="AI432" s="50"/>
      <c r="AJ432" s="38">
        <f>IF(ISNUMBER($AD432),SUM($AD432:$AH432),"")</f>
      </c>
      <c r="AK432" s="40">
        <f>IF(AND(ISNUMBER($AB432),ISNUMBER($AD432)),IF($AB432&gt;0,$AD432/$AB432,""),"")</f>
      </c>
      <c r="AL432" s="48" t="inlineStr">
        <is>
          <t xml:space="preserve">At technical</t>
        </is>
      </c>
      <c r="AM432" s="41">
        <f>IF(ISNUMBER($AD432),Header!$I$3,"")</f>
      </c>
      <c r="AN432" s="39">
        <f>IF(ISNUMBER($AD432),$AO432+$AP432,"")</f>
      </c>
      <c r="AO432" s="39">
        <f>IF(ISNUMBER($AD432),ROUND($AD432*Header!$K$3,2),"")</f>
      </c>
      <c r="AP432" s="39">
        <f>IF(ISNUMBER($AD432),ROUND($AD432*Header!$M$3,2),"")</f>
      </c>
      <c r="AQ432" s="38">
        <f>IF(ISNUMBER($AD432),ROUND($AD432,2)-$AO432-$AP432,"")</f>
      </c>
      <c r="AR432" s="39">
        <f>IF(ISNUMBER($AD432),IF(Header!$D$34="","?",$AD432*Header!$D$34),"")</f>
      </c>
      <c r="AS432" s="39">
        <f>IF(ISNUMBER($AB432),IF(Header!$D$34="","?",$AB432*Header!$D$34),"")</f>
      </c>
      <c r="AT432" s="42">
        <f>IF(AND(ISNUMBER($AB432),$M432&gt;0),$AB432/$M432*100,"")</f>
      </c>
      <c r="AU432" s="42">
        <f>IF(AND(ISNUMBER($AD432),$M432&gt;0),$AD432/$M432*100,"")</f>
      </c>
      <c r="AV432" s="40">
        <f>IF(AND(ISNUMBER($AB432),ISNUMBER($AD432),ABS($AB432)&gt;0),$AD432/$AB432,"")</f>
      </c>
      <c r="AW432" s="39">
        <f>IF(ISNUMBER($AD432),MAX(0,(1-0.55-Header!$O$3)*Header!$Q$3*$AQ432),"")</f>
      </c>
      <c r="AX432" s="43">
        <f>IF($A432="","",IF(TRIM(IF($A432="","Missing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",""))="","PASS","FAIL: "&amp;TRIM(IF($A432="","Missing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f>
      </c>
      <c r="AY432" s="44">
        <f>IF($M432="","",IF(ISNUMBER($M432),IF($M432&gt;=Header!$C$18,"YES — refer","No"),""))</f>
      </c>
      <c r="AZ432" s="44">
        <f>IF($AD432="","",IF(ISNUMBER($AD432),IF($AD432&lt;Header!$C$20,"BELOW MIN PREMIUM","OK"),""))</f>
      </c>
      <c r="BA432" s="48" t="inlineStr">
        <is>
          <t xml:space="preserve">Yes</t>
        </is>
      </c>
      <c r="BB432" s="48" t="inlineStr">
        <is>
          <t xml:space="preserve">Yes</t>
        </is>
      </c>
      <c r="BC432" s="46" t="inlineStr">
        <is>
          <t xml:space="preserve">Synthetic demo data</t>
        </is>
      </c>
      <c r="BE432" s="45">
        <f>IF(OR($A432="",$L432="",$H432=""),"",IF(AND(LEFT($L432,2)="06",$H432&gt;1945),"FAIL - pre-war class, year "&amp;$H432,IF(AND(LEFT($L432,2)="07",OR($H432&lt;1946,$H432&gt;1972)),"FAIL - 1946-72 class, year "&amp;$H432,IF(AND(LEFT($L432,2)="08",OR($H432&lt;1973,$H432&gt;1999)),"FAIL - 1973-99 class, year "&amp;$H432,IF(AND(LEFT($L432,2)="09",OR($H432&lt;2000,$H432&gt;2010)),"FAIL - 2000-10 class, year "&amp;$H432,"OK")))))</f>
      </c>
      <c r="BF432" s="45">
        <f>IF($AD432="","",IF(ROUND($AO432+$AP432+$AQ432-$AD432,2)=0,"OK","FAIL - out by "&amp;TEXT($AO432+$AP432+$AQ432-$AD432,"$0.00")))</f>
      </c>
    </row>
    <row r="433" spans="1:58" ht="18.75" customHeight="1" x14ac:dyDescent="0.25">
      <c r="A433" s="30" t="inlineStr">
        <is>
          <t xml:space="preserve">CANON-202606-008994</t>
        </is>
      </c>
      <c r="B433" s="30" t="inlineStr">
        <is>
          <t xml:space="preserve">Beatrix Farkas</t>
        </is>
      </c>
      <c r="C433" s="31">
        <v>46179</v>
      </c>
      <c r="D433" s="32" t="inlineStr">
        <is>
          <t xml:space="preserve">Bound - within authority</t>
        </is>
      </c>
      <c r="E433" s="32" t="inlineStr">
        <is>
          <t xml:space="preserve">New business</t>
        </is>
      </c>
      <c r="F433" s="30" t="inlineStr">
        <is>
          <t xml:space="preserve">B1234EXOTIC26</t>
        </is>
      </c>
      <c r="G433" s="33">
        <f>IF($A433="","",IF($C433="","",YEAR($C433)))</f>
      </c>
      <c r="H433" s="34">
        <v>1968</v>
      </c>
      <c r="I433" s="30" t="inlineStr">
        <is>
          <t xml:space="preserve">Bentley</t>
        </is>
      </c>
      <c r="J433" s="30" t="inlineStr">
        <is>
          <t xml:space="preserve">Continental GT</t>
        </is>
      </c>
      <c r="K433" s="30" t="inlineStr">
        <is>
          <t xml:space="preserve">E3E9MN36BX36U7NCJ</t>
        </is>
      </c>
      <c r="L433" s="32" t="inlineStr">
        <is>
          <t xml:space="preserve">02 - Sports / GT</t>
        </is>
      </c>
      <c r="M433" s="35">
        <v>775000</v>
      </c>
      <c r="N433" s="32" t="inlineStr">
        <is>
          <t xml:space="preserve">Personal</t>
        </is>
      </c>
      <c r="O433" s="30" t="inlineStr">
        <is>
          <t xml:space="preserve">Personal - regular use</t>
        </is>
      </c>
      <c r="P433" s="30" t="inlineStr">
        <is>
          <t xml:space="preserve">Under 1,000</t>
        </is>
      </c>
      <c r="Q433" s="30" t="inlineStr">
        <is>
          <t xml:space="preserve">Rhode Island</t>
        </is>
      </c>
      <c r="R433" s="30" t="inlineStr">
        <is>
          <t xml:space="preserve">02903</t>
        </is>
      </c>
      <c r="S433" s="32" t="inlineStr">
        <is>
          <t xml:space="preserve">Tier 3 - Coastal wind (25-100 miles)</t>
        </is>
      </c>
      <c r="T433" s="36">
        <f>IF($A433="","",IF($S433="","",IFERROR(INDEX('[1]natural catastrophe'!$D$6:$D$17,MATCH($S433,'[1]natural catastrophe'!$B$6:$B$17,0)),"?")))</f>
      </c>
      <c r="U433" s="30" t="inlineStr">
        <is>
          <t xml:space="preserve">2% of agreed value, minimum $10,000</t>
        </is>
      </c>
      <c r="V433" s="32" t="inlineStr">
        <is>
          <t xml:space="preserve">Agreed Value</t>
        </is>
      </c>
      <c r="W433" s="30" t="inlineStr">
        <is>
          <t xml:space="preserve">$1,000</t>
        </is>
      </c>
      <c r="X433" s="32" t="inlineStr">
        <is>
          <t xml:space="preserve">$1,000,000 CSL</t>
        </is>
      </c>
      <c r="Y433" s="30"/>
      <c r="Z433" s="30"/>
      <c r="AA433" s="32" t="inlineStr">
        <is>
          <t xml:space="preserve">Surplus Lines</t>
        </is>
      </c>
      <c r="AB433" s="35">
        <v>9958.81</v>
      </c>
      <c r="AC433" s="37">
        <v>0</v>
      </c>
      <c r="AD433" s="38">
        <f>IF(ISNUMBER($AB433),$AB433*(1+N($AC433)),"")</f>
      </c>
      <c r="AE433" s="35">
        <v>350</v>
      </c>
      <c r="AF433" s="35">
        <v>0</v>
      </c>
      <c r="AG433" s="37"/>
      <c r="AH433" s="39">
        <f>IF(ISNUMBER($AD433),($AD433+$AE433+$AF433)*$AG433,"")</f>
      </c>
      <c r="AI433" s="35"/>
      <c r="AJ433" s="38">
        <f>IF(ISNUMBER($AD433),SUM($AD433:$AH433),"")</f>
      </c>
      <c r="AK433" s="40">
        <f>IF(AND(ISNUMBER($AB433),ISNUMBER($AD433)),IF($AB433&gt;0,$AD433/$AB433,""),"")</f>
      </c>
      <c r="AL433" s="32" t="inlineStr">
        <is>
          <t xml:space="preserve">At technical</t>
        </is>
      </c>
      <c r="AM433" s="41">
        <f>IF(ISNUMBER($AD433),Header!$I$3,"")</f>
      </c>
      <c r="AN433" s="39">
        <f>IF(ISNUMBER($AD433),$AO433+$AP433,"")</f>
      </c>
      <c r="AO433" s="39">
        <f>IF(ISNUMBER($AD433),ROUND($AD433*Header!$K$3,2),"")</f>
      </c>
      <c r="AP433" s="39">
        <f>IF(ISNUMBER($AD433),ROUND($AD433*Header!$M$3,2),"")</f>
      </c>
      <c r="AQ433" s="38">
        <f>IF(ISNUMBER($AD433),ROUND($AD433,2)-$AO433-$AP433,"")</f>
      </c>
      <c r="AR433" s="39">
        <f>IF(ISNUMBER($AD433),IF(Header!$D$34="","?",$AD433*Header!$D$34),"")</f>
      </c>
      <c r="AS433" s="39">
        <f>IF(ISNUMBER($AB433),IF(Header!$D$34="","?",$AB433*Header!$D$34),"")</f>
      </c>
      <c r="AT433" s="42">
        <f>IF(AND(ISNUMBER($AB433),$M433&gt;0),$AB433/$M433*100,"")</f>
      </c>
      <c r="AU433" s="42">
        <f>IF(AND(ISNUMBER($AD433),$M433&gt;0),$AD433/$M433*100,"")</f>
      </c>
      <c r="AV433" s="40">
        <f>IF(AND(ISNUMBER($AB433),ISNUMBER($AD433),ABS($AB433)&gt;0),$AD433/$AB433,"")</f>
      </c>
      <c r="AW433" s="39">
        <f>IF(ISNUMBER($AD433),MAX(0,(1-0.55-Header!$O$3)*Header!$Q$3*$AQ433),"")</f>
      </c>
      <c r="AX433" s="43">
        <f>IF($A433="","",IF(TRIM(IF($A433="","Missing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",""))="","PASS","FAIL: "&amp;TRIM(IF($A433="","Missing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f>
      </c>
      <c r="AY433" s="44">
        <f>IF($M433="","",IF(ISNUMBER($M433),IF($M433&gt;=Header!$C$18,"YES — refer","No"),""))</f>
      </c>
      <c r="AZ433" s="44">
        <f>IF($AD433="","",IF(ISNUMBER($AD433),IF($AD433&lt;Header!$C$20,"BELOW MIN PREMIUM","OK"),""))</f>
      </c>
      <c r="BA433" s="32" t="inlineStr">
        <is>
          <t xml:space="preserve">Yes</t>
        </is>
      </c>
      <c r="BB433" s="32" t="inlineStr">
        <is>
          <t xml:space="preserve">Yes</t>
        </is>
      </c>
      <c r="BC433" s="30" t="inlineStr">
        <is>
          <t xml:space="preserve">Synthetic demo data</t>
        </is>
      </c>
      <c r="BE433" s="45">
        <f>IF(OR($A433="",$L433="",$H433=""),"",IF(AND(LEFT($L433,2)="06",$H433&gt;1945),"FAIL - pre-war class, year "&amp;$H433,IF(AND(LEFT($L433,2)="07",OR($H433&lt;1946,$H433&gt;1972)),"FAIL - 1946-72 class, year "&amp;$H433,IF(AND(LEFT($L433,2)="08",OR($H433&lt;1973,$H433&gt;1999)),"FAIL - 1973-99 class, year "&amp;$H433,IF(AND(LEFT($L433,2)="09",OR($H433&lt;2000,$H433&gt;2010)),"FAIL - 2000-10 class, year "&amp;$H433,"OK")))))</f>
      </c>
      <c r="BF433" s="45">
        <f>IF($AD433="","",IF(ROUND($AO433+$AP433+$AQ433-$AD433,2)=0,"OK","FAIL - out by "&amp;TEXT($AO433+$AP433+$AQ433-$AD433,"$0.00")))</f>
      </c>
    </row>
    <row r="434" spans="1:58" ht="18.75" customHeight="1" x14ac:dyDescent="0.25">
      <c r="A434" s="46" t="inlineStr">
        <is>
          <t xml:space="preserve">CANON-202606-008995</t>
        </is>
      </c>
      <c r="B434" s="46" t="inlineStr">
        <is>
          <t xml:space="preserve">Mireille Montoya</t>
        </is>
      </c>
      <c r="C434" s="47">
        <v>46181</v>
      </c>
      <c r="D434" s="48" t="inlineStr">
        <is>
          <t xml:space="preserve">Bound - within authority</t>
        </is>
      </c>
      <c r="E434" s="48" t="inlineStr">
        <is>
          <t xml:space="preserve">New business</t>
        </is>
      </c>
      <c r="F434" s="46" t="inlineStr">
        <is>
          <t xml:space="preserve">B1234EXOTIC26</t>
        </is>
      </c>
      <c r="G434" s="33">
        <f>IF($A434="","",IF($C434="","",YEAR($C434)))</f>
      </c>
      <c r="H434" s="49">
        <v>2014</v>
      </c>
      <c r="I434" s="46" t="inlineStr">
        <is>
          <t xml:space="preserve">BMW</t>
        </is>
      </c>
      <c r="J434" s="46" t="inlineStr">
        <is>
          <t xml:space="preserve">M8 Competition</t>
        </is>
      </c>
      <c r="K434" s="46" t="inlineStr">
        <is>
          <t xml:space="preserve">765XW3KE0GTPR0CGT</t>
        </is>
      </c>
      <c r="L434" s="48" t="inlineStr">
        <is>
          <t xml:space="preserve">02 - Sports / GT</t>
        </is>
      </c>
      <c r="M434" s="50">
        <v>325000</v>
      </c>
      <c r="N434" s="48" t="inlineStr">
        <is>
          <t xml:space="preserve">Personal</t>
        </is>
      </c>
      <c r="O434" s="46" t="inlineStr">
        <is>
          <t xml:space="preserve">Personal - regular use</t>
        </is>
      </c>
      <c r="P434" s="46" t="inlineStr">
        <is>
          <t xml:space="preserve">2,500 - 5,000</t>
        </is>
      </c>
      <c r="Q434" s="46" t="inlineStr">
        <is>
          <t xml:space="preserve">Pennsylvania</t>
        </is>
      </c>
      <c r="R434" s="46" t="inlineStr">
        <is>
          <t xml:space="preserve">19103</t>
        </is>
      </c>
      <c r="S434" s="48" t="inlineStr">
        <is>
          <t xml:space="preserve">Low hazard - inland benign</t>
        </is>
      </c>
      <c r="T434" s="36">
        <f>IF($A434="","",IF($S434="","",IFERROR(INDEX('[1]natural catastrophe'!$D$6:$D$17,MATCH($S434,'[1]natural catastrophe'!$B$6:$B$17,0)),"?")))</f>
      </c>
      <c r="U434" s="46" t="inlineStr">
        <is>
          <t xml:space="preserve">$5,000</t>
        </is>
      </c>
      <c r="V434" s="48" t="inlineStr">
        <is>
          <t xml:space="preserve">Agreed Value</t>
        </is>
      </c>
      <c r="W434" s="46" t="inlineStr">
        <is>
          <t xml:space="preserve">$1,000</t>
        </is>
      </c>
      <c r="X434" s="48" t="inlineStr">
        <is>
          <t xml:space="preserve">$1,000,000 CSL</t>
        </is>
      </c>
      <c r="Y434" s="46"/>
      <c r="Z434" s="46"/>
      <c r="AA434" s="48" t="inlineStr">
        <is>
          <t xml:space="preserve">Surplus Lines</t>
        </is>
      </c>
      <c r="AB434" s="50">
        <v>3517.36</v>
      </c>
      <c r="AC434" s="51">
        <v>0</v>
      </c>
      <c r="AD434" s="38">
        <f>IF(ISNUMBER($AB434),$AB434*(1+N($AC434)),"")</f>
      </c>
      <c r="AE434" s="50">
        <v>350</v>
      </c>
      <c r="AF434" s="50">
        <v>0</v>
      </c>
      <c r="AG434" s="51"/>
      <c r="AH434" s="39">
        <f>IF(ISNUMBER($AD434),($AD434+$AE434+$AF434)*$AG434,"")</f>
      </c>
      <c r="AI434" s="50"/>
      <c r="AJ434" s="38">
        <f>IF(ISNUMBER($AD434),SUM($AD434:$AH434),"")</f>
      </c>
      <c r="AK434" s="40">
        <f>IF(AND(ISNUMBER($AB434),ISNUMBER($AD434)),IF($AB434&gt;0,$AD434/$AB434,""),"")</f>
      </c>
      <c r="AL434" s="48" t="inlineStr">
        <is>
          <t xml:space="preserve">At technical</t>
        </is>
      </c>
      <c r="AM434" s="41">
        <f>IF(ISNUMBER($AD434),Header!$I$3,"")</f>
      </c>
      <c r="AN434" s="39">
        <f>IF(ISNUMBER($AD434),$AO434+$AP434,"")</f>
      </c>
      <c r="AO434" s="39">
        <f>IF(ISNUMBER($AD434),ROUND($AD434*Header!$K$3,2),"")</f>
      </c>
      <c r="AP434" s="39">
        <f>IF(ISNUMBER($AD434),ROUND($AD434*Header!$M$3,2),"")</f>
      </c>
      <c r="AQ434" s="38">
        <f>IF(ISNUMBER($AD434),ROUND($AD434,2)-$AO434-$AP434,"")</f>
      </c>
      <c r="AR434" s="39">
        <f>IF(ISNUMBER($AD434),IF(Header!$D$34="","?",$AD434*Header!$D$34),"")</f>
      </c>
      <c r="AS434" s="39">
        <f>IF(ISNUMBER($AB434),IF(Header!$D$34="","?",$AB434*Header!$D$34),"")</f>
      </c>
      <c r="AT434" s="42">
        <f>IF(AND(ISNUMBER($AB434),$M434&gt;0),$AB434/$M434*100,"")</f>
      </c>
      <c r="AU434" s="42">
        <f>IF(AND(ISNUMBER($AD434),$M434&gt;0),$AD434/$M434*100,"")</f>
      </c>
      <c r="AV434" s="40">
        <f>IF(AND(ISNUMBER($AB434),ISNUMBER($AD434),ABS($AB434)&gt;0),$AD434/$AB434,"")</f>
      </c>
      <c r="AW434" s="39">
        <f>IF(ISNUMBER($AD434),MAX(0,(1-0.55-Header!$O$3)*Header!$Q$3*$AQ434),"")</f>
      </c>
      <c r="AX434" s="43">
        <f>IF($A434="","",IF(TRIM(IF($A434="","Missing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",""))="","PASS","FAIL: "&amp;TRIM(IF($A434="","Missing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f>
      </c>
      <c r="AY434" s="44">
        <f>IF($M434="","",IF(ISNUMBER($M434),IF($M434&gt;=Header!$C$18,"YES — refer","No"),""))</f>
      </c>
      <c r="AZ434" s="44">
        <f>IF($AD434="","",IF(ISNUMBER($AD434),IF($AD434&lt;Header!$C$20,"BELOW MIN PREMIUM","OK"),""))</f>
      </c>
      <c r="BA434" s="48" t="inlineStr">
        <is>
          <t xml:space="preserve">Yes</t>
        </is>
      </c>
      <c r="BB434" s="48" t="inlineStr">
        <is>
          <t xml:space="preserve">Yes</t>
        </is>
      </c>
      <c r="BC434" s="46" t="inlineStr">
        <is>
          <t xml:space="preserve">Synthetic demo data</t>
        </is>
      </c>
      <c r="BE434" s="45">
        <f>IF(OR($A434="",$L434="",$H434=""),"",IF(AND(LEFT($L434,2)="06",$H434&gt;1945),"FAIL - pre-war class, year "&amp;$H434,IF(AND(LEFT($L434,2)="07",OR($H434&lt;1946,$H434&gt;1972)),"FAIL - 1946-72 class, year "&amp;$H434,IF(AND(LEFT($L434,2)="08",OR($H434&lt;1973,$H434&gt;1999)),"FAIL - 1973-99 class, year "&amp;$H434,IF(AND(LEFT($L434,2)="09",OR($H434&lt;2000,$H434&gt;2010)),"FAIL - 2000-10 class, year "&amp;$H434,"OK")))))</f>
      </c>
      <c r="BF434" s="45">
        <f>IF($AD434="","",IF(ROUND($AO434+$AP434+$AQ434-$AD434,2)=0,"OK","FAIL - out by "&amp;TEXT($AO434+$AP434+$AQ434-$AD434,"$0.00")))</f>
      </c>
    </row>
    <row r="435" spans="1:58" ht="18.75" customHeight="1" x14ac:dyDescent="0.25">
      <c r="A435" s="30" t="inlineStr">
        <is>
          <t xml:space="preserve">CANON-202606-008996</t>
        </is>
      </c>
      <c r="B435" s="30" t="inlineStr">
        <is>
          <t xml:space="preserve">Saoirse Delacroix</t>
        </is>
      </c>
      <c r="C435" s="31">
        <v>46192</v>
      </c>
      <c r="D435" s="32" t="inlineStr">
        <is>
          <t xml:space="preserve">Bound - within authority</t>
        </is>
      </c>
      <c r="E435" s="32" t="inlineStr">
        <is>
          <t xml:space="preserve">New business</t>
        </is>
      </c>
      <c r="F435" s="30" t="inlineStr">
        <is>
          <t xml:space="preserve">B1234EXOTIC26</t>
        </is>
      </c>
      <c r="G435" s="33">
        <f>IF($A435="","",IF($C435="","",YEAR($C435)))</f>
      </c>
      <c r="H435" s="34">
        <v>1991</v>
      </c>
      <c r="I435" s="30" t="inlineStr">
        <is>
          <t xml:space="preserve">Aston Martin</t>
        </is>
      </c>
      <c r="J435" s="30" t="inlineStr">
        <is>
          <t xml:space="preserve">DB12</t>
        </is>
      </c>
      <c r="K435" s="30" t="inlineStr">
        <is>
          <t xml:space="preserve">97U03HYPK5PEGXXF3</t>
        </is>
      </c>
      <c r="L435" s="32" t="inlineStr">
        <is>
          <t xml:space="preserve">02 - Sports / GT</t>
        </is>
      </c>
      <c r="M435" s="35">
        <v>275000</v>
      </c>
      <c r="N435" s="32" t="inlineStr">
        <is>
          <t xml:space="preserve">Personal</t>
        </is>
      </c>
      <c r="O435" s="30" t="inlineStr">
        <is>
          <t xml:space="preserve">Personal - regular use</t>
        </is>
      </c>
      <c r="P435" s="30" t="inlineStr">
        <is>
          <t xml:space="preserve">1,000 - 2,500</t>
        </is>
      </c>
      <c r="Q435" s="30" t="inlineStr">
        <is>
          <t xml:space="preserve">Alaska</t>
        </is>
      </c>
      <c r="R435" s="30" t="inlineStr">
        <is>
          <t xml:space="preserve">99501</t>
        </is>
      </c>
      <c r="S435" s="32" t="inlineStr">
        <is>
          <t xml:space="preserve">Earthquake - high (CA, Cascadia, New Madrid)</t>
        </is>
      </c>
      <c r="T435" s="36">
        <f>IF($A435="","",IF($S435="","",IFERROR(INDEX('[1]natural catastrophe'!$D$6:$D$17,MATCH($S435,'[1]natural catastrophe'!$B$6:$B$17,0)),"?")))</f>
      </c>
      <c r="U435" s="30" t="inlineStr">
        <is>
          <t xml:space="preserve">$5,000</t>
        </is>
      </c>
      <c r="V435" s="32" t="inlineStr">
        <is>
          <t xml:space="preserve">Agreed Value</t>
        </is>
      </c>
      <c r="W435" s="30" t="inlineStr">
        <is>
          <t xml:space="preserve">$1,000</t>
        </is>
      </c>
      <c r="X435" s="32" t="inlineStr">
        <is>
          <t xml:space="preserve">$1,000,000 CSL</t>
        </is>
      </c>
      <c r="Y435" s="30"/>
      <c r="Z435" s="30"/>
      <c r="AA435" s="32" t="inlineStr">
        <is>
          <t xml:space="preserve">Surplus Lines</t>
        </is>
      </c>
      <c r="AB435" s="35">
        <v>3392.9</v>
      </c>
      <c r="AC435" s="37">
        <v>0</v>
      </c>
      <c r="AD435" s="38">
        <f>IF(ISNUMBER($AB435),$AB435*(1+N($AC435)),"")</f>
      </c>
      <c r="AE435" s="35">
        <v>350</v>
      </c>
      <c r="AF435" s="35">
        <v>0</v>
      </c>
      <c r="AG435" s="37"/>
      <c r="AH435" s="39">
        <f>IF(ISNUMBER($AD435),($AD435+$AE435+$AF435)*$AG435,"")</f>
      </c>
      <c r="AI435" s="35"/>
      <c r="AJ435" s="38">
        <f>IF(ISNUMBER($AD435),SUM($AD435:$AH435),"")</f>
      </c>
      <c r="AK435" s="40">
        <f>IF(AND(ISNUMBER($AB435),ISNUMBER($AD435)),IF($AB435&gt;0,$AD435/$AB435,""),"")</f>
      </c>
      <c r="AL435" s="32" t="inlineStr">
        <is>
          <t xml:space="preserve">At technical</t>
        </is>
      </c>
      <c r="AM435" s="41">
        <f>IF(ISNUMBER($AD435),Header!$I$3,"")</f>
      </c>
      <c r="AN435" s="39">
        <f>IF(ISNUMBER($AD435),$AO435+$AP435,"")</f>
      </c>
      <c r="AO435" s="39">
        <f>IF(ISNUMBER($AD435),ROUND($AD435*Header!$K$3,2),"")</f>
      </c>
      <c r="AP435" s="39">
        <f>IF(ISNUMBER($AD435),ROUND($AD435*Header!$M$3,2),"")</f>
      </c>
      <c r="AQ435" s="38">
        <f>IF(ISNUMBER($AD435),ROUND($AD435,2)-$AO435-$AP435,"")</f>
      </c>
      <c r="AR435" s="39">
        <f>IF(ISNUMBER($AD435),IF(Header!$D$34="","?",$AD435*Header!$D$34),"")</f>
      </c>
      <c r="AS435" s="39">
        <f>IF(ISNUMBER($AB435),IF(Header!$D$34="","?",$AB435*Header!$D$34),"")</f>
      </c>
      <c r="AT435" s="42">
        <f>IF(AND(ISNUMBER($AB435),$M435&gt;0),$AB435/$M435*100,"")</f>
      </c>
      <c r="AU435" s="42">
        <f>IF(AND(ISNUMBER($AD435),$M435&gt;0),$AD435/$M435*100,"")</f>
      </c>
      <c r="AV435" s="40">
        <f>IF(AND(ISNUMBER($AB435),ISNUMBER($AD435),ABS($AB435)&gt;0),$AD435/$AB435,"")</f>
      </c>
      <c r="AW435" s="39">
        <f>IF(ISNUMBER($AD435),MAX(0,(1-0.55-Header!$O$3)*Header!$Q$3*$AQ435),"")</f>
      </c>
      <c r="AX435" s="43">
        <f>IF($A435="","",IF(TRIM(IF($A435="","Missing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",""))="","PASS","FAIL: "&amp;TRIM(IF($A435="","Missing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f>
      </c>
      <c r="AY435" s="44">
        <f>IF($M435="","",IF(ISNUMBER($M435),IF($M435&gt;=Header!$C$18,"YES — refer","No"),""))</f>
      </c>
      <c r="AZ435" s="44">
        <f>IF($AD435="","",IF(ISNUMBER($AD435),IF($AD435&lt;Header!$C$20,"BELOW MIN PREMIUM","OK"),""))</f>
      </c>
      <c r="BA435" s="32" t="inlineStr">
        <is>
          <t xml:space="preserve">Yes</t>
        </is>
      </c>
      <c r="BB435" s="32" t="inlineStr">
        <is>
          <t xml:space="preserve">Yes</t>
        </is>
      </c>
      <c r="BC435" s="30" t="inlineStr">
        <is>
          <t xml:space="preserve">Synthetic demo data</t>
        </is>
      </c>
      <c r="BE435" s="45">
        <f>IF(OR($A435="",$L435="",$H435=""),"",IF(AND(LEFT($L435,2)="06",$H435&gt;1945),"FAIL - pre-war class, year "&amp;$H435,IF(AND(LEFT($L435,2)="07",OR($H435&lt;1946,$H435&gt;1972)),"FAIL - 1946-72 class, year "&amp;$H435,IF(AND(LEFT($L435,2)="08",OR($H435&lt;1973,$H435&gt;1999)),"FAIL - 1973-99 class, year "&amp;$H435,IF(AND(LEFT($L435,2)="09",OR($H435&lt;2000,$H435&gt;2010)),"FAIL - 2000-10 class, year "&amp;$H435,"OK")))))</f>
      </c>
      <c r="BF435" s="45">
        <f>IF($AD435="","",IF(ROUND($AO435+$AP435+$AQ435-$AD435,2)=0,"OK","FAIL - out by "&amp;TEXT($AO435+$AP435+$AQ435-$AD435,"$0.00")))</f>
      </c>
    </row>
    <row r="436" spans="1:58" ht="18.75" customHeight="1" x14ac:dyDescent="0.25">
      <c r="A436" s="46" t="inlineStr">
        <is>
          <t xml:space="preserve">CANON-202606-008998</t>
        </is>
      </c>
      <c r="B436" s="46" t="inlineStr">
        <is>
          <t xml:space="preserve">Fenwick Montoya</t>
        </is>
      </c>
      <c r="C436" s="47">
        <v>46197</v>
      </c>
      <c r="D436" s="48" t="inlineStr">
        <is>
          <t xml:space="preserve">Bound - within authority</t>
        </is>
      </c>
      <c r="E436" s="48" t="inlineStr">
        <is>
          <t xml:space="preserve">New business</t>
        </is>
      </c>
      <c r="F436" s="46" t="inlineStr">
        <is>
          <t xml:space="preserve">B1234EXOTIC26</t>
        </is>
      </c>
      <c r="G436" s="33">
        <f>IF($A436="","",IF($C436="","",YEAR($C436)))</f>
      </c>
      <c r="H436" s="49">
        <v>2000</v>
      </c>
      <c r="I436" s="46" t="inlineStr">
        <is>
          <t xml:space="preserve">BMW</t>
        </is>
      </c>
      <c r="J436" s="46" t="inlineStr">
        <is>
          <t xml:space="preserve">M8 Competition</t>
        </is>
      </c>
      <c r="K436" s="46" t="inlineStr">
        <is>
          <t xml:space="preserve">DBF96GD8P5U3G17KC</t>
        </is>
      </c>
      <c r="L436" s="48" t="inlineStr">
        <is>
          <t xml:space="preserve">02 - Sports / GT</t>
        </is>
      </c>
      <c r="M436" s="50">
        <v>690000</v>
      </c>
      <c r="N436" s="48" t="inlineStr">
        <is>
          <t xml:space="preserve">Personal</t>
        </is>
      </c>
      <c r="O436" s="46" t="inlineStr">
        <is>
          <t xml:space="preserve">Personal - regular use</t>
        </is>
      </c>
      <c r="P436" s="46" t="inlineStr">
        <is>
          <t xml:space="preserve">1,000 - 2,500</t>
        </is>
      </c>
      <c r="Q436" s="46" t="inlineStr">
        <is>
          <t xml:space="preserve">Iowa</t>
        </is>
      </c>
      <c r="R436" s="46" t="inlineStr">
        <is>
          <t xml:space="preserve">50309</t>
        </is>
      </c>
      <c r="S436" s="48" t="inlineStr">
        <is>
          <t xml:space="preserve">Severe convective - hail alley (high)</t>
        </is>
      </c>
      <c r="T436" s="36">
        <f>IF($A436="","",IF($S436="","",IFERROR(INDEX('[1]natural catastrophe'!$D$6:$D$17,MATCH($S436,'[1]natural catastrophe'!$B$6:$B$17,0)),"?")))</f>
      </c>
      <c r="U436" s="46" t="inlineStr">
        <is>
          <t xml:space="preserve">$5,000</t>
        </is>
      </c>
      <c r="V436" s="48" t="inlineStr">
        <is>
          <t xml:space="preserve">Agreed Value</t>
        </is>
      </c>
      <c r="W436" s="46" t="inlineStr">
        <is>
          <t xml:space="preserve">$1,000</t>
        </is>
      </c>
      <c r="X436" s="48" t="inlineStr">
        <is>
          <t xml:space="preserve">$1,000,000 CSL</t>
        </is>
      </c>
      <c r="Y436" s="46"/>
      <c r="Z436" s="46"/>
      <c r="AA436" s="48" t="inlineStr">
        <is>
          <t xml:space="preserve">Surplus Lines</t>
        </is>
      </c>
      <c r="AB436" s="50">
        <v>7119.13</v>
      </c>
      <c r="AC436" s="51">
        <v>0</v>
      </c>
      <c r="AD436" s="38">
        <f>IF(ISNUMBER($AB436),$AB436*(1+N($AC436)),"")</f>
      </c>
      <c r="AE436" s="50">
        <v>350</v>
      </c>
      <c r="AF436" s="50">
        <v>0</v>
      </c>
      <c r="AG436" s="51"/>
      <c r="AH436" s="39">
        <f>IF(ISNUMBER($AD436),($AD436+$AE436+$AF436)*$AG436,"")</f>
      </c>
      <c r="AI436" s="50"/>
      <c r="AJ436" s="38">
        <f>IF(ISNUMBER($AD436),SUM($AD436:$AH436),"")</f>
      </c>
      <c r="AK436" s="40">
        <f>IF(AND(ISNUMBER($AB436),ISNUMBER($AD436)),IF($AB436&gt;0,$AD436/$AB436,""),"")</f>
      </c>
      <c r="AL436" s="48" t="inlineStr">
        <is>
          <t xml:space="preserve">At technical</t>
        </is>
      </c>
      <c r="AM436" s="41">
        <f>IF(ISNUMBER($AD436),Header!$I$3,"")</f>
      </c>
      <c r="AN436" s="39">
        <f>IF(ISNUMBER($AD436),$AO436+$AP436,"")</f>
      </c>
      <c r="AO436" s="39">
        <f>IF(ISNUMBER($AD436),ROUND($AD436*Header!$K$3,2),"")</f>
      </c>
      <c r="AP436" s="39">
        <f>IF(ISNUMBER($AD436),ROUND($AD436*Header!$M$3,2),"")</f>
      </c>
      <c r="AQ436" s="38">
        <f>IF(ISNUMBER($AD436),ROUND($AD436,2)-$AO436-$AP436,"")</f>
      </c>
      <c r="AR436" s="39">
        <f>IF(ISNUMBER($AD436),IF(Header!$D$34="","?",$AD436*Header!$D$34),"")</f>
      </c>
      <c r="AS436" s="39">
        <f>IF(ISNUMBER($AB436),IF(Header!$D$34="","?",$AB436*Header!$D$34),"")</f>
      </c>
      <c r="AT436" s="42">
        <f>IF(AND(ISNUMBER($AB436),$M436&gt;0),$AB436/$M436*100,"")</f>
      </c>
      <c r="AU436" s="42">
        <f>IF(AND(ISNUMBER($AD436),$M436&gt;0),$AD436/$M436*100,"")</f>
      </c>
      <c r="AV436" s="40">
        <f>IF(AND(ISNUMBER($AB436),ISNUMBER($AD436),ABS($AB436)&gt;0),$AD436/$AB436,"")</f>
      </c>
      <c r="AW436" s="39">
        <f>IF(ISNUMBER($AD436),MAX(0,(1-0.55-Header!$O$3)*Header!$Q$3*$AQ436),"")</f>
      </c>
      <c r="AX436" s="43">
        <f>IF($A436="","",IF(TRIM(IF($A436="","Missing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",""))="","PASS","FAIL: "&amp;TRIM(IF($A436="","Missing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f>
      </c>
      <c r="AY436" s="44">
        <f>IF($M436="","",IF(ISNUMBER($M436),IF($M436&gt;=Header!$C$18,"YES — refer","No"),""))</f>
      </c>
      <c r="AZ436" s="44">
        <f>IF($AD436="","",IF(ISNUMBER($AD436),IF($AD436&lt;Header!$C$20,"BELOW MIN PREMIUM","OK"),""))</f>
      </c>
      <c r="BA436" s="48" t="inlineStr">
        <is>
          <t xml:space="preserve">Yes</t>
        </is>
      </c>
      <c r="BB436" s="48" t="inlineStr">
        <is>
          <t xml:space="preserve">Yes</t>
        </is>
      </c>
      <c r="BC436" s="46" t="inlineStr">
        <is>
          <t xml:space="preserve">Synthetic demo data</t>
        </is>
      </c>
      <c r="BE436" s="45">
        <f>IF(OR($A436="",$L436="",$H436=""),"",IF(AND(LEFT($L436,2)="06",$H436&gt;1945),"FAIL - pre-war class, year "&amp;$H436,IF(AND(LEFT($L436,2)="07",OR($H436&lt;1946,$H436&gt;1972)),"FAIL - 1946-72 class, year "&amp;$H436,IF(AND(LEFT($L436,2)="08",OR($H436&lt;1973,$H436&gt;1999)),"FAIL - 1973-99 class, year "&amp;$H436,IF(AND(LEFT($L436,2)="09",OR($H436&lt;2000,$H436&gt;2010)),"FAIL - 2000-10 class, year "&amp;$H436,"OK")))))</f>
      </c>
      <c r="BF436" s="45">
        <f>IF($AD436="","",IF(ROUND($AO436+$AP436+$AQ436-$AD436,2)=0,"OK","FAIL - out by "&amp;TEXT($AO436+$AP436+$AQ436-$AD436,"$0.00")))</f>
      </c>
    </row>
    <row r="437" spans="1:58" ht="18.75" customHeight="1" x14ac:dyDescent="0.25">
      <c r="A437" s="30" t="inlineStr">
        <is>
          <t xml:space="preserve">CANON-202606-008999</t>
        </is>
      </c>
      <c r="B437" s="30" t="inlineStr">
        <is>
          <t xml:space="preserve">Emiliano Whitlock</t>
        </is>
      </c>
      <c r="C437" s="31">
        <v>46184</v>
      </c>
      <c r="D437" s="32" t="inlineStr">
        <is>
          <t xml:space="preserve">Bound - within authority</t>
        </is>
      </c>
      <c r="E437" s="32" t="inlineStr">
        <is>
          <t xml:space="preserve">New business</t>
        </is>
      </c>
      <c r="F437" s="30" t="inlineStr">
        <is>
          <t xml:space="preserve">B1234EXOTIC26</t>
        </is>
      </c>
      <c r="G437" s="33">
        <f>IF($A437="","",IF($C437="","",YEAR($C437)))</f>
      </c>
      <c r="H437" s="34">
        <v>1980</v>
      </c>
      <c r="I437" s="30" t="inlineStr">
        <is>
          <t xml:space="preserve">Maserati</t>
        </is>
      </c>
      <c r="J437" s="30" t="inlineStr">
        <is>
          <t xml:space="preserve">GranTurismo</t>
        </is>
      </c>
      <c r="K437" s="30" t="inlineStr">
        <is>
          <t xml:space="preserve">445RFDNRV7PVMZM6U</t>
        </is>
      </c>
      <c r="L437" s="32" t="inlineStr">
        <is>
          <t xml:space="preserve">02 - Sports / GT</t>
        </is>
      </c>
      <c r="M437" s="35">
        <v>1280000</v>
      </c>
      <c r="N437" s="32" t="inlineStr">
        <is>
          <t xml:space="preserve">Personal</t>
        </is>
      </c>
      <c r="O437" s="30" t="inlineStr">
        <is>
          <t xml:space="preserve">Personal - regular use</t>
        </is>
      </c>
      <c r="P437" s="30" t="inlineStr">
        <is>
          <t xml:space="preserve">2,500 - 5,000</t>
        </is>
      </c>
      <c r="Q437" s="30" t="inlineStr">
        <is>
          <t xml:space="preserve">Alaska</t>
        </is>
      </c>
      <c r="R437" s="30" t="inlineStr">
        <is>
          <t xml:space="preserve">99501</t>
        </is>
      </c>
      <c r="S437" s="32" t="inlineStr">
        <is>
          <t xml:space="preserve">Earthquake - high (CA, Cascadia, New Madrid)</t>
        </is>
      </c>
      <c r="T437" s="36">
        <f>IF($A437="","",IF($S437="","",IFERROR(INDEX('[1]natural catastrophe'!$D$6:$D$17,MATCH($S437,'[1]natural catastrophe'!$B$6:$B$17,0)),"?")))</f>
      </c>
      <c r="U437" s="30" t="inlineStr">
        <is>
          <t xml:space="preserve">$5,000</t>
        </is>
      </c>
      <c r="V437" s="32" t="inlineStr">
        <is>
          <t xml:space="preserve">Agreed Value</t>
        </is>
      </c>
      <c r="W437" s="30" t="inlineStr">
        <is>
          <t xml:space="preserve">$1,000</t>
        </is>
      </c>
      <c r="X437" s="32" t="inlineStr">
        <is>
          <t xml:space="preserve">$1,000,000 CSL</t>
        </is>
      </c>
      <c r="Y437" s="30"/>
      <c r="Z437" s="30"/>
      <c r="AA437" s="32" t="inlineStr">
        <is>
          <t xml:space="preserve">Surplus Lines</t>
        </is>
      </c>
      <c r="AB437" s="35">
        <v>11581.09</v>
      </c>
      <c r="AC437" s="37">
        <v>0</v>
      </c>
      <c r="AD437" s="38">
        <f>IF(ISNUMBER($AB437),$AB437*(1+N($AC437)),"")</f>
      </c>
      <c r="AE437" s="35">
        <v>350</v>
      </c>
      <c r="AF437" s="35">
        <v>250</v>
      </c>
      <c r="AG437" s="37"/>
      <c r="AH437" s="39">
        <f>IF(ISNUMBER($AD437),($AD437+$AE437+$AF437)*$AG437,"")</f>
      </c>
      <c r="AI437" s="35"/>
      <c r="AJ437" s="38">
        <f>IF(ISNUMBER($AD437),SUM($AD437:$AH437),"")</f>
      </c>
      <c r="AK437" s="40">
        <f>IF(AND(ISNUMBER($AB437),ISNUMBER($AD437)),IF($AB437&gt;0,$AD437/$AB437,""),"")</f>
      </c>
      <c r="AL437" s="32" t="inlineStr">
        <is>
          <t xml:space="preserve">At technical</t>
        </is>
      </c>
      <c r="AM437" s="41">
        <f>IF(ISNUMBER($AD437),Header!$I$3,"")</f>
      </c>
      <c r="AN437" s="39">
        <f>IF(ISNUMBER($AD437),$AO437+$AP437,"")</f>
      </c>
      <c r="AO437" s="39">
        <f>IF(ISNUMBER($AD437),ROUND($AD437*Header!$K$3,2),"")</f>
      </c>
      <c r="AP437" s="39">
        <f>IF(ISNUMBER($AD437),ROUND($AD437*Header!$M$3,2),"")</f>
      </c>
      <c r="AQ437" s="38">
        <f>IF(ISNUMBER($AD437),ROUND($AD437,2)-$AO437-$AP437,"")</f>
      </c>
      <c r="AR437" s="39">
        <f>IF(ISNUMBER($AD437),IF(Header!$D$34="","?",$AD437*Header!$D$34),"")</f>
      </c>
      <c r="AS437" s="39">
        <f>IF(ISNUMBER($AB437),IF(Header!$D$34="","?",$AB437*Header!$D$34),"")</f>
      </c>
      <c r="AT437" s="42">
        <f>IF(AND(ISNUMBER($AB437),$M437&gt;0),$AB437/$M437*100,"")</f>
      </c>
      <c r="AU437" s="42">
        <f>IF(AND(ISNUMBER($AD437),$M437&gt;0),$AD437/$M437*100,"")</f>
      </c>
      <c r="AV437" s="40">
        <f>IF(AND(ISNUMBER($AB437),ISNUMBER($AD437),ABS($AB437)&gt;0),$AD437/$AB437,"")</f>
      </c>
      <c r="AW437" s="39">
        <f>IF(ISNUMBER($AD437),MAX(0,(1-0.55-Header!$O$3)*Header!$Q$3*$AQ437),"")</f>
      </c>
      <c r="AX437" s="43">
        <f>IF($A437="","",IF(TRIM(IF($A437="","Missing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",""))="","PASS","FAIL: "&amp;TRIM(IF($A437="","Missing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f>
      </c>
      <c r="AY437" s="44">
        <f>IF($M437="","",IF(ISNUMBER($M437),IF($M437&gt;=Header!$C$18,"YES — refer","No"),""))</f>
      </c>
      <c r="AZ437" s="44">
        <f>IF($AD437="","",IF(ISNUMBER($AD437),IF($AD437&lt;Header!$C$20,"BELOW MIN PREMIUM","OK"),""))</f>
      </c>
      <c r="BA437" s="32" t="inlineStr">
        <is>
          <t xml:space="preserve">Yes</t>
        </is>
      </c>
      <c r="BB437" s="32" t="inlineStr">
        <is>
          <t xml:space="preserve">Yes</t>
        </is>
      </c>
      <c r="BC437" s="30" t="inlineStr">
        <is>
          <t xml:space="preserve">Synthetic demo data</t>
        </is>
      </c>
      <c r="BE437" s="45">
        <f>IF(OR($A437="",$L437="",$H437=""),"",IF(AND(LEFT($L437,2)="06",$H437&gt;1945),"FAIL - pre-war class, year "&amp;$H437,IF(AND(LEFT($L437,2)="07",OR($H437&lt;1946,$H437&gt;1972)),"FAIL - 1946-72 class, year "&amp;$H437,IF(AND(LEFT($L437,2)="08",OR($H437&lt;1973,$H437&gt;1999)),"FAIL - 1973-99 class, year "&amp;$H437,IF(AND(LEFT($L437,2)="09",OR($H437&lt;2000,$H437&gt;2010)),"FAIL - 2000-10 class, year "&amp;$H437,"OK")))))</f>
      </c>
      <c r="BF437" s="45">
        <f>IF($AD437="","",IF(ROUND($AO437+$AP437+$AQ437-$AD437,2)=0,"OK","FAIL - out by "&amp;TEXT($AO437+$AP437+$AQ437-$AD437,"$0.00")))</f>
      </c>
    </row>
    <row r="438" spans="1:58" ht="18.75" customHeight="1" x14ac:dyDescent="0.25">
      <c r="A438" s="46" t="inlineStr">
        <is>
          <t xml:space="preserve">CANON-202606-009000</t>
        </is>
      </c>
      <c r="B438" s="46" t="inlineStr">
        <is>
          <t xml:space="preserve">Mireille Harrington</t>
        </is>
      </c>
      <c r="C438" s="47">
        <v>46176</v>
      </c>
      <c r="D438" s="48" t="inlineStr">
        <is>
          <t xml:space="preserve">Bound - within authority</t>
        </is>
      </c>
      <c r="E438" s="48" t="inlineStr">
        <is>
          <t xml:space="preserve">New business</t>
        </is>
      </c>
      <c r="F438" s="46" t="inlineStr">
        <is>
          <t xml:space="preserve">B1234EXOTIC26</t>
        </is>
      </c>
      <c r="G438" s="33">
        <f>IF($A438="","",IF($C438="","",YEAR($C438)))</f>
      </c>
      <c r="H438" s="49">
        <v>1957</v>
      </c>
      <c r="I438" s="46" t="inlineStr">
        <is>
          <t xml:space="preserve">BMW</t>
        </is>
      </c>
      <c r="J438" s="46" t="inlineStr">
        <is>
          <t xml:space="preserve">M8 Competition</t>
        </is>
      </c>
      <c r="K438" s="46" t="inlineStr">
        <is>
          <t xml:space="preserve">RSC7FPVCCSWY8EEGR</t>
        </is>
      </c>
      <c r="L438" s="48" t="inlineStr">
        <is>
          <t xml:space="preserve">02 - Sports / GT</t>
        </is>
      </c>
      <c r="M438" s="50">
        <v>445000</v>
      </c>
      <c r="N438" s="48" t="inlineStr">
        <is>
          <t xml:space="preserve">Personal</t>
        </is>
      </c>
      <c r="O438" s="46" t="inlineStr">
        <is>
          <t xml:space="preserve">Personal - regular use</t>
        </is>
      </c>
      <c r="P438" s="46" t="inlineStr">
        <is>
          <t xml:space="preserve">Under 1,000</t>
        </is>
      </c>
      <c r="Q438" s="46" t="inlineStr">
        <is>
          <t xml:space="preserve">Idaho</t>
        </is>
      </c>
      <c r="R438" s="46" t="inlineStr">
        <is>
          <t xml:space="preserve">83702</t>
        </is>
      </c>
      <c r="S438" s="48" t="inlineStr">
        <is>
          <t xml:space="preserve">Wildfire - WUI high hazard</t>
        </is>
      </c>
      <c r="T438" s="36">
        <f>IF($A438="","",IF($S438="","",IFERROR(INDEX('[1]natural catastrophe'!$D$6:$D$17,MATCH($S438,'[1]natural catastrophe'!$B$6:$B$17,0)),"?")))</f>
      </c>
      <c r="U438" s="46" t="inlineStr">
        <is>
          <t xml:space="preserve">$5,000</t>
        </is>
      </c>
      <c r="V438" s="48" t="inlineStr">
        <is>
          <t xml:space="preserve">Agreed Value</t>
        </is>
      </c>
      <c r="W438" s="46" t="inlineStr">
        <is>
          <t xml:space="preserve">$1,000</t>
        </is>
      </c>
      <c r="X438" s="48" t="inlineStr">
        <is>
          <t xml:space="preserve">$1,000,000 CSL</t>
        </is>
      </c>
      <c r="Y438" s="46"/>
      <c r="Z438" s="46"/>
      <c r="AA438" s="48" t="inlineStr">
        <is>
          <t xml:space="preserve">Surplus Lines</t>
        </is>
      </c>
      <c r="AB438" s="50">
        <v>4767.92</v>
      </c>
      <c r="AC438" s="51">
        <v>0</v>
      </c>
      <c r="AD438" s="38">
        <f>IF(ISNUMBER($AB438),$AB438*(1+N($AC438)),"")</f>
      </c>
      <c r="AE438" s="50">
        <v>350</v>
      </c>
      <c r="AF438" s="50">
        <v>0</v>
      </c>
      <c r="AG438" s="51"/>
      <c r="AH438" s="39">
        <f>IF(ISNUMBER($AD438),($AD438+$AE438+$AF438)*$AG438,"")</f>
      </c>
      <c r="AI438" s="50"/>
      <c r="AJ438" s="38">
        <f>IF(ISNUMBER($AD438),SUM($AD438:$AH438),"")</f>
      </c>
      <c r="AK438" s="40">
        <f>IF(AND(ISNUMBER($AB438),ISNUMBER($AD438)),IF($AB438&gt;0,$AD438/$AB438,""),"")</f>
      </c>
      <c r="AL438" s="48" t="inlineStr">
        <is>
          <t xml:space="preserve">At technical</t>
        </is>
      </c>
      <c r="AM438" s="41">
        <f>IF(ISNUMBER($AD438),Header!$I$3,"")</f>
      </c>
      <c r="AN438" s="39">
        <f>IF(ISNUMBER($AD438),$AO438+$AP438,"")</f>
      </c>
      <c r="AO438" s="39">
        <f>IF(ISNUMBER($AD438),ROUND($AD438*Header!$K$3,2),"")</f>
      </c>
      <c r="AP438" s="39">
        <f>IF(ISNUMBER($AD438),ROUND($AD438*Header!$M$3,2),"")</f>
      </c>
      <c r="AQ438" s="38">
        <f>IF(ISNUMBER($AD438),ROUND($AD438,2)-$AO438-$AP438,"")</f>
      </c>
      <c r="AR438" s="39">
        <f>IF(ISNUMBER($AD438),IF(Header!$D$34="","?",$AD438*Header!$D$34),"")</f>
      </c>
      <c r="AS438" s="39">
        <f>IF(ISNUMBER($AB438),IF(Header!$D$34="","?",$AB438*Header!$D$34),"")</f>
      </c>
      <c r="AT438" s="42">
        <f>IF(AND(ISNUMBER($AB438),$M438&gt;0),$AB438/$M438*100,"")</f>
      </c>
      <c r="AU438" s="42">
        <f>IF(AND(ISNUMBER($AD438),$M438&gt;0),$AD438/$M438*100,"")</f>
      </c>
      <c r="AV438" s="40">
        <f>IF(AND(ISNUMBER($AB438),ISNUMBER($AD438),ABS($AB438)&gt;0),$AD438/$AB438,"")</f>
      </c>
      <c r="AW438" s="39">
        <f>IF(ISNUMBER($AD438),MAX(0,(1-0.55-Header!$O$3)*Header!$Q$3*$AQ438),"")</f>
      </c>
      <c r="AX438" s="43">
        <f>IF($A438="","",IF(TRIM(IF($A438="","Missing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",""))="","PASS","FAIL: "&amp;TRIM(IF($A438="","Missing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f>
      </c>
      <c r="AY438" s="44">
        <f>IF($M438="","",IF(ISNUMBER($M438),IF($M438&gt;=Header!$C$18,"YES — refer","No"),""))</f>
      </c>
      <c r="AZ438" s="44">
        <f>IF($AD438="","",IF(ISNUMBER($AD438),IF($AD438&lt;Header!$C$20,"BELOW MIN PREMIUM","OK"),""))</f>
      </c>
      <c r="BA438" s="48" t="inlineStr">
        <is>
          <t xml:space="preserve">Yes</t>
        </is>
      </c>
      <c r="BB438" s="48" t="inlineStr">
        <is>
          <t xml:space="preserve">Yes</t>
        </is>
      </c>
      <c r="BC438" s="46" t="inlineStr">
        <is>
          <t xml:space="preserve">Synthetic demo data</t>
        </is>
      </c>
      <c r="BE438" s="45">
        <f>IF(OR($A438="",$L438="",$H438=""),"",IF(AND(LEFT($L438,2)="06",$H438&gt;1945),"FAIL - pre-war class, year "&amp;$H438,IF(AND(LEFT($L438,2)="07",OR($H438&lt;1946,$H438&gt;1972)),"FAIL - 1946-72 class, year "&amp;$H438,IF(AND(LEFT($L438,2)="08",OR($H438&lt;1973,$H438&gt;1999)),"FAIL - 1973-99 class, year "&amp;$H438,IF(AND(LEFT($L438,2)="09",OR($H438&lt;2000,$H438&gt;2010)),"FAIL - 2000-10 class, year "&amp;$H438,"OK")))))</f>
      </c>
      <c r="BF438" s="45">
        <f>IF($AD438="","",IF(ROUND($AO438+$AP438+$AQ438-$AD438,2)=0,"OK","FAIL - out by "&amp;TEXT($AO438+$AP438+$AQ438-$AD438,"$0.00")))</f>
      </c>
    </row>
    <row r="439" spans="1:58" ht="18.75" customHeight="1" x14ac:dyDescent="0.25">
      <c r="A439" s="30" t="inlineStr">
        <is>
          <t xml:space="preserve">CANON-202606-009001</t>
        </is>
      </c>
      <c r="B439" s="30" t="inlineStr">
        <is>
          <t xml:space="preserve">Callum Blackwood</t>
        </is>
      </c>
      <c r="C439" s="31">
        <v>46184</v>
      </c>
      <c r="D439" s="32" t="inlineStr">
        <is>
          <t xml:space="preserve">Bound - within authority</t>
        </is>
      </c>
      <c r="E439" s="32" t="inlineStr">
        <is>
          <t xml:space="preserve">New business</t>
        </is>
      </c>
      <c r="F439" s="30" t="inlineStr">
        <is>
          <t xml:space="preserve">B1234EXOTIC26</t>
        </is>
      </c>
      <c r="G439" s="33">
        <f>IF($A439="","",IF($C439="","",YEAR($C439)))</f>
      </c>
      <c r="H439" s="34">
        <v>2021</v>
      </c>
      <c r="I439" s="30" t="inlineStr">
        <is>
          <t xml:space="preserve">Maserati</t>
        </is>
      </c>
      <c r="J439" s="30" t="inlineStr">
        <is>
          <t xml:space="preserve">GranTurismo</t>
        </is>
      </c>
      <c r="K439" s="30" t="inlineStr">
        <is>
          <t xml:space="preserve">CDBC76Z5YXF3UWJS6</t>
        </is>
      </c>
      <c r="L439" s="32" t="inlineStr">
        <is>
          <t xml:space="preserve">02 - Sports / GT</t>
        </is>
      </c>
      <c r="M439" s="35">
        <v>430000</v>
      </c>
      <c r="N439" s="32" t="inlineStr">
        <is>
          <t xml:space="preserve">Personal</t>
        </is>
      </c>
      <c r="O439" s="30" t="inlineStr">
        <is>
          <t xml:space="preserve">Personal - regular use</t>
        </is>
      </c>
      <c r="P439" s="30" t="inlineStr">
        <is>
          <t xml:space="preserve">2,500 - 5,000</t>
        </is>
      </c>
      <c r="Q439" s="30" t="inlineStr">
        <is>
          <t xml:space="preserve">Tennessee</t>
        </is>
      </c>
      <c r="R439" s="30" t="inlineStr">
        <is>
          <t xml:space="preserve">37203</t>
        </is>
      </c>
      <c r="S439" s="32" t="inlineStr">
        <is>
          <t xml:space="preserve">Severe convective - hail / tornado (moderate)</t>
        </is>
      </c>
      <c r="T439" s="36">
        <f>IF($A439="","",IF($S439="","",IFERROR(INDEX('[1]natural catastrophe'!$D$6:$D$17,MATCH($S439,'[1]natural catastrophe'!$B$6:$B$17,0)),"?")))</f>
      </c>
      <c r="U439" s="30" t="inlineStr">
        <is>
          <t xml:space="preserve">$5,000</t>
        </is>
      </c>
      <c r="V439" s="32" t="inlineStr">
        <is>
          <t xml:space="preserve">Agreed Value</t>
        </is>
      </c>
      <c r="W439" s="30" t="inlineStr">
        <is>
          <t xml:space="preserve">$1,000</t>
        </is>
      </c>
      <c r="X439" s="32" t="inlineStr">
        <is>
          <t xml:space="preserve">$1,000,000 CSL</t>
        </is>
      </c>
      <c r="Y439" s="30"/>
      <c r="Z439" s="30"/>
      <c r="AA439" s="32" t="inlineStr">
        <is>
          <t xml:space="preserve">Surplus Lines</t>
        </is>
      </c>
      <c r="AB439" s="35">
        <v>4560.66</v>
      </c>
      <c r="AC439" s="37">
        <v>0</v>
      </c>
      <c r="AD439" s="38">
        <f>IF(ISNUMBER($AB439),$AB439*(1+N($AC439)),"")</f>
      </c>
      <c r="AE439" s="35">
        <v>350</v>
      </c>
      <c r="AF439" s="35">
        <v>0</v>
      </c>
      <c r="AG439" s="37"/>
      <c r="AH439" s="39">
        <f>IF(ISNUMBER($AD439),($AD439+$AE439+$AF439)*$AG439,"")</f>
      </c>
      <c r="AI439" s="35"/>
      <c r="AJ439" s="38">
        <f>IF(ISNUMBER($AD439),SUM($AD439:$AH439),"")</f>
      </c>
      <c r="AK439" s="40">
        <f>IF(AND(ISNUMBER($AB439),ISNUMBER($AD439)),IF($AB439&gt;0,$AD439/$AB439,""),"")</f>
      </c>
      <c r="AL439" s="32" t="inlineStr">
        <is>
          <t xml:space="preserve">At technical</t>
        </is>
      </c>
      <c r="AM439" s="41">
        <f>IF(ISNUMBER($AD439),Header!$I$3,"")</f>
      </c>
      <c r="AN439" s="39">
        <f>IF(ISNUMBER($AD439),$AO439+$AP439,"")</f>
      </c>
      <c r="AO439" s="39">
        <f>IF(ISNUMBER($AD439),ROUND($AD439*Header!$K$3,2),"")</f>
      </c>
      <c r="AP439" s="39">
        <f>IF(ISNUMBER($AD439),ROUND($AD439*Header!$M$3,2),"")</f>
      </c>
      <c r="AQ439" s="38">
        <f>IF(ISNUMBER($AD439),ROUND($AD439,2)-$AO439-$AP439,"")</f>
      </c>
      <c r="AR439" s="39">
        <f>IF(ISNUMBER($AD439),IF(Header!$D$34="","?",$AD439*Header!$D$34),"")</f>
      </c>
      <c r="AS439" s="39">
        <f>IF(ISNUMBER($AB439),IF(Header!$D$34="","?",$AB439*Header!$D$34),"")</f>
      </c>
      <c r="AT439" s="42">
        <f>IF(AND(ISNUMBER($AB439),$M439&gt;0),$AB439/$M439*100,"")</f>
      </c>
      <c r="AU439" s="42">
        <f>IF(AND(ISNUMBER($AD439),$M439&gt;0),$AD439/$M439*100,"")</f>
      </c>
      <c r="AV439" s="40">
        <f>IF(AND(ISNUMBER($AB439),ISNUMBER($AD439),ABS($AB439)&gt;0),$AD439/$AB439,"")</f>
      </c>
      <c r="AW439" s="39">
        <f>IF(ISNUMBER($AD439),MAX(0,(1-0.55-Header!$O$3)*Header!$Q$3*$AQ439),"")</f>
      </c>
      <c r="AX439" s="43">
        <f>IF($A439="","",IF(TRIM(IF($A439="","Missing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",""))="","PASS","FAIL: "&amp;TRIM(IF($A439="","Missing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f>
      </c>
      <c r="AY439" s="44">
        <f>IF($M439="","",IF(ISNUMBER($M439),IF($M439&gt;=Header!$C$18,"YES — refer","No"),""))</f>
      </c>
      <c r="AZ439" s="44">
        <f>IF($AD439="","",IF(ISNUMBER($AD439),IF($AD439&lt;Header!$C$20,"BELOW MIN PREMIUM","OK"),""))</f>
      </c>
      <c r="BA439" s="32" t="inlineStr">
        <is>
          <t xml:space="preserve">Yes</t>
        </is>
      </c>
      <c r="BB439" s="32" t="inlineStr">
        <is>
          <t xml:space="preserve">Yes</t>
        </is>
      </c>
      <c r="BC439" s="30" t="inlineStr">
        <is>
          <t xml:space="preserve">Synthetic demo data</t>
        </is>
      </c>
      <c r="BE439" s="45">
        <f>IF(OR($A439="",$L439="",$H439=""),"",IF(AND(LEFT($L439,2)="06",$H439&gt;1945),"FAIL - pre-war class, year "&amp;$H439,IF(AND(LEFT($L439,2)="07",OR($H439&lt;1946,$H439&gt;1972)),"FAIL - 1946-72 class, year "&amp;$H439,IF(AND(LEFT($L439,2)="08",OR($H439&lt;1973,$H439&gt;1999)),"FAIL - 1973-99 class, year "&amp;$H439,IF(AND(LEFT($L439,2)="09",OR($H439&lt;2000,$H439&gt;2010)),"FAIL - 2000-10 class, year "&amp;$H439,"OK")))))</f>
      </c>
      <c r="BF439" s="45">
        <f>IF($AD439="","",IF(ROUND($AO439+$AP439+$AQ439-$AD439,2)=0,"OK","FAIL - out by "&amp;TEXT($AO439+$AP439+$AQ439-$AD439,"$0.00")))</f>
      </c>
    </row>
    <row r="440" spans="1:58" ht="18.75" customHeight="1" x14ac:dyDescent="0.25">
      <c r="A440" s="46" t="inlineStr">
        <is>
          <t xml:space="preserve">CANON-202606-009002</t>
        </is>
      </c>
      <c r="B440" s="46" t="inlineStr">
        <is>
          <t xml:space="preserve">Wilhelmina Larsson</t>
        </is>
      </c>
      <c r="C440" s="47">
        <v>46195</v>
      </c>
      <c r="D440" s="48" t="inlineStr">
        <is>
          <t xml:space="preserve">Bound - within authority</t>
        </is>
      </c>
      <c r="E440" s="48" t="inlineStr">
        <is>
          <t xml:space="preserve">New business</t>
        </is>
      </c>
      <c r="F440" s="46" t="inlineStr">
        <is>
          <t xml:space="preserve">B1234EXOTIC26</t>
        </is>
      </c>
      <c r="G440" s="33">
        <f>IF($A440="","",IF($C440="","",YEAR($C440)))</f>
      </c>
      <c r="H440" s="49">
        <v>1960</v>
      </c>
      <c r="I440" s="46" t="inlineStr">
        <is>
          <t xml:space="preserve">Porsche</t>
        </is>
      </c>
      <c r="J440" s="46" t="inlineStr">
        <is>
          <t xml:space="preserve">911 Turbo S</t>
        </is>
      </c>
      <c r="K440" s="46" t="inlineStr">
        <is>
          <t xml:space="preserve">Y34M4HAVJ481WVUVV</t>
        </is>
      </c>
      <c r="L440" s="48" t="inlineStr">
        <is>
          <t xml:space="preserve">02 - Sports / GT</t>
        </is>
      </c>
      <c r="M440" s="50">
        <v>625000</v>
      </c>
      <c r="N440" s="48" t="inlineStr">
        <is>
          <t xml:space="preserve">Personal</t>
        </is>
      </c>
      <c r="O440" s="46" t="inlineStr">
        <is>
          <t xml:space="preserve">Personal - regular use</t>
        </is>
      </c>
      <c r="P440" s="46" t="inlineStr">
        <is>
          <t xml:space="preserve">Under 1,000</t>
        </is>
      </c>
      <c r="Q440" s="46" t="inlineStr">
        <is>
          <t xml:space="preserve">Montana</t>
        </is>
      </c>
      <c r="R440" s="46" t="inlineStr">
        <is>
          <t xml:space="preserve">59601</t>
        </is>
      </c>
      <c r="S440" s="48" t="inlineStr">
        <is>
          <t xml:space="preserve">Wildfire - WUI high hazard</t>
        </is>
      </c>
      <c r="T440" s="36">
        <f>IF($A440="","",IF($S440="","",IFERROR(INDEX('[1]natural catastrophe'!$D$6:$D$17,MATCH($S440,'[1]natural catastrophe'!$B$6:$B$17,0)),"?")))</f>
      </c>
      <c r="U440" s="46" t="inlineStr">
        <is>
          <t xml:space="preserve">$5,000</t>
        </is>
      </c>
      <c r="V440" s="48" t="inlineStr">
        <is>
          <t xml:space="preserve">Agreed Value</t>
        </is>
      </c>
      <c r="W440" s="46" t="inlineStr">
        <is>
          <t xml:space="preserve">$1,000</t>
        </is>
      </c>
      <c r="X440" s="48" t="inlineStr">
        <is>
          <t xml:space="preserve">$1,000,000 CSL</t>
        </is>
      </c>
      <c r="Y440" s="46"/>
      <c r="Z440" s="46"/>
      <c r="AA440" s="48" t="inlineStr">
        <is>
          <t xml:space="preserve">Surplus Lines</t>
        </is>
      </c>
      <c r="AB440" s="50">
        <v>5451.91</v>
      </c>
      <c r="AC440" s="51">
        <v>0</v>
      </c>
      <c r="AD440" s="38">
        <f>IF(ISNUMBER($AB440),$AB440*(1+N($AC440)),"")</f>
      </c>
      <c r="AE440" s="50">
        <v>350</v>
      </c>
      <c r="AF440" s="50">
        <v>0</v>
      </c>
      <c r="AG440" s="51"/>
      <c r="AH440" s="39">
        <f>IF(ISNUMBER($AD440),($AD440+$AE440+$AF440)*$AG440,"")</f>
      </c>
      <c r="AI440" s="50"/>
      <c r="AJ440" s="38">
        <f>IF(ISNUMBER($AD440),SUM($AD440:$AH440),"")</f>
      </c>
      <c r="AK440" s="40">
        <f>IF(AND(ISNUMBER($AB440),ISNUMBER($AD440)),IF($AB440&gt;0,$AD440/$AB440,""),"")</f>
      </c>
      <c r="AL440" s="48" t="inlineStr">
        <is>
          <t xml:space="preserve">At technical</t>
        </is>
      </c>
      <c r="AM440" s="41">
        <f>IF(ISNUMBER($AD440),Header!$I$3,"")</f>
      </c>
      <c r="AN440" s="39">
        <f>IF(ISNUMBER($AD440),$AO440+$AP440,"")</f>
      </c>
      <c r="AO440" s="39">
        <f>IF(ISNUMBER($AD440),ROUND($AD440*Header!$K$3,2),"")</f>
      </c>
      <c r="AP440" s="39">
        <f>IF(ISNUMBER($AD440),ROUND($AD440*Header!$M$3,2),"")</f>
      </c>
      <c r="AQ440" s="38">
        <f>IF(ISNUMBER($AD440),ROUND($AD440,2)-$AO440-$AP440,"")</f>
      </c>
      <c r="AR440" s="39">
        <f>IF(ISNUMBER($AD440),IF(Header!$D$34="","?",$AD440*Header!$D$34),"")</f>
      </c>
      <c r="AS440" s="39">
        <f>IF(ISNUMBER($AB440),IF(Header!$D$34="","?",$AB440*Header!$D$34),"")</f>
      </c>
      <c r="AT440" s="42">
        <f>IF(AND(ISNUMBER($AB440),$M440&gt;0),$AB440/$M440*100,"")</f>
      </c>
      <c r="AU440" s="42">
        <f>IF(AND(ISNUMBER($AD440),$M440&gt;0),$AD440/$M440*100,"")</f>
      </c>
      <c r="AV440" s="40">
        <f>IF(AND(ISNUMBER($AB440),ISNUMBER($AD440),ABS($AB440)&gt;0),$AD440/$AB440,"")</f>
      </c>
      <c r="AW440" s="39">
        <f>IF(ISNUMBER($AD440),MAX(0,(1-0.55-Header!$O$3)*Header!$Q$3*$AQ440),"")</f>
      </c>
      <c r="AX440" s="43">
        <f>IF($A440="","",IF(TRIM(IF($A440="","Missing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",""))="","PASS","FAIL: "&amp;TRIM(IF($A440="","Missing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f>
      </c>
      <c r="AY440" s="44">
        <f>IF($M440="","",IF(ISNUMBER($M440),IF($M440&gt;=Header!$C$18,"YES — refer","No"),""))</f>
      </c>
      <c r="AZ440" s="44">
        <f>IF($AD440="","",IF(ISNUMBER($AD440),IF($AD440&lt;Header!$C$20,"BELOW MIN PREMIUM","OK"),""))</f>
      </c>
      <c r="BA440" s="48" t="inlineStr">
        <is>
          <t xml:space="preserve">Yes</t>
        </is>
      </c>
      <c r="BB440" s="48" t="inlineStr">
        <is>
          <t xml:space="preserve">Yes</t>
        </is>
      </c>
      <c r="BC440" s="46" t="inlineStr">
        <is>
          <t xml:space="preserve">Synthetic demo data</t>
        </is>
      </c>
      <c r="BE440" s="45">
        <f>IF(OR($A440="",$L440="",$H440=""),"",IF(AND(LEFT($L440,2)="06",$H440&gt;1945),"FAIL - pre-war class, year "&amp;$H440,IF(AND(LEFT($L440,2)="07",OR($H440&lt;1946,$H440&gt;1972)),"FAIL - 1946-72 class, year "&amp;$H440,IF(AND(LEFT($L440,2)="08",OR($H440&lt;1973,$H440&gt;1999)),"FAIL - 1973-99 class, year "&amp;$H440,IF(AND(LEFT($L440,2)="09",OR($H440&lt;2000,$H440&gt;2010)),"FAIL - 2000-10 class, year "&amp;$H440,"OK")))))</f>
      </c>
      <c r="BF440" s="45">
        <f>IF($AD440="","",IF(ROUND($AO440+$AP440+$AQ440-$AD440,2)=0,"OK","FAIL - out by "&amp;TEXT($AO440+$AP440+$AQ440-$AD440,"$0.00")))</f>
      </c>
    </row>
    <row r="441" spans="1:58" ht="18.75" customHeight="1" x14ac:dyDescent="0.25">
      <c r="A441" s="30" t="inlineStr">
        <is>
          <t xml:space="preserve">CANON-202606-009003</t>
        </is>
      </c>
      <c r="B441" s="30" t="inlineStr">
        <is>
          <t xml:space="preserve">Ramona Vasquez</t>
        </is>
      </c>
      <c r="C441" s="31">
        <v>46199</v>
      </c>
      <c r="D441" s="32" t="inlineStr">
        <is>
          <t xml:space="preserve">Bound - within authority</t>
        </is>
      </c>
      <c r="E441" s="32" t="inlineStr">
        <is>
          <t xml:space="preserve">New business</t>
        </is>
      </c>
      <c r="F441" s="30" t="inlineStr">
        <is>
          <t xml:space="preserve">B1234EXOTIC26</t>
        </is>
      </c>
      <c r="G441" s="33">
        <f>IF($A441="","",IF($C441="","",YEAR($C441)))</f>
      </c>
      <c r="H441" s="34">
        <v>1977</v>
      </c>
      <c r="I441" s="30" t="inlineStr">
        <is>
          <t xml:space="preserve">Porsche</t>
        </is>
      </c>
      <c r="J441" s="30" t="inlineStr">
        <is>
          <t xml:space="preserve">911 Turbo S</t>
        </is>
      </c>
      <c r="K441" s="30" t="inlineStr">
        <is>
          <t xml:space="preserve">GC68FP60MJG174R85</t>
        </is>
      </c>
      <c r="L441" s="32" t="inlineStr">
        <is>
          <t xml:space="preserve">02 - Sports / GT</t>
        </is>
      </c>
      <c r="M441" s="35">
        <v>495000</v>
      </c>
      <c r="N441" s="32" t="inlineStr">
        <is>
          <t xml:space="preserve">Personal</t>
        </is>
      </c>
      <c r="O441" s="30" t="inlineStr">
        <is>
          <t xml:space="preserve">Personal - regular use</t>
        </is>
      </c>
      <c r="P441" s="30" t="inlineStr">
        <is>
          <t xml:space="preserve">2,500 - 5,000</t>
        </is>
      </c>
      <c r="Q441" s="30" t="inlineStr">
        <is>
          <t xml:space="preserve">Virginia</t>
        </is>
      </c>
      <c r="R441" s="30" t="inlineStr">
        <is>
          <t xml:space="preserve">23219</t>
        </is>
      </c>
      <c r="S441" s="32" t="inlineStr">
        <is>
          <t xml:space="preserve">Tier 3 - Coastal wind (25-100 miles)</t>
        </is>
      </c>
      <c r="T441" s="36">
        <f>IF($A441="","",IF($S441="","",IFERROR(INDEX('[1]natural catastrophe'!$D$6:$D$17,MATCH($S441,'[1]natural catastrophe'!$B$6:$B$17,0)),"?")))</f>
      </c>
      <c r="U441" s="30" t="inlineStr">
        <is>
          <t xml:space="preserve">2% of agreed value, minimum $10,000</t>
        </is>
      </c>
      <c r="V441" s="32" t="inlineStr">
        <is>
          <t xml:space="preserve">Agreed Value</t>
        </is>
      </c>
      <c r="W441" s="30" t="inlineStr">
        <is>
          <t xml:space="preserve">$1,000</t>
        </is>
      </c>
      <c r="X441" s="32" t="inlineStr">
        <is>
          <t xml:space="preserve">$1,000,000 CSL</t>
        </is>
      </c>
      <c r="Y441" s="30"/>
      <c r="Z441" s="30"/>
      <c r="AA441" s="32" t="inlineStr">
        <is>
          <t xml:space="preserve">Surplus Lines</t>
        </is>
      </c>
      <c r="AB441" s="35">
        <v>5839.36</v>
      </c>
      <c r="AC441" s="37">
        <v>0</v>
      </c>
      <c r="AD441" s="38">
        <f>IF(ISNUMBER($AB441),$AB441*(1+N($AC441)),"")</f>
      </c>
      <c r="AE441" s="35">
        <v>350</v>
      </c>
      <c r="AF441" s="35">
        <v>0</v>
      </c>
      <c r="AG441" s="37"/>
      <c r="AH441" s="39">
        <f>IF(ISNUMBER($AD441),($AD441+$AE441+$AF441)*$AG441,"")</f>
      </c>
      <c r="AI441" s="35"/>
      <c r="AJ441" s="38">
        <f>IF(ISNUMBER($AD441),SUM($AD441:$AH441),"")</f>
      </c>
      <c r="AK441" s="40">
        <f>IF(AND(ISNUMBER($AB441),ISNUMBER($AD441)),IF($AB441&gt;0,$AD441/$AB441,""),"")</f>
      </c>
      <c r="AL441" s="32" t="inlineStr">
        <is>
          <t xml:space="preserve">At technical</t>
        </is>
      </c>
      <c r="AM441" s="41">
        <f>IF(ISNUMBER($AD441),Header!$I$3,"")</f>
      </c>
      <c r="AN441" s="39">
        <f>IF(ISNUMBER($AD441),$AO441+$AP441,"")</f>
      </c>
      <c r="AO441" s="39">
        <f>IF(ISNUMBER($AD441),ROUND($AD441*Header!$K$3,2),"")</f>
      </c>
      <c r="AP441" s="39">
        <f>IF(ISNUMBER($AD441),ROUND($AD441*Header!$M$3,2),"")</f>
      </c>
      <c r="AQ441" s="38">
        <f>IF(ISNUMBER($AD441),ROUND($AD441,2)-$AO441-$AP441,"")</f>
      </c>
      <c r="AR441" s="39">
        <f>IF(ISNUMBER($AD441),IF(Header!$D$34="","?",$AD441*Header!$D$34),"")</f>
      </c>
      <c r="AS441" s="39">
        <f>IF(ISNUMBER($AB441),IF(Header!$D$34="","?",$AB441*Header!$D$34),"")</f>
      </c>
      <c r="AT441" s="42">
        <f>IF(AND(ISNUMBER($AB441),$M441&gt;0),$AB441/$M441*100,"")</f>
      </c>
      <c r="AU441" s="42">
        <f>IF(AND(ISNUMBER($AD441),$M441&gt;0),$AD441/$M441*100,"")</f>
      </c>
      <c r="AV441" s="40">
        <f>IF(AND(ISNUMBER($AB441),ISNUMBER($AD441),ABS($AB441)&gt;0),$AD441/$AB441,"")</f>
      </c>
      <c r="AW441" s="39">
        <f>IF(ISNUMBER($AD441),MAX(0,(1-0.55-Header!$O$3)*Header!$Q$3*$AQ441),"")</f>
      </c>
      <c r="AX441" s="43">
        <f>IF($A441="","",IF(TRIM(IF($A441="","Missing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",""))="","PASS","FAIL: "&amp;TRIM(IF($A441="","Missing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f>
      </c>
      <c r="AY441" s="44">
        <f>IF($M441="","",IF(ISNUMBER($M441),IF($M441&gt;=Header!$C$18,"YES — refer","No"),""))</f>
      </c>
      <c r="AZ441" s="44">
        <f>IF($AD441="","",IF(ISNUMBER($AD441),IF($AD441&lt;Header!$C$20,"BELOW MIN PREMIUM","OK"),""))</f>
      </c>
      <c r="BA441" s="32" t="inlineStr">
        <is>
          <t xml:space="preserve">Yes</t>
        </is>
      </c>
      <c r="BB441" s="32" t="inlineStr">
        <is>
          <t xml:space="preserve">Yes</t>
        </is>
      </c>
      <c r="BC441" s="30" t="inlineStr">
        <is>
          <t xml:space="preserve">Synthetic demo data</t>
        </is>
      </c>
      <c r="BE441" s="45">
        <f>IF(OR($A441="",$L441="",$H441=""),"",IF(AND(LEFT($L441,2)="06",$H441&gt;1945),"FAIL - pre-war class, year "&amp;$H441,IF(AND(LEFT($L441,2)="07",OR($H441&lt;1946,$H441&gt;1972)),"FAIL - 1946-72 class, year "&amp;$H441,IF(AND(LEFT($L441,2)="08",OR($H441&lt;1973,$H441&gt;1999)),"FAIL - 1973-99 class, year "&amp;$H441,IF(AND(LEFT($L441,2)="09",OR($H441&lt;2000,$H441&gt;2010)),"FAIL - 2000-10 class, year "&amp;$H441,"OK")))))</f>
      </c>
      <c r="BF441" s="45">
        <f>IF($AD441="","",IF(ROUND($AO441+$AP441+$AQ441-$AD441,2)=0,"OK","FAIL - out by "&amp;TEXT($AO441+$AP441+$AQ441-$AD441,"$0.00")))</f>
      </c>
    </row>
    <row r="442" spans="1:58" ht="18.75" customHeight="1" x14ac:dyDescent="0.25">
      <c r="A442" s="46" t="inlineStr">
        <is>
          <t xml:space="preserve">CANON-202606-009004</t>
        </is>
      </c>
      <c r="B442" s="46" t="inlineStr">
        <is>
          <t xml:space="preserve">Beatrix Whitlock</t>
        </is>
      </c>
      <c r="C442" s="47">
        <v>46182</v>
      </c>
      <c r="D442" s="48" t="inlineStr">
        <is>
          <t xml:space="preserve">Bound - within authority</t>
        </is>
      </c>
      <c r="E442" s="48" t="inlineStr">
        <is>
          <t xml:space="preserve">New business</t>
        </is>
      </c>
      <c r="F442" s="46" t="inlineStr">
        <is>
          <t xml:space="preserve">B1234EXOTIC26</t>
        </is>
      </c>
      <c r="G442" s="33">
        <f>IF($A442="","",IF($C442="","",YEAR($C442)))</f>
      </c>
      <c r="H442" s="49">
        <v>1988</v>
      </c>
      <c r="I442" s="46" t="inlineStr">
        <is>
          <t xml:space="preserve">Maserati</t>
        </is>
      </c>
      <c r="J442" s="46" t="inlineStr">
        <is>
          <t xml:space="preserve">GranTurismo</t>
        </is>
      </c>
      <c r="K442" s="46" t="inlineStr">
        <is>
          <t xml:space="preserve">9EGSUZ117AWNCNU2D</t>
        </is>
      </c>
      <c r="L442" s="48" t="inlineStr">
        <is>
          <t xml:space="preserve">02 - Sports / GT</t>
        </is>
      </c>
      <c r="M442" s="50">
        <v>710000</v>
      </c>
      <c r="N442" s="48" t="inlineStr">
        <is>
          <t xml:space="preserve">Personal</t>
        </is>
      </c>
      <c r="O442" s="46" t="inlineStr">
        <is>
          <t xml:space="preserve">Personal - regular use</t>
        </is>
      </c>
      <c r="P442" s="46" t="inlineStr">
        <is>
          <t xml:space="preserve">2,500 - 5,000</t>
        </is>
      </c>
      <c r="Q442" s="46" t="inlineStr">
        <is>
          <t xml:space="preserve">Virginia</t>
        </is>
      </c>
      <c r="R442" s="46" t="inlineStr">
        <is>
          <t xml:space="preserve">23219</t>
        </is>
      </c>
      <c r="S442" s="48" t="inlineStr">
        <is>
          <t xml:space="preserve">Tier 3 - Coastal wind (25-100 miles)</t>
        </is>
      </c>
      <c r="T442" s="36">
        <f>IF($A442="","",IF($S442="","",IFERROR(INDEX('[1]natural catastrophe'!$D$6:$D$17,MATCH($S442,'[1]natural catastrophe'!$B$6:$B$17,0)),"?")))</f>
      </c>
      <c r="U442" s="46" t="inlineStr">
        <is>
          <t xml:space="preserve">2% of agreed value, minimum $10,000</t>
        </is>
      </c>
      <c r="V442" s="48" t="inlineStr">
        <is>
          <t xml:space="preserve">Agreed Value</t>
        </is>
      </c>
      <c r="W442" s="46" t="inlineStr">
        <is>
          <t xml:space="preserve">$1,000</t>
        </is>
      </c>
      <c r="X442" s="48" t="inlineStr">
        <is>
          <t xml:space="preserve">$1,000,000 CSL</t>
        </is>
      </c>
      <c r="Y442" s="46"/>
      <c r="Z442" s="46"/>
      <c r="AA442" s="48" t="inlineStr">
        <is>
          <t xml:space="preserve">Surplus Lines</t>
        </is>
      </c>
      <c r="AB442" s="50">
        <v>7258.89</v>
      </c>
      <c r="AC442" s="51">
        <v>0</v>
      </c>
      <c r="AD442" s="38">
        <f>IF(ISNUMBER($AB442),$AB442*(1+N($AC442)),"")</f>
      </c>
      <c r="AE442" s="50">
        <v>350</v>
      </c>
      <c r="AF442" s="50">
        <v>0</v>
      </c>
      <c r="AG442" s="51"/>
      <c r="AH442" s="39">
        <f>IF(ISNUMBER($AD442),($AD442+$AE442+$AF442)*$AG442,"")</f>
      </c>
      <c r="AI442" s="50"/>
      <c r="AJ442" s="38">
        <f>IF(ISNUMBER($AD442),SUM($AD442:$AH442),"")</f>
      </c>
      <c r="AK442" s="40">
        <f>IF(AND(ISNUMBER($AB442),ISNUMBER($AD442)),IF($AB442&gt;0,$AD442/$AB442,""),"")</f>
      </c>
      <c r="AL442" s="48" t="inlineStr">
        <is>
          <t xml:space="preserve">At technical</t>
        </is>
      </c>
      <c r="AM442" s="41">
        <f>IF(ISNUMBER($AD442),Header!$I$3,"")</f>
      </c>
      <c r="AN442" s="39">
        <f>IF(ISNUMBER($AD442),$AO442+$AP442,"")</f>
      </c>
      <c r="AO442" s="39">
        <f>IF(ISNUMBER($AD442),ROUND($AD442*Header!$K$3,2),"")</f>
      </c>
      <c r="AP442" s="39">
        <f>IF(ISNUMBER($AD442),ROUND($AD442*Header!$M$3,2),"")</f>
      </c>
      <c r="AQ442" s="38">
        <f>IF(ISNUMBER($AD442),ROUND($AD442,2)-$AO442-$AP442,"")</f>
      </c>
      <c r="AR442" s="39">
        <f>IF(ISNUMBER($AD442),IF(Header!$D$34="","?",$AD442*Header!$D$34),"")</f>
      </c>
      <c r="AS442" s="39">
        <f>IF(ISNUMBER($AB442),IF(Header!$D$34="","?",$AB442*Header!$D$34),"")</f>
      </c>
      <c r="AT442" s="42">
        <f>IF(AND(ISNUMBER($AB442),$M442&gt;0),$AB442/$M442*100,"")</f>
      </c>
      <c r="AU442" s="42">
        <f>IF(AND(ISNUMBER($AD442),$M442&gt;0),$AD442/$M442*100,"")</f>
      </c>
      <c r="AV442" s="40">
        <f>IF(AND(ISNUMBER($AB442),ISNUMBER($AD442),ABS($AB442)&gt;0),$AD442/$AB442,"")</f>
      </c>
      <c r="AW442" s="39">
        <f>IF(ISNUMBER($AD442),MAX(0,(1-0.55-Header!$O$3)*Header!$Q$3*$AQ442),"")</f>
      </c>
      <c r="AX442" s="43">
        <f>IF($A442="","",IF(TRIM(IF($A442="","Missing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",""))="","PASS","FAIL: "&amp;TRIM(IF($A442="","Missing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f>
      </c>
      <c r="AY442" s="44">
        <f>IF($M442="","",IF(ISNUMBER($M442),IF($M442&gt;=Header!$C$18,"YES — refer","No"),""))</f>
      </c>
      <c r="AZ442" s="44">
        <f>IF($AD442="","",IF(ISNUMBER($AD442),IF($AD442&lt;Header!$C$20,"BELOW MIN PREMIUM","OK"),""))</f>
      </c>
      <c r="BA442" s="48" t="inlineStr">
        <is>
          <t xml:space="preserve">Yes</t>
        </is>
      </c>
      <c r="BB442" s="48" t="inlineStr">
        <is>
          <t xml:space="preserve">Yes</t>
        </is>
      </c>
      <c r="BC442" s="46" t="inlineStr">
        <is>
          <t xml:space="preserve">Synthetic demo data</t>
        </is>
      </c>
      <c r="BE442" s="45">
        <f>IF(OR($A442="",$L442="",$H442=""),"",IF(AND(LEFT($L442,2)="06",$H442&gt;1945),"FAIL - pre-war class, year "&amp;$H442,IF(AND(LEFT($L442,2)="07",OR($H442&lt;1946,$H442&gt;1972)),"FAIL - 1946-72 class, year "&amp;$H442,IF(AND(LEFT($L442,2)="08",OR($H442&lt;1973,$H442&gt;1999)),"FAIL - 1973-99 class, year "&amp;$H442,IF(AND(LEFT($L442,2)="09",OR($H442&lt;2000,$H442&gt;2010)),"FAIL - 2000-10 class, year "&amp;$H442,"OK")))))</f>
      </c>
      <c r="BF442" s="45">
        <f>IF($AD442="","",IF(ROUND($AO442+$AP442+$AQ442-$AD442,2)=0,"OK","FAIL - out by "&amp;TEXT($AO442+$AP442+$AQ442-$AD442,"$0.00")))</f>
      </c>
    </row>
    <row r="443" spans="1:58" ht="18.75" customHeight="1" x14ac:dyDescent="0.25">
      <c r="A443" s="30" t="inlineStr">
        <is>
          <t xml:space="preserve">CANON-202606-009005</t>
        </is>
      </c>
      <c r="B443" s="30" t="inlineStr">
        <is>
          <t xml:space="preserve">Lorenzo Okonkwo</t>
        </is>
      </c>
      <c r="C443" s="31">
        <v>46184</v>
      </c>
      <c r="D443" s="32" t="inlineStr">
        <is>
          <t xml:space="preserve">Bound - within authority</t>
        </is>
      </c>
      <c r="E443" s="32" t="inlineStr">
        <is>
          <t xml:space="preserve">New business</t>
        </is>
      </c>
      <c r="F443" s="30" t="inlineStr">
        <is>
          <t xml:space="preserve">B1234EXOTIC26</t>
        </is>
      </c>
      <c r="G443" s="33">
        <f>IF($A443="","",IF($C443="","",YEAR($C443)))</f>
      </c>
      <c r="H443" s="34">
        <v>2006</v>
      </c>
      <c r="I443" s="30" t="inlineStr">
        <is>
          <t xml:space="preserve">Aston Martin</t>
        </is>
      </c>
      <c r="J443" s="30" t="inlineStr">
        <is>
          <t xml:space="preserve">DB12</t>
        </is>
      </c>
      <c r="K443" s="30" t="inlineStr">
        <is>
          <t xml:space="preserve">LL15AWP9RMLGX44XS</t>
        </is>
      </c>
      <c r="L443" s="32" t="inlineStr">
        <is>
          <t xml:space="preserve">02 - Sports / GT</t>
        </is>
      </c>
      <c r="M443" s="35">
        <v>815000</v>
      </c>
      <c r="N443" s="32" t="inlineStr">
        <is>
          <t xml:space="preserve">Personal</t>
        </is>
      </c>
      <c r="O443" s="30" t="inlineStr">
        <is>
          <t xml:space="preserve">Personal - regular use</t>
        </is>
      </c>
      <c r="P443" s="30" t="inlineStr">
        <is>
          <t xml:space="preserve">Under 1,000</t>
        </is>
      </c>
      <c r="Q443" s="30" t="inlineStr">
        <is>
          <t xml:space="preserve">Florida</t>
        </is>
      </c>
      <c r="R443" s="30" t="inlineStr">
        <is>
          <t xml:space="preserve">33139</t>
        </is>
      </c>
      <c r="S443" s="32" t="inlineStr">
        <is>
          <t xml:space="preserve">Tier 2 - Coastal wind (1-25 miles)</t>
        </is>
      </c>
      <c r="T443" s="36">
        <f>IF($A443="","",IF($S443="","",IFERROR(INDEX('[1]natural catastrophe'!$D$6:$D$17,MATCH($S443,'[1]natural catastrophe'!$B$6:$B$17,0)),"?")))</f>
      </c>
      <c r="U443" s="30" t="inlineStr">
        <is>
          <t xml:space="preserve">2% of agreed value, minimum $10,000</t>
        </is>
      </c>
      <c r="V443" s="32" t="inlineStr">
        <is>
          <t xml:space="preserve">Agreed Value</t>
        </is>
      </c>
      <c r="W443" s="30" t="inlineStr">
        <is>
          <t xml:space="preserve">$1,000</t>
        </is>
      </c>
      <c r="X443" s="32" t="inlineStr">
        <is>
          <t xml:space="preserve">$1,000,000 CSL</t>
        </is>
      </c>
      <c r="Y443" s="30"/>
      <c r="Z443" s="30"/>
      <c r="AA443" s="32" t="inlineStr">
        <is>
          <t xml:space="preserve">Surplus Lines</t>
        </is>
      </c>
      <c r="AB443" s="35">
        <v>10855.04</v>
      </c>
      <c r="AC443" s="37">
        <v>0</v>
      </c>
      <c r="AD443" s="38">
        <f>IF(ISNUMBER($AB443),$AB443*(1+N($AC443)),"")</f>
      </c>
      <c r="AE443" s="35">
        <v>350</v>
      </c>
      <c r="AF443" s="35">
        <v>0</v>
      </c>
      <c r="AG443" s="37"/>
      <c r="AH443" s="39">
        <f>IF(ISNUMBER($AD443),($AD443+$AE443+$AF443)*$AG443,"")</f>
      </c>
      <c r="AI443" s="35"/>
      <c r="AJ443" s="38">
        <f>IF(ISNUMBER($AD443),SUM($AD443:$AH443),"")</f>
      </c>
      <c r="AK443" s="40">
        <f>IF(AND(ISNUMBER($AB443),ISNUMBER($AD443)),IF($AB443&gt;0,$AD443/$AB443,""),"")</f>
      </c>
      <c r="AL443" s="32" t="inlineStr">
        <is>
          <t xml:space="preserve">At technical</t>
        </is>
      </c>
      <c r="AM443" s="41">
        <f>IF(ISNUMBER($AD443),Header!$I$3,"")</f>
      </c>
      <c r="AN443" s="39">
        <f>IF(ISNUMBER($AD443),$AO443+$AP443,"")</f>
      </c>
      <c r="AO443" s="39">
        <f>IF(ISNUMBER($AD443),ROUND($AD443*Header!$K$3,2),"")</f>
      </c>
      <c r="AP443" s="39">
        <f>IF(ISNUMBER($AD443),ROUND($AD443*Header!$M$3,2),"")</f>
      </c>
      <c r="AQ443" s="38">
        <f>IF(ISNUMBER($AD443),ROUND($AD443,2)-$AO443-$AP443,"")</f>
      </c>
      <c r="AR443" s="39">
        <f>IF(ISNUMBER($AD443),IF(Header!$D$34="","?",$AD443*Header!$D$34),"")</f>
      </c>
      <c r="AS443" s="39">
        <f>IF(ISNUMBER($AB443),IF(Header!$D$34="","?",$AB443*Header!$D$34),"")</f>
      </c>
      <c r="AT443" s="42">
        <f>IF(AND(ISNUMBER($AB443),$M443&gt;0),$AB443/$M443*100,"")</f>
      </c>
      <c r="AU443" s="42">
        <f>IF(AND(ISNUMBER($AD443),$M443&gt;0),$AD443/$M443*100,"")</f>
      </c>
      <c r="AV443" s="40">
        <f>IF(AND(ISNUMBER($AB443),ISNUMBER($AD443),ABS($AB443)&gt;0),$AD443/$AB443,"")</f>
      </c>
      <c r="AW443" s="39">
        <f>IF(ISNUMBER($AD443),MAX(0,(1-0.55-Header!$O$3)*Header!$Q$3*$AQ443),"")</f>
      </c>
      <c r="AX443" s="43">
        <f>IF($A443="","",IF(TRIM(IF($A443="","Missing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",""))="","PASS","FAIL: "&amp;TRIM(IF($A443="","Missing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f>
      </c>
      <c r="AY443" s="44">
        <f>IF($M443="","",IF(ISNUMBER($M443),IF($M443&gt;=Header!$C$18,"YES — refer","No"),""))</f>
      </c>
      <c r="AZ443" s="44">
        <f>IF($AD443="","",IF(ISNUMBER($AD443),IF($AD443&lt;Header!$C$20,"BELOW MIN PREMIUM","OK"),""))</f>
      </c>
      <c r="BA443" s="32" t="inlineStr">
        <is>
          <t xml:space="preserve">Yes</t>
        </is>
      </c>
      <c r="BB443" s="32" t="inlineStr">
        <is>
          <t xml:space="preserve">Yes</t>
        </is>
      </c>
      <c r="BC443" s="30" t="inlineStr">
        <is>
          <t xml:space="preserve">Synthetic demo data</t>
        </is>
      </c>
      <c r="BE443" s="45">
        <f>IF(OR($A443="",$L443="",$H443=""),"",IF(AND(LEFT($L443,2)="06",$H443&gt;1945),"FAIL - pre-war class, year "&amp;$H443,IF(AND(LEFT($L443,2)="07",OR($H443&lt;1946,$H443&gt;1972)),"FAIL - 1946-72 class, year "&amp;$H443,IF(AND(LEFT($L443,2)="08",OR($H443&lt;1973,$H443&gt;1999)),"FAIL - 1973-99 class, year "&amp;$H443,IF(AND(LEFT($L443,2)="09",OR($H443&lt;2000,$H443&gt;2010)),"FAIL - 2000-10 class, year "&amp;$H443,"OK")))))</f>
      </c>
      <c r="BF443" s="45">
        <f>IF($AD443="","",IF(ROUND($AO443+$AP443+$AQ443-$AD443,2)=0,"OK","FAIL - out by "&amp;TEXT($AO443+$AP443+$AQ443-$AD443,"$0.00")))</f>
      </c>
    </row>
    <row r="444" spans="1:58" ht="18.75" customHeight="1" x14ac:dyDescent="0.25">
      <c r="A444" s="46" t="inlineStr">
        <is>
          <t xml:space="preserve">CANON-202606-009006</t>
        </is>
      </c>
      <c r="B444" s="46" t="inlineStr">
        <is>
          <t xml:space="preserve">Anouk Thistlewood</t>
        </is>
      </c>
      <c r="C444" s="47">
        <v>46183</v>
      </c>
      <c r="D444" s="48" t="inlineStr">
        <is>
          <t xml:space="preserve">Bound - within authority</t>
        </is>
      </c>
      <c r="E444" s="48" t="inlineStr">
        <is>
          <t xml:space="preserve">New business</t>
        </is>
      </c>
      <c r="F444" s="46" t="inlineStr">
        <is>
          <t xml:space="preserve">B1234EXOTIC26</t>
        </is>
      </c>
      <c r="G444" s="33">
        <f>IF($A444="","",IF($C444="","",YEAR($C444)))</f>
      </c>
      <c r="H444" s="49">
        <v>1972</v>
      </c>
      <c r="I444" s="46" t="inlineStr">
        <is>
          <t xml:space="preserve">Ferrari</t>
        </is>
      </c>
      <c r="J444" s="46" t="inlineStr">
        <is>
          <t xml:space="preserve">275 GTB/4</t>
        </is>
      </c>
      <c r="K444" s="46" t="inlineStr">
        <is>
          <t xml:space="preserve">ES7H1XTHC3PVYRPVJ</t>
        </is>
      </c>
      <c r="L444" s="48" t="inlineStr">
        <is>
          <t xml:space="preserve">07 - Post-War Classic (1946-1972)</t>
        </is>
      </c>
      <c r="M444" s="50">
        <v>1820000</v>
      </c>
      <c r="N444" s="48" t="inlineStr">
        <is>
          <t xml:space="preserve">Personal</t>
        </is>
      </c>
      <c r="O444" s="46" t="inlineStr">
        <is>
          <t xml:space="preserve">Personal - regular use</t>
        </is>
      </c>
      <c r="P444" s="46" t="inlineStr">
        <is>
          <t xml:space="preserve">1,000 - 2,500</t>
        </is>
      </c>
      <c r="Q444" s="46" t="inlineStr">
        <is>
          <t xml:space="preserve">Delaware</t>
        </is>
      </c>
      <c r="R444" s="46" t="inlineStr">
        <is>
          <t xml:space="preserve">19801</t>
        </is>
      </c>
      <c r="S444" s="48" t="inlineStr">
        <is>
          <t xml:space="preserve">Tier 3 - Coastal wind (25-100 miles)</t>
        </is>
      </c>
      <c r="T444" s="36">
        <f>IF($A444="","",IF($S444="","",IFERROR(INDEX('[1]natural catastrophe'!$D$6:$D$17,MATCH($S444,'[1]natural catastrophe'!$B$6:$B$17,0)),"?")))</f>
      </c>
      <c r="U444" s="46" t="inlineStr">
        <is>
          <t xml:space="preserve">2% of agreed value, minimum $10,000</t>
        </is>
      </c>
      <c r="V444" s="48" t="inlineStr">
        <is>
          <t xml:space="preserve">Agreed Value</t>
        </is>
      </c>
      <c r="W444" s="46" t="inlineStr">
        <is>
          <t xml:space="preserve">$1,000</t>
        </is>
      </c>
      <c r="X444" s="48" t="inlineStr">
        <is>
          <t xml:space="preserve">$1,000,000 CSL</t>
        </is>
      </c>
      <c r="Y444" s="46"/>
      <c r="Z444" s="46"/>
      <c r="AA444" s="48" t="inlineStr">
        <is>
          <t xml:space="preserve">Surplus Lines</t>
        </is>
      </c>
      <c r="AB444" s="50">
        <v>12474.9</v>
      </c>
      <c r="AC444" s="51">
        <v>0</v>
      </c>
      <c r="AD444" s="38">
        <f>IF(ISNUMBER($AB444),$AB444*(1+N($AC444)),"")</f>
      </c>
      <c r="AE444" s="50">
        <v>350</v>
      </c>
      <c r="AF444" s="50">
        <v>250</v>
      </c>
      <c r="AG444" s="51"/>
      <c r="AH444" s="39">
        <f>IF(ISNUMBER($AD444),($AD444+$AE444+$AF444)*$AG444,"")</f>
      </c>
      <c r="AI444" s="50"/>
      <c r="AJ444" s="38">
        <f>IF(ISNUMBER($AD444),SUM($AD444:$AH444),"")</f>
      </c>
      <c r="AK444" s="40">
        <f>IF(AND(ISNUMBER($AB444),ISNUMBER($AD444)),IF($AB444&gt;0,$AD444/$AB444,""),"")</f>
      </c>
      <c r="AL444" s="48" t="inlineStr">
        <is>
          <t xml:space="preserve">At technical</t>
        </is>
      </c>
      <c r="AM444" s="41">
        <f>IF(ISNUMBER($AD444),Header!$I$3,"")</f>
      </c>
      <c r="AN444" s="39">
        <f>IF(ISNUMBER($AD444),$AO444+$AP444,"")</f>
      </c>
      <c r="AO444" s="39">
        <f>IF(ISNUMBER($AD444),ROUND($AD444*Header!$K$3,2),"")</f>
      </c>
      <c r="AP444" s="39">
        <f>IF(ISNUMBER($AD444),ROUND($AD444*Header!$M$3,2),"")</f>
      </c>
      <c r="AQ444" s="38">
        <f>IF(ISNUMBER($AD444),ROUND($AD444,2)-$AO444-$AP444,"")</f>
      </c>
      <c r="AR444" s="39">
        <f>IF(ISNUMBER($AD444),IF(Header!$D$34="","?",$AD444*Header!$D$34),"")</f>
      </c>
      <c r="AS444" s="39">
        <f>IF(ISNUMBER($AB444),IF(Header!$D$34="","?",$AB444*Header!$D$34),"")</f>
      </c>
      <c r="AT444" s="42">
        <f>IF(AND(ISNUMBER($AB444),$M444&gt;0),$AB444/$M444*100,"")</f>
      </c>
      <c r="AU444" s="42">
        <f>IF(AND(ISNUMBER($AD444),$M444&gt;0),$AD444/$M444*100,"")</f>
      </c>
      <c r="AV444" s="40">
        <f>IF(AND(ISNUMBER($AB444),ISNUMBER($AD444),ABS($AB444)&gt;0),$AD444/$AB444,"")</f>
      </c>
      <c r="AW444" s="39">
        <f>IF(ISNUMBER($AD444),MAX(0,(1-0.55-Header!$O$3)*Header!$Q$3*$AQ444),"")</f>
      </c>
      <c r="AX444" s="43">
        <f>IF($A444="","",IF(TRIM(IF($A444="","Missing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",""))="","PASS","FAIL: "&amp;TRIM(IF($A444="","Missing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f>
      </c>
      <c r="AY444" s="44">
        <f>IF($M444="","",IF(ISNUMBER($M444),IF($M444&gt;=Header!$C$18,"YES — refer","No"),""))</f>
      </c>
      <c r="AZ444" s="44">
        <f>IF($AD444="","",IF(ISNUMBER($AD444),IF($AD444&lt;Header!$C$20,"BELOW MIN PREMIUM","OK"),""))</f>
      </c>
      <c r="BA444" s="48" t="inlineStr">
        <is>
          <t xml:space="preserve">Yes</t>
        </is>
      </c>
      <c r="BB444" s="48" t="inlineStr">
        <is>
          <t xml:space="preserve">Yes</t>
        </is>
      </c>
      <c r="BC444" s="46" t="inlineStr">
        <is>
          <t xml:space="preserve">Synthetic demo data</t>
        </is>
      </c>
      <c r="BE444" s="45">
        <f>IF(OR($A444="",$L444="",$H444=""),"",IF(AND(LEFT($L444,2)="06",$H444&gt;1945),"FAIL - pre-war class, year "&amp;$H444,IF(AND(LEFT($L444,2)="07",OR($H444&lt;1946,$H444&gt;1972)),"FAIL - 1946-72 class, year "&amp;$H444,IF(AND(LEFT($L444,2)="08",OR($H444&lt;1973,$H444&gt;1999)),"FAIL - 1973-99 class, year "&amp;$H444,IF(AND(LEFT($L444,2)="09",OR($H444&lt;2000,$H444&gt;2010)),"FAIL - 2000-10 class, year "&amp;$H444,"OK")))))</f>
      </c>
      <c r="BF444" s="45">
        <f>IF($AD444="","",IF(ROUND($AO444+$AP444+$AQ444-$AD444,2)=0,"OK","FAIL - out by "&amp;TEXT($AO444+$AP444+$AQ444-$AD444,"$0.00")))</f>
      </c>
    </row>
    <row r="445" spans="1:58" ht="18.75" customHeight="1" x14ac:dyDescent="0.25">
      <c r="A445" s="30" t="inlineStr">
        <is>
          <t xml:space="preserve">CANON-202606-009007</t>
        </is>
      </c>
      <c r="B445" s="30" t="inlineStr">
        <is>
          <t xml:space="preserve">Emiliano Underwood</t>
        </is>
      </c>
      <c r="C445" s="31">
        <v>46200</v>
      </c>
      <c r="D445" s="32" t="inlineStr">
        <is>
          <t xml:space="preserve">Bound - within authority</t>
        </is>
      </c>
      <c r="E445" s="32" t="inlineStr">
        <is>
          <t xml:space="preserve">New business</t>
        </is>
      </c>
      <c r="F445" s="30" t="inlineStr">
        <is>
          <t xml:space="preserve">B1234EXOTIC26</t>
        </is>
      </c>
      <c r="G445" s="33">
        <f>IF($A445="","",IF($C445="","",YEAR($C445)))</f>
      </c>
      <c r="H445" s="34">
        <v>1957</v>
      </c>
      <c r="I445" s="30" t="inlineStr">
        <is>
          <t xml:space="preserve">Porsche</t>
        </is>
      </c>
      <c r="J445" s="30" t="inlineStr">
        <is>
          <t xml:space="preserve">911 Turbo S</t>
        </is>
      </c>
      <c r="K445" s="30" t="inlineStr">
        <is>
          <t xml:space="preserve">GKU9CB5CB88EG8J5W</t>
        </is>
      </c>
      <c r="L445" s="32" t="inlineStr">
        <is>
          <t xml:space="preserve">02 - Sports / GT</t>
        </is>
      </c>
      <c r="M445" s="35">
        <v>495000</v>
      </c>
      <c r="N445" s="32" t="inlineStr">
        <is>
          <t xml:space="preserve">Personal</t>
        </is>
      </c>
      <c r="O445" s="30" t="inlineStr">
        <is>
          <t xml:space="preserve">Personal - regular use</t>
        </is>
      </c>
      <c r="P445" s="30" t="inlineStr">
        <is>
          <t xml:space="preserve">Under 1,000</t>
        </is>
      </c>
      <c r="Q445" s="30" t="inlineStr">
        <is>
          <t xml:space="preserve">Florida</t>
        </is>
      </c>
      <c r="R445" s="30" t="inlineStr">
        <is>
          <t xml:space="preserve">33139</t>
        </is>
      </c>
      <c r="S445" s="32" t="inlineStr">
        <is>
          <t xml:space="preserve">Tier 2 - Coastal wind (1-25 miles)</t>
        </is>
      </c>
      <c r="T445" s="36">
        <f>IF($A445="","",IF($S445="","",IFERROR(INDEX('[1]natural catastrophe'!$D$6:$D$17,MATCH($S445,'[1]natural catastrophe'!$B$6:$B$17,0)),"?")))</f>
      </c>
      <c r="U445" s="30" t="inlineStr">
        <is>
          <t xml:space="preserve">2% of agreed value, minimum $10,000</t>
        </is>
      </c>
      <c r="V445" s="32" t="inlineStr">
        <is>
          <t xml:space="preserve">Agreed Value</t>
        </is>
      </c>
      <c r="W445" s="30" t="inlineStr">
        <is>
          <t xml:space="preserve">$1,000</t>
        </is>
      </c>
      <c r="X445" s="32" t="inlineStr">
        <is>
          <t xml:space="preserve">$1,000,000 CSL</t>
        </is>
      </c>
      <c r="Y445" s="30"/>
      <c r="Z445" s="30"/>
      <c r="AA445" s="32" t="inlineStr">
        <is>
          <t xml:space="preserve">Surplus Lines</t>
        </is>
      </c>
      <c r="AB445" s="35">
        <v>7607.24</v>
      </c>
      <c r="AC445" s="37">
        <v>0</v>
      </c>
      <c r="AD445" s="38">
        <f>IF(ISNUMBER($AB445),$AB445*(1+N($AC445)),"")</f>
      </c>
      <c r="AE445" s="35">
        <v>350</v>
      </c>
      <c r="AF445" s="35">
        <v>0</v>
      </c>
      <c r="AG445" s="37"/>
      <c r="AH445" s="39">
        <f>IF(ISNUMBER($AD445),($AD445+$AE445+$AF445)*$AG445,"")</f>
      </c>
      <c r="AI445" s="35"/>
      <c r="AJ445" s="38">
        <f>IF(ISNUMBER($AD445),SUM($AD445:$AH445),"")</f>
      </c>
      <c r="AK445" s="40">
        <f>IF(AND(ISNUMBER($AB445),ISNUMBER($AD445)),IF($AB445&gt;0,$AD445/$AB445,""),"")</f>
      </c>
      <c r="AL445" s="32" t="inlineStr">
        <is>
          <t xml:space="preserve">At technical</t>
        </is>
      </c>
      <c r="AM445" s="41">
        <f>IF(ISNUMBER($AD445),Header!$I$3,"")</f>
      </c>
      <c r="AN445" s="39">
        <f>IF(ISNUMBER($AD445),$AO445+$AP445,"")</f>
      </c>
      <c r="AO445" s="39">
        <f>IF(ISNUMBER($AD445),ROUND($AD445*Header!$K$3,2),"")</f>
      </c>
      <c r="AP445" s="39">
        <f>IF(ISNUMBER($AD445),ROUND($AD445*Header!$M$3,2),"")</f>
      </c>
      <c r="AQ445" s="38">
        <f>IF(ISNUMBER($AD445),ROUND($AD445,2)-$AO445-$AP445,"")</f>
      </c>
      <c r="AR445" s="39">
        <f>IF(ISNUMBER($AD445),IF(Header!$D$34="","?",$AD445*Header!$D$34),"")</f>
      </c>
      <c r="AS445" s="39">
        <f>IF(ISNUMBER($AB445),IF(Header!$D$34="","?",$AB445*Header!$D$34),"")</f>
      </c>
      <c r="AT445" s="42">
        <f>IF(AND(ISNUMBER($AB445),$M445&gt;0),$AB445/$M445*100,"")</f>
      </c>
      <c r="AU445" s="42">
        <f>IF(AND(ISNUMBER($AD445),$M445&gt;0),$AD445/$M445*100,"")</f>
      </c>
      <c r="AV445" s="40">
        <f>IF(AND(ISNUMBER($AB445),ISNUMBER($AD445),ABS($AB445)&gt;0),$AD445/$AB445,"")</f>
      </c>
      <c r="AW445" s="39">
        <f>IF(ISNUMBER($AD445),MAX(0,(1-0.55-Header!$O$3)*Header!$Q$3*$AQ445),"")</f>
      </c>
      <c r="AX445" s="43">
        <f>IF($A445="","",IF(TRIM(IF($A445="","Missing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",""))="","PASS","FAIL: "&amp;TRIM(IF($A445="","Missing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f>
      </c>
      <c r="AY445" s="44">
        <f>IF($M445="","",IF(ISNUMBER($M445),IF($M445&gt;=Header!$C$18,"YES — refer","No"),""))</f>
      </c>
      <c r="AZ445" s="44">
        <f>IF($AD445="","",IF(ISNUMBER($AD445),IF($AD445&lt;Header!$C$20,"BELOW MIN PREMIUM","OK"),""))</f>
      </c>
      <c r="BA445" s="32" t="inlineStr">
        <is>
          <t xml:space="preserve">Yes</t>
        </is>
      </c>
      <c r="BB445" s="32" t="inlineStr">
        <is>
          <t xml:space="preserve">Yes</t>
        </is>
      </c>
      <c r="BC445" s="30" t="inlineStr">
        <is>
          <t xml:space="preserve">Synthetic demo data</t>
        </is>
      </c>
      <c r="BE445" s="45">
        <f>IF(OR($A445="",$L445="",$H445=""),"",IF(AND(LEFT($L445,2)="06",$H445&gt;1945),"FAIL - pre-war class, year "&amp;$H445,IF(AND(LEFT($L445,2)="07",OR($H445&lt;1946,$H445&gt;1972)),"FAIL - 1946-72 class, year "&amp;$H445,IF(AND(LEFT($L445,2)="08",OR($H445&lt;1973,$H445&gt;1999)),"FAIL - 1973-99 class, year "&amp;$H445,IF(AND(LEFT($L445,2)="09",OR($H445&lt;2000,$H445&gt;2010)),"FAIL - 2000-10 class, year "&amp;$H445,"OK")))))</f>
      </c>
      <c r="BF445" s="45">
        <f>IF($AD445="","",IF(ROUND($AO445+$AP445+$AQ445-$AD445,2)=0,"OK","FAIL - out by "&amp;TEXT($AO445+$AP445+$AQ445-$AD445,"$0.00")))</f>
      </c>
    </row>
    <row r="446" spans="1:58" ht="18.75" customHeight="1" x14ac:dyDescent="0.25">
      <c r="A446" s="46" t="inlineStr">
        <is>
          <t xml:space="preserve">CANON-202606-009008</t>
        </is>
      </c>
      <c r="B446" s="46" t="inlineStr">
        <is>
          <t xml:space="preserve">Wilhelmina Underwood</t>
        </is>
      </c>
      <c r="C446" s="47">
        <v>46189</v>
      </c>
      <c r="D446" s="48" t="inlineStr">
        <is>
          <t xml:space="preserve">Bound - within authority</t>
        </is>
      </c>
      <c r="E446" s="48" t="inlineStr">
        <is>
          <t xml:space="preserve">New business</t>
        </is>
      </c>
      <c r="F446" s="46" t="inlineStr">
        <is>
          <t xml:space="preserve">B1234EXOTIC26</t>
        </is>
      </c>
      <c r="G446" s="33">
        <f>IF($A446="","",IF($C446="","",YEAR($C446)))</f>
      </c>
      <c r="H446" s="49">
        <v>2020</v>
      </c>
      <c r="I446" s="46" t="inlineStr">
        <is>
          <t xml:space="preserve">Ferrari</t>
        </is>
      </c>
      <c r="J446" s="46" t="inlineStr">
        <is>
          <t xml:space="preserve">296 GTB</t>
        </is>
      </c>
      <c r="K446" s="46" t="inlineStr">
        <is>
          <t xml:space="preserve">46C2W75HE7HXB4PK4</t>
        </is>
      </c>
      <c r="L446" s="48" t="inlineStr">
        <is>
          <t xml:space="preserve">03 - Supercar</t>
        </is>
      </c>
      <c r="M446" s="50">
        <v>1950000</v>
      </c>
      <c r="N446" s="48" t="inlineStr">
        <is>
          <t xml:space="preserve">Personal</t>
        </is>
      </c>
      <c r="O446" s="46" t="inlineStr">
        <is>
          <t xml:space="preserve">Personal - regular use</t>
        </is>
      </c>
      <c r="P446" s="46" t="inlineStr">
        <is>
          <t xml:space="preserve">2,500 - 5,000</t>
        </is>
      </c>
      <c r="Q446" s="46" t="inlineStr">
        <is>
          <t xml:space="preserve">Oregon</t>
        </is>
      </c>
      <c r="R446" s="46" t="inlineStr">
        <is>
          <t xml:space="preserve">97204</t>
        </is>
      </c>
      <c r="S446" s="48" t="inlineStr">
        <is>
          <t xml:space="preserve">Earthquake - high (CA, Cascadia, New Madrid)</t>
        </is>
      </c>
      <c r="T446" s="36">
        <f>IF($A446="","",IF($S446="","",IFERROR(INDEX('[1]natural catastrophe'!$D$6:$D$17,MATCH($S446,'[1]natural catastrophe'!$B$6:$B$17,0)),"?")))</f>
      </c>
      <c r="U446" s="46" t="inlineStr">
        <is>
          <t xml:space="preserve">$5,000</t>
        </is>
      </c>
      <c r="V446" s="48" t="inlineStr">
        <is>
          <t xml:space="preserve">Agreed Value</t>
        </is>
      </c>
      <c r="W446" s="46" t="inlineStr">
        <is>
          <t xml:space="preserve">$1,000</t>
        </is>
      </c>
      <c r="X446" s="48" t="inlineStr">
        <is>
          <t xml:space="preserve">$1,000,000 CSL</t>
        </is>
      </c>
      <c r="Y446" s="46"/>
      <c r="Z446" s="46"/>
      <c r="AA446" s="48" t="inlineStr">
        <is>
          <t xml:space="preserve">Surplus Lines</t>
        </is>
      </c>
      <c r="AB446" s="50">
        <v>25437.54</v>
      </c>
      <c r="AC446" s="51">
        <v>0</v>
      </c>
      <c r="AD446" s="38">
        <f>IF(ISNUMBER($AB446),$AB446*(1+N($AC446)),"")</f>
      </c>
      <c r="AE446" s="50">
        <v>350</v>
      </c>
      <c r="AF446" s="50">
        <v>250</v>
      </c>
      <c r="AG446" s="51"/>
      <c r="AH446" s="39">
        <f>IF(ISNUMBER($AD446),($AD446+$AE446+$AF446)*$AG446,"")</f>
      </c>
      <c r="AI446" s="50"/>
      <c r="AJ446" s="38">
        <f>IF(ISNUMBER($AD446),SUM($AD446:$AH446),"")</f>
      </c>
      <c r="AK446" s="40">
        <f>IF(AND(ISNUMBER($AB446),ISNUMBER($AD446)),IF($AB446&gt;0,$AD446/$AB446,""),"")</f>
      </c>
      <c r="AL446" s="48" t="inlineStr">
        <is>
          <t xml:space="preserve">At technical</t>
        </is>
      </c>
      <c r="AM446" s="41">
        <f>IF(ISNUMBER($AD446),Header!$I$3,"")</f>
      </c>
      <c r="AN446" s="39">
        <f>IF(ISNUMBER($AD446),$AO446+$AP446,"")</f>
      </c>
      <c r="AO446" s="39">
        <f>IF(ISNUMBER($AD446),ROUND($AD446*Header!$K$3,2),"")</f>
      </c>
      <c r="AP446" s="39">
        <f>IF(ISNUMBER($AD446),ROUND($AD446*Header!$M$3,2),"")</f>
      </c>
      <c r="AQ446" s="38">
        <f>IF(ISNUMBER($AD446),ROUND($AD446,2)-$AO446-$AP446,"")</f>
      </c>
      <c r="AR446" s="39">
        <f>IF(ISNUMBER($AD446),IF(Header!$D$34="","?",$AD446*Header!$D$34),"")</f>
      </c>
      <c r="AS446" s="39">
        <f>IF(ISNUMBER($AB446),IF(Header!$D$34="","?",$AB446*Header!$D$34),"")</f>
      </c>
      <c r="AT446" s="42">
        <f>IF(AND(ISNUMBER($AB446),$M446&gt;0),$AB446/$M446*100,"")</f>
      </c>
      <c r="AU446" s="42">
        <f>IF(AND(ISNUMBER($AD446),$M446&gt;0),$AD446/$M446*100,"")</f>
      </c>
      <c r="AV446" s="40">
        <f>IF(AND(ISNUMBER($AB446),ISNUMBER($AD446),ABS($AB446)&gt;0),$AD446/$AB446,"")</f>
      </c>
      <c r="AW446" s="39">
        <f>IF(ISNUMBER($AD446),MAX(0,(1-0.55-Header!$O$3)*Header!$Q$3*$AQ446),"")</f>
      </c>
      <c r="AX446" s="43">
        <f>IF($A446="","",IF(TRIM(IF($A446="","Missing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",""))="","PASS","FAIL: "&amp;TRIM(IF($A446="","Missing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f>
      </c>
      <c r="AY446" s="44">
        <f>IF($M446="","",IF(ISNUMBER($M446),IF($M446&gt;=Header!$C$18,"YES — refer","No"),""))</f>
      </c>
      <c r="AZ446" s="44">
        <f>IF($AD446="","",IF(ISNUMBER($AD446),IF($AD446&lt;Header!$C$20,"BELOW MIN PREMIUM","OK"),""))</f>
      </c>
      <c r="BA446" s="48" t="inlineStr">
        <is>
          <t xml:space="preserve">Yes</t>
        </is>
      </c>
      <c r="BB446" s="48" t="inlineStr">
        <is>
          <t xml:space="preserve">Yes</t>
        </is>
      </c>
      <c r="BC446" s="46" t="inlineStr">
        <is>
          <t xml:space="preserve">Synthetic demo data</t>
        </is>
      </c>
      <c r="BE446" s="45">
        <f>IF(OR($A446="",$L446="",$H446=""),"",IF(AND(LEFT($L446,2)="06",$H446&gt;1945),"FAIL - pre-war class, year "&amp;$H446,IF(AND(LEFT($L446,2)="07",OR($H446&lt;1946,$H446&gt;1972)),"FAIL - 1946-72 class, year "&amp;$H446,IF(AND(LEFT($L446,2)="08",OR($H446&lt;1973,$H446&gt;1999)),"FAIL - 1973-99 class, year "&amp;$H446,IF(AND(LEFT($L446,2)="09",OR($H446&lt;2000,$H446&gt;2010)),"FAIL - 2000-10 class, year "&amp;$H446,"OK")))))</f>
      </c>
      <c r="BF446" s="45">
        <f>IF($AD446="","",IF(ROUND($AO446+$AP446+$AQ446-$AD446,2)=0,"OK","FAIL - out by "&amp;TEXT($AO446+$AP446+$AQ446-$AD446,"$0.00")))</f>
      </c>
    </row>
    <row r="447" spans="1:58" ht="18.75" customHeight="1" x14ac:dyDescent="0.25">
      <c r="A447" s="30" t="inlineStr">
        <is>
          <t xml:space="preserve">CANON-202606-009009</t>
        </is>
      </c>
      <c r="B447" s="30" t="inlineStr">
        <is>
          <t xml:space="preserve">Desmond Vasquez</t>
        </is>
      </c>
      <c r="C447" s="31">
        <v>46190</v>
      </c>
      <c r="D447" s="32" t="inlineStr">
        <is>
          <t xml:space="preserve">Bound - within authority</t>
        </is>
      </c>
      <c r="E447" s="32" t="inlineStr">
        <is>
          <t xml:space="preserve">New business</t>
        </is>
      </c>
      <c r="F447" s="30" t="inlineStr">
        <is>
          <t xml:space="preserve">B1234EXOTIC26</t>
        </is>
      </c>
      <c r="G447" s="33">
        <f>IF($A447="","",IF($C447="","",YEAR($C447)))</f>
      </c>
      <c r="H447" s="34">
        <v>2014</v>
      </c>
      <c r="I447" s="30" t="inlineStr">
        <is>
          <t xml:space="preserve">Porsche</t>
        </is>
      </c>
      <c r="J447" s="30" t="inlineStr">
        <is>
          <t xml:space="preserve">911 Turbo S</t>
        </is>
      </c>
      <c r="K447" s="30" t="inlineStr">
        <is>
          <t xml:space="preserve">JMWR1DSGPUG6XZE7J</t>
        </is>
      </c>
      <c r="L447" s="32" t="inlineStr">
        <is>
          <t xml:space="preserve">02 - Sports / GT</t>
        </is>
      </c>
      <c r="M447" s="35">
        <v>235000</v>
      </c>
      <c r="N447" s="32" t="inlineStr">
        <is>
          <t xml:space="preserve">Personal</t>
        </is>
      </c>
      <c r="O447" s="30" t="inlineStr">
        <is>
          <t xml:space="preserve">Personal - regular use</t>
        </is>
      </c>
      <c r="P447" s="30" t="inlineStr">
        <is>
          <t xml:space="preserve">2,500 - 5,000</t>
        </is>
      </c>
      <c r="Q447" s="30" t="inlineStr">
        <is>
          <t xml:space="preserve">South Dakota</t>
        </is>
      </c>
      <c r="R447" s="30" t="inlineStr">
        <is>
          <t xml:space="preserve">57501</t>
        </is>
      </c>
      <c r="S447" s="32" t="inlineStr">
        <is>
          <t xml:space="preserve">Severe convective - hail alley (high)</t>
        </is>
      </c>
      <c r="T447" s="36">
        <f>IF($A447="","",IF($S447="","",IFERROR(INDEX('[1]natural catastrophe'!$D$6:$D$17,MATCH($S447,'[1]natural catastrophe'!$B$6:$B$17,0)),"?")))</f>
      </c>
      <c r="U447" s="30" t="inlineStr">
        <is>
          <t xml:space="preserve">$5,000</t>
        </is>
      </c>
      <c r="V447" s="32" t="inlineStr">
        <is>
          <t xml:space="preserve">Agreed Value</t>
        </is>
      </c>
      <c r="W447" s="30" t="inlineStr">
        <is>
          <t xml:space="preserve">$1,000</t>
        </is>
      </c>
      <c r="X447" s="32" t="inlineStr">
        <is>
          <t xml:space="preserve">$1,000,000 CSL</t>
        </is>
      </c>
      <c r="Y447" s="30"/>
      <c r="Z447" s="30"/>
      <c r="AA447" s="32" t="inlineStr">
        <is>
          <t xml:space="preserve">Surplus Lines</t>
        </is>
      </c>
      <c r="AB447" s="35">
        <v>3462.98</v>
      </c>
      <c r="AC447" s="37">
        <v>0</v>
      </c>
      <c r="AD447" s="38">
        <f>IF(ISNUMBER($AB447),$AB447*(1+N($AC447)),"")</f>
      </c>
      <c r="AE447" s="35">
        <v>350</v>
      </c>
      <c r="AF447" s="35">
        <v>0</v>
      </c>
      <c r="AG447" s="37"/>
      <c r="AH447" s="39">
        <f>IF(ISNUMBER($AD447),($AD447+$AE447+$AF447)*$AG447,"")</f>
      </c>
      <c r="AI447" s="35"/>
      <c r="AJ447" s="38">
        <f>IF(ISNUMBER($AD447),SUM($AD447:$AH447),"")</f>
      </c>
      <c r="AK447" s="40">
        <f>IF(AND(ISNUMBER($AB447),ISNUMBER($AD447)),IF($AB447&gt;0,$AD447/$AB447,""),"")</f>
      </c>
      <c r="AL447" s="32" t="inlineStr">
        <is>
          <t xml:space="preserve">At technical</t>
        </is>
      </c>
      <c r="AM447" s="41">
        <f>IF(ISNUMBER($AD447),Header!$I$3,"")</f>
      </c>
      <c r="AN447" s="39">
        <f>IF(ISNUMBER($AD447),$AO447+$AP447,"")</f>
      </c>
      <c r="AO447" s="39">
        <f>IF(ISNUMBER($AD447),ROUND($AD447*Header!$K$3,2),"")</f>
      </c>
      <c r="AP447" s="39">
        <f>IF(ISNUMBER($AD447),ROUND($AD447*Header!$M$3,2),"")</f>
      </c>
      <c r="AQ447" s="38">
        <f>IF(ISNUMBER($AD447),ROUND($AD447,2)-$AO447-$AP447,"")</f>
      </c>
      <c r="AR447" s="39">
        <f>IF(ISNUMBER($AD447),IF(Header!$D$34="","?",$AD447*Header!$D$34),"")</f>
      </c>
      <c r="AS447" s="39">
        <f>IF(ISNUMBER($AB447),IF(Header!$D$34="","?",$AB447*Header!$D$34),"")</f>
      </c>
      <c r="AT447" s="42">
        <f>IF(AND(ISNUMBER($AB447),$M447&gt;0),$AB447/$M447*100,"")</f>
      </c>
      <c r="AU447" s="42">
        <f>IF(AND(ISNUMBER($AD447),$M447&gt;0),$AD447/$M447*100,"")</f>
      </c>
      <c r="AV447" s="40">
        <f>IF(AND(ISNUMBER($AB447),ISNUMBER($AD447),ABS($AB447)&gt;0),$AD447/$AB447,"")</f>
      </c>
      <c r="AW447" s="39">
        <f>IF(ISNUMBER($AD447),MAX(0,(1-0.55-Header!$O$3)*Header!$Q$3*$AQ447),"")</f>
      </c>
      <c r="AX447" s="43">
        <f>IF($A447="","",IF(TRIM(IF($A447="","Missing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",""))="","PASS","FAIL: "&amp;TRIM(IF($A447="","Missing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f>
      </c>
      <c r="AY447" s="44">
        <f>IF($M447="","",IF(ISNUMBER($M447),IF($M447&gt;=Header!$C$18,"YES — refer","No"),""))</f>
      </c>
      <c r="AZ447" s="44">
        <f>IF($AD447="","",IF(ISNUMBER($AD447),IF($AD447&lt;Header!$C$20,"BELOW MIN PREMIUM","OK"),""))</f>
      </c>
      <c r="BA447" s="32" t="inlineStr">
        <is>
          <t xml:space="preserve">Yes</t>
        </is>
      </c>
      <c r="BB447" s="32" t="inlineStr">
        <is>
          <t xml:space="preserve">Yes</t>
        </is>
      </c>
      <c r="BC447" s="30" t="inlineStr">
        <is>
          <t xml:space="preserve">Synthetic demo data</t>
        </is>
      </c>
      <c r="BE447" s="45">
        <f>IF(OR($A447="",$L447="",$H447=""),"",IF(AND(LEFT($L447,2)="06",$H447&gt;1945),"FAIL - pre-war class, year "&amp;$H447,IF(AND(LEFT($L447,2)="07",OR($H447&lt;1946,$H447&gt;1972)),"FAIL - 1946-72 class, year "&amp;$H447,IF(AND(LEFT($L447,2)="08",OR($H447&lt;1973,$H447&gt;1999)),"FAIL - 1973-99 class, year "&amp;$H447,IF(AND(LEFT($L447,2)="09",OR($H447&lt;2000,$H447&gt;2010)),"FAIL - 2000-10 class, year "&amp;$H447,"OK")))))</f>
      </c>
      <c r="BF447" s="45">
        <f>IF($AD447="","",IF(ROUND($AO447+$AP447+$AQ447-$AD447,2)=0,"OK","FAIL - out by "&amp;TEXT($AO447+$AP447+$AQ447-$AD447,"$0.00")))</f>
      </c>
    </row>
    <row r="448" spans="1:58" ht="18.75" customHeight="1" x14ac:dyDescent="0.25">
      <c r="A448" s="46" t="inlineStr">
        <is>
          <t xml:space="preserve">CANON-202606-009010</t>
        </is>
      </c>
      <c r="B448" s="46" t="inlineStr">
        <is>
          <t xml:space="preserve">Leopold Rourke</t>
        </is>
      </c>
      <c r="C448" s="47">
        <v>46176</v>
      </c>
      <c r="D448" s="48" t="inlineStr">
        <is>
          <t xml:space="preserve">Bound - within authority</t>
        </is>
      </c>
      <c r="E448" s="48" t="inlineStr">
        <is>
          <t xml:space="preserve">New business</t>
        </is>
      </c>
      <c r="F448" s="46" t="inlineStr">
        <is>
          <t xml:space="preserve">B1234EXOTIC26</t>
        </is>
      </c>
      <c r="G448" s="33">
        <f>IF($A448="","",IF($C448="","",YEAR($C448)))</f>
      </c>
      <c r="H448" s="49">
        <v>2012</v>
      </c>
      <c r="I448" s="46" t="inlineStr">
        <is>
          <t xml:space="preserve">Maserati</t>
        </is>
      </c>
      <c r="J448" s="46" t="inlineStr">
        <is>
          <t xml:space="preserve">GranTurismo</t>
        </is>
      </c>
      <c r="K448" s="46" t="inlineStr">
        <is>
          <t xml:space="preserve">5M2UJ51YM7RJJB57A</t>
        </is>
      </c>
      <c r="L448" s="48" t="inlineStr">
        <is>
          <t xml:space="preserve">02 - Sports / GT</t>
        </is>
      </c>
      <c r="M448" s="50">
        <v>1210000</v>
      </c>
      <c r="N448" s="48" t="inlineStr">
        <is>
          <t xml:space="preserve">Personal</t>
        </is>
      </c>
      <c r="O448" s="46" t="inlineStr">
        <is>
          <t xml:space="preserve">Personal - regular use</t>
        </is>
      </c>
      <c r="P448" s="46" t="inlineStr">
        <is>
          <t xml:space="preserve">2,500 - 5,000</t>
        </is>
      </c>
      <c r="Q448" s="46" t="inlineStr">
        <is>
          <t xml:space="preserve">New York</t>
        </is>
      </c>
      <c r="R448" s="46" t="inlineStr">
        <is>
          <t xml:space="preserve">10022</t>
        </is>
      </c>
      <c r="S448" s="48" t="inlineStr">
        <is>
          <t xml:space="preserve">Tier 3 - Coastal wind (25-100 miles)</t>
        </is>
      </c>
      <c r="T448" s="36">
        <f>IF($A448="","",IF($S448="","",IFERROR(INDEX('[1]natural catastrophe'!$D$6:$D$17,MATCH($S448,'[1]natural catastrophe'!$B$6:$B$17,0)),"?")))</f>
      </c>
      <c r="U448" s="46" t="inlineStr">
        <is>
          <t xml:space="preserve">2% of agreed value, minimum $10,000</t>
        </is>
      </c>
      <c r="V448" s="48" t="inlineStr">
        <is>
          <t xml:space="preserve">Agreed Value</t>
        </is>
      </c>
      <c r="W448" s="46" t="inlineStr">
        <is>
          <t xml:space="preserve">$1,000</t>
        </is>
      </c>
      <c r="X448" s="48" t="inlineStr">
        <is>
          <t xml:space="preserve">$1,000,000 CSL</t>
        </is>
      </c>
      <c r="Y448" s="46"/>
      <c r="Z448" s="46"/>
      <c r="AA448" s="48" t="inlineStr">
        <is>
          <t xml:space="preserve">Surplus Lines</t>
        </is>
      </c>
      <c r="AB448" s="50">
        <v>12292.21</v>
      </c>
      <c r="AC448" s="51">
        <v>0</v>
      </c>
      <c r="AD448" s="38">
        <f>IF(ISNUMBER($AB448),$AB448*(1+N($AC448)),"")</f>
      </c>
      <c r="AE448" s="50">
        <v>350</v>
      </c>
      <c r="AF448" s="50">
        <v>250</v>
      </c>
      <c r="AG448" s="51"/>
      <c r="AH448" s="39">
        <f>IF(ISNUMBER($AD448),($AD448+$AE448+$AF448)*$AG448,"")</f>
      </c>
      <c r="AI448" s="50"/>
      <c r="AJ448" s="38">
        <f>IF(ISNUMBER($AD448),SUM($AD448:$AH448),"")</f>
      </c>
      <c r="AK448" s="40">
        <f>IF(AND(ISNUMBER($AB448),ISNUMBER($AD448)),IF($AB448&gt;0,$AD448/$AB448,""),"")</f>
      </c>
      <c r="AL448" s="48" t="inlineStr">
        <is>
          <t xml:space="preserve">At technical</t>
        </is>
      </c>
      <c r="AM448" s="41">
        <f>IF(ISNUMBER($AD448),Header!$I$3,"")</f>
      </c>
      <c r="AN448" s="39">
        <f>IF(ISNUMBER($AD448),$AO448+$AP448,"")</f>
      </c>
      <c r="AO448" s="39">
        <f>IF(ISNUMBER($AD448),ROUND($AD448*Header!$K$3,2),"")</f>
      </c>
      <c r="AP448" s="39">
        <f>IF(ISNUMBER($AD448),ROUND($AD448*Header!$M$3,2),"")</f>
      </c>
      <c r="AQ448" s="38">
        <f>IF(ISNUMBER($AD448),ROUND($AD448,2)-$AO448-$AP448,"")</f>
      </c>
      <c r="AR448" s="39">
        <f>IF(ISNUMBER($AD448),IF(Header!$D$34="","?",$AD448*Header!$D$34),"")</f>
      </c>
      <c r="AS448" s="39">
        <f>IF(ISNUMBER($AB448),IF(Header!$D$34="","?",$AB448*Header!$D$34),"")</f>
      </c>
      <c r="AT448" s="42">
        <f>IF(AND(ISNUMBER($AB448),$M448&gt;0),$AB448/$M448*100,"")</f>
      </c>
      <c r="AU448" s="42">
        <f>IF(AND(ISNUMBER($AD448),$M448&gt;0),$AD448/$M448*100,"")</f>
      </c>
      <c r="AV448" s="40">
        <f>IF(AND(ISNUMBER($AB448),ISNUMBER($AD448),ABS($AB448)&gt;0),$AD448/$AB448,"")</f>
      </c>
      <c r="AW448" s="39">
        <f>IF(ISNUMBER($AD448),MAX(0,(1-0.55-Header!$O$3)*Header!$Q$3*$AQ448),"")</f>
      </c>
      <c r="AX448" s="43">
        <f>IF($A448="","",IF(TRIM(IF($A448="","Missing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",""))="","PASS","FAIL: "&amp;TRIM(IF($A448="","Missing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f>
      </c>
      <c r="AY448" s="44">
        <f>IF($M448="","",IF(ISNUMBER($M448),IF($M448&gt;=Header!$C$18,"YES — refer","No"),""))</f>
      </c>
      <c r="AZ448" s="44">
        <f>IF($AD448="","",IF(ISNUMBER($AD448),IF($AD448&lt;Header!$C$20,"BELOW MIN PREMIUM","OK"),""))</f>
      </c>
      <c r="BA448" s="48" t="inlineStr">
        <is>
          <t xml:space="preserve">Yes</t>
        </is>
      </c>
      <c r="BB448" s="48" t="inlineStr">
        <is>
          <t xml:space="preserve">Yes</t>
        </is>
      </c>
      <c r="BC448" s="46" t="inlineStr">
        <is>
          <t xml:space="preserve">Synthetic demo data</t>
        </is>
      </c>
      <c r="BE448" s="45">
        <f>IF(OR($A448="",$L448="",$H448=""),"",IF(AND(LEFT($L448,2)="06",$H448&gt;1945),"FAIL - pre-war class, year "&amp;$H448,IF(AND(LEFT($L448,2)="07",OR($H448&lt;1946,$H448&gt;1972)),"FAIL - 1946-72 class, year "&amp;$H448,IF(AND(LEFT($L448,2)="08",OR($H448&lt;1973,$H448&gt;1999)),"FAIL - 1973-99 class, year "&amp;$H448,IF(AND(LEFT($L448,2)="09",OR($H448&lt;2000,$H448&gt;2010)),"FAIL - 2000-10 class, year "&amp;$H448,"OK")))))</f>
      </c>
      <c r="BF448" s="45">
        <f>IF($AD448="","",IF(ROUND($AO448+$AP448+$AQ448-$AD448,2)=0,"OK","FAIL - out by "&amp;TEXT($AO448+$AP448+$AQ448-$AD448,"$0.00")))</f>
      </c>
    </row>
    <row r="449" spans="1:58" ht="18.75" customHeight="1" x14ac:dyDescent="0.25">
      <c r="A449" s="30" t="inlineStr">
        <is>
          <t xml:space="preserve">CANON-202606-009011</t>
        </is>
      </c>
      <c r="B449" s="30" t="inlineStr">
        <is>
          <t xml:space="preserve">Horace Ashcombe</t>
        </is>
      </c>
      <c r="C449" s="31">
        <v>46186</v>
      </c>
      <c r="D449" s="32" t="inlineStr">
        <is>
          <t xml:space="preserve">Bound - within authority</t>
        </is>
      </c>
      <c r="E449" s="32" t="inlineStr">
        <is>
          <t xml:space="preserve">New business</t>
        </is>
      </c>
      <c r="F449" s="30" t="inlineStr">
        <is>
          <t xml:space="preserve">B1234EXOTIC26</t>
        </is>
      </c>
      <c r="G449" s="33">
        <f>IF($A449="","",IF($C449="","",YEAR($C449)))</f>
      </c>
      <c r="H449" s="34">
        <v>2020</v>
      </c>
      <c r="I449" s="30" t="inlineStr">
        <is>
          <t xml:space="preserve">Bentley</t>
        </is>
      </c>
      <c r="J449" s="30" t="inlineStr">
        <is>
          <t xml:space="preserve">Continental GT</t>
        </is>
      </c>
      <c r="K449" s="30" t="inlineStr">
        <is>
          <t xml:space="preserve">818GS37SSKXYSX9ZW</t>
        </is>
      </c>
      <c r="L449" s="32" t="inlineStr">
        <is>
          <t xml:space="preserve">02 - Sports / GT</t>
        </is>
      </c>
      <c r="M449" s="35">
        <v>1145000</v>
      </c>
      <c r="N449" s="32" t="inlineStr">
        <is>
          <t xml:space="preserve">Personal</t>
        </is>
      </c>
      <c r="O449" s="30" t="inlineStr">
        <is>
          <t xml:space="preserve">Personal - regular use</t>
        </is>
      </c>
      <c r="P449" s="30" t="inlineStr">
        <is>
          <t xml:space="preserve">1,000 - 2,500</t>
        </is>
      </c>
      <c r="Q449" s="30" t="inlineStr">
        <is>
          <t xml:space="preserve">Pennsylvania</t>
        </is>
      </c>
      <c r="R449" s="30" t="inlineStr">
        <is>
          <t xml:space="preserve">19103</t>
        </is>
      </c>
      <c r="S449" s="32" t="inlineStr">
        <is>
          <t xml:space="preserve">Low hazard - inland benign</t>
        </is>
      </c>
      <c r="T449" s="36">
        <f>IF($A449="","",IF($S449="","",IFERROR(INDEX('[1]natural catastrophe'!$D$6:$D$17,MATCH($S449,'[1]natural catastrophe'!$B$6:$B$17,0)),"?")))</f>
      </c>
      <c r="U449" s="30" t="inlineStr">
        <is>
          <t xml:space="preserve">$5,000</t>
        </is>
      </c>
      <c r="V449" s="32" t="inlineStr">
        <is>
          <t xml:space="preserve">Agreed Value</t>
        </is>
      </c>
      <c r="W449" s="30" t="inlineStr">
        <is>
          <t xml:space="preserve">$1,000</t>
        </is>
      </c>
      <c r="X449" s="32" t="inlineStr">
        <is>
          <t xml:space="preserve">$1,000,000 CSL</t>
        </is>
      </c>
      <c r="Y449" s="30"/>
      <c r="Z449" s="30"/>
      <c r="AA449" s="32" t="inlineStr">
        <is>
          <t xml:space="preserve">Surplus Lines</t>
        </is>
      </c>
      <c r="AB449" s="35">
        <v>9087.41</v>
      </c>
      <c r="AC449" s="37">
        <v>0</v>
      </c>
      <c r="AD449" s="38">
        <f>IF(ISNUMBER($AB449),$AB449*(1+N($AC449)),"")</f>
      </c>
      <c r="AE449" s="35">
        <v>350</v>
      </c>
      <c r="AF449" s="35">
        <v>250</v>
      </c>
      <c r="AG449" s="37"/>
      <c r="AH449" s="39">
        <f>IF(ISNUMBER($AD449),($AD449+$AE449+$AF449)*$AG449,"")</f>
      </c>
      <c r="AI449" s="35"/>
      <c r="AJ449" s="38">
        <f>IF(ISNUMBER($AD449),SUM($AD449:$AH449),"")</f>
      </c>
      <c r="AK449" s="40">
        <f>IF(AND(ISNUMBER($AB449),ISNUMBER($AD449)),IF($AB449&gt;0,$AD449/$AB449,""),"")</f>
      </c>
      <c r="AL449" s="32" t="inlineStr">
        <is>
          <t xml:space="preserve">At technical</t>
        </is>
      </c>
      <c r="AM449" s="41">
        <f>IF(ISNUMBER($AD449),Header!$I$3,"")</f>
      </c>
      <c r="AN449" s="39">
        <f>IF(ISNUMBER($AD449),$AO449+$AP449,"")</f>
      </c>
      <c r="AO449" s="39">
        <f>IF(ISNUMBER($AD449),ROUND($AD449*Header!$K$3,2),"")</f>
      </c>
      <c r="AP449" s="39">
        <f>IF(ISNUMBER($AD449),ROUND($AD449*Header!$M$3,2),"")</f>
      </c>
      <c r="AQ449" s="38">
        <f>IF(ISNUMBER($AD449),ROUND($AD449,2)-$AO449-$AP449,"")</f>
      </c>
      <c r="AR449" s="39">
        <f>IF(ISNUMBER($AD449),IF(Header!$D$34="","?",$AD449*Header!$D$34),"")</f>
      </c>
      <c r="AS449" s="39">
        <f>IF(ISNUMBER($AB449),IF(Header!$D$34="","?",$AB449*Header!$D$34),"")</f>
      </c>
      <c r="AT449" s="42">
        <f>IF(AND(ISNUMBER($AB449),$M449&gt;0),$AB449/$M449*100,"")</f>
      </c>
      <c r="AU449" s="42">
        <f>IF(AND(ISNUMBER($AD449),$M449&gt;0),$AD449/$M449*100,"")</f>
      </c>
      <c r="AV449" s="40">
        <f>IF(AND(ISNUMBER($AB449),ISNUMBER($AD449),ABS($AB449)&gt;0),$AD449/$AB449,"")</f>
      </c>
      <c r="AW449" s="39">
        <f>IF(ISNUMBER($AD449),MAX(0,(1-0.55-Header!$O$3)*Header!$Q$3*$AQ449),"")</f>
      </c>
      <c r="AX449" s="43">
        <f>IF($A449="","",IF(TRIM(IF($A449="","Missing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",""))="","PASS","FAIL: "&amp;TRIM(IF($A449="","Missing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f>
      </c>
      <c r="AY449" s="44">
        <f>IF($M449="","",IF(ISNUMBER($M449),IF($M449&gt;=Header!$C$18,"YES — refer","No"),""))</f>
      </c>
      <c r="AZ449" s="44">
        <f>IF($AD449="","",IF(ISNUMBER($AD449),IF($AD449&lt;Header!$C$20,"BELOW MIN PREMIUM","OK"),""))</f>
      </c>
      <c r="BA449" s="32" t="inlineStr">
        <is>
          <t xml:space="preserve">Yes</t>
        </is>
      </c>
      <c r="BB449" s="32" t="inlineStr">
        <is>
          <t xml:space="preserve">Yes</t>
        </is>
      </c>
      <c r="BC449" s="30" t="inlineStr">
        <is>
          <t xml:space="preserve">Synthetic demo data</t>
        </is>
      </c>
      <c r="BE449" s="45">
        <f>IF(OR($A449="",$L449="",$H449=""),"",IF(AND(LEFT($L449,2)="06",$H449&gt;1945),"FAIL - pre-war class, year "&amp;$H449,IF(AND(LEFT($L449,2)="07",OR($H449&lt;1946,$H449&gt;1972)),"FAIL - 1946-72 class, year "&amp;$H449,IF(AND(LEFT($L449,2)="08",OR($H449&lt;1973,$H449&gt;1999)),"FAIL - 1973-99 class, year "&amp;$H449,IF(AND(LEFT($L449,2)="09",OR($H449&lt;2000,$H449&gt;2010)),"FAIL - 2000-10 class, year "&amp;$H449,"OK")))))</f>
      </c>
      <c r="BF449" s="45">
        <f>IF($AD449="","",IF(ROUND($AO449+$AP449+$AQ449-$AD449,2)=0,"OK","FAIL - out by "&amp;TEXT($AO449+$AP449+$AQ449-$AD449,"$0.00")))</f>
      </c>
    </row>
    <row r="450" spans="1:58" ht="18.75" customHeight="1" x14ac:dyDescent="0.25">
      <c r="A450" s="46" t="inlineStr">
        <is>
          <t xml:space="preserve">CANON-202606-009013</t>
        </is>
      </c>
      <c r="B450" s="46" t="inlineStr">
        <is>
          <t xml:space="preserve">Mireille Pennington</t>
        </is>
      </c>
      <c r="C450" s="47">
        <v>46179</v>
      </c>
      <c r="D450" s="48" t="inlineStr">
        <is>
          <t xml:space="preserve">Bound - within authority</t>
        </is>
      </c>
      <c r="E450" s="48" t="inlineStr">
        <is>
          <t xml:space="preserve">New business</t>
        </is>
      </c>
      <c r="F450" s="46" t="inlineStr">
        <is>
          <t xml:space="preserve">B1234EXOTIC26</t>
        </is>
      </c>
      <c r="G450" s="33">
        <f>IF($A450="","",IF($C450="","",YEAR($C450)))</f>
      </c>
      <c r="H450" s="49">
        <v>1967</v>
      </c>
      <c r="I450" s="46" t="inlineStr">
        <is>
          <t xml:space="preserve">Aston Martin</t>
        </is>
      </c>
      <c r="J450" s="46" t="inlineStr">
        <is>
          <t xml:space="preserve">DB12</t>
        </is>
      </c>
      <c r="K450" s="46" t="inlineStr">
        <is>
          <t xml:space="preserve">YN63C3LC80P7KXHP6</t>
        </is>
      </c>
      <c r="L450" s="48" t="inlineStr">
        <is>
          <t xml:space="preserve">02 - Sports / GT</t>
        </is>
      </c>
      <c r="M450" s="50">
        <v>310000</v>
      </c>
      <c r="N450" s="48" t="inlineStr">
        <is>
          <t xml:space="preserve">Personal</t>
        </is>
      </c>
      <c r="O450" s="46" t="inlineStr">
        <is>
          <t xml:space="preserve">Personal - regular use</t>
        </is>
      </c>
      <c r="P450" s="46" t="inlineStr">
        <is>
          <t xml:space="preserve">1,000 - 2,500</t>
        </is>
      </c>
      <c r="Q450" s="46" t="inlineStr">
        <is>
          <t xml:space="preserve">Colorado</t>
        </is>
      </c>
      <c r="R450" s="46" t="inlineStr">
        <is>
          <t xml:space="preserve">80202</t>
        </is>
      </c>
      <c r="S450" s="48" t="inlineStr">
        <is>
          <t xml:space="preserve">Severe convective - hail alley (high)</t>
        </is>
      </c>
      <c r="T450" s="36">
        <f>IF($A450="","",IF($S450="","",IFERROR(INDEX('[1]natural catastrophe'!$D$6:$D$17,MATCH($S450,'[1]natural catastrophe'!$B$6:$B$17,0)),"?")))</f>
      </c>
      <c r="U450" s="46" t="inlineStr">
        <is>
          <t xml:space="preserve">$5,000</t>
        </is>
      </c>
      <c r="V450" s="48" t="inlineStr">
        <is>
          <t xml:space="preserve">Agreed Value</t>
        </is>
      </c>
      <c r="W450" s="46" t="inlineStr">
        <is>
          <t xml:space="preserve">$1,000</t>
        </is>
      </c>
      <c r="X450" s="48" t="inlineStr">
        <is>
          <t xml:space="preserve">$1,000,000 CSL</t>
        </is>
      </c>
      <c r="Y450" s="46"/>
      <c r="Z450" s="46"/>
      <c r="AA450" s="48" t="inlineStr">
        <is>
          <t xml:space="preserve">Surplus Lines</t>
        </is>
      </c>
      <c r="AB450" s="50">
        <v>3690.52</v>
      </c>
      <c r="AC450" s="51">
        <v>0</v>
      </c>
      <c r="AD450" s="38">
        <f>IF(ISNUMBER($AB450),$AB450*(1+N($AC450)),"")</f>
      </c>
      <c r="AE450" s="50">
        <v>350</v>
      </c>
      <c r="AF450" s="50">
        <v>0</v>
      </c>
      <c r="AG450" s="51"/>
      <c r="AH450" s="39">
        <f>IF(ISNUMBER($AD450),($AD450+$AE450+$AF450)*$AG450,"")</f>
      </c>
      <c r="AI450" s="50"/>
      <c r="AJ450" s="38">
        <f>IF(ISNUMBER($AD450),SUM($AD450:$AH450),"")</f>
      </c>
      <c r="AK450" s="40">
        <f>IF(AND(ISNUMBER($AB450),ISNUMBER($AD450)),IF($AB450&gt;0,$AD450/$AB450,""),"")</f>
      </c>
      <c r="AL450" s="48" t="inlineStr">
        <is>
          <t xml:space="preserve">At technical</t>
        </is>
      </c>
      <c r="AM450" s="41">
        <f>IF(ISNUMBER($AD450),Header!$I$3,"")</f>
      </c>
      <c r="AN450" s="39">
        <f>IF(ISNUMBER($AD450),$AO450+$AP450,"")</f>
      </c>
      <c r="AO450" s="39">
        <f>IF(ISNUMBER($AD450),ROUND($AD450*Header!$K$3,2),"")</f>
      </c>
      <c r="AP450" s="39">
        <f>IF(ISNUMBER($AD450),ROUND($AD450*Header!$M$3,2),"")</f>
      </c>
      <c r="AQ450" s="38">
        <f>IF(ISNUMBER($AD450),ROUND($AD450,2)-$AO450-$AP450,"")</f>
      </c>
      <c r="AR450" s="39">
        <f>IF(ISNUMBER($AD450),IF(Header!$D$34="","?",$AD450*Header!$D$34),"")</f>
      </c>
      <c r="AS450" s="39">
        <f>IF(ISNUMBER($AB450),IF(Header!$D$34="","?",$AB450*Header!$D$34),"")</f>
      </c>
      <c r="AT450" s="42">
        <f>IF(AND(ISNUMBER($AB450),$M450&gt;0),$AB450/$M450*100,"")</f>
      </c>
      <c r="AU450" s="42">
        <f>IF(AND(ISNUMBER($AD450),$M450&gt;0),$AD450/$M450*100,"")</f>
      </c>
      <c r="AV450" s="40">
        <f>IF(AND(ISNUMBER($AB450),ISNUMBER($AD450),ABS($AB450)&gt;0),$AD450/$AB450,"")</f>
      </c>
      <c r="AW450" s="39">
        <f>IF(ISNUMBER($AD450),MAX(0,(1-0.55-Header!$O$3)*Header!$Q$3*$AQ450),"")</f>
      </c>
      <c r="AX450" s="43">
        <f>IF($A450="","",IF(TRIM(IF($A450="","Missing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",""))="","PASS","FAIL: "&amp;TRIM(IF($A450="","Missing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f>
      </c>
      <c r="AY450" s="44">
        <f>IF($M450="","",IF(ISNUMBER($M450),IF($M450&gt;=Header!$C$18,"YES — refer","No"),""))</f>
      </c>
      <c r="AZ450" s="44">
        <f>IF($AD450="","",IF(ISNUMBER($AD450),IF($AD450&lt;Header!$C$20,"BELOW MIN PREMIUM","OK"),""))</f>
      </c>
      <c r="BA450" s="48" t="inlineStr">
        <is>
          <t xml:space="preserve">Yes</t>
        </is>
      </c>
      <c r="BB450" s="48" t="inlineStr">
        <is>
          <t xml:space="preserve">Yes</t>
        </is>
      </c>
      <c r="BC450" s="46" t="inlineStr">
        <is>
          <t xml:space="preserve">Synthetic demo data</t>
        </is>
      </c>
      <c r="BE450" s="45">
        <f>IF(OR($A450="",$L450="",$H450=""),"",IF(AND(LEFT($L450,2)="06",$H450&gt;1945),"FAIL - pre-war class, year "&amp;$H450,IF(AND(LEFT($L450,2)="07",OR($H450&lt;1946,$H450&gt;1972)),"FAIL - 1946-72 class, year "&amp;$H450,IF(AND(LEFT($L450,2)="08",OR($H450&lt;1973,$H450&gt;1999)),"FAIL - 1973-99 class, year "&amp;$H450,IF(AND(LEFT($L450,2)="09",OR($H450&lt;2000,$H450&gt;2010)),"FAIL - 2000-10 class, year "&amp;$H450,"OK")))))</f>
      </c>
      <c r="BF450" s="45">
        <f>IF($AD450="","",IF(ROUND($AO450+$AP450+$AQ450-$AD450,2)=0,"OK","FAIL - out by "&amp;TEXT($AO450+$AP450+$AQ450-$AD450,"$0.00")))</f>
      </c>
    </row>
    <row r="451" spans="1:58" ht="18.75" customHeight="1" x14ac:dyDescent="0.25">
      <c r="A451" s="30" t="inlineStr">
        <is>
          <t xml:space="preserve">CANON-202606-009014</t>
        </is>
      </c>
      <c r="B451" s="30" t="inlineStr">
        <is>
          <t xml:space="preserve">Aurelio Vasquez</t>
        </is>
      </c>
      <c r="C451" s="31">
        <v>46182</v>
      </c>
      <c r="D451" s="32" t="inlineStr">
        <is>
          <t xml:space="preserve">Bound - within authority</t>
        </is>
      </c>
      <c r="E451" s="32" t="inlineStr">
        <is>
          <t xml:space="preserve">New business</t>
        </is>
      </c>
      <c r="F451" s="30" t="inlineStr">
        <is>
          <t xml:space="preserve">B1234EXOTIC26</t>
        </is>
      </c>
      <c r="G451" s="33">
        <f>IF($A451="","",IF($C451="","",YEAR($C451)))</f>
      </c>
      <c r="H451" s="34">
        <v>1983</v>
      </c>
      <c r="I451" s="30" t="inlineStr">
        <is>
          <t xml:space="preserve">BMW</t>
        </is>
      </c>
      <c r="J451" s="30" t="inlineStr">
        <is>
          <t xml:space="preserve">M8 Competition</t>
        </is>
      </c>
      <c r="K451" s="30" t="inlineStr">
        <is>
          <t xml:space="preserve">C4BPZJ1ZHD8Y7KX6F</t>
        </is>
      </c>
      <c r="L451" s="32" t="inlineStr">
        <is>
          <t xml:space="preserve">02 - Sports / GT</t>
        </is>
      </c>
      <c r="M451" s="35">
        <v>710000</v>
      </c>
      <c r="N451" s="32" t="inlineStr">
        <is>
          <t xml:space="preserve">Personal</t>
        </is>
      </c>
      <c r="O451" s="30" t="inlineStr">
        <is>
          <t xml:space="preserve">Personal - regular use</t>
        </is>
      </c>
      <c r="P451" s="30" t="inlineStr">
        <is>
          <t xml:space="preserve">2,500 - 5,000</t>
        </is>
      </c>
      <c r="Q451" s="30" t="inlineStr">
        <is>
          <t xml:space="preserve">Illinois</t>
        </is>
      </c>
      <c r="R451" s="30" t="inlineStr">
        <is>
          <t xml:space="preserve">60601</t>
        </is>
      </c>
      <c r="S451" s="32" t="inlineStr">
        <is>
          <t xml:space="preserve">Severe convective - hail / tornado (moderate)</t>
        </is>
      </c>
      <c r="T451" s="36">
        <f>IF($A451="","",IF($S451="","",IFERROR(INDEX('[1]natural catastrophe'!$D$6:$D$17,MATCH($S451,'[1]natural catastrophe'!$B$6:$B$17,0)),"?")))</f>
      </c>
      <c r="U451" s="30" t="inlineStr">
        <is>
          <t xml:space="preserve">$5,000</t>
        </is>
      </c>
      <c r="V451" s="32" t="inlineStr">
        <is>
          <t xml:space="preserve">Agreed Value</t>
        </is>
      </c>
      <c r="W451" s="30" t="inlineStr">
        <is>
          <t xml:space="preserve">$1,000</t>
        </is>
      </c>
      <c r="X451" s="32" t="inlineStr">
        <is>
          <t xml:space="preserve">$1,000,000 CSL</t>
        </is>
      </c>
      <c r="Y451" s="30"/>
      <c r="Z451" s="30"/>
      <c r="AA451" s="32" t="inlineStr">
        <is>
          <t xml:space="preserve">Surplus Lines</t>
        </is>
      </c>
      <c r="AB451" s="35">
        <v>9056.96</v>
      </c>
      <c r="AC451" s="37">
        <v>0</v>
      </c>
      <c r="AD451" s="38">
        <f>IF(ISNUMBER($AB451),$AB451*(1+N($AC451)),"")</f>
      </c>
      <c r="AE451" s="35">
        <v>350</v>
      </c>
      <c r="AF451" s="35">
        <v>0</v>
      </c>
      <c r="AG451" s="37"/>
      <c r="AH451" s="39">
        <f>IF(ISNUMBER($AD451),($AD451+$AE451+$AF451)*$AG451,"")</f>
      </c>
      <c r="AI451" s="35"/>
      <c r="AJ451" s="38">
        <f>IF(ISNUMBER($AD451),SUM($AD451:$AH451),"")</f>
      </c>
      <c r="AK451" s="40">
        <f>IF(AND(ISNUMBER($AB451),ISNUMBER($AD451)),IF($AB451&gt;0,$AD451/$AB451,""),"")</f>
      </c>
      <c r="AL451" s="32" t="inlineStr">
        <is>
          <t xml:space="preserve">At technical</t>
        </is>
      </c>
      <c r="AM451" s="41">
        <f>IF(ISNUMBER($AD451),Header!$I$3,"")</f>
      </c>
      <c r="AN451" s="39">
        <f>IF(ISNUMBER($AD451),$AO451+$AP451,"")</f>
      </c>
      <c r="AO451" s="39">
        <f>IF(ISNUMBER($AD451),ROUND($AD451*Header!$K$3,2),"")</f>
      </c>
      <c r="AP451" s="39">
        <f>IF(ISNUMBER($AD451),ROUND($AD451*Header!$M$3,2),"")</f>
      </c>
      <c r="AQ451" s="38">
        <f>IF(ISNUMBER($AD451),ROUND($AD451,2)-$AO451-$AP451,"")</f>
      </c>
      <c r="AR451" s="39">
        <f>IF(ISNUMBER($AD451),IF(Header!$D$34="","?",$AD451*Header!$D$34),"")</f>
      </c>
      <c r="AS451" s="39">
        <f>IF(ISNUMBER($AB451),IF(Header!$D$34="","?",$AB451*Header!$D$34),"")</f>
      </c>
      <c r="AT451" s="42">
        <f>IF(AND(ISNUMBER($AB451),$M451&gt;0),$AB451/$M451*100,"")</f>
      </c>
      <c r="AU451" s="42">
        <f>IF(AND(ISNUMBER($AD451),$M451&gt;0),$AD451/$M451*100,"")</f>
      </c>
      <c r="AV451" s="40">
        <f>IF(AND(ISNUMBER($AB451),ISNUMBER($AD451),ABS($AB451)&gt;0),$AD451/$AB451,"")</f>
      </c>
      <c r="AW451" s="39">
        <f>IF(ISNUMBER($AD451),MAX(0,(1-0.55-Header!$O$3)*Header!$Q$3*$AQ451),"")</f>
      </c>
      <c r="AX451" s="43">
        <f>IF($A451="","",IF(TRIM(IF($A451="","Missing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",""))="","PASS","FAIL: "&amp;TRIM(IF($A451="","Missing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f>
      </c>
      <c r="AY451" s="44">
        <f>IF($M451="","",IF(ISNUMBER($M451),IF($M451&gt;=Header!$C$18,"YES — refer","No"),""))</f>
      </c>
      <c r="AZ451" s="44">
        <f>IF($AD451="","",IF(ISNUMBER($AD451),IF($AD451&lt;Header!$C$20,"BELOW MIN PREMIUM","OK"),""))</f>
      </c>
      <c r="BA451" s="32" t="inlineStr">
        <is>
          <t xml:space="preserve">Yes</t>
        </is>
      </c>
      <c r="BB451" s="32" t="inlineStr">
        <is>
          <t xml:space="preserve">Yes</t>
        </is>
      </c>
      <c r="BC451" s="30" t="inlineStr">
        <is>
          <t xml:space="preserve">Synthetic demo data</t>
        </is>
      </c>
      <c r="BE451" s="45">
        <f>IF(OR($A451="",$L451="",$H451=""),"",IF(AND(LEFT($L451,2)="06",$H451&gt;1945),"FAIL - pre-war class, year "&amp;$H451,IF(AND(LEFT($L451,2)="07",OR($H451&lt;1946,$H451&gt;1972)),"FAIL - 1946-72 class, year "&amp;$H451,IF(AND(LEFT($L451,2)="08",OR($H451&lt;1973,$H451&gt;1999)),"FAIL - 1973-99 class, year "&amp;$H451,IF(AND(LEFT($L451,2)="09",OR($H451&lt;2000,$H451&gt;2010)),"FAIL - 2000-10 class, year "&amp;$H451,"OK")))))</f>
      </c>
      <c r="BF451" s="45">
        <f>IF($AD451="","",IF(ROUND($AO451+$AP451+$AQ451-$AD451,2)=0,"OK","FAIL - out by "&amp;TEXT($AO451+$AP451+$AQ451-$AD451,"$0.00")))</f>
      </c>
    </row>
    <row r="452" spans="1:58" ht="18.75" customHeight="1" x14ac:dyDescent="0.25">
      <c r="A452" s="46" t="inlineStr">
        <is>
          <t xml:space="preserve">CANON-202606-009015</t>
        </is>
      </c>
      <c r="B452" s="46" t="inlineStr">
        <is>
          <t xml:space="preserve">Ingrid Larsson</t>
        </is>
      </c>
      <c r="C452" s="47">
        <v>46187</v>
      </c>
      <c r="D452" s="48" t="inlineStr">
        <is>
          <t xml:space="preserve">Bound - within authority</t>
        </is>
      </c>
      <c r="E452" s="48" t="inlineStr">
        <is>
          <t xml:space="preserve">New business</t>
        </is>
      </c>
      <c r="F452" s="46" t="inlineStr">
        <is>
          <t xml:space="preserve">B1234EXOTIC26</t>
        </is>
      </c>
      <c r="G452" s="33">
        <f>IF($A452="","",IF($C452="","",YEAR($C452)))</f>
      </c>
      <c r="H452" s="49">
        <v>1979</v>
      </c>
      <c r="I452" s="46" t="inlineStr">
        <is>
          <t xml:space="preserve">Bentley</t>
        </is>
      </c>
      <c r="J452" s="46" t="inlineStr">
        <is>
          <t xml:space="preserve">Continental GT</t>
        </is>
      </c>
      <c r="K452" s="46" t="inlineStr">
        <is>
          <t xml:space="preserve">M6Z6PJDT6HW8KSEK8</t>
        </is>
      </c>
      <c r="L452" s="48" t="inlineStr">
        <is>
          <t xml:space="preserve">02 - Sports / GT</t>
        </is>
      </c>
      <c r="M452" s="50">
        <v>645000</v>
      </c>
      <c r="N452" s="48" t="inlineStr">
        <is>
          <t xml:space="preserve">Personal</t>
        </is>
      </c>
      <c r="O452" s="46" t="inlineStr">
        <is>
          <t xml:space="preserve">Personal - regular use</t>
        </is>
      </c>
      <c r="P452" s="46" t="inlineStr">
        <is>
          <t xml:space="preserve">2,500 - 5,000</t>
        </is>
      </c>
      <c r="Q452" s="46" t="inlineStr">
        <is>
          <t xml:space="preserve">Pennsylvania</t>
        </is>
      </c>
      <c r="R452" s="46" t="inlineStr">
        <is>
          <t xml:space="preserve">19103</t>
        </is>
      </c>
      <c r="S452" s="48" t="inlineStr">
        <is>
          <t xml:space="preserve">Low hazard - inland benign</t>
        </is>
      </c>
      <c r="T452" s="36">
        <f>IF($A452="","",IF($S452="","",IFERROR(INDEX('[1]natural catastrophe'!$D$6:$D$17,MATCH($S452,'[1]natural catastrophe'!$B$6:$B$17,0)),"?")))</f>
      </c>
      <c r="U452" s="46" t="inlineStr">
        <is>
          <t xml:space="preserve">$5,000</t>
        </is>
      </c>
      <c r="V452" s="48" t="inlineStr">
        <is>
          <t xml:space="preserve">Agreed Value</t>
        </is>
      </c>
      <c r="W452" s="46" t="inlineStr">
        <is>
          <t xml:space="preserve">$1,000</t>
        </is>
      </c>
      <c r="X452" s="48" t="inlineStr">
        <is>
          <t xml:space="preserve">$1,000,000 CSL</t>
        </is>
      </c>
      <c r="Y452" s="46"/>
      <c r="Z452" s="46"/>
      <c r="AA452" s="48" t="inlineStr">
        <is>
          <t xml:space="preserve">Surplus Lines</t>
        </is>
      </c>
      <c r="AB452" s="50">
        <v>6049.86</v>
      </c>
      <c r="AC452" s="51">
        <v>0</v>
      </c>
      <c r="AD452" s="38">
        <f>IF(ISNUMBER($AB452),$AB452*(1+N($AC452)),"")</f>
      </c>
      <c r="AE452" s="50">
        <v>350</v>
      </c>
      <c r="AF452" s="50">
        <v>0</v>
      </c>
      <c r="AG452" s="51"/>
      <c r="AH452" s="39">
        <f>IF(ISNUMBER($AD452),($AD452+$AE452+$AF452)*$AG452,"")</f>
      </c>
      <c r="AI452" s="50"/>
      <c r="AJ452" s="38">
        <f>IF(ISNUMBER($AD452),SUM($AD452:$AH452),"")</f>
      </c>
      <c r="AK452" s="40">
        <f>IF(AND(ISNUMBER($AB452),ISNUMBER($AD452)),IF($AB452&gt;0,$AD452/$AB452,""),"")</f>
      </c>
      <c r="AL452" s="48" t="inlineStr">
        <is>
          <t xml:space="preserve">At technical</t>
        </is>
      </c>
      <c r="AM452" s="41">
        <f>IF(ISNUMBER($AD452),Header!$I$3,"")</f>
      </c>
      <c r="AN452" s="39">
        <f>IF(ISNUMBER($AD452),$AO452+$AP452,"")</f>
      </c>
      <c r="AO452" s="39">
        <f>IF(ISNUMBER($AD452),ROUND($AD452*Header!$K$3,2),"")</f>
      </c>
      <c r="AP452" s="39">
        <f>IF(ISNUMBER($AD452),ROUND($AD452*Header!$M$3,2),"")</f>
      </c>
      <c r="AQ452" s="38">
        <f>IF(ISNUMBER($AD452),ROUND($AD452,2)-$AO452-$AP452,"")</f>
      </c>
      <c r="AR452" s="39">
        <f>IF(ISNUMBER($AD452),IF(Header!$D$34="","?",$AD452*Header!$D$34),"")</f>
      </c>
      <c r="AS452" s="39">
        <f>IF(ISNUMBER($AB452),IF(Header!$D$34="","?",$AB452*Header!$D$34),"")</f>
      </c>
      <c r="AT452" s="42">
        <f>IF(AND(ISNUMBER($AB452),$M452&gt;0),$AB452/$M452*100,"")</f>
      </c>
      <c r="AU452" s="42">
        <f>IF(AND(ISNUMBER($AD452),$M452&gt;0),$AD452/$M452*100,"")</f>
      </c>
      <c r="AV452" s="40">
        <f>IF(AND(ISNUMBER($AB452),ISNUMBER($AD452),ABS($AB452)&gt;0),$AD452/$AB452,"")</f>
      </c>
      <c r="AW452" s="39">
        <f>IF(ISNUMBER($AD452),MAX(0,(1-0.55-Header!$O$3)*Header!$Q$3*$AQ452),"")</f>
      </c>
      <c r="AX452" s="43">
        <f>IF($A452="","",IF(TRIM(IF($A452="","Missing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",""))="","PASS","FAIL: "&amp;TRIM(IF($A452="","Missing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f>
      </c>
      <c r="AY452" s="44">
        <f>IF($M452="","",IF(ISNUMBER($M452),IF($M452&gt;=Header!$C$18,"YES — refer","No"),""))</f>
      </c>
      <c r="AZ452" s="44">
        <f>IF($AD452="","",IF(ISNUMBER($AD452),IF($AD452&lt;Header!$C$20,"BELOW MIN PREMIUM","OK"),""))</f>
      </c>
      <c r="BA452" s="48" t="inlineStr">
        <is>
          <t xml:space="preserve">Yes</t>
        </is>
      </c>
      <c r="BB452" s="48" t="inlineStr">
        <is>
          <t xml:space="preserve">Yes</t>
        </is>
      </c>
      <c r="BC452" s="46" t="inlineStr">
        <is>
          <t xml:space="preserve">Synthetic demo data</t>
        </is>
      </c>
      <c r="BE452" s="45">
        <f>IF(OR($A452="",$L452="",$H452=""),"",IF(AND(LEFT($L452,2)="06",$H452&gt;1945),"FAIL - pre-war class, year "&amp;$H452,IF(AND(LEFT($L452,2)="07",OR($H452&lt;1946,$H452&gt;1972)),"FAIL - 1946-72 class, year "&amp;$H452,IF(AND(LEFT($L452,2)="08",OR($H452&lt;1973,$H452&gt;1999)),"FAIL - 1973-99 class, year "&amp;$H452,IF(AND(LEFT($L452,2)="09",OR($H452&lt;2000,$H452&gt;2010)),"FAIL - 2000-10 class, year "&amp;$H452,"OK")))))</f>
      </c>
      <c r="BF452" s="45">
        <f>IF($AD452="","",IF(ROUND($AO452+$AP452+$AQ452-$AD452,2)=0,"OK","FAIL - out by "&amp;TEXT($AO452+$AP452+$AQ452-$AD452,"$0.00")))</f>
      </c>
    </row>
    <row r="453" spans="1:58" ht="18.75" customHeight="1" x14ac:dyDescent="0.25">
      <c r="A453" s="30" t="inlineStr">
        <is>
          <t xml:space="preserve">CANON-202606-009016</t>
        </is>
      </c>
      <c r="B453" s="30" t="inlineStr">
        <is>
          <t xml:space="preserve">Mireille Harrington</t>
        </is>
      </c>
      <c r="C453" s="31">
        <v>46195</v>
      </c>
      <c r="D453" s="32" t="inlineStr">
        <is>
          <t xml:space="preserve">Bound - within authority</t>
        </is>
      </c>
      <c r="E453" s="32" t="inlineStr">
        <is>
          <t xml:space="preserve">New business</t>
        </is>
      </c>
      <c r="F453" s="30" t="inlineStr">
        <is>
          <t xml:space="preserve">B1234EXOTIC26</t>
        </is>
      </c>
      <c r="G453" s="33">
        <f>IF($A453="","",IF($C453="","",YEAR($C453)))</f>
      </c>
      <c r="H453" s="34">
        <v>1977</v>
      </c>
      <c r="I453" s="30" t="inlineStr">
        <is>
          <t xml:space="preserve">Aston Martin</t>
        </is>
      </c>
      <c r="J453" s="30" t="inlineStr">
        <is>
          <t xml:space="preserve">DB5</t>
        </is>
      </c>
      <c r="K453" s="30" t="inlineStr">
        <is>
          <t xml:space="preserve">NCPU2EMK3FK5VZWF4</t>
        </is>
      </c>
      <c r="L453" s="32" t="inlineStr">
        <is>
          <t xml:space="preserve">08 - Modern Classic (1973-1999)</t>
        </is>
      </c>
      <c r="M453" s="35">
        <v>780000</v>
      </c>
      <c r="N453" s="32" t="inlineStr">
        <is>
          <t xml:space="preserve">Personal</t>
        </is>
      </c>
      <c r="O453" s="30" t="inlineStr">
        <is>
          <t xml:space="preserve">Personal - regular use</t>
        </is>
      </c>
      <c r="P453" s="30" t="inlineStr">
        <is>
          <t xml:space="preserve">2,500 - 5,000</t>
        </is>
      </c>
      <c r="Q453" s="30" t="inlineStr">
        <is>
          <t xml:space="preserve">Illinois</t>
        </is>
      </c>
      <c r="R453" s="30" t="inlineStr">
        <is>
          <t xml:space="preserve">60601</t>
        </is>
      </c>
      <c r="S453" s="32" t="inlineStr">
        <is>
          <t xml:space="preserve">Severe convective - hail / tornado (moderate)</t>
        </is>
      </c>
      <c r="T453" s="36">
        <f>IF($A453="","",IF($S453="","",IFERROR(INDEX('[1]natural catastrophe'!$D$6:$D$17,MATCH($S453,'[1]natural catastrophe'!$B$6:$B$17,0)),"?")))</f>
      </c>
      <c r="U453" s="30" t="inlineStr">
        <is>
          <t xml:space="preserve">$5,000</t>
        </is>
      </c>
      <c r="V453" s="32" t="inlineStr">
        <is>
          <t xml:space="preserve">Agreed Value</t>
        </is>
      </c>
      <c r="W453" s="30" t="inlineStr">
        <is>
          <t xml:space="preserve">$1,000</t>
        </is>
      </c>
      <c r="X453" s="32" t="inlineStr">
        <is>
          <t xml:space="preserve">$1,000,000 CSL</t>
        </is>
      </c>
      <c r="Y453" s="30"/>
      <c r="Z453" s="30"/>
      <c r="AA453" s="32" t="inlineStr">
        <is>
          <t xml:space="preserve">Surplus Lines</t>
        </is>
      </c>
      <c r="AB453" s="35">
        <v>6582.24</v>
      </c>
      <c r="AC453" s="37">
        <v>0</v>
      </c>
      <c r="AD453" s="38">
        <f>IF(ISNUMBER($AB453),$AB453*(1+N($AC453)),"")</f>
      </c>
      <c r="AE453" s="35">
        <v>350</v>
      </c>
      <c r="AF453" s="35">
        <v>0</v>
      </c>
      <c r="AG453" s="37"/>
      <c r="AH453" s="39">
        <f>IF(ISNUMBER($AD453),($AD453+$AE453+$AF453)*$AG453,"")</f>
      </c>
      <c r="AI453" s="35"/>
      <c r="AJ453" s="38">
        <f>IF(ISNUMBER($AD453),SUM($AD453:$AH453),"")</f>
      </c>
      <c r="AK453" s="40">
        <f>IF(AND(ISNUMBER($AB453),ISNUMBER($AD453)),IF($AB453&gt;0,$AD453/$AB453,""),"")</f>
      </c>
      <c r="AL453" s="32" t="inlineStr">
        <is>
          <t xml:space="preserve">At technical</t>
        </is>
      </c>
      <c r="AM453" s="41">
        <f>IF(ISNUMBER($AD453),Header!$I$3,"")</f>
      </c>
      <c r="AN453" s="39">
        <f>IF(ISNUMBER($AD453),$AO453+$AP453,"")</f>
      </c>
      <c r="AO453" s="39">
        <f>IF(ISNUMBER($AD453),ROUND($AD453*Header!$K$3,2),"")</f>
      </c>
      <c r="AP453" s="39">
        <f>IF(ISNUMBER($AD453),ROUND($AD453*Header!$M$3,2),"")</f>
      </c>
      <c r="AQ453" s="38">
        <f>IF(ISNUMBER($AD453),ROUND($AD453,2)-$AO453-$AP453,"")</f>
      </c>
      <c r="AR453" s="39">
        <f>IF(ISNUMBER($AD453),IF(Header!$D$34="","?",$AD453*Header!$D$34),"")</f>
      </c>
      <c r="AS453" s="39">
        <f>IF(ISNUMBER($AB453),IF(Header!$D$34="","?",$AB453*Header!$D$34),"")</f>
      </c>
      <c r="AT453" s="42">
        <f>IF(AND(ISNUMBER($AB453),$M453&gt;0),$AB453/$M453*100,"")</f>
      </c>
      <c r="AU453" s="42">
        <f>IF(AND(ISNUMBER($AD453),$M453&gt;0),$AD453/$M453*100,"")</f>
      </c>
      <c r="AV453" s="40">
        <f>IF(AND(ISNUMBER($AB453),ISNUMBER($AD453),ABS($AB453)&gt;0),$AD453/$AB453,"")</f>
      </c>
      <c r="AW453" s="39">
        <f>IF(ISNUMBER($AD453),MAX(0,(1-0.55-Header!$O$3)*Header!$Q$3*$AQ453),"")</f>
      </c>
      <c r="AX453" s="43">
        <f>IF($A453="","",IF(TRIM(IF($A453="","Missing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",""))="","PASS","FAIL: "&amp;TRIM(IF($A453="","Missing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f>
      </c>
      <c r="AY453" s="44">
        <f>IF($M453="","",IF(ISNUMBER($M453),IF($M453&gt;=Header!$C$18,"YES — refer","No"),""))</f>
      </c>
      <c r="AZ453" s="44">
        <f>IF($AD453="","",IF(ISNUMBER($AD453),IF($AD453&lt;Header!$C$20,"BELOW MIN PREMIUM","OK"),""))</f>
      </c>
      <c r="BA453" s="32" t="inlineStr">
        <is>
          <t xml:space="preserve">Yes</t>
        </is>
      </c>
      <c r="BB453" s="32" t="inlineStr">
        <is>
          <t xml:space="preserve">Yes</t>
        </is>
      </c>
      <c r="BC453" s="30" t="inlineStr">
        <is>
          <t xml:space="preserve">Synthetic demo data</t>
        </is>
      </c>
      <c r="BE453" s="45">
        <f>IF(OR($A453="",$L453="",$H453=""),"",IF(AND(LEFT($L453,2)="06",$H453&gt;1945),"FAIL - pre-war class, year "&amp;$H453,IF(AND(LEFT($L453,2)="07",OR($H453&lt;1946,$H453&gt;1972)),"FAIL - 1946-72 class, year "&amp;$H453,IF(AND(LEFT($L453,2)="08",OR($H453&lt;1973,$H453&gt;1999)),"FAIL - 1973-99 class, year "&amp;$H453,IF(AND(LEFT($L453,2)="09",OR($H453&lt;2000,$H453&gt;2010)),"FAIL - 2000-10 class, year "&amp;$H453,"OK")))))</f>
      </c>
      <c r="BF453" s="45">
        <f>IF($AD453="","",IF(ROUND($AO453+$AP453+$AQ453-$AD453,2)=0,"OK","FAIL - out by "&amp;TEXT($AO453+$AP453+$AQ453-$AD453,"$0.00")))</f>
      </c>
    </row>
    <row r="454" spans="1:58" ht="18.75" customHeight="1" x14ac:dyDescent="0.25">
      <c r="A454" s="46" t="inlineStr">
        <is>
          <t xml:space="preserve">CANON-202606-009017</t>
        </is>
      </c>
      <c r="B454" s="46" t="inlineStr">
        <is>
          <t xml:space="preserve">Aurelio Rourke</t>
        </is>
      </c>
      <c r="C454" s="47">
        <v>46189</v>
      </c>
      <c r="D454" s="48" t="inlineStr">
        <is>
          <t xml:space="preserve">Bound - within authority</t>
        </is>
      </c>
      <c r="E454" s="48" t="inlineStr">
        <is>
          <t xml:space="preserve">New business</t>
        </is>
      </c>
      <c r="F454" s="46" t="inlineStr">
        <is>
          <t xml:space="preserve">B1234EXOTIC26</t>
        </is>
      </c>
      <c r="G454" s="33">
        <f>IF($A454="","",IF($C454="","",YEAR($C454)))</f>
      </c>
      <c r="H454" s="49">
        <v>2017</v>
      </c>
      <c r="I454" s="46" t="inlineStr">
        <is>
          <t xml:space="preserve">Aston Martin</t>
        </is>
      </c>
      <c r="J454" s="46" t="inlineStr">
        <is>
          <t xml:space="preserve">DB12</t>
        </is>
      </c>
      <c r="K454" s="46" t="inlineStr">
        <is>
          <t xml:space="preserve">E3EHURWK3HCV1JRCE</t>
        </is>
      </c>
      <c r="L454" s="48" t="inlineStr">
        <is>
          <t xml:space="preserve">02 - Sports / GT</t>
        </is>
      </c>
      <c r="M454" s="50">
        <v>1885000</v>
      </c>
      <c r="N454" s="48" t="inlineStr">
        <is>
          <t xml:space="preserve">Personal</t>
        </is>
      </c>
      <c r="O454" s="46" t="inlineStr">
        <is>
          <t xml:space="preserve">Personal - regular use</t>
        </is>
      </c>
      <c r="P454" s="46" t="inlineStr">
        <is>
          <t xml:space="preserve">Under 1,000</t>
        </is>
      </c>
      <c r="Q454" s="46" t="inlineStr">
        <is>
          <t xml:space="preserve">Indiana</t>
        </is>
      </c>
      <c r="R454" s="46" t="inlineStr">
        <is>
          <t xml:space="preserve">46204</t>
        </is>
      </c>
      <c r="S454" s="48" t="inlineStr">
        <is>
          <t xml:space="preserve">Severe convective - hail / tornado (moderate)</t>
        </is>
      </c>
      <c r="T454" s="36">
        <f>IF($A454="","",IF($S454="","",IFERROR(INDEX('[1]natural catastrophe'!$D$6:$D$17,MATCH($S454,'[1]natural catastrophe'!$B$6:$B$17,0)),"?")))</f>
      </c>
      <c r="U454" s="46" t="inlineStr">
        <is>
          <t xml:space="preserve">$5,000</t>
        </is>
      </c>
      <c r="V454" s="48" t="inlineStr">
        <is>
          <t xml:space="preserve">Agreed Value</t>
        </is>
      </c>
      <c r="W454" s="46" t="inlineStr">
        <is>
          <t xml:space="preserve">$1,000</t>
        </is>
      </c>
      <c r="X454" s="48" t="inlineStr">
        <is>
          <t xml:space="preserve">$1,000,000 CSL</t>
        </is>
      </c>
      <c r="Y454" s="46"/>
      <c r="Z454" s="46"/>
      <c r="AA454" s="48" t="inlineStr">
        <is>
          <t xml:space="preserve">Surplus Lines</t>
        </is>
      </c>
      <c r="AB454" s="50">
        <v>18401.41</v>
      </c>
      <c r="AC454" s="51">
        <v>0</v>
      </c>
      <c r="AD454" s="38">
        <f>IF(ISNUMBER($AB454),$AB454*(1+N($AC454)),"")</f>
      </c>
      <c r="AE454" s="50">
        <v>350</v>
      </c>
      <c r="AF454" s="50">
        <v>250</v>
      </c>
      <c r="AG454" s="51"/>
      <c r="AH454" s="39">
        <f>IF(ISNUMBER($AD454),($AD454+$AE454+$AF454)*$AG454,"")</f>
      </c>
      <c r="AI454" s="50"/>
      <c r="AJ454" s="38">
        <f>IF(ISNUMBER($AD454),SUM($AD454:$AH454),"")</f>
      </c>
      <c r="AK454" s="40">
        <f>IF(AND(ISNUMBER($AB454),ISNUMBER($AD454)),IF($AB454&gt;0,$AD454/$AB454,""),"")</f>
      </c>
      <c r="AL454" s="48" t="inlineStr">
        <is>
          <t xml:space="preserve">At technical</t>
        </is>
      </c>
      <c r="AM454" s="41">
        <f>IF(ISNUMBER($AD454),Header!$I$3,"")</f>
      </c>
      <c r="AN454" s="39">
        <f>IF(ISNUMBER($AD454),$AO454+$AP454,"")</f>
      </c>
      <c r="AO454" s="39">
        <f>IF(ISNUMBER($AD454),ROUND($AD454*Header!$K$3,2),"")</f>
      </c>
      <c r="AP454" s="39">
        <f>IF(ISNUMBER($AD454),ROUND($AD454*Header!$M$3,2),"")</f>
      </c>
      <c r="AQ454" s="38">
        <f>IF(ISNUMBER($AD454),ROUND($AD454,2)-$AO454-$AP454,"")</f>
      </c>
      <c r="AR454" s="39">
        <f>IF(ISNUMBER($AD454),IF(Header!$D$34="","?",$AD454*Header!$D$34),"")</f>
      </c>
      <c r="AS454" s="39">
        <f>IF(ISNUMBER($AB454),IF(Header!$D$34="","?",$AB454*Header!$D$34),"")</f>
      </c>
      <c r="AT454" s="42">
        <f>IF(AND(ISNUMBER($AB454),$M454&gt;0),$AB454/$M454*100,"")</f>
      </c>
      <c r="AU454" s="42">
        <f>IF(AND(ISNUMBER($AD454),$M454&gt;0),$AD454/$M454*100,"")</f>
      </c>
      <c r="AV454" s="40">
        <f>IF(AND(ISNUMBER($AB454),ISNUMBER($AD454),ABS($AB454)&gt;0),$AD454/$AB454,"")</f>
      </c>
      <c r="AW454" s="39">
        <f>IF(ISNUMBER($AD454),MAX(0,(1-0.55-Header!$O$3)*Header!$Q$3*$AQ454),"")</f>
      </c>
      <c r="AX454" s="43">
        <f>IF($A454="","",IF(TRIM(IF($A454="","Missing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",""))="","PASS","FAIL: "&amp;TRIM(IF($A454="","Missing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f>
      </c>
      <c r="AY454" s="44">
        <f>IF($M454="","",IF(ISNUMBER($M454),IF($M454&gt;=Header!$C$18,"YES — refer","No"),""))</f>
      </c>
      <c r="AZ454" s="44">
        <f>IF($AD454="","",IF(ISNUMBER($AD454),IF($AD454&lt;Header!$C$20,"BELOW MIN PREMIUM","OK"),""))</f>
      </c>
      <c r="BA454" s="48" t="inlineStr">
        <is>
          <t xml:space="preserve">Yes</t>
        </is>
      </c>
      <c r="BB454" s="48" t="inlineStr">
        <is>
          <t xml:space="preserve">Yes</t>
        </is>
      </c>
      <c r="BC454" s="46" t="inlineStr">
        <is>
          <t xml:space="preserve">Synthetic demo data</t>
        </is>
      </c>
      <c r="BE454" s="45">
        <f>IF(OR($A454="",$L454="",$H454=""),"",IF(AND(LEFT($L454,2)="06",$H454&gt;1945),"FAIL - pre-war class, year "&amp;$H454,IF(AND(LEFT($L454,2)="07",OR($H454&lt;1946,$H454&gt;1972)),"FAIL - 1946-72 class, year "&amp;$H454,IF(AND(LEFT($L454,2)="08",OR($H454&lt;1973,$H454&gt;1999)),"FAIL - 1973-99 class, year "&amp;$H454,IF(AND(LEFT($L454,2)="09",OR($H454&lt;2000,$H454&gt;2010)),"FAIL - 2000-10 class, year "&amp;$H454,"OK")))))</f>
      </c>
      <c r="BF454" s="45">
        <f>IF($AD454="","",IF(ROUND($AO454+$AP454+$AQ454-$AD454,2)=0,"OK","FAIL - out by "&amp;TEXT($AO454+$AP454+$AQ454-$AD454,"$0.00")))</f>
      </c>
    </row>
    <row r="455" spans="1:58" ht="18.75" customHeight="1" x14ac:dyDescent="0.25">
      <c r="A455" s="30" t="inlineStr">
        <is>
          <t xml:space="preserve">CANON-202606-009019</t>
        </is>
      </c>
      <c r="B455" s="30" t="inlineStr">
        <is>
          <t xml:space="preserve">Callum Pennington</t>
        </is>
      </c>
      <c r="C455" s="31">
        <v>46203</v>
      </c>
      <c r="D455" s="32" t="inlineStr">
        <is>
          <t xml:space="preserve">Bound - within authority</t>
        </is>
      </c>
      <c r="E455" s="32" t="inlineStr">
        <is>
          <t xml:space="preserve">New business</t>
        </is>
      </c>
      <c r="F455" s="30" t="inlineStr">
        <is>
          <t xml:space="preserve">B1234EXOTIC26</t>
        </is>
      </c>
      <c r="G455" s="33">
        <f>IF($A455="","",IF($C455="","",YEAR($C455)))</f>
      </c>
      <c r="H455" s="34">
        <v>1962</v>
      </c>
      <c r="I455" s="30" t="inlineStr">
        <is>
          <t xml:space="preserve">Icon</t>
        </is>
      </c>
      <c r="J455" s="30" t="inlineStr">
        <is>
          <t xml:space="preserve">Derelict</t>
        </is>
      </c>
      <c r="K455" s="30" t="inlineStr">
        <is>
          <t xml:space="preserve">8H8LSJ6CZ7NM8SNLP</t>
        </is>
      </c>
      <c r="L455" s="32" t="inlineStr">
        <is>
          <t xml:space="preserve">11 - Restomod / Coachbuilt / Bespoke</t>
        </is>
      </c>
      <c r="M455" s="35">
        <v>380000</v>
      </c>
      <c r="N455" s="32" t="inlineStr">
        <is>
          <t xml:space="preserve">Personal</t>
        </is>
      </c>
      <c r="O455" s="30" t="inlineStr">
        <is>
          <t xml:space="preserve">Personal - regular use</t>
        </is>
      </c>
      <c r="P455" s="30" t="inlineStr">
        <is>
          <t xml:space="preserve">1,000 - 2,500</t>
        </is>
      </c>
      <c r="Q455" s="30" t="inlineStr">
        <is>
          <t xml:space="preserve">Texas</t>
        </is>
      </c>
      <c r="R455" s="30" t="inlineStr">
        <is>
          <t xml:space="preserve">75201</t>
        </is>
      </c>
      <c r="S455" s="32" t="inlineStr">
        <is>
          <t xml:space="preserve">Tier 2 - Coastal wind (1-25 miles)</t>
        </is>
      </c>
      <c r="T455" s="36">
        <f>IF($A455="","",IF($S455="","",IFERROR(INDEX('[1]natural catastrophe'!$D$6:$D$17,MATCH($S455,'[1]natural catastrophe'!$B$6:$B$17,0)),"?")))</f>
      </c>
      <c r="U455" s="30" t="inlineStr">
        <is>
          <t xml:space="preserve">2% of agreed value, minimum $10,000</t>
        </is>
      </c>
      <c r="V455" s="32" t="inlineStr">
        <is>
          <t xml:space="preserve">Agreed Value</t>
        </is>
      </c>
      <c r="W455" s="30" t="inlineStr">
        <is>
          <t xml:space="preserve">$1,000</t>
        </is>
      </c>
      <c r="X455" s="32" t="inlineStr">
        <is>
          <t xml:space="preserve">$1,000,000 CSL</t>
        </is>
      </c>
      <c r="Y455" s="30"/>
      <c r="Z455" s="30"/>
      <c r="AA455" s="32" t="inlineStr">
        <is>
          <t xml:space="preserve">Surplus Lines</t>
        </is>
      </c>
      <c r="AB455" s="35">
        <v>5549.27</v>
      </c>
      <c r="AC455" s="37">
        <v>0</v>
      </c>
      <c r="AD455" s="38">
        <f>IF(ISNUMBER($AB455),$AB455*(1+N($AC455)),"")</f>
      </c>
      <c r="AE455" s="35">
        <v>350</v>
      </c>
      <c r="AF455" s="35">
        <v>0</v>
      </c>
      <c r="AG455" s="37"/>
      <c r="AH455" s="39">
        <f>IF(ISNUMBER($AD455),($AD455+$AE455+$AF455)*$AG455,"")</f>
      </c>
      <c r="AI455" s="35"/>
      <c r="AJ455" s="38">
        <f>IF(ISNUMBER($AD455),SUM($AD455:$AH455),"")</f>
      </c>
      <c r="AK455" s="40">
        <f>IF(AND(ISNUMBER($AB455),ISNUMBER($AD455)),IF($AB455&gt;0,$AD455/$AB455,""),"")</f>
      </c>
      <c r="AL455" s="32" t="inlineStr">
        <is>
          <t xml:space="preserve">At technical</t>
        </is>
      </c>
      <c r="AM455" s="41">
        <f>IF(ISNUMBER($AD455),Header!$I$3,"")</f>
      </c>
      <c r="AN455" s="39">
        <f>IF(ISNUMBER($AD455),$AO455+$AP455,"")</f>
      </c>
      <c r="AO455" s="39">
        <f>IF(ISNUMBER($AD455),ROUND($AD455*Header!$K$3,2),"")</f>
      </c>
      <c r="AP455" s="39">
        <f>IF(ISNUMBER($AD455),ROUND($AD455*Header!$M$3,2),"")</f>
      </c>
      <c r="AQ455" s="38">
        <f>IF(ISNUMBER($AD455),ROUND($AD455,2)-$AO455-$AP455,"")</f>
      </c>
      <c r="AR455" s="39">
        <f>IF(ISNUMBER($AD455),IF(Header!$D$34="","?",$AD455*Header!$D$34),"")</f>
      </c>
      <c r="AS455" s="39">
        <f>IF(ISNUMBER($AB455),IF(Header!$D$34="","?",$AB455*Header!$D$34),"")</f>
      </c>
      <c r="AT455" s="42">
        <f>IF(AND(ISNUMBER($AB455),$M455&gt;0),$AB455/$M455*100,"")</f>
      </c>
      <c r="AU455" s="42">
        <f>IF(AND(ISNUMBER($AD455),$M455&gt;0),$AD455/$M455*100,"")</f>
      </c>
      <c r="AV455" s="40">
        <f>IF(AND(ISNUMBER($AB455),ISNUMBER($AD455),ABS($AB455)&gt;0),$AD455/$AB455,"")</f>
      </c>
      <c r="AW455" s="39">
        <f>IF(ISNUMBER($AD455),MAX(0,(1-0.55-Header!$O$3)*Header!$Q$3*$AQ455),"")</f>
      </c>
      <c r="AX455" s="43">
        <f>IF($A455="","",IF(TRIM(IF($A455="","Missing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",""))="","PASS","FAIL: "&amp;TRIM(IF($A455="","Missing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f>
      </c>
      <c r="AY455" s="44">
        <f>IF($M455="","",IF(ISNUMBER($M455),IF($M455&gt;=Header!$C$18,"YES — refer","No"),""))</f>
      </c>
      <c r="AZ455" s="44">
        <f>IF($AD455="","",IF(ISNUMBER($AD455),IF($AD455&lt;Header!$C$20,"BELOW MIN PREMIUM","OK"),""))</f>
      </c>
      <c r="BA455" s="32" t="inlineStr">
        <is>
          <t xml:space="preserve">Yes</t>
        </is>
      </c>
      <c r="BB455" s="32" t="inlineStr">
        <is>
          <t xml:space="preserve">Yes</t>
        </is>
      </c>
      <c r="BC455" s="30" t="inlineStr">
        <is>
          <t xml:space="preserve">Synthetic demo data</t>
        </is>
      </c>
      <c r="BE455" s="45">
        <f>IF(OR($A455="",$L455="",$H455=""),"",IF(AND(LEFT($L455,2)="06",$H455&gt;1945),"FAIL - pre-war class, year "&amp;$H455,IF(AND(LEFT($L455,2)="07",OR($H455&lt;1946,$H455&gt;1972)),"FAIL - 1946-72 class, year "&amp;$H455,IF(AND(LEFT($L455,2)="08",OR($H455&lt;1973,$H455&gt;1999)),"FAIL - 1973-99 class, year "&amp;$H455,IF(AND(LEFT($L455,2)="09",OR($H455&lt;2000,$H455&gt;2010)),"FAIL - 2000-10 class, year "&amp;$H455,"OK")))))</f>
      </c>
      <c r="BF455" s="45">
        <f>IF($AD455="","",IF(ROUND($AO455+$AP455+$AQ455-$AD455,2)=0,"OK","FAIL - out by "&amp;TEXT($AO455+$AP455+$AQ455-$AD455,"$0.00")))</f>
      </c>
    </row>
    <row r="456" spans="1:58" ht="18.75" customHeight="1" x14ac:dyDescent="0.25">
      <c r="A456" s="46" t="inlineStr">
        <is>
          <t xml:space="preserve">CANON-202606-009020</t>
        </is>
      </c>
      <c r="B456" s="46" t="inlineStr">
        <is>
          <t xml:space="preserve">Priya Pennington</t>
        </is>
      </c>
      <c r="C456" s="47">
        <v>46201</v>
      </c>
      <c r="D456" s="48" t="inlineStr">
        <is>
          <t xml:space="preserve">Bound - within authority</t>
        </is>
      </c>
      <c r="E456" s="48" t="inlineStr">
        <is>
          <t xml:space="preserve">New business</t>
        </is>
      </c>
      <c r="F456" s="46" t="inlineStr">
        <is>
          <t xml:space="preserve">B1234EXOTIC26</t>
        </is>
      </c>
      <c r="G456" s="33">
        <f>IF($A456="","",IF($C456="","",YEAR($C456)))</f>
      </c>
      <c r="H456" s="49">
        <v>1978</v>
      </c>
      <c r="I456" s="46" t="inlineStr">
        <is>
          <t xml:space="preserve">Aston Martin</t>
        </is>
      </c>
      <c r="J456" s="46" t="inlineStr">
        <is>
          <t xml:space="preserve">DB5</t>
        </is>
      </c>
      <c r="K456" s="46" t="inlineStr">
        <is>
          <t xml:space="preserve">9WERNX5W5JYUSVHLP</t>
        </is>
      </c>
      <c r="L456" s="48" t="inlineStr">
        <is>
          <t xml:space="preserve">08 - Modern Classic (1973-1999)</t>
        </is>
      </c>
      <c r="M456" s="50">
        <v>570000</v>
      </c>
      <c r="N456" s="48" t="inlineStr">
        <is>
          <t xml:space="preserve">Personal</t>
        </is>
      </c>
      <c r="O456" s="46" t="inlineStr">
        <is>
          <t xml:space="preserve">Personal - regular use</t>
        </is>
      </c>
      <c r="P456" s="46" t="inlineStr">
        <is>
          <t xml:space="preserve">Under 1,000</t>
        </is>
      </c>
      <c r="Q456" s="46" t="inlineStr">
        <is>
          <t xml:space="preserve">Kentucky</t>
        </is>
      </c>
      <c r="R456" s="46" t="inlineStr">
        <is>
          <t xml:space="preserve">40202</t>
        </is>
      </c>
      <c r="S456" s="48" t="inlineStr">
        <is>
          <t xml:space="preserve">Severe convective - hail / tornado (moderate)</t>
        </is>
      </c>
      <c r="T456" s="36">
        <f>IF($A456="","",IF($S456="","",IFERROR(INDEX('[1]natural catastrophe'!$D$6:$D$17,MATCH($S456,'[1]natural catastrophe'!$B$6:$B$17,0)),"?")))</f>
      </c>
      <c r="U456" s="46" t="inlineStr">
        <is>
          <t xml:space="preserve">$5,000</t>
        </is>
      </c>
      <c r="V456" s="48" t="inlineStr">
        <is>
          <t xml:space="preserve">Agreed Value</t>
        </is>
      </c>
      <c r="W456" s="46" t="inlineStr">
        <is>
          <t xml:space="preserve">$1,000</t>
        </is>
      </c>
      <c r="X456" s="48" t="inlineStr">
        <is>
          <t xml:space="preserve">$1,000,000 CSL</t>
        </is>
      </c>
      <c r="Y456" s="46"/>
      <c r="Z456" s="46"/>
      <c r="AA456" s="48" t="inlineStr">
        <is>
          <t xml:space="preserve">Surplus Lines</t>
        </is>
      </c>
      <c r="AB456" s="50">
        <v>4739.37</v>
      </c>
      <c r="AC456" s="51">
        <v>0</v>
      </c>
      <c r="AD456" s="38">
        <f>IF(ISNUMBER($AB456),$AB456*(1+N($AC456)),"")</f>
      </c>
      <c r="AE456" s="50">
        <v>350</v>
      </c>
      <c r="AF456" s="50">
        <v>0</v>
      </c>
      <c r="AG456" s="51"/>
      <c r="AH456" s="39">
        <f>IF(ISNUMBER($AD456),($AD456+$AE456+$AF456)*$AG456,"")</f>
      </c>
      <c r="AI456" s="50"/>
      <c r="AJ456" s="38">
        <f>IF(ISNUMBER($AD456),SUM($AD456:$AH456),"")</f>
      </c>
      <c r="AK456" s="40">
        <f>IF(AND(ISNUMBER($AB456),ISNUMBER($AD456)),IF($AB456&gt;0,$AD456/$AB456,""),"")</f>
      </c>
      <c r="AL456" s="48" t="inlineStr">
        <is>
          <t xml:space="preserve">At technical</t>
        </is>
      </c>
      <c r="AM456" s="41">
        <f>IF(ISNUMBER($AD456),Header!$I$3,"")</f>
      </c>
      <c r="AN456" s="39">
        <f>IF(ISNUMBER($AD456),$AO456+$AP456,"")</f>
      </c>
      <c r="AO456" s="39">
        <f>IF(ISNUMBER($AD456),ROUND($AD456*Header!$K$3,2),"")</f>
      </c>
      <c r="AP456" s="39">
        <f>IF(ISNUMBER($AD456),ROUND($AD456*Header!$M$3,2),"")</f>
      </c>
      <c r="AQ456" s="38">
        <f>IF(ISNUMBER($AD456),ROUND($AD456,2)-$AO456-$AP456,"")</f>
      </c>
      <c r="AR456" s="39">
        <f>IF(ISNUMBER($AD456),IF(Header!$D$34="","?",$AD456*Header!$D$34),"")</f>
      </c>
      <c r="AS456" s="39">
        <f>IF(ISNUMBER($AB456),IF(Header!$D$34="","?",$AB456*Header!$D$34),"")</f>
      </c>
      <c r="AT456" s="42">
        <f>IF(AND(ISNUMBER($AB456),$M456&gt;0),$AB456/$M456*100,"")</f>
      </c>
      <c r="AU456" s="42">
        <f>IF(AND(ISNUMBER($AD456),$M456&gt;0),$AD456/$M456*100,"")</f>
      </c>
      <c r="AV456" s="40">
        <f>IF(AND(ISNUMBER($AB456),ISNUMBER($AD456),ABS($AB456)&gt;0),$AD456/$AB456,"")</f>
      </c>
      <c r="AW456" s="39">
        <f>IF(ISNUMBER($AD456),MAX(0,(1-0.55-Header!$O$3)*Header!$Q$3*$AQ456),"")</f>
      </c>
      <c r="AX456" s="43">
        <f>IF($A456="","",IF(TRIM(IF($A456="","Missing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",""))="","PASS","FAIL: "&amp;TRIM(IF($A456="","Missing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f>
      </c>
      <c r="AY456" s="44">
        <f>IF($M456="","",IF(ISNUMBER($M456),IF($M456&gt;=Header!$C$18,"YES — refer","No"),""))</f>
      </c>
      <c r="AZ456" s="44">
        <f>IF($AD456="","",IF(ISNUMBER($AD456),IF($AD456&lt;Header!$C$20,"BELOW MIN PREMIUM","OK"),""))</f>
      </c>
      <c r="BA456" s="48" t="inlineStr">
        <is>
          <t xml:space="preserve">Yes</t>
        </is>
      </c>
      <c r="BB456" s="48" t="inlineStr">
        <is>
          <t xml:space="preserve">Yes</t>
        </is>
      </c>
      <c r="BC456" s="46" t="inlineStr">
        <is>
          <t xml:space="preserve">Synthetic demo data</t>
        </is>
      </c>
      <c r="BE456" s="45">
        <f>IF(OR($A456="",$L456="",$H456=""),"",IF(AND(LEFT($L456,2)="06",$H456&gt;1945),"FAIL - pre-war class, year "&amp;$H456,IF(AND(LEFT($L456,2)="07",OR($H456&lt;1946,$H456&gt;1972)),"FAIL - 1946-72 class, year "&amp;$H456,IF(AND(LEFT($L456,2)="08",OR($H456&lt;1973,$H456&gt;1999)),"FAIL - 1973-99 class, year "&amp;$H456,IF(AND(LEFT($L456,2)="09",OR($H456&lt;2000,$H456&gt;2010)),"FAIL - 2000-10 class, year "&amp;$H456,"OK")))))</f>
      </c>
      <c r="BF456" s="45">
        <f>IF($AD456="","",IF(ROUND($AO456+$AP456+$AQ456-$AD456,2)=0,"OK","FAIL - out by "&amp;TEXT($AO456+$AP456+$AQ456-$AD456,"$0.00")))</f>
      </c>
    </row>
    <row r="457" spans="1:58" ht="18.75" customHeight="1" x14ac:dyDescent="0.25">
      <c r="A457" s="30" t="inlineStr">
        <is>
          <t xml:space="preserve">CANON-202606-009021</t>
        </is>
      </c>
      <c r="B457" s="30" t="inlineStr">
        <is>
          <t xml:space="preserve">Noor Thistlewood</t>
        </is>
      </c>
      <c r="C457" s="31">
        <v>46181</v>
      </c>
      <c r="D457" s="32" t="inlineStr">
        <is>
          <t xml:space="preserve">Bound - within authority</t>
        </is>
      </c>
      <c r="E457" s="32" t="inlineStr">
        <is>
          <t xml:space="preserve">New business</t>
        </is>
      </c>
      <c r="F457" s="30" t="inlineStr">
        <is>
          <t xml:space="preserve">B1234EXOTIC26</t>
        </is>
      </c>
      <c r="G457" s="33">
        <f>IF($A457="","",IF($C457="","",YEAR($C457)))</f>
      </c>
      <c r="H457" s="34">
        <v>2017</v>
      </c>
      <c r="I457" s="30" t="inlineStr">
        <is>
          <t xml:space="preserve">Icon</t>
        </is>
      </c>
      <c r="J457" s="30" t="inlineStr">
        <is>
          <t xml:space="preserve">Derelict</t>
        </is>
      </c>
      <c r="K457" s="30" t="inlineStr">
        <is>
          <t xml:space="preserve">K62DZNJ4MTMP7Z5FU</t>
        </is>
      </c>
      <c r="L457" s="32" t="inlineStr">
        <is>
          <t xml:space="preserve">11 - Restomod / Coachbuilt / Bespoke</t>
        </is>
      </c>
      <c r="M457" s="35">
        <v>510000</v>
      </c>
      <c r="N457" s="32" t="inlineStr">
        <is>
          <t xml:space="preserve">Personal</t>
        </is>
      </c>
      <c r="O457" s="30" t="inlineStr">
        <is>
          <t xml:space="preserve">Personal - regular use</t>
        </is>
      </c>
      <c r="P457" s="30" t="inlineStr">
        <is>
          <t xml:space="preserve">2,500 - 5,000</t>
        </is>
      </c>
      <c r="Q457" s="30" t="inlineStr">
        <is>
          <t xml:space="preserve">Washington</t>
        </is>
      </c>
      <c r="R457" s="30" t="inlineStr">
        <is>
          <t xml:space="preserve">98101</t>
        </is>
      </c>
      <c r="S457" s="32" t="inlineStr">
        <is>
          <t xml:space="preserve">Earthquake - high (CA, Cascadia, New Madrid)</t>
        </is>
      </c>
      <c r="T457" s="36">
        <f>IF($A457="","",IF($S457="","",IFERROR(INDEX('[1]natural catastrophe'!$D$6:$D$17,MATCH($S457,'[1]natural catastrophe'!$B$6:$B$17,0)),"?")))</f>
      </c>
      <c r="U457" s="30" t="inlineStr">
        <is>
          <t xml:space="preserve">$5,000</t>
        </is>
      </c>
      <c r="V457" s="32" t="inlineStr">
        <is>
          <t xml:space="preserve">Agreed Value</t>
        </is>
      </c>
      <c r="W457" s="30" t="inlineStr">
        <is>
          <t xml:space="preserve">$1,000</t>
        </is>
      </c>
      <c r="X457" s="32" t="inlineStr">
        <is>
          <t xml:space="preserve">$1,000,000 CSL</t>
        </is>
      </c>
      <c r="Y457" s="30"/>
      <c r="Z457" s="30"/>
      <c r="AA457" s="32" t="inlineStr">
        <is>
          <t xml:space="preserve">Surplus Lines</t>
        </is>
      </c>
      <c r="AB457" s="35">
        <v>5510.71</v>
      </c>
      <c r="AC457" s="37">
        <v>0</v>
      </c>
      <c r="AD457" s="38">
        <f>IF(ISNUMBER($AB457),$AB457*(1+N($AC457)),"")</f>
      </c>
      <c r="AE457" s="35">
        <v>350</v>
      </c>
      <c r="AF457" s="35">
        <v>0</v>
      </c>
      <c r="AG457" s="37"/>
      <c r="AH457" s="39">
        <f>IF(ISNUMBER($AD457),($AD457+$AE457+$AF457)*$AG457,"")</f>
      </c>
      <c r="AI457" s="35"/>
      <c r="AJ457" s="38">
        <f>IF(ISNUMBER($AD457),SUM($AD457:$AH457),"")</f>
      </c>
      <c r="AK457" s="40">
        <f>IF(AND(ISNUMBER($AB457),ISNUMBER($AD457)),IF($AB457&gt;0,$AD457/$AB457,""),"")</f>
      </c>
      <c r="AL457" s="32" t="inlineStr">
        <is>
          <t xml:space="preserve">At technical</t>
        </is>
      </c>
      <c r="AM457" s="41">
        <f>IF(ISNUMBER($AD457),Header!$I$3,"")</f>
      </c>
      <c r="AN457" s="39">
        <f>IF(ISNUMBER($AD457),$AO457+$AP457,"")</f>
      </c>
      <c r="AO457" s="39">
        <f>IF(ISNUMBER($AD457),ROUND($AD457*Header!$K$3,2),"")</f>
      </c>
      <c r="AP457" s="39">
        <f>IF(ISNUMBER($AD457),ROUND($AD457*Header!$M$3,2),"")</f>
      </c>
      <c r="AQ457" s="38">
        <f>IF(ISNUMBER($AD457),ROUND($AD457,2)-$AO457-$AP457,"")</f>
      </c>
      <c r="AR457" s="39">
        <f>IF(ISNUMBER($AD457),IF(Header!$D$34="","?",$AD457*Header!$D$34),"")</f>
      </c>
      <c r="AS457" s="39">
        <f>IF(ISNUMBER($AB457),IF(Header!$D$34="","?",$AB457*Header!$D$34),"")</f>
      </c>
      <c r="AT457" s="42">
        <f>IF(AND(ISNUMBER($AB457),$M457&gt;0),$AB457/$M457*100,"")</f>
      </c>
      <c r="AU457" s="42">
        <f>IF(AND(ISNUMBER($AD457),$M457&gt;0),$AD457/$M457*100,"")</f>
      </c>
      <c r="AV457" s="40">
        <f>IF(AND(ISNUMBER($AB457),ISNUMBER($AD457),ABS($AB457)&gt;0),$AD457/$AB457,"")</f>
      </c>
      <c r="AW457" s="39">
        <f>IF(ISNUMBER($AD457),MAX(0,(1-0.55-Header!$O$3)*Header!$Q$3*$AQ457),"")</f>
      </c>
      <c r="AX457" s="43">
        <f>IF($A457="","",IF(TRIM(IF($A457="","Missing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",""))="","PASS","FAIL: "&amp;TRIM(IF($A457="","Missing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f>
      </c>
      <c r="AY457" s="44">
        <f>IF($M457="","",IF(ISNUMBER($M457),IF($M457&gt;=Header!$C$18,"YES — refer","No"),""))</f>
      </c>
      <c r="AZ457" s="44">
        <f>IF($AD457="","",IF(ISNUMBER($AD457),IF($AD457&lt;Header!$C$20,"BELOW MIN PREMIUM","OK"),""))</f>
      </c>
      <c r="BA457" s="32" t="inlineStr">
        <is>
          <t xml:space="preserve">Yes</t>
        </is>
      </c>
      <c r="BB457" s="32" t="inlineStr">
        <is>
          <t xml:space="preserve">Yes</t>
        </is>
      </c>
      <c r="BC457" s="30" t="inlineStr">
        <is>
          <t xml:space="preserve">Synthetic demo data</t>
        </is>
      </c>
      <c r="BE457" s="45">
        <f>IF(OR($A457="",$L457="",$H457=""),"",IF(AND(LEFT($L457,2)="06",$H457&gt;1945),"FAIL - pre-war class, year "&amp;$H457,IF(AND(LEFT($L457,2)="07",OR($H457&lt;1946,$H457&gt;1972)),"FAIL - 1946-72 class, year "&amp;$H457,IF(AND(LEFT($L457,2)="08",OR($H457&lt;1973,$H457&gt;1999)),"FAIL - 1973-99 class, year "&amp;$H457,IF(AND(LEFT($L457,2)="09",OR($H457&lt;2000,$H457&gt;2010)),"FAIL - 2000-10 class, year "&amp;$H457,"OK")))))</f>
      </c>
      <c r="BF457" s="45">
        <f>IF($AD457="","",IF(ROUND($AO457+$AP457+$AQ457-$AD457,2)=0,"OK","FAIL - out by "&amp;TEXT($AO457+$AP457+$AQ457-$AD457,"$0.00")))</f>
      </c>
    </row>
    <row r="458" spans="1:58" ht="18.75" customHeight="1" x14ac:dyDescent="0.25">
      <c r="A458" s="46" t="inlineStr">
        <is>
          <t xml:space="preserve">CANON-202606-009022</t>
        </is>
      </c>
      <c r="B458" s="46" t="inlineStr">
        <is>
          <t xml:space="preserve">Horace Vasquez</t>
        </is>
      </c>
      <c r="C458" s="47">
        <v>46182</v>
      </c>
      <c r="D458" s="48" t="inlineStr">
        <is>
          <t xml:space="preserve">Bound - within authority</t>
        </is>
      </c>
      <c r="E458" s="48" t="inlineStr">
        <is>
          <t xml:space="preserve">New business</t>
        </is>
      </c>
      <c r="F458" s="46" t="inlineStr">
        <is>
          <t xml:space="preserve">B1234EXOTIC26</t>
        </is>
      </c>
      <c r="G458" s="33">
        <f>IF($A458="","",IF($C458="","",YEAR($C458)))</f>
      </c>
      <c r="H458" s="49">
        <v>1993</v>
      </c>
      <c r="I458" s="46" t="inlineStr">
        <is>
          <t xml:space="preserve">Maserati</t>
        </is>
      </c>
      <c r="J458" s="46" t="inlineStr">
        <is>
          <t xml:space="preserve">GranTurismo</t>
        </is>
      </c>
      <c r="K458" s="46" t="inlineStr">
        <is>
          <t xml:space="preserve">S64RWUWFN3F1R0LVR</t>
        </is>
      </c>
      <c r="L458" s="48" t="inlineStr">
        <is>
          <t xml:space="preserve">02 - Sports / GT</t>
        </is>
      </c>
      <c r="M458" s="50">
        <v>205000</v>
      </c>
      <c r="N458" s="48" t="inlineStr">
        <is>
          <t xml:space="preserve">Personal</t>
        </is>
      </c>
      <c r="O458" s="46" t="inlineStr">
        <is>
          <t xml:space="preserve">Personal - regular use</t>
        </is>
      </c>
      <c r="P458" s="46" t="inlineStr">
        <is>
          <t xml:space="preserve">1,000 - 2,500</t>
        </is>
      </c>
      <c r="Q458" s="46" t="inlineStr">
        <is>
          <t xml:space="preserve">Indiana</t>
        </is>
      </c>
      <c r="R458" s="46" t="inlineStr">
        <is>
          <t xml:space="preserve">46204</t>
        </is>
      </c>
      <c r="S458" s="48" t="inlineStr">
        <is>
          <t xml:space="preserve">Severe convective - hail / tornado (moderate)</t>
        </is>
      </c>
      <c r="T458" s="36">
        <f>IF($A458="","",IF($S458="","",IFERROR(INDEX('[1]natural catastrophe'!$D$6:$D$17,MATCH($S458,'[1]natural catastrophe'!$B$6:$B$17,0)),"?")))</f>
      </c>
      <c r="U458" s="46" t="inlineStr">
        <is>
          <t xml:space="preserve">$5,000</t>
        </is>
      </c>
      <c r="V458" s="48" t="inlineStr">
        <is>
          <t xml:space="preserve">Agreed Value</t>
        </is>
      </c>
      <c r="W458" s="46" t="inlineStr">
        <is>
          <t xml:space="preserve">$1,000</t>
        </is>
      </c>
      <c r="X458" s="48" t="inlineStr">
        <is>
          <t xml:space="preserve">$1,000,000 CSL</t>
        </is>
      </c>
      <c r="Y458" s="46"/>
      <c r="Z458" s="46"/>
      <c r="AA458" s="48" t="inlineStr">
        <is>
          <t xml:space="preserve">Surplus Lines</t>
        </is>
      </c>
      <c r="AB458" s="50">
        <v>3347.48</v>
      </c>
      <c r="AC458" s="51">
        <v>0</v>
      </c>
      <c r="AD458" s="38">
        <f>IF(ISNUMBER($AB458),$AB458*(1+N($AC458)),"")</f>
      </c>
      <c r="AE458" s="50">
        <v>350</v>
      </c>
      <c r="AF458" s="50">
        <v>0</v>
      </c>
      <c r="AG458" s="51"/>
      <c r="AH458" s="39">
        <f>IF(ISNUMBER($AD458),($AD458+$AE458+$AF458)*$AG458,"")</f>
      </c>
      <c r="AI458" s="50"/>
      <c r="AJ458" s="38">
        <f>IF(ISNUMBER($AD458),SUM($AD458:$AH458),"")</f>
      </c>
      <c r="AK458" s="40">
        <f>IF(AND(ISNUMBER($AB458),ISNUMBER($AD458)),IF($AB458&gt;0,$AD458/$AB458,""),"")</f>
      </c>
      <c r="AL458" s="48" t="inlineStr">
        <is>
          <t xml:space="preserve">At technical</t>
        </is>
      </c>
      <c r="AM458" s="41">
        <f>IF(ISNUMBER($AD458),Header!$I$3,"")</f>
      </c>
      <c r="AN458" s="39">
        <f>IF(ISNUMBER($AD458),$AO458+$AP458,"")</f>
      </c>
      <c r="AO458" s="39">
        <f>IF(ISNUMBER($AD458),ROUND($AD458*Header!$K$3,2),"")</f>
      </c>
      <c r="AP458" s="39">
        <f>IF(ISNUMBER($AD458),ROUND($AD458*Header!$M$3,2),"")</f>
      </c>
      <c r="AQ458" s="38">
        <f>IF(ISNUMBER($AD458),ROUND($AD458,2)-$AO458-$AP458,"")</f>
      </c>
      <c r="AR458" s="39">
        <f>IF(ISNUMBER($AD458),IF(Header!$D$34="","?",$AD458*Header!$D$34),"")</f>
      </c>
      <c r="AS458" s="39">
        <f>IF(ISNUMBER($AB458),IF(Header!$D$34="","?",$AB458*Header!$D$34),"")</f>
      </c>
      <c r="AT458" s="42">
        <f>IF(AND(ISNUMBER($AB458),$M458&gt;0),$AB458/$M458*100,"")</f>
      </c>
      <c r="AU458" s="42">
        <f>IF(AND(ISNUMBER($AD458),$M458&gt;0),$AD458/$M458*100,"")</f>
      </c>
      <c r="AV458" s="40">
        <f>IF(AND(ISNUMBER($AB458),ISNUMBER($AD458),ABS($AB458)&gt;0),$AD458/$AB458,"")</f>
      </c>
      <c r="AW458" s="39">
        <f>IF(ISNUMBER($AD458),MAX(0,(1-0.55-Header!$O$3)*Header!$Q$3*$AQ458),"")</f>
      </c>
      <c r="AX458" s="43">
        <f>IF($A458="","",IF(TRIM(IF($A458="","Missing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",""))="","PASS","FAIL: "&amp;TRIM(IF($A458="","Missing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f>
      </c>
      <c r="AY458" s="44">
        <f>IF($M458="","",IF(ISNUMBER($M458),IF($M458&gt;=Header!$C$18,"YES — refer","No"),""))</f>
      </c>
      <c r="AZ458" s="44">
        <f>IF($AD458="","",IF(ISNUMBER($AD458),IF($AD458&lt;Header!$C$20,"BELOW MIN PREMIUM","OK"),""))</f>
      </c>
      <c r="BA458" s="48" t="inlineStr">
        <is>
          <t xml:space="preserve">Yes</t>
        </is>
      </c>
      <c r="BB458" s="48" t="inlineStr">
        <is>
          <t xml:space="preserve">Yes</t>
        </is>
      </c>
      <c r="BC458" s="46" t="inlineStr">
        <is>
          <t xml:space="preserve">Synthetic demo data</t>
        </is>
      </c>
      <c r="BE458" s="45">
        <f>IF(OR($A458="",$L458="",$H458=""),"",IF(AND(LEFT($L458,2)="06",$H458&gt;1945),"FAIL - pre-war class, year "&amp;$H458,IF(AND(LEFT($L458,2)="07",OR($H458&lt;1946,$H458&gt;1972)),"FAIL - 1946-72 class, year "&amp;$H458,IF(AND(LEFT($L458,2)="08",OR($H458&lt;1973,$H458&gt;1999)),"FAIL - 1973-99 class, year "&amp;$H458,IF(AND(LEFT($L458,2)="09",OR($H458&lt;2000,$H458&gt;2010)),"FAIL - 2000-10 class, year "&amp;$H458,"OK")))))</f>
      </c>
      <c r="BF458" s="45">
        <f>IF($AD458="","",IF(ROUND($AO458+$AP458+$AQ458-$AD458,2)=0,"OK","FAIL - out by "&amp;TEXT($AO458+$AP458+$AQ458-$AD458,"$0.00")))</f>
      </c>
    </row>
    <row r="459" spans="1:58" ht="18.75" customHeight="1" x14ac:dyDescent="0.25">
      <c r="A459" s="30" t="inlineStr">
        <is>
          <t xml:space="preserve">CANON-202606-009024</t>
        </is>
      </c>
      <c r="B459" s="30" t="inlineStr">
        <is>
          <t xml:space="preserve">Horace Whitlock</t>
        </is>
      </c>
      <c r="C459" s="31">
        <v>46198</v>
      </c>
      <c r="D459" s="32" t="inlineStr">
        <is>
          <t xml:space="preserve">Bound - within authority</t>
        </is>
      </c>
      <c r="E459" s="32" t="inlineStr">
        <is>
          <t xml:space="preserve">New business</t>
        </is>
      </c>
      <c r="F459" s="30" t="inlineStr">
        <is>
          <t xml:space="preserve">B1234EXOTIC26</t>
        </is>
      </c>
      <c r="G459" s="33">
        <f>IF($A459="","",IF($C459="","",YEAR($C459)))</f>
      </c>
      <c r="H459" s="34">
        <v>2012</v>
      </c>
      <c r="I459" s="30" t="inlineStr">
        <is>
          <t xml:space="preserve">Singer</t>
        </is>
      </c>
      <c r="J459" s="30" t="inlineStr">
        <is>
          <t xml:space="preserve">911 Reimagined</t>
        </is>
      </c>
      <c r="K459" s="30" t="inlineStr">
        <is>
          <t xml:space="preserve">93UJ7M8P50S7FCH5U</t>
        </is>
      </c>
      <c r="L459" s="32" t="inlineStr">
        <is>
          <t xml:space="preserve">11 - Restomod / Coachbuilt / Bespoke</t>
        </is>
      </c>
      <c r="M459" s="35">
        <v>600000</v>
      </c>
      <c r="N459" s="32" t="inlineStr">
        <is>
          <t xml:space="preserve">Personal</t>
        </is>
      </c>
      <c r="O459" s="30" t="inlineStr">
        <is>
          <t xml:space="preserve">Personal - regular use</t>
        </is>
      </c>
      <c r="P459" s="30" t="inlineStr">
        <is>
          <t xml:space="preserve">Under 1,000</t>
        </is>
      </c>
      <c r="Q459" s="30" t="inlineStr">
        <is>
          <t xml:space="preserve">Idaho</t>
        </is>
      </c>
      <c r="R459" s="30" t="inlineStr">
        <is>
          <t xml:space="preserve">83702</t>
        </is>
      </c>
      <c r="S459" s="32" t="inlineStr">
        <is>
          <t xml:space="preserve">Wildfire - WUI high hazard</t>
        </is>
      </c>
      <c r="T459" s="36">
        <f>IF($A459="","",IF($S459="","",IFERROR(INDEX('[1]natural catastrophe'!$D$6:$D$17,MATCH($S459,'[1]natural catastrophe'!$B$6:$B$17,0)),"?")))</f>
      </c>
      <c r="U459" s="30" t="inlineStr">
        <is>
          <t xml:space="preserve">$5,000</t>
        </is>
      </c>
      <c r="V459" s="32" t="inlineStr">
        <is>
          <t xml:space="preserve">Agreed Value</t>
        </is>
      </c>
      <c r="W459" s="30" t="inlineStr">
        <is>
          <t xml:space="preserve">$1,000</t>
        </is>
      </c>
      <c r="X459" s="32" t="inlineStr">
        <is>
          <t xml:space="preserve">$1,000,000 CSL</t>
        </is>
      </c>
      <c r="Y459" s="30"/>
      <c r="Z459" s="30"/>
      <c r="AA459" s="32" t="inlineStr">
        <is>
          <t xml:space="preserve">Surplus Lines</t>
        </is>
      </c>
      <c r="AB459" s="35">
        <v>6685.8</v>
      </c>
      <c r="AC459" s="37">
        <v>0</v>
      </c>
      <c r="AD459" s="38">
        <f>IF(ISNUMBER($AB459),$AB459*(1+N($AC459)),"")</f>
      </c>
      <c r="AE459" s="35">
        <v>350</v>
      </c>
      <c r="AF459" s="35">
        <v>0</v>
      </c>
      <c r="AG459" s="37"/>
      <c r="AH459" s="39">
        <f>IF(ISNUMBER($AD459),($AD459+$AE459+$AF459)*$AG459,"")</f>
      </c>
      <c r="AI459" s="35"/>
      <c r="AJ459" s="38">
        <f>IF(ISNUMBER($AD459),SUM($AD459:$AH459),"")</f>
      </c>
      <c r="AK459" s="40">
        <f>IF(AND(ISNUMBER($AB459),ISNUMBER($AD459)),IF($AB459&gt;0,$AD459/$AB459,""),"")</f>
      </c>
      <c r="AL459" s="32" t="inlineStr">
        <is>
          <t xml:space="preserve">At technical</t>
        </is>
      </c>
      <c r="AM459" s="41">
        <f>IF(ISNUMBER($AD459),Header!$I$3,"")</f>
      </c>
      <c r="AN459" s="39">
        <f>IF(ISNUMBER($AD459),$AO459+$AP459,"")</f>
      </c>
      <c r="AO459" s="39">
        <f>IF(ISNUMBER($AD459),ROUND($AD459*Header!$K$3,2),"")</f>
      </c>
      <c r="AP459" s="39">
        <f>IF(ISNUMBER($AD459),ROUND($AD459*Header!$M$3,2),"")</f>
      </c>
      <c r="AQ459" s="38">
        <f>IF(ISNUMBER($AD459),ROUND($AD459,2)-$AO459-$AP459,"")</f>
      </c>
      <c r="AR459" s="39">
        <f>IF(ISNUMBER($AD459),IF(Header!$D$34="","?",$AD459*Header!$D$34),"")</f>
      </c>
      <c r="AS459" s="39">
        <f>IF(ISNUMBER($AB459),IF(Header!$D$34="","?",$AB459*Header!$D$34),"")</f>
      </c>
      <c r="AT459" s="42">
        <f>IF(AND(ISNUMBER($AB459),$M459&gt;0),$AB459/$M459*100,"")</f>
      </c>
      <c r="AU459" s="42">
        <f>IF(AND(ISNUMBER($AD459),$M459&gt;0),$AD459/$M459*100,"")</f>
      </c>
      <c r="AV459" s="40">
        <f>IF(AND(ISNUMBER($AB459),ISNUMBER($AD459),ABS($AB459)&gt;0),$AD459/$AB459,"")</f>
      </c>
      <c r="AW459" s="39">
        <f>IF(ISNUMBER($AD459),MAX(0,(1-0.55-Header!$O$3)*Header!$Q$3*$AQ459),"")</f>
      </c>
      <c r="AX459" s="43">
        <f>IF($A459="","",IF(TRIM(IF($A459="","Missing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",""))="","PASS","FAIL: "&amp;TRIM(IF($A459="","Missing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f>
      </c>
      <c r="AY459" s="44">
        <f>IF($M459="","",IF(ISNUMBER($M459),IF($M459&gt;=Header!$C$18,"YES — refer","No"),""))</f>
      </c>
      <c r="AZ459" s="44">
        <f>IF($AD459="","",IF(ISNUMBER($AD459),IF($AD459&lt;Header!$C$20,"BELOW MIN PREMIUM","OK"),""))</f>
      </c>
      <c r="BA459" s="32" t="inlineStr">
        <is>
          <t xml:space="preserve">Yes</t>
        </is>
      </c>
      <c r="BB459" s="32" t="inlineStr">
        <is>
          <t xml:space="preserve">Yes</t>
        </is>
      </c>
      <c r="BC459" s="30" t="inlineStr">
        <is>
          <t xml:space="preserve">Synthetic demo data</t>
        </is>
      </c>
      <c r="BE459" s="45">
        <f>IF(OR($A459="",$L459="",$H459=""),"",IF(AND(LEFT($L459,2)="06",$H459&gt;1945),"FAIL - pre-war class, year "&amp;$H459,IF(AND(LEFT($L459,2)="07",OR($H459&lt;1946,$H459&gt;1972)),"FAIL - 1946-72 class, year "&amp;$H459,IF(AND(LEFT($L459,2)="08",OR($H459&lt;1973,$H459&gt;1999)),"FAIL - 1973-99 class, year "&amp;$H459,IF(AND(LEFT($L459,2)="09",OR($H459&lt;2000,$H459&gt;2010)),"FAIL - 2000-10 class, year "&amp;$H459,"OK")))))</f>
      </c>
      <c r="BF459" s="45">
        <f>IF($AD459="","",IF(ROUND($AO459+$AP459+$AQ459-$AD459,2)=0,"OK","FAIL - out by "&amp;TEXT($AO459+$AP459+$AQ459-$AD459,"$0.00")))</f>
      </c>
    </row>
    <row r="460" spans="1:58" ht="18.75" customHeight="1" x14ac:dyDescent="0.25">
      <c r="A460" s="46" t="inlineStr">
        <is>
          <t xml:space="preserve">CANON-202606-009025</t>
        </is>
      </c>
      <c r="B460" s="46" t="inlineStr">
        <is>
          <t xml:space="preserve">Beatrix Kingsford</t>
        </is>
      </c>
      <c r="C460" s="47">
        <v>46186</v>
      </c>
      <c r="D460" s="48" t="inlineStr">
        <is>
          <t xml:space="preserve">Bound - within authority</t>
        </is>
      </c>
      <c r="E460" s="48" t="inlineStr">
        <is>
          <t xml:space="preserve">New business</t>
        </is>
      </c>
      <c r="F460" s="46" t="inlineStr">
        <is>
          <t xml:space="preserve">B1234EXOTIC26</t>
        </is>
      </c>
      <c r="G460" s="33">
        <f>IF($A460="","",IF($C460="","",YEAR($C460)))</f>
      </c>
      <c r="H460" s="49">
        <v>1972</v>
      </c>
      <c r="I460" s="46" t="inlineStr">
        <is>
          <t xml:space="preserve">Icon</t>
        </is>
      </c>
      <c r="J460" s="46" t="inlineStr">
        <is>
          <t xml:space="preserve">Derelict</t>
        </is>
      </c>
      <c r="K460" s="46" t="inlineStr">
        <is>
          <t xml:space="preserve">U16MA7PEV1YRNB22F</t>
        </is>
      </c>
      <c r="L460" s="48" t="inlineStr">
        <is>
          <t xml:space="preserve">11 - Restomod / Coachbuilt / Bespoke</t>
        </is>
      </c>
      <c r="M460" s="50">
        <v>980000</v>
      </c>
      <c r="N460" s="48" t="inlineStr">
        <is>
          <t xml:space="preserve">Personal</t>
        </is>
      </c>
      <c r="O460" s="46" t="inlineStr">
        <is>
          <t xml:space="preserve">Personal - regular use</t>
        </is>
      </c>
      <c r="P460" s="46" t="inlineStr">
        <is>
          <t xml:space="preserve">Under 1,000</t>
        </is>
      </c>
      <c r="Q460" s="46" t="inlineStr">
        <is>
          <t xml:space="preserve">California</t>
        </is>
      </c>
      <c r="R460" s="46" t="inlineStr">
        <is>
          <t xml:space="preserve">90012</t>
        </is>
      </c>
      <c r="S460" s="48" t="inlineStr">
        <is>
          <t xml:space="preserve">Earthquake - high (CA, Cascadia, New Madrid)</t>
        </is>
      </c>
      <c r="T460" s="36">
        <f>IF($A460="","",IF($S460="","",IFERROR(INDEX('[1]natural catastrophe'!$D$6:$D$17,MATCH($S460,'[1]natural catastrophe'!$B$6:$B$17,0)),"?")))</f>
      </c>
      <c r="U460" s="46" t="inlineStr">
        <is>
          <t xml:space="preserve">$5,000</t>
        </is>
      </c>
      <c r="V460" s="48" t="inlineStr">
        <is>
          <t xml:space="preserve">Agreed Value</t>
        </is>
      </c>
      <c r="W460" s="46" t="inlineStr">
        <is>
          <t xml:space="preserve">$1,000</t>
        </is>
      </c>
      <c r="X460" s="48" t="inlineStr">
        <is>
          <t xml:space="preserve">$1,000,000 CSL</t>
        </is>
      </c>
      <c r="Y460" s="46"/>
      <c r="Z460" s="46"/>
      <c r="AA460" s="48" t="inlineStr">
        <is>
          <t xml:space="preserve">Surplus Lines</t>
        </is>
      </c>
      <c r="AB460" s="50">
        <v>14891.09</v>
      </c>
      <c r="AC460" s="51">
        <v>0</v>
      </c>
      <c r="AD460" s="38">
        <f>IF(ISNUMBER($AB460),$AB460*(1+N($AC460)),"")</f>
      </c>
      <c r="AE460" s="50">
        <v>350</v>
      </c>
      <c r="AF460" s="50">
        <v>0</v>
      </c>
      <c r="AG460" s="51"/>
      <c r="AH460" s="39">
        <f>IF(ISNUMBER($AD460),($AD460+$AE460+$AF460)*$AG460,"")</f>
      </c>
      <c r="AI460" s="50"/>
      <c r="AJ460" s="38">
        <f>IF(ISNUMBER($AD460),SUM($AD460:$AH460),"")</f>
      </c>
      <c r="AK460" s="40">
        <f>IF(AND(ISNUMBER($AB460),ISNUMBER($AD460)),IF($AB460&gt;0,$AD460/$AB460,""),"")</f>
      </c>
      <c r="AL460" s="48" t="inlineStr">
        <is>
          <t xml:space="preserve">At technical</t>
        </is>
      </c>
      <c r="AM460" s="41">
        <f>IF(ISNUMBER($AD460),Header!$I$3,"")</f>
      </c>
      <c r="AN460" s="39">
        <f>IF(ISNUMBER($AD460),$AO460+$AP460,"")</f>
      </c>
      <c r="AO460" s="39">
        <f>IF(ISNUMBER($AD460),ROUND($AD460*Header!$K$3,2),"")</f>
      </c>
      <c r="AP460" s="39">
        <f>IF(ISNUMBER($AD460),ROUND($AD460*Header!$M$3,2),"")</f>
      </c>
      <c r="AQ460" s="38">
        <f>IF(ISNUMBER($AD460),ROUND($AD460,2)-$AO460-$AP460,"")</f>
      </c>
      <c r="AR460" s="39">
        <f>IF(ISNUMBER($AD460),IF(Header!$D$34="","?",$AD460*Header!$D$34),"")</f>
      </c>
      <c r="AS460" s="39">
        <f>IF(ISNUMBER($AB460),IF(Header!$D$34="","?",$AB460*Header!$D$34),"")</f>
      </c>
      <c r="AT460" s="42">
        <f>IF(AND(ISNUMBER($AB460),$M460&gt;0),$AB460/$M460*100,"")</f>
      </c>
      <c r="AU460" s="42">
        <f>IF(AND(ISNUMBER($AD460),$M460&gt;0),$AD460/$M460*100,"")</f>
      </c>
      <c r="AV460" s="40">
        <f>IF(AND(ISNUMBER($AB460),ISNUMBER($AD460),ABS($AB460)&gt;0),$AD460/$AB460,"")</f>
      </c>
      <c r="AW460" s="39">
        <f>IF(ISNUMBER($AD460),MAX(0,(1-0.55-Header!$O$3)*Header!$Q$3*$AQ460),"")</f>
      </c>
      <c r="AX460" s="43">
        <f>IF($A460="","",IF(TRIM(IF($A460="","Missing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",""))="","PASS","FAIL: "&amp;TRIM(IF($A460="","Missing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f>
      </c>
      <c r="AY460" s="44">
        <f>IF($M460="","",IF(ISNUMBER($M460),IF($M460&gt;=Header!$C$18,"YES — refer","No"),""))</f>
      </c>
      <c r="AZ460" s="44">
        <f>IF($AD460="","",IF(ISNUMBER($AD460),IF($AD460&lt;Header!$C$20,"BELOW MIN PREMIUM","OK"),""))</f>
      </c>
      <c r="BA460" s="48" t="inlineStr">
        <is>
          <t xml:space="preserve">Yes</t>
        </is>
      </c>
      <c r="BB460" s="48" t="inlineStr">
        <is>
          <t xml:space="preserve">Yes</t>
        </is>
      </c>
      <c r="BC460" s="46" t="inlineStr">
        <is>
          <t xml:space="preserve">Synthetic demo data</t>
        </is>
      </c>
      <c r="BE460" s="45">
        <f>IF(OR($A460="",$L460="",$H460=""),"",IF(AND(LEFT($L460,2)="06",$H460&gt;1945),"FAIL - pre-war class, year "&amp;$H460,IF(AND(LEFT($L460,2)="07",OR($H460&lt;1946,$H460&gt;1972)),"FAIL - 1946-72 class, year "&amp;$H460,IF(AND(LEFT($L460,2)="08",OR($H460&lt;1973,$H460&gt;1999)),"FAIL - 1973-99 class, year "&amp;$H460,IF(AND(LEFT($L460,2)="09",OR($H460&lt;2000,$H460&gt;2010)),"FAIL - 2000-10 class, year "&amp;$H460,"OK")))))</f>
      </c>
      <c r="BF460" s="45">
        <f>IF($AD460="","",IF(ROUND($AO460+$AP460+$AQ460-$AD460,2)=0,"OK","FAIL - out by "&amp;TEXT($AO460+$AP460+$AQ460-$AD460,"$0.00")))</f>
      </c>
    </row>
    <row r="461" spans="1:58" ht="18.75" customHeight="1" x14ac:dyDescent="0.25">
      <c r="A461" s="30" t="inlineStr">
        <is>
          <t xml:space="preserve">CANON-202606-009026</t>
        </is>
      </c>
      <c r="B461" s="30" t="inlineStr">
        <is>
          <t xml:space="preserve">Fenwick Larsson</t>
        </is>
      </c>
      <c r="C461" s="31">
        <v>46184</v>
      </c>
      <c r="D461" s="32" t="inlineStr">
        <is>
          <t xml:space="preserve">Bound - within authority</t>
        </is>
      </c>
      <c r="E461" s="32" t="inlineStr">
        <is>
          <t xml:space="preserve">New business</t>
        </is>
      </c>
      <c r="F461" s="30" t="inlineStr">
        <is>
          <t xml:space="preserve">B1234EXOTIC26</t>
        </is>
      </c>
      <c r="G461" s="33">
        <f>IF($A461="","",IF($C461="","",YEAR($C461)))</f>
      </c>
      <c r="H461" s="34">
        <v>1956</v>
      </c>
      <c r="I461" s="30" t="inlineStr">
        <is>
          <t xml:space="preserve">Maserati</t>
        </is>
      </c>
      <c r="J461" s="30" t="inlineStr">
        <is>
          <t xml:space="preserve">GranTurismo</t>
        </is>
      </c>
      <c r="K461" s="30" t="inlineStr">
        <is>
          <t xml:space="preserve">B9NCN9J4UB4H7AVLZ</t>
        </is>
      </c>
      <c r="L461" s="32" t="inlineStr">
        <is>
          <t xml:space="preserve">02 - Sports / GT</t>
        </is>
      </c>
      <c r="M461" s="35">
        <v>355000</v>
      </c>
      <c r="N461" s="32" t="inlineStr">
        <is>
          <t xml:space="preserve">Personal</t>
        </is>
      </c>
      <c r="O461" s="30" t="inlineStr">
        <is>
          <t xml:space="preserve">Personal - regular use</t>
        </is>
      </c>
      <c r="P461" s="30" t="inlineStr">
        <is>
          <t xml:space="preserve">1,000 - 2,500</t>
        </is>
      </c>
      <c r="Q461" s="30" t="inlineStr">
        <is>
          <t xml:space="preserve">New Mexico</t>
        </is>
      </c>
      <c r="R461" s="30" t="inlineStr">
        <is>
          <t xml:space="preserve">87501</t>
        </is>
      </c>
      <c r="S461" s="32" t="inlineStr">
        <is>
          <t xml:space="preserve">Wildfire - WUI high hazard</t>
        </is>
      </c>
      <c r="T461" s="36">
        <f>IF($A461="","",IF($S461="","",IFERROR(INDEX('[1]natural catastrophe'!$D$6:$D$17,MATCH($S461,'[1]natural catastrophe'!$B$6:$B$17,0)),"?")))</f>
      </c>
      <c r="U461" s="30" t="inlineStr">
        <is>
          <t xml:space="preserve">$5,000</t>
        </is>
      </c>
      <c r="V461" s="32" t="inlineStr">
        <is>
          <t xml:space="preserve">Agreed Value</t>
        </is>
      </c>
      <c r="W461" s="30" t="inlineStr">
        <is>
          <t xml:space="preserve">$1,000</t>
        </is>
      </c>
      <c r="X461" s="32" t="inlineStr">
        <is>
          <t xml:space="preserve">$1,000,000 CSL</t>
        </is>
      </c>
      <c r="Y461" s="30"/>
      <c r="Z461" s="30"/>
      <c r="AA461" s="32" t="inlineStr">
        <is>
          <t xml:space="preserve">Surplus Lines</t>
        </is>
      </c>
      <c r="AB461" s="35">
        <v>4917.81</v>
      </c>
      <c r="AC461" s="37">
        <v>0</v>
      </c>
      <c r="AD461" s="38">
        <f>IF(ISNUMBER($AB461),$AB461*(1+N($AC461)),"")</f>
      </c>
      <c r="AE461" s="35">
        <v>350</v>
      </c>
      <c r="AF461" s="35">
        <v>0</v>
      </c>
      <c r="AG461" s="37"/>
      <c r="AH461" s="39">
        <f>IF(ISNUMBER($AD461),($AD461+$AE461+$AF461)*$AG461,"")</f>
      </c>
      <c r="AI461" s="35"/>
      <c r="AJ461" s="38">
        <f>IF(ISNUMBER($AD461),SUM($AD461:$AH461),"")</f>
      </c>
      <c r="AK461" s="40">
        <f>IF(AND(ISNUMBER($AB461),ISNUMBER($AD461)),IF($AB461&gt;0,$AD461/$AB461,""),"")</f>
      </c>
      <c r="AL461" s="32" t="inlineStr">
        <is>
          <t xml:space="preserve">At technical</t>
        </is>
      </c>
      <c r="AM461" s="41">
        <f>IF(ISNUMBER($AD461),Header!$I$3,"")</f>
      </c>
      <c r="AN461" s="39">
        <f>IF(ISNUMBER($AD461),$AO461+$AP461,"")</f>
      </c>
      <c r="AO461" s="39">
        <f>IF(ISNUMBER($AD461),ROUND($AD461*Header!$K$3,2),"")</f>
      </c>
      <c r="AP461" s="39">
        <f>IF(ISNUMBER($AD461),ROUND($AD461*Header!$M$3,2),"")</f>
      </c>
      <c r="AQ461" s="38">
        <f>IF(ISNUMBER($AD461),ROUND($AD461,2)-$AO461-$AP461,"")</f>
      </c>
      <c r="AR461" s="39">
        <f>IF(ISNUMBER($AD461),IF(Header!$D$34="","?",$AD461*Header!$D$34),"")</f>
      </c>
      <c r="AS461" s="39">
        <f>IF(ISNUMBER($AB461),IF(Header!$D$34="","?",$AB461*Header!$D$34),"")</f>
      </c>
      <c r="AT461" s="42">
        <f>IF(AND(ISNUMBER($AB461),$M461&gt;0),$AB461/$M461*100,"")</f>
      </c>
      <c r="AU461" s="42">
        <f>IF(AND(ISNUMBER($AD461),$M461&gt;0),$AD461/$M461*100,"")</f>
      </c>
      <c r="AV461" s="40">
        <f>IF(AND(ISNUMBER($AB461),ISNUMBER($AD461),ABS($AB461)&gt;0),$AD461/$AB461,"")</f>
      </c>
      <c r="AW461" s="39">
        <f>IF(ISNUMBER($AD461),MAX(0,(1-0.55-Header!$O$3)*Header!$Q$3*$AQ461),"")</f>
      </c>
      <c r="AX461" s="43">
        <f>IF($A461="","",IF(TRIM(IF($A461="","Missing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",""))="","PASS","FAIL: "&amp;TRIM(IF($A461="","Missing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f>
      </c>
      <c r="AY461" s="44">
        <f>IF($M461="","",IF(ISNUMBER($M461),IF($M461&gt;=Header!$C$18,"YES — refer","No"),""))</f>
      </c>
      <c r="AZ461" s="44">
        <f>IF($AD461="","",IF(ISNUMBER($AD461),IF($AD461&lt;Header!$C$20,"BELOW MIN PREMIUM","OK"),""))</f>
      </c>
      <c r="BA461" s="32" t="inlineStr">
        <is>
          <t xml:space="preserve">Yes</t>
        </is>
      </c>
      <c r="BB461" s="32" t="inlineStr">
        <is>
          <t xml:space="preserve">Yes</t>
        </is>
      </c>
      <c r="BC461" s="30" t="inlineStr">
        <is>
          <t xml:space="preserve">Synthetic demo data</t>
        </is>
      </c>
      <c r="BE461" s="45">
        <f>IF(OR($A461="",$L461="",$H461=""),"",IF(AND(LEFT($L461,2)="06",$H461&gt;1945),"FAIL - pre-war class, year "&amp;$H461,IF(AND(LEFT($L461,2)="07",OR($H461&lt;1946,$H461&gt;1972)),"FAIL - 1946-72 class, year "&amp;$H461,IF(AND(LEFT($L461,2)="08",OR($H461&lt;1973,$H461&gt;1999)),"FAIL - 1973-99 class, year "&amp;$H461,IF(AND(LEFT($L461,2)="09",OR($H461&lt;2000,$H461&gt;2010)),"FAIL - 2000-10 class, year "&amp;$H461,"OK")))))</f>
      </c>
      <c r="BF461" s="45">
        <f>IF($AD461="","",IF(ROUND($AO461+$AP461+$AQ461-$AD461,2)=0,"OK","FAIL - out by "&amp;TEXT($AO461+$AP461+$AQ461-$AD461,"$0.00")))</f>
      </c>
    </row>
    <row r="462" spans="1:58" ht="18.75" customHeight="1" x14ac:dyDescent="0.25">
      <c r="A462" s="46" t="inlineStr">
        <is>
          <t xml:space="preserve">CANON-202606-009027</t>
        </is>
      </c>
      <c r="B462" s="46" t="inlineStr">
        <is>
          <t xml:space="preserve">Saoirse Rourke</t>
        </is>
      </c>
      <c r="C462" s="47">
        <v>46178</v>
      </c>
      <c r="D462" s="48" t="inlineStr">
        <is>
          <t xml:space="preserve">Bound - within authority</t>
        </is>
      </c>
      <c r="E462" s="48" t="inlineStr">
        <is>
          <t xml:space="preserve">New business</t>
        </is>
      </c>
      <c r="F462" s="46" t="inlineStr">
        <is>
          <t xml:space="preserve">B1234EXOTIC26</t>
        </is>
      </c>
      <c r="G462" s="33">
        <f>IF($A462="","",IF($C462="","",YEAR($C462)))</f>
      </c>
      <c r="H462" s="49">
        <v>2020</v>
      </c>
      <c r="I462" s="46" t="inlineStr">
        <is>
          <t xml:space="preserve">Mercedes-Benz</t>
        </is>
      </c>
      <c r="J462" s="46" t="inlineStr">
        <is>
          <t xml:space="preserve">AMG GT</t>
        </is>
      </c>
      <c r="K462" s="46" t="inlineStr">
        <is>
          <t xml:space="preserve">EJPCAKXCKZUJC8ACM</t>
        </is>
      </c>
      <c r="L462" s="48" t="inlineStr">
        <is>
          <t xml:space="preserve">02 - Sports / GT</t>
        </is>
      </c>
      <c r="M462" s="50">
        <v>570000</v>
      </c>
      <c r="N462" s="48" t="inlineStr">
        <is>
          <t xml:space="preserve">Personal</t>
        </is>
      </c>
      <c r="O462" s="46" t="inlineStr">
        <is>
          <t xml:space="preserve">Personal - regular use</t>
        </is>
      </c>
      <c r="P462" s="46" t="inlineStr">
        <is>
          <t xml:space="preserve">1,000 - 2,500</t>
        </is>
      </c>
      <c r="Q462" s="46" t="inlineStr">
        <is>
          <t xml:space="preserve">Arkansas</t>
        </is>
      </c>
      <c r="R462" s="46" t="inlineStr">
        <is>
          <t xml:space="preserve">72201</t>
        </is>
      </c>
      <c r="S462" s="48" t="inlineStr">
        <is>
          <t xml:space="preserve">Severe convective - hail / tornado (moderate)</t>
        </is>
      </c>
      <c r="T462" s="36">
        <f>IF($A462="","",IF($S462="","",IFERROR(INDEX('[1]natural catastrophe'!$D$6:$D$17,MATCH($S462,'[1]natural catastrophe'!$B$6:$B$17,0)),"?")))</f>
      </c>
      <c r="U462" s="46" t="inlineStr">
        <is>
          <t xml:space="preserve">$5,000</t>
        </is>
      </c>
      <c r="V462" s="48" t="inlineStr">
        <is>
          <t xml:space="preserve">Agreed Value</t>
        </is>
      </c>
      <c r="W462" s="46" t="inlineStr">
        <is>
          <t xml:space="preserve">$1,000</t>
        </is>
      </c>
      <c r="X462" s="48" t="inlineStr">
        <is>
          <t xml:space="preserve">$1,000,000 CSL</t>
        </is>
      </c>
      <c r="Y462" s="46"/>
      <c r="Z462" s="46"/>
      <c r="AA462" s="48" t="inlineStr">
        <is>
          <t xml:space="preserve">Surplus Lines</t>
        </is>
      </c>
      <c r="AB462" s="50">
        <v>7378.01</v>
      </c>
      <c r="AC462" s="51">
        <v>0</v>
      </c>
      <c r="AD462" s="38">
        <f>IF(ISNUMBER($AB462),$AB462*(1+N($AC462)),"")</f>
      </c>
      <c r="AE462" s="50">
        <v>350</v>
      </c>
      <c r="AF462" s="50">
        <v>0</v>
      </c>
      <c r="AG462" s="51"/>
      <c r="AH462" s="39">
        <f>IF(ISNUMBER($AD462),($AD462+$AE462+$AF462)*$AG462,"")</f>
      </c>
      <c r="AI462" s="50"/>
      <c r="AJ462" s="38">
        <f>IF(ISNUMBER($AD462),SUM($AD462:$AH462),"")</f>
      </c>
      <c r="AK462" s="40">
        <f>IF(AND(ISNUMBER($AB462),ISNUMBER($AD462)),IF($AB462&gt;0,$AD462/$AB462,""),"")</f>
      </c>
      <c r="AL462" s="48" t="inlineStr">
        <is>
          <t xml:space="preserve">At technical</t>
        </is>
      </c>
      <c r="AM462" s="41">
        <f>IF(ISNUMBER($AD462),Header!$I$3,"")</f>
      </c>
      <c r="AN462" s="39">
        <f>IF(ISNUMBER($AD462),$AO462+$AP462,"")</f>
      </c>
      <c r="AO462" s="39">
        <f>IF(ISNUMBER($AD462),ROUND($AD462*Header!$K$3,2),"")</f>
      </c>
      <c r="AP462" s="39">
        <f>IF(ISNUMBER($AD462),ROUND($AD462*Header!$M$3,2),"")</f>
      </c>
      <c r="AQ462" s="38">
        <f>IF(ISNUMBER($AD462),ROUND($AD462,2)-$AO462-$AP462,"")</f>
      </c>
      <c r="AR462" s="39">
        <f>IF(ISNUMBER($AD462),IF(Header!$D$34="","?",$AD462*Header!$D$34),"")</f>
      </c>
      <c r="AS462" s="39">
        <f>IF(ISNUMBER($AB462),IF(Header!$D$34="","?",$AB462*Header!$D$34),"")</f>
      </c>
      <c r="AT462" s="42">
        <f>IF(AND(ISNUMBER($AB462),$M462&gt;0),$AB462/$M462*100,"")</f>
      </c>
      <c r="AU462" s="42">
        <f>IF(AND(ISNUMBER($AD462),$M462&gt;0),$AD462/$M462*100,"")</f>
      </c>
      <c r="AV462" s="40">
        <f>IF(AND(ISNUMBER($AB462),ISNUMBER($AD462),ABS($AB462)&gt;0),$AD462/$AB462,"")</f>
      </c>
      <c r="AW462" s="39">
        <f>IF(ISNUMBER($AD462),MAX(0,(1-0.55-Header!$O$3)*Header!$Q$3*$AQ462),"")</f>
      </c>
      <c r="AX462" s="43">
        <f>IF($A462="","",IF(TRIM(IF($A462="","Missing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",""))="","PASS","FAIL: "&amp;TRIM(IF($A462="","Missing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f>
      </c>
      <c r="AY462" s="44">
        <f>IF($M462="","",IF(ISNUMBER($M462),IF($M462&gt;=Header!$C$18,"YES — refer","No"),""))</f>
      </c>
      <c r="AZ462" s="44">
        <f>IF($AD462="","",IF(ISNUMBER($AD462),IF($AD462&lt;Header!$C$20,"BELOW MIN PREMIUM","OK"),""))</f>
      </c>
      <c r="BA462" s="48" t="inlineStr">
        <is>
          <t xml:space="preserve">Yes</t>
        </is>
      </c>
      <c r="BB462" s="48" t="inlineStr">
        <is>
          <t xml:space="preserve">Yes</t>
        </is>
      </c>
      <c r="BC462" s="46" t="inlineStr">
        <is>
          <t xml:space="preserve">Synthetic demo data</t>
        </is>
      </c>
      <c r="BE462" s="45">
        <f>IF(OR($A462="",$L462="",$H462=""),"",IF(AND(LEFT($L462,2)="06",$H462&gt;1945),"FAIL - pre-war class, year "&amp;$H462,IF(AND(LEFT($L462,2)="07",OR($H462&lt;1946,$H462&gt;1972)),"FAIL - 1946-72 class, year "&amp;$H462,IF(AND(LEFT($L462,2)="08",OR($H462&lt;1973,$H462&gt;1999)),"FAIL - 1973-99 class, year "&amp;$H462,IF(AND(LEFT($L462,2)="09",OR($H462&lt;2000,$H462&gt;2010)),"FAIL - 2000-10 class, year "&amp;$H462,"OK")))))</f>
      </c>
      <c r="BF462" s="45">
        <f>IF($AD462="","",IF(ROUND($AO462+$AP462+$AQ462-$AD462,2)=0,"OK","FAIL - out by "&amp;TEXT($AO462+$AP462+$AQ462-$AD462,"$0.00")))</f>
      </c>
    </row>
    <row r="463" spans="1:58" ht="18.75" customHeight="1" x14ac:dyDescent="0.25">
      <c r="A463" s="30" t="inlineStr">
        <is>
          <t xml:space="preserve">CANON-202606-009028</t>
        </is>
      </c>
      <c r="B463" s="30" t="inlineStr">
        <is>
          <t xml:space="preserve">Noor Nakashima</t>
        </is>
      </c>
      <c r="C463" s="31">
        <v>46189</v>
      </c>
      <c r="D463" s="32" t="inlineStr">
        <is>
          <t xml:space="preserve">Bound - within authority</t>
        </is>
      </c>
      <c r="E463" s="32" t="inlineStr">
        <is>
          <t xml:space="preserve">New business</t>
        </is>
      </c>
      <c r="F463" s="30" t="inlineStr">
        <is>
          <t xml:space="preserve">B1234EXOTIC26</t>
        </is>
      </c>
      <c r="G463" s="33">
        <f>IF($A463="","",IF($C463="","",YEAR($C463)))</f>
      </c>
      <c r="H463" s="34">
        <v>1966</v>
      </c>
      <c r="I463" s="30" t="inlineStr">
        <is>
          <t xml:space="preserve">Aston Martin</t>
        </is>
      </c>
      <c r="J463" s="30" t="inlineStr">
        <is>
          <t xml:space="preserve">DB5</t>
        </is>
      </c>
      <c r="K463" s="30" t="inlineStr">
        <is>
          <t xml:space="preserve">00N7TF2FFY0YLEK1N</t>
        </is>
      </c>
      <c r="L463" s="32" t="inlineStr">
        <is>
          <t xml:space="preserve">07 - Post-War Classic (1946-1972)</t>
        </is>
      </c>
      <c r="M463" s="35">
        <v>985000</v>
      </c>
      <c r="N463" s="32" t="inlineStr">
        <is>
          <t xml:space="preserve">Personal</t>
        </is>
      </c>
      <c r="O463" s="30" t="inlineStr">
        <is>
          <t xml:space="preserve">Personal - regular use</t>
        </is>
      </c>
      <c r="P463" s="30" t="inlineStr">
        <is>
          <t xml:space="preserve">1,000 - 2,500</t>
        </is>
      </c>
      <c r="Q463" s="30" t="inlineStr">
        <is>
          <t xml:space="preserve">New Hampshire</t>
        </is>
      </c>
      <c r="R463" s="30" t="inlineStr">
        <is>
          <t xml:space="preserve">03301</t>
        </is>
      </c>
      <c r="S463" s="32" t="inlineStr">
        <is>
          <t xml:space="preserve">Tier 3 - Coastal wind (25-100 miles)</t>
        </is>
      </c>
      <c r="T463" s="36">
        <f>IF($A463="","",IF($S463="","",IFERROR(INDEX('[1]natural catastrophe'!$D$6:$D$17,MATCH($S463,'[1]natural catastrophe'!$B$6:$B$17,0)),"?")))</f>
      </c>
      <c r="U463" s="30" t="inlineStr">
        <is>
          <t xml:space="preserve">2% of agreed value, minimum $10,000</t>
        </is>
      </c>
      <c r="V463" s="32" t="inlineStr">
        <is>
          <t xml:space="preserve">Agreed Value</t>
        </is>
      </c>
      <c r="W463" s="30" t="inlineStr">
        <is>
          <t xml:space="preserve">$1,000</t>
        </is>
      </c>
      <c r="X463" s="32" t="inlineStr">
        <is>
          <t xml:space="preserve">$1,000,000 CSL</t>
        </is>
      </c>
      <c r="Y463" s="30"/>
      <c r="Z463" s="30"/>
      <c r="AA463" s="32" t="inlineStr">
        <is>
          <t xml:space="preserve">Surplus Lines</t>
        </is>
      </c>
      <c r="AB463" s="35">
        <v>6356.38</v>
      </c>
      <c r="AC463" s="37">
        <v>0</v>
      </c>
      <c r="AD463" s="38">
        <f>IF(ISNUMBER($AB463),$AB463*(1+N($AC463)),"")</f>
      </c>
      <c r="AE463" s="35">
        <v>350</v>
      </c>
      <c r="AF463" s="35">
        <v>0</v>
      </c>
      <c r="AG463" s="37"/>
      <c r="AH463" s="39">
        <f>IF(ISNUMBER($AD463),($AD463+$AE463+$AF463)*$AG463,"")</f>
      </c>
      <c r="AI463" s="35"/>
      <c r="AJ463" s="38">
        <f>IF(ISNUMBER($AD463),SUM($AD463:$AH463),"")</f>
      </c>
      <c r="AK463" s="40">
        <f>IF(AND(ISNUMBER($AB463),ISNUMBER($AD463)),IF($AB463&gt;0,$AD463/$AB463,""),"")</f>
      </c>
      <c r="AL463" s="32" t="inlineStr">
        <is>
          <t xml:space="preserve">At technical</t>
        </is>
      </c>
      <c r="AM463" s="41">
        <f>IF(ISNUMBER($AD463),Header!$I$3,"")</f>
      </c>
      <c r="AN463" s="39">
        <f>IF(ISNUMBER($AD463),$AO463+$AP463,"")</f>
      </c>
      <c r="AO463" s="39">
        <f>IF(ISNUMBER($AD463),ROUND($AD463*Header!$K$3,2),"")</f>
      </c>
      <c r="AP463" s="39">
        <f>IF(ISNUMBER($AD463),ROUND($AD463*Header!$M$3,2),"")</f>
      </c>
      <c r="AQ463" s="38">
        <f>IF(ISNUMBER($AD463),ROUND($AD463,2)-$AO463-$AP463,"")</f>
      </c>
      <c r="AR463" s="39">
        <f>IF(ISNUMBER($AD463),IF(Header!$D$34="","?",$AD463*Header!$D$34),"")</f>
      </c>
      <c r="AS463" s="39">
        <f>IF(ISNUMBER($AB463),IF(Header!$D$34="","?",$AB463*Header!$D$34),"")</f>
      </c>
      <c r="AT463" s="42">
        <f>IF(AND(ISNUMBER($AB463),$M463&gt;0),$AB463/$M463*100,"")</f>
      </c>
      <c r="AU463" s="42">
        <f>IF(AND(ISNUMBER($AD463),$M463&gt;0),$AD463/$M463*100,"")</f>
      </c>
      <c r="AV463" s="40">
        <f>IF(AND(ISNUMBER($AB463),ISNUMBER($AD463),ABS($AB463)&gt;0),$AD463/$AB463,"")</f>
      </c>
      <c r="AW463" s="39">
        <f>IF(ISNUMBER($AD463),MAX(0,(1-0.55-Header!$O$3)*Header!$Q$3*$AQ463),"")</f>
      </c>
      <c r="AX463" s="43">
        <f>IF($A463="","",IF(TRIM(IF($A463="","Missing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",""))="","PASS","FAIL: "&amp;TRIM(IF($A463="","Missing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f>
      </c>
      <c r="AY463" s="44">
        <f>IF($M463="","",IF(ISNUMBER($M463),IF($M463&gt;=Header!$C$18,"YES — refer","No"),""))</f>
      </c>
      <c r="AZ463" s="44">
        <f>IF($AD463="","",IF(ISNUMBER($AD463),IF($AD463&lt;Header!$C$20,"BELOW MIN PREMIUM","OK"),""))</f>
      </c>
      <c r="BA463" s="32" t="inlineStr">
        <is>
          <t xml:space="preserve">Yes</t>
        </is>
      </c>
      <c r="BB463" s="32" t="inlineStr">
        <is>
          <t xml:space="preserve">Yes</t>
        </is>
      </c>
      <c r="BC463" s="30" t="inlineStr">
        <is>
          <t xml:space="preserve">Synthetic demo data</t>
        </is>
      </c>
      <c r="BE463" s="45">
        <f>IF(OR($A463="",$L463="",$H463=""),"",IF(AND(LEFT($L463,2)="06",$H463&gt;1945),"FAIL - pre-war class, year "&amp;$H463,IF(AND(LEFT($L463,2)="07",OR($H463&lt;1946,$H463&gt;1972)),"FAIL - 1946-72 class, year "&amp;$H463,IF(AND(LEFT($L463,2)="08",OR($H463&lt;1973,$H463&gt;1999)),"FAIL - 1973-99 class, year "&amp;$H463,IF(AND(LEFT($L463,2)="09",OR($H463&lt;2000,$H463&gt;2010)),"FAIL - 2000-10 class, year "&amp;$H463,"OK")))))</f>
      </c>
      <c r="BF463" s="45">
        <f>IF($AD463="","",IF(ROUND($AO463+$AP463+$AQ463-$AD463,2)=0,"OK","FAIL - out by "&amp;TEXT($AO463+$AP463+$AQ463-$AD463,"$0.00")))</f>
      </c>
    </row>
    <row r="464" spans="1:58" ht="18.75" customHeight="1" x14ac:dyDescent="0.25">
      <c r="A464" s="46" t="inlineStr">
        <is>
          <t xml:space="preserve">CANON-202606-009030</t>
        </is>
      </c>
      <c r="B464" s="46" t="inlineStr">
        <is>
          <t xml:space="preserve">Anouk Chattopadhyay</t>
        </is>
      </c>
      <c r="C464" s="47">
        <v>46176</v>
      </c>
      <c r="D464" s="48" t="inlineStr">
        <is>
          <t xml:space="preserve">Bound - within authority</t>
        </is>
      </c>
      <c r="E464" s="48" t="inlineStr">
        <is>
          <t xml:space="preserve">New business</t>
        </is>
      </c>
      <c r="F464" s="46" t="inlineStr">
        <is>
          <t xml:space="preserve">B1234EXOTIC26</t>
        </is>
      </c>
      <c r="G464" s="33">
        <f>IF($A464="","",IF($C464="","",YEAR($C464)))</f>
      </c>
      <c r="H464" s="49">
        <v>1967</v>
      </c>
      <c r="I464" s="46" t="inlineStr">
        <is>
          <t xml:space="preserve">McLaren</t>
        </is>
      </c>
      <c r="J464" s="46" t="inlineStr">
        <is>
          <t xml:space="preserve">750S</t>
        </is>
      </c>
      <c r="K464" s="46" t="inlineStr">
        <is>
          <t xml:space="preserve">5L0F6KKNWH8TZK1TM</t>
        </is>
      </c>
      <c r="L464" s="48" t="inlineStr">
        <is>
          <t xml:space="preserve">03 - Supercar</t>
        </is>
      </c>
      <c r="M464" s="50">
        <v>355000</v>
      </c>
      <c r="N464" s="48" t="inlineStr">
        <is>
          <t xml:space="preserve">Personal</t>
        </is>
      </c>
      <c r="O464" s="46" t="inlineStr">
        <is>
          <t xml:space="preserve">Personal - regular use</t>
        </is>
      </c>
      <c r="P464" s="46" t="inlineStr">
        <is>
          <t xml:space="preserve">1,000 - 2,500</t>
        </is>
      </c>
      <c r="Q464" s="46" t="inlineStr">
        <is>
          <t xml:space="preserve">Colorado</t>
        </is>
      </c>
      <c r="R464" s="46" t="inlineStr">
        <is>
          <t xml:space="preserve">80202</t>
        </is>
      </c>
      <c r="S464" s="48" t="inlineStr">
        <is>
          <t xml:space="preserve">Severe convective - hail alley (high)</t>
        </is>
      </c>
      <c r="T464" s="36">
        <f>IF($A464="","",IF($S464="","",IFERROR(INDEX('[1]natural catastrophe'!$D$6:$D$17,MATCH($S464,'[1]natural catastrophe'!$B$6:$B$17,0)),"?")))</f>
      </c>
      <c r="U464" s="46" t="inlineStr">
        <is>
          <t xml:space="preserve">$5,000</t>
        </is>
      </c>
      <c r="V464" s="48" t="inlineStr">
        <is>
          <t xml:space="preserve">Agreed Value</t>
        </is>
      </c>
      <c r="W464" s="46" t="inlineStr">
        <is>
          <t xml:space="preserve">$1,000</t>
        </is>
      </c>
      <c r="X464" s="48" t="inlineStr">
        <is>
          <t xml:space="preserve">$1,000,000 CSL</t>
        </is>
      </c>
      <c r="Y464" s="46"/>
      <c r="Z464" s="46"/>
      <c r="AA464" s="48" t="inlineStr">
        <is>
          <t xml:space="preserve">Surplus Lines</t>
        </is>
      </c>
      <c r="AB464" s="50">
        <v>6480.23</v>
      </c>
      <c r="AC464" s="51">
        <v>0</v>
      </c>
      <c r="AD464" s="38">
        <f>IF(ISNUMBER($AB464),$AB464*(1+N($AC464)),"")</f>
      </c>
      <c r="AE464" s="50">
        <v>350</v>
      </c>
      <c r="AF464" s="50">
        <v>0</v>
      </c>
      <c r="AG464" s="51"/>
      <c r="AH464" s="39">
        <f>IF(ISNUMBER($AD464),($AD464+$AE464+$AF464)*$AG464,"")</f>
      </c>
      <c r="AI464" s="50"/>
      <c r="AJ464" s="38">
        <f>IF(ISNUMBER($AD464),SUM($AD464:$AH464),"")</f>
      </c>
      <c r="AK464" s="40">
        <f>IF(AND(ISNUMBER($AB464),ISNUMBER($AD464)),IF($AB464&gt;0,$AD464/$AB464,""),"")</f>
      </c>
      <c r="AL464" s="48" t="inlineStr">
        <is>
          <t xml:space="preserve">At technical</t>
        </is>
      </c>
      <c r="AM464" s="41">
        <f>IF(ISNUMBER($AD464),Header!$I$3,"")</f>
      </c>
      <c r="AN464" s="39">
        <f>IF(ISNUMBER($AD464),$AO464+$AP464,"")</f>
      </c>
      <c r="AO464" s="39">
        <f>IF(ISNUMBER($AD464),ROUND($AD464*Header!$K$3,2),"")</f>
      </c>
      <c r="AP464" s="39">
        <f>IF(ISNUMBER($AD464),ROUND($AD464*Header!$M$3,2),"")</f>
      </c>
      <c r="AQ464" s="38">
        <f>IF(ISNUMBER($AD464),ROUND($AD464,2)-$AO464-$AP464,"")</f>
      </c>
      <c r="AR464" s="39">
        <f>IF(ISNUMBER($AD464),IF(Header!$D$34="","?",$AD464*Header!$D$34),"")</f>
      </c>
      <c r="AS464" s="39">
        <f>IF(ISNUMBER($AB464),IF(Header!$D$34="","?",$AB464*Header!$D$34),"")</f>
      </c>
      <c r="AT464" s="42">
        <f>IF(AND(ISNUMBER($AB464),$M464&gt;0),$AB464/$M464*100,"")</f>
      </c>
      <c r="AU464" s="42">
        <f>IF(AND(ISNUMBER($AD464),$M464&gt;0),$AD464/$M464*100,"")</f>
      </c>
      <c r="AV464" s="40">
        <f>IF(AND(ISNUMBER($AB464),ISNUMBER($AD464),ABS($AB464)&gt;0),$AD464/$AB464,"")</f>
      </c>
      <c r="AW464" s="39">
        <f>IF(ISNUMBER($AD464),MAX(0,(1-0.55-Header!$O$3)*Header!$Q$3*$AQ464),"")</f>
      </c>
      <c r="AX464" s="43">
        <f>IF($A464="","",IF(TRIM(IF($A464="","Missing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",""))="","PASS","FAIL: "&amp;TRIM(IF($A464="","Missing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f>
      </c>
      <c r="AY464" s="44">
        <f>IF($M464="","",IF(ISNUMBER($M464),IF($M464&gt;=Header!$C$18,"YES — refer","No"),""))</f>
      </c>
      <c r="AZ464" s="44">
        <f>IF($AD464="","",IF(ISNUMBER($AD464),IF($AD464&lt;Header!$C$20,"BELOW MIN PREMIUM","OK"),""))</f>
      </c>
      <c r="BA464" s="48" t="inlineStr">
        <is>
          <t xml:space="preserve">Yes</t>
        </is>
      </c>
      <c r="BB464" s="48" t="inlineStr">
        <is>
          <t xml:space="preserve">Yes</t>
        </is>
      </c>
      <c r="BC464" s="46" t="inlineStr">
        <is>
          <t xml:space="preserve">Synthetic demo data</t>
        </is>
      </c>
      <c r="BE464" s="45">
        <f>IF(OR($A464="",$L464="",$H464=""),"",IF(AND(LEFT($L464,2)="06",$H464&gt;1945),"FAIL - pre-war class, year "&amp;$H464,IF(AND(LEFT($L464,2)="07",OR($H464&lt;1946,$H464&gt;1972)),"FAIL - 1946-72 class, year "&amp;$H464,IF(AND(LEFT($L464,2)="08",OR($H464&lt;1973,$H464&gt;1999)),"FAIL - 1973-99 class, year "&amp;$H464,IF(AND(LEFT($L464,2)="09",OR($H464&lt;2000,$H464&gt;2010)),"FAIL - 2000-10 class, year "&amp;$H464,"OK")))))</f>
      </c>
      <c r="BF464" s="45">
        <f>IF($AD464="","",IF(ROUND($AO464+$AP464+$AQ464-$AD464,2)=0,"OK","FAIL - out by "&amp;TEXT($AO464+$AP464+$AQ464-$AD464,"$0.00")))</f>
      </c>
    </row>
    <row r="465" spans="1:58" ht="18.75" customHeight="1" x14ac:dyDescent="0.25">
      <c r="A465" s="30" t="inlineStr">
        <is>
          <t xml:space="preserve">CANON-202606-009031</t>
        </is>
      </c>
      <c r="B465" s="30" t="inlineStr">
        <is>
          <t xml:space="preserve">Sunniva Harrington</t>
        </is>
      </c>
      <c r="C465" s="31">
        <v>46180</v>
      </c>
      <c r="D465" s="32" t="inlineStr">
        <is>
          <t xml:space="preserve">Bound - within authority</t>
        </is>
      </c>
      <c r="E465" s="32" t="inlineStr">
        <is>
          <t xml:space="preserve">New business</t>
        </is>
      </c>
      <c r="F465" s="30" t="inlineStr">
        <is>
          <t xml:space="preserve">B1234EXOTIC26</t>
        </is>
      </c>
      <c r="G465" s="33">
        <f>IF($A465="","",IF($C465="","",YEAR($C465)))</f>
      </c>
      <c r="H465" s="34">
        <v>1995</v>
      </c>
      <c r="I465" s="30" t="inlineStr">
        <is>
          <t xml:space="preserve">Mercedes-Benz</t>
        </is>
      </c>
      <c r="J465" s="30" t="inlineStr">
        <is>
          <t xml:space="preserve">AMG GT</t>
        </is>
      </c>
      <c r="K465" s="30" t="inlineStr">
        <is>
          <t xml:space="preserve">B176KXLDPRSKG99DB</t>
        </is>
      </c>
      <c r="L465" s="32" t="inlineStr">
        <is>
          <t xml:space="preserve">02 - Sports / GT</t>
        </is>
      </c>
      <c r="M465" s="35">
        <v>855000</v>
      </c>
      <c r="N465" s="32" t="inlineStr">
        <is>
          <t xml:space="preserve">Personal</t>
        </is>
      </c>
      <c r="O465" s="30" t="inlineStr">
        <is>
          <t xml:space="preserve">Personal - regular use</t>
        </is>
      </c>
      <c r="P465" s="30" t="inlineStr">
        <is>
          <t xml:space="preserve">2,500 - 5,000</t>
        </is>
      </c>
      <c r="Q465" s="30" t="inlineStr">
        <is>
          <t xml:space="preserve">New York</t>
        </is>
      </c>
      <c r="R465" s="30" t="inlineStr">
        <is>
          <t xml:space="preserve">10022</t>
        </is>
      </c>
      <c r="S465" s="32" t="inlineStr">
        <is>
          <t xml:space="preserve">Tier 3 - Coastal wind (25-100 miles)</t>
        </is>
      </c>
      <c r="T465" s="36">
        <f>IF($A465="","",IF($S465="","",IFERROR(INDEX('[1]natural catastrophe'!$D$6:$D$17,MATCH($S465,'[1]natural catastrophe'!$B$6:$B$17,0)),"?")))</f>
      </c>
      <c r="U465" s="30" t="inlineStr">
        <is>
          <t xml:space="preserve">2% of agreed value, minimum $10,000</t>
        </is>
      </c>
      <c r="V465" s="32" t="inlineStr">
        <is>
          <t xml:space="preserve">Agreed Value</t>
        </is>
      </c>
      <c r="W465" s="30" t="inlineStr">
        <is>
          <t xml:space="preserve">$1,000</t>
        </is>
      </c>
      <c r="X465" s="32" t="inlineStr">
        <is>
          <t xml:space="preserve">$1,000,000 CSL</t>
        </is>
      </c>
      <c r="Y465" s="30"/>
      <c r="Z465" s="30"/>
      <c r="AA465" s="32" t="inlineStr">
        <is>
          <t xml:space="preserve">Surplus Lines</t>
        </is>
      </c>
      <c r="AB465" s="35">
        <v>10265.06</v>
      </c>
      <c r="AC465" s="37">
        <v>0</v>
      </c>
      <c r="AD465" s="38">
        <f>IF(ISNUMBER($AB465),$AB465*(1+N($AC465)),"")</f>
      </c>
      <c r="AE465" s="35">
        <v>350</v>
      </c>
      <c r="AF465" s="35">
        <v>0</v>
      </c>
      <c r="AG465" s="37"/>
      <c r="AH465" s="39">
        <f>IF(ISNUMBER($AD465),($AD465+$AE465+$AF465)*$AG465,"")</f>
      </c>
      <c r="AI465" s="35"/>
      <c r="AJ465" s="38">
        <f>IF(ISNUMBER($AD465),SUM($AD465:$AH465),"")</f>
      </c>
      <c r="AK465" s="40">
        <f>IF(AND(ISNUMBER($AB465),ISNUMBER($AD465)),IF($AB465&gt;0,$AD465/$AB465,""),"")</f>
      </c>
      <c r="AL465" s="32" t="inlineStr">
        <is>
          <t xml:space="preserve">At technical</t>
        </is>
      </c>
      <c r="AM465" s="41">
        <f>IF(ISNUMBER($AD465),Header!$I$3,"")</f>
      </c>
      <c r="AN465" s="39">
        <f>IF(ISNUMBER($AD465),$AO465+$AP465,"")</f>
      </c>
      <c r="AO465" s="39">
        <f>IF(ISNUMBER($AD465),ROUND($AD465*Header!$K$3,2),"")</f>
      </c>
      <c r="AP465" s="39">
        <f>IF(ISNUMBER($AD465),ROUND($AD465*Header!$M$3,2),"")</f>
      </c>
      <c r="AQ465" s="38">
        <f>IF(ISNUMBER($AD465),ROUND($AD465,2)-$AO465-$AP465,"")</f>
      </c>
      <c r="AR465" s="39">
        <f>IF(ISNUMBER($AD465),IF(Header!$D$34="","?",$AD465*Header!$D$34),"")</f>
      </c>
      <c r="AS465" s="39">
        <f>IF(ISNUMBER($AB465),IF(Header!$D$34="","?",$AB465*Header!$D$34),"")</f>
      </c>
      <c r="AT465" s="42">
        <f>IF(AND(ISNUMBER($AB465),$M465&gt;0),$AB465/$M465*100,"")</f>
      </c>
      <c r="AU465" s="42">
        <f>IF(AND(ISNUMBER($AD465),$M465&gt;0),$AD465/$M465*100,"")</f>
      </c>
      <c r="AV465" s="40">
        <f>IF(AND(ISNUMBER($AB465),ISNUMBER($AD465),ABS($AB465)&gt;0),$AD465/$AB465,"")</f>
      </c>
      <c r="AW465" s="39">
        <f>IF(ISNUMBER($AD465),MAX(0,(1-0.55-Header!$O$3)*Header!$Q$3*$AQ465),"")</f>
      </c>
      <c r="AX465" s="43">
        <f>IF($A465="","",IF(TRIM(IF($A465="","Missing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",""))="","PASS","FAIL: "&amp;TRIM(IF($A465="","Missing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f>
      </c>
      <c r="AY465" s="44">
        <f>IF($M465="","",IF(ISNUMBER($M465),IF($M465&gt;=Header!$C$18,"YES — refer","No"),""))</f>
      </c>
      <c r="AZ465" s="44">
        <f>IF($AD465="","",IF(ISNUMBER($AD465),IF($AD465&lt;Header!$C$20,"BELOW MIN PREMIUM","OK"),""))</f>
      </c>
      <c r="BA465" s="32" t="inlineStr">
        <is>
          <t xml:space="preserve">Yes</t>
        </is>
      </c>
      <c r="BB465" s="32" t="inlineStr">
        <is>
          <t xml:space="preserve">Yes</t>
        </is>
      </c>
      <c r="BC465" s="30" t="inlineStr">
        <is>
          <t xml:space="preserve">Synthetic demo data</t>
        </is>
      </c>
      <c r="BE465" s="45">
        <f>IF(OR($A465="",$L465="",$H465=""),"",IF(AND(LEFT($L465,2)="06",$H465&gt;1945),"FAIL - pre-war class, year "&amp;$H465,IF(AND(LEFT($L465,2)="07",OR($H465&lt;1946,$H465&gt;1972)),"FAIL - 1946-72 class, year "&amp;$H465,IF(AND(LEFT($L465,2)="08",OR($H465&lt;1973,$H465&gt;1999)),"FAIL - 1973-99 class, year "&amp;$H465,IF(AND(LEFT($L465,2)="09",OR($H465&lt;2000,$H465&gt;2010)),"FAIL - 2000-10 class, year "&amp;$H465,"OK")))))</f>
      </c>
      <c r="BF465" s="45">
        <f>IF($AD465="","",IF(ROUND($AO465+$AP465+$AQ465-$AD465,2)=0,"OK","FAIL - out by "&amp;TEXT($AO465+$AP465+$AQ465-$AD465,"$0.00")))</f>
      </c>
    </row>
    <row r="466" spans="1:58" ht="18.75" customHeight="1" x14ac:dyDescent="0.25">
      <c r="A466" s="46" t="inlineStr">
        <is>
          <t xml:space="preserve">CANON-202606-009032</t>
        </is>
      </c>
      <c r="B466" s="46" t="inlineStr">
        <is>
          <t xml:space="preserve">Thaddeus Merriweather</t>
        </is>
      </c>
      <c r="C466" s="47">
        <v>46176</v>
      </c>
      <c r="D466" s="48" t="inlineStr">
        <is>
          <t xml:space="preserve">Bound - within authority</t>
        </is>
      </c>
      <c r="E466" s="48" t="inlineStr">
        <is>
          <t xml:space="preserve">New business</t>
        </is>
      </c>
      <c r="F466" s="46" t="inlineStr">
        <is>
          <t xml:space="preserve">B1234EXOTIC26</t>
        </is>
      </c>
      <c r="G466" s="33">
        <f>IF($A466="","",IF($C466="","",YEAR($C466)))</f>
      </c>
      <c r="H466" s="49">
        <v>1995</v>
      </c>
      <c r="I466" s="46" t="inlineStr">
        <is>
          <t xml:space="preserve">Mercedes-Benz</t>
        </is>
      </c>
      <c r="J466" s="46" t="inlineStr">
        <is>
          <t xml:space="preserve">280SL Pagoda</t>
        </is>
      </c>
      <c r="K466" s="46" t="inlineStr">
        <is>
          <t xml:space="preserve">MMGMV05JFYDAD5T0Y</t>
        </is>
      </c>
      <c r="L466" s="48" t="inlineStr">
        <is>
          <t xml:space="preserve">08 - Modern Classic (1973-1999)</t>
        </is>
      </c>
      <c r="M466" s="50">
        <v>1300000</v>
      </c>
      <c r="N466" s="48" t="inlineStr">
        <is>
          <t xml:space="preserve">Personal</t>
        </is>
      </c>
      <c r="O466" s="46" t="inlineStr">
        <is>
          <t xml:space="preserve">Personal - regular use</t>
        </is>
      </c>
      <c r="P466" s="46" t="inlineStr">
        <is>
          <t xml:space="preserve">Under 1,000</t>
        </is>
      </c>
      <c r="Q466" s="46" t="inlineStr">
        <is>
          <t xml:space="preserve">Montana</t>
        </is>
      </c>
      <c r="R466" s="46" t="inlineStr">
        <is>
          <t xml:space="preserve">59601</t>
        </is>
      </c>
      <c r="S466" s="48" t="inlineStr">
        <is>
          <t xml:space="preserve">Wildfire - WUI high hazard</t>
        </is>
      </c>
      <c r="T466" s="36">
        <f>IF($A466="","",IF($S466="","",IFERROR(INDEX('[1]natural catastrophe'!$D$6:$D$17,MATCH($S466,'[1]natural catastrophe'!$B$6:$B$17,0)),"?")))</f>
      </c>
      <c r="U466" s="46" t="inlineStr">
        <is>
          <t xml:space="preserve">$5,000</t>
        </is>
      </c>
      <c r="V466" s="48" t="inlineStr">
        <is>
          <t xml:space="preserve">Agreed Value</t>
        </is>
      </c>
      <c r="W466" s="46" t="inlineStr">
        <is>
          <t xml:space="preserve">$1,000</t>
        </is>
      </c>
      <c r="X466" s="48" t="inlineStr">
        <is>
          <t xml:space="preserve">$1,000,000 CSL</t>
        </is>
      </c>
      <c r="Y466" s="46"/>
      <c r="Z466" s="46"/>
      <c r="AA466" s="48" t="inlineStr">
        <is>
          <t xml:space="preserve">Surplus Lines</t>
        </is>
      </c>
      <c r="AB466" s="50">
        <v>6629.52</v>
      </c>
      <c r="AC466" s="51">
        <v>0</v>
      </c>
      <c r="AD466" s="38">
        <f>IF(ISNUMBER($AB466),$AB466*(1+N($AC466)),"")</f>
      </c>
      <c r="AE466" s="50">
        <v>350</v>
      </c>
      <c r="AF466" s="50">
        <v>250</v>
      </c>
      <c r="AG466" s="51"/>
      <c r="AH466" s="39">
        <f>IF(ISNUMBER($AD466),($AD466+$AE466+$AF466)*$AG466,"")</f>
      </c>
      <c r="AI466" s="50"/>
      <c r="AJ466" s="38">
        <f>IF(ISNUMBER($AD466),SUM($AD466:$AH466),"")</f>
      </c>
      <c r="AK466" s="40">
        <f>IF(AND(ISNUMBER($AB466),ISNUMBER($AD466)),IF($AB466&gt;0,$AD466/$AB466,""),"")</f>
      </c>
      <c r="AL466" s="48" t="inlineStr">
        <is>
          <t xml:space="preserve">At technical</t>
        </is>
      </c>
      <c r="AM466" s="41">
        <f>IF(ISNUMBER($AD466),Header!$I$3,"")</f>
      </c>
      <c r="AN466" s="39">
        <f>IF(ISNUMBER($AD466),$AO466+$AP466,"")</f>
      </c>
      <c r="AO466" s="39">
        <f>IF(ISNUMBER($AD466),ROUND($AD466*Header!$K$3,2),"")</f>
      </c>
      <c r="AP466" s="39">
        <f>IF(ISNUMBER($AD466),ROUND($AD466*Header!$M$3,2),"")</f>
      </c>
      <c r="AQ466" s="38">
        <f>IF(ISNUMBER($AD466),ROUND($AD466,2)-$AO466-$AP466,"")</f>
      </c>
      <c r="AR466" s="39">
        <f>IF(ISNUMBER($AD466),IF(Header!$D$34="","?",$AD466*Header!$D$34),"")</f>
      </c>
      <c r="AS466" s="39">
        <f>IF(ISNUMBER($AB466),IF(Header!$D$34="","?",$AB466*Header!$D$34),"")</f>
      </c>
      <c r="AT466" s="42">
        <f>IF(AND(ISNUMBER($AB466),$M466&gt;0),$AB466/$M466*100,"")</f>
      </c>
      <c r="AU466" s="42">
        <f>IF(AND(ISNUMBER($AD466),$M466&gt;0),$AD466/$M466*100,"")</f>
      </c>
      <c r="AV466" s="40">
        <f>IF(AND(ISNUMBER($AB466),ISNUMBER($AD466),ABS($AB466)&gt;0),$AD466/$AB466,"")</f>
      </c>
      <c r="AW466" s="39">
        <f>IF(ISNUMBER($AD466),MAX(0,(1-0.55-Header!$O$3)*Header!$Q$3*$AQ466),"")</f>
      </c>
      <c r="AX466" s="43">
        <f>IF($A466="","",IF(TRIM(IF($A466="","Missing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",""))="","PASS","FAIL: "&amp;TRIM(IF($A466="","Missing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f>
      </c>
      <c r="AY466" s="44">
        <f>IF($M466="","",IF(ISNUMBER($M466),IF($M466&gt;=Header!$C$18,"YES — refer","No"),""))</f>
      </c>
      <c r="AZ466" s="44">
        <f>IF($AD466="","",IF(ISNUMBER($AD466),IF($AD466&lt;Header!$C$20,"BELOW MIN PREMIUM","OK"),""))</f>
      </c>
      <c r="BA466" s="48" t="inlineStr">
        <is>
          <t xml:space="preserve">Yes</t>
        </is>
      </c>
      <c r="BB466" s="48" t="inlineStr">
        <is>
          <t xml:space="preserve">Yes</t>
        </is>
      </c>
      <c r="BC466" s="46" t="inlineStr">
        <is>
          <t xml:space="preserve">Synthetic demo data</t>
        </is>
      </c>
      <c r="BE466" s="45">
        <f>IF(OR($A466="",$L466="",$H466=""),"",IF(AND(LEFT($L466,2)="06",$H466&gt;1945),"FAIL - pre-war class, year "&amp;$H466,IF(AND(LEFT($L466,2)="07",OR($H466&lt;1946,$H466&gt;1972)),"FAIL - 1946-72 class, year "&amp;$H466,IF(AND(LEFT($L466,2)="08",OR($H466&lt;1973,$H466&gt;1999)),"FAIL - 1973-99 class, year "&amp;$H466,IF(AND(LEFT($L466,2)="09",OR($H466&lt;2000,$H466&gt;2010)),"FAIL - 2000-10 class, year "&amp;$H466,"OK")))))</f>
      </c>
      <c r="BF466" s="45">
        <f>IF($AD466="","",IF(ROUND($AO466+$AP466+$AQ466-$AD466,2)=0,"OK","FAIL - out by "&amp;TEXT($AO466+$AP466+$AQ466-$AD466,"$0.00")))</f>
      </c>
    </row>
    <row r="467" spans="1:58" ht="18.75" customHeight="1" x14ac:dyDescent="0.25">
      <c r="A467" s="30" t="inlineStr">
        <is>
          <t xml:space="preserve">CANON-202606-009033</t>
        </is>
      </c>
      <c r="B467" s="30" t="inlineStr">
        <is>
          <t xml:space="preserve">Mireille Ashcombe</t>
        </is>
      </c>
      <c r="C467" s="31">
        <v>46183</v>
      </c>
      <c r="D467" s="32" t="inlineStr">
        <is>
          <t xml:space="preserve">Bound - within authority</t>
        </is>
      </c>
      <c r="E467" s="32" t="inlineStr">
        <is>
          <t xml:space="preserve">New business</t>
        </is>
      </c>
      <c r="F467" s="30" t="inlineStr">
        <is>
          <t xml:space="preserve">B1234EXOTIC26</t>
        </is>
      </c>
      <c r="G467" s="33">
        <f>IF($A467="","",IF($C467="","",YEAR($C467)))</f>
      </c>
      <c r="H467" s="34">
        <v>1994</v>
      </c>
      <c r="I467" s="30" t="inlineStr">
        <is>
          <t xml:space="preserve">Aston Martin</t>
        </is>
      </c>
      <c r="J467" s="30" t="inlineStr">
        <is>
          <t xml:space="preserve">DB12</t>
        </is>
      </c>
      <c r="K467" s="30" t="inlineStr">
        <is>
          <t xml:space="preserve">CN9ZSTBW154ATS5VD</t>
        </is>
      </c>
      <c r="L467" s="32" t="inlineStr">
        <is>
          <t xml:space="preserve">02 - Sports / GT</t>
        </is>
      </c>
      <c r="M467" s="35">
        <v>185000</v>
      </c>
      <c r="N467" s="32" t="inlineStr">
        <is>
          <t xml:space="preserve">Personal</t>
        </is>
      </c>
      <c r="O467" s="30" t="inlineStr">
        <is>
          <t xml:space="preserve">Personal - regular use</t>
        </is>
      </c>
      <c r="P467" s="30" t="inlineStr">
        <is>
          <t xml:space="preserve">1,000 - 2,500</t>
        </is>
      </c>
      <c r="Q467" s="30" t="inlineStr">
        <is>
          <t xml:space="preserve">Oklahoma</t>
        </is>
      </c>
      <c r="R467" s="30" t="inlineStr">
        <is>
          <t xml:space="preserve">73102</t>
        </is>
      </c>
      <c r="S467" s="32" t="inlineStr">
        <is>
          <t xml:space="preserve">Severe convective - hail alley (high)</t>
        </is>
      </c>
      <c r="T467" s="36">
        <f>IF($A467="","",IF($S467="","",IFERROR(INDEX('[1]natural catastrophe'!$D$6:$D$17,MATCH($S467,'[1]natural catastrophe'!$B$6:$B$17,0)),"?")))</f>
      </c>
      <c r="U467" s="30" t="inlineStr">
        <is>
          <t xml:space="preserve">$5,000</t>
        </is>
      </c>
      <c r="V467" s="32" t="inlineStr">
        <is>
          <t xml:space="preserve">Agreed Value</t>
        </is>
      </c>
      <c r="W467" s="30" t="inlineStr">
        <is>
          <t xml:space="preserve">$1,000</t>
        </is>
      </c>
      <c r="X467" s="32" t="inlineStr">
        <is>
          <t xml:space="preserve">$1,000,000 CSL</t>
        </is>
      </c>
      <c r="Y467" s="30"/>
      <c r="Z467" s="30"/>
      <c r="AA467" s="32" t="inlineStr">
        <is>
          <t xml:space="preserve">Surplus Lines</t>
        </is>
      </c>
      <c r="AB467" s="35">
        <v>3094.58</v>
      </c>
      <c r="AC467" s="37">
        <v>0</v>
      </c>
      <c r="AD467" s="38">
        <f>IF(ISNUMBER($AB467),$AB467*(1+N($AC467)),"")</f>
      </c>
      <c r="AE467" s="35">
        <v>350</v>
      </c>
      <c r="AF467" s="35">
        <v>0</v>
      </c>
      <c r="AG467" s="37"/>
      <c r="AH467" s="39">
        <f>IF(ISNUMBER($AD467),($AD467+$AE467+$AF467)*$AG467,"")</f>
      </c>
      <c r="AI467" s="35"/>
      <c r="AJ467" s="38">
        <f>IF(ISNUMBER($AD467),SUM($AD467:$AH467),"")</f>
      </c>
      <c r="AK467" s="40">
        <f>IF(AND(ISNUMBER($AB467),ISNUMBER($AD467)),IF($AB467&gt;0,$AD467/$AB467,""),"")</f>
      </c>
      <c r="AL467" s="32" t="inlineStr">
        <is>
          <t xml:space="preserve">At technical</t>
        </is>
      </c>
      <c r="AM467" s="41">
        <f>IF(ISNUMBER($AD467),Header!$I$3,"")</f>
      </c>
      <c r="AN467" s="39">
        <f>IF(ISNUMBER($AD467),$AO467+$AP467,"")</f>
      </c>
      <c r="AO467" s="39">
        <f>IF(ISNUMBER($AD467),ROUND($AD467*Header!$K$3,2),"")</f>
      </c>
      <c r="AP467" s="39">
        <f>IF(ISNUMBER($AD467),ROUND($AD467*Header!$M$3,2),"")</f>
      </c>
      <c r="AQ467" s="38">
        <f>IF(ISNUMBER($AD467),ROUND($AD467,2)-$AO467-$AP467,"")</f>
      </c>
      <c r="AR467" s="39">
        <f>IF(ISNUMBER($AD467),IF(Header!$D$34="","?",$AD467*Header!$D$34),"")</f>
      </c>
      <c r="AS467" s="39">
        <f>IF(ISNUMBER($AB467),IF(Header!$D$34="","?",$AB467*Header!$D$34),"")</f>
      </c>
      <c r="AT467" s="42">
        <f>IF(AND(ISNUMBER($AB467),$M467&gt;0),$AB467/$M467*100,"")</f>
      </c>
      <c r="AU467" s="42">
        <f>IF(AND(ISNUMBER($AD467),$M467&gt;0),$AD467/$M467*100,"")</f>
      </c>
      <c r="AV467" s="40">
        <f>IF(AND(ISNUMBER($AB467),ISNUMBER($AD467),ABS($AB467)&gt;0),$AD467/$AB467,"")</f>
      </c>
      <c r="AW467" s="39">
        <f>IF(ISNUMBER($AD467),MAX(0,(1-0.55-Header!$O$3)*Header!$Q$3*$AQ467),"")</f>
      </c>
      <c r="AX467" s="43">
        <f>IF($A467="","",IF(TRIM(IF($A467="","Missing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",""))="","PASS","FAIL: "&amp;TRIM(IF($A467="","Missing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f>
      </c>
      <c r="AY467" s="44">
        <f>IF($M467="","",IF(ISNUMBER($M467),IF($M467&gt;=Header!$C$18,"YES — refer","No"),""))</f>
      </c>
      <c r="AZ467" s="44">
        <f>IF($AD467="","",IF(ISNUMBER($AD467),IF($AD467&lt;Header!$C$20,"BELOW MIN PREMIUM","OK"),""))</f>
      </c>
      <c r="BA467" s="32" t="inlineStr">
        <is>
          <t xml:space="preserve">Yes</t>
        </is>
      </c>
      <c r="BB467" s="32" t="inlineStr">
        <is>
          <t xml:space="preserve">Yes</t>
        </is>
      </c>
      <c r="BC467" s="30" t="inlineStr">
        <is>
          <t xml:space="preserve">Synthetic demo data</t>
        </is>
      </c>
      <c r="BE467" s="45">
        <f>IF(OR($A467="",$L467="",$H467=""),"",IF(AND(LEFT($L467,2)="06",$H467&gt;1945),"FAIL - pre-war class, year "&amp;$H467,IF(AND(LEFT($L467,2)="07",OR($H467&lt;1946,$H467&gt;1972)),"FAIL - 1946-72 class, year "&amp;$H467,IF(AND(LEFT($L467,2)="08",OR($H467&lt;1973,$H467&gt;1999)),"FAIL - 1973-99 class, year "&amp;$H467,IF(AND(LEFT($L467,2)="09",OR($H467&lt;2000,$H467&gt;2010)),"FAIL - 2000-10 class, year "&amp;$H467,"OK")))))</f>
      </c>
      <c r="BF467" s="45">
        <f>IF($AD467="","",IF(ROUND($AO467+$AP467+$AQ467-$AD467,2)=0,"OK","FAIL - out by "&amp;TEXT($AO467+$AP467+$AQ467-$AD467,"$0.00")))</f>
      </c>
    </row>
    <row r="468" spans="1:58" ht="18.75" customHeight="1" x14ac:dyDescent="0.25">
      <c r="A468" s="46" t="inlineStr">
        <is>
          <t xml:space="preserve">CANON-202606-009034</t>
        </is>
      </c>
      <c r="B468" s="46" t="inlineStr">
        <is>
          <t xml:space="preserve">Cassius Blackwood</t>
        </is>
      </c>
      <c r="C468" s="47">
        <v>46188</v>
      </c>
      <c r="D468" s="48" t="inlineStr">
        <is>
          <t xml:space="preserve">Bound - within authority</t>
        </is>
      </c>
      <c r="E468" s="48" t="inlineStr">
        <is>
          <t xml:space="preserve">New business</t>
        </is>
      </c>
      <c r="F468" s="46" t="inlineStr">
        <is>
          <t xml:space="preserve">B1234EXOTIC26</t>
        </is>
      </c>
      <c r="G468" s="33">
        <f>IF($A468="","",IF($C468="","",YEAR($C468)))</f>
      </c>
      <c r="H468" s="49">
        <v>1972</v>
      </c>
      <c r="I468" s="46" t="inlineStr">
        <is>
          <t xml:space="preserve">Porsche</t>
        </is>
      </c>
      <c r="J468" s="46" t="inlineStr">
        <is>
          <t xml:space="preserve">911 Turbo S</t>
        </is>
      </c>
      <c r="K468" s="46" t="inlineStr">
        <is>
          <t xml:space="preserve">TR3B87C6TLAG89P5S</t>
        </is>
      </c>
      <c r="L468" s="48" t="inlineStr">
        <is>
          <t xml:space="preserve">02 - Sports / GT</t>
        </is>
      </c>
      <c r="M468" s="50">
        <v>700000</v>
      </c>
      <c r="N468" s="48" t="inlineStr">
        <is>
          <t xml:space="preserve">Personal</t>
        </is>
      </c>
      <c r="O468" s="46" t="inlineStr">
        <is>
          <t xml:space="preserve">Personal - regular use</t>
        </is>
      </c>
      <c r="P468" s="46" t="inlineStr">
        <is>
          <t xml:space="preserve">Under 1,000</t>
        </is>
      </c>
      <c r="Q468" s="46" t="inlineStr">
        <is>
          <t xml:space="preserve">Arizona</t>
        </is>
      </c>
      <c r="R468" s="46" t="inlineStr">
        <is>
          <t xml:space="preserve">85001</t>
        </is>
      </c>
      <c r="S468" s="48" t="inlineStr">
        <is>
          <t xml:space="preserve">Wildfire - WUI high hazard</t>
        </is>
      </c>
      <c r="T468" s="36">
        <f>IF($A468="","",IF($S468="","",IFERROR(INDEX('[1]natural catastrophe'!$D$6:$D$17,MATCH($S468,'[1]natural catastrophe'!$B$6:$B$17,0)),"?")))</f>
      </c>
      <c r="U468" s="46" t="inlineStr">
        <is>
          <t xml:space="preserve">$5,000</t>
        </is>
      </c>
      <c r="V468" s="48" t="inlineStr">
        <is>
          <t xml:space="preserve">Agreed Value</t>
        </is>
      </c>
      <c r="W468" s="46" t="inlineStr">
        <is>
          <t xml:space="preserve">$1,000</t>
        </is>
      </c>
      <c r="X468" s="48" t="inlineStr">
        <is>
          <t xml:space="preserve">$1,000,000 CSL</t>
        </is>
      </c>
      <c r="Y468" s="46"/>
      <c r="Z468" s="46"/>
      <c r="AA468" s="48" t="inlineStr">
        <is>
          <t xml:space="preserve">Surplus Lines</t>
        </is>
      </c>
      <c r="AB468" s="50">
        <v>6631.39</v>
      </c>
      <c r="AC468" s="51">
        <v>0</v>
      </c>
      <c r="AD468" s="38">
        <f>IF(ISNUMBER($AB468),$AB468*(1+N($AC468)),"")</f>
      </c>
      <c r="AE468" s="50">
        <v>350</v>
      </c>
      <c r="AF468" s="50">
        <v>0</v>
      </c>
      <c r="AG468" s="51"/>
      <c r="AH468" s="39">
        <f>IF(ISNUMBER($AD468),($AD468+$AE468+$AF468)*$AG468,"")</f>
      </c>
      <c r="AI468" s="50"/>
      <c r="AJ468" s="38">
        <f>IF(ISNUMBER($AD468),SUM($AD468:$AH468),"")</f>
      </c>
      <c r="AK468" s="40">
        <f>IF(AND(ISNUMBER($AB468),ISNUMBER($AD468)),IF($AB468&gt;0,$AD468/$AB468,""),"")</f>
      </c>
      <c r="AL468" s="48" t="inlineStr">
        <is>
          <t xml:space="preserve">At technical</t>
        </is>
      </c>
      <c r="AM468" s="41">
        <f>IF(ISNUMBER($AD468),Header!$I$3,"")</f>
      </c>
      <c r="AN468" s="39">
        <f>IF(ISNUMBER($AD468),$AO468+$AP468,"")</f>
      </c>
      <c r="AO468" s="39">
        <f>IF(ISNUMBER($AD468),ROUND($AD468*Header!$K$3,2),"")</f>
      </c>
      <c r="AP468" s="39">
        <f>IF(ISNUMBER($AD468),ROUND($AD468*Header!$M$3,2),"")</f>
      </c>
      <c r="AQ468" s="38">
        <f>IF(ISNUMBER($AD468),ROUND($AD468,2)-$AO468-$AP468,"")</f>
      </c>
      <c r="AR468" s="39">
        <f>IF(ISNUMBER($AD468),IF(Header!$D$34="","?",$AD468*Header!$D$34),"")</f>
      </c>
      <c r="AS468" s="39">
        <f>IF(ISNUMBER($AB468),IF(Header!$D$34="","?",$AB468*Header!$D$34),"")</f>
      </c>
      <c r="AT468" s="42">
        <f>IF(AND(ISNUMBER($AB468),$M468&gt;0),$AB468/$M468*100,"")</f>
      </c>
      <c r="AU468" s="42">
        <f>IF(AND(ISNUMBER($AD468),$M468&gt;0),$AD468/$M468*100,"")</f>
      </c>
      <c r="AV468" s="40">
        <f>IF(AND(ISNUMBER($AB468),ISNUMBER($AD468),ABS($AB468)&gt;0),$AD468/$AB468,"")</f>
      </c>
      <c r="AW468" s="39">
        <f>IF(ISNUMBER($AD468),MAX(0,(1-0.55-Header!$O$3)*Header!$Q$3*$AQ468),"")</f>
      </c>
      <c r="AX468" s="43">
        <f>IF($A468="","",IF(TRIM(IF($A468="","Missing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",""))="","PASS","FAIL: "&amp;TRIM(IF($A468="","Missing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f>
      </c>
      <c r="AY468" s="44">
        <f>IF($M468="","",IF(ISNUMBER($M468),IF($M468&gt;=Header!$C$18,"YES — refer","No"),""))</f>
      </c>
      <c r="AZ468" s="44">
        <f>IF($AD468="","",IF(ISNUMBER($AD468),IF($AD468&lt;Header!$C$20,"BELOW MIN PREMIUM","OK"),""))</f>
      </c>
      <c r="BA468" s="48" t="inlineStr">
        <is>
          <t xml:space="preserve">Yes</t>
        </is>
      </c>
      <c r="BB468" s="48" t="inlineStr">
        <is>
          <t xml:space="preserve">Yes</t>
        </is>
      </c>
      <c r="BC468" s="46" t="inlineStr">
        <is>
          <t xml:space="preserve">Synthetic demo data</t>
        </is>
      </c>
      <c r="BE468" s="45">
        <f>IF(OR($A468="",$L468="",$H468=""),"",IF(AND(LEFT($L468,2)="06",$H468&gt;1945),"FAIL - pre-war class, year "&amp;$H468,IF(AND(LEFT($L468,2)="07",OR($H468&lt;1946,$H468&gt;1972)),"FAIL - 1946-72 class, year "&amp;$H468,IF(AND(LEFT($L468,2)="08",OR($H468&lt;1973,$H468&gt;1999)),"FAIL - 1973-99 class, year "&amp;$H468,IF(AND(LEFT($L468,2)="09",OR($H468&lt;2000,$H468&gt;2010)),"FAIL - 2000-10 class, year "&amp;$H468,"OK")))))</f>
      </c>
      <c r="BF468" s="45">
        <f>IF($AD468="","",IF(ROUND($AO468+$AP468+$AQ468-$AD468,2)=0,"OK","FAIL - out by "&amp;TEXT($AO468+$AP468+$AQ468-$AD468,"$0.00")))</f>
      </c>
    </row>
    <row r="469" spans="1:58" ht="18.75" customHeight="1" x14ac:dyDescent="0.25">
      <c r="A469" s="30" t="inlineStr">
        <is>
          <t xml:space="preserve">CANON-202606-009038</t>
        </is>
      </c>
      <c r="B469" s="30" t="inlineStr">
        <is>
          <t xml:space="preserve">Marisol Nakashima</t>
        </is>
      </c>
      <c r="C469" s="31">
        <v>46200</v>
      </c>
      <c r="D469" s="32" t="inlineStr">
        <is>
          <t xml:space="preserve">Bound - within authority</t>
        </is>
      </c>
      <c r="E469" s="32" t="inlineStr">
        <is>
          <t xml:space="preserve">New business</t>
        </is>
      </c>
      <c r="F469" s="30" t="inlineStr">
        <is>
          <t xml:space="preserve">B1234EXOTIC26</t>
        </is>
      </c>
      <c r="G469" s="33">
        <f>IF($A469="","",IF($C469="","",YEAR($C469)))</f>
      </c>
      <c r="H469" s="34">
        <v>1980</v>
      </c>
      <c r="I469" s="30" t="inlineStr">
        <is>
          <t xml:space="preserve">Jaguar</t>
        </is>
      </c>
      <c r="J469" s="30" t="inlineStr">
        <is>
          <t xml:space="preserve">E-Type Series 1</t>
        </is>
      </c>
      <c r="K469" s="30" t="inlineStr">
        <is>
          <t xml:space="preserve">3H31K4CRUESZ1U9R0</t>
        </is>
      </c>
      <c r="L469" s="32" t="inlineStr">
        <is>
          <t xml:space="preserve">08 - Modern Classic (1973-1999)</t>
        </is>
      </c>
      <c r="M469" s="35">
        <v>635000</v>
      </c>
      <c r="N469" s="32" t="inlineStr">
        <is>
          <t xml:space="preserve">Personal</t>
        </is>
      </c>
      <c r="O469" s="30" t="inlineStr">
        <is>
          <t xml:space="preserve">Personal - regular use</t>
        </is>
      </c>
      <c r="P469" s="30" t="inlineStr">
        <is>
          <t xml:space="preserve">2,500 - 5,000</t>
        </is>
      </c>
      <c r="Q469" s="30" t="inlineStr">
        <is>
          <t xml:space="preserve">North Carolina</t>
        </is>
      </c>
      <c r="R469" s="30" t="inlineStr">
        <is>
          <t xml:space="preserve">28202</t>
        </is>
      </c>
      <c r="S469" s="32" t="inlineStr">
        <is>
          <t xml:space="preserve">Tier 2 - Coastal wind (1-25 miles)</t>
        </is>
      </c>
      <c r="T469" s="36">
        <f>IF($A469="","",IF($S469="","",IFERROR(INDEX('[1]natural catastrophe'!$D$6:$D$17,MATCH($S469,'[1]natural catastrophe'!$B$6:$B$17,0)),"?")))</f>
      </c>
      <c r="U469" s="30" t="inlineStr">
        <is>
          <t xml:space="preserve">2% of agreed value, minimum $10,000</t>
        </is>
      </c>
      <c r="V469" s="32" t="inlineStr">
        <is>
          <t xml:space="preserve">Agreed Value</t>
        </is>
      </c>
      <c r="W469" s="30" t="inlineStr">
        <is>
          <t xml:space="preserve">$1,000</t>
        </is>
      </c>
      <c r="X469" s="32" t="inlineStr">
        <is>
          <t xml:space="preserve">$1,000,000 CSL</t>
        </is>
      </c>
      <c r="Y469" s="30"/>
      <c r="Z469" s="30"/>
      <c r="AA469" s="32" t="inlineStr">
        <is>
          <t xml:space="preserve">Surplus Lines</t>
        </is>
      </c>
      <c r="AB469" s="35">
        <v>4531.19</v>
      </c>
      <c r="AC469" s="37">
        <v>0</v>
      </c>
      <c r="AD469" s="38">
        <f>IF(ISNUMBER($AB469),$AB469*(1+N($AC469)),"")</f>
      </c>
      <c r="AE469" s="35">
        <v>350</v>
      </c>
      <c r="AF469" s="35">
        <v>0</v>
      </c>
      <c r="AG469" s="37"/>
      <c r="AH469" s="39">
        <f>IF(ISNUMBER($AD469),($AD469+$AE469+$AF469)*$AG469,"")</f>
      </c>
      <c r="AI469" s="35"/>
      <c r="AJ469" s="38">
        <f>IF(ISNUMBER($AD469),SUM($AD469:$AH469),"")</f>
      </c>
      <c r="AK469" s="40">
        <f>IF(AND(ISNUMBER($AB469),ISNUMBER($AD469)),IF($AB469&gt;0,$AD469/$AB469,""),"")</f>
      </c>
      <c r="AL469" s="32" t="inlineStr">
        <is>
          <t xml:space="preserve">At technical</t>
        </is>
      </c>
      <c r="AM469" s="41">
        <f>IF(ISNUMBER($AD469),Header!$I$3,"")</f>
      </c>
      <c r="AN469" s="39">
        <f>IF(ISNUMBER($AD469),$AO469+$AP469,"")</f>
      </c>
      <c r="AO469" s="39">
        <f>IF(ISNUMBER($AD469),ROUND($AD469*Header!$K$3,2),"")</f>
      </c>
      <c r="AP469" s="39">
        <f>IF(ISNUMBER($AD469),ROUND($AD469*Header!$M$3,2),"")</f>
      </c>
      <c r="AQ469" s="38">
        <f>IF(ISNUMBER($AD469),ROUND($AD469,2)-$AO469-$AP469,"")</f>
      </c>
      <c r="AR469" s="39">
        <f>IF(ISNUMBER($AD469),IF(Header!$D$34="","?",$AD469*Header!$D$34),"")</f>
      </c>
      <c r="AS469" s="39">
        <f>IF(ISNUMBER($AB469),IF(Header!$D$34="","?",$AB469*Header!$D$34),"")</f>
      </c>
      <c r="AT469" s="42">
        <f>IF(AND(ISNUMBER($AB469),$M469&gt;0),$AB469/$M469*100,"")</f>
      </c>
      <c r="AU469" s="42">
        <f>IF(AND(ISNUMBER($AD469),$M469&gt;0),$AD469/$M469*100,"")</f>
      </c>
      <c r="AV469" s="40">
        <f>IF(AND(ISNUMBER($AB469),ISNUMBER($AD469),ABS($AB469)&gt;0),$AD469/$AB469,"")</f>
      </c>
      <c r="AW469" s="39">
        <f>IF(ISNUMBER($AD469),MAX(0,(1-0.55-Header!$O$3)*Header!$Q$3*$AQ469),"")</f>
      </c>
      <c r="AX469" s="43">
        <f>IF($A469="","",IF(TRIM(IF($A469="","Missing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",""))="","PASS","FAIL: "&amp;TRIM(IF($A469="","Missing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f>
      </c>
      <c r="AY469" s="44">
        <f>IF($M469="","",IF(ISNUMBER($M469),IF($M469&gt;=Header!$C$18,"YES — refer","No"),""))</f>
      </c>
      <c r="AZ469" s="44">
        <f>IF($AD469="","",IF(ISNUMBER($AD469),IF($AD469&lt;Header!$C$20,"BELOW MIN PREMIUM","OK"),""))</f>
      </c>
      <c r="BA469" s="32" t="inlineStr">
        <is>
          <t xml:space="preserve">Yes</t>
        </is>
      </c>
      <c r="BB469" s="32" t="inlineStr">
        <is>
          <t xml:space="preserve">Yes</t>
        </is>
      </c>
      <c r="BC469" s="30" t="inlineStr">
        <is>
          <t xml:space="preserve">Synthetic demo data</t>
        </is>
      </c>
      <c r="BE469" s="45">
        <f>IF(OR($A469="",$L469="",$H469=""),"",IF(AND(LEFT($L469,2)="06",$H469&gt;1945),"FAIL - pre-war class, year "&amp;$H469,IF(AND(LEFT($L469,2)="07",OR($H469&lt;1946,$H469&gt;1972)),"FAIL - 1946-72 class, year "&amp;$H469,IF(AND(LEFT($L469,2)="08",OR($H469&lt;1973,$H469&gt;1999)),"FAIL - 1973-99 class, year "&amp;$H469,IF(AND(LEFT($L469,2)="09",OR($H469&lt;2000,$H469&gt;2010)),"FAIL - 2000-10 class, year "&amp;$H469,"OK")))))</f>
      </c>
      <c r="BF469" s="45">
        <f>IF($AD469="","",IF(ROUND($AO469+$AP469+$AQ469-$AD469,2)=0,"OK","FAIL - out by "&amp;TEXT($AO469+$AP469+$AQ469-$AD469,"$0.00")))</f>
      </c>
    </row>
    <row r="470" spans="1:58" ht="18.75" customHeight="1" x14ac:dyDescent="0.25">
      <c r="A470" s="46" t="inlineStr">
        <is>
          <t xml:space="preserve">CANON-202606-009039</t>
        </is>
      </c>
      <c r="B470" s="46" t="inlineStr">
        <is>
          <t xml:space="preserve">Leopold Bellandi</t>
        </is>
      </c>
      <c r="C470" s="47">
        <v>46195</v>
      </c>
      <c r="D470" s="48" t="inlineStr">
        <is>
          <t xml:space="preserve">Bound - within authority</t>
        </is>
      </c>
      <c r="E470" s="48" t="inlineStr">
        <is>
          <t xml:space="preserve">New business</t>
        </is>
      </c>
      <c r="F470" s="46" t="inlineStr">
        <is>
          <t xml:space="preserve">B1234EXOTIC26</t>
        </is>
      </c>
      <c r="G470" s="33">
        <f>IF($A470="","",IF($C470="","",YEAR($C470)))</f>
      </c>
      <c r="H470" s="49">
        <v>2014</v>
      </c>
      <c r="I470" s="46" t="inlineStr">
        <is>
          <t xml:space="preserve">Maserati</t>
        </is>
      </c>
      <c r="J470" s="46" t="inlineStr">
        <is>
          <t xml:space="preserve">GranTurismo</t>
        </is>
      </c>
      <c r="K470" s="46" t="inlineStr">
        <is>
          <t xml:space="preserve">W9Y6B4X4DU7AYLZ55</t>
        </is>
      </c>
      <c r="L470" s="48" t="inlineStr">
        <is>
          <t xml:space="preserve">02 - Sports / GT</t>
        </is>
      </c>
      <c r="M470" s="50">
        <v>715000</v>
      </c>
      <c r="N470" s="48" t="inlineStr">
        <is>
          <t xml:space="preserve">Personal</t>
        </is>
      </c>
      <c r="O470" s="46" t="inlineStr">
        <is>
          <t xml:space="preserve">Personal - regular use</t>
        </is>
      </c>
      <c r="P470" s="46" t="inlineStr">
        <is>
          <t xml:space="preserve">2,500 - 5,000</t>
        </is>
      </c>
      <c r="Q470" s="46" t="inlineStr">
        <is>
          <t xml:space="preserve">Indiana</t>
        </is>
      </c>
      <c r="R470" s="46" t="inlineStr">
        <is>
          <t xml:space="preserve">46204</t>
        </is>
      </c>
      <c r="S470" s="48" t="inlineStr">
        <is>
          <t xml:space="preserve">Severe convective - hail / tornado (moderate)</t>
        </is>
      </c>
      <c r="T470" s="36">
        <f>IF($A470="","",IF($S470="","",IFERROR(INDEX('[1]natural catastrophe'!$D$6:$D$17,MATCH($S470,'[1]natural catastrophe'!$B$6:$B$17,0)),"?")))</f>
      </c>
      <c r="U470" s="46" t="inlineStr">
        <is>
          <t xml:space="preserve">$5,000</t>
        </is>
      </c>
      <c r="V470" s="48" t="inlineStr">
        <is>
          <t xml:space="preserve">Agreed Value</t>
        </is>
      </c>
      <c r="W470" s="46" t="inlineStr">
        <is>
          <t xml:space="preserve">$1,000</t>
        </is>
      </c>
      <c r="X470" s="48" t="inlineStr">
        <is>
          <t xml:space="preserve">$1,000,000 CSL</t>
        </is>
      </c>
      <c r="Y470" s="46"/>
      <c r="Z470" s="46"/>
      <c r="AA470" s="48" t="inlineStr">
        <is>
          <t xml:space="preserve">Surplus Lines</t>
        </is>
      </c>
      <c r="AB470" s="50">
        <v>8248.91</v>
      </c>
      <c r="AC470" s="51">
        <v>0</v>
      </c>
      <c r="AD470" s="38">
        <f>IF(ISNUMBER($AB470),$AB470*(1+N($AC470)),"")</f>
      </c>
      <c r="AE470" s="50">
        <v>350</v>
      </c>
      <c r="AF470" s="50">
        <v>0</v>
      </c>
      <c r="AG470" s="51"/>
      <c r="AH470" s="39">
        <f>IF(ISNUMBER($AD470),($AD470+$AE470+$AF470)*$AG470,"")</f>
      </c>
      <c r="AI470" s="50"/>
      <c r="AJ470" s="38">
        <f>IF(ISNUMBER($AD470),SUM($AD470:$AH470),"")</f>
      </c>
      <c r="AK470" s="40">
        <f>IF(AND(ISNUMBER($AB470),ISNUMBER($AD470)),IF($AB470&gt;0,$AD470/$AB470,""),"")</f>
      </c>
      <c r="AL470" s="48" t="inlineStr">
        <is>
          <t xml:space="preserve">At technical</t>
        </is>
      </c>
      <c r="AM470" s="41">
        <f>IF(ISNUMBER($AD470),Header!$I$3,"")</f>
      </c>
      <c r="AN470" s="39">
        <f>IF(ISNUMBER($AD470),$AO470+$AP470,"")</f>
      </c>
      <c r="AO470" s="39">
        <f>IF(ISNUMBER($AD470),ROUND($AD470*Header!$K$3,2),"")</f>
      </c>
      <c r="AP470" s="39">
        <f>IF(ISNUMBER($AD470),ROUND($AD470*Header!$M$3,2),"")</f>
      </c>
      <c r="AQ470" s="38">
        <f>IF(ISNUMBER($AD470),ROUND($AD470,2)-$AO470-$AP470,"")</f>
      </c>
      <c r="AR470" s="39">
        <f>IF(ISNUMBER($AD470),IF(Header!$D$34="","?",$AD470*Header!$D$34),"")</f>
      </c>
      <c r="AS470" s="39">
        <f>IF(ISNUMBER($AB470),IF(Header!$D$34="","?",$AB470*Header!$D$34),"")</f>
      </c>
      <c r="AT470" s="42">
        <f>IF(AND(ISNUMBER($AB470),$M470&gt;0),$AB470/$M470*100,"")</f>
      </c>
      <c r="AU470" s="42">
        <f>IF(AND(ISNUMBER($AD470),$M470&gt;0),$AD470/$M470*100,"")</f>
      </c>
      <c r="AV470" s="40">
        <f>IF(AND(ISNUMBER($AB470),ISNUMBER($AD470),ABS($AB470)&gt;0),$AD470/$AB470,"")</f>
      </c>
      <c r="AW470" s="39">
        <f>IF(ISNUMBER($AD470),MAX(0,(1-0.55-Header!$O$3)*Header!$Q$3*$AQ470),"")</f>
      </c>
      <c r="AX470" s="43">
        <f>IF($A470="","",IF(TRIM(IF($A470="","Missing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",""))="","PASS","FAIL: "&amp;TRIM(IF($A470="","Missing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f>
      </c>
      <c r="AY470" s="44">
        <f>IF($M470="","",IF(ISNUMBER($M470),IF($M470&gt;=Header!$C$18,"YES — refer","No"),""))</f>
      </c>
      <c r="AZ470" s="44">
        <f>IF($AD470="","",IF(ISNUMBER($AD470),IF($AD470&lt;Header!$C$20,"BELOW MIN PREMIUM","OK"),""))</f>
      </c>
      <c r="BA470" s="48" t="inlineStr">
        <is>
          <t xml:space="preserve">Yes</t>
        </is>
      </c>
      <c r="BB470" s="48" t="inlineStr">
        <is>
          <t xml:space="preserve">Yes</t>
        </is>
      </c>
      <c r="BC470" s="46" t="inlineStr">
        <is>
          <t xml:space="preserve">Synthetic demo data</t>
        </is>
      </c>
      <c r="BE470" s="45">
        <f>IF(OR($A470="",$L470="",$H470=""),"",IF(AND(LEFT($L470,2)="06",$H470&gt;1945),"FAIL - pre-war class, year "&amp;$H470,IF(AND(LEFT($L470,2)="07",OR($H470&lt;1946,$H470&gt;1972)),"FAIL - 1946-72 class, year "&amp;$H470,IF(AND(LEFT($L470,2)="08",OR($H470&lt;1973,$H470&gt;1999)),"FAIL - 1973-99 class, year "&amp;$H470,IF(AND(LEFT($L470,2)="09",OR($H470&lt;2000,$H470&gt;2010)),"FAIL - 2000-10 class, year "&amp;$H470,"OK")))))</f>
      </c>
      <c r="BF470" s="45">
        <f>IF($AD470="","",IF(ROUND($AO470+$AP470+$AQ470-$AD470,2)=0,"OK","FAIL - out by "&amp;TEXT($AO470+$AP470+$AQ470-$AD470,"$0.00")))</f>
      </c>
    </row>
    <row r="471" spans="1:58" ht="18.75" customHeight="1" x14ac:dyDescent="0.25">
      <c r="A471" s="30" t="inlineStr">
        <is>
          <t xml:space="preserve">CANON-202606-009040</t>
        </is>
      </c>
      <c r="B471" s="30" t="inlineStr">
        <is>
          <t xml:space="preserve">Fenwick Montoya</t>
        </is>
      </c>
      <c r="C471" s="31">
        <v>46179</v>
      </c>
      <c r="D471" s="32" t="inlineStr">
        <is>
          <t xml:space="preserve">Bound - within authority</t>
        </is>
      </c>
      <c r="E471" s="32" t="inlineStr">
        <is>
          <t xml:space="preserve">New business</t>
        </is>
      </c>
      <c r="F471" s="30" t="inlineStr">
        <is>
          <t xml:space="preserve">B1234EXOTIC26</t>
        </is>
      </c>
      <c r="G471" s="33">
        <f>IF($A471="","",IF($C471="","",YEAR($C471)))</f>
      </c>
      <c r="H471" s="34">
        <v>1963</v>
      </c>
      <c r="I471" s="30" t="inlineStr">
        <is>
          <t xml:space="preserve">Aston Martin</t>
        </is>
      </c>
      <c r="J471" s="30" t="inlineStr">
        <is>
          <t xml:space="preserve">DB12</t>
        </is>
      </c>
      <c r="K471" s="30" t="inlineStr">
        <is>
          <t xml:space="preserve">EJ06XZ2PLCFWHMMCX</t>
        </is>
      </c>
      <c r="L471" s="32" t="inlineStr">
        <is>
          <t xml:space="preserve">02 - Sports / GT</t>
        </is>
      </c>
      <c r="M471" s="35">
        <v>750000</v>
      </c>
      <c r="N471" s="32" t="inlineStr">
        <is>
          <t xml:space="preserve">Personal</t>
        </is>
      </c>
      <c r="O471" s="30" t="inlineStr">
        <is>
          <t xml:space="preserve">Personal - regular use</t>
        </is>
      </c>
      <c r="P471" s="30" t="inlineStr">
        <is>
          <t xml:space="preserve">2,500 - 5,000</t>
        </is>
      </c>
      <c r="Q471" s="30" t="inlineStr">
        <is>
          <t xml:space="preserve">Ohio</t>
        </is>
      </c>
      <c r="R471" s="30" t="inlineStr">
        <is>
          <t xml:space="preserve">43215</t>
        </is>
      </c>
      <c r="S471" s="32" t="inlineStr">
        <is>
          <t xml:space="preserve">Severe convective - hail / tornado (moderate)</t>
        </is>
      </c>
      <c r="T471" s="36">
        <f>IF($A471="","",IF($S471="","",IFERROR(INDEX('[1]natural catastrophe'!$D$6:$D$17,MATCH($S471,'[1]natural catastrophe'!$B$6:$B$17,0)),"?")))</f>
      </c>
      <c r="U471" s="30" t="inlineStr">
        <is>
          <t xml:space="preserve">$5,000</t>
        </is>
      </c>
      <c r="V471" s="32" t="inlineStr">
        <is>
          <t xml:space="preserve">Agreed Value</t>
        </is>
      </c>
      <c r="W471" s="30" t="inlineStr">
        <is>
          <t xml:space="preserve">$1,000</t>
        </is>
      </c>
      <c r="X471" s="32" t="inlineStr">
        <is>
          <t xml:space="preserve">$1,000,000 CSL</t>
        </is>
      </c>
      <c r="Y471" s="30"/>
      <c r="Z471" s="30"/>
      <c r="AA471" s="32" t="inlineStr">
        <is>
          <t xml:space="preserve">Surplus Lines</t>
        </is>
      </c>
      <c r="AB471" s="35">
        <v>9778.26</v>
      </c>
      <c r="AC471" s="37">
        <v>0</v>
      </c>
      <c r="AD471" s="38">
        <f>IF(ISNUMBER($AB471),$AB471*(1+N($AC471)),"")</f>
      </c>
      <c r="AE471" s="35">
        <v>350</v>
      </c>
      <c r="AF471" s="35">
        <v>0</v>
      </c>
      <c r="AG471" s="37"/>
      <c r="AH471" s="39">
        <f>IF(ISNUMBER($AD471),($AD471+$AE471+$AF471)*$AG471,"")</f>
      </c>
      <c r="AI471" s="35"/>
      <c r="AJ471" s="38">
        <f>IF(ISNUMBER($AD471),SUM($AD471:$AH471),"")</f>
      </c>
      <c r="AK471" s="40">
        <f>IF(AND(ISNUMBER($AB471),ISNUMBER($AD471)),IF($AB471&gt;0,$AD471/$AB471,""),"")</f>
      </c>
      <c r="AL471" s="32" t="inlineStr">
        <is>
          <t xml:space="preserve">At technical</t>
        </is>
      </c>
      <c r="AM471" s="41">
        <f>IF(ISNUMBER($AD471),Header!$I$3,"")</f>
      </c>
      <c r="AN471" s="39">
        <f>IF(ISNUMBER($AD471),$AO471+$AP471,"")</f>
      </c>
      <c r="AO471" s="39">
        <f>IF(ISNUMBER($AD471),ROUND($AD471*Header!$K$3,2),"")</f>
      </c>
      <c r="AP471" s="39">
        <f>IF(ISNUMBER($AD471),ROUND($AD471*Header!$M$3,2),"")</f>
      </c>
      <c r="AQ471" s="38">
        <f>IF(ISNUMBER($AD471),ROUND($AD471,2)-$AO471-$AP471,"")</f>
      </c>
      <c r="AR471" s="39">
        <f>IF(ISNUMBER($AD471),IF(Header!$D$34="","?",$AD471*Header!$D$34),"")</f>
      </c>
      <c r="AS471" s="39">
        <f>IF(ISNUMBER($AB471),IF(Header!$D$34="","?",$AB471*Header!$D$34),"")</f>
      </c>
      <c r="AT471" s="42">
        <f>IF(AND(ISNUMBER($AB471),$M471&gt;0),$AB471/$M471*100,"")</f>
      </c>
      <c r="AU471" s="42">
        <f>IF(AND(ISNUMBER($AD471),$M471&gt;0),$AD471/$M471*100,"")</f>
      </c>
      <c r="AV471" s="40">
        <f>IF(AND(ISNUMBER($AB471),ISNUMBER($AD471),ABS($AB471)&gt;0),$AD471/$AB471,"")</f>
      </c>
      <c r="AW471" s="39">
        <f>IF(ISNUMBER($AD471),MAX(0,(1-0.55-Header!$O$3)*Header!$Q$3*$AQ471),"")</f>
      </c>
      <c r="AX471" s="43">
        <f>IF($A471="","",IF(TRIM(IF($A471="","Missing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",""))="","PASS","FAIL: "&amp;TRIM(IF($A471="","Missing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f>
      </c>
      <c r="AY471" s="44">
        <f>IF($M471="","",IF(ISNUMBER($M471),IF($M471&gt;=Header!$C$18,"YES — refer","No"),""))</f>
      </c>
      <c r="AZ471" s="44">
        <f>IF($AD471="","",IF(ISNUMBER($AD471),IF($AD471&lt;Header!$C$20,"BELOW MIN PREMIUM","OK"),""))</f>
      </c>
      <c r="BA471" s="32" t="inlineStr">
        <is>
          <t xml:space="preserve">Yes</t>
        </is>
      </c>
      <c r="BB471" s="32" t="inlineStr">
        <is>
          <t xml:space="preserve">Yes</t>
        </is>
      </c>
      <c r="BC471" s="30" t="inlineStr">
        <is>
          <t xml:space="preserve">Synthetic demo data</t>
        </is>
      </c>
      <c r="BE471" s="45">
        <f>IF(OR($A471="",$L471="",$H471=""),"",IF(AND(LEFT($L471,2)="06",$H471&gt;1945),"FAIL - pre-war class, year "&amp;$H471,IF(AND(LEFT($L471,2)="07",OR($H471&lt;1946,$H471&gt;1972)),"FAIL - 1946-72 class, year "&amp;$H471,IF(AND(LEFT($L471,2)="08",OR($H471&lt;1973,$H471&gt;1999)),"FAIL - 1973-99 class, year "&amp;$H471,IF(AND(LEFT($L471,2)="09",OR($H471&lt;2000,$H471&gt;2010)),"FAIL - 2000-10 class, year "&amp;$H471,"OK")))))</f>
      </c>
      <c r="BF471" s="45">
        <f>IF($AD471="","",IF(ROUND($AO471+$AP471+$AQ471-$AD471,2)=0,"OK","FAIL - out by "&amp;TEXT($AO471+$AP471+$AQ471-$AD471,"$0.00")))</f>
      </c>
    </row>
    <row r="472" spans="1:58" ht="18.75" customHeight="1" x14ac:dyDescent="0.25">
      <c r="A472" s="46" t="inlineStr">
        <is>
          <t xml:space="preserve">CANON-202606-009041</t>
        </is>
      </c>
      <c r="B472" s="46" t="inlineStr">
        <is>
          <t xml:space="preserve">Thaddeus Montoya</t>
        </is>
      </c>
      <c r="C472" s="47">
        <v>46183</v>
      </c>
      <c r="D472" s="48" t="inlineStr">
        <is>
          <t xml:space="preserve">Bound - within authority</t>
        </is>
      </c>
      <c r="E472" s="48" t="inlineStr">
        <is>
          <t xml:space="preserve">New business</t>
        </is>
      </c>
      <c r="F472" s="46" t="inlineStr">
        <is>
          <t xml:space="preserve">B1234EXOTIC26</t>
        </is>
      </c>
      <c r="G472" s="33">
        <f>IF($A472="","",IF($C472="","",YEAR($C472)))</f>
      </c>
      <c r="H472" s="49">
        <v>2012</v>
      </c>
      <c r="I472" s="46" t="inlineStr">
        <is>
          <t xml:space="preserve">BMW</t>
        </is>
      </c>
      <c r="J472" s="46" t="inlineStr">
        <is>
          <t xml:space="preserve">M8 Competition</t>
        </is>
      </c>
      <c r="K472" s="46" t="inlineStr">
        <is>
          <t xml:space="preserve">Y16EVKAHSBL71MBGE</t>
        </is>
      </c>
      <c r="L472" s="48" t="inlineStr">
        <is>
          <t xml:space="preserve">02 - Sports / GT</t>
        </is>
      </c>
      <c r="M472" s="50">
        <v>500000</v>
      </c>
      <c r="N472" s="48" t="inlineStr">
        <is>
          <t xml:space="preserve">Personal</t>
        </is>
      </c>
      <c r="O472" s="46" t="inlineStr">
        <is>
          <t xml:space="preserve">Personal - regular use</t>
        </is>
      </c>
      <c r="P472" s="46" t="inlineStr">
        <is>
          <t xml:space="preserve">Under 1,000</t>
        </is>
      </c>
      <c r="Q472" s="46" t="inlineStr">
        <is>
          <t xml:space="preserve">Kentucky</t>
        </is>
      </c>
      <c r="R472" s="46" t="inlineStr">
        <is>
          <t xml:space="preserve">40202</t>
        </is>
      </c>
      <c r="S472" s="48" t="inlineStr">
        <is>
          <t xml:space="preserve">Severe convective - hail / tornado (moderate)</t>
        </is>
      </c>
      <c r="T472" s="36">
        <f>IF($A472="","",IF($S472="","",IFERROR(INDEX('[1]natural catastrophe'!$D$6:$D$17,MATCH($S472,'[1]natural catastrophe'!$B$6:$B$17,0)),"?")))</f>
      </c>
      <c r="U472" s="46" t="inlineStr">
        <is>
          <t xml:space="preserve">$5,000</t>
        </is>
      </c>
      <c r="V472" s="48" t="inlineStr">
        <is>
          <t xml:space="preserve">Agreed Value</t>
        </is>
      </c>
      <c r="W472" s="46" t="inlineStr">
        <is>
          <t xml:space="preserve">$1,000</t>
        </is>
      </c>
      <c r="X472" s="48" t="inlineStr">
        <is>
          <t xml:space="preserve">$1,000,000 CSL</t>
        </is>
      </c>
      <c r="Y472" s="46"/>
      <c r="Z472" s="46"/>
      <c r="AA472" s="48" t="inlineStr">
        <is>
          <t xml:space="preserve">Surplus Lines</t>
        </is>
      </c>
      <c r="AB472" s="50">
        <v>6284.35</v>
      </c>
      <c r="AC472" s="51">
        <v>0</v>
      </c>
      <c r="AD472" s="38">
        <f>IF(ISNUMBER($AB472),$AB472*(1+N($AC472)),"")</f>
      </c>
      <c r="AE472" s="50">
        <v>350</v>
      </c>
      <c r="AF472" s="50">
        <v>0</v>
      </c>
      <c r="AG472" s="51"/>
      <c r="AH472" s="39">
        <f>IF(ISNUMBER($AD472),($AD472+$AE472+$AF472)*$AG472,"")</f>
      </c>
      <c r="AI472" s="50"/>
      <c r="AJ472" s="38">
        <f>IF(ISNUMBER($AD472),SUM($AD472:$AH472),"")</f>
      </c>
      <c r="AK472" s="40">
        <f>IF(AND(ISNUMBER($AB472),ISNUMBER($AD472)),IF($AB472&gt;0,$AD472/$AB472,""),"")</f>
      </c>
      <c r="AL472" s="48" t="inlineStr">
        <is>
          <t xml:space="preserve">At technical</t>
        </is>
      </c>
      <c r="AM472" s="41">
        <f>IF(ISNUMBER($AD472),Header!$I$3,"")</f>
      </c>
      <c r="AN472" s="39">
        <f>IF(ISNUMBER($AD472),$AO472+$AP472,"")</f>
      </c>
      <c r="AO472" s="39">
        <f>IF(ISNUMBER($AD472),ROUND($AD472*Header!$K$3,2),"")</f>
      </c>
      <c r="AP472" s="39">
        <f>IF(ISNUMBER($AD472),ROUND($AD472*Header!$M$3,2),"")</f>
      </c>
      <c r="AQ472" s="38">
        <f>IF(ISNUMBER($AD472),ROUND($AD472,2)-$AO472-$AP472,"")</f>
      </c>
      <c r="AR472" s="39">
        <f>IF(ISNUMBER($AD472),IF(Header!$D$34="","?",$AD472*Header!$D$34),"")</f>
      </c>
      <c r="AS472" s="39">
        <f>IF(ISNUMBER($AB472),IF(Header!$D$34="","?",$AB472*Header!$D$34),"")</f>
      </c>
      <c r="AT472" s="42">
        <f>IF(AND(ISNUMBER($AB472),$M472&gt;0),$AB472/$M472*100,"")</f>
      </c>
      <c r="AU472" s="42">
        <f>IF(AND(ISNUMBER($AD472),$M472&gt;0),$AD472/$M472*100,"")</f>
      </c>
      <c r="AV472" s="40">
        <f>IF(AND(ISNUMBER($AB472),ISNUMBER($AD472),ABS($AB472)&gt;0),$AD472/$AB472,"")</f>
      </c>
      <c r="AW472" s="39">
        <f>IF(ISNUMBER($AD472),MAX(0,(1-0.55-Header!$O$3)*Header!$Q$3*$AQ472),"")</f>
      </c>
      <c r="AX472" s="43">
        <f>IF($A472="","",IF(TRIM(IF($A472="","Missing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",""))="","PASS","FAIL: "&amp;TRIM(IF($A472="","Missing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f>
      </c>
      <c r="AY472" s="44">
        <f>IF($M472="","",IF(ISNUMBER($M472),IF($M472&gt;=Header!$C$18,"YES — refer","No"),""))</f>
      </c>
      <c r="AZ472" s="44">
        <f>IF($AD472="","",IF(ISNUMBER($AD472),IF($AD472&lt;Header!$C$20,"BELOW MIN PREMIUM","OK"),""))</f>
      </c>
      <c r="BA472" s="48" t="inlineStr">
        <is>
          <t xml:space="preserve">Yes</t>
        </is>
      </c>
      <c r="BB472" s="48" t="inlineStr">
        <is>
          <t xml:space="preserve">Yes</t>
        </is>
      </c>
      <c r="BC472" s="46" t="inlineStr">
        <is>
          <t xml:space="preserve">Synthetic demo data</t>
        </is>
      </c>
      <c r="BE472" s="45">
        <f>IF(OR($A472="",$L472="",$H472=""),"",IF(AND(LEFT($L472,2)="06",$H472&gt;1945),"FAIL - pre-war class, year "&amp;$H472,IF(AND(LEFT($L472,2)="07",OR($H472&lt;1946,$H472&gt;1972)),"FAIL - 1946-72 class, year "&amp;$H472,IF(AND(LEFT($L472,2)="08",OR($H472&lt;1973,$H472&gt;1999)),"FAIL - 1973-99 class, year "&amp;$H472,IF(AND(LEFT($L472,2)="09",OR($H472&lt;2000,$H472&gt;2010)),"FAIL - 2000-10 class, year "&amp;$H472,"OK")))))</f>
      </c>
      <c r="BF472" s="45">
        <f>IF($AD472="","",IF(ROUND($AO472+$AP472+$AQ472-$AD472,2)=0,"OK","FAIL - out by "&amp;TEXT($AO472+$AP472+$AQ472-$AD472,"$0.00")))</f>
      </c>
    </row>
    <row r="473" spans="1:58" ht="18.75" customHeight="1" x14ac:dyDescent="0.25">
      <c r="A473" s="30" t="inlineStr">
        <is>
          <t xml:space="preserve">CANON-202606-009042</t>
        </is>
      </c>
      <c r="B473" s="30" t="inlineStr">
        <is>
          <t xml:space="preserve">Noor Vasquez</t>
        </is>
      </c>
      <c r="C473" s="31">
        <v>46200</v>
      </c>
      <c r="D473" s="32" t="inlineStr">
        <is>
          <t xml:space="preserve">Bound - within authority</t>
        </is>
      </c>
      <c r="E473" s="32" t="inlineStr">
        <is>
          <t xml:space="preserve">New business</t>
        </is>
      </c>
      <c r="F473" s="30" t="inlineStr">
        <is>
          <t xml:space="preserve">B1234EXOTIC26</t>
        </is>
      </c>
      <c r="G473" s="33">
        <f>IF($A473="","",IF($C473="","",YEAR($C473)))</f>
      </c>
      <c r="H473" s="34">
        <v>2022</v>
      </c>
      <c r="I473" s="30" t="inlineStr">
        <is>
          <t xml:space="preserve">Aston Martin</t>
        </is>
      </c>
      <c r="J473" s="30" t="inlineStr">
        <is>
          <t xml:space="preserve">DB12</t>
        </is>
      </c>
      <c r="K473" s="30" t="inlineStr">
        <is>
          <t xml:space="preserve">AL72CCK0Y10RA67NE</t>
        </is>
      </c>
      <c r="L473" s="32" t="inlineStr">
        <is>
          <t xml:space="preserve">02 - Sports / GT</t>
        </is>
      </c>
      <c r="M473" s="35">
        <v>245000</v>
      </c>
      <c r="N473" s="32" t="inlineStr">
        <is>
          <t xml:space="preserve">Personal</t>
        </is>
      </c>
      <c r="O473" s="30" t="inlineStr">
        <is>
          <t xml:space="preserve">Personal - regular use</t>
        </is>
      </c>
      <c r="P473" s="30" t="inlineStr">
        <is>
          <t xml:space="preserve">2,500 - 5,000</t>
        </is>
      </c>
      <c r="Q473" s="30" t="inlineStr">
        <is>
          <t xml:space="preserve">North Carolina</t>
        </is>
      </c>
      <c r="R473" s="30" t="inlineStr">
        <is>
          <t xml:space="preserve">28202</t>
        </is>
      </c>
      <c r="S473" s="32" t="inlineStr">
        <is>
          <t xml:space="preserve">Tier 2 - Coastal wind (1-25 miles)</t>
        </is>
      </c>
      <c r="T473" s="36">
        <f>IF($A473="","",IF($S473="","",IFERROR(INDEX('[1]natural catastrophe'!$D$6:$D$17,MATCH($S473,'[1]natural catastrophe'!$B$6:$B$17,0)),"?")))</f>
      </c>
      <c r="U473" s="30" t="inlineStr">
        <is>
          <t xml:space="preserve">2% of agreed value, minimum $10,000</t>
        </is>
      </c>
      <c r="V473" s="32" t="inlineStr">
        <is>
          <t xml:space="preserve">Agreed Value</t>
        </is>
      </c>
      <c r="W473" s="30" t="inlineStr">
        <is>
          <t xml:space="preserve">$1,000</t>
        </is>
      </c>
      <c r="X473" s="32" t="inlineStr">
        <is>
          <t xml:space="preserve">$1,000,000 CSL</t>
        </is>
      </c>
      <c r="Y473" s="30"/>
      <c r="Z473" s="30"/>
      <c r="AA473" s="32" t="inlineStr">
        <is>
          <t xml:space="preserve">Surplus Lines</t>
        </is>
      </c>
      <c r="AB473" s="35">
        <v>3740.45</v>
      </c>
      <c r="AC473" s="37">
        <v>0</v>
      </c>
      <c r="AD473" s="38">
        <f>IF(ISNUMBER($AB473),$AB473*(1+N($AC473)),"")</f>
      </c>
      <c r="AE473" s="35">
        <v>350</v>
      </c>
      <c r="AF473" s="35">
        <v>0</v>
      </c>
      <c r="AG473" s="37"/>
      <c r="AH473" s="39">
        <f>IF(ISNUMBER($AD473),($AD473+$AE473+$AF473)*$AG473,"")</f>
      </c>
      <c r="AI473" s="35"/>
      <c r="AJ473" s="38">
        <f>IF(ISNUMBER($AD473),SUM($AD473:$AH473),"")</f>
      </c>
      <c r="AK473" s="40">
        <f>IF(AND(ISNUMBER($AB473),ISNUMBER($AD473)),IF($AB473&gt;0,$AD473/$AB473,""),"")</f>
      </c>
      <c r="AL473" s="32" t="inlineStr">
        <is>
          <t xml:space="preserve">At technical</t>
        </is>
      </c>
      <c r="AM473" s="41">
        <f>IF(ISNUMBER($AD473),Header!$I$3,"")</f>
      </c>
      <c r="AN473" s="39">
        <f>IF(ISNUMBER($AD473),$AO473+$AP473,"")</f>
      </c>
      <c r="AO473" s="39">
        <f>IF(ISNUMBER($AD473),ROUND($AD473*Header!$K$3,2),"")</f>
      </c>
      <c r="AP473" s="39">
        <f>IF(ISNUMBER($AD473),ROUND($AD473*Header!$M$3,2),"")</f>
      </c>
      <c r="AQ473" s="38">
        <f>IF(ISNUMBER($AD473),ROUND($AD473,2)-$AO473-$AP473,"")</f>
      </c>
      <c r="AR473" s="39">
        <f>IF(ISNUMBER($AD473),IF(Header!$D$34="","?",$AD473*Header!$D$34),"")</f>
      </c>
      <c r="AS473" s="39">
        <f>IF(ISNUMBER($AB473),IF(Header!$D$34="","?",$AB473*Header!$D$34),"")</f>
      </c>
      <c r="AT473" s="42">
        <f>IF(AND(ISNUMBER($AB473),$M473&gt;0),$AB473/$M473*100,"")</f>
      </c>
      <c r="AU473" s="42">
        <f>IF(AND(ISNUMBER($AD473),$M473&gt;0),$AD473/$M473*100,"")</f>
      </c>
      <c r="AV473" s="40">
        <f>IF(AND(ISNUMBER($AB473),ISNUMBER($AD473),ABS($AB473)&gt;0),$AD473/$AB473,"")</f>
      </c>
      <c r="AW473" s="39">
        <f>IF(ISNUMBER($AD473),MAX(0,(1-0.55-Header!$O$3)*Header!$Q$3*$AQ473),"")</f>
      </c>
      <c r="AX473" s="43">
        <f>IF($A473="","",IF(TRIM(IF($A473="","Missing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",""))="","PASS","FAIL: "&amp;TRIM(IF($A473="","Missing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f>
      </c>
      <c r="AY473" s="44">
        <f>IF($M473="","",IF(ISNUMBER($M473),IF($M473&gt;=Header!$C$18,"YES — refer","No"),""))</f>
      </c>
      <c r="AZ473" s="44">
        <f>IF($AD473="","",IF(ISNUMBER($AD473),IF($AD473&lt;Header!$C$20,"BELOW MIN PREMIUM","OK"),""))</f>
      </c>
      <c r="BA473" s="32" t="inlineStr">
        <is>
          <t xml:space="preserve">Yes</t>
        </is>
      </c>
      <c r="BB473" s="32" t="inlineStr">
        <is>
          <t xml:space="preserve">Yes</t>
        </is>
      </c>
      <c r="BC473" s="30" t="inlineStr">
        <is>
          <t xml:space="preserve">Synthetic demo data</t>
        </is>
      </c>
      <c r="BE473" s="45">
        <f>IF(OR($A473="",$L473="",$H473=""),"",IF(AND(LEFT($L473,2)="06",$H473&gt;1945),"FAIL - pre-war class, year "&amp;$H473,IF(AND(LEFT($L473,2)="07",OR($H473&lt;1946,$H473&gt;1972)),"FAIL - 1946-72 class, year "&amp;$H473,IF(AND(LEFT($L473,2)="08",OR($H473&lt;1973,$H473&gt;1999)),"FAIL - 1973-99 class, year "&amp;$H473,IF(AND(LEFT($L473,2)="09",OR($H473&lt;2000,$H473&gt;2010)),"FAIL - 2000-10 class, year "&amp;$H473,"OK")))))</f>
      </c>
      <c r="BF473" s="45">
        <f>IF($AD473="","",IF(ROUND($AO473+$AP473+$AQ473-$AD473,2)=0,"OK","FAIL - out by "&amp;TEXT($AO473+$AP473+$AQ473-$AD473,"$0.00")))</f>
      </c>
    </row>
    <row r="474" spans="1:58" ht="18.75" customHeight="1" x14ac:dyDescent="0.25">
      <c r="A474" s="46" t="inlineStr">
        <is>
          <t xml:space="preserve">CANON-202606-009043</t>
        </is>
      </c>
      <c r="B474" s="46" t="inlineStr">
        <is>
          <t xml:space="preserve">Mireille Harrington</t>
        </is>
      </c>
      <c r="C474" s="47">
        <v>46181</v>
      </c>
      <c r="D474" s="48" t="inlineStr">
        <is>
          <t xml:space="preserve">Bound - within authority</t>
        </is>
      </c>
      <c r="E474" s="48" t="inlineStr">
        <is>
          <t xml:space="preserve">New business</t>
        </is>
      </c>
      <c r="F474" s="46" t="inlineStr">
        <is>
          <t xml:space="preserve">B1234EXOTIC26</t>
        </is>
      </c>
      <c r="G474" s="33">
        <f>IF($A474="","",IF($C474="","",YEAR($C474)))</f>
      </c>
      <c r="H474" s="49">
        <v>1955</v>
      </c>
      <c r="I474" s="46" t="inlineStr">
        <is>
          <t xml:space="preserve">Bugatti</t>
        </is>
      </c>
      <c r="J474" s="46" t="inlineStr">
        <is>
          <t xml:space="preserve">Type 57</t>
        </is>
      </c>
      <c r="K474" s="46" t="inlineStr">
        <is>
          <t xml:space="preserve">JNTS4CB04B6CTGWFC</t>
        </is>
      </c>
      <c r="L474" s="48" t="inlineStr">
        <is>
          <t xml:space="preserve">07 - Post-War Classic (1946-1972)</t>
        </is>
      </c>
      <c r="M474" s="50">
        <v>960000</v>
      </c>
      <c r="N474" s="48" t="inlineStr">
        <is>
          <t xml:space="preserve">Personal</t>
        </is>
      </c>
      <c r="O474" s="46" t="inlineStr">
        <is>
          <t xml:space="preserve">Personal - regular use</t>
        </is>
      </c>
      <c r="P474" s="46" t="inlineStr">
        <is>
          <t xml:space="preserve">Under 1,000</t>
        </is>
      </c>
      <c r="Q474" s="46" t="inlineStr">
        <is>
          <t xml:space="preserve">Montana</t>
        </is>
      </c>
      <c r="R474" s="46" t="inlineStr">
        <is>
          <t xml:space="preserve">59601</t>
        </is>
      </c>
      <c r="S474" s="48" t="inlineStr">
        <is>
          <t xml:space="preserve">Wildfire - WUI high hazard</t>
        </is>
      </c>
      <c r="T474" s="36">
        <f>IF($A474="","",IF($S474="","",IFERROR(INDEX('[1]natural catastrophe'!$D$6:$D$17,MATCH($S474,'[1]natural catastrophe'!$B$6:$B$17,0)),"?")))</f>
      </c>
      <c r="U474" s="46" t="inlineStr">
        <is>
          <t xml:space="preserve">$5,000</t>
        </is>
      </c>
      <c r="V474" s="48" t="inlineStr">
        <is>
          <t xml:space="preserve">Agreed Value</t>
        </is>
      </c>
      <c r="W474" s="46" t="inlineStr">
        <is>
          <t xml:space="preserve">$1,000</t>
        </is>
      </c>
      <c r="X474" s="48" t="inlineStr">
        <is>
          <t xml:space="preserve">$1,000,000 CSL</t>
        </is>
      </c>
      <c r="Y474" s="46"/>
      <c r="Z474" s="46"/>
      <c r="AA474" s="48" t="inlineStr">
        <is>
          <t xml:space="preserve">Surplus Lines</t>
        </is>
      </c>
      <c r="AB474" s="50">
        <v>4895.65</v>
      </c>
      <c r="AC474" s="51">
        <v>0</v>
      </c>
      <c r="AD474" s="38">
        <f>IF(ISNUMBER($AB474),$AB474*(1+N($AC474)),"")</f>
      </c>
      <c r="AE474" s="50">
        <v>350</v>
      </c>
      <c r="AF474" s="50">
        <v>0</v>
      </c>
      <c r="AG474" s="51"/>
      <c r="AH474" s="39">
        <f>IF(ISNUMBER($AD474),($AD474+$AE474+$AF474)*$AG474,"")</f>
      </c>
      <c r="AI474" s="50"/>
      <c r="AJ474" s="38">
        <f>IF(ISNUMBER($AD474),SUM($AD474:$AH474),"")</f>
      </c>
      <c r="AK474" s="40">
        <f>IF(AND(ISNUMBER($AB474),ISNUMBER($AD474)),IF($AB474&gt;0,$AD474/$AB474,""),"")</f>
      </c>
      <c r="AL474" s="48" t="inlineStr">
        <is>
          <t xml:space="preserve">At technical</t>
        </is>
      </c>
      <c r="AM474" s="41">
        <f>IF(ISNUMBER($AD474),Header!$I$3,"")</f>
      </c>
      <c r="AN474" s="39">
        <f>IF(ISNUMBER($AD474),$AO474+$AP474,"")</f>
      </c>
      <c r="AO474" s="39">
        <f>IF(ISNUMBER($AD474),ROUND($AD474*Header!$K$3,2),"")</f>
      </c>
      <c r="AP474" s="39">
        <f>IF(ISNUMBER($AD474),ROUND($AD474*Header!$M$3,2),"")</f>
      </c>
      <c r="AQ474" s="38">
        <f>IF(ISNUMBER($AD474),ROUND($AD474,2)-$AO474-$AP474,"")</f>
      </c>
      <c r="AR474" s="39">
        <f>IF(ISNUMBER($AD474),IF(Header!$D$34="","?",$AD474*Header!$D$34),"")</f>
      </c>
      <c r="AS474" s="39">
        <f>IF(ISNUMBER($AB474),IF(Header!$D$34="","?",$AB474*Header!$D$34),"")</f>
      </c>
      <c r="AT474" s="42">
        <f>IF(AND(ISNUMBER($AB474),$M474&gt;0),$AB474/$M474*100,"")</f>
      </c>
      <c r="AU474" s="42">
        <f>IF(AND(ISNUMBER($AD474),$M474&gt;0),$AD474/$M474*100,"")</f>
      </c>
      <c r="AV474" s="40">
        <f>IF(AND(ISNUMBER($AB474),ISNUMBER($AD474),ABS($AB474)&gt;0),$AD474/$AB474,"")</f>
      </c>
      <c r="AW474" s="39">
        <f>IF(ISNUMBER($AD474),MAX(0,(1-0.55-Header!$O$3)*Header!$Q$3*$AQ474),"")</f>
      </c>
      <c r="AX474" s="43">
        <f>IF($A474="","",IF(TRIM(IF($A474="","Missing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",""))="","PASS","FAIL: "&amp;TRIM(IF($A474="","Missing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f>
      </c>
      <c r="AY474" s="44">
        <f>IF($M474="","",IF(ISNUMBER($M474),IF($M474&gt;=Header!$C$18,"YES — refer","No"),""))</f>
      </c>
      <c r="AZ474" s="44">
        <f>IF($AD474="","",IF(ISNUMBER($AD474),IF($AD474&lt;Header!$C$20,"BELOW MIN PREMIUM","OK"),""))</f>
      </c>
      <c r="BA474" s="48" t="inlineStr">
        <is>
          <t xml:space="preserve">Yes</t>
        </is>
      </c>
      <c r="BB474" s="48" t="inlineStr">
        <is>
          <t xml:space="preserve">Yes</t>
        </is>
      </c>
      <c r="BC474" s="46" t="inlineStr">
        <is>
          <t xml:space="preserve">Synthetic demo data</t>
        </is>
      </c>
      <c r="BE474" s="45">
        <f>IF(OR($A474="",$L474="",$H474=""),"",IF(AND(LEFT($L474,2)="06",$H474&gt;1945),"FAIL - pre-war class, year "&amp;$H474,IF(AND(LEFT($L474,2)="07",OR($H474&lt;1946,$H474&gt;1972)),"FAIL - 1946-72 class, year "&amp;$H474,IF(AND(LEFT($L474,2)="08",OR($H474&lt;1973,$H474&gt;1999)),"FAIL - 1973-99 class, year "&amp;$H474,IF(AND(LEFT($L474,2)="09",OR($H474&lt;2000,$H474&gt;2010)),"FAIL - 2000-10 class, year "&amp;$H474,"OK")))))</f>
      </c>
      <c r="BF474" s="45">
        <f>IF($AD474="","",IF(ROUND($AO474+$AP474+$AQ474-$AD474,2)=0,"OK","FAIL - out by "&amp;TEXT($AO474+$AP474+$AQ474-$AD474,"$0.00")))</f>
      </c>
    </row>
    <row r="475" spans="1:58" ht="18.75" customHeight="1" x14ac:dyDescent="0.25">
      <c r="A475" s="30" t="inlineStr">
        <is>
          <t xml:space="preserve">CANON-202606-009045</t>
        </is>
      </c>
      <c r="B475" s="30" t="inlineStr">
        <is>
          <t xml:space="preserve">Horace Harrington</t>
        </is>
      </c>
      <c r="C475" s="31">
        <v>46191</v>
      </c>
      <c r="D475" s="32" t="inlineStr">
        <is>
          <t xml:space="preserve">Bound - within authority</t>
        </is>
      </c>
      <c r="E475" s="32" t="inlineStr">
        <is>
          <t xml:space="preserve">New business</t>
        </is>
      </c>
      <c r="F475" s="30" t="inlineStr">
        <is>
          <t xml:space="preserve">B1234EXOTIC26</t>
        </is>
      </c>
      <c r="G475" s="33">
        <f>IF($A475="","",IF($C475="","",YEAR($C475)))</f>
      </c>
      <c r="H475" s="34">
        <v>2024</v>
      </c>
      <c r="I475" s="30" t="inlineStr">
        <is>
          <t xml:space="preserve">Mercedes-Benz</t>
        </is>
      </c>
      <c r="J475" s="30" t="inlineStr">
        <is>
          <t xml:space="preserve">AMG GT</t>
        </is>
      </c>
      <c r="K475" s="30" t="inlineStr">
        <is>
          <t xml:space="preserve">ZXVV59GC096LBYABT</t>
        </is>
      </c>
      <c r="L475" s="32" t="inlineStr">
        <is>
          <t xml:space="preserve">02 - Sports / GT</t>
        </is>
      </c>
      <c r="M475" s="35">
        <v>250000</v>
      </c>
      <c r="N475" s="32" t="inlineStr">
        <is>
          <t xml:space="preserve">Personal</t>
        </is>
      </c>
      <c r="O475" s="30" t="inlineStr">
        <is>
          <t xml:space="preserve">Personal - regular use</t>
        </is>
      </c>
      <c r="P475" s="30" t="inlineStr">
        <is>
          <t xml:space="preserve">2,500 - 5,000</t>
        </is>
      </c>
      <c r="Q475" s="30" t="inlineStr">
        <is>
          <t xml:space="preserve">New Jersey</t>
        </is>
      </c>
      <c r="R475" s="30" t="inlineStr">
        <is>
          <t xml:space="preserve">07102</t>
        </is>
      </c>
      <c r="S475" s="32" t="inlineStr">
        <is>
          <t xml:space="preserve">Tier 3 - Coastal wind (25-100 miles)</t>
        </is>
      </c>
      <c r="T475" s="36">
        <f>IF($A475="","",IF($S475="","",IFERROR(INDEX('[1]natural catastrophe'!$D$6:$D$17,MATCH($S475,'[1]natural catastrophe'!$B$6:$B$17,0)),"?")))</f>
      </c>
      <c r="U475" s="30" t="inlineStr">
        <is>
          <t xml:space="preserve">2% of agreed value, minimum $10,000</t>
        </is>
      </c>
      <c r="V475" s="32" t="inlineStr">
        <is>
          <t xml:space="preserve">Agreed Value</t>
        </is>
      </c>
      <c r="W475" s="30" t="inlineStr">
        <is>
          <t xml:space="preserve">$1,000</t>
        </is>
      </c>
      <c r="X475" s="32" t="inlineStr">
        <is>
          <t xml:space="preserve">$1,000,000 CSL</t>
        </is>
      </c>
      <c r="Y475" s="30"/>
      <c r="Z475" s="30"/>
      <c r="AA475" s="32" t="inlineStr">
        <is>
          <t xml:space="preserve">Surplus Lines</t>
        </is>
      </c>
      <c r="AB475" s="35">
        <v>2462.15</v>
      </c>
      <c r="AC475" s="37">
        <v>0</v>
      </c>
      <c r="AD475" s="38">
        <f>IF(ISNUMBER($AB475),$AB475*(1+N($AC475)),"")</f>
      </c>
      <c r="AE475" s="35">
        <v>350</v>
      </c>
      <c r="AF475" s="35">
        <v>0</v>
      </c>
      <c r="AG475" s="37"/>
      <c r="AH475" s="39">
        <f>IF(ISNUMBER($AD475),($AD475+$AE475+$AF475)*$AG475,"")</f>
      </c>
      <c r="AI475" s="35"/>
      <c r="AJ475" s="38">
        <f>IF(ISNUMBER($AD475),SUM($AD475:$AH475),"")</f>
      </c>
      <c r="AK475" s="40">
        <f>IF(AND(ISNUMBER($AB475),ISNUMBER($AD475)),IF($AB475&gt;0,$AD475/$AB475,""),"")</f>
      </c>
      <c r="AL475" s="32" t="inlineStr">
        <is>
          <t xml:space="preserve">At technical</t>
        </is>
      </c>
      <c r="AM475" s="41">
        <f>IF(ISNUMBER($AD475),Header!$I$3,"")</f>
      </c>
      <c r="AN475" s="39">
        <f>IF(ISNUMBER($AD475),$AO475+$AP475,"")</f>
      </c>
      <c r="AO475" s="39">
        <f>IF(ISNUMBER($AD475),ROUND($AD475*Header!$K$3,2),"")</f>
      </c>
      <c r="AP475" s="39">
        <f>IF(ISNUMBER($AD475),ROUND($AD475*Header!$M$3,2),"")</f>
      </c>
      <c r="AQ475" s="38">
        <f>IF(ISNUMBER($AD475),ROUND($AD475,2)-$AO475-$AP475,"")</f>
      </c>
      <c r="AR475" s="39">
        <f>IF(ISNUMBER($AD475),IF(Header!$D$34="","?",$AD475*Header!$D$34),"")</f>
      </c>
      <c r="AS475" s="39">
        <f>IF(ISNUMBER($AB475),IF(Header!$D$34="","?",$AB475*Header!$D$34),"")</f>
      </c>
      <c r="AT475" s="42">
        <f>IF(AND(ISNUMBER($AB475),$M475&gt;0),$AB475/$M475*100,"")</f>
      </c>
      <c r="AU475" s="42">
        <f>IF(AND(ISNUMBER($AD475),$M475&gt;0),$AD475/$M475*100,"")</f>
      </c>
      <c r="AV475" s="40">
        <f>IF(AND(ISNUMBER($AB475),ISNUMBER($AD475),ABS($AB475)&gt;0),$AD475/$AB475,"")</f>
      </c>
      <c r="AW475" s="39">
        <f>IF(ISNUMBER($AD475),MAX(0,(1-0.55-Header!$O$3)*Header!$Q$3*$AQ475),"")</f>
      </c>
      <c r="AX475" s="43">
        <f>IF($A475="","",IF(TRIM(IF($A475="","Missing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",""))="","PASS","FAIL: "&amp;TRIM(IF($A475="","Missing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f>
      </c>
      <c r="AY475" s="44">
        <f>IF($M475="","",IF(ISNUMBER($M475),IF($M475&gt;=Header!$C$18,"YES — refer","No"),""))</f>
      </c>
      <c r="AZ475" s="44">
        <f>IF($AD475="","",IF(ISNUMBER($AD475),IF($AD475&lt;Header!$C$20,"BELOW MIN PREMIUM","OK"),""))</f>
      </c>
      <c r="BA475" s="32" t="inlineStr">
        <is>
          <t xml:space="preserve">Yes</t>
        </is>
      </c>
      <c r="BB475" s="32" t="inlineStr">
        <is>
          <t xml:space="preserve">Yes</t>
        </is>
      </c>
      <c r="BC475" s="30" t="inlineStr">
        <is>
          <t xml:space="preserve">Synthetic demo data</t>
        </is>
      </c>
      <c r="BE475" s="45">
        <f>IF(OR($A475="",$L475="",$H475=""),"",IF(AND(LEFT($L475,2)="06",$H475&gt;1945),"FAIL - pre-war class, year "&amp;$H475,IF(AND(LEFT($L475,2)="07",OR($H475&lt;1946,$H475&gt;1972)),"FAIL - 1946-72 class, year "&amp;$H475,IF(AND(LEFT($L475,2)="08",OR($H475&lt;1973,$H475&gt;1999)),"FAIL - 1973-99 class, year "&amp;$H475,IF(AND(LEFT($L475,2)="09",OR($H475&lt;2000,$H475&gt;2010)),"FAIL - 2000-10 class, year "&amp;$H475,"OK")))))</f>
      </c>
      <c r="BF475" s="45">
        <f>IF($AD475="","",IF(ROUND($AO475+$AP475+$AQ475-$AD475,2)=0,"OK","FAIL - out by "&amp;TEXT($AO475+$AP475+$AQ475-$AD475,"$0.00")))</f>
      </c>
    </row>
    <row r="476" spans="1:58" ht="18.75" customHeight="1" x14ac:dyDescent="0.25">
      <c r="A476" s="46" t="inlineStr">
        <is>
          <t xml:space="preserve">CANON-202606-009046</t>
        </is>
      </c>
      <c r="B476" s="46" t="inlineStr">
        <is>
          <t xml:space="preserve">Horace Blackwood</t>
        </is>
      </c>
      <c r="C476" s="47">
        <v>46194</v>
      </c>
      <c r="D476" s="48" t="inlineStr">
        <is>
          <t xml:space="preserve">Bound - within authority</t>
        </is>
      </c>
      <c r="E476" s="48" t="inlineStr">
        <is>
          <t xml:space="preserve">New business</t>
        </is>
      </c>
      <c r="F476" s="46" t="inlineStr">
        <is>
          <t xml:space="preserve">B1234EXOTIC26</t>
        </is>
      </c>
      <c r="G476" s="33">
        <f>IF($A476="","",IF($C476="","",YEAR($C476)))</f>
      </c>
      <c r="H476" s="49">
        <v>1955</v>
      </c>
      <c r="I476" s="46" t="inlineStr">
        <is>
          <t xml:space="preserve">Bentley</t>
        </is>
      </c>
      <c r="J476" s="46" t="inlineStr">
        <is>
          <t xml:space="preserve">4.5 Litre</t>
        </is>
      </c>
      <c r="K476" s="46" t="inlineStr">
        <is>
          <t xml:space="preserve">NBJ2DKT86ANY43Y8P</t>
        </is>
      </c>
      <c r="L476" s="48" t="inlineStr">
        <is>
          <t xml:space="preserve">07 - Post-War Classic (1946-1972)</t>
        </is>
      </c>
      <c r="M476" s="50">
        <v>850000</v>
      </c>
      <c r="N476" s="48" t="inlineStr">
        <is>
          <t xml:space="preserve">Personal</t>
        </is>
      </c>
      <c r="O476" s="46" t="inlineStr">
        <is>
          <t xml:space="preserve">Personal - regular use</t>
        </is>
      </c>
      <c r="P476" s="46" t="inlineStr">
        <is>
          <t xml:space="preserve">1,000 - 2,500</t>
        </is>
      </c>
      <c r="Q476" s="46" t="inlineStr">
        <is>
          <t xml:space="preserve">Florida</t>
        </is>
      </c>
      <c r="R476" s="46" t="inlineStr">
        <is>
          <t xml:space="preserve">33139</t>
        </is>
      </c>
      <c r="S476" s="48" t="inlineStr">
        <is>
          <t xml:space="preserve">Tier 2 - Coastal wind (1-25 miles)</t>
        </is>
      </c>
      <c r="T476" s="36">
        <f>IF($A476="","",IF($S476="","",IFERROR(INDEX('[1]natural catastrophe'!$D$6:$D$17,MATCH($S476,'[1]natural catastrophe'!$B$6:$B$17,0)),"?")))</f>
      </c>
      <c r="U476" s="46" t="inlineStr">
        <is>
          <t xml:space="preserve">2% of agreed value, minimum $10,000</t>
        </is>
      </c>
      <c r="V476" s="48" t="inlineStr">
        <is>
          <t xml:space="preserve">Agreed Value</t>
        </is>
      </c>
      <c r="W476" s="46" t="inlineStr">
        <is>
          <t xml:space="preserve">$1,000</t>
        </is>
      </c>
      <c r="X476" s="48" t="inlineStr">
        <is>
          <t xml:space="preserve">$1,000,000 CSL</t>
        </is>
      </c>
      <c r="Y476" s="46"/>
      <c r="Z476" s="46"/>
      <c r="AA476" s="48" t="inlineStr">
        <is>
          <t xml:space="preserve">Surplus Lines</t>
        </is>
      </c>
      <c r="AB476" s="50">
        <v>6618.55</v>
      </c>
      <c r="AC476" s="51">
        <v>0</v>
      </c>
      <c r="AD476" s="38">
        <f>IF(ISNUMBER($AB476),$AB476*(1+N($AC476)),"")</f>
      </c>
      <c r="AE476" s="50">
        <v>350</v>
      </c>
      <c r="AF476" s="50">
        <v>0</v>
      </c>
      <c r="AG476" s="51"/>
      <c r="AH476" s="39">
        <f>IF(ISNUMBER($AD476),($AD476+$AE476+$AF476)*$AG476,"")</f>
      </c>
      <c r="AI476" s="50"/>
      <c r="AJ476" s="38">
        <f>IF(ISNUMBER($AD476),SUM($AD476:$AH476),"")</f>
      </c>
      <c r="AK476" s="40">
        <f>IF(AND(ISNUMBER($AB476),ISNUMBER($AD476)),IF($AB476&gt;0,$AD476/$AB476,""),"")</f>
      </c>
      <c r="AL476" s="48" t="inlineStr">
        <is>
          <t xml:space="preserve">At technical</t>
        </is>
      </c>
      <c r="AM476" s="41">
        <f>IF(ISNUMBER($AD476),Header!$I$3,"")</f>
      </c>
      <c r="AN476" s="39">
        <f>IF(ISNUMBER($AD476),$AO476+$AP476,"")</f>
      </c>
      <c r="AO476" s="39">
        <f>IF(ISNUMBER($AD476),ROUND($AD476*Header!$K$3,2),"")</f>
      </c>
      <c r="AP476" s="39">
        <f>IF(ISNUMBER($AD476),ROUND($AD476*Header!$M$3,2),"")</f>
      </c>
      <c r="AQ476" s="38">
        <f>IF(ISNUMBER($AD476),ROUND($AD476,2)-$AO476-$AP476,"")</f>
      </c>
      <c r="AR476" s="39">
        <f>IF(ISNUMBER($AD476),IF(Header!$D$34="","?",$AD476*Header!$D$34),"")</f>
      </c>
      <c r="AS476" s="39">
        <f>IF(ISNUMBER($AB476),IF(Header!$D$34="","?",$AB476*Header!$D$34),"")</f>
      </c>
      <c r="AT476" s="42">
        <f>IF(AND(ISNUMBER($AB476),$M476&gt;0),$AB476/$M476*100,"")</f>
      </c>
      <c r="AU476" s="42">
        <f>IF(AND(ISNUMBER($AD476),$M476&gt;0),$AD476/$M476*100,"")</f>
      </c>
      <c r="AV476" s="40">
        <f>IF(AND(ISNUMBER($AB476),ISNUMBER($AD476),ABS($AB476)&gt;0),$AD476/$AB476,"")</f>
      </c>
      <c r="AW476" s="39">
        <f>IF(ISNUMBER($AD476),MAX(0,(1-0.55-Header!$O$3)*Header!$Q$3*$AQ476),"")</f>
      </c>
      <c r="AX476" s="43">
        <f>IF($A476="","",IF(TRIM(IF($A476="","Missing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",""))="","PASS","FAIL: "&amp;TRIM(IF($A476="","Missing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f>
      </c>
      <c r="AY476" s="44">
        <f>IF($M476="","",IF(ISNUMBER($M476),IF($M476&gt;=Header!$C$18,"YES — refer","No"),""))</f>
      </c>
      <c r="AZ476" s="44">
        <f>IF($AD476="","",IF(ISNUMBER($AD476),IF($AD476&lt;Header!$C$20,"BELOW MIN PREMIUM","OK"),""))</f>
      </c>
      <c r="BA476" s="48" t="inlineStr">
        <is>
          <t xml:space="preserve">Yes</t>
        </is>
      </c>
      <c r="BB476" s="48" t="inlineStr">
        <is>
          <t xml:space="preserve">Yes</t>
        </is>
      </c>
      <c r="BC476" s="46" t="inlineStr">
        <is>
          <t xml:space="preserve">Synthetic demo data</t>
        </is>
      </c>
      <c r="BE476" s="45">
        <f>IF(OR($A476="",$L476="",$H476=""),"",IF(AND(LEFT($L476,2)="06",$H476&gt;1945),"FAIL - pre-war class, year "&amp;$H476,IF(AND(LEFT($L476,2)="07",OR($H476&lt;1946,$H476&gt;1972)),"FAIL - 1946-72 class, year "&amp;$H476,IF(AND(LEFT($L476,2)="08",OR($H476&lt;1973,$H476&gt;1999)),"FAIL - 1973-99 class, year "&amp;$H476,IF(AND(LEFT($L476,2)="09",OR($H476&lt;2000,$H476&gt;2010)),"FAIL - 2000-10 class, year "&amp;$H476,"OK")))))</f>
      </c>
      <c r="BF476" s="45">
        <f>IF($AD476="","",IF(ROUND($AO476+$AP476+$AQ476-$AD476,2)=0,"OK","FAIL - out by "&amp;TEXT($AO476+$AP476+$AQ476-$AD476,"$0.00")))</f>
      </c>
    </row>
    <row r="477" spans="1:58" ht="18.75" customHeight="1" x14ac:dyDescent="0.25">
      <c r="A477" s="30" t="inlineStr">
        <is>
          <t xml:space="preserve">CANON-202606-009047</t>
        </is>
      </c>
      <c r="B477" s="30" t="inlineStr">
        <is>
          <t xml:space="preserve">Ramona Thistlewood</t>
        </is>
      </c>
      <c r="C477" s="31">
        <v>46174</v>
      </c>
      <c r="D477" s="32" t="inlineStr">
        <is>
          <t xml:space="preserve">Bound - within authority</t>
        </is>
      </c>
      <c r="E477" s="32" t="inlineStr">
        <is>
          <t xml:space="preserve">New business</t>
        </is>
      </c>
      <c r="F477" s="30" t="inlineStr">
        <is>
          <t xml:space="preserve">B1234EXOTIC26</t>
        </is>
      </c>
      <c r="G477" s="33">
        <f>IF($A477="","",IF($C477="","",YEAR($C477)))</f>
      </c>
      <c r="H477" s="34">
        <v>1987</v>
      </c>
      <c r="I477" s="30" t="inlineStr">
        <is>
          <t xml:space="preserve">Bentley</t>
        </is>
      </c>
      <c r="J477" s="30" t="inlineStr">
        <is>
          <t xml:space="preserve">Continental GT</t>
        </is>
      </c>
      <c r="K477" s="30" t="inlineStr">
        <is>
          <t xml:space="preserve">V8826G22XZN42VPYX</t>
        </is>
      </c>
      <c r="L477" s="32" t="inlineStr">
        <is>
          <t xml:space="preserve">02 - Sports / GT</t>
        </is>
      </c>
      <c r="M477" s="35">
        <v>655000</v>
      </c>
      <c r="N477" s="32" t="inlineStr">
        <is>
          <t xml:space="preserve">Personal</t>
        </is>
      </c>
      <c r="O477" s="30" t="inlineStr">
        <is>
          <t xml:space="preserve">Personal - regular use</t>
        </is>
      </c>
      <c r="P477" s="30" t="inlineStr">
        <is>
          <t xml:space="preserve">2,500 - 5,000</t>
        </is>
      </c>
      <c r="Q477" s="30" t="inlineStr">
        <is>
          <t xml:space="preserve">West Virginia</t>
        </is>
      </c>
      <c r="R477" s="30" t="inlineStr">
        <is>
          <t xml:space="preserve">25301</t>
        </is>
      </c>
      <c r="S477" s="32" t="inlineStr">
        <is>
          <t xml:space="preserve">Low hazard - inland benign</t>
        </is>
      </c>
      <c r="T477" s="36">
        <f>IF($A477="","",IF($S477="","",IFERROR(INDEX('[1]natural catastrophe'!$D$6:$D$17,MATCH($S477,'[1]natural catastrophe'!$B$6:$B$17,0)),"?")))</f>
      </c>
      <c r="U477" s="30" t="inlineStr">
        <is>
          <t xml:space="preserve">$5,000</t>
        </is>
      </c>
      <c r="V477" s="32" t="inlineStr">
        <is>
          <t xml:space="preserve">Agreed Value</t>
        </is>
      </c>
      <c r="W477" s="30" t="inlineStr">
        <is>
          <t xml:space="preserve">$1,000</t>
        </is>
      </c>
      <c r="X477" s="32" t="inlineStr">
        <is>
          <t xml:space="preserve">$1,000,000 CSL</t>
        </is>
      </c>
      <c r="Y477" s="30"/>
      <c r="Z477" s="30"/>
      <c r="AA477" s="32" t="inlineStr">
        <is>
          <t xml:space="preserve">Surplus Lines</t>
        </is>
      </c>
      <c r="AB477" s="35">
        <v>8171.06</v>
      </c>
      <c r="AC477" s="37">
        <v>0</v>
      </c>
      <c r="AD477" s="38">
        <f>IF(ISNUMBER($AB477),$AB477*(1+N($AC477)),"")</f>
      </c>
      <c r="AE477" s="35">
        <v>350</v>
      </c>
      <c r="AF477" s="35">
        <v>0</v>
      </c>
      <c r="AG477" s="37"/>
      <c r="AH477" s="39">
        <f>IF(ISNUMBER($AD477),($AD477+$AE477+$AF477)*$AG477,"")</f>
      </c>
      <c r="AI477" s="35"/>
      <c r="AJ477" s="38">
        <f>IF(ISNUMBER($AD477),SUM($AD477:$AH477),"")</f>
      </c>
      <c r="AK477" s="40">
        <f>IF(AND(ISNUMBER($AB477),ISNUMBER($AD477)),IF($AB477&gt;0,$AD477/$AB477,""),"")</f>
      </c>
      <c r="AL477" s="32" t="inlineStr">
        <is>
          <t xml:space="preserve">At technical</t>
        </is>
      </c>
      <c r="AM477" s="41">
        <f>IF(ISNUMBER($AD477),Header!$I$3,"")</f>
      </c>
      <c r="AN477" s="39">
        <f>IF(ISNUMBER($AD477),$AO477+$AP477,"")</f>
      </c>
      <c r="AO477" s="39">
        <f>IF(ISNUMBER($AD477),ROUND($AD477*Header!$K$3,2),"")</f>
      </c>
      <c r="AP477" s="39">
        <f>IF(ISNUMBER($AD477),ROUND($AD477*Header!$M$3,2),"")</f>
      </c>
      <c r="AQ477" s="38">
        <f>IF(ISNUMBER($AD477),ROUND($AD477,2)-$AO477-$AP477,"")</f>
      </c>
      <c r="AR477" s="39">
        <f>IF(ISNUMBER($AD477),IF(Header!$D$34="","?",$AD477*Header!$D$34),"")</f>
      </c>
      <c r="AS477" s="39">
        <f>IF(ISNUMBER($AB477),IF(Header!$D$34="","?",$AB477*Header!$D$34),"")</f>
      </c>
      <c r="AT477" s="42">
        <f>IF(AND(ISNUMBER($AB477),$M477&gt;0),$AB477/$M477*100,"")</f>
      </c>
      <c r="AU477" s="42">
        <f>IF(AND(ISNUMBER($AD477),$M477&gt;0),$AD477/$M477*100,"")</f>
      </c>
      <c r="AV477" s="40">
        <f>IF(AND(ISNUMBER($AB477),ISNUMBER($AD477),ABS($AB477)&gt;0),$AD477/$AB477,"")</f>
      </c>
      <c r="AW477" s="39">
        <f>IF(ISNUMBER($AD477),MAX(0,(1-0.55-Header!$O$3)*Header!$Q$3*$AQ477),"")</f>
      </c>
      <c r="AX477" s="43">
        <f>IF($A477="","",IF(TRIM(IF($A477="","Missing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",""))="","PASS","FAIL: "&amp;TRIM(IF($A477="","Missing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f>
      </c>
      <c r="AY477" s="44">
        <f>IF($M477="","",IF(ISNUMBER($M477),IF($M477&gt;=Header!$C$18,"YES — refer","No"),""))</f>
      </c>
      <c r="AZ477" s="44">
        <f>IF($AD477="","",IF(ISNUMBER($AD477),IF($AD477&lt;Header!$C$20,"BELOW MIN PREMIUM","OK"),""))</f>
      </c>
      <c r="BA477" s="32" t="inlineStr">
        <is>
          <t xml:space="preserve">Yes</t>
        </is>
      </c>
      <c r="BB477" s="32" t="inlineStr">
        <is>
          <t xml:space="preserve">Yes</t>
        </is>
      </c>
      <c r="BC477" s="30" t="inlineStr">
        <is>
          <t xml:space="preserve">Synthetic demo data</t>
        </is>
      </c>
      <c r="BE477" s="45">
        <f>IF(OR($A477="",$L477="",$H477=""),"",IF(AND(LEFT($L477,2)="06",$H477&gt;1945),"FAIL - pre-war class, year "&amp;$H477,IF(AND(LEFT($L477,2)="07",OR($H477&lt;1946,$H477&gt;1972)),"FAIL - 1946-72 class, year "&amp;$H477,IF(AND(LEFT($L477,2)="08",OR($H477&lt;1973,$H477&gt;1999)),"FAIL - 1973-99 class, year "&amp;$H477,IF(AND(LEFT($L477,2)="09",OR($H477&lt;2000,$H477&gt;2010)),"FAIL - 2000-10 class, year "&amp;$H477,"OK")))))</f>
      </c>
      <c r="BF477" s="45">
        <f>IF($AD477="","",IF(ROUND($AO477+$AP477+$AQ477-$AD477,2)=0,"OK","FAIL - out by "&amp;TEXT($AO477+$AP477+$AQ477-$AD477,"$0.00")))</f>
      </c>
    </row>
    <row r="478" spans="1:58" ht="18.75" customHeight="1" x14ac:dyDescent="0.25">
      <c r="A478" s="46" t="inlineStr">
        <is>
          <t xml:space="preserve">CANON-202606-009049</t>
        </is>
      </c>
      <c r="B478" s="46" t="inlineStr">
        <is>
          <t xml:space="preserve">Callum Vandermeer</t>
        </is>
      </c>
      <c r="C478" s="47">
        <v>46187</v>
      </c>
      <c r="D478" s="48" t="inlineStr">
        <is>
          <t xml:space="preserve">Bound - within authority</t>
        </is>
      </c>
      <c r="E478" s="48" t="inlineStr">
        <is>
          <t xml:space="preserve">New business</t>
        </is>
      </c>
      <c r="F478" s="46" t="inlineStr">
        <is>
          <t xml:space="preserve">B1234EXOTIC26</t>
        </is>
      </c>
      <c r="G478" s="33">
        <f>IF($A478="","",IF($C478="","",YEAR($C478)))</f>
      </c>
      <c r="H478" s="49">
        <v>2020</v>
      </c>
      <c r="I478" s="46" t="inlineStr">
        <is>
          <t xml:space="preserve">Mercedes-Benz</t>
        </is>
      </c>
      <c r="J478" s="46" t="inlineStr">
        <is>
          <t xml:space="preserve">280SL Pagoda</t>
        </is>
      </c>
      <c r="K478" s="46" t="inlineStr">
        <is>
          <t xml:space="preserve">8F4UG2EARXY3JW6VH</t>
        </is>
      </c>
      <c r="L478" s="48" t="inlineStr">
        <is>
          <t xml:space="preserve">02 - Sports / GT</t>
        </is>
      </c>
      <c r="M478" s="50">
        <v>1130000</v>
      </c>
      <c r="N478" s="48" t="inlineStr">
        <is>
          <t xml:space="preserve">Personal</t>
        </is>
      </c>
      <c r="O478" s="46" t="inlineStr">
        <is>
          <t xml:space="preserve">Personal - regular use</t>
        </is>
      </c>
      <c r="P478" s="46" t="inlineStr">
        <is>
          <t xml:space="preserve">1,000 - 2,500</t>
        </is>
      </c>
      <c r="Q478" s="46" t="inlineStr">
        <is>
          <t xml:space="preserve">Pennsylvania</t>
        </is>
      </c>
      <c r="R478" s="46" t="inlineStr">
        <is>
          <t xml:space="preserve">19103</t>
        </is>
      </c>
      <c r="S478" s="48" t="inlineStr">
        <is>
          <t xml:space="preserve">Low hazard - inland benign</t>
        </is>
      </c>
      <c r="T478" s="36">
        <f>IF($A478="","",IF($S478="","",IFERROR(INDEX('[1]natural catastrophe'!$D$6:$D$17,MATCH($S478,'[1]natural catastrophe'!$B$6:$B$17,0)),"?")))</f>
      </c>
      <c r="U478" s="46" t="inlineStr">
        <is>
          <t xml:space="preserve">$5,000</t>
        </is>
      </c>
      <c r="V478" s="48" t="inlineStr">
        <is>
          <t xml:space="preserve">Agreed Value</t>
        </is>
      </c>
      <c r="W478" s="46" t="inlineStr">
        <is>
          <t xml:space="preserve">$1,000</t>
        </is>
      </c>
      <c r="X478" s="48" t="inlineStr">
        <is>
          <t xml:space="preserve">$1,000,000 CSL</t>
        </is>
      </c>
      <c r="Y478" s="46"/>
      <c r="Z478" s="46"/>
      <c r="AA478" s="48" t="inlineStr">
        <is>
          <t xml:space="preserve">Surplus Lines</t>
        </is>
      </c>
      <c r="AB478" s="50">
        <v>6196.33</v>
      </c>
      <c r="AC478" s="51">
        <v>0</v>
      </c>
      <c r="AD478" s="38">
        <f>IF(ISNUMBER($AB478),$AB478*(1+N($AC478)),"")</f>
      </c>
      <c r="AE478" s="50">
        <v>350</v>
      </c>
      <c r="AF478" s="50">
        <v>250</v>
      </c>
      <c r="AG478" s="51"/>
      <c r="AH478" s="39">
        <f>IF(ISNUMBER($AD478),($AD478+$AE478+$AF478)*$AG478,"")</f>
      </c>
      <c r="AI478" s="50"/>
      <c r="AJ478" s="38">
        <f>IF(ISNUMBER($AD478),SUM($AD478:$AH478),"")</f>
      </c>
      <c r="AK478" s="40">
        <f>IF(AND(ISNUMBER($AB478),ISNUMBER($AD478)),IF($AB478&gt;0,$AD478/$AB478,""),"")</f>
      </c>
      <c r="AL478" s="48" t="inlineStr">
        <is>
          <t xml:space="preserve">At technical</t>
        </is>
      </c>
      <c r="AM478" s="41">
        <f>IF(ISNUMBER($AD478),Header!$I$3,"")</f>
      </c>
      <c r="AN478" s="39">
        <f>IF(ISNUMBER($AD478),$AO478+$AP478,"")</f>
      </c>
      <c r="AO478" s="39">
        <f>IF(ISNUMBER($AD478),ROUND($AD478*Header!$K$3,2),"")</f>
      </c>
      <c r="AP478" s="39">
        <f>IF(ISNUMBER($AD478),ROUND($AD478*Header!$M$3,2),"")</f>
      </c>
      <c r="AQ478" s="38">
        <f>IF(ISNUMBER($AD478),ROUND($AD478,2)-$AO478-$AP478,"")</f>
      </c>
      <c r="AR478" s="39">
        <f>IF(ISNUMBER($AD478),IF(Header!$D$34="","?",$AD478*Header!$D$34),"")</f>
      </c>
      <c r="AS478" s="39">
        <f>IF(ISNUMBER($AB478),IF(Header!$D$34="","?",$AB478*Header!$D$34),"")</f>
      </c>
      <c r="AT478" s="42">
        <f>IF(AND(ISNUMBER($AB478),$M478&gt;0),$AB478/$M478*100,"")</f>
      </c>
      <c r="AU478" s="42">
        <f>IF(AND(ISNUMBER($AD478),$M478&gt;0),$AD478/$M478*100,"")</f>
      </c>
      <c r="AV478" s="40">
        <f>IF(AND(ISNUMBER($AB478),ISNUMBER($AD478),ABS($AB478)&gt;0),$AD478/$AB478,"")</f>
      </c>
      <c r="AW478" s="39">
        <f>IF(ISNUMBER($AD478),MAX(0,(1-0.55-Header!$O$3)*Header!$Q$3*$AQ478),"")</f>
      </c>
      <c r="AX478" s="43">
        <f>IF($A478="","",IF(TRIM(IF($A478="","Missing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",""))="","PASS","FAIL: "&amp;TRIM(IF($A478="","Missing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f>
      </c>
      <c r="AY478" s="44">
        <f>IF($M478="","",IF(ISNUMBER($M478),IF($M478&gt;=Header!$C$18,"YES — refer","No"),""))</f>
      </c>
      <c r="AZ478" s="44">
        <f>IF($AD478="","",IF(ISNUMBER($AD478),IF($AD478&lt;Header!$C$20,"BELOW MIN PREMIUM","OK"),""))</f>
      </c>
      <c r="BA478" s="48" t="inlineStr">
        <is>
          <t xml:space="preserve">Yes</t>
        </is>
      </c>
      <c r="BB478" s="48" t="inlineStr">
        <is>
          <t xml:space="preserve">Yes</t>
        </is>
      </c>
      <c r="BC478" s="46" t="inlineStr">
        <is>
          <t xml:space="preserve">Synthetic demo data</t>
        </is>
      </c>
      <c r="BE478" s="45">
        <f>IF(OR($A478="",$L478="",$H478=""),"",IF(AND(LEFT($L478,2)="06",$H478&gt;1945),"FAIL - pre-war class, year "&amp;$H478,IF(AND(LEFT($L478,2)="07",OR($H478&lt;1946,$H478&gt;1972)),"FAIL - 1946-72 class, year "&amp;$H478,IF(AND(LEFT($L478,2)="08",OR($H478&lt;1973,$H478&gt;1999)),"FAIL - 1973-99 class, year "&amp;$H478,IF(AND(LEFT($L478,2)="09",OR($H478&lt;2000,$H478&gt;2010)),"FAIL - 2000-10 class, year "&amp;$H478,"OK")))))</f>
      </c>
      <c r="BF478" s="45">
        <f>IF($AD478="","",IF(ROUND($AO478+$AP478+$AQ478-$AD478,2)=0,"OK","FAIL - out by "&amp;TEXT($AO478+$AP478+$AQ478-$AD478,"$0.00")))</f>
      </c>
    </row>
    <row r="479" spans="1:58" ht="18.75" customHeight="1" x14ac:dyDescent="0.25">
      <c r="A479" s="30" t="inlineStr">
        <is>
          <t xml:space="preserve">CANON-202606-009050</t>
        </is>
      </c>
      <c r="B479" s="30" t="inlineStr">
        <is>
          <t xml:space="preserve">Ingrid Fairweather</t>
        </is>
      </c>
      <c r="C479" s="31">
        <v>46200</v>
      </c>
      <c r="D479" s="32" t="inlineStr">
        <is>
          <t xml:space="preserve">Bound - within authority</t>
        </is>
      </c>
      <c r="E479" s="32" t="inlineStr">
        <is>
          <t xml:space="preserve">New business</t>
        </is>
      </c>
      <c r="F479" s="30" t="inlineStr">
        <is>
          <t xml:space="preserve">B1234EXOTIC26</t>
        </is>
      </c>
      <c r="G479" s="33">
        <f>IF($A479="","",IF($C479="","",YEAR($C479)))</f>
      </c>
      <c r="H479" s="34">
        <v>1994</v>
      </c>
      <c r="I479" s="30" t="inlineStr">
        <is>
          <t xml:space="preserve">Aston Martin</t>
        </is>
      </c>
      <c r="J479" s="30" t="inlineStr">
        <is>
          <t xml:space="preserve">DB12</t>
        </is>
      </c>
      <c r="K479" s="30" t="inlineStr">
        <is>
          <t xml:space="preserve">8KUJPMVG4MBXDNJAF</t>
        </is>
      </c>
      <c r="L479" s="32" t="inlineStr">
        <is>
          <t xml:space="preserve">02 - Sports / GT</t>
        </is>
      </c>
      <c r="M479" s="35">
        <v>865000</v>
      </c>
      <c r="N479" s="32" t="inlineStr">
        <is>
          <t xml:space="preserve">Personal</t>
        </is>
      </c>
      <c r="O479" s="30" t="inlineStr">
        <is>
          <t xml:space="preserve">Personal - regular use</t>
        </is>
      </c>
      <c r="P479" s="30" t="inlineStr">
        <is>
          <t xml:space="preserve">Under 1,000</t>
        </is>
      </c>
      <c r="Q479" s="30" t="inlineStr">
        <is>
          <t xml:space="preserve">Colorado</t>
        </is>
      </c>
      <c r="R479" s="30" t="inlineStr">
        <is>
          <t xml:space="preserve">80202</t>
        </is>
      </c>
      <c r="S479" s="32" t="inlineStr">
        <is>
          <t xml:space="preserve">Severe convective - hail alley (high)</t>
        </is>
      </c>
      <c r="T479" s="36">
        <f>IF($A479="","",IF($S479="","",IFERROR(INDEX('[1]natural catastrophe'!$D$6:$D$17,MATCH($S479,'[1]natural catastrophe'!$B$6:$B$17,0)),"?")))</f>
      </c>
      <c r="U479" s="30" t="inlineStr">
        <is>
          <t xml:space="preserve">$5,000</t>
        </is>
      </c>
      <c r="V479" s="32" t="inlineStr">
        <is>
          <t xml:space="preserve">Agreed Value</t>
        </is>
      </c>
      <c r="W479" s="30" t="inlineStr">
        <is>
          <t xml:space="preserve">$1,000</t>
        </is>
      </c>
      <c r="X479" s="32" t="inlineStr">
        <is>
          <t xml:space="preserve">$1,000,000 CSL</t>
        </is>
      </c>
      <c r="Y479" s="30"/>
      <c r="Z479" s="30"/>
      <c r="AA479" s="32" t="inlineStr">
        <is>
          <t xml:space="preserve">Surplus Lines</t>
        </is>
      </c>
      <c r="AB479" s="35">
        <v>8924.71</v>
      </c>
      <c r="AC479" s="37">
        <v>0</v>
      </c>
      <c r="AD479" s="38">
        <f>IF(ISNUMBER($AB479),$AB479*(1+N($AC479)),"")</f>
      </c>
      <c r="AE479" s="35">
        <v>350</v>
      </c>
      <c r="AF479" s="35">
        <v>0</v>
      </c>
      <c r="AG479" s="37"/>
      <c r="AH479" s="39">
        <f>IF(ISNUMBER($AD479),($AD479+$AE479+$AF479)*$AG479,"")</f>
      </c>
      <c r="AI479" s="35"/>
      <c r="AJ479" s="38">
        <f>IF(ISNUMBER($AD479),SUM($AD479:$AH479),"")</f>
      </c>
      <c r="AK479" s="40">
        <f>IF(AND(ISNUMBER($AB479),ISNUMBER($AD479)),IF($AB479&gt;0,$AD479/$AB479,""),"")</f>
      </c>
      <c r="AL479" s="32" t="inlineStr">
        <is>
          <t xml:space="preserve">At technical</t>
        </is>
      </c>
      <c r="AM479" s="41">
        <f>IF(ISNUMBER($AD479),Header!$I$3,"")</f>
      </c>
      <c r="AN479" s="39">
        <f>IF(ISNUMBER($AD479),$AO479+$AP479,"")</f>
      </c>
      <c r="AO479" s="39">
        <f>IF(ISNUMBER($AD479),ROUND($AD479*Header!$K$3,2),"")</f>
      </c>
      <c r="AP479" s="39">
        <f>IF(ISNUMBER($AD479),ROUND($AD479*Header!$M$3,2),"")</f>
      </c>
      <c r="AQ479" s="38">
        <f>IF(ISNUMBER($AD479),ROUND($AD479,2)-$AO479-$AP479,"")</f>
      </c>
      <c r="AR479" s="39">
        <f>IF(ISNUMBER($AD479),IF(Header!$D$34="","?",$AD479*Header!$D$34),"")</f>
      </c>
      <c r="AS479" s="39">
        <f>IF(ISNUMBER($AB479),IF(Header!$D$34="","?",$AB479*Header!$D$34),"")</f>
      </c>
      <c r="AT479" s="42">
        <f>IF(AND(ISNUMBER($AB479),$M479&gt;0),$AB479/$M479*100,"")</f>
      </c>
      <c r="AU479" s="42">
        <f>IF(AND(ISNUMBER($AD479),$M479&gt;0),$AD479/$M479*100,"")</f>
      </c>
      <c r="AV479" s="40">
        <f>IF(AND(ISNUMBER($AB479),ISNUMBER($AD479),ABS($AB479)&gt;0),$AD479/$AB479,"")</f>
      </c>
      <c r="AW479" s="39">
        <f>IF(ISNUMBER($AD479),MAX(0,(1-0.55-Header!$O$3)*Header!$Q$3*$AQ479),"")</f>
      </c>
      <c r="AX479" s="43">
        <f>IF($A479="","",IF(TRIM(IF($A479="","Missing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",""))="","PASS","FAIL: "&amp;TRIM(IF($A479="","Missing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f>
      </c>
      <c r="AY479" s="44">
        <f>IF($M479="","",IF(ISNUMBER($M479),IF($M479&gt;=Header!$C$18,"YES — refer","No"),""))</f>
      </c>
      <c r="AZ479" s="44">
        <f>IF($AD479="","",IF(ISNUMBER($AD479),IF($AD479&lt;Header!$C$20,"BELOW MIN PREMIUM","OK"),""))</f>
      </c>
      <c r="BA479" s="32" t="inlineStr">
        <is>
          <t xml:space="preserve">Yes</t>
        </is>
      </c>
      <c r="BB479" s="32" t="inlineStr">
        <is>
          <t xml:space="preserve">Yes</t>
        </is>
      </c>
      <c r="BC479" s="30" t="inlineStr">
        <is>
          <t xml:space="preserve">Synthetic demo data</t>
        </is>
      </c>
      <c r="BE479" s="45">
        <f>IF(OR($A479="",$L479="",$H479=""),"",IF(AND(LEFT($L479,2)="06",$H479&gt;1945),"FAIL - pre-war class, year "&amp;$H479,IF(AND(LEFT($L479,2)="07",OR($H479&lt;1946,$H479&gt;1972)),"FAIL - 1946-72 class, year "&amp;$H479,IF(AND(LEFT($L479,2)="08",OR($H479&lt;1973,$H479&gt;1999)),"FAIL - 1973-99 class, year "&amp;$H479,IF(AND(LEFT($L479,2)="09",OR($H479&lt;2000,$H479&gt;2010)),"FAIL - 2000-10 class, year "&amp;$H479,"OK")))))</f>
      </c>
      <c r="BF479" s="45">
        <f>IF($AD479="","",IF(ROUND($AO479+$AP479+$AQ479-$AD479,2)=0,"OK","FAIL - out by "&amp;TEXT($AO479+$AP479+$AQ479-$AD479,"$0.00")))</f>
      </c>
    </row>
    <row r="480" spans="1:58" ht="18.75" customHeight="1" x14ac:dyDescent="0.25">
      <c r="A480" s="46" t="inlineStr">
        <is>
          <t xml:space="preserve">CANON-202606-009051</t>
        </is>
      </c>
      <c r="B480" s="46" t="inlineStr">
        <is>
          <t xml:space="preserve">Horace Bellandi</t>
        </is>
      </c>
      <c r="C480" s="47">
        <v>46194</v>
      </c>
      <c r="D480" s="48" t="inlineStr">
        <is>
          <t xml:space="preserve">Bound - within authority</t>
        </is>
      </c>
      <c r="E480" s="48" t="inlineStr">
        <is>
          <t xml:space="preserve">New business</t>
        </is>
      </c>
      <c r="F480" s="46" t="inlineStr">
        <is>
          <t xml:space="preserve">B1234EXOTIC26</t>
        </is>
      </c>
      <c r="G480" s="33">
        <f>IF($A480="","",IF($C480="","",YEAR($C480)))</f>
      </c>
      <c r="H480" s="49">
        <v>1998</v>
      </c>
      <c r="I480" s="46" t="inlineStr">
        <is>
          <t xml:space="preserve">Mercedes-Benz</t>
        </is>
      </c>
      <c r="J480" s="46" t="inlineStr">
        <is>
          <t xml:space="preserve">280SL Pagoda</t>
        </is>
      </c>
      <c r="K480" s="46" t="inlineStr">
        <is>
          <t xml:space="preserve">PNEL82666NJ2919R3</t>
        </is>
      </c>
      <c r="L480" s="48" t="inlineStr">
        <is>
          <t xml:space="preserve">08 - Modern Classic (1973-1999)</t>
        </is>
      </c>
      <c r="M480" s="50">
        <v>360000</v>
      </c>
      <c r="N480" s="48" t="inlineStr">
        <is>
          <t xml:space="preserve">Personal</t>
        </is>
      </c>
      <c r="O480" s="46" t="inlineStr">
        <is>
          <t xml:space="preserve">Personal - regular use</t>
        </is>
      </c>
      <c r="P480" s="46" t="inlineStr">
        <is>
          <t xml:space="preserve">2,500 - 5,000</t>
        </is>
      </c>
      <c r="Q480" s="46" t="inlineStr">
        <is>
          <t xml:space="preserve">Florida</t>
        </is>
      </c>
      <c r="R480" s="46" t="inlineStr">
        <is>
          <t xml:space="preserve">33139</t>
        </is>
      </c>
      <c r="S480" s="48" t="inlineStr">
        <is>
          <t xml:space="preserve">Tier 2 - Coastal wind (1-25 miles)</t>
        </is>
      </c>
      <c r="T480" s="36">
        <f>IF($A480="","",IF($S480="","",IFERROR(INDEX('[1]natural catastrophe'!$D$6:$D$17,MATCH($S480,'[1]natural catastrophe'!$B$6:$B$17,0)),"?")))</f>
      </c>
      <c r="U480" s="46" t="inlineStr">
        <is>
          <t xml:space="preserve">2% of agreed value, minimum $10,000</t>
        </is>
      </c>
      <c r="V480" s="48" t="inlineStr">
        <is>
          <t xml:space="preserve">Agreed Value</t>
        </is>
      </c>
      <c r="W480" s="46" t="inlineStr">
        <is>
          <t xml:space="preserve">$1,000</t>
        </is>
      </c>
      <c r="X480" s="48" t="inlineStr">
        <is>
          <t xml:space="preserve">$1,000,000 CSL</t>
        </is>
      </c>
      <c r="Y480" s="46"/>
      <c r="Z480" s="46"/>
      <c r="AA480" s="48" t="inlineStr">
        <is>
          <t xml:space="preserve">Surplus Lines</t>
        </is>
      </c>
      <c r="AB480" s="50">
        <v>3540.83</v>
      </c>
      <c r="AC480" s="51">
        <v>0</v>
      </c>
      <c r="AD480" s="38">
        <f>IF(ISNUMBER($AB480),$AB480*(1+N($AC480)),"")</f>
      </c>
      <c r="AE480" s="50">
        <v>350</v>
      </c>
      <c r="AF480" s="50">
        <v>0</v>
      </c>
      <c r="AG480" s="51"/>
      <c r="AH480" s="39">
        <f>IF(ISNUMBER($AD480),($AD480+$AE480+$AF480)*$AG480,"")</f>
      </c>
      <c r="AI480" s="50"/>
      <c r="AJ480" s="38">
        <f>IF(ISNUMBER($AD480),SUM($AD480:$AH480),"")</f>
      </c>
      <c r="AK480" s="40">
        <f>IF(AND(ISNUMBER($AB480),ISNUMBER($AD480)),IF($AB480&gt;0,$AD480/$AB480,""),"")</f>
      </c>
      <c r="AL480" s="48" t="inlineStr">
        <is>
          <t xml:space="preserve">At technical</t>
        </is>
      </c>
      <c r="AM480" s="41">
        <f>IF(ISNUMBER($AD480),Header!$I$3,"")</f>
      </c>
      <c r="AN480" s="39">
        <f>IF(ISNUMBER($AD480),$AO480+$AP480,"")</f>
      </c>
      <c r="AO480" s="39">
        <f>IF(ISNUMBER($AD480),ROUND($AD480*Header!$K$3,2),"")</f>
      </c>
      <c r="AP480" s="39">
        <f>IF(ISNUMBER($AD480),ROUND($AD480*Header!$M$3,2),"")</f>
      </c>
      <c r="AQ480" s="38">
        <f>IF(ISNUMBER($AD480),ROUND($AD480,2)-$AO480-$AP480,"")</f>
      </c>
      <c r="AR480" s="39">
        <f>IF(ISNUMBER($AD480),IF(Header!$D$34="","?",$AD480*Header!$D$34),"")</f>
      </c>
      <c r="AS480" s="39">
        <f>IF(ISNUMBER($AB480),IF(Header!$D$34="","?",$AB480*Header!$D$34),"")</f>
      </c>
      <c r="AT480" s="42">
        <f>IF(AND(ISNUMBER($AB480),$M480&gt;0),$AB480/$M480*100,"")</f>
      </c>
      <c r="AU480" s="42">
        <f>IF(AND(ISNUMBER($AD480),$M480&gt;0),$AD480/$M480*100,"")</f>
      </c>
      <c r="AV480" s="40">
        <f>IF(AND(ISNUMBER($AB480),ISNUMBER($AD480),ABS($AB480)&gt;0),$AD480/$AB480,"")</f>
      </c>
      <c r="AW480" s="39">
        <f>IF(ISNUMBER($AD480),MAX(0,(1-0.55-Header!$O$3)*Header!$Q$3*$AQ480),"")</f>
      </c>
      <c r="AX480" s="43">
        <f>IF($A480="","",IF(TRIM(IF($A480="","Missing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",""))="","PASS","FAIL: "&amp;TRIM(IF($A480="","Missing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f>
      </c>
      <c r="AY480" s="44">
        <f>IF($M480="","",IF(ISNUMBER($M480),IF($M480&gt;=Header!$C$18,"YES — refer","No"),""))</f>
      </c>
      <c r="AZ480" s="44">
        <f>IF($AD480="","",IF(ISNUMBER($AD480),IF($AD480&lt;Header!$C$20,"BELOW MIN PREMIUM","OK"),""))</f>
      </c>
      <c r="BA480" s="48" t="inlineStr">
        <is>
          <t xml:space="preserve">Yes</t>
        </is>
      </c>
      <c r="BB480" s="48" t="inlineStr">
        <is>
          <t xml:space="preserve">Yes</t>
        </is>
      </c>
      <c r="BC480" s="46" t="inlineStr">
        <is>
          <t xml:space="preserve">Synthetic demo data</t>
        </is>
      </c>
      <c r="BE480" s="45">
        <f>IF(OR($A480="",$L480="",$H480=""),"",IF(AND(LEFT($L480,2)="06",$H480&gt;1945),"FAIL - pre-war class, year "&amp;$H480,IF(AND(LEFT($L480,2)="07",OR($H480&lt;1946,$H480&gt;1972)),"FAIL - 1946-72 class, year "&amp;$H480,IF(AND(LEFT($L480,2)="08",OR($H480&lt;1973,$H480&gt;1999)),"FAIL - 1973-99 class, year "&amp;$H480,IF(AND(LEFT($L480,2)="09",OR($H480&lt;2000,$H480&gt;2010)),"FAIL - 2000-10 class, year "&amp;$H480,"OK")))))</f>
      </c>
      <c r="BF480" s="45">
        <f>IF($AD480="","",IF(ROUND($AO480+$AP480+$AQ480-$AD480,2)=0,"OK","FAIL - out by "&amp;TEXT($AO480+$AP480+$AQ480-$AD480,"$0.00")))</f>
      </c>
    </row>
    <row r="481" spans="1:58" ht="18.75" customHeight="1" x14ac:dyDescent="0.25">
      <c r="A481" s="30" t="inlineStr">
        <is>
          <t xml:space="preserve">CANON-202606-009052</t>
        </is>
      </c>
      <c r="B481" s="30" t="inlineStr">
        <is>
          <t xml:space="preserve">Mireille Harrington</t>
        </is>
      </c>
      <c r="C481" s="31">
        <v>46196</v>
      </c>
      <c r="D481" s="32" t="inlineStr">
        <is>
          <t xml:space="preserve">Bound - within authority</t>
        </is>
      </c>
      <c r="E481" s="32" t="inlineStr">
        <is>
          <t xml:space="preserve">New business</t>
        </is>
      </c>
      <c r="F481" s="30" t="inlineStr">
        <is>
          <t xml:space="preserve">B1234EXOTIC26</t>
        </is>
      </c>
      <c r="G481" s="33">
        <f>IF($A481="","",IF($C481="","",YEAR($C481)))</f>
      </c>
      <c r="H481" s="34">
        <v>1995</v>
      </c>
      <c r="I481" s="30" t="inlineStr">
        <is>
          <t xml:space="preserve">Porsche</t>
        </is>
      </c>
      <c r="J481" s="30" t="inlineStr">
        <is>
          <t xml:space="preserve">911 Turbo S</t>
        </is>
      </c>
      <c r="K481" s="30" t="inlineStr">
        <is>
          <t xml:space="preserve">UW4K42EYB42KTV949</t>
        </is>
      </c>
      <c r="L481" s="32" t="inlineStr">
        <is>
          <t xml:space="preserve">02 - Sports / GT</t>
        </is>
      </c>
      <c r="M481" s="35">
        <v>495000</v>
      </c>
      <c r="N481" s="32" t="inlineStr">
        <is>
          <t xml:space="preserve">Personal</t>
        </is>
      </c>
      <c r="O481" s="30" t="inlineStr">
        <is>
          <t xml:space="preserve">Personal - regular use</t>
        </is>
      </c>
      <c r="P481" s="30" t="inlineStr">
        <is>
          <t xml:space="preserve">Under 1,000</t>
        </is>
      </c>
      <c r="Q481" s="30" t="inlineStr">
        <is>
          <t xml:space="preserve">Minnesota</t>
        </is>
      </c>
      <c r="R481" s="30" t="inlineStr">
        <is>
          <t xml:space="preserve">55401</t>
        </is>
      </c>
      <c r="S481" s="32" t="inlineStr">
        <is>
          <t xml:space="preserve">Severe convective - hail / tornado (moderate)</t>
        </is>
      </c>
      <c r="T481" s="36">
        <f>IF($A481="","",IF($S481="","",IFERROR(INDEX('[1]natural catastrophe'!$D$6:$D$17,MATCH($S481,'[1]natural catastrophe'!$B$6:$B$17,0)),"?")))</f>
      </c>
      <c r="U481" s="30" t="inlineStr">
        <is>
          <t xml:space="preserve">$5,000</t>
        </is>
      </c>
      <c r="V481" s="32" t="inlineStr">
        <is>
          <t xml:space="preserve">Agreed Value</t>
        </is>
      </c>
      <c r="W481" s="30" t="inlineStr">
        <is>
          <t xml:space="preserve">$1,000</t>
        </is>
      </c>
      <c r="X481" s="32" t="inlineStr">
        <is>
          <t xml:space="preserve">$1,000,000 CSL</t>
        </is>
      </c>
      <c r="Y481" s="30"/>
      <c r="Z481" s="30"/>
      <c r="AA481" s="32" t="inlineStr">
        <is>
          <t xml:space="preserve">Surplus Lines</t>
        </is>
      </c>
      <c r="AB481" s="35">
        <v>7071.52</v>
      </c>
      <c r="AC481" s="37">
        <v>0</v>
      </c>
      <c r="AD481" s="38">
        <f>IF(ISNUMBER($AB481),$AB481*(1+N($AC481)),"")</f>
      </c>
      <c r="AE481" s="35">
        <v>350</v>
      </c>
      <c r="AF481" s="35">
        <v>0</v>
      </c>
      <c r="AG481" s="37"/>
      <c r="AH481" s="39">
        <f>IF(ISNUMBER($AD481),($AD481+$AE481+$AF481)*$AG481,"")</f>
      </c>
      <c r="AI481" s="35"/>
      <c r="AJ481" s="38">
        <f>IF(ISNUMBER($AD481),SUM($AD481:$AH481),"")</f>
      </c>
      <c r="AK481" s="40">
        <f>IF(AND(ISNUMBER($AB481),ISNUMBER($AD481)),IF($AB481&gt;0,$AD481/$AB481,""),"")</f>
      </c>
      <c r="AL481" s="32" t="inlineStr">
        <is>
          <t xml:space="preserve">At technical</t>
        </is>
      </c>
      <c r="AM481" s="41">
        <f>IF(ISNUMBER($AD481),Header!$I$3,"")</f>
      </c>
      <c r="AN481" s="39">
        <f>IF(ISNUMBER($AD481),$AO481+$AP481,"")</f>
      </c>
      <c r="AO481" s="39">
        <f>IF(ISNUMBER($AD481),ROUND($AD481*Header!$K$3,2),"")</f>
      </c>
      <c r="AP481" s="39">
        <f>IF(ISNUMBER($AD481),ROUND($AD481*Header!$M$3,2),"")</f>
      </c>
      <c r="AQ481" s="38">
        <f>IF(ISNUMBER($AD481),ROUND($AD481,2)-$AO481-$AP481,"")</f>
      </c>
      <c r="AR481" s="39">
        <f>IF(ISNUMBER($AD481),IF(Header!$D$34="","?",$AD481*Header!$D$34),"")</f>
      </c>
      <c r="AS481" s="39">
        <f>IF(ISNUMBER($AB481),IF(Header!$D$34="","?",$AB481*Header!$D$34),"")</f>
      </c>
      <c r="AT481" s="42">
        <f>IF(AND(ISNUMBER($AB481),$M481&gt;0),$AB481/$M481*100,"")</f>
      </c>
      <c r="AU481" s="42">
        <f>IF(AND(ISNUMBER($AD481),$M481&gt;0),$AD481/$M481*100,"")</f>
      </c>
      <c r="AV481" s="40">
        <f>IF(AND(ISNUMBER($AB481),ISNUMBER($AD481),ABS($AB481)&gt;0),$AD481/$AB481,"")</f>
      </c>
      <c r="AW481" s="39">
        <f>IF(ISNUMBER($AD481),MAX(0,(1-0.55-Header!$O$3)*Header!$Q$3*$AQ481),"")</f>
      </c>
      <c r="AX481" s="43">
        <f>IF($A481="","",IF(TRIM(IF($A481="","Missing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",""))="","PASS","FAIL: "&amp;TRIM(IF($A481="","Missing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f>
      </c>
      <c r="AY481" s="44">
        <f>IF($M481="","",IF(ISNUMBER($M481),IF($M481&gt;=Header!$C$18,"YES — refer","No"),""))</f>
      </c>
      <c r="AZ481" s="44">
        <f>IF($AD481="","",IF(ISNUMBER($AD481),IF($AD481&lt;Header!$C$20,"BELOW MIN PREMIUM","OK"),""))</f>
      </c>
      <c r="BA481" s="32" t="inlineStr">
        <is>
          <t xml:space="preserve">Yes</t>
        </is>
      </c>
      <c r="BB481" s="32" t="inlineStr">
        <is>
          <t xml:space="preserve">Yes</t>
        </is>
      </c>
      <c r="BC481" s="30" t="inlineStr">
        <is>
          <t xml:space="preserve">Synthetic demo data</t>
        </is>
      </c>
      <c r="BE481" s="45">
        <f>IF(OR($A481="",$L481="",$H481=""),"",IF(AND(LEFT($L481,2)="06",$H481&gt;1945),"FAIL - pre-war class, year "&amp;$H481,IF(AND(LEFT($L481,2)="07",OR($H481&lt;1946,$H481&gt;1972)),"FAIL - 1946-72 class, year "&amp;$H481,IF(AND(LEFT($L481,2)="08",OR($H481&lt;1973,$H481&gt;1999)),"FAIL - 1973-99 class, year "&amp;$H481,IF(AND(LEFT($L481,2)="09",OR($H481&lt;2000,$H481&gt;2010)),"FAIL - 2000-10 class, year "&amp;$H481,"OK")))))</f>
      </c>
      <c r="BF481" s="45">
        <f>IF($AD481="","",IF(ROUND($AO481+$AP481+$AQ481-$AD481,2)=0,"OK","FAIL - out by "&amp;TEXT($AO481+$AP481+$AQ481-$AD481,"$0.00")))</f>
      </c>
    </row>
    <row r="482" spans="1:58" ht="18.75" customHeight="1" x14ac:dyDescent="0.25">
      <c r="A482" s="46" t="inlineStr">
        <is>
          <t xml:space="preserve">CANON-202606-009054</t>
        </is>
      </c>
      <c r="B482" s="46" t="inlineStr">
        <is>
          <t xml:space="preserve">Cassius Harrington</t>
        </is>
      </c>
      <c r="C482" s="47">
        <v>46188</v>
      </c>
      <c r="D482" s="48" t="inlineStr">
        <is>
          <t xml:space="preserve">Bound - within authority</t>
        </is>
      </c>
      <c r="E482" s="48" t="inlineStr">
        <is>
          <t xml:space="preserve">New business</t>
        </is>
      </c>
      <c r="F482" s="46" t="inlineStr">
        <is>
          <t xml:space="preserve">B1234EXOTIC26</t>
        </is>
      </c>
      <c r="G482" s="33">
        <f>IF($A482="","",IF($C482="","",YEAR($C482)))</f>
      </c>
      <c r="H482" s="49">
        <v>1992</v>
      </c>
      <c r="I482" s="46" t="inlineStr">
        <is>
          <t xml:space="preserve">Mercedes-Benz</t>
        </is>
      </c>
      <c r="J482" s="46" t="inlineStr">
        <is>
          <t xml:space="preserve">280SL Pagoda</t>
        </is>
      </c>
      <c r="K482" s="46" t="inlineStr">
        <is>
          <t xml:space="preserve">GV7P00P2MLJYKKMMJ</t>
        </is>
      </c>
      <c r="L482" s="48" t="inlineStr">
        <is>
          <t xml:space="preserve">08 - Modern Classic (1973-1999)</t>
        </is>
      </c>
      <c r="M482" s="50">
        <v>1250000</v>
      </c>
      <c r="N482" s="48" t="inlineStr">
        <is>
          <t xml:space="preserve">Personal</t>
        </is>
      </c>
      <c r="O482" s="46" t="inlineStr">
        <is>
          <t xml:space="preserve">Personal - regular use</t>
        </is>
      </c>
      <c r="P482" s="46" t="inlineStr">
        <is>
          <t xml:space="preserve">2,500 - 5,000</t>
        </is>
      </c>
      <c r="Q482" s="46" t="inlineStr">
        <is>
          <t xml:space="preserve">Pennsylvania</t>
        </is>
      </c>
      <c r="R482" s="46" t="inlineStr">
        <is>
          <t xml:space="preserve">19103</t>
        </is>
      </c>
      <c r="S482" s="48" t="inlineStr">
        <is>
          <t xml:space="preserve">Low hazard - inland benign</t>
        </is>
      </c>
      <c r="T482" s="36">
        <f>IF($A482="","",IF($S482="","",IFERROR(INDEX('[1]natural catastrophe'!$D$6:$D$17,MATCH($S482,'[1]natural catastrophe'!$B$6:$B$17,0)),"?")))</f>
      </c>
      <c r="U482" s="46" t="inlineStr">
        <is>
          <t xml:space="preserve">$5,000</t>
        </is>
      </c>
      <c r="V482" s="48" t="inlineStr">
        <is>
          <t xml:space="preserve">Agreed Value</t>
        </is>
      </c>
      <c r="W482" s="46" t="inlineStr">
        <is>
          <t xml:space="preserve">$1,000</t>
        </is>
      </c>
      <c r="X482" s="48" t="inlineStr">
        <is>
          <t xml:space="preserve">$1,000,000 CSL</t>
        </is>
      </c>
      <c r="Y482" s="46"/>
      <c r="Z482" s="46"/>
      <c r="AA482" s="48" t="inlineStr">
        <is>
          <t xml:space="preserve">Surplus Lines</t>
        </is>
      </c>
      <c r="AB482" s="50">
        <v>6854.34</v>
      </c>
      <c r="AC482" s="51">
        <v>0</v>
      </c>
      <c r="AD482" s="38">
        <f>IF(ISNUMBER($AB482),$AB482*(1+N($AC482)),"")</f>
      </c>
      <c r="AE482" s="50">
        <v>350</v>
      </c>
      <c r="AF482" s="50">
        <v>250</v>
      </c>
      <c r="AG482" s="51"/>
      <c r="AH482" s="39">
        <f>IF(ISNUMBER($AD482),($AD482+$AE482+$AF482)*$AG482,"")</f>
      </c>
      <c r="AI482" s="50"/>
      <c r="AJ482" s="38">
        <f>IF(ISNUMBER($AD482),SUM($AD482:$AH482),"")</f>
      </c>
      <c r="AK482" s="40">
        <f>IF(AND(ISNUMBER($AB482),ISNUMBER($AD482)),IF($AB482&gt;0,$AD482/$AB482,""),"")</f>
      </c>
      <c r="AL482" s="48" t="inlineStr">
        <is>
          <t xml:space="preserve">At technical</t>
        </is>
      </c>
      <c r="AM482" s="41">
        <f>IF(ISNUMBER($AD482),Header!$I$3,"")</f>
      </c>
      <c r="AN482" s="39">
        <f>IF(ISNUMBER($AD482),$AO482+$AP482,"")</f>
      </c>
      <c r="AO482" s="39">
        <f>IF(ISNUMBER($AD482),ROUND($AD482*Header!$K$3,2),"")</f>
      </c>
      <c r="AP482" s="39">
        <f>IF(ISNUMBER($AD482),ROUND($AD482*Header!$M$3,2),"")</f>
      </c>
      <c r="AQ482" s="38">
        <f>IF(ISNUMBER($AD482),ROUND($AD482,2)-$AO482-$AP482,"")</f>
      </c>
      <c r="AR482" s="39">
        <f>IF(ISNUMBER($AD482),IF(Header!$D$34="","?",$AD482*Header!$D$34),"")</f>
      </c>
      <c r="AS482" s="39">
        <f>IF(ISNUMBER($AB482),IF(Header!$D$34="","?",$AB482*Header!$D$34),"")</f>
      </c>
      <c r="AT482" s="42">
        <f>IF(AND(ISNUMBER($AB482),$M482&gt;0),$AB482/$M482*100,"")</f>
      </c>
      <c r="AU482" s="42">
        <f>IF(AND(ISNUMBER($AD482),$M482&gt;0),$AD482/$M482*100,"")</f>
      </c>
      <c r="AV482" s="40">
        <f>IF(AND(ISNUMBER($AB482),ISNUMBER($AD482),ABS($AB482)&gt;0),$AD482/$AB482,"")</f>
      </c>
      <c r="AW482" s="39">
        <f>IF(ISNUMBER($AD482),MAX(0,(1-0.55-Header!$O$3)*Header!$Q$3*$AQ482),"")</f>
      </c>
      <c r="AX482" s="43">
        <f>IF($A482="","",IF(TRIM(IF($A482="","Missing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",""))="","PASS","FAIL: "&amp;TRIM(IF($A482="","Missing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f>
      </c>
      <c r="AY482" s="44">
        <f>IF($M482="","",IF(ISNUMBER($M482),IF($M482&gt;=Header!$C$18,"YES — refer","No"),""))</f>
      </c>
      <c r="AZ482" s="44">
        <f>IF($AD482="","",IF(ISNUMBER($AD482),IF($AD482&lt;Header!$C$20,"BELOW MIN PREMIUM","OK"),""))</f>
      </c>
      <c r="BA482" s="48" t="inlineStr">
        <is>
          <t xml:space="preserve">Yes</t>
        </is>
      </c>
      <c r="BB482" s="48" t="inlineStr">
        <is>
          <t xml:space="preserve">Yes</t>
        </is>
      </c>
      <c r="BC482" s="46" t="inlineStr">
        <is>
          <t xml:space="preserve">Synthetic demo data</t>
        </is>
      </c>
      <c r="BE482" s="45">
        <f>IF(OR($A482="",$L482="",$H482=""),"",IF(AND(LEFT($L482,2)="06",$H482&gt;1945),"FAIL - pre-war class, year "&amp;$H482,IF(AND(LEFT($L482,2)="07",OR($H482&lt;1946,$H482&gt;1972)),"FAIL - 1946-72 class, year "&amp;$H482,IF(AND(LEFT($L482,2)="08",OR($H482&lt;1973,$H482&gt;1999)),"FAIL - 1973-99 class, year "&amp;$H482,IF(AND(LEFT($L482,2)="09",OR($H482&lt;2000,$H482&gt;2010)),"FAIL - 2000-10 class, year "&amp;$H482,"OK")))))</f>
      </c>
      <c r="BF482" s="45">
        <f>IF($AD482="","",IF(ROUND($AO482+$AP482+$AQ482-$AD482,2)=0,"OK","FAIL - out by "&amp;TEXT($AO482+$AP482+$AQ482-$AD482,"$0.00")))</f>
      </c>
    </row>
    <row r="483" spans="1:58" ht="18.75" customHeight="1" x14ac:dyDescent="0.25">
      <c r="A483" s="30" t="inlineStr">
        <is>
          <t xml:space="preserve">CANON-202606-009056</t>
        </is>
      </c>
      <c r="B483" s="30" t="inlineStr">
        <is>
          <t xml:space="preserve">Anouk Delacroix</t>
        </is>
      </c>
      <c r="C483" s="31">
        <v>46197</v>
      </c>
      <c r="D483" s="32" t="inlineStr">
        <is>
          <t xml:space="preserve">Bound - within authority</t>
        </is>
      </c>
      <c r="E483" s="32" t="inlineStr">
        <is>
          <t xml:space="preserve">New business</t>
        </is>
      </c>
      <c r="F483" s="30" t="inlineStr">
        <is>
          <t xml:space="preserve">B1234EXOTIC26</t>
        </is>
      </c>
      <c r="G483" s="33">
        <f>IF($A483="","",IF($C483="","",YEAR($C483)))</f>
      </c>
      <c r="H483" s="34">
        <v>1995</v>
      </c>
      <c r="I483" s="30" t="inlineStr">
        <is>
          <t xml:space="preserve">Mercedes-Benz</t>
        </is>
      </c>
      <c r="J483" s="30" t="inlineStr">
        <is>
          <t xml:space="preserve">280SL Pagoda</t>
        </is>
      </c>
      <c r="K483" s="30" t="inlineStr">
        <is>
          <t xml:space="preserve">7891DCRH5041P6EW2</t>
        </is>
      </c>
      <c r="L483" s="32" t="inlineStr">
        <is>
          <t xml:space="preserve">08 - Modern Classic (1973-1999)</t>
        </is>
      </c>
      <c r="M483" s="35">
        <v>1950000</v>
      </c>
      <c r="N483" s="32" t="inlineStr">
        <is>
          <t xml:space="preserve">Personal</t>
        </is>
      </c>
      <c r="O483" s="30" t="inlineStr">
        <is>
          <t xml:space="preserve">Personal - regular use</t>
        </is>
      </c>
      <c r="P483" s="30" t="inlineStr">
        <is>
          <t xml:space="preserve">2,500 - 5,000</t>
        </is>
      </c>
      <c r="Q483" s="30" t="inlineStr">
        <is>
          <t xml:space="preserve">Oklahoma</t>
        </is>
      </c>
      <c r="R483" s="30" t="inlineStr">
        <is>
          <t xml:space="preserve">73102</t>
        </is>
      </c>
      <c r="S483" s="32" t="inlineStr">
        <is>
          <t xml:space="preserve">Severe convective - hail alley (high)</t>
        </is>
      </c>
      <c r="T483" s="36">
        <f>IF($A483="","",IF($S483="","",IFERROR(INDEX('[1]natural catastrophe'!$D$6:$D$17,MATCH($S483,'[1]natural catastrophe'!$B$6:$B$17,0)),"?")))</f>
      </c>
      <c r="U483" s="30" t="inlineStr">
        <is>
          <t xml:space="preserve">$5,000</t>
        </is>
      </c>
      <c r="V483" s="32" t="inlineStr">
        <is>
          <t xml:space="preserve">Agreed Value</t>
        </is>
      </c>
      <c r="W483" s="30" t="inlineStr">
        <is>
          <t xml:space="preserve">$1,000</t>
        </is>
      </c>
      <c r="X483" s="32" t="inlineStr">
        <is>
          <t xml:space="preserve">$1,000,000 CSL</t>
        </is>
      </c>
      <c r="Y483" s="30"/>
      <c r="Z483" s="30"/>
      <c r="AA483" s="32" t="inlineStr">
        <is>
          <t xml:space="preserve">Surplus Lines</t>
        </is>
      </c>
      <c r="AB483" s="35">
        <v>13472.89</v>
      </c>
      <c r="AC483" s="37">
        <v>0</v>
      </c>
      <c r="AD483" s="38">
        <f>IF(ISNUMBER($AB483),$AB483*(1+N($AC483)),"")</f>
      </c>
      <c r="AE483" s="35">
        <v>350</v>
      </c>
      <c r="AF483" s="35">
        <v>250</v>
      </c>
      <c r="AG483" s="37"/>
      <c r="AH483" s="39">
        <f>IF(ISNUMBER($AD483),($AD483+$AE483+$AF483)*$AG483,"")</f>
      </c>
      <c r="AI483" s="35"/>
      <c r="AJ483" s="38">
        <f>IF(ISNUMBER($AD483),SUM($AD483:$AH483),"")</f>
      </c>
      <c r="AK483" s="40">
        <f>IF(AND(ISNUMBER($AB483),ISNUMBER($AD483)),IF($AB483&gt;0,$AD483/$AB483,""),"")</f>
      </c>
      <c r="AL483" s="32" t="inlineStr">
        <is>
          <t xml:space="preserve">At technical</t>
        </is>
      </c>
      <c r="AM483" s="41">
        <f>IF(ISNUMBER($AD483),Header!$I$3,"")</f>
      </c>
      <c r="AN483" s="39">
        <f>IF(ISNUMBER($AD483),$AO483+$AP483,"")</f>
      </c>
      <c r="AO483" s="39">
        <f>IF(ISNUMBER($AD483),ROUND($AD483*Header!$K$3,2),"")</f>
      </c>
      <c r="AP483" s="39">
        <f>IF(ISNUMBER($AD483),ROUND($AD483*Header!$M$3,2),"")</f>
      </c>
      <c r="AQ483" s="38">
        <f>IF(ISNUMBER($AD483),ROUND($AD483,2)-$AO483-$AP483,"")</f>
      </c>
      <c r="AR483" s="39">
        <f>IF(ISNUMBER($AD483),IF(Header!$D$34="","?",$AD483*Header!$D$34),"")</f>
      </c>
      <c r="AS483" s="39">
        <f>IF(ISNUMBER($AB483),IF(Header!$D$34="","?",$AB483*Header!$D$34),"")</f>
      </c>
      <c r="AT483" s="42">
        <f>IF(AND(ISNUMBER($AB483),$M483&gt;0),$AB483/$M483*100,"")</f>
      </c>
      <c r="AU483" s="42">
        <f>IF(AND(ISNUMBER($AD483),$M483&gt;0),$AD483/$M483*100,"")</f>
      </c>
      <c r="AV483" s="40">
        <f>IF(AND(ISNUMBER($AB483),ISNUMBER($AD483),ABS($AB483)&gt;0),$AD483/$AB483,"")</f>
      </c>
      <c r="AW483" s="39">
        <f>IF(ISNUMBER($AD483),MAX(0,(1-0.55-Header!$O$3)*Header!$Q$3*$AQ483),"")</f>
      </c>
      <c r="AX483" s="43">
        <f>IF($A483="","",IF(TRIM(IF($A483="","Missing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",""))="","PASS","FAIL: "&amp;TRIM(IF($A483="","Missing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f>
      </c>
      <c r="AY483" s="44">
        <f>IF($M483="","",IF(ISNUMBER($M483),IF($M483&gt;=Header!$C$18,"YES — refer","No"),""))</f>
      </c>
      <c r="AZ483" s="44">
        <f>IF($AD483="","",IF(ISNUMBER($AD483),IF($AD483&lt;Header!$C$20,"BELOW MIN PREMIUM","OK"),""))</f>
      </c>
      <c r="BA483" s="32" t="inlineStr">
        <is>
          <t xml:space="preserve">Yes</t>
        </is>
      </c>
      <c r="BB483" s="32" t="inlineStr">
        <is>
          <t xml:space="preserve">Yes</t>
        </is>
      </c>
      <c r="BC483" s="30" t="inlineStr">
        <is>
          <t xml:space="preserve">Synthetic demo data</t>
        </is>
      </c>
      <c r="BE483" s="45">
        <f>IF(OR($A483="",$L483="",$H483=""),"",IF(AND(LEFT($L483,2)="06",$H483&gt;1945),"FAIL - pre-war class, year "&amp;$H483,IF(AND(LEFT($L483,2)="07",OR($H483&lt;1946,$H483&gt;1972)),"FAIL - 1946-72 class, year "&amp;$H483,IF(AND(LEFT($L483,2)="08",OR($H483&lt;1973,$H483&gt;1999)),"FAIL - 1973-99 class, year "&amp;$H483,IF(AND(LEFT($L483,2)="09",OR($H483&lt;2000,$H483&gt;2010)),"FAIL - 2000-10 class, year "&amp;$H483,"OK")))))</f>
      </c>
      <c r="BF483" s="45">
        <f>IF($AD483="","",IF(ROUND($AO483+$AP483+$AQ483-$AD483,2)=0,"OK","FAIL - out by "&amp;TEXT($AO483+$AP483+$AQ483-$AD483,"$0.00")))</f>
      </c>
    </row>
    <row r="484" spans="1:58" ht="18.75" customHeight="1" x14ac:dyDescent="0.25">
      <c r="A484" s="46" t="inlineStr">
        <is>
          <t xml:space="preserve">CANON-202606-009057</t>
        </is>
      </c>
      <c r="B484" s="46" t="inlineStr">
        <is>
          <t xml:space="preserve">Priya Farkas</t>
        </is>
      </c>
      <c r="C484" s="47">
        <v>46181</v>
      </c>
      <c r="D484" s="48" t="inlineStr">
        <is>
          <t xml:space="preserve">Bound - within authority</t>
        </is>
      </c>
      <c r="E484" s="48" t="inlineStr">
        <is>
          <t xml:space="preserve">New business</t>
        </is>
      </c>
      <c r="F484" s="46" t="inlineStr">
        <is>
          <t xml:space="preserve">B1234EXOTIC26</t>
        </is>
      </c>
      <c r="G484" s="33">
        <f>IF($A484="","",IF($C484="","",YEAR($C484)))</f>
      </c>
      <c r="H484" s="49">
        <v>1958</v>
      </c>
      <c r="I484" s="46" t="inlineStr">
        <is>
          <t xml:space="preserve">Aston Martin</t>
        </is>
      </c>
      <c r="J484" s="46" t="inlineStr">
        <is>
          <t xml:space="preserve">DB12</t>
        </is>
      </c>
      <c r="K484" s="46" t="inlineStr">
        <is>
          <t xml:space="preserve">T6P5SM279T8UR8E37</t>
        </is>
      </c>
      <c r="L484" s="48" t="inlineStr">
        <is>
          <t xml:space="preserve">02 - Sports / GT</t>
        </is>
      </c>
      <c r="M484" s="50">
        <v>630000</v>
      </c>
      <c r="N484" s="48" t="inlineStr">
        <is>
          <t xml:space="preserve">Personal</t>
        </is>
      </c>
      <c r="O484" s="46" t="inlineStr">
        <is>
          <t xml:space="preserve">Personal - regular use</t>
        </is>
      </c>
      <c r="P484" s="46" t="inlineStr">
        <is>
          <t xml:space="preserve">1,000 - 2,500</t>
        </is>
      </c>
      <c r="Q484" s="46" t="inlineStr">
        <is>
          <t xml:space="preserve">California</t>
        </is>
      </c>
      <c r="R484" s="46" t="inlineStr">
        <is>
          <t xml:space="preserve">90012</t>
        </is>
      </c>
      <c r="S484" s="48" t="inlineStr">
        <is>
          <t xml:space="preserve">Earthquake - high (CA, Cascadia, New Madrid)</t>
        </is>
      </c>
      <c r="T484" s="36">
        <f>IF($A484="","",IF($S484="","",IFERROR(INDEX('[1]natural catastrophe'!$D$6:$D$17,MATCH($S484,'[1]natural catastrophe'!$B$6:$B$17,0)),"?")))</f>
      </c>
      <c r="U484" s="46" t="inlineStr">
        <is>
          <t xml:space="preserve">$5,000</t>
        </is>
      </c>
      <c r="V484" s="48" t="inlineStr">
        <is>
          <t xml:space="preserve">Agreed Value</t>
        </is>
      </c>
      <c r="W484" s="46" t="inlineStr">
        <is>
          <t xml:space="preserve">$1,000</t>
        </is>
      </c>
      <c r="X484" s="48" t="inlineStr">
        <is>
          <t xml:space="preserve">$1,000,000 CSL</t>
        </is>
      </c>
      <c r="Y484" s="46"/>
      <c r="Z484" s="46"/>
      <c r="AA484" s="48" t="inlineStr">
        <is>
          <t xml:space="preserve">Surplus Lines</t>
        </is>
      </c>
      <c r="AB484" s="50">
        <v>7977.37</v>
      </c>
      <c r="AC484" s="51">
        <v>0</v>
      </c>
      <c r="AD484" s="38">
        <f>IF(ISNUMBER($AB484),$AB484*(1+N($AC484)),"")</f>
      </c>
      <c r="AE484" s="50">
        <v>350</v>
      </c>
      <c r="AF484" s="50">
        <v>0</v>
      </c>
      <c r="AG484" s="51"/>
      <c r="AH484" s="39">
        <f>IF(ISNUMBER($AD484),($AD484+$AE484+$AF484)*$AG484,"")</f>
      </c>
      <c r="AI484" s="50"/>
      <c r="AJ484" s="38">
        <f>IF(ISNUMBER($AD484),SUM($AD484:$AH484),"")</f>
      </c>
      <c r="AK484" s="40">
        <f>IF(AND(ISNUMBER($AB484),ISNUMBER($AD484)),IF($AB484&gt;0,$AD484/$AB484,""),"")</f>
      </c>
      <c r="AL484" s="48" t="inlineStr">
        <is>
          <t xml:space="preserve">At technical</t>
        </is>
      </c>
      <c r="AM484" s="41">
        <f>IF(ISNUMBER($AD484),Header!$I$3,"")</f>
      </c>
      <c r="AN484" s="39">
        <f>IF(ISNUMBER($AD484),$AO484+$AP484,"")</f>
      </c>
      <c r="AO484" s="39">
        <f>IF(ISNUMBER($AD484),ROUND($AD484*Header!$K$3,2),"")</f>
      </c>
      <c r="AP484" s="39">
        <f>IF(ISNUMBER($AD484),ROUND($AD484*Header!$M$3,2),"")</f>
      </c>
      <c r="AQ484" s="38">
        <f>IF(ISNUMBER($AD484),ROUND($AD484,2)-$AO484-$AP484,"")</f>
      </c>
      <c r="AR484" s="39">
        <f>IF(ISNUMBER($AD484),IF(Header!$D$34="","?",$AD484*Header!$D$34),"")</f>
      </c>
      <c r="AS484" s="39">
        <f>IF(ISNUMBER($AB484),IF(Header!$D$34="","?",$AB484*Header!$D$34),"")</f>
      </c>
      <c r="AT484" s="42">
        <f>IF(AND(ISNUMBER($AB484),$M484&gt;0),$AB484/$M484*100,"")</f>
      </c>
      <c r="AU484" s="42">
        <f>IF(AND(ISNUMBER($AD484),$M484&gt;0),$AD484/$M484*100,"")</f>
      </c>
      <c r="AV484" s="40">
        <f>IF(AND(ISNUMBER($AB484),ISNUMBER($AD484),ABS($AB484)&gt;0),$AD484/$AB484,"")</f>
      </c>
      <c r="AW484" s="39">
        <f>IF(ISNUMBER($AD484),MAX(0,(1-0.55-Header!$O$3)*Header!$Q$3*$AQ484),"")</f>
      </c>
      <c r="AX484" s="43">
        <f>IF($A484="","",IF(TRIM(IF($A484="","Missing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",""))="","PASS","FAIL: "&amp;TRIM(IF($A484="","Missing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f>
      </c>
      <c r="AY484" s="44">
        <f>IF($M484="","",IF(ISNUMBER($M484),IF($M484&gt;=Header!$C$18,"YES — refer","No"),""))</f>
      </c>
      <c r="AZ484" s="44">
        <f>IF($AD484="","",IF(ISNUMBER($AD484),IF($AD484&lt;Header!$C$20,"BELOW MIN PREMIUM","OK"),""))</f>
      </c>
      <c r="BA484" s="48" t="inlineStr">
        <is>
          <t xml:space="preserve">Yes</t>
        </is>
      </c>
      <c r="BB484" s="48" t="inlineStr">
        <is>
          <t xml:space="preserve">Yes</t>
        </is>
      </c>
      <c r="BC484" s="46" t="inlineStr">
        <is>
          <t xml:space="preserve">Synthetic demo data</t>
        </is>
      </c>
      <c r="BE484" s="45">
        <f>IF(OR($A484="",$L484="",$H484=""),"",IF(AND(LEFT($L484,2)="06",$H484&gt;1945),"FAIL - pre-war class, year "&amp;$H484,IF(AND(LEFT($L484,2)="07",OR($H484&lt;1946,$H484&gt;1972)),"FAIL - 1946-72 class, year "&amp;$H484,IF(AND(LEFT($L484,2)="08",OR($H484&lt;1973,$H484&gt;1999)),"FAIL - 1973-99 class, year "&amp;$H484,IF(AND(LEFT($L484,2)="09",OR($H484&lt;2000,$H484&gt;2010)),"FAIL - 2000-10 class, year "&amp;$H484,"OK")))))</f>
      </c>
      <c r="BF484" s="45">
        <f>IF($AD484="","",IF(ROUND($AO484+$AP484+$AQ484-$AD484,2)=0,"OK","FAIL - out by "&amp;TEXT($AO484+$AP484+$AQ484-$AD484,"$0.00")))</f>
      </c>
    </row>
    <row r="485" spans="1:58" ht="18.75" customHeight="1" x14ac:dyDescent="0.25">
      <c r="A485" s="30" t="inlineStr">
        <is>
          <t xml:space="preserve">CANON-202606-009058</t>
        </is>
      </c>
      <c r="B485" s="30" t="inlineStr">
        <is>
          <t xml:space="preserve">Saoirse Okonkwo</t>
        </is>
      </c>
      <c r="C485" s="31">
        <v>46182</v>
      </c>
      <c r="D485" s="32" t="inlineStr">
        <is>
          <t xml:space="preserve">Bound - within authority</t>
        </is>
      </c>
      <c r="E485" s="32" t="inlineStr">
        <is>
          <t xml:space="preserve">New business</t>
        </is>
      </c>
      <c r="F485" s="30" t="inlineStr">
        <is>
          <t xml:space="preserve">B1234EXOTIC26</t>
        </is>
      </c>
      <c r="G485" s="33">
        <f>IF($A485="","",IF($C485="","",YEAR($C485)))</f>
      </c>
      <c r="H485" s="34">
        <v>1994</v>
      </c>
      <c r="I485" s="30" t="inlineStr">
        <is>
          <t xml:space="preserve">Mercedes-Benz</t>
        </is>
      </c>
      <c r="J485" s="30" t="inlineStr">
        <is>
          <t xml:space="preserve">AMG GT</t>
        </is>
      </c>
      <c r="K485" s="30" t="inlineStr">
        <is>
          <t xml:space="preserve">1RA0F078JT478Z8EW</t>
        </is>
      </c>
      <c r="L485" s="32" t="inlineStr">
        <is>
          <t xml:space="preserve">02 - Sports / GT</t>
        </is>
      </c>
      <c r="M485" s="35">
        <v>420000</v>
      </c>
      <c r="N485" s="32" t="inlineStr">
        <is>
          <t xml:space="preserve">Personal</t>
        </is>
      </c>
      <c r="O485" s="30" t="inlineStr">
        <is>
          <t xml:space="preserve">Personal - regular use</t>
        </is>
      </c>
      <c r="P485" s="30" t="inlineStr">
        <is>
          <t xml:space="preserve">Under 1,000</t>
        </is>
      </c>
      <c r="Q485" s="30" t="inlineStr">
        <is>
          <t xml:space="preserve">Kentucky</t>
        </is>
      </c>
      <c r="R485" s="30" t="inlineStr">
        <is>
          <t xml:space="preserve">40202</t>
        </is>
      </c>
      <c r="S485" s="32" t="inlineStr">
        <is>
          <t xml:space="preserve">Severe convective - hail / tornado (moderate)</t>
        </is>
      </c>
      <c r="T485" s="36">
        <f>IF($A485="","",IF($S485="","",IFERROR(INDEX('[1]natural catastrophe'!$D$6:$D$17,MATCH($S485,'[1]natural catastrophe'!$B$6:$B$17,0)),"?")))</f>
      </c>
      <c r="U485" s="30" t="inlineStr">
        <is>
          <t xml:space="preserve">$5,000</t>
        </is>
      </c>
      <c r="V485" s="32" t="inlineStr">
        <is>
          <t xml:space="preserve">Agreed Value</t>
        </is>
      </c>
      <c r="W485" s="30" t="inlineStr">
        <is>
          <t xml:space="preserve">$1,000</t>
        </is>
      </c>
      <c r="X485" s="32" t="inlineStr">
        <is>
          <t xml:space="preserve">$1,000,000 CSL</t>
        </is>
      </c>
      <c r="Y485" s="30"/>
      <c r="Z485" s="30"/>
      <c r="AA485" s="32" t="inlineStr">
        <is>
          <t xml:space="preserve">Surplus Lines</t>
        </is>
      </c>
      <c r="AB485" s="35">
        <v>6090.98</v>
      </c>
      <c r="AC485" s="37">
        <v>0</v>
      </c>
      <c r="AD485" s="38">
        <f>IF(ISNUMBER($AB485),$AB485*(1+N($AC485)),"")</f>
      </c>
      <c r="AE485" s="35">
        <v>350</v>
      </c>
      <c r="AF485" s="35">
        <v>0</v>
      </c>
      <c r="AG485" s="37"/>
      <c r="AH485" s="39">
        <f>IF(ISNUMBER($AD485),($AD485+$AE485+$AF485)*$AG485,"")</f>
      </c>
      <c r="AI485" s="35"/>
      <c r="AJ485" s="38">
        <f>IF(ISNUMBER($AD485),SUM($AD485:$AH485),"")</f>
      </c>
      <c r="AK485" s="40">
        <f>IF(AND(ISNUMBER($AB485),ISNUMBER($AD485)),IF($AB485&gt;0,$AD485/$AB485,""),"")</f>
      </c>
      <c r="AL485" s="32" t="inlineStr">
        <is>
          <t xml:space="preserve">At technical</t>
        </is>
      </c>
      <c r="AM485" s="41">
        <f>IF(ISNUMBER($AD485),Header!$I$3,"")</f>
      </c>
      <c r="AN485" s="39">
        <f>IF(ISNUMBER($AD485),$AO485+$AP485,"")</f>
      </c>
      <c r="AO485" s="39">
        <f>IF(ISNUMBER($AD485),ROUND($AD485*Header!$K$3,2),"")</f>
      </c>
      <c r="AP485" s="39">
        <f>IF(ISNUMBER($AD485),ROUND($AD485*Header!$M$3,2),"")</f>
      </c>
      <c r="AQ485" s="38">
        <f>IF(ISNUMBER($AD485),ROUND($AD485,2)-$AO485-$AP485,"")</f>
      </c>
      <c r="AR485" s="39">
        <f>IF(ISNUMBER($AD485),IF(Header!$D$34="","?",$AD485*Header!$D$34),"")</f>
      </c>
      <c r="AS485" s="39">
        <f>IF(ISNUMBER($AB485),IF(Header!$D$34="","?",$AB485*Header!$D$34),"")</f>
      </c>
      <c r="AT485" s="42">
        <f>IF(AND(ISNUMBER($AB485),$M485&gt;0),$AB485/$M485*100,"")</f>
      </c>
      <c r="AU485" s="42">
        <f>IF(AND(ISNUMBER($AD485),$M485&gt;0),$AD485/$M485*100,"")</f>
      </c>
      <c r="AV485" s="40">
        <f>IF(AND(ISNUMBER($AB485),ISNUMBER($AD485),ABS($AB485)&gt;0),$AD485/$AB485,"")</f>
      </c>
      <c r="AW485" s="39">
        <f>IF(ISNUMBER($AD485),MAX(0,(1-0.55-Header!$O$3)*Header!$Q$3*$AQ485),"")</f>
      </c>
      <c r="AX485" s="43">
        <f>IF($A485="","",IF(TRIM(IF($A485="","Missing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",""))="","PASS","FAIL: "&amp;TRIM(IF($A485="","Missing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f>
      </c>
      <c r="AY485" s="44">
        <f>IF($M485="","",IF(ISNUMBER($M485),IF($M485&gt;=Header!$C$18,"YES — refer","No"),""))</f>
      </c>
      <c r="AZ485" s="44">
        <f>IF($AD485="","",IF(ISNUMBER($AD485),IF($AD485&lt;Header!$C$20,"BELOW MIN PREMIUM","OK"),""))</f>
      </c>
      <c r="BA485" s="32" t="inlineStr">
        <is>
          <t xml:space="preserve">Yes</t>
        </is>
      </c>
      <c r="BB485" s="32" t="inlineStr">
        <is>
          <t xml:space="preserve">Yes</t>
        </is>
      </c>
      <c r="BC485" s="30" t="inlineStr">
        <is>
          <t xml:space="preserve">Synthetic demo data</t>
        </is>
      </c>
      <c r="BE485" s="45">
        <f>IF(OR($A485="",$L485="",$H485=""),"",IF(AND(LEFT($L485,2)="06",$H485&gt;1945),"FAIL - pre-war class, year "&amp;$H485,IF(AND(LEFT($L485,2)="07",OR($H485&lt;1946,$H485&gt;1972)),"FAIL - 1946-72 class, year "&amp;$H485,IF(AND(LEFT($L485,2)="08",OR($H485&lt;1973,$H485&gt;1999)),"FAIL - 1973-99 class, year "&amp;$H485,IF(AND(LEFT($L485,2)="09",OR($H485&lt;2000,$H485&gt;2010)),"FAIL - 2000-10 class, year "&amp;$H485,"OK")))))</f>
      </c>
      <c r="BF485" s="45">
        <f>IF($AD485="","",IF(ROUND($AO485+$AP485+$AQ485-$AD485,2)=0,"OK","FAIL - out by "&amp;TEXT($AO485+$AP485+$AQ485-$AD485,"$0.00")))</f>
      </c>
    </row>
    <row r="486" spans="1:58" ht="18.75" customHeight="1" x14ac:dyDescent="0.25">
      <c r="A486" s="46" t="inlineStr">
        <is>
          <t xml:space="preserve">CANON-202606-009060</t>
        </is>
      </c>
      <c r="B486" s="46" t="inlineStr">
        <is>
          <t xml:space="preserve">Horace Harrington</t>
        </is>
      </c>
      <c r="C486" s="47">
        <v>46183</v>
      </c>
      <c r="D486" s="48" t="inlineStr">
        <is>
          <t xml:space="preserve">Bound - within authority</t>
        </is>
      </c>
      <c r="E486" s="48" t="inlineStr">
        <is>
          <t xml:space="preserve">New business</t>
        </is>
      </c>
      <c r="F486" s="46" t="inlineStr">
        <is>
          <t xml:space="preserve">B1234EXOTIC26</t>
        </is>
      </c>
      <c r="G486" s="33">
        <f>IF($A486="","",IF($C486="","",YEAR($C486)))</f>
      </c>
      <c r="H486" s="49">
        <v>1971</v>
      </c>
      <c r="I486" s="46" t="inlineStr">
        <is>
          <t xml:space="preserve">McLaren</t>
        </is>
      </c>
      <c r="J486" s="46" t="inlineStr">
        <is>
          <t xml:space="preserve">750S</t>
        </is>
      </c>
      <c r="K486" s="46" t="inlineStr">
        <is>
          <t xml:space="preserve">5DB8H8RA8P73LPD8F</t>
        </is>
      </c>
      <c r="L486" s="48" t="inlineStr">
        <is>
          <t xml:space="preserve">03 - Supercar</t>
        </is>
      </c>
      <c r="M486" s="50">
        <v>1470000</v>
      </c>
      <c r="N486" s="48" t="inlineStr">
        <is>
          <t xml:space="preserve">Personal</t>
        </is>
      </c>
      <c r="O486" s="46" t="inlineStr">
        <is>
          <t xml:space="preserve">Personal - regular use</t>
        </is>
      </c>
      <c r="P486" s="46" t="inlineStr">
        <is>
          <t xml:space="preserve">Under 1,000</t>
        </is>
      </c>
      <c r="Q486" s="46" t="inlineStr">
        <is>
          <t xml:space="preserve">Colorado</t>
        </is>
      </c>
      <c r="R486" s="46" t="inlineStr">
        <is>
          <t xml:space="preserve">80202</t>
        </is>
      </c>
      <c r="S486" s="48" t="inlineStr">
        <is>
          <t xml:space="preserve">Severe convective - hail alley (high)</t>
        </is>
      </c>
      <c r="T486" s="36">
        <f>IF($A486="","",IF($S486="","",IFERROR(INDEX('[1]natural catastrophe'!$D$6:$D$17,MATCH($S486,'[1]natural catastrophe'!$B$6:$B$17,0)),"?")))</f>
      </c>
      <c r="U486" s="46" t="inlineStr">
        <is>
          <t xml:space="preserve">$5,000</t>
        </is>
      </c>
      <c r="V486" s="48" t="inlineStr">
        <is>
          <t xml:space="preserve">Agreed Value</t>
        </is>
      </c>
      <c r="W486" s="46" t="inlineStr">
        <is>
          <t xml:space="preserve">$1,000</t>
        </is>
      </c>
      <c r="X486" s="48" t="inlineStr">
        <is>
          <t xml:space="preserve">$1,000,000 CSL</t>
        </is>
      </c>
      <c r="Y486" s="46"/>
      <c r="Z486" s="46"/>
      <c r="AA486" s="48" t="inlineStr">
        <is>
          <t xml:space="preserve">Surplus Lines</t>
        </is>
      </c>
      <c r="AB486" s="50">
        <v>18666.89</v>
      </c>
      <c r="AC486" s="51">
        <v>0</v>
      </c>
      <c r="AD486" s="38">
        <f>IF(ISNUMBER($AB486),$AB486*(1+N($AC486)),"")</f>
      </c>
      <c r="AE486" s="50">
        <v>350</v>
      </c>
      <c r="AF486" s="50">
        <v>250</v>
      </c>
      <c r="AG486" s="51"/>
      <c r="AH486" s="39">
        <f>IF(ISNUMBER($AD486),($AD486+$AE486+$AF486)*$AG486,"")</f>
      </c>
      <c r="AI486" s="50"/>
      <c r="AJ486" s="38">
        <f>IF(ISNUMBER($AD486),SUM($AD486:$AH486),"")</f>
      </c>
      <c r="AK486" s="40">
        <f>IF(AND(ISNUMBER($AB486),ISNUMBER($AD486)),IF($AB486&gt;0,$AD486/$AB486,""),"")</f>
      </c>
      <c r="AL486" s="48" t="inlineStr">
        <is>
          <t xml:space="preserve">At technical</t>
        </is>
      </c>
      <c r="AM486" s="41">
        <f>IF(ISNUMBER($AD486),Header!$I$3,"")</f>
      </c>
      <c r="AN486" s="39">
        <f>IF(ISNUMBER($AD486),$AO486+$AP486,"")</f>
      </c>
      <c r="AO486" s="39">
        <f>IF(ISNUMBER($AD486),ROUND($AD486*Header!$K$3,2),"")</f>
      </c>
      <c r="AP486" s="39">
        <f>IF(ISNUMBER($AD486),ROUND($AD486*Header!$M$3,2),"")</f>
      </c>
      <c r="AQ486" s="38">
        <f>IF(ISNUMBER($AD486),ROUND($AD486,2)-$AO486-$AP486,"")</f>
      </c>
      <c r="AR486" s="39">
        <f>IF(ISNUMBER($AD486),IF(Header!$D$34="","?",$AD486*Header!$D$34),"")</f>
      </c>
      <c r="AS486" s="39">
        <f>IF(ISNUMBER($AB486),IF(Header!$D$34="","?",$AB486*Header!$D$34),"")</f>
      </c>
      <c r="AT486" s="42">
        <f>IF(AND(ISNUMBER($AB486),$M486&gt;0),$AB486/$M486*100,"")</f>
      </c>
      <c r="AU486" s="42">
        <f>IF(AND(ISNUMBER($AD486),$M486&gt;0),$AD486/$M486*100,"")</f>
      </c>
      <c r="AV486" s="40">
        <f>IF(AND(ISNUMBER($AB486),ISNUMBER($AD486),ABS($AB486)&gt;0),$AD486/$AB486,"")</f>
      </c>
      <c r="AW486" s="39">
        <f>IF(ISNUMBER($AD486),MAX(0,(1-0.55-Header!$O$3)*Header!$Q$3*$AQ486),"")</f>
      </c>
      <c r="AX486" s="43">
        <f>IF($A486="","",IF(TRIM(IF($A486="","Missing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",""))="","PASS","FAIL: "&amp;TRIM(IF($A486="","Missing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f>
      </c>
      <c r="AY486" s="44">
        <f>IF($M486="","",IF(ISNUMBER($M486),IF($M486&gt;=Header!$C$18,"YES — refer","No"),""))</f>
      </c>
      <c r="AZ486" s="44">
        <f>IF($AD486="","",IF(ISNUMBER($AD486),IF($AD486&lt;Header!$C$20,"BELOW MIN PREMIUM","OK"),""))</f>
      </c>
      <c r="BA486" s="48" t="inlineStr">
        <is>
          <t xml:space="preserve">Yes</t>
        </is>
      </c>
      <c r="BB486" s="48" t="inlineStr">
        <is>
          <t xml:space="preserve">Yes</t>
        </is>
      </c>
      <c r="BC486" s="46" t="inlineStr">
        <is>
          <t xml:space="preserve">Synthetic demo data</t>
        </is>
      </c>
      <c r="BE486" s="45">
        <f>IF(OR($A486="",$L486="",$H486=""),"",IF(AND(LEFT($L486,2)="06",$H486&gt;1945),"FAIL - pre-war class, year "&amp;$H486,IF(AND(LEFT($L486,2)="07",OR($H486&lt;1946,$H486&gt;1972)),"FAIL - 1946-72 class, year "&amp;$H486,IF(AND(LEFT($L486,2)="08",OR($H486&lt;1973,$H486&gt;1999)),"FAIL - 1973-99 class, year "&amp;$H486,IF(AND(LEFT($L486,2)="09",OR($H486&lt;2000,$H486&gt;2010)),"FAIL - 2000-10 class, year "&amp;$H486,"OK")))))</f>
      </c>
      <c r="BF486" s="45">
        <f>IF($AD486="","",IF(ROUND($AO486+$AP486+$AQ486-$AD486,2)=0,"OK","FAIL - out by "&amp;TEXT($AO486+$AP486+$AQ486-$AD486,"$0.00")))</f>
      </c>
    </row>
    <row r="487" spans="1:58" ht="18.75" customHeight="1" x14ac:dyDescent="0.25">
      <c r="A487" s="30" t="inlineStr">
        <is>
          <t xml:space="preserve">CANON-202606-009061</t>
        </is>
      </c>
      <c r="B487" s="30" t="inlineStr">
        <is>
          <t xml:space="preserve">Horace Whitlock</t>
        </is>
      </c>
      <c r="C487" s="31">
        <v>46191</v>
      </c>
      <c r="D487" s="32" t="inlineStr">
        <is>
          <t xml:space="preserve">Bound - within authority</t>
        </is>
      </c>
      <c r="E487" s="32" t="inlineStr">
        <is>
          <t xml:space="preserve">New business</t>
        </is>
      </c>
      <c r="F487" s="30" t="inlineStr">
        <is>
          <t xml:space="preserve">B1234EXOTIC26</t>
        </is>
      </c>
      <c r="G487" s="33">
        <f>IF($A487="","",IF($C487="","",YEAR($C487)))</f>
      </c>
      <c r="H487" s="34">
        <v>2003</v>
      </c>
      <c r="I487" s="30" t="inlineStr">
        <is>
          <t xml:space="preserve">BMW</t>
        </is>
      </c>
      <c r="J487" s="30" t="inlineStr">
        <is>
          <t xml:space="preserve">M8 Competition</t>
        </is>
      </c>
      <c r="K487" s="30" t="inlineStr">
        <is>
          <t xml:space="preserve">ALEWL2J0BGAN60BXD</t>
        </is>
      </c>
      <c r="L487" s="32" t="inlineStr">
        <is>
          <t xml:space="preserve">02 - Sports / GT</t>
        </is>
      </c>
      <c r="M487" s="35">
        <v>565000</v>
      </c>
      <c r="N487" s="32" t="inlineStr">
        <is>
          <t xml:space="preserve">Personal</t>
        </is>
      </c>
      <c r="O487" s="30" t="inlineStr">
        <is>
          <t xml:space="preserve">Personal - regular use</t>
        </is>
      </c>
      <c r="P487" s="30" t="inlineStr">
        <is>
          <t xml:space="preserve">1,000 - 2,500</t>
        </is>
      </c>
      <c r="Q487" s="30" t="inlineStr">
        <is>
          <t xml:space="preserve">New York</t>
        </is>
      </c>
      <c r="R487" s="30" t="inlineStr">
        <is>
          <t xml:space="preserve">10022</t>
        </is>
      </c>
      <c r="S487" s="32" t="inlineStr">
        <is>
          <t xml:space="preserve">Tier 3 - Coastal wind (25-100 miles)</t>
        </is>
      </c>
      <c r="T487" s="36">
        <f>IF($A487="","",IF($S487="","",IFERROR(INDEX('[1]natural catastrophe'!$D$6:$D$17,MATCH($S487,'[1]natural catastrophe'!$B$6:$B$17,0)),"?")))</f>
      </c>
      <c r="U487" s="30" t="inlineStr">
        <is>
          <t xml:space="preserve">2% of agreed value, minimum $10,000</t>
        </is>
      </c>
      <c r="V487" s="32" t="inlineStr">
        <is>
          <t xml:space="preserve">Agreed Value</t>
        </is>
      </c>
      <c r="W487" s="30" t="inlineStr">
        <is>
          <t xml:space="preserve">$1,000</t>
        </is>
      </c>
      <c r="X487" s="32" t="inlineStr">
        <is>
          <t xml:space="preserve">$1,000,000 CSL</t>
        </is>
      </c>
      <c r="Y487" s="30"/>
      <c r="Z487" s="30"/>
      <c r="AA487" s="32" t="inlineStr">
        <is>
          <t xml:space="preserve">Surplus Lines</t>
        </is>
      </c>
      <c r="AB487" s="35">
        <v>6783.34</v>
      </c>
      <c r="AC487" s="37">
        <v>0</v>
      </c>
      <c r="AD487" s="38">
        <f>IF(ISNUMBER($AB487),$AB487*(1+N($AC487)),"")</f>
      </c>
      <c r="AE487" s="35">
        <v>350</v>
      </c>
      <c r="AF487" s="35">
        <v>0</v>
      </c>
      <c r="AG487" s="37"/>
      <c r="AH487" s="39">
        <f>IF(ISNUMBER($AD487),($AD487+$AE487+$AF487)*$AG487,"")</f>
      </c>
      <c r="AI487" s="35"/>
      <c r="AJ487" s="38">
        <f>IF(ISNUMBER($AD487),SUM($AD487:$AH487),"")</f>
      </c>
      <c r="AK487" s="40">
        <f>IF(AND(ISNUMBER($AB487),ISNUMBER($AD487)),IF($AB487&gt;0,$AD487/$AB487,""),"")</f>
      </c>
      <c r="AL487" s="32" t="inlineStr">
        <is>
          <t xml:space="preserve">At technical</t>
        </is>
      </c>
      <c r="AM487" s="41">
        <f>IF(ISNUMBER($AD487),Header!$I$3,"")</f>
      </c>
      <c r="AN487" s="39">
        <f>IF(ISNUMBER($AD487),$AO487+$AP487,"")</f>
      </c>
      <c r="AO487" s="39">
        <f>IF(ISNUMBER($AD487),ROUND($AD487*Header!$K$3,2),"")</f>
      </c>
      <c r="AP487" s="39">
        <f>IF(ISNUMBER($AD487),ROUND($AD487*Header!$M$3,2),"")</f>
      </c>
      <c r="AQ487" s="38">
        <f>IF(ISNUMBER($AD487),ROUND($AD487,2)-$AO487-$AP487,"")</f>
      </c>
      <c r="AR487" s="39">
        <f>IF(ISNUMBER($AD487),IF(Header!$D$34="","?",$AD487*Header!$D$34),"")</f>
      </c>
      <c r="AS487" s="39">
        <f>IF(ISNUMBER($AB487),IF(Header!$D$34="","?",$AB487*Header!$D$34),"")</f>
      </c>
      <c r="AT487" s="42">
        <f>IF(AND(ISNUMBER($AB487),$M487&gt;0),$AB487/$M487*100,"")</f>
      </c>
      <c r="AU487" s="42">
        <f>IF(AND(ISNUMBER($AD487),$M487&gt;0),$AD487/$M487*100,"")</f>
      </c>
      <c r="AV487" s="40">
        <f>IF(AND(ISNUMBER($AB487),ISNUMBER($AD487),ABS($AB487)&gt;0),$AD487/$AB487,"")</f>
      </c>
      <c r="AW487" s="39">
        <f>IF(ISNUMBER($AD487),MAX(0,(1-0.55-Header!$O$3)*Header!$Q$3*$AQ487),"")</f>
      </c>
      <c r="AX487" s="43">
        <f>IF($A487="","",IF(TRIM(IF($A487="","Missing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",""))="","PASS","FAIL: "&amp;TRIM(IF($A487="","Missing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f>
      </c>
      <c r="AY487" s="44">
        <f>IF($M487="","",IF(ISNUMBER($M487),IF($M487&gt;=Header!$C$18,"YES — refer","No"),""))</f>
      </c>
      <c r="AZ487" s="44">
        <f>IF($AD487="","",IF(ISNUMBER($AD487),IF($AD487&lt;Header!$C$20,"BELOW MIN PREMIUM","OK"),""))</f>
      </c>
      <c r="BA487" s="32" t="inlineStr">
        <is>
          <t xml:space="preserve">Yes</t>
        </is>
      </c>
      <c r="BB487" s="32" t="inlineStr">
        <is>
          <t xml:space="preserve">Yes</t>
        </is>
      </c>
      <c r="BC487" s="30" t="inlineStr">
        <is>
          <t xml:space="preserve">Synthetic demo data</t>
        </is>
      </c>
      <c r="BE487" s="45">
        <f>IF(OR($A487="",$L487="",$H487=""),"",IF(AND(LEFT($L487,2)="06",$H487&gt;1945),"FAIL - pre-war class, year "&amp;$H487,IF(AND(LEFT($L487,2)="07",OR($H487&lt;1946,$H487&gt;1972)),"FAIL - 1946-72 class, year "&amp;$H487,IF(AND(LEFT($L487,2)="08",OR($H487&lt;1973,$H487&gt;1999)),"FAIL - 1973-99 class, year "&amp;$H487,IF(AND(LEFT($L487,2)="09",OR($H487&lt;2000,$H487&gt;2010)),"FAIL - 2000-10 class, year "&amp;$H487,"OK")))))</f>
      </c>
      <c r="BF487" s="45">
        <f>IF($AD487="","",IF(ROUND($AO487+$AP487+$AQ487-$AD487,2)=0,"OK","FAIL - out by "&amp;TEXT($AO487+$AP487+$AQ487-$AD487,"$0.00")))</f>
      </c>
    </row>
    <row r="488" spans="1:58" ht="18.75" customHeight="1" x14ac:dyDescent="0.25">
      <c r="A488" s="46" t="inlineStr">
        <is>
          <t xml:space="preserve">CANON-202606-009063</t>
        </is>
      </c>
      <c r="B488" s="46" t="inlineStr">
        <is>
          <t xml:space="preserve">Aurelio Castellanos</t>
        </is>
      </c>
      <c r="C488" s="47">
        <v>46177</v>
      </c>
      <c r="D488" s="48" t="inlineStr">
        <is>
          <t xml:space="preserve">Bound - within authority</t>
        </is>
      </c>
      <c r="E488" s="48" t="inlineStr">
        <is>
          <t xml:space="preserve">New business</t>
        </is>
      </c>
      <c r="F488" s="46" t="inlineStr">
        <is>
          <t xml:space="preserve">B1234EXOTIC26</t>
        </is>
      </c>
      <c r="G488" s="33">
        <f>IF($A488="","",IF($C488="","",YEAR($C488)))</f>
      </c>
      <c r="H488" s="49">
        <v>2023</v>
      </c>
      <c r="I488" s="46" t="inlineStr">
        <is>
          <t xml:space="preserve">Bentley</t>
        </is>
      </c>
      <c r="J488" s="46" t="inlineStr">
        <is>
          <t xml:space="preserve">Continental GT</t>
        </is>
      </c>
      <c r="K488" s="46" t="inlineStr">
        <is>
          <t xml:space="preserve">20UKM20PPS6HVMV3T</t>
        </is>
      </c>
      <c r="L488" s="48" t="inlineStr">
        <is>
          <t xml:space="preserve">02 - Sports / GT</t>
        </is>
      </c>
      <c r="M488" s="50">
        <v>705000</v>
      </c>
      <c r="N488" s="48" t="inlineStr">
        <is>
          <t xml:space="preserve">Personal</t>
        </is>
      </c>
      <c r="O488" s="46" t="inlineStr">
        <is>
          <t xml:space="preserve">Personal - regular use</t>
        </is>
      </c>
      <c r="P488" s="46" t="inlineStr">
        <is>
          <t xml:space="preserve">1,000 - 2,500</t>
        </is>
      </c>
      <c r="Q488" s="46" t="inlineStr">
        <is>
          <t xml:space="preserve">California</t>
        </is>
      </c>
      <c r="R488" s="46" t="inlineStr">
        <is>
          <t xml:space="preserve">90012</t>
        </is>
      </c>
      <c r="S488" s="48" t="inlineStr">
        <is>
          <t xml:space="preserve">Earthquake - high (CA, Cascadia, New Madrid)</t>
        </is>
      </c>
      <c r="T488" s="36">
        <f>IF($A488="","",IF($S488="","",IFERROR(INDEX('[1]natural catastrophe'!$D$6:$D$17,MATCH($S488,'[1]natural catastrophe'!$B$6:$B$17,0)),"?")))</f>
      </c>
      <c r="U488" s="46" t="inlineStr">
        <is>
          <t xml:space="preserve">$5,000</t>
        </is>
      </c>
      <c r="V488" s="48" t="inlineStr">
        <is>
          <t xml:space="preserve">Agreed Value</t>
        </is>
      </c>
      <c r="W488" s="46" t="inlineStr">
        <is>
          <t xml:space="preserve">$1,000</t>
        </is>
      </c>
      <c r="X488" s="48" t="inlineStr">
        <is>
          <t xml:space="preserve">$1,000,000 CSL</t>
        </is>
      </c>
      <c r="Y488" s="46"/>
      <c r="Z488" s="46"/>
      <c r="AA488" s="48" t="inlineStr">
        <is>
          <t xml:space="preserve">Surplus Lines</t>
        </is>
      </c>
      <c r="AB488" s="50">
        <v>8927.06</v>
      </c>
      <c r="AC488" s="51">
        <v>0</v>
      </c>
      <c r="AD488" s="38">
        <f>IF(ISNUMBER($AB488),$AB488*(1+N($AC488)),"")</f>
      </c>
      <c r="AE488" s="50">
        <v>350</v>
      </c>
      <c r="AF488" s="50">
        <v>0</v>
      </c>
      <c r="AG488" s="51"/>
      <c r="AH488" s="39">
        <f>IF(ISNUMBER($AD488),($AD488+$AE488+$AF488)*$AG488,"")</f>
      </c>
      <c r="AI488" s="50"/>
      <c r="AJ488" s="38">
        <f>IF(ISNUMBER($AD488),SUM($AD488:$AH488),"")</f>
      </c>
      <c r="AK488" s="40">
        <f>IF(AND(ISNUMBER($AB488),ISNUMBER($AD488)),IF($AB488&gt;0,$AD488/$AB488,""),"")</f>
      </c>
      <c r="AL488" s="48" t="inlineStr">
        <is>
          <t xml:space="preserve">At technical</t>
        </is>
      </c>
      <c r="AM488" s="41">
        <f>IF(ISNUMBER($AD488),Header!$I$3,"")</f>
      </c>
      <c r="AN488" s="39">
        <f>IF(ISNUMBER($AD488),$AO488+$AP488,"")</f>
      </c>
      <c r="AO488" s="39">
        <f>IF(ISNUMBER($AD488),ROUND($AD488*Header!$K$3,2),"")</f>
      </c>
      <c r="AP488" s="39">
        <f>IF(ISNUMBER($AD488),ROUND($AD488*Header!$M$3,2),"")</f>
      </c>
      <c r="AQ488" s="38">
        <f>IF(ISNUMBER($AD488),ROUND($AD488,2)-$AO488-$AP488,"")</f>
      </c>
      <c r="AR488" s="39">
        <f>IF(ISNUMBER($AD488),IF(Header!$D$34="","?",$AD488*Header!$D$34),"")</f>
      </c>
      <c r="AS488" s="39">
        <f>IF(ISNUMBER($AB488),IF(Header!$D$34="","?",$AB488*Header!$D$34),"")</f>
      </c>
      <c r="AT488" s="42">
        <f>IF(AND(ISNUMBER($AB488),$M488&gt;0),$AB488/$M488*100,"")</f>
      </c>
      <c r="AU488" s="42">
        <f>IF(AND(ISNUMBER($AD488),$M488&gt;0),$AD488/$M488*100,"")</f>
      </c>
      <c r="AV488" s="40">
        <f>IF(AND(ISNUMBER($AB488),ISNUMBER($AD488),ABS($AB488)&gt;0),$AD488/$AB488,"")</f>
      </c>
      <c r="AW488" s="39">
        <f>IF(ISNUMBER($AD488),MAX(0,(1-0.55-Header!$O$3)*Header!$Q$3*$AQ488),"")</f>
      </c>
      <c r="AX488" s="43">
        <f>IF($A488="","",IF(TRIM(IF($A488="","Missing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",""))="","PASS","FAIL: "&amp;TRIM(IF($A488="","Missing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f>
      </c>
      <c r="AY488" s="44">
        <f>IF($M488="","",IF(ISNUMBER($M488),IF($M488&gt;=Header!$C$18,"YES — refer","No"),""))</f>
      </c>
      <c r="AZ488" s="44">
        <f>IF($AD488="","",IF(ISNUMBER($AD488),IF($AD488&lt;Header!$C$20,"BELOW MIN PREMIUM","OK"),""))</f>
      </c>
      <c r="BA488" s="48" t="inlineStr">
        <is>
          <t xml:space="preserve">Yes</t>
        </is>
      </c>
      <c r="BB488" s="48" t="inlineStr">
        <is>
          <t xml:space="preserve">Yes</t>
        </is>
      </c>
      <c r="BC488" s="46" t="inlineStr">
        <is>
          <t xml:space="preserve">Synthetic demo data</t>
        </is>
      </c>
      <c r="BE488" s="45">
        <f>IF(OR($A488="",$L488="",$H488=""),"",IF(AND(LEFT($L488,2)="06",$H488&gt;1945),"FAIL - pre-war class, year "&amp;$H488,IF(AND(LEFT($L488,2)="07",OR($H488&lt;1946,$H488&gt;1972)),"FAIL - 1946-72 class, year "&amp;$H488,IF(AND(LEFT($L488,2)="08",OR($H488&lt;1973,$H488&gt;1999)),"FAIL - 1973-99 class, year "&amp;$H488,IF(AND(LEFT($L488,2)="09",OR($H488&lt;2000,$H488&gt;2010)),"FAIL - 2000-10 class, year "&amp;$H488,"OK")))))</f>
      </c>
      <c r="BF488" s="45">
        <f>IF($AD488="","",IF(ROUND($AO488+$AP488+$AQ488-$AD488,2)=0,"OK","FAIL - out by "&amp;TEXT($AO488+$AP488+$AQ488-$AD488,"$0.00")))</f>
      </c>
    </row>
    <row r="489" spans="1:58" ht="18.75" customHeight="1" x14ac:dyDescent="0.25">
      <c r="A489" s="30" t="inlineStr">
        <is>
          <t xml:space="preserve">CANON-202606-009064</t>
        </is>
      </c>
      <c r="B489" s="30" t="inlineStr">
        <is>
          <t xml:space="preserve">Delphine Merriweather</t>
        </is>
      </c>
      <c r="C489" s="31">
        <v>46197</v>
      </c>
      <c r="D489" s="32" t="inlineStr">
        <is>
          <t xml:space="preserve">Bound - within authority</t>
        </is>
      </c>
      <c r="E489" s="32" t="inlineStr">
        <is>
          <t xml:space="preserve">New business</t>
        </is>
      </c>
      <c r="F489" s="30" t="inlineStr">
        <is>
          <t xml:space="preserve">B1234EXOTIC26</t>
        </is>
      </c>
      <c r="G489" s="33">
        <f>IF($A489="","",IF($C489="","",YEAR($C489)))</f>
      </c>
      <c r="H489" s="34">
        <v>2016</v>
      </c>
      <c r="I489" s="30" t="inlineStr">
        <is>
          <t xml:space="preserve">Mercedes-Benz</t>
        </is>
      </c>
      <c r="J489" s="30" t="inlineStr">
        <is>
          <t xml:space="preserve">280SL Pagoda</t>
        </is>
      </c>
      <c r="K489" s="30" t="inlineStr">
        <is>
          <t xml:space="preserve">BGAALYKNL8W1XVNX3</t>
        </is>
      </c>
      <c r="L489" s="32" t="inlineStr">
        <is>
          <t xml:space="preserve">02 - Sports / GT</t>
        </is>
      </c>
      <c r="M489" s="35">
        <v>445000</v>
      </c>
      <c r="N489" s="32" t="inlineStr">
        <is>
          <t xml:space="preserve">Personal</t>
        </is>
      </c>
      <c r="O489" s="30" t="inlineStr">
        <is>
          <t xml:space="preserve">Personal - regular use</t>
        </is>
      </c>
      <c r="P489" s="30" t="inlineStr">
        <is>
          <t xml:space="preserve">Under 1,000</t>
        </is>
      </c>
      <c r="Q489" s="30" t="inlineStr">
        <is>
          <t xml:space="preserve">Wyoming</t>
        </is>
      </c>
      <c r="R489" s="30" t="inlineStr">
        <is>
          <t xml:space="preserve">82001</t>
        </is>
      </c>
      <c r="S489" s="32" t="inlineStr">
        <is>
          <t xml:space="preserve">Severe convective - hail alley (high)</t>
        </is>
      </c>
      <c r="T489" s="36">
        <f>IF($A489="","",IF($S489="","",IFERROR(INDEX('[1]natural catastrophe'!$D$6:$D$17,MATCH($S489,'[1]natural catastrophe'!$B$6:$B$17,0)),"?")))</f>
      </c>
      <c r="U489" s="30" t="inlineStr">
        <is>
          <t xml:space="preserve">$5,000</t>
        </is>
      </c>
      <c r="V489" s="32" t="inlineStr">
        <is>
          <t xml:space="preserve">Agreed Value</t>
        </is>
      </c>
      <c r="W489" s="30" t="inlineStr">
        <is>
          <t xml:space="preserve">$1,000</t>
        </is>
      </c>
      <c r="X489" s="32" t="inlineStr">
        <is>
          <t xml:space="preserve">$1,000,000 CSL</t>
        </is>
      </c>
      <c r="Y489" s="30"/>
      <c r="Z489" s="30"/>
      <c r="AA489" s="32" t="inlineStr">
        <is>
          <t xml:space="preserve">Surplus Lines</t>
        </is>
      </c>
      <c r="AB489" s="35">
        <v>3298.05</v>
      </c>
      <c r="AC489" s="37">
        <v>0</v>
      </c>
      <c r="AD489" s="38">
        <f>IF(ISNUMBER($AB489),$AB489*(1+N($AC489)),"")</f>
      </c>
      <c r="AE489" s="35">
        <v>350</v>
      </c>
      <c r="AF489" s="35">
        <v>0</v>
      </c>
      <c r="AG489" s="37"/>
      <c r="AH489" s="39">
        <f>IF(ISNUMBER($AD489),($AD489+$AE489+$AF489)*$AG489,"")</f>
      </c>
      <c r="AI489" s="35"/>
      <c r="AJ489" s="38">
        <f>IF(ISNUMBER($AD489),SUM($AD489:$AH489),"")</f>
      </c>
      <c r="AK489" s="40">
        <f>IF(AND(ISNUMBER($AB489),ISNUMBER($AD489)),IF($AB489&gt;0,$AD489/$AB489,""),"")</f>
      </c>
      <c r="AL489" s="32" t="inlineStr">
        <is>
          <t xml:space="preserve">At technical</t>
        </is>
      </c>
      <c r="AM489" s="41">
        <f>IF(ISNUMBER($AD489),Header!$I$3,"")</f>
      </c>
      <c r="AN489" s="39">
        <f>IF(ISNUMBER($AD489),$AO489+$AP489,"")</f>
      </c>
      <c r="AO489" s="39">
        <f>IF(ISNUMBER($AD489),ROUND($AD489*Header!$K$3,2),"")</f>
      </c>
      <c r="AP489" s="39">
        <f>IF(ISNUMBER($AD489),ROUND($AD489*Header!$M$3,2),"")</f>
      </c>
      <c r="AQ489" s="38">
        <f>IF(ISNUMBER($AD489),ROUND($AD489,2)-$AO489-$AP489,"")</f>
      </c>
      <c r="AR489" s="39">
        <f>IF(ISNUMBER($AD489),IF(Header!$D$34="","?",$AD489*Header!$D$34),"")</f>
      </c>
      <c r="AS489" s="39">
        <f>IF(ISNUMBER($AB489),IF(Header!$D$34="","?",$AB489*Header!$D$34),"")</f>
      </c>
      <c r="AT489" s="42">
        <f>IF(AND(ISNUMBER($AB489),$M489&gt;0),$AB489/$M489*100,"")</f>
      </c>
      <c r="AU489" s="42">
        <f>IF(AND(ISNUMBER($AD489),$M489&gt;0),$AD489/$M489*100,"")</f>
      </c>
      <c r="AV489" s="40">
        <f>IF(AND(ISNUMBER($AB489),ISNUMBER($AD489),ABS($AB489)&gt;0),$AD489/$AB489,"")</f>
      </c>
      <c r="AW489" s="39">
        <f>IF(ISNUMBER($AD489),MAX(0,(1-0.55-Header!$O$3)*Header!$Q$3*$AQ489),"")</f>
      </c>
      <c r="AX489" s="43">
        <f>IF($A489="","",IF(TRIM(IF($A489="","Missing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",""))="","PASS","FAIL: "&amp;TRIM(IF($A489="","Missing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f>
      </c>
      <c r="AY489" s="44">
        <f>IF($M489="","",IF(ISNUMBER($M489),IF($M489&gt;=Header!$C$18,"YES — refer","No"),""))</f>
      </c>
      <c r="AZ489" s="44">
        <f>IF($AD489="","",IF(ISNUMBER($AD489),IF($AD489&lt;Header!$C$20,"BELOW MIN PREMIUM","OK"),""))</f>
      </c>
      <c r="BA489" s="32" t="inlineStr">
        <is>
          <t xml:space="preserve">Yes</t>
        </is>
      </c>
      <c r="BB489" s="32" t="inlineStr">
        <is>
          <t xml:space="preserve">Yes</t>
        </is>
      </c>
      <c r="BC489" s="30" t="inlineStr">
        <is>
          <t xml:space="preserve">Synthetic demo data</t>
        </is>
      </c>
      <c r="BE489" s="45">
        <f>IF(OR($A489="",$L489="",$H489=""),"",IF(AND(LEFT($L489,2)="06",$H489&gt;1945),"FAIL - pre-war class, year "&amp;$H489,IF(AND(LEFT($L489,2)="07",OR($H489&lt;1946,$H489&gt;1972)),"FAIL - 1946-72 class, year "&amp;$H489,IF(AND(LEFT($L489,2)="08",OR($H489&lt;1973,$H489&gt;1999)),"FAIL - 1973-99 class, year "&amp;$H489,IF(AND(LEFT($L489,2)="09",OR($H489&lt;2000,$H489&gt;2010)),"FAIL - 2000-10 class, year "&amp;$H489,"OK")))))</f>
      </c>
      <c r="BF489" s="45">
        <f>IF($AD489="","",IF(ROUND($AO489+$AP489+$AQ489-$AD489,2)=0,"OK","FAIL - out by "&amp;TEXT($AO489+$AP489+$AQ489-$AD489,"$0.00")))</f>
      </c>
    </row>
    <row r="490" spans="1:58" ht="18.75" customHeight="1" x14ac:dyDescent="0.25">
      <c r="A490" s="46" t="inlineStr">
        <is>
          <t xml:space="preserve">CANON-202606-009065</t>
        </is>
      </c>
      <c r="B490" s="46" t="inlineStr">
        <is>
          <t xml:space="preserve">Noor Montoya</t>
        </is>
      </c>
      <c r="C490" s="47">
        <v>46174</v>
      </c>
      <c r="D490" s="48" t="inlineStr">
        <is>
          <t xml:space="preserve">Bound - within authority</t>
        </is>
      </c>
      <c r="E490" s="48" t="inlineStr">
        <is>
          <t xml:space="preserve">New business</t>
        </is>
      </c>
      <c r="F490" s="46" t="inlineStr">
        <is>
          <t xml:space="preserve">B1234EXOTIC26</t>
        </is>
      </c>
      <c r="G490" s="33">
        <f>IF($A490="","",IF($C490="","",YEAR($C490)))</f>
      </c>
      <c r="H490" s="49">
        <v>2012</v>
      </c>
      <c r="I490" s="46" t="inlineStr">
        <is>
          <t xml:space="preserve">Mercedes-Benz</t>
        </is>
      </c>
      <c r="J490" s="46" t="inlineStr">
        <is>
          <t xml:space="preserve">280SL Pagoda</t>
        </is>
      </c>
      <c r="K490" s="46" t="inlineStr">
        <is>
          <t xml:space="preserve">EP0S1996355790KKD</t>
        </is>
      </c>
      <c r="L490" s="48" t="inlineStr">
        <is>
          <t xml:space="preserve">02 - Sports / GT</t>
        </is>
      </c>
      <c r="M490" s="50">
        <v>420000</v>
      </c>
      <c r="N490" s="48" t="inlineStr">
        <is>
          <t xml:space="preserve">Personal</t>
        </is>
      </c>
      <c r="O490" s="46" t="inlineStr">
        <is>
          <t xml:space="preserve">Personal - regular use</t>
        </is>
      </c>
      <c r="P490" s="46" t="inlineStr">
        <is>
          <t xml:space="preserve">Under 1,000</t>
        </is>
      </c>
      <c r="Q490" s="46" t="inlineStr">
        <is>
          <t xml:space="preserve">Oregon</t>
        </is>
      </c>
      <c r="R490" s="46" t="inlineStr">
        <is>
          <t xml:space="preserve">97204</t>
        </is>
      </c>
      <c r="S490" s="48" t="inlineStr">
        <is>
          <t xml:space="preserve">Earthquake - high (CA, Cascadia, New Madrid)</t>
        </is>
      </c>
      <c r="T490" s="36">
        <f>IF($A490="","",IF($S490="","",IFERROR(INDEX('[1]natural catastrophe'!$D$6:$D$17,MATCH($S490,'[1]natural catastrophe'!$B$6:$B$17,0)),"?")))</f>
      </c>
      <c r="U490" s="46" t="inlineStr">
        <is>
          <t xml:space="preserve">$5,000</t>
        </is>
      </c>
      <c r="V490" s="48" t="inlineStr">
        <is>
          <t xml:space="preserve">Agreed Value</t>
        </is>
      </c>
      <c r="W490" s="46" t="inlineStr">
        <is>
          <t xml:space="preserve">$1,000</t>
        </is>
      </c>
      <c r="X490" s="48" t="inlineStr">
        <is>
          <t xml:space="preserve">$1,000,000 CSL</t>
        </is>
      </c>
      <c r="Y490" s="46"/>
      <c r="Z490" s="46"/>
      <c r="AA490" s="48" t="inlineStr">
        <is>
          <t xml:space="preserve">Surplus Lines</t>
        </is>
      </c>
      <c r="AB490" s="50">
        <v>3287.31</v>
      </c>
      <c r="AC490" s="51">
        <v>0</v>
      </c>
      <c r="AD490" s="38">
        <f>IF(ISNUMBER($AB490),$AB490*(1+N($AC490)),"")</f>
      </c>
      <c r="AE490" s="50">
        <v>350</v>
      </c>
      <c r="AF490" s="50">
        <v>0</v>
      </c>
      <c r="AG490" s="51"/>
      <c r="AH490" s="39">
        <f>IF(ISNUMBER($AD490),($AD490+$AE490+$AF490)*$AG490,"")</f>
      </c>
      <c r="AI490" s="50"/>
      <c r="AJ490" s="38">
        <f>IF(ISNUMBER($AD490),SUM($AD490:$AH490),"")</f>
      </c>
      <c r="AK490" s="40">
        <f>IF(AND(ISNUMBER($AB490),ISNUMBER($AD490)),IF($AB490&gt;0,$AD490/$AB490,""),"")</f>
      </c>
      <c r="AL490" s="48" t="inlineStr">
        <is>
          <t xml:space="preserve">At technical</t>
        </is>
      </c>
      <c r="AM490" s="41">
        <f>IF(ISNUMBER($AD490),Header!$I$3,"")</f>
      </c>
      <c r="AN490" s="39">
        <f>IF(ISNUMBER($AD490),$AO490+$AP490,"")</f>
      </c>
      <c r="AO490" s="39">
        <f>IF(ISNUMBER($AD490),ROUND($AD490*Header!$K$3,2),"")</f>
      </c>
      <c r="AP490" s="39">
        <f>IF(ISNUMBER($AD490),ROUND($AD490*Header!$M$3,2),"")</f>
      </c>
      <c r="AQ490" s="38">
        <f>IF(ISNUMBER($AD490),ROUND($AD490,2)-$AO490-$AP490,"")</f>
      </c>
      <c r="AR490" s="39">
        <f>IF(ISNUMBER($AD490),IF(Header!$D$34="","?",$AD490*Header!$D$34),"")</f>
      </c>
      <c r="AS490" s="39">
        <f>IF(ISNUMBER($AB490),IF(Header!$D$34="","?",$AB490*Header!$D$34),"")</f>
      </c>
      <c r="AT490" s="42">
        <f>IF(AND(ISNUMBER($AB490),$M490&gt;0),$AB490/$M490*100,"")</f>
      </c>
      <c r="AU490" s="42">
        <f>IF(AND(ISNUMBER($AD490),$M490&gt;0),$AD490/$M490*100,"")</f>
      </c>
      <c r="AV490" s="40">
        <f>IF(AND(ISNUMBER($AB490),ISNUMBER($AD490),ABS($AB490)&gt;0),$AD490/$AB490,"")</f>
      </c>
      <c r="AW490" s="39">
        <f>IF(ISNUMBER($AD490),MAX(0,(1-0.55-Header!$O$3)*Header!$Q$3*$AQ490),"")</f>
      </c>
      <c r="AX490" s="43">
        <f>IF($A490="","",IF(TRIM(IF($A490="","Missing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",""))="","PASS","FAIL: "&amp;TRIM(IF($A490="","Missing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f>
      </c>
      <c r="AY490" s="44">
        <f>IF($M490="","",IF(ISNUMBER($M490),IF($M490&gt;=Header!$C$18,"YES — refer","No"),""))</f>
      </c>
      <c r="AZ490" s="44">
        <f>IF($AD490="","",IF(ISNUMBER($AD490),IF($AD490&lt;Header!$C$20,"BELOW MIN PREMIUM","OK"),""))</f>
      </c>
      <c r="BA490" s="48" t="inlineStr">
        <is>
          <t xml:space="preserve">Yes</t>
        </is>
      </c>
      <c r="BB490" s="48" t="inlineStr">
        <is>
          <t xml:space="preserve">Yes</t>
        </is>
      </c>
      <c r="BC490" s="46" t="inlineStr">
        <is>
          <t xml:space="preserve">Synthetic demo data</t>
        </is>
      </c>
      <c r="BE490" s="45">
        <f>IF(OR($A490="",$L490="",$H490=""),"",IF(AND(LEFT($L490,2)="06",$H490&gt;1945),"FAIL - pre-war class, year "&amp;$H490,IF(AND(LEFT($L490,2)="07",OR($H490&lt;1946,$H490&gt;1972)),"FAIL - 1946-72 class, year "&amp;$H490,IF(AND(LEFT($L490,2)="08",OR($H490&lt;1973,$H490&gt;1999)),"FAIL - 1973-99 class, year "&amp;$H490,IF(AND(LEFT($L490,2)="09",OR($H490&lt;2000,$H490&gt;2010)),"FAIL - 2000-10 class, year "&amp;$H490,"OK")))))</f>
      </c>
      <c r="BF490" s="45">
        <f>IF($AD490="","",IF(ROUND($AO490+$AP490+$AQ490-$AD490,2)=0,"OK","FAIL - out by "&amp;TEXT($AO490+$AP490+$AQ490-$AD490,"$0.00")))</f>
      </c>
    </row>
    <row r="491" spans="1:58" ht="18.75" customHeight="1" x14ac:dyDescent="0.25">
      <c r="A491" s="30" t="inlineStr">
        <is>
          <t xml:space="preserve">CANON-202606-009067</t>
        </is>
      </c>
      <c r="B491" s="30" t="inlineStr">
        <is>
          <t xml:space="preserve">Sunniva Montoya</t>
        </is>
      </c>
      <c r="C491" s="31">
        <v>46200</v>
      </c>
      <c r="D491" s="32" t="inlineStr">
        <is>
          <t xml:space="preserve">Bound - within authority</t>
        </is>
      </c>
      <c r="E491" s="32" t="inlineStr">
        <is>
          <t xml:space="preserve">New business</t>
        </is>
      </c>
      <c r="F491" s="30" t="inlineStr">
        <is>
          <t xml:space="preserve">B1234EXOTIC26</t>
        </is>
      </c>
      <c r="G491" s="33">
        <f>IF($A491="","",IF($C491="","",YEAR($C491)))</f>
      </c>
      <c r="H491" s="34">
        <v>1986</v>
      </c>
      <c r="I491" s="30" t="inlineStr">
        <is>
          <t xml:space="preserve">Porsche</t>
        </is>
      </c>
      <c r="J491" s="30" t="inlineStr">
        <is>
          <t xml:space="preserve">911 Turbo S</t>
        </is>
      </c>
      <c r="K491" s="30" t="inlineStr">
        <is>
          <t xml:space="preserve">79WVA3J4MW927VEXH</t>
        </is>
      </c>
      <c r="L491" s="32" t="inlineStr">
        <is>
          <t xml:space="preserve">02 - Sports / GT</t>
        </is>
      </c>
      <c r="M491" s="35">
        <v>715000</v>
      </c>
      <c r="N491" s="32" t="inlineStr">
        <is>
          <t xml:space="preserve">Personal</t>
        </is>
      </c>
      <c r="O491" s="30" t="inlineStr">
        <is>
          <t xml:space="preserve">Personal - regular use</t>
        </is>
      </c>
      <c r="P491" s="30" t="inlineStr">
        <is>
          <t xml:space="preserve">2,500 - 5,000</t>
        </is>
      </c>
      <c r="Q491" s="30" t="inlineStr">
        <is>
          <t xml:space="preserve">Michigan</t>
        </is>
      </c>
      <c r="R491" s="30" t="inlineStr">
        <is>
          <t xml:space="preserve">48226</t>
        </is>
      </c>
      <c r="S491" s="32" t="inlineStr">
        <is>
          <t xml:space="preserve">Severe convective - hail / tornado (moderate)</t>
        </is>
      </c>
      <c r="T491" s="36">
        <f>IF($A491="","",IF($S491="","",IFERROR(INDEX('[1]natural catastrophe'!$D$6:$D$17,MATCH($S491,'[1]natural catastrophe'!$B$6:$B$17,0)),"?")))</f>
      </c>
      <c r="U491" s="30" t="inlineStr">
        <is>
          <t xml:space="preserve">$5,000</t>
        </is>
      </c>
      <c r="V491" s="32" t="inlineStr">
        <is>
          <t xml:space="preserve">Agreed Value</t>
        </is>
      </c>
      <c r="W491" s="30" t="inlineStr">
        <is>
          <t xml:space="preserve">$1,000</t>
        </is>
      </c>
      <c r="X491" s="32" t="inlineStr">
        <is>
          <t xml:space="preserve">$1,000,000 CSL</t>
        </is>
      </c>
      <c r="Y491" s="30"/>
      <c r="Z491" s="30"/>
      <c r="AA491" s="32" t="inlineStr">
        <is>
          <t xml:space="preserve">Surplus Lines</t>
        </is>
      </c>
      <c r="AB491" s="35">
        <v>10394.97</v>
      </c>
      <c r="AC491" s="37">
        <v>0</v>
      </c>
      <c r="AD491" s="38">
        <f>IF(ISNUMBER($AB491),$AB491*(1+N($AC491)),"")</f>
      </c>
      <c r="AE491" s="35">
        <v>350</v>
      </c>
      <c r="AF491" s="35">
        <v>0</v>
      </c>
      <c r="AG491" s="37"/>
      <c r="AH491" s="39">
        <f>IF(ISNUMBER($AD491),($AD491+$AE491+$AF491)*$AG491,"")</f>
      </c>
      <c r="AI491" s="35"/>
      <c r="AJ491" s="38">
        <f>IF(ISNUMBER($AD491),SUM($AD491:$AH491),"")</f>
      </c>
      <c r="AK491" s="40">
        <f>IF(AND(ISNUMBER($AB491),ISNUMBER($AD491)),IF($AB491&gt;0,$AD491/$AB491,""),"")</f>
      </c>
      <c r="AL491" s="32" t="inlineStr">
        <is>
          <t xml:space="preserve">At technical</t>
        </is>
      </c>
      <c r="AM491" s="41">
        <f>IF(ISNUMBER($AD491),Header!$I$3,"")</f>
      </c>
      <c r="AN491" s="39">
        <f>IF(ISNUMBER($AD491),$AO491+$AP491,"")</f>
      </c>
      <c r="AO491" s="39">
        <f>IF(ISNUMBER($AD491),ROUND($AD491*Header!$K$3,2),"")</f>
      </c>
      <c r="AP491" s="39">
        <f>IF(ISNUMBER($AD491),ROUND($AD491*Header!$M$3,2),"")</f>
      </c>
      <c r="AQ491" s="38">
        <f>IF(ISNUMBER($AD491),ROUND($AD491,2)-$AO491-$AP491,"")</f>
      </c>
      <c r="AR491" s="39">
        <f>IF(ISNUMBER($AD491),IF(Header!$D$34="","?",$AD491*Header!$D$34),"")</f>
      </c>
      <c r="AS491" s="39">
        <f>IF(ISNUMBER($AB491),IF(Header!$D$34="","?",$AB491*Header!$D$34),"")</f>
      </c>
      <c r="AT491" s="42">
        <f>IF(AND(ISNUMBER($AB491),$M491&gt;0),$AB491/$M491*100,"")</f>
      </c>
      <c r="AU491" s="42">
        <f>IF(AND(ISNUMBER($AD491),$M491&gt;0),$AD491/$M491*100,"")</f>
      </c>
      <c r="AV491" s="40">
        <f>IF(AND(ISNUMBER($AB491),ISNUMBER($AD491),ABS($AB491)&gt;0),$AD491/$AB491,"")</f>
      </c>
      <c r="AW491" s="39">
        <f>IF(ISNUMBER($AD491),MAX(0,(1-0.55-Header!$O$3)*Header!$Q$3*$AQ491),"")</f>
      </c>
      <c r="AX491" s="43">
        <f>IF($A491="","",IF(TRIM(IF($A491="","Missing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",""))="","PASS","FAIL: "&amp;TRIM(IF($A491="","Missing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f>
      </c>
      <c r="AY491" s="44">
        <f>IF($M491="","",IF(ISNUMBER($M491),IF($M491&gt;=Header!$C$18,"YES — refer","No"),""))</f>
      </c>
      <c r="AZ491" s="44">
        <f>IF($AD491="","",IF(ISNUMBER($AD491),IF($AD491&lt;Header!$C$20,"BELOW MIN PREMIUM","OK"),""))</f>
      </c>
      <c r="BA491" s="32" t="inlineStr">
        <is>
          <t xml:space="preserve">Yes</t>
        </is>
      </c>
      <c r="BB491" s="32" t="inlineStr">
        <is>
          <t xml:space="preserve">Yes</t>
        </is>
      </c>
      <c r="BC491" s="30" t="inlineStr">
        <is>
          <t xml:space="preserve">Synthetic demo data</t>
        </is>
      </c>
      <c r="BE491" s="45">
        <f>IF(OR($A491="",$L491="",$H491=""),"",IF(AND(LEFT($L491,2)="06",$H491&gt;1945),"FAIL - pre-war class, year "&amp;$H491,IF(AND(LEFT($L491,2)="07",OR($H491&lt;1946,$H491&gt;1972)),"FAIL - 1946-72 class, year "&amp;$H491,IF(AND(LEFT($L491,2)="08",OR($H491&lt;1973,$H491&gt;1999)),"FAIL - 1973-99 class, year "&amp;$H491,IF(AND(LEFT($L491,2)="09",OR($H491&lt;2000,$H491&gt;2010)),"FAIL - 2000-10 class, year "&amp;$H491,"OK")))))</f>
      </c>
      <c r="BF491" s="45">
        <f>IF($AD491="","",IF(ROUND($AO491+$AP491+$AQ491-$AD491,2)=0,"OK","FAIL - out by "&amp;TEXT($AO491+$AP491+$AQ491-$AD491,"$0.00")))</f>
      </c>
    </row>
    <row r="492" spans="1:58" ht="18.75" customHeight="1" x14ac:dyDescent="0.25">
      <c r="A492" s="46" t="inlineStr">
        <is>
          <t xml:space="preserve">CANON-202606-009068</t>
        </is>
      </c>
      <c r="B492" s="46" t="inlineStr">
        <is>
          <t xml:space="preserve">Wilhelmina Ashcombe</t>
        </is>
      </c>
      <c r="C492" s="47">
        <v>46180</v>
      </c>
      <c r="D492" s="48" t="inlineStr">
        <is>
          <t xml:space="preserve">Bound - within authority</t>
        </is>
      </c>
      <c r="E492" s="48" t="inlineStr">
        <is>
          <t xml:space="preserve">New business</t>
        </is>
      </c>
      <c r="F492" s="46" t="inlineStr">
        <is>
          <t xml:space="preserve">B1234EXOTIC26</t>
        </is>
      </c>
      <c r="G492" s="33">
        <f>IF($A492="","",IF($C492="","",YEAR($C492)))</f>
      </c>
      <c r="H492" s="49">
        <v>2017</v>
      </c>
      <c r="I492" s="46" t="inlineStr">
        <is>
          <t xml:space="preserve">Aston Martin</t>
        </is>
      </c>
      <c r="J492" s="46" t="inlineStr">
        <is>
          <t xml:space="preserve">DB12</t>
        </is>
      </c>
      <c r="K492" s="46" t="inlineStr">
        <is>
          <t xml:space="preserve">P8R4F1D8C2584RPU0</t>
        </is>
      </c>
      <c r="L492" s="48" t="inlineStr">
        <is>
          <t xml:space="preserve">02 - Sports / GT</t>
        </is>
      </c>
      <c r="M492" s="50">
        <v>860000</v>
      </c>
      <c r="N492" s="48" t="inlineStr">
        <is>
          <t xml:space="preserve">Personal</t>
        </is>
      </c>
      <c r="O492" s="46" t="inlineStr">
        <is>
          <t xml:space="preserve">Personal - regular use</t>
        </is>
      </c>
      <c r="P492" s="46" t="inlineStr">
        <is>
          <t xml:space="preserve">2,500 - 5,000</t>
        </is>
      </c>
      <c r="Q492" s="46" t="inlineStr">
        <is>
          <t xml:space="preserve">New Hampshire</t>
        </is>
      </c>
      <c r="R492" s="46" t="inlineStr">
        <is>
          <t xml:space="preserve">03301</t>
        </is>
      </c>
      <c r="S492" s="48" t="inlineStr">
        <is>
          <t xml:space="preserve">Tier 3 - Coastal wind (25-100 miles)</t>
        </is>
      </c>
      <c r="T492" s="36">
        <f>IF($A492="","",IF($S492="","",IFERROR(INDEX('[1]natural catastrophe'!$D$6:$D$17,MATCH($S492,'[1]natural catastrophe'!$B$6:$B$17,0)),"?")))</f>
      </c>
      <c r="U492" s="46" t="inlineStr">
        <is>
          <t xml:space="preserve">2% of agreed value, minimum $10,000</t>
        </is>
      </c>
      <c r="V492" s="48" t="inlineStr">
        <is>
          <t xml:space="preserve">Agreed Value</t>
        </is>
      </c>
      <c r="W492" s="46" t="inlineStr">
        <is>
          <t xml:space="preserve">$1,000</t>
        </is>
      </c>
      <c r="X492" s="48" t="inlineStr">
        <is>
          <t xml:space="preserve">$1,000,000 CSL</t>
        </is>
      </c>
      <c r="Y492" s="46"/>
      <c r="Z492" s="46"/>
      <c r="AA492" s="48" t="inlineStr">
        <is>
          <t xml:space="preserve">Surplus Lines</t>
        </is>
      </c>
      <c r="AB492" s="50">
        <v>8389.14</v>
      </c>
      <c r="AC492" s="51">
        <v>0</v>
      </c>
      <c r="AD492" s="38">
        <f>IF(ISNUMBER($AB492),$AB492*(1+N($AC492)),"")</f>
      </c>
      <c r="AE492" s="50">
        <v>350</v>
      </c>
      <c r="AF492" s="50">
        <v>0</v>
      </c>
      <c r="AG492" s="51"/>
      <c r="AH492" s="39">
        <f>IF(ISNUMBER($AD492),($AD492+$AE492+$AF492)*$AG492,"")</f>
      </c>
      <c r="AI492" s="50"/>
      <c r="AJ492" s="38">
        <f>IF(ISNUMBER($AD492),SUM($AD492:$AH492),"")</f>
      </c>
      <c r="AK492" s="40">
        <f>IF(AND(ISNUMBER($AB492),ISNUMBER($AD492)),IF($AB492&gt;0,$AD492/$AB492,""),"")</f>
      </c>
      <c r="AL492" s="48" t="inlineStr">
        <is>
          <t xml:space="preserve">At technical</t>
        </is>
      </c>
      <c r="AM492" s="41">
        <f>IF(ISNUMBER($AD492),Header!$I$3,"")</f>
      </c>
      <c r="AN492" s="39">
        <f>IF(ISNUMBER($AD492),$AO492+$AP492,"")</f>
      </c>
      <c r="AO492" s="39">
        <f>IF(ISNUMBER($AD492),ROUND($AD492*Header!$K$3,2),"")</f>
      </c>
      <c r="AP492" s="39">
        <f>IF(ISNUMBER($AD492),ROUND($AD492*Header!$M$3,2),"")</f>
      </c>
      <c r="AQ492" s="38">
        <f>IF(ISNUMBER($AD492),ROUND($AD492,2)-$AO492-$AP492,"")</f>
      </c>
      <c r="AR492" s="39">
        <f>IF(ISNUMBER($AD492),IF(Header!$D$34="","?",$AD492*Header!$D$34),"")</f>
      </c>
      <c r="AS492" s="39">
        <f>IF(ISNUMBER($AB492),IF(Header!$D$34="","?",$AB492*Header!$D$34),"")</f>
      </c>
      <c r="AT492" s="42">
        <f>IF(AND(ISNUMBER($AB492),$M492&gt;0),$AB492/$M492*100,"")</f>
      </c>
      <c r="AU492" s="42">
        <f>IF(AND(ISNUMBER($AD492),$M492&gt;0),$AD492/$M492*100,"")</f>
      </c>
      <c r="AV492" s="40">
        <f>IF(AND(ISNUMBER($AB492),ISNUMBER($AD492),ABS($AB492)&gt;0),$AD492/$AB492,"")</f>
      </c>
      <c r="AW492" s="39">
        <f>IF(ISNUMBER($AD492),MAX(0,(1-0.55-Header!$O$3)*Header!$Q$3*$AQ492),"")</f>
      </c>
      <c r="AX492" s="43">
        <f>IF($A492="","",IF(TRIM(IF($A492="","Missing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",""))="","PASS","FAIL: "&amp;TRIM(IF($A492="","Missing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f>
      </c>
      <c r="AY492" s="44">
        <f>IF($M492="","",IF(ISNUMBER($M492),IF($M492&gt;=Header!$C$18,"YES — refer","No"),""))</f>
      </c>
      <c r="AZ492" s="44">
        <f>IF($AD492="","",IF(ISNUMBER($AD492),IF($AD492&lt;Header!$C$20,"BELOW MIN PREMIUM","OK"),""))</f>
      </c>
      <c r="BA492" s="48" t="inlineStr">
        <is>
          <t xml:space="preserve">Yes</t>
        </is>
      </c>
      <c r="BB492" s="48" t="inlineStr">
        <is>
          <t xml:space="preserve">Yes</t>
        </is>
      </c>
      <c r="BC492" s="46" t="inlineStr">
        <is>
          <t xml:space="preserve">Synthetic demo data</t>
        </is>
      </c>
      <c r="BE492" s="45">
        <f>IF(OR($A492="",$L492="",$H492=""),"",IF(AND(LEFT($L492,2)="06",$H492&gt;1945),"FAIL - pre-war class, year "&amp;$H492,IF(AND(LEFT($L492,2)="07",OR($H492&lt;1946,$H492&gt;1972)),"FAIL - 1946-72 class, year "&amp;$H492,IF(AND(LEFT($L492,2)="08",OR($H492&lt;1973,$H492&gt;1999)),"FAIL - 1973-99 class, year "&amp;$H492,IF(AND(LEFT($L492,2)="09",OR($H492&lt;2000,$H492&gt;2010)),"FAIL - 2000-10 class, year "&amp;$H492,"OK")))))</f>
      </c>
      <c r="BF492" s="45">
        <f>IF($AD492="","",IF(ROUND($AO492+$AP492+$AQ492-$AD492,2)=0,"OK","FAIL - out by "&amp;TEXT($AO492+$AP492+$AQ492-$AD492,"$0.00")))</f>
      </c>
    </row>
    <row r="493" spans="1:58" ht="18.75" customHeight="1" x14ac:dyDescent="0.25">
      <c r="A493" s="30" t="inlineStr">
        <is>
          <t xml:space="preserve">CANON-202606-009069</t>
        </is>
      </c>
      <c r="B493" s="30" t="inlineStr">
        <is>
          <t xml:space="preserve">Aurelio Whitlock</t>
        </is>
      </c>
      <c r="C493" s="31">
        <v>46200</v>
      </c>
      <c r="D493" s="32" t="inlineStr">
        <is>
          <t xml:space="preserve">Bound - within authority</t>
        </is>
      </c>
      <c r="E493" s="32" t="inlineStr">
        <is>
          <t xml:space="preserve">New business</t>
        </is>
      </c>
      <c r="F493" s="30" t="inlineStr">
        <is>
          <t xml:space="preserve">B1234EXOTIC26</t>
        </is>
      </c>
      <c r="G493" s="33">
        <f>IF($A493="","",IF($C493="","",YEAR($C493)))</f>
      </c>
      <c r="H493" s="34">
        <v>1973</v>
      </c>
      <c r="I493" s="30" t="inlineStr">
        <is>
          <t xml:space="preserve">Ferrari</t>
        </is>
      </c>
      <c r="J493" s="30" t="inlineStr">
        <is>
          <t xml:space="preserve">296 GTB</t>
        </is>
      </c>
      <c r="K493" s="30" t="inlineStr">
        <is>
          <t xml:space="preserve">ZJ678P0YZJ3KH2P30</t>
        </is>
      </c>
      <c r="L493" s="32" t="inlineStr">
        <is>
          <t xml:space="preserve">03 - Supercar</t>
        </is>
      </c>
      <c r="M493" s="35">
        <v>615000</v>
      </c>
      <c r="N493" s="32" t="inlineStr">
        <is>
          <t xml:space="preserve">Personal</t>
        </is>
      </c>
      <c r="O493" s="30" t="inlineStr">
        <is>
          <t xml:space="preserve">Personal - regular use</t>
        </is>
      </c>
      <c r="P493" s="30" t="inlineStr">
        <is>
          <t xml:space="preserve">1,000 - 2,500</t>
        </is>
      </c>
      <c r="Q493" s="30" t="inlineStr">
        <is>
          <t xml:space="preserve">South Carolina</t>
        </is>
      </c>
      <c r="R493" s="30" t="inlineStr">
        <is>
          <t xml:space="preserve">29401</t>
        </is>
      </c>
      <c r="S493" s="32" t="inlineStr">
        <is>
          <t xml:space="preserve">Tier 2 - Coastal wind (1-25 miles)</t>
        </is>
      </c>
      <c r="T493" s="36">
        <f>IF($A493="","",IF($S493="","",IFERROR(INDEX('[1]natural catastrophe'!$D$6:$D$17,MATCH($S493,'[1]natural catastrophe'!$B$6:$B$17,0)),"?")))</f>
      </c>
      <c r="U493" s="30" t="inlineStr">
        <is>
          <t xml:space="preserve">2% of agreed value, minimum $10,000</t>
        </is>
      </c>
      <c r="V493" s="32" t="inlineStr">
        <is>
          <t xml:space="preserve">Agreed Value</t>
        </is>
      </c>
      <c r="W493" s="30" t="inlineStr">
        <is>
          <t xml:space="preserve">$1,000</t>
        </is>
      </c>
      <c r="X493" s="32" t="inlineStr">
        <is>
          <t xml:space="preserve">$1,000,000 CSL</t>
        </is>
      </c>
      <c r="Y493" s="30"/>
      <c r="Z493" s="30"/>
      <c r="AA493" s="32" t="inlineStr">
        <is>
          <t xml:space="preserve">Surplus Lines</t>
        </is>
      </c>
      <c r="AB493" s="35">
        <v>10454.24</v>
      </c>
      <c r="AC493" s="37">
        <v>0</v>
      </c>
      <c r="AD493" s="38">
        <f>IF(ISNUMBER($AB493),$AB493*(1+N($AC493)),"")</f>
      </c>
      <c r="AE493" s="35">
        <v>350</v>
      </c>
      <c r="AF493" s="35">
        <v>0</v>
      </c>
      <c r="AG493" s="37"/>
      <c r="AH493" s="39">
        <f>IF(ISNUMBER($AD493),($AD493+$AE493+$AF493)*$AG493,"")</f>
      </c>
      <c r="AI493" s="35"/>
      <c r="AJ493" s="38">
        <f>IF(ISNUMBER($AD493),SUM($AD493:$AH493),"")</f>
      </c>
      <c r="AK493" s="40">
        <f>IF(AND(ISNUMBER($AB493),ISNUMBER($AD493)),IF($AB493&gt;0,$AD493/$AB493,""),"")</f>
      </c>
      <c r="AL493" s="32" t="inlineStr">
        <is>
          <t xml:space="preserve">At technical</t>
        </is>
      </c>
      <c r="AM493" s="41">
        <f>IF(ISNUMBER($AD493),Header!$I$3,"")</f>
      </c>
      <c r="AN493" s="39">
        <f>IF(ISNUMBER($AD493),$AO493+$AP493,"")</f>
      </c>
      <c r="AO493" s="39">
        <f>IF(ISNUMBER($AD493),ROUND($AD493*Header!$K$3,2),"")</f>
      </c>
      <c r="AP493" s="39">
        <f>IF(ISNUMBER($AD493),ROUND($AD493*Header!$M$3,2),"")</f>
      </c>
      <c r="AQ493" s="38">
        <f>IF(ISNUMBER($AD493),ROUND($AD493,2)-$AO493-$AP493,"")</f>
      </c>
      <c r="AR493" s="39">
        <f>IF(ISNUMBER($AD493),IF(Header!$D$34="","?",$AD493*Header!$D$34),"")</f>
      </c>
      <c r="AS493" s="39">
        <f>IF(ISNUMBER($AB493),IF(Header!$D$34="","?",$AB493*Header!$D$34),"")</f>
      </c>
      <c r="AT493" s="42">
        <f>IF(AND(ISNUMBER($AB493),$M493&gt;0),$AB493/$M493*100,"")</f>
      </c>
      <c r="AU493" s="42">
        <f>IF(AND(ISNUMBER($AD493),$M493&gt;0),$AD493/$M493*100,"")</f>
      </c>
      <c r="AV493" s="40">
        <f>IF(AND(ISNUMBER($AB493),ISNUMBER($AD493),ABS($AB493)&gt;0),$AD493/$AB493,"")</f>
      </c>
      <c r="AW493" s="39">
        <f>IF(ISNUMBER($AD493),MAX(0,(1-0.55-Header!$O$3)*Header!$Q$3*$AQ493),"")</f>
      </c>
      <c r="AX493" s="43">
        <f>IF($A493="","",IF(TRIM(IF($A493="","Missing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",""))="","PASS","FAIL: "&amp;TRIM(IF($A493="","Missing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f>
      </c>
      <c r="AY493" s="44">
        <f>IF($M493="","",IF(ISNUMBER($M493),IF($M493&gt;=Header!$C$18,"YES — refer","No"),""))</f>
      </c>
      <c r="AZ493" s="44">
        <f>IF($AD493="","",IF(ISNUMBER($AD493),IF($AD493&lt;Header!$C$20,"BELOW MIN PREMIUM","OK"),""))</f>
      </c>
      <c r="BA493" s="32" t="inlineStr">
        <is>
          <t xml:space="preserve">Yes</t>
        </is>
      </c>
      <c r="BB493" s="32" t="inlineStr">
        <is>
          <t xml:space="preserve">Yes</t>
        </is>
      </c>
      <c r="BC493" s="30" t="inlineStr">
        <is>
          <t xml:space="preserve">Synthetic demo data</t>
        </is>
      </c>
      <c r="BE493" s="45">
        <f>IF(OR($A493="",$L493="",$H493=""),"",IF(AND(LEFT($L493,2)="06",$H493&gt;1945),"FAIL - pre-war class, year "&amp;$H493,IF(AND(LEFT($L493,2)="07",OR($H493&lt;1946,$H493&gt;1972)),"FAIL - 1946-72 class, year "&amp;$H493,IF(AND(LEFT($L493,2)="08",OR($H493&lt;1973,$H493&gt;1999)),"FAIL - 1973-99 class, year "&amp;$H493,IF(AND(LEFT($L493,2)="09",OR($H493&lt;2000,$H493&gt;2010)),"FAIL - 2000-10 class, year "&amp;$H493,"OK")))))</f>
      </c>
      <c r="BF493" s="45">
        <f>IF($AD493="","",IF(ROUND($AO493+$AP493+$AQ493-$AD493,2)=0,"OK","FAIL - out by "&amp;TEXT($AO493+$AP493+$AQ493-$AD493,"$0.00")))</f>
      </c>
    </row>
    <row r="494" spans="1:58" ht="18.75" customHeight="1" x14ac:dyDescent="0.25">
      <c r="A494" s="46" t="inlineStr">
        <is>
          <t xml:space="preserve">CANON-202606-009071</t>
        </is>
      </c>
      <c r="B494" s="46" t="inlineStr">
        <is>
          <t xml:space="preserve">Everett Pennington</t>
        </is>
      </c>
      <c r="C494" s="47">
        <v>46194</v>
      </c>
      <c r="D494" s="48" t="inlineStr">
        <is>
          <t xml:space="preserve">Bound - within authority</t>
        </is>
      </c>
      <c r="E494" s="48" t="inlineStr">
        <is>
          <t xml:space="preserve">New business</t>
        </is>
      </c>
      <c r="F494" s="46" t="inlineStr">
        <is>
          <t xml:space="preserve">B1234EXOTIC26</t>
        </is>
      </c>
      <c r="G494" s="33">
        <f>IF($A494="","",IF($C494="","",YEAR($C494)))</f>
      </c>
      <c r="H494" s="49">
        <v>1968</v>
      </c>
      <c r="I494" s="46" t="inlineStr">
        <is>
          <t xml:space="preserve">Porsche</t>
        </is>
      </c>
      <c r="J494" s="46" t="inlineStr">
        <is>
          <t xml:space="preserve">911 Turbo S</t>
        </is>
      </c>
      <c r="K494" s="46" t="inlineStr">
        <is>
          <t xml:space="preserve">6W276XPURS3TBA7GP</t>
        </is>
      </c>
      <c r="L494" s="48" t="inlineStr">
        <is>
          <t xml:space="preserve">02 - Sports / GT</t>
        </is>
      </c>
      <c r="M494" s="50">
        <v>410000</v>
      </c>
      <c r="N494" s="48" t="inlineStr">
        <is>
          <t xml:space="preserve">Personal</t>
        </is>
      </c>
      <c r="O494" s="46" t="inlineStr">
        <is>
          <t xml:space="preserve">Personal - regular use</t>
        </is>
      </c>
      <c r="P494" s="46" t="inlineStr">
        <is>
          <t xml:space="preserve">2,500 - 5,000</t>
        </is>
      </c>
      <c r="Q494" s="46" t="inlineStr">
        <is>
          <t xml:space="preserve">Michigan</t>
        </is>
      </c>
      <c r="R494" s="46" t="inlineStr">
        <is>
          <t xml:space="preserve">48226</t>
        </is>
      </c>
      <c r="S494" s="48" t="inlineStr">
        <is>
          <t xml:space="preserve">Severe convective - hail / tornado (moderate)</t>
        </is>
      </c>
      <c r="T494" s="36">
        <f>IF($A494="","",IF($S494="","",IFERROR(INDEX('[1]natural catastrophe'!$D$6:$D$17,MATCH($S494,'[1]natural catastrophe'!$B$6:$B$17,0)),"?")))</f>
      </c>
      <c r="U494" s="46" t="inlineStr">
        <is>
          <t xml:space="preserve">$5,000</t>
        </is>
      </c>
      <c r="V494" s="48" t="inlineStr">
        <is>
          <t xml:space="preserve">Agreed Value</t>
        </is>
      </c>
      <c r="W494" s="46" t="inlineStr">
        <is>
          <t xml:space="preserve">$1,000</t>
        </is>
      </c>
      <c r="X494" s="48" t="inlineStr">
        <is>
          <t xml:space="preserve">$1,000,000 CSL</t>
        </is>
      </c>
      <c r="Y494" s="46"/>
      <c r="Z494" s="46"/>
      <c r="AA494" s="48" t="inlineStr">
        <is>
          <t xml:space="preserve">Surplus Lines</t>
        </is>
      </c>
      <c r="AB494" s="50">
        <v>6877.79</v>
      </c>
      <c r="AC494" s="51">
        <v>0</v>
      </c>
      <c r="AD494" s="38">
        <f>IF(ISNUMBER($AB494),$AB494*(1+N($AC494)),"")</f>
      </c>
      <c r="AE494" s="50">
        <v>350</v>
      </c>
      <c r="AF494" s="50">
        <v>0</v>
      </c>
      <c r="AG494" s="51"/>
      <c r="AH494" s="39">
        <f>IF(ISNUMBER($AD494),($AD494+$AE494+$AF494)*$AG494,"")</f>
      </c>
      <c r="AI494" s="50"/>
      <c r="AJ494" s="38">
        <f>IF(ISNUMBER($AD494),SUM($AD494:$AH494),"")</f>
      </c>
      <c r="AK494" s="40">
        <f>IF(AND(ISNUMBER($AB494),ISNUMBER($AD494)),IF($AB494&gt;0,$AD494/$AB494,""),"")</f>
      </c>
      <c r="AL494" s="48" t="inlineStr">
        <is>
          <t xml:space="preserve">At technical</t>
        </is>
      </c>
      <c r="AM494" s="41">
        <f>IF(ISNUMBER($AD494),Header!$I$3,"")</f>
      </c>
      <c r="AN494" s="39">
        <f>IF(ISNUMBER($AD494),$AO494+$AP494,"")</f>
      </c>
      <c r="AO494" s="39">
        <f>IF(ISNUMBER($AD494),ROUND($AD494*Header!$K$3,2),"")</f>
      </c>
      <c r="AP494" s="39">
        <f>IF(ISNUMBER($AD494),ROUND($AD494*Header!$M$3,2),"")</f>
      </c>
      <c r="AQ494" s="38">
        <f>IF(ISNUMBER($AD494),ROUND($AD494,2)-$AO494-$AP494,"")</f>
      </c>
      <c r="AR494" s="39">
        <f>IF(ISNUMBER($AD494),IF(Header!$D$34="","?",$AD494*Header!$D$34),"")</f>
      </c>
      <c r="AS494" s="39">
        <f>IF(ISNUMBER($AB494),IF(Header!$D$34="","?",$AB494*Header!$D$34),"")</f>
      </c>
      <c r="AT494" s="42">
        <f>IF(AND(ISNUMBER($AB494),$M494&gt;0),$AB494/$M494*100,"")</f>
      </c>
      <c r="AU494" s="42">
        <f>IF(AND(ISNUMBER($AD494),$M494&gt;0),$AD494/$M494*100,"")</f>
      </c>
      <c r="AV494" s="40">
        <f>IF(AND(ISNUMBER($AB494),ISNUMBER($AD494),ABS($AB494)&gt;0),$AD494/$AB494,"")</f>
      </c>
      <c r="AW494" s="39">
        <f>IF(ISNUMBER($AD494),MAX(0,(1-0.55-Header!$O$3)*Header!$Q$3*$AQ494),"")</f>
      </c>
      <c r="AX494" s="43">
        <f>IF($A494="","",IF(TRIM(IF($A494="","Missing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",""))="","PASS","FAIL: "&amp;TRIM(IF($A494="","Missing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f>
      </c>
      <c r="AY494" s="44">
        <f>IF($M494="","",IF(ISNUMBER($M494),IF($M494&gt;=Header!$C$18,"YES — refer","No"),""))</f>
      </c>
      <c r="AZ494" s="44">
        <f>IF($AD494="","",IF(ISNUMBER($AD494),IF($AD494&lt;Header!$C$20,"BELOW MIN PREMIUM","OK"),""))</f>
      </c>
      <c r="BA494" s="48" t="inlineStr">
        <is>
          <t xml:space="preserve">Yes</t>
        </is>
      </c>
      <c r="BB494" s="48" t="inlineStr">
        <is>
          <t xml:space="preserve">Yes</t>
        </is>
      </c>
      <c r="BC494" s="46" t="inlineStr">
        <is>
          <t xml:space="preserve">Synthetic demo data</t>
        </is>
      </c>
      <c r="BE494" s="45">
        <f>IF(OR($A494="",$L494="",$H494=""),"",IF(AND(LEFT($L494,2)="06",$H494&gt;1945),"FAIL - pre-war class, year "&amp;$H494,IF(AND(LEFT($L494,2)="07",OR($H494&lt;1946,$H494&gt;1972)),"FAIL - 1946-72 class, year "&amp;$H494,IF(AND(LEFT($L494,2)="08",OR($H494&lt;1973,$H494&gt;1999)),"FAIL - 1973-99 class, year "&amp;$H494,IF(AND(LEFT($L494,2)="09",OR($H494&lt;2000,$H494&gt;2010)),"FAIL - 2000-10 class, year "&amp;$H494,"OK")))))</f>
      </c>
      <c r="BF494" s="45">
        <f>IF($AD494="","",IF(ROUND($AO494+$AP494+$AQ494-$AD494,2)=0,"OK","FAIL - out by "&amp;TEXT($AO494+$AP494+$AQ494-$AD494,"$0.00")))</f>
      </c>
    </row>
    <row r="495" spans="1:58" ht="18.75" customHeight="1" x14ac:dyDescent="0.25">
      <c r="A495" s="30" t="inlineStr">
        <is>
          <t xml:space="preserve">CANON-202606-009076</t>
        </is>
      </c>
      <c r="B495" s="30" t="inlineStr">
        <is>
          <t xml:space="preserve">Marisol Kingsford</t>
        </is>
      </c>
      <c r="C495" s="31">
        <v>46183</v>
      </c>
      <c r="D495" s="32" t="inlineStr">
        <is>
          <t xml:space="preserve">Bound - within authority</t>
        </is>
      </c>
      <c r="E495" s="32" t="inlineStr">
        <is>
          <t xml:space="preserve">New business</t>
        </is>
      </c>
      <c r="F495" s="30" t="inlineStr">
        <is>
          <t xml:space="preserve">B1234EXOTIC26</t>
        </is>
      </c>
      <c r="G495" s="33">
        <f>IF($A495="","",IF($C495="","",YEAR($C495)))</f>
      </c>
      <c r="H495" s="34">
        <v>1955</v>
      </c>
      <c r="I495" s="30" t="inlineStr">
        <is>
          <t xml:space="preserve">BMW</t>
        </is>
      </c>
      <c r="J495" s="30" t="inlineStr">
        <is>
          <t xml:space="preserve">M8 Competition</t>
        </is>
      </c>
      <c r="K495" s="30" t="inlineStr">
        <is>
          <t xml:space="preserve">CDG7GA5WYLUBXS9PY</t>
        </is>
      </c>
      <c r="L495" s="32" t="inlineStr">
        <is>
          <t xml:space="preserve">02 - Sports / GT</t>
        </is>
      </c>
      <c r="M495" s="35">
        <v>765000</v>
      </c>
      <c r="N495" s="32" t="inlineStr">
        <is>
          <t xml:space="preserve">Personal</t>
        </is>
      </c>
      <c r="O495" s="30" t="inlineStr">
        <is>
          <t xml:space="preserve">Personal - regular use</t>
        </is>
      </c>
      <c r="P495" s="30" t="inlineStr">
        <is>
          <t xml:space="preserve">Under 1,000</t>
        </is>
      </c>
      <c r="Q495" s="30" t="inlineStr">
        <is>
          <t xml:space="preserve">Texas</t>
        </is>
      </c>
      <c r="R495" s="30" t="inlineStr">
        <is>
          <t xml:space="preserve">75201</t>
        </is>
      </c>
      <c r="S495" s="32" t="inlineStr">
        <is>
          <t xml:space="preserve">Tier 2 - Coastal wind (1-25 miles)</t>
        </is>
      </c>
      <c r="T495" s="36">
        <f>IF($A495="","",IF($S495="","",IFERROR(INDEX('[1]natural catastrophe'!$D$6:$D$17,MATCH($S495,'[1]natural catastrophe'!$B$6:$B$17,0)),"?")))</f>
      </c>
      <c r="U495" s="30" t="inlineStr">
        <is>
          <t xml:space="preserve">2% of agreed value, minimum $10,000</t>
        </is>
      </c>
      <c r="V495" s="32" t="inlineStr">
        <is>
          <t xml:space="preserve">Agreed Value</t>
        </is>
      </c>
      <c r="W495" s="30" t="inlineStr">
        <is>
          <t xml:space="preserve">$1,000</t>
        </is>
      </c>
      <c r="X495" s="32" t="inlineStr">
        <is>
          <t xml:space="preserve">$1,000,000 CSL</t>
        </is>
      </c>
      <c r="Y495" s="30"/>
      <c r="Z495" s="30"/>
      <c r="AA495" s="32" t="inlineStr">
        <is>
          <t xml:space="preserve">Surplus Lines</t>
        </is>
      </c>
      <c r="AB495" s="35">
        <v>8251.73</v>
      </c>
      <c r="AC495" s="37">
        <v>0</v>
      </c>
      <c r="AD495" s="38">
        <f>IF(ISNUMBER($AB495),$AB495*(1+N($AC495)),"")</f>
      </c>
      <c r="AE495" s="35">
        <v>350</v>
      </c>
      <c r="AF495" s="35">
        <v>0</v>
      </c>
      <c r="AG495" s="37"/>
      <c r="AH495" s="39">
        <f>IF(ISNUMBER($AD495),($AD495+$AE495+$AF495)*$AG495,"")</f>
      </c>
      <c r="AI495" s="35"/>
      <c r="AJ495" s="38">
        <f>IF(ISNUMBER($AD495),SUM($AD495:$AH495),"")</f>
      </c>
      <c r="AK495" s="40">
        <f>IF(AND(ISNUMBER($AB495),ISNUMBER($AD495)),IF($AB495&gt;0,$AD495/$AB495,""),"")</f>
      </c>
      <c r="AL495" s="32" t="inlineStr">
        <is>
          <t xml:space="preserve">At technical</t>
        </is>
      </c>
      <c r="AM495" s="41">
        <f>IF(ISNUMBER($AD495),Header!$I$3,"")</f>
      </c>
      <c r="AN495" s="39">
        <f>IF(ISNUMBER($AD495),$AO495+$AP495,"")</f>
      </c>
      <c r="AO495" s="39">
        <f>IF(ISNUMBER($AD495),ROUND($AD495*Header!$K$3,2),"")</f>
      </c>
      <c r="AP495" s="39">
        <f>IF(ISNUMBER($AD495),ROUND($AD495*Header!$M$3,2),"")</f>
      </c>
      <c r="AQ495" s="38">
        <f>IF(ISNUMBER($AD495),ROUND($AD495,2)-$AO495-$AP495,"")</f>
      </c>
      <c r="AR495" s="39">
        <f>IF(ISNUMBER($AD495),IF(Header!$D$34="","?",$AD495*Header!$D$34),"")</f>
      </c>
      <c r="AS495" s="39">
        <f>IF(ISNUMBER($AB495),IF(Header!$D$34="","?",$AB495*Header!$D$34),"")</f>
      </c>
      <c r="AT495" s="42">
        <f>IF(AND(ISNUMBER($AB495),$M495&gt;0),$AB495/$M495*100,"")</f>
      </c>
      <c r="AU495" s="42">
        <f>IF(AND(ISNUMBER($AD495),$M495&gt;0),$AD495/$M495*100,"")</f>
      </c>
      <c r="AV495" s="40">
        <f>IF(AND(ISNUMBER($AB495),ISNUMBER($AD495),ABS($AB495)&gt;0),$AD495/$AB495,"")</f>
      </c>
      <c r="AW495" s="39">
        <f>IF(ISNUMBER($AD495),MAX(0,(1-0.55-Header!$O$3)*Header!$Q$3*$AQ495),"")</f>
      </c>
      <c r="AX495" s="43">
        <f>IF($A495="","",IF(TRIM(IF($A495="","Missing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",""))="","PASS","FAIL: "&amp;TRIM(IF($A495="","Missing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f>
      </c>
      <c r="AY495" s="44">
        <f>IF($M495="","",IF(ISNUMBER($M495),IF($M495&gt;=Header!$C$18,"YES — refer","No"),""))</f>
      </c>
      <c r="AZ495" s="44">
        <f>IF($AD495="","",IF(ISNUMBER($AD495),IF($AD495&lt;Header!$C$20,"BELOW MIN PREMIUM","OK"),""))</f>
      </c>
      <c r="BA495" s="32" t="inlineStr">
        <is>
          <t xml:space="preserve">Yes</t>
        </is>
      </c>
      <c r="BB495" s="32" t="inlineStr">
        <is>
          <t xml:space="preserve">Yes</t>
        </is>
      </c>
      <c r="BC495" s="30" t="inlineStr">
        <is>
          <t xml:space="preserve">Synthetic demo data</t>
        </is>
      </c>
      <c r="BE495" s="45">
        <f>IF(OR($A495="",$L495="",$H495=""),"",IF(AND(LEFT($L495,2)="06",$H495&gt;1945),"FAIL - pre-war class, year "&amp;$H495,IF(AND(LEFT($L495,2)="07",OR($H495&lt;1946,$H495&gt;1972)),"FAIL - 1946-72 class, year "&amp;$H495,IF(AND(LEFT($L495,2)="08",OR($H495&lt;1973,$H495&gt;1999)),"FAIL - 1973-99 class, year "&amp;$H495,IF(AND(LEFT($L495,2)="09",OR($H495&lt;2000,$H495&gt;2010)),"FAIL - 2000-10 class, year "&amp;$H495,"OK")))))</f>
      </c>
      <c r="BF495" s="45">
        <f>IF($AD495="","",IF(ROUND($AO495+$AP495+$AQ495-$AD495,2)=0,"OK","FAIL - out by "&amp;TEXT($AO495+$AP495+$AQ495-$AD495,"$0.00")))</f>
      </c>
    </row>
    <row r="496" spans="1:58" ht="18.75" customHeight="1" x14ac:dyDescent="0.25">
      <c r="A496" s="46" t="inlineStr">
        <is>
          <t xml:space="preserve">CANON-202606-009077</t>
        </is>
      </c>
      <c r="B496" s="46" t="inlineStr">
        <is>
          <t xml:space="preserve">Marisol Rourke</t>
        </is>
      </c>
      <c r="C496" s="47">
        <v>46181</v>
      </c>
      <c r="D496" s="48" t="inlineStr">
        <is>
          <t xml:space="preserve">Bound - within authority</t>
        </is>
      </c>
      <c r="E496" s="48" t="inlineStr">
        <is>
          <t xml:space="preserve">New business</t>
        </is>
      </c>
      <c r="F496" s="46" t="inlineStr">
        <is>
          <t xml:space="preserve">B1234EXOTIC26</t>
        </is>
      </c>
      <c r="G496" s="33">
        <f>IF($A496="","",IF($C496="","",YEAR($C496)))</f>
      </c>
      <c r="H496" s="49">
        <v>1959</v>
      </c>
      <c r="I496" s="46" t="inlineStr">
        <is>
          <t xml:space="preserve">Bentley</t>
        </is>
      </c>
      <c r="J496" s="46" t="inlineStr">
        <is>
          <t xml:space="preserve">Continental GT</t>
        </is>
      </c>
      <c r="K496" s="46" t="inlineStr">
        <is>
          <t xml:space="preserve">5VCYE00XK9R6VNGPL</t>
        </is>
      </c>
      <c r="L496" s="48" t="inlineStr">
        <is>
          <t xml:space="preserve">02 - Sports / GT</t>
        </is>
      </c>
      <c r="M496" s="50">
        <v>450000</v>
      </c>
      <c r="N496" s="48" t="inlineStr">
        <is>
          <t xml:space="preserve">Personal</t>
        </is>
      </c>
      <c r="O496" s="46" t="inlineStr">
        <is>
          <t xml:space="preserve">Personal - regular use</t>
        </is>
      </c>
      <c r="P496" s="46" t="inlineStr">
        <is>
          <t xml:space="preserve">2,500 - 5,000</t>
        </is>
      </c>
      <c r="Q496" s="46" t="inlineStr">
        <is>
          <t xml:space="preserve">Virginia</t>
        </is>
      </c>
      <c r="R496" s="46" t="inlineStr">
        <is>
          <t xml:space="preserve">23219</t>
        </is>
      </c>
      <c r="S496" s="48" t="inlineStr">
        <is>
          <t xml:space="preserve">Tier 3 - Coastal wind (25-100 miles)</t>
        </is>
      </c>
      <c r="T496" s="36">
        <f>IF($A496="","",IF($S496="","",IFERROR(INDEX('[1]natural catastrophe'!$D$6:$D$17,MATCH($S496,'[1]natural catastrophe'!$B$6:$B$17,0)),"?")))</f>
      </c>
      <c r="U496" s="46" t="inlineStr">
        <is>
          <t xml:space="preserve">2% of agreed value, minimum $10,000</t>
        </is>
      </c>
      <c r="V496" s="48" t="inlineStr">
        <is>
          <t xml:space="preserve">Agreed Value</t>
        </is>
      </c>
      <c r="W496" s="46" t="inlineStr">
        <is>
          <t xml:space="preserve">$1,000</t>
        </is>
      </c>
      <c r="X496" s="48" t="inlineStr">
        <is>
          <t xml:space="preserve">$1,000,000 CSL</t>
        </is>
      </c>
      <c r="Y496" s="46"/>
      <c r="Z496" s="46"/>
      <c r="AA496" s="48" t="inlineStr">
        <is>
          <t xml:space="preserve">Surplus Lines</t>
        </is>
      </c>
      <c r="AB496" s="50">
        <v>5308.51</v>
      </c>
      <c r="AC496" s="51">
        <v>0</v>
      </c>
      <c r="AD496" s="38">
        <f>IF(ISNUMBER($AB496),$AB496*(1+N($AC496)),"")</f>
      </c>
      <c r="AE496" s="50">
        <v>350</v>
      </c>
      <c r="AF496" s="50">
        <v>0</v>
      </c>
      <c r="AG496" s="51"/>
      <c r="AH496" s="39">
        <f>IF(ISNUMBER($AD496),($AD496+$AE496+$AF496)*$AG496,"")</f>
      </c>
      <c r="AI496" s="50"/>
      <c r="AJ496" s="38">
        <f>IF(ISNUMBER($AD496),SUM($AD496:$AH496),"")</f>
      </c>
      <c r="AK496" s="40">
        <f>IF(AND(ISNUMBER($AB496),ISNUMBER($AD496)),IF($AB496&gt;0,$AD496/$AB496,""),"")</f>
      </c>
      <c r="AL496" s="48" t="inlineStr">
        <is>
          <t xml:space="preserve">At technical</t>
        </is>
      </c>
      <c r="AM496" s="41">
        <f>IF(ISNUMBER($AD496),Header!$I$3,"")</f>
      </c>
      <c r="AN496" s="39">
        <f>IF(ISNUMBER($AD496),$AO496+$AP496,"")</f>
      </c>
      <c r="AO496" s="39">
        <f>IF(ISNUMBER($AD496),ROUND($AD496*Header!$K$3,2),"")</f>
      </c>
      <c r="AP496" s="39">
        <f>IF(ISNUMBER($AD496),ROUND($AD496*Header!$M$3,2),"")</f>
      </c>
      <c r="AQ496" s="38">
        <f>IF(ISNUMBER($AD496),ROUND($AD496,2)-$AO496-$AP496,"")</f>
      </c>
      <c r="AR496" s="39">
        <f>IF(ISNUMBER($AD496),IF(Header!$D$34="","?",$AD496*Header!$D$34),"")</f>
      </c>
      <c r="AS496" s="39">
        <f>IF(ISNUMBER($AB496),IF(Header!$D$34="","?",$AB496*Header!$D$34),"")</f>
      </c>
      <c r="AT496" s="42">
        <f>IF(AND(ISNUMBER($AB496),$M496&gt;0),$AB496/$M496*100,"")</f>
      </c>
      <c r="AU496" s="42">
        <f>IF(AND(ISNUMBER($AD496),$M496&gt;0),$AD496/$M496*100,"")</f>
      </c>
      <c r="AV496" s="40">
        <f>IF(AND(ISNUMBER($AB496),ISNUMBER($AD496),ABS($AB496)&gt;0),$AD496/$AB496,"")</f>
      </c>
      <c r="AW496" s="39">
        <f>IF(ISNUMBER($AD496),MAX(0,(1-0.55-Header!$O$3)*Header!$Q$3*$AQ496),"")</f>
      </c>
      <c r="AX496" s="43">
        <f>IF($A496="","",IF(TRIM(IF($A496="","Missing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",""))="","PASS","FAIL: "&amp;TRIM(IF($A496="","Missing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f>
      </c>
      <c r="AY496" s="44">
        <f>IF($M496="","",IF(ISNUMBER($M496),IF($M496&gt;=Header!$C$18,"YES — refer","No"),""))</f>
      </c>
      <c r="AZ496" s="44">
        <f>IF($AD496="","",IF(ISNUMBER($AD496),IF($AD496&lt;Header!$C$20,"BELOW MIN PREMIUM","OK"),""))</f>
      </c>
      <c r="BA496" s="48" t="inlineStr">
        <is>
          <t xml:space="preserve">Yes</t>
        </is>
      </c>
      <c r="BB496" s="48" t="inlineStr">
        <is>
          <t xml:space="preserve">Yes</t>
        </is>
      </c>
      <c r="BC496" s="46" t="inlineStr">
        <is>
          <t xml:space="preserve">Synthetic demo data</t>
        </is>
      </c>
      <c r="BE496" s="45">
        <f>IF(OR($A496="",$L496="",$H496=""),"",IF(AND(LEFT($L496,2)="06",$H496&gt;1945),"FAIL - pre-war class, year "&amp;$H496,IF(AND(LEFT($L496,2)="07",OR($H496&lt;1946,$H496&gt;1972)),"FAIL - 1946-72 class, year "&amp;$H496,IF(AND(LEFT($L496,2)="08",OR($H496&lt;1973,$H496&gt;1999)),"FAIL - 1973-99 class, year "&amp;$H496,IF(AND(LEFT($L496,2)="09",OR($H496&lt;2000,$H496&gt;2010)),"FAIL - 2000-10 class, year "&amp;$H496,"OK")))))</f>
      </c>
      <c r="BF496" s="45">
        <f>IF($AD496="","",IF(ROUND($AO496+$AP496+$AQ496-$AD496,2)=0,"OK","FAIL - out by "&amp;TEXT($AO496+$AP496+$AQ496-$AD496,"$0.00")))</f>
      </c>
    </row>
    <row r="497" spans="1:58" ht="18.75" customHeight="1" x14ac:dyDescent="0.25">
      <c r="A497" s="30" t="inlineStr">
        <is>
          <t xml:space="preserve">CANON-202606-009079</t>
        </is>
      </c>
      <c r="B497" s="30" t="inlineStr">
        <is>
          <t xml:space="preserve">Aurelio Bellandi</t>
        </is>
      </c>
      <c r="C497" s="31">
        <v>46201</v>
      </c>
      <c r="D497" s="32" t="inlineStr">
        <is>
          <t xml:space="preserve">Bound - within authority</t>
        </is>
      </c>
      <c r="E497" s="32" t="inlineStr">
        <is>
          <t xml:space="preserve">New business</t>
        </is>
      </c>
      <c r="F497" s="30" t="inlineStr">
        <is>
          <t xml:space="preserve">B1234EXOTIC26</t>
        </is>
      </c>
      <c r="G497" s="33">
        <f>IF($A497="","",IF($C497="","",YEAR($C497)))</f>
      </c>
      <c r="H497" s="34">
        <v>2012</v>
      </c>
      <c r="I497" s="30" t="inlineStr">
        <is>
          <t xml:space="preserve">Ferrari</t>
        </is>
      </c>
      <c r="J497" s="30" t="inlineStr">
        <is>
          <t xml:space="preserve">275 GTB/4</t>
        </is>
      </c>
      <c r="K497" s="30" t="inlineStr">
        <is>
          <t xml:space="preserve">ZF5RSVTWUCFGY4SYX</t>
        </is>
      </c>
      <c r="L497" s="32" t="inlineStr">
        <is>
          <t xml:space="preserve">02 - Sports / GT</t>
        </is>
      </c>
      <c r="M497" s="35">
        <v>425000</v>
      </c>
      <c r="N497" s="32" t="inlineStr">
        <is>
          <t xml:space="preserve">Personal</t>
        </is>
      </c>
      <c r="O497" s="30" t="inlineStr">
        <is>
          <t xml:space="preserve">Personal - regular use</t>
        </is>
      </c>
      <c r="P497" s="30" t="inlineStr">
        <is>
          <t xml:space="preserve">2,500 - 5,000</t>
        </is>
      </c>
      <c r="Q497" s="30" t="inlineStr">
        <is>
          <t xml:space="preserve">California</t>
        </is>
      </c>
      <c r="R497" s="30" t="inlineStr">
        <is>
          <t xml:space="preserve">90012</t>
        </is>
      </c>
      <c r="S497" s="32" t="inlineStr">
        <is>
          <t xml:space="preserve">Earthquake - high (CA, Cascadia, New Madrid)</t>
        </is>
      </c>
      <c r="T497" s="36">
        <f>IF($A497="","",IF($S497="","",IFERROR(INDEX('[1]natural catastrophe'!$D$6:$D$17,MATCH($S497,'[1]natural catastrophe'!$B$6:$B$17,0)),"?")))</f>
      </c>
      <c r="U497" s="30" t="inlineStr">
        <is>
          <t xml:space="preserve">$5,000</t>
        </is>
      </c>
      <c r="V497" s="32" t="inlineStr">
        <is>
          <t xml:space="preserve">Agreed Value</t>
        </is>
      </c>
      <c r="W497" s="30" t="inlineStr">
        <is>
          <t xml:space="preserve">$1,000</t>
        </is>
      </c>
      <c r="X497" s="32" t="inlineStr">
        <is>
          <t xml:space="preserve">$1,000,000 CSL</t>
        </is>
      </c>
      <c r="Y497" s="30"/>
      <c r="Z497" s="30"/>
      <c r="AA497" s="32" t="inlineStr">
        <is>
          <t xml:space="preserve">Surplus Lines</t>
        </is>
      </c>
      <c r="AB497" s="35">
        <v>3974.08</v>
      </c>
      <c r="AC497" s="37">
        <v>0</v>
      </c>
      <c r="AD497" s="38">
        <f>IF(ISNUMBER($AB497),$AB497*(1+N($AC497)),"")</f>
      </c>
      <c r="AE497" s="35">
        <v>350</v>
      </c>
      <c r="AF497" s="35">
        <v>0</v>
      </c>
      <c r="AG497" s="37"/>
      <c r="AH497" s="39">
        <f>IF(ISNUMBER($AD497),($AD497+$AE497+$AF497)*$AG497,"")</f>
      </c>
      <c r="AI497" s="35"/>
      <c r="AJ497" s="38">
        <f>IF(ISNUMBER($AD497),SUM($AD497:$AH497),"")</f>
      </c>
      <c r="AK497" s="40">
        <f>IF(AND(ISNUMBER($AB497),ISNUMBER($AD497)),IF($AB497&gt;0,$AD497/$AB497,""),"")</f>
      </c>
      <c r="AL497" s="32" t="inlineStr">
        <is>
          <t xml:space="preserve">At technical</t>
        </is>
      </c>
      <c r="AM497" s="41">
        <f>IF(ISNUMBER($AD497),Header!$I$3,"")</f>
      </c>
      <c r="AN497" s="39">
        <f>IF(ISNUMBER($AD497),$AO497+$AP497,"")</f>
      </c>
      <c r="AO497" s="39">
        <f>IF(ISNUMBER($AD497),ROUND($AD497*Header!$K$3,2),"")</f>
      </c>
      <c r="AP497" s="39">
        <f>IF(ISNUMBER($AD497),ROUND($AD497*Header!$M$3,2),"")</f>
      </c>
      <c r="AQ497" s="38">
        <f>IF(ISNUMBER($AD497),ROUND($AD497,2)-$AO497-$AP497,"")</f>
      </c>
      <c r="AR497" s="39">
        <f>IF(ISNUMBER($AD497),IF(Header!$D$34="","?",$AD497*Header!$D$34),"")</f>
      </c>
      <c r="AS497" s="39">
        <f>IF(ISNUMBER($AB497),IF(Header!$D$34="","?",$AB497*Header!$D$34),"")</f>
      </c>
      <c r="AT497" s="42">
        <f>IF(AND(ISNUMBER($AB497),$M497&gt;0),$AB497/$M497*100,"")</f>
      </c>
      <c r="AU497" s="42">
        <f>IF(AND(ISNUMBER($AD497),$M497&gt;0),$AD497/$M497*100,"")</f>
      </c>
      <c r="AV497" s="40">
        <f>IF(AND(ISNUMBER($AB497),ISNUMBER($AD497),ABS($AB497)&gt;0),$AD497/$AB497,"")</f>
      </c>
      <c r="AW497" s="39">
        <f>IF(ISNUMBER($AD497),MAX(0,(1-0.55-Header!$O$3)*Header!$Q$3*$AQ497),"")</f>
      </c>
      <c r="AX497" s="43">
        <f>IF($A497="","",IF(TRIM(IF($A497="","Missing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",""))="","PASS","FAIL: "&amp;TRIM(IF($A497="","Missing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f>
      </c>
      <c r="AY497" s="44">
        <f>IF($M497="","",IF(ISNUMBER($M497),IF($M497&gt;=Header!$C$18,"YES — refer","No"),""))</f>
      </c>
      <c r="AZ497" s="44">
        <f>IF($AD497="","",IF(ISNUMBER($AD497),IF($AD497&lt;Header!$C$20,"BELOW MIN PREMIUM","OK"),""))</f>
      </c>
      <c r="BA497" s="32" t="inlineStr">
        <is>
          <t xml:space="preserve">Yes</t>
        </is>
      </c>
      <c r="BB497" s="32" t="inlineStr">
        <is>
          <t xml:space="preserve">Yes</t>
        </is>
      </c>
      <c r="BC497" s="30" t="inlineStr">
        <is>
          <t xml:space="preserve">Synthetic demo data</t>
        </is>
      </c>
      <c r="BE497" s="45">
        <f>IF(OR($A497="",$L497="",$H497=""),"",IF(AND(LEFT($L497,2)="06",$H497&gt;1945),"FAIL - pre-war class, year "&amp;$H497,IF(AND(LEFT($L497,2)="07",OR($H497&lt;1946,$H497&gt;1972)),"FAIL - 1946-72 class, year "&amp;$H497,IF(AND(LEFT($L497,2)="08",OR($H497&lt;1973,$H497&gt;1999)),"FAIL - 1973-99 class, year "&amp;$H497,IF(AND(LEFT($L497,2)="09",OR($H497&lt;2000,$H497&gt;2010)),"FAIL - 2000-10 class, year "&amp;$H497,"OK")))))</f>
      </c>
      <c r="BF497" s="45">
        <f>IF($AD497="","",IF(ROUND($AO497+$AP497+$AQ497-$AD497,2)=0,"OK","FAIL - out by "&amp;TEXT($AO497+$AP497+$AQ497-$AD497,"$0.00")))</f>
      </c>
    </row>
    <row r="498" spans="1:58" ht="18.75" customHeight="1" x14ac:dyDescent="0.25">
      <c r="A498" s="46" t="inlineStr">
        <is>
          <t xml:space="preserve">CANON-202606-009082</t>
        </is>
      </c>
      <c r="B498" s="46" t="inlineStr">
        <is>
          <t xml:space="preserve">Fenwick Montoya</t>
        </is>
      </c>
      <c r="C498" s="47">
        <v>46202</v>
      </c>
      <c r="D498" s="48" t="inlineStr">
        <is>
          <t xml:space="preserve">Bound - within authority</t>
        </is>
      </c>
      <c r="E498" s="48" t="inlineStr">
        <is>
          <t xml:space="preserve">New business</t>
        </is>
      </c>
      <c r="F498" s="46" t="inlineStr">
        <is>
          <t xml:space="preserve">B1234EXOTIC26</t>
        </is>
      </c>
      <c r="G498" s="33">
        <f>IF($A498="","",IF($C498="","",YEAR($C498)))</f>
      </c>
      <c r="H498" s="49">
        <v>1999</v>
      </c>
      <c r="I498" s="46" t="inlineStr">
        <is>
          <t xml:space="preserve">Aston Martin</t>
        </is>
      </c>
      <c r="J498" s="46" t="inlineStr">
        <is>
          <t xml:space="preserve">DB12</t>
        </is>
      </c>
      <c r="K498" s="46" t="inlineStr">
        <is>
          <t xml:space="preserve">ZFE51GPCW2SGFNUF1</t>
        </is>
      </c>
      <c r="L498" s="48" t="inlineStr">
        <is>
          <t xml:space="preserve">02 - Sports / GT</t>
        </is>
      </c>
      <c r="M498" s="50">
        <v>280000</v>
      </c>
      <c r="N498" s="48" t="inlineStr">
        <is>
          <t xml:space="preserve">Personal</t>
        </is>
      </c>
      <c r="O498" s="46" t="inlineStr">
        <is>
          <t xml:space="preserve">Personal - regular use</t>
        </is>
      </c>
      <c r="P498" s="46" t="inlineStr">
        <is>
          <t xml:space="preserve">Under 1,000</t>
        </is>
      </c>
      <c r="Q498" s="46" t="inlineStr">
        <is>
          <t xml:space="preserve">Texas</t>
        </is>
      </c>
      <c r="R498" s="46" t="inlineStr">
        <is>
          <t xml:space="preserve">75201</t>
        </is>
      </c>
      <c r="S498" s="48" t="inlineStr">
        <is>
          <t xml:space="preserve">Tier 2 - Coastal wind (1-25 miles)</t>
        </is>
      </c>
      <c r="T498" s="36">
        <f>IF($A498="","",IF($S498="","",IFERROR(INDEX('[1]natural catastrophe'!$D$6:$D$17,MATCH($S498,'[1]natural catastrophe'!$B$6:$B$17,0)),"?")))</f>
      </c>
      <c r="U498" s="46" t="inlineStr">
        <is>
          <t xml:space="preserve">2% of agreed value, minimum $10,000</t>
        </is>
      </c>
      <c r="V498" s="48" t="inlineStr">
        <is>
          <t xml:space="preserve">Agreed Value</t>
        </is>
      </c>
      <c r="W498" s="46" t="inlineStr">
        <is>
          <t xml:space="preserve">$1,000</t>
        </is>
      </c>
      <c r="X498" s="48" t="inlineStr">
        <is>
          <t xml:space="preserve">$1,000,000 CSL</t>
        </is>
      </c>
      <c r="Y498" s="46"/>
      <c r="Z498" s="46"/>
      <c r="AA498" s="48" t="inlineStr">
        <is>
          <t xml:space="preserve">Surplus Lines</t>
        </is>
      </c>
      <c r="AB498" s="50">
        <v>3484.89</v>
      </c>
      <c r="AC498" s="51">
        <v>0</v>
      </c>
      <c r="AD498" s="38">
        <f>IF(ISNUMBER($AB498),$AB498*(1+N($AC498)),"")</f>
      </c>
      <c r="AE498" s="50">
        <v>350</v>
      </c>
      <c r="AF498" s="50">
        <v>0</v>
      </c>
      <c r="AG498" s="51"/>
      <c r="AH498" s="39">
        <f>IF(ISNUMBER($AD498),($AD498+$AE498+$AF498)*$AG498,"")</f>
      </c>
      <c r="AI498" s="50"/>
      <c r="AJ498" s="38">
        <f>IF(ISNUMBER($AD498),SUM($AD498:$AH498),"")</f>
      </c>
      <c r="AK498" s="40">
        <f>IF(AND(ISNUMBER($AB498),ISNUMBER($AD498)),IF($AB498&gt;0,$AD498/$AB498,""),"")</f>
      </c>
      <c r="AL498" s="48" t="inlineStr">
        <is>
          <t xml:space="preserve">At technical</t>
        </is>
      </c>
      <c r="AM498" s="41">
        <f>IF(ISNUMBER($AD498),Header!$I$3,"")</f>
      </c>
      <c r="AN498" s="39">
        <f>IF(ISNUMBER($AD498),$AO498+$AP498,"")</f>
      </c>
      <c r="AO498" s="39">
        <f>IF(ISNUMBER($AD498),ROUND($AD498*Header!$K$3,2),"")</f>
      </c>
      <c r="AP498" s="39">
        <f>IF(ISNUMBER($AD498),ROUND($AD498*Header!$M$3,2),"")</f>
      </c>
      <c r="AQ498" s="38">
        <f>IF(ISNUMBER($AD498),ROUND($AD498,2)-$AO498-$AP498,"")</f>
      </c>
      <c r="AR498" s="39">
        <f>IF(ISNUMBER($AD498),IF(Header!$D$34="","?",$AD498*Header!$D$34),"")</f>
      </c>
      <c r="AS498" s="39">
        <f>IF(ISNUMBER($AB498),IF(Header!$D$34="","?",$AB498*Header!$D$34),"")</f>
      </c>
      <c r="AT498" s="42">
        <f>IF(AND(ISNUMBER($AB498),$M498&gt;0),$AB498/$M498*100,"")</f>
      </c>
      <c r="AU498" s="42">
        <f>IF(AND(ISNUMBER($AD498),$M498&gt;0),$AD498/$M498*100,"")</f>
      </c>
      <c r="AV498" s="40">
        <f>IF(AND(ISNUMBER($AB498),ISNUMBER($AD498),ABS($AB498)&gt;0),$AD498/$AB498,"")</f>
      </c>
      <c r="AW498" s="39">
        <f>IF(ISNUMBER($AD498),MAX(0,(1-0.55-Header!$O$3)*Header!$Q$3*$AQ498),"")</f>
      </c>
      <c r="AX498" s="43">
        <f>IF($A498="","",IF(TRIM(IF($A498="","Missing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",""))="","PASS","FAIL: "&amp;TRIM(IF($A498="","Missing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f>
      </c>
      <c r="AY498" s="44">
        <f>IF($M498="","",IF(ISNUMBER($M498),IF($M498&gt;=Header!$C$18,"YES — refer","No"),""))</f>
      </c>
      <c r="AZ498" s="44">
        <f>IF($AD498="","",IF(ISNUMBER($AD498),IF($AD498&lt;Header!$C$20,"BELOW MIN PREMIUM","OK"),""))</f>
      </c>
      <c r="BA498" s="48" t="inlineStr">
        <is>
          <t xml:space="preserve">Yes</t>
        </is>
      </c>
      <c r="BB498" s="48" t="inlineStr">
        <is>
          <t xml:space="preserve">Yes</t>
        </is>
      </c>
      <c r="BC498" s="46" t="inlineStr">
        <is>
          <t xml:space="preserve">Synthetic demo data</t>
        </is>
      </c>
      <c r="BE498" s="45">
        <f>IF(OR($A498="",$L498="",$H498=""),"",IF(AND(LEFT($L498,2)="06",$H498&gt;1945),"FAIL - pre-war class, year "&amp;$H498,IF(AND(LEFT($L498,2)="07",OR($H498&lt;1946,$H498&gt;1972)),"FAIL - 1946-72 class, year "&amp;$H498,IF(AND(LEFT($L498,2)="08",OR($H498&lt;1973,$H498&gt;1999)),"FAIL - 1973-99 class, year "&amp;$H498,IF(AND(LEFT($L498,2)="09",OR($H498&lt;2000,$H498&gt;2010)),"FAIL - 2000-10 class, year "&amp;$H498,"OK")))))</f>
      </c>
      <c r="BF498" s="45">
        <f>IF($AD498="","",IF(ROUND($AO498+$AP498+$AQ498-$AD498,2)=0,"OK","FAIL - out by "&amp;TEXT($AO498+$AP498+$AQ498-$AD498,"$0.00")))</f>
      </c>
    </row>
    <row r="499" spans="1:58" ht="18.75" customHeight="1" x14ac:dyDescent="0.25">
      <c r="A499" s="30" t="inlineStr">
        <is>
          <t xml:space="preserve">CANON-202606-009083</t>
        </is>
      </c>
      <c r="B499" s="30" t="inlineStr">
        <is>
          <t xml:space="preserve">Callum Merriweather</t>
        </is>
      </c>
      <c r="C499" s="31">
        <v>46196</v>
      </c>
      <c r="D499" s="32" t="inlineStr">
        <is>
          <t xml:space="preserve">Bound - within authority</t>
        </is>
      </c>
      <c r="E499" s="32" t="inlineStr">
        <is>
          <t xml:space="preserve">New business</t>
        </is>
      </c>
      <c r="F499" s="30" t="inlineStr">
        <is>
          <t xml:space="preserve">B1234EXOTIC26</t>
        </is>
      </c>
      <c r="G499" s="33">
        <f>IF($A499="","",IF($C499="","",YEAR($C499)))</f>
      </c>
      <c r="H499" s="34">
        <v>2013</v>
      </c>
      <c r="I499" s="30" t="inlineStr">
        <is>
          <t xml:space="preserve">BMW</t>
        </is>
      </c>
      <c r="J499" s="30" t="inlineStr">
        <is>
          <t xml:space="preserve">M8 Competition</t>
        </is>
      </c>
      <c r="K499" s="30" t="inlineStr">
        <is>
          <t xml:space="preserve">J3NRX8NKJNAVHVZYZ</t>
        </is>
      </c>
      <c r="L499" s="32" t="inlineStr">
        <is>
          <t xml:space="preserve">02 - Sports / GT</t>
        </is>
      </c>
      <c r="M499" s="35">
        <v>1150000</v>
      </c>
      <c r="N499" s="32" t="inlineStr">
        <is>
          <t xml:space="preserve">Personal</t>
        </is>
      </c>
      <c r="O499" s="30" t="inlineStr">
        <is>
          <t xml:space="preserve">Personal - regular use</t>
        </is>
      </c>
      <c r="P499" s="30" t="inlineStr">
        <is>
          <t xml:space="preserve">2,500 - 5,000</t>
        </is>
      </c>
      <c r="Q499" s="30" t="inlineStr">
        <is>
          <t xml:space="preserve">Montana</t>
        </is>
      </c>
      <c r="R499" s="30" t="inlineStr">
        <is>
          <t xml:space="preserve">59601</t>
        </is>
      </c>
      <c r="S499" s="32" t="inlineStr">
        <is>
          <t xml:space="preserve">Wildfire - WUI high hazard</t>
        </is>
      </c>
      <c r="T499" s="36">
        <f>IF($A499="","",IF($S499="","",IFERROR(INDEX('[1]natural catastrophe'!$D$6:$D$17,MATCH($S499,'[1]natural catastrophe'!$B$6:$B$17,0)),"?")))</f>
      </c>
      <c r="U499" s="30" t="inlineStr">
        <is>
          <t xml:space="preserve">$5,000</t>
        </is>
      </c>
      <c r="V499" s="32" t="inlineStr">
        <is>
          <t xml:space="preserve">Agreed Value</t>
        </is>
      </c>
      <c r="W499" s="30" t="inlineStr">
        <is>
          <t xml:space="preserve">$1,000</t>
        </is>
      </c>
      <c r="X499" s="32" t="inlineStr">
        <is>
          <t xml:space="preserve">$1,000,000 CSL</t>
        </is>
      </c>
      <c r="Y499" s="30"/>
      <c r="Z499" s="30"/>
      <c r="AA499" s="32" t="inlineStr">
        <is>
          <t xml:space="preserve">Surplus Lines</t>
        </is>
      </c>
      <c r="AB499" s="35">
        <v>8488.19</v>
      </c>
      <c r="AC499" s="37">
        <v>0</v>
      </c>
      <c r="AD499" s="38">
        <f>IF(ISNUMBER($AB499),$AB499*(1+N($AC499)),"")</f>
      </c>
      <c r="AE499" s="35">
        <v>350</v>
      </c>
      <c r="AF499" s="35">
        <v>250</v>
      </c>
      <c r="AG499" s="37"/>
      <c r="AH499" s="39">
        <f>IF(ISNUMBER($AD499),($AD499+$AE499+$AF499)*$AG499,"")</f>
      </c>
      <c r="AI499" s="35"/>
      <c r="AJ499" s="38">
        <f>IF(ISNUMBER($AD499),SUM($AD499:$AH499),"")</f>
      </c>
      <c r="AK499" s="40">
        <f>IF(AND(ISNUMBER($AB499),ISNUMBER($AD499)),IF($AB499&gt;0,$AD499/$AB499,""),"")</f>
      </c>
      <c r="AL499" s="32" t="inlineStr">
        <is>
          <t xml:space="preserve">At technical</t>
        </is>
      </c>
      <c r="AM499" s="41">
        <f>IF(ISNUMBER($AD499),Header!$I$3,"")</f>
      </c>
      <c r="AN499" s="39">
        <f>IF(ISNUMBER($AD499),$AO499+$AP499,"")</f>
      </c>
      <c r="AO499" s="39">
        <f>IF(ISNUMBER($AD499),ROUND($AD499*Header!$K$3,2),"")</f>
      </c>
      <c r="AP499" s="39">
        <f>IF(ISNUMBER($AD499),ROUND($AD499*Header!$M$3,2),"")</f>
      </c>
      <c r="AQ499" s="38">
        <f>IF(ISNUMBER($AD499),ROUND($AD499,2)-$AO499-$AP499,"")</f>
      </c>
      <c r="AR499" s="39">
        <f>IF(ISNUMBER($AD499),IF(Header!$D$34="","?",$AD499*Header!$D$34),"")</f>
      </c>
      <c r="AS499" s="39">
        <f>IF(ISNUMBER($AB499),IF(Header!$D$34="","?",$AB499*Header!$D$34),"")</f>
      </c>
      <c r="AT499" s="42">
        <f>IF(AND(ISNUMBER($AB499),$M499&gt;0),$AB499/$M499*100,"")</f>
      </c>
      <c r="AU499" s="42">
        <f>IF(AND(ISNUMBER($AD499),$M499&gt;0),$AD499/$M499*100,"")</f>
      </c>
      <c r="AV499" s="40">
        <f>IF(AND(ISNUMBER($AB499),ISNUMBER($AD499),ABS($AB499)&gt;0),$AD499/$AB499,"")</f>
      </c>
      <c r="AW499" s="39">
        <f>IF(ISNUMBER($AD499),MAX(0,(1-0.55-Header!$O$3)*Header!$Q$3*$AQ499),"")</f>
      </c>
      <c r="AX499" s="43">
        <f>IF($A499="","",IF(TRIM(IF($A499="","Missing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",""))="","PASS","FAIL: "&amp;TRIM(IF($A499="","Missing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f>
      </c>
      <c r="AY499" s="44">
        <f>IF($M499="","",IF(ISNUMBER($M499),IF($M499&gt;=Header!$C$18,"YES — refer","No"),""))</f>
      </c>
      <c r="AZ499" s="44">
        <f>IF($AD499="","",IF(ISNUMBER($AD499),IF($AD499&lt;Header!$C$20,"BELOW MIN PREMIUM","OK"),""))</f>
      </c>
      <c r="BA499" s="32" t="inlineStr">
        <is>
          <t xml:space="preserve">Yes</t>
        </is>
      </c>
      <c r="BB499" s="32" t="inlineStr">
        <is>
          <t xml:space="preserve">Yes</t>
        </is>
      </c>
      <c r="BC499" s="30" t="inlineStr">
        <is>
          <t xml:space="preserve">Synthetic demo data</t>
        </is>
      </c>
      <c r="BE499" s="45">
        <f>IF(OR($A499="",$L499="",$H499=""),"",IF(AND(LEFT($L499,2)="06",$H499&gt;1945),"FAIL - pre-war class, year "&amp;$H499,IF(AND(LEFT($L499,2)="07",OR($H499&lt;1946,$H499&gt;1972)),"FAIL - 1946-72 class, year "&amp;$H499,IF(AND(LEFT($L499,2)="08",OR($H499&lt;1973,$H499&gt;1999)),"FAIL - 1973-99 class, year "&amp;$H499,IF(AND(LEFT($L499,2)="09",OR($H499&lt;2000,$H499&gt;2010)),"FAIL - 2000-10 class, year "&amp;$H499,"OK")))))</f>
      </c>
      <c r="BF499" s="45">
        <f>IF($AD499="","",IF(ROUND($AO499+$AP499+$AQ499-$AD499,2)=0,"OK","FAIL - out by "&amp;TEXT($AO499+$AP499+$AQ499-$AD499,"$0.00")))</f>
      </c>
    </row>
    <row r="500" spans="1:58" ht="18.75" customHeight="1" x14ac:dyDescent="0.25">
      <c r="A500" s="46" t="inlineStr">
        <is>
          <t xml:space="preserve">CANON-202606-009084</t>
        </is>
      </c>
      <c r="B500" s="46" t="inlineStr">
        <is>
          <t xml:space="preserve">Saoirse Whitlock</t>
        </is>
      </c>
      <c r="C500" s="47">
        <v>46184</v>
      </c>
      <c r="D500" s="48" t="inlineStr">
        <is>
          <t xml:space="preserve">Bound - within authority</t>
        </is>
      </c>
      <c r="E500" s="48" t="inlineStr">
        <is>
          <t xml:space="preserve">New business</t>
        </is>
      </c>
      <c r="F500" s="46" t="inlineStr">
        <is>
          <t xml:space="preserve">B1234EXOTIC26</t>
        </is>
      </c>
      <c r="G500" s="33">
        <f>IF($A500="","",IF($C500="","",YEAR($C500)))</f>
      </c>
      <c r="H500" s="49">
        <v>2013</v>
      </c>
      <c r="I500" s="46" t="inlineStr">
        <is>
          <t xml:space="preserve">Ringbrothers</t>
        </is>
      </c>
      <c r="J500" s="46" t="inlineStr">
        <is>
          <t xml:space="preserve">Mustang</t>
        </is>
      </c>
      <c r="K500" s="46" t="inlineStr">
        <is>
          <t xml:space="preserve">J0VZTLZD561LFX404</t>
        </is>
      </c>
      <c r="L500" s="48" t="inlineStr">
        <is>
          <t xml:space="preserve">11 - Restomod / Coachbuilt / Bespoke</t>
        </is>
      </c>
      <c r="M500" s="50">
        <v>785000</v>
      </c>
      <c r="N500" s="48" t="inlineStr">
        <is>
          <t xml:space="preserve">Personal</t>
        </is>
      </c>
      <c r="O500" s="46" t="inlineStr">
        <is>
          <t xml:space="preserve">Personal - regular use</t>
        </is>
      </c>
      <c r="P500" s="46" t="inlineStr">
        <is>
          <t xml:space="preserve">Under 1,000</t>
        </is>
      </c>
      <c r="Q500" s="46" t="inlineStr">
        <is>
          <t xml:space="preserve">Idaho</t>
        </is>
      </c>
      <c r="R500" s="46" t="inlineStr">
        <is>
          <t xml:space="preserve">83702</t>
        </is>
      </c>
      <c r="S500" s="48" t="inlineStr">
        <is>
          <t xml:space="preserve">Wildfire - WUI high hazard</t>
        </is>
      </c>
      <c r="T500" s="36">
        <f>IF($A500="","",IF($S500="","",IFERROR(INDEX('[1]natural catastrophe'!$D$6:$D$17,MATCH($S500,'[1]natural catastrophe'!$B$6:$B$17,0)),"?")))</f>
      </c>
      <c r="U500" s="46" t="inlineStr">
        <is>
          <t xml:space="preserve">$5,000</t>
        </is>
      </c>
      <c r="V500" s="48" t="inlineStr">
        <is>
          <t xml:space="preserve">Agreed Value</t>
        </is>
      </c>
      <c r="W500" s="46" t="inlineStr">
        <is>
          <t xml:space="preserve">$1,000</t>
        </is>
      </c>
      <c r="X500" s="48" t="inlineStr">
        <is>
          <t xml:space="preserve">$1,000,000 CSL</t>
        </is>
      </c>
      <c r="Y500" s="46"/>
      <c r="Z500" s="46"/>
      <c r="AA500" s="48" t="inlineStr">
        <is>
          <t xml:space="preserve">Surplus Lines</t>
        </is>
      </c>
      <c r="AB500" s="50">
        <v>8747.25</v>
      </c>
      <c r="AC500" s="51">
        <v>0</v>
      </c>
      <c r="AD500" s="38">
        <f>IF(ISNUMBER($AB500),$AB500*(1+N($AC500)),"")</f>
      </c>
      <c r="AE500" s="50">
        <v>350</v>
      </c>
      <c r="AF500" s="50">
        <v>0</v>
      </c>
      <c r="AG500" s="51"/>
      <c r="AH500" s="39">
        <f>IF(ISNUMBER($AD500),($AD500+$AE500+$AF500)*$AG500,"")</f>
      </c>
      <c r="AI500" s="50"/>
      <c r="AJ500" s="38">
        <f>IF(ISNUMBER($AD500),SUM($AD500:$AH500),"")</f>
      </c>
      <c r="AK500" s="40">
        <f>IF(AND(ISNUMBER($AB500),ISNUMBER($AD500)),IF($AB500&gt;0,$AD500/$AB500,""),"")</f>
      </c>
      <c r="AL500" s="48" t="inlineStr">
        <is>
          <t xml:space="preserve">At technical</t>
        </is>
      </c>
      <c r="AM500" s="41">
        <f>IF(ISNUMBER($AD500),Header!$I$3,"")</f>
      </c>
      <c r="AN500" s="39">
        <f>IF(ISNUMBER($AD500),$AO500+$AP500,"")</f>
      </c>
      <c r="AO500" s="39">
        <f>IF(ISNUMBER($AD500),ROUND($AD500*Header!$K$3,2),"")</f>
      </c>
      <c r="AP500" s="39">
        <f>IF(ISNUMBER($AD500),ROUND($AD500*Header!$M$3,2),"")</f>
      </c>
      <c r="AQ500" s="38">
        <f>IF(ISNUMBER($AD500),ROUND($AD500,2)-$AO500-$AP500,"")</f>
      </c>
      <c r="AR500" s="39">
        <f>IF(ISNUMBER($AD500),IF(Header!$D$34="","?",$AD500*Header!$D$34),"")</f>
      </c>
      <c r="AS500" s="39">
        <f>IF(ISNUMBER($AB500),IF(Header!$D$34="","?",$AB500*Header!$D$34),"")</f>
      </c>
      <c r="AT500" s="42">
        <f>IF(AND(ISNUMBER($AB500),$M500&gt;0),$AB500/$M500*100,"")</f>
      </c>
      <c r="AU500" s="42">
        <f>IF(AND(ISNUMBER($AD500),$M500&gt;0),$AD500/$M500*100,"")</f>
      </c>
      <c r="AV500" s="40">
        <f>IF(AND(ISNUMBER($AB500),ISNUMBER($AD500),ABS($AB500)&gt;0),$AD500/$AB500,"")</f>
      </c>
      <c r="AW500" s="39">
        <f>IF(ISNUMBER($AD500),MAX(0,(1-0.55-Header!$O$3)*Header!$Q$3*$AQ500),"")</f>
      </c>
      <c r="AX500" s="43">
        <f>IF($A500="","",IF(TRIM(IF($A500="","Missing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",""))="","PASS","FAIL: "&amp;TRIM(IF($A500="","Missing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f>
      </c>
      <c r="AY500" s="44">
        <f>IF($M500="","",IF(ISNUMBER($M500),IF($M500&gt;=Header!$C$18,"YES — refer","No"),""))</f>
      </c>
      <c r="AZ500" s="44">
        <f>IF($AD500="","",IF(ISNUMBER($AD500),IF($AD500&lt;Header!$C$20,"BELOW MIN PREMIUM","OK"),""))</f>
      </c>
      <c r="BA500" s="48" t="inlineStr">
        <is>
          <t xml:space="preserve">Yes</t>
        </is>
      </c>
      <c r="BB500" s="48" t="inlineStr">
        <is>
          <t xml:space="preserve">Yes</t>
        </is>
      </c>
      <c r="BC500" s="46" t="inlineStr">
        <is>
          <t xml:space="preserve">Synthetic demo data</t>
        </is>
      </c>
      <c r="BE500" s="45">
        <f>IF(OR($A500="",$L500="",$H500=""),"",IF(AND(LEFT($L500,2)="06",$H500&gt;1945),"FAIL - pre-war class, year "&amp;$H500,IF(AND(LEFT($L500,2)="07",OR($H500&lt;1946,$H500&gt;1972)),"FAIL - 1946-72 class, year "&amp;$H500,IF(AND(LEFT($L500,2)="08",OR($H500&lt;1973,$H500&gt;1999)),"FAIL - 1973-99 class, year "&amp;$H500,IF(AND(LEFT($L500,2)="09",OR($H500&lt;2000,$H500&gt;2010)),"FAIL - 2000-10 class, year "&amp;$H500,"OK")))))</f>
      </c>
      <c r="BF500" s="45">
        <f>IF($AD500="","",IF(ROUND($AO500+$AP500+$AQ500-$AD500,2)=0,"OK","FAIL - out by "&amp;TEXT($AO500+$AP500+$AQ500-$AD500,"$0.00")))</f>
      </c>
    </row>
    <row r="501" spans="1:58" ht="18.75" customHeight="1" x14ac:dyDescent="0.25">
      <c r="A501" s="30" t="inlineStr">
        <is>
          <t xml:space="preserve">CANON-202606-009085</t>
        </is>
      </c>
      <c r="B501" s="30" t="inlineStr">
        <is>
          <t xml:space="preserve">Fitzgerald Vasquez</t>
        </is>
      </c>
      <c r="C501" s="31">
        <v>46186</v>
      </c>
      <c r="D501" s="32" t="inlineStr">
        <is>
          <t xml:space="preserve">Bound - within authority</t>
        </is>
      </c>
      <c r="E501" s="32" t="inlineStr">
        <is>
          <t xml:space="preserve">New business</t>
        </is>
      </c>
      <c r="F501" s="30" t="inlineStr">
        <is>
          <t xml:space="preserve">B1234EXOTIC26</t>
        </is>
      </c>
      <c r="G501" s="33">
        <f>IF($A501="","",IF($C501="","",YEAR($C501)))</f>
      </c>
      <c r="H501" s="34">
        <v>1974</v>
      </c>
      <c r="I501" s="30" t="inlineStr">
        <is>
          <t xml:space="preserve">Bentley</t>
        </is>
      </c>
      <c r="J501" s="30" t="inlineStr">
        <is>
          <t xml:space="preserve">Continental GT</t>
        </is>
      </c>
      <c r="K501" s="30" t="inlineStr">
        <is>
          <t xml:space="preserve">GSC949A8T2KT5XR7Y</t>
        </is>
      </c>
      <c r="L501" s="32" t="inlineStr">
        <is>
          <t xml:space="preserve">02 - Sports / GT</t>
        </is>
      </c>
      <c r="M501" s="35">
        <v>890000</v>
      </c>
      <c r="N501" s="32" t="inlineStr">
        <is>
          <t xml:space="preserve">Personal</t>
        </is>
      </c>
      <c r="O501" s="30" t="inlineStr">
        <is>
          <t xml:space="preserve">Personal - regular use</t>
        </is>
      </c>
      <c r="P501" s="30" t="inlineStr">
        <is>
          <t xml:space="preserve">Under 1,000</t>
        </is>
      </c>
      <c r="Q501" s="30" t="inlineStr">
        <is>
          <t xml:space="preserve">West Virginia</t>
        </is>
      </c>
      <c r="R501" s="30" t="inlineStr">
        <is>
          <t xml:space="preserve">25301</t>
        </is>
      </c>
      <c r="S501" s="32" t="inlineStr">
        <is>
          <t xml:space="preserve">Low hazard - inland benign</t>
        </is>
      </c>
      <c r="T501" s="36">
        <f>IF($A501="","",IF($S501="","",IFERROR(INDEX('[1]natural catastrophe'!$D$6:$D$17,MATCH($S501,'[1]natural catastrophe'!$B$6:$B$17,0)),"?")))</f>
      </c>
      <c r="U501" s="30" t="inlineStr">
        <is>
          <t xml:space="preserve">$5,000</t>
        </is>
      </c>
      <c r="V501" s="32" t="inlineStr">
        <is>
          <t xml:space="preserve">Agreed Value</t>
        </is>
      </c>
      <c r="W501" s="30" t="inlineStr">
        <is>
          <t xml:space="preserve">$1,000</t>
        </is>
      </c>
      <c r="X501" s="32" t="inlineStr">
        <is>
          <t xml:space="preserve">$1,000,000 CSL</t>
        </is>
      </c>
      <c r="Y501" s="30"/>
      <c r="Z501" s="30"/>
      <c r="AA501" s="32" t="inlineStr">
        <is>
          <t xml:space="preserve">Surplus Lines</t>
        </is>
      </c>
      <c r="AB501" s="35">
        <v>11102.66</v>
      </c>
      <c r="AC501" s="37">
        <v>0</v>
      </c>
      <c r="AD501" s="38">
        <f>IF(ISNUMBER($AB501),$AB501*(1+N($AC501)),"")</f>
      </c>
      <c r="AE501" s="35">
        <v>350</v>
      </c>
      <c r="AF501" s="35">
        <v>0</v>
      </c>
      <c r="AG501" s="37"/>
      <c r="AH501" s="39">
        <f>IF(ISNUMBER($AD501),($AD501+$AE501+$AF501)*$AG501,"")</f>
      </c>
      <c r="AI501" s="35"/>
      <c r="AJ501" s="38">
        <f>IF(ISNUMBER($AD501),SUM($AD501:$AH501),"")</f>
      </c>
      <c r="AK501" s="40">
        <f>IF(AND(ISNUMBER($AB501),ISNUMBER($AD501)),IF($AB501&gt;0,$AD501/$AB501,""),"")</f>
      </c>
      <c r="AL501" s="32" t="inlineStr">
        <is>
          <t xml:space="preserve">At technical</t>
        </is>
      </c>
      <c r="AM501" s="41">
        <f>IF(ISNUMBER($AD501),Header!$I$3,"")</f>
      </c>
      <c r="AN501" s="39">
        <f>IF(ISNUMBER($AD501),$AO501+$AP501,"")</f>
      </c>
      <c r="AO501" s="39">
        <f>IF(ISNUMBER($AD501),ROUND($AD501*Header!$K$3,2),"")</f>
      </c>
      <c r="AP501" s="39">
        <f>IF(ISNUMBER($AD501),ROUND($AD501*Header!$M$3,2),"")</f>
      </c>
      <c r="AQ501" s="38">
        <f>IF(ISNUMBER($AD501),ROUND($AD501,2)-$AO501-$AP501,"")</f>
      </c>
      <c r="AR501" s="39">
        <f>IF(ISNUMBER($AD501),IF(Header!$D$34="","?",$AD501*Header!$D$34),"")</f>
      </c>
      <c r="AS501" s="39">
        <f>IF(ISNUMBER($AB501),IF(Header!$D$34="","?",$AB501*Header!$D$34),"")</f>
      </c>
      <c r="AT501" s="42">
        <f>IF(AND(ISNUMBER($AB501),$M501&gt;0),$AB501/$M501*100,"")</f>
      </c>
      <c r="AU501" s="42">
        <f>IF(AND(ISNUMBER($AD501),$M501&gt;0),$AD501/$M501*100,"")</f>
      </c>
      <c r="AV501" s="40">
        <f>IF(AND(ISNUMBER($AB501),ISNUMBER($AD501),ABS($AB501)&gt;0),$AD501/$AB501,"")</f>
      </c>
      <c r="AW501" s="39">
        <f>IF(ISNUMBER($AD501),MAX(0,(1-0.55-Header!$O$3)*Header!$Q$3*$AQ501),"")</f>
      </c>
      <c r="AX501" s="43">
        <f>IF($A501="","",IF(TRIM(IF($A501="","Missing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",""))="","PASS","FAIL: "&amp;TRIM(IF($A501="","Missing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f>
      </c>
      <c r="AY501" s="44">
        <f>IF($M501="","",IF(ISNUMBER($M501),IF($M501&gt;=Header!$C$18,"YES — refer","No"),""))</f>
      </c>
      <c r="AZ501" s="44">
        <f>IF($AD501="","",IF(ISNUMBER($AD501),IF($AD501&lt;Header!$C$20,"BELOW MIN PREMIUM","OK"),""))</f>
      </c>
      <c r="BA501" s="32" t="inlineStr">
        <is>
          <t xml:space="preserve">Yes</t>
        </is>
      </c>
      <c r="BB501" s="32" t="inlineStr">
        <is>
          <t xml:space="preserve">Yes</t>
        </is>
      </c>
      <c r="BC501" s="30" t="inlineStr">
        <is>
          <t xml:space="preserve">Synthetic demo data</t>
        </is>
      </c>
      <c r="BE501" s="45">
        <f>IF(OR($A501="",$L501="",$H501=""),"",IF(AND(LEFT($L501,2)="06",$H501&gt;1945),"FAIL - pre-war class, year "&amp;$H501,IF(AND(LEFT($L501,2)="07",OR($H501&lt;1946,$H501&gt;1972)),"FAIL - 1946-72 class, year "&amp;$H501,IF(AND(LEFT($L501,2)="08",OR($H501&lt;1973,$H501&gt;1999)),"FAIL - 1973-99 class, year "&amp;$H501,IF(AND(LEFT($L501,2)="09",OR($H501&lt;2000,$H501&gt;2010)),"FAIL - 2000-10 class, year "&amp;$H501,"OK")))))</f>
      </c>
      <c r="BF501" s="45">
        <f>IF($AD501="","",IF(ROUND($AO501+$AP501+$AQ501-$AD501,2)=0,"OK","FAIL - out by "&amp;TEXT($AO501+$AP501+$AQ501-$AD501,"$0.00")))</f>
      </c>
    </row>
    <row r="502" spans="1:58" ht="18.75" customHeight="1" x14ac:dyDescent="0.25">
      <c r="A502" s="46" t="inlineStr">
        <is>
          <t xml:space="preserve">CANON-202606-009086</t>
        </is>
      </c>
      <c r="B502" s="46" t="inlineStr">
        <is>
          <t xml:space="preserve">Wilhelmina Okonkwo</t>
        </is>
      </c>
      <c r="C502" s="47">
        <v>46198</v>
      </c>
      <c r="D502" s="48" t="inlineStr">
        <is>
          <t xml:space="preserve">Bound - within authority</t>
        </is>
      </c>
      <c r="E502" s="48" t="inlineStr">
        <is>
          <t xml:space="preserve">New business</t>
        </is>
      </c>
      <c r="F502" s="46" t="inlineStr">
        <is>
          <t xml:space="preserve">B1234EXOTIC26</t>
        </is>
      </c>
      <c r="G502" s="33">
        <f>IF($A502="","",IF($C502="","",YEAR($C502)))</f>
      </c>
      <c r="H502" s="49">
        <v>1997</v>
      </c>
      <c r="I502" s="46" t="inlineStr">
        <is>
          <t xml:space="preserve">Aston Martin</t>
        </is>
      </c>
      <c r="J502" s="46" t="inlineStr">
        <is>
          <t xml:space="preserve">DB12</t>
        </is>
      </c>
      <c r="K502" s="46" t="inlineStr">
        <is>
          <t xml:space="preserve">3110S1PFKXND8MA27</t>
        </is>
      </c>
      <c r="L502" s="48" t="inlineStr">
        <is>
          <t xml:space="preserve">02 - Sports / GT</t>
        </is>
      </c>
      <c r="M502" s="50">
        <v>195000</v>
      </c>
      <c r="N502" s="48" t="inlineStr">
        <is>
          <t xml:space="preserve">Personal</t>
        </is>
      </c>
      <c r="O502" s="46" t="inlineStr">
        <is>
          <t xml:space="preserve">Personal - regular use</t>
        </is>
      </c>
      <c r="P502" s="46" t="inlineStr">
        <is>
          <t xml:space="preserve">Under 1,000</t>
        </is>
      </c>
      <c r="Q502" s="46" t="inlineStr">
        <is>
          <t xml:space="preserve">Florida</t>
        </is>
      </c>
      <c r="R502" s="46" t="inlineStr">
        <is>
          <t xml:space="preserve">33139</t>
        </is>
      </c>
      <c r="S502" s="48" t="inlineStr">
        <is>
          <t xml:space="preserve">Tier 2 - Coastal wind (1-25 miles)</t>
        </is>
      </c>
      <c r="T502" s="36">
        <f>IF($A502="","",IF($S502="","",IFERROR(INDEX('[1]natural catastrophe'!$D$6:$D$17,MATCH($S502,'[1]natural catastrophe'!$B$6:$B$17,0)),"?")))</f>
      </c>
      <c r="U502" s="46" t="inlineStr">
        <is>
          <t xml:space="preserve">2% of agreed value, minimum $10,000</t>
        </is>
      </c>
      <c r="V502" s="48" t="inlineStr">
        <is>
          <t xml:space="preserve">Agreed Value</t>
        </is>
      </c>
      <c r="W502" s="46" t="inlineStr">
        <is>
          <t xml:space="preserve">$1,000</t>
        </is>
      </c>
      <c r="X502" s="48" t="inlineStr">
        <is>
          <t xml:space="preserve">$1,000,000 CSL</t>
        </is>
      </c>
      <c r="Y502" s="46"/>
      <c r="Z502" s="46"/>
      <c r="AA502" s="48" t="inlineStr">
        <is>
          <t xml:space="preserve">Surplus Lines</t>
        </is>
      </c>
      <c r="AB502" s="50">
        <v>3676.06</v>
      </c>
      <c r="AC502" s="51">
        <v>0</v>
      </c>
      <c r="AD502" s="38">
        <f>IF(ISNUMBER($AB502),$AB502*(1+N($AC502)),"")</f>
      </c>
      <c r="AE502" s="50">
        <v>350</v>
      </c>
      <c r="AF502" s="50">
        <v>0</v>
      </c>
      <c r="AG502" s="51"/>
      <c r="AH502" s="39">
        <f>IF(ISNUMBER($AD502),($AD502+$AE502+$AF502)*$AG502,"")</f>
      </c>
      <c r="AI502" s="50"/>
      <c r="AJ502" s="38">
        <f>IF(ISNUMBER($AD502),SUM($AD502:$AH502),"")</f>
      </c>
      <c r="AK502" s="40">
        <f>IF(AND(ISNUMBER($AB502),ISNUMBER($AD502)),IF($AB502&gt;0,$AD502/$AB502,""),"")</f>
      </c>
      <c r="AL502" s="48" t="inlineStr">
        <is>
          <t xml:space="preserve">At technical</t>
        </is>
      </c>
      <c r="AM502" s="41">
        <f>IF(ISNUMBER($AD502),Header!$I$3,"")</f>
      </c>
      <c r="AN502" s="39">
        <f>IF(ISNUMBER($AD502),$AO502+$AP502,"")</f>
      </c>
      <c r="AO502" s="39">
        <f>IF(ISNUMBER($AD502),ROUND($AD502*Header!$K$3,2),"")</f>
      </c>
      <c r="AP502" s="39">
        <f>IF(ISNUMBER($AD502),ROUND($AD502*Header!$M$3,2),"")</f>
      </c>
      <c r="AQ502" s="38">
        <f>IF(ISNUMBER($AD502),ROUND($AD502,2)-$AO502-$AP502,"")</f>
      </c>
      <c r="AR502" s="39">
        <f>IF(ISNUMBER($AD502),IF(Header!$D$34="","?",$AD502*Header!$D$34),"")</f>
      </c>
      <c r="AS502" s="39">
        <f>IF(ISNUMBER($AB502),IF(Header!$D$34="","?",$AB502*Header!$D$34),"")</f>
      </c>
      <c r="AT502" s="42">
        <f>IF(AND(ISNUMBER($AB502),$M502&gt;0),$AB502/$M502*100,"")</f>
      </c>
      <c r="AU502" s="42">
        <f>IF(AND(ISNUMBER($AD502),$M502&gt;0),$AD502/$M502*100,"")</f>
      </c>
      <c r="AV502" s="40">
        <f>IF(AND(ISNUMBER($AB502),ISNUMBER($AD502),ABS($AB502)&gt;0),$AD502/$AB502,"")</f>
      </c>
      <c r="AW502" s="39">
        <f>IF(ISNUMBER($AD502),MAX(0,(1-0.55-Header!$O$3)*Header!$Q$3*$AQ502),"")</f>
      </c>
      <c r="AX502" s="43">
        <f>IF($A502="","",IF(TRIM(IF($A502="","Missing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",""))="","PASS","FAIL: "&amp;TRIM(IF($A502="","Missing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f>
      </c>
      <c r="AY502" s="44">
        <f>IF($M502="","",IF(ISNUMBER($M502),IF($M502&gt;=Header!$C$18,"YES — refer","No"),""))</f>
      </c>
      <c r="AZ502" s="44">
        <f>IF($AD502="","",IF(ISNUMBER($AD502),IF($AD502&lt;Header!$C$20,"BELOW MIN PREMIUM","OK"),""))</f>
      </c>
      <c r="BA502" s="48" t="inlineStr">
        <is>
          <t xml:space="preserve">Yes</t>
        </is>
      </c>
      <c r="BB502" s="48" t="inlineStr">
        <is>
          <t xml:space="preserve">Yes</t>
        </is>
      </c>
      <c r="BC502" s="46" t="inlineStr">
        <is>
          <t xml:space="preserve">Synthetic demo data</t>
        </is>
      </c>
      <c r="BE502" s="45">
        <f>IF(OR($A502="",$L502="",$H502=""),"",IF(AND(LEFT($L502,2)="06",$H502&gt;1945),"FAIL - pre-war class, year "&amp;$H502,IF(AND(LEFT($L502,2)="07",OR($H502&lt;1946,$H502&gt;1972)),"FAIL - 1946-72 class, year "&amp;$H502,IF(AND(LEFT($L502,2)="08",OR($H502&lt;1973,$H502&gt;1999)),"FAIL - 1973-99 class, year "&amp;$H502,IF(AND(LEFT($L502,2)="09",OR($H502&lt;2000,$H502&gt;2010)),"FAIL - 2000-10 class, year "&amp;$H502,"OK")))))</f>
      </c>
      <c r="BF502" s="45">
        <f>IF($AD502="","",IF(ROUND($AO502+$AP502+$AQ502-$AD502,2)=0,"OK","FAIL - out by "&amp;TEXT($AO502+$AP502+$AQ502-$AD502,"$0.00")))</f>
      </c>
    </row>
    <row r="503" spans="1:58" ht="18.75" customHeight="1" x14ac:dyDescent="0.25">
      <c r="A503" s="30" t="inlineStr">
        <is>
          <t xml:space="preserve">CANON-202606-009087</t>
        </is>
      </c>
      <c r="B503" s="30" t="inlineStr">
        <is>
          <t xml:space="preserve">Anouk Okonkwo</t>
        </is>
      </c>
      <c r="C503" s="31">
        <v>46189</v>
      </c>
      <c r="D503" s="32" t="inlineStr">
        <is>
          <t xml:space="preserve">Bound - within authority</t>
        </is>
      </c>
      <c r="E503" s="32" t="inlineStr">
        <is>
          <t xml:space="preserve">New business</t>
        </is>
      </c>
      <c r="F503" s="30" t="inlineStr">
        <is>
          <t xml:space="preserve">B1234EXOTIC26</t>
        </is>
      </c>
      <c r="G503" s="33">
        <f>IF($A503="","",IF($C503="","",YEAR($C503)))</f>
      </c>
      <c r="H503" s="34">
        <v>2003</v>
      </c>
      <c r="I503" s="30" t="inlineStr">
        <is>
          <t xml:space="preserve">Aston Martin</t>
        </is>
      </c>
      <c r="J503" s="30" t="inlineStr">
        <is>
          <t xml:space="preserve">DB12</t>
        </is>
      </c>
      <c r="K503" s="30" t="inlineStr">
        <is>
          <t xml:space="preserve">RRVTJFJ9GNYBCY761</t>
        </is>
      </c>
      <c r="L503" s="32" t="inlineStr">
        <is>
          <t xml:space="preserve">02 - Sports / GT</t>
        </is>
      </c>
      <c r="M503" s="35">
        <v>695000</v>
      </c>
      <c r="N503" s="32" t="inlineStr">
        <is>
          <t xml:space="preserve">Personal</t>
        </is>
      </c>
      <c r="O503" s="30" t="inlineStr">
        <is>
          <t xml:space="preserve">Personal - regular use</t>
        </is>
      </c>
      <c r="P503" s="30" t="inlineStr">
        <is>
          <t xml:space="preserve">1,000 - 2,500</t>
        </is>
      </c>
      <c r="Q503" s="30" t="inlineStr">
        <is>
          <t xml:space="preserve">New York</t>
        </is>
      </c>
      <c r="R503" s="30" t="inlineStr">
        <is>
          <t xml:space="preserve">10022</t>
        </is>
      </c>
      <c r="S503" s="32" t="inlineStr">
        <is>
          <t xml:space="preserve">Tier 3 - Coastal wind (25-100 miles)</t>
        </is>
      </c>
      <c r="T503" s="36">
        <f>IF($A503="","",IF($S503="","",IFERROR(INDEX('[1]natural catastrophe'!$D$6:$D$17,MATCH($S503,'[1]natural catastrophe'!$B$6:$B$17,0)),"?")))</f>
      </c>
      <c r="U503" s="30" t="inlineStr">
        <is>
          <t xml:space="preserve">2% of agreed value, minimum $10,000</t>
        </is>
      </c>
      <c r="V503" s="32" t="inlineStr">
        <is>
          <t xml:space="preserve">Agreed Value</t>
        </is>
      </c>
      <c r="W503" s="30" t="inlineStr">
        <is>
          <t xml:space="preserve">$1,000</t>
        </is>
      </c>
      <c r="X503" s="32" t="inlineStr">
        <is>
          <t xml:space="preserve">$1,000,000 CSL</t>
        </is>
      </c>
      <c r="Y503" s="30"/>
      <c r="Z503" s="30"/>
      <c r="AA503" s="32" t="inlineStr">
        <is>
          <t xml:space="preserve">Surplus Lines</t>
        </is>
      </c>
      <c r="AB503" s="35">
        <v>8344.11</v>
      </c>
      <c r="AC503" s="37">
        <v>0</v>
      </c>
      <c r="AD503" s="38">
        <f>IF(ISNUMBER($AB503),$AB503*(1+N($AC503)),"")</f>
      </c>
      <c r="AE503" s="35">
        <v>350</v>
      </c>
      <c r="AF503" s="35">
        <v>0</v>
      </c>
      <c r="AG503" s="37"/>
      <c r="AH503" s="39">
        <f>IF(ISNUMBER($AD503),($AD503+$AE503+$AF503)*$AG503,"")</f>
      </c>
      <c r="AI503" s="35"/>
      <c r="AJ503" s="38">
        <f>IF(ISNUMBER($AD503),SUM($AD503:$AH503),"")</f>
      </c>
      <c r="AK503" s="40">
        <f>IF(AND(ISNUMBER($AB503),ISNUMBER($AD503)),IF($AB503&gt;0,$AD503/$AB503,""),"")</f>
      </c>
      <c r="AL503" s="32" t="inlineStr">
        <is>
          <t xml:space="preserve">At technical</t>
        </is>
      </c>
      <c r="AM503" s="41">
        <f>IF(ISNUMBER($AD503),Header!$I$3,"")</f>
      </c>
      <c r="AN503" s="39">
        <f>IF(ISNUMBER($AD503),$AO503+$AP503,"")</f>
      </c>
      <c r="AO503" s="39">
        <f>IF(ISNUMBER($AD503),ROUND($AD503*Header!$K$3,2),"")</f>
      </c>
      <c r="AP503" s="39">
        <f>IF(ISNUMBER($AD503),ROUND($AD503*Header!$M$3,2),"")</f>
      </c>
      <c r="AQ503" s="38">
        <f>IF(ISNUMBER($AD503),ROUND($AD503,2)-$AO503-$AP503,"")</f>
      </c>
      <c r="AR503" s="39">
        <f>IF(ISNUMBER($AD503),IF(Header!$D$34="","?",$AD503*Header!$D$34),"")</f>
      </c>
      <c r="AS503" s="39">
        <f>IF(ISNUMBER($AB503),IF(Header!$D$34="","?",$AB503*Header!$D$34),"")</f>
      </c>
      <c r="AT503" s="42">
        <f>IF(AND(ISNUMBER($AB503),$M503&gt;0),$AB503/$M503*100,"")</f>
      </c>
      <c r="AU503" s="42">
        <f>IF(AND(ISNUMBER($AD503),$M503&gt;0),$AD503/$M503*100,"")</f>
      </c>
      <c r="AV503" s="40">
        <f>IF(AND(ISNUMBER($AB503),ISNUMBER($AD503),ABS($AB503)&gt;0),$AD503/$AB503,"")</f>
      </c>
      <c r="AW503" s="39">
        <f>IF(ISNUMBER($AD503),MAX(0,(1-0.55-Header!$O$3)*Header!$Q$3*$AQ503),"")</f>
      </c>
      <c r="AX503" s="43">
        <f>IF($A503="","",IF(TRIM(IF($A503="","Missing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",""))="","PASS","FAIL: "&amp;TRIM(IF($A503="","Missing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f>
      </c>
      <c r="AY503" s="44">
        <f>IF($M503="","",IF(ISNUMBER($M503),IF($M503&gt;=Header!$C$18,"YES — refer","No"),""))</f>
      </c>
      <c r="AZ503" s="44">
        <f>IF($AD503="","",IF(ISNUMBER($AD503),IF($AD503&lt;Header!$C$20,"BELOW MIN PREMIUM","OK"),""))</f>
      </c>
      <c r="BA503" s="32" t="inlineStr">
        <is>
          <t xml:space="preserve">Yes</t>
        </is>
      </c>
      <c r="BB503" s="32" t="inlineStr">
        <is>
          <t xml:space="preserve">Yes</t>
        </is>
      </c>
      <c r="BC503" s="30" t="inlineStr">
        <is>
          <t xml:space="preserve">Synthetic demo data</t>
        </is>
      </c>
      <c r="BE503" s="45">
        <f>IF(OR($A503="",$L503="",$H503=""),"",IF(AND(LEFT($L503,2)="06",$H503&gt;1945),"FAIL - pre-war class, year "&amp;$H503,IF(AND(LEFT($L503,2)="07",OR($H503&lt;1946,$H503&gt;1972)),"FAIL - 1946-72 class, year "&amp;$H503,IF(AND(LEFT($L503,2)="08",OR($H503&lt;1973,$H503&gt;1999)),"FAIL - 1973-99 class, year "&amp;$H503,IF(AND(LEFT($L503,2)="09",OR($H503&lt;2000,$H503&gt;2010)),"FAIL - 2000-10 class, year "&amp;$H503,"OK")))))</f>
      </c>
      <c r="BF503" s="45">
        <f>IF($AD503="","",IF(ROUND($AO503+$AP503+$AQ503-$AD503,2)=0,"OK","FAIL - out by "&amp;TEXT($AO503+$AP503+$AQ503-$AD503,"$0.00")))</f>
      </c>
    </row>
    <row r="504" spans="1:58" ht="18.75" customHeight="1" x14ac:dyDescent="0.25">
      <c r="A504" s="46" t="inlineStr">
        <is>
          <t xml:space="preserve">CANON-202606-009088</t>
        </is>
      </c>
      <c r="B504" s="46" t="inlineStr">
        <is>
          <t xml:space="preserve">Ramona Underwood</t>
        </is>
      </c>
      <c r="C504" s="47">
        <v>46183</v>
      </c>
      <c r="D504" s="48" t="inlineStr">
        <is>
          <t xml:space="preserve">Bound - within authority</t>
        </is>
      </c>
      <c r="E504" s="48" t="inlineStr">
        <is>
          <t xml:space="preserve">New business</t>
        </is>
      </c>
      <c r="F504" s="46" t="inlineStr">
        <is>
          <t xml:space="preserve">B1234EXOTIC26</t>
        </is>
      </c>
      <c r="G504" s="33">
        <f>IF($A504="","",IF($C504="","",YEAR($C504)))</f>
      </c>
      <c r="H504" s="49">
        <v>1995</v>
      </c>
      <c r="I504" s="46" t="inlineStr">
        <is>
          <t xml:space="preserve">Ferrari</t>
        </is>
      </c>
      <c r="J504" s="46" t="inlineStr">
        <is>
          <t xml:space="preserve">SF90 Stradale</t>
        </is>
      </c>
      <c r="K504" s="46" t="inlineStr">
        <is>
          <t xml:space="preserve">N2283BVVWLS28K5VK</t>
        </is>
      </c>
      <c r="L504" s="48" t="inlineStr">
        <is>
          <t xml:space="preserve">03 - Supercar</t>
        </is>
      </c>
      <c r="M504" s="50">
        <v>440000</v>
      </c>
      <c r="N504" s="48" t="inlineStr">
        <is>
          <t xml:space="preserve">Personal</t>
        </is>
      </c>
      <c r="O504" s="46" t="inlineStr">
        <is>
          <t xml:space="preserve">Personal - regular use</t>
        </is>
      </c>
      <c r="P504" s="46" t="inlineStr">
        <is>
          <t xml:space="preserve">1,000 - 2,500</t>
        </is>
      </c>
      <c r="Q504" s="46" t="inlineStr">
        <is>
          <t xml:space="preserve">Oregon</t>
        </is>
      </c>
      <c r="R504" s="46" t="inlineStr">
        <is>
          <t xml:space="preserve">97204</t>
        </is>
      </c>
      <c r="S504" s="48" t="inlineStr">
        <is>
          <t xml:space="preserve">Earthquake - high (CA, Cascadia, New Madrid)</t>
        </is>
      </c>
      <c r="T504" s="36">
        <f>IF($A504="","",IF($S504="","",IFERROR(INDEX('[1]natural catastrophe'!$D$6:$D$17,MATCH($S504,'[1]natural catastrophe'!$B$6:$B$17,0)),"?")))</f>
      </c>
      <c r="U504" s="46" t="inlineStr">
        <is>
          <t xml:space="preserve">$5,000</t>
        </is>
      </c>
      <c r="V504" s="48" t="inlineStr">
        <is>
          <t xml:space="preserve">Agreed Value</t>
        </is>
      </c>
      <c r="W504" s="46" t="inlineStr">
        <is>
          <t xml:space="preserve">$1,000</t>
        </is>
      </c>
      <c r="X504" s="48" t="inlineStr">
        <is>
          <t xml:space="preserve">$1,000,000 CSL</t>
        </is>
      </c>
      <c r="Y504" s="46"/>
      <c r="Z504" s="46"/>
      <c r="AA504" s="48" t="inlineStr">
        <is>
          <t xml:space="preserve">Surplus Lines</t>
        </is>
      </c>
      <c r="AB504" s="50">
        <v>8250.89</v>
      </c>
      <c r="AC504" s="51">
        <v>0</v>
      </c>
      <c r="AD504" s="38">
        <f>IF(ISNUMBER($AB504),$AB504*(1+N($AC504)),"")</f>
      </c>
      <c r="AE504" s="50">
        <v>350</v>
      </c>
      <c r="AF504" s="50">
        <v>0</v>
      </c>
      <c r="AG504" s="51"/>
      <c r="AH504" s="39">
        <f>IF(ISNUMBER($AD504),($AD504+$AE504+$AF504)*$AG504,"")</f>
      </c>
      <c r="AI504" s="50"/>
      <c r="AJ504" s="38">
        <f>IF(ISNUMBER($AD504),SUM($AD504:$AH504),"")</f>
      </c>
      <c r="AK504" s="40">
        <f>IF(AND(ISNUMBER($AB504),ISNUMBER($AD504)),IF($AB504&gt;0,$AD504/$AB504,""),"")</f>
      </c>
      <c r="AL504" s="48" t="inlineStr">
        <is>
          <t xml:space="preserve">At technical</t>
        </is>
      </c>
      <c r="AM504" s="41">
        <f>IF(ISNUMBER($AD504),Header!$I$3,"")</f>
      </c>
      <c r="AN504" s="39">
        <f>IF(ISNUMBER($AD504),$AO504+$AP504,"")</f>
      </c>
      <c r="AO504" s="39">
        <f>IF(ISNUMBER($AD504),ROUND($AD504*Header!$K$3,2),"")</f>
      </c>
      <c r="AP504" s="39">
        <f>IF(ISNUMBER($AD504),ROUND($AD504*Header!$M$3,2),"")</f>
      </c>
      <c r="AQ504" s="38">
        <f>IF(ISNUMBER($AD504),ROUND($AD504,2)-$AO504-$AP504,"")</f>
      </c>
      <c r="AR504" s="39">
        <f>IF(ISNUMBER($AD504),IF(Header!$D$34="","?",$AD504*Header!$D$34),"")</f>
      </c>
      <c r="AS504" s="39">
        <f>IF(ISNUMBER($AB504),IF(Header!$D$34="","?",$AB504*Header!$D$34),"")</f>
      </c>
      <c r="AT504" s="42">
        <f>IF(AND(ISNUMBER($AB504),$M504&gt;0),$AB504/$M504*100,"")</f>
      </c>
      <c r="AU504" s="42">
        <f>IF(AND(ISNUMBER($AD504),$M504&gt;0),$AD504/$M504*100,"")</f>
      </c>
      <c r="AV504" s="40">
        <f>IF(AND(ISNUMBER($AB504),ISNUMBER($AD504),ABS($AB504)&gt;0),$AD504/$AB504,"")</f>
      </c>
      <c r="AW504" s="39">
        <f>IF(ISNUMBER($AD504),MAX(0,(1-0.55-Header!$O$3)*Header!$Q$3*$AQ504),"")</f>
      </c>
      <c r="AX504" s="43">
        <f>IF($A504="","",IF(TRIM(IF($A504="","Missing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",""))="","PASS","FAIL: "&amp;TRIM(IF($A504="","Missing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f>
      </c>
      <c r="AY504" s="44">
        <f>IF($M504="","",IF(ISNUMBER($M504),IF($M504&gt;=Header!$C$18,"YES — refer","No"),""))</f>
      </c>
      <c r="AZ504" s="44">
        <f>IF($AD504="","",IF(ISNUMBER($AD504),IF($AD504&lt;Header!$C$20,"BELOW MIN PREMIUM","OK"),""))</f>
      </c>
      <c r="BA504" s="48" t="inlineStr">
        <is>
          <t xml:space="preserve">Yes</t>
        </is>
      </c>
      <c r="BB504" s="48" t="inlineStr">
        <is>
          <t xml:space="preserve">Yes</t>
        </is>
      </c>
      <c r="BC504" s="46" t="inlineStr">
        <is>
          <t xml:space="preserve">Synthetic demo data</t>
        </is>
      </c>
      <c r="BE504" s="45">
        <f>IF(OR($A504="",$L504="",$H504=""),"",IF(AND(LEFT($L504,2)="06",$H504&gt;1945),"FAIL - pre-war class, year "&amp;$H504,IF(AND(LEFT($L504,2)="07",OR($H504&lt;1946,$H504&gt;1972)),"FAIL - 1946-72 class, year "&amp;$H504,IF(AND(LEFT($L504,2)="08",OR($H504&lt;1973,$H504&gt;1999)),"FAIL - 1973-99 class, year "&amp;$H504,IF(AND(LEFT($L504,2)="09",OR($H504&lt;2000,$H504&gt;2010)),"FAIL - 2000-10 class, year "&amp;$H504,"OK")))))</f>
      </c>
      <c r="BF504" s="45">
        <f>IF($AD504="","",IF(ROUND($AO504+$AP504+$AQ504-$AD504,2)=0,"OK","FAIL - out by "&amp;TEXT($AO504+$AP504+$AQ504-$AD504,"$0.00")))</f>
      </c>
    </row>
    <row r="505" spans="1:58" ht="18.75" customHeight="1" x14ac:dyDescent="0.25">
      <c r="A505" s="30" t="inlineStr">
        <is>
          <t xml:space="preserve">CANON-202606-009089</t>
        </is>
      </c>
      <c r="B505" s="30" t="inlineStr">
        <is>
          <t xml:space="preserve">Wilhelmina Kingsford</t>
        </is>
      </c>
      <c r="C505" s="31">
        <v>46187</v>
      </c>
      <c r="D505" s="32" t="inlineStr">
        <is>
          <t xml:space="preserve">Bound - within authority</t>
        </is>
      </c>
      <c r="E505" s="32" t="inlineStr">
        <is>
          <t xml:space="preserve">New business</t>
        </is>
      </c>
      <c r="F505" s="30" t="inlineStr">
        <is>
          <t xml:space="preserve">B1234EXOTIC26</t>
        </is>
      </c>
      <c r="G505" s="33">
        <f>IF($A505="","",IF($C505="","",YEAR($C505)))</f>
      </c>
      <c r="H505" s="34">
        <v>1968</v>
      </c>
      <c r="I505" s="30" t="inlineStr">
        <is>
          <t xml:space="preserve">Ferrari</t>
        </is>
      </c>
      <c r="J505" s="30" t="inlineStr">
        <is>
          <t xml:space="preserve">SF90 Stradale</t>
        </is>
      </c>
      <c r="K505" s="30" t="inlineStr">
        <is>
          <t xml:space="preserve">ZPFV75SZS5E1MS6AX</t>
        </is>
      </c>
      <c r="L505" s="32" t="inlineStr">
        <is>
          <t xml:space="preserve">03 - Supercar</t>
        </is>
      </c>
      <c r="M505" s="35">
        <v>560000</v>
      </c>
      <c r="N505" s="32" t="inlineStr">
        <is>
          <t xml:space="preserve">Personal</t>
        </is>
      </c>
      <c r="O505" s="30" t="inlineStr">
        <is>
          <t xml:space="preserve">Personal - regular use</t>
        </is>
      </c>
      <c r="P505" s="30" t="inlineStr">
        <is>
          <t xml:space="preserve">Under 1,000</t>
        </is>
      </c>
      <c r="Q505" s="30" t="inlineStr">
        <is>
          <t xml:space="preserve">Pennsylvania</t>
        </is>
      </c>
      <c r="R505" s="30" t="inlineStr">
        <is>
          <t xml:space="preserve">19103</t>
        </is>
      </c>
      <c r="S505" s="32" t="inlineStr">
        <is>
          <t xml:space="preserve">Low hazard - inland benign</t>
        </is>
      </c>
      <c r="T505" s="36">
        <f>IF($A505="","",IF($S505="","",IFERROR(INDEX('[1]natural catastrophe'!$D$6:$D$17,MATCH($S505,'[1]natural catastrophe'!$B$6:$B$17,0)),"?")))</f>
      </c>
      <c r="U505" s="30" t="inlineStr">
        <is>
          <t xml:space="preserve">$5,000</t>
        </is>
      </c>
      <c r="V505" s="32" t="inlineStr">
        <is>
          <t xml:space="preserve">Agreed Value</t>
        </is>
      </c>
      <c r="W505" s="30" t="inlineStr">
        <is>
          <t xml:space="preserve">$1,000</t>
        </is>
      </c>
      <c r="X505" s="32" t="inlineStr">
        <is>
          <t xml:space="preserve">$1,000,000 CSL</t>
        </is>
      </c>
      <c r="Y505" s="30"/>
      <c r="Z505" s="30"/>
      <c r="AA505" s="32" t="inlineStr">
        <is>
          <t xml:space="preserve">Surplus Lines</t>
        </is>
      </c>
      <c r="AB505" s="35">
        <v>7676.86</v>
      </c>
      <c r="AC505" s="37">
        <v>0</v>
      </c>
      <c r="AD505" s="38">
        <f>IF(ISNUMBER($AB505),$AB505*(1+N($AC505)),"")</f>
      </c>
      <c r="AE505" s="35">
        <v>350</v>
      </c>
      <c r="AF505" s="35">
        <v>0</v>
      </c>
      <c r="AG505" s="37"/>
      <c r="AH505" s="39">
        <f>IF(ISNUMBER($AD505),($AD505+$AE505+$AF505)*$AG505,"")</f>
      </c>
      <c r="AI505" s="35"/>
      <c r="AJ505" s="38">
        <f>IF(ISNUMBER($AD505),SUM($AD505:$AH505),"")</f>
      </c>
      <c r="AK505" s="40">
        <f>IF(AND(ISNUMBER($AB505),ISNUMBER($AD505)),IF($AB505&gt;0,$AD505/$AB505,""),"")</f>
      </c>
      <c r="AL505" s="32" t="inlineStr">
        <is>
          <t xml:space="preserve">At technical</t>
        </is>
      </c>
      <c r="AM505" s="41">
        <f>IF(ISNUMBER($AD505),Header!$I$3,"")</f>
      </c>
      <c r="AN505" s="39">
        <f>IF(ISNUMBER($AD505),$AO505+$AP505,"")</f>
      </c>
      <c r="AO505" s="39">
        <f>IF(ISNUMBER($AD505),ROUND($AD505*Header!$K$3,2),"")</f>
      </c>
      <c r="AP505" s="39">
        <f>IF(ISNUMBER($AD505),ROUND($AD505*Header!$M$3,2),"")</f>
      </c>
      <c r="AQ505" s="38">
        <f>IF(ISNUMBER($AD505),ROUND($AD505,2)-$AO505-$AP505,"")</f>
      </c>
      <c r="AR505" s="39">
        <f>IF(ISNUMBER($AD505),IF(Header!$D$34="","?",$AD505*Header!$D$34),"")</f>
      </c>
      <c r="AS505" s="39">
        <f>IF(ISNUMBER($AB505),IF(Header!$D$34="","?",$AB505*Header!$D$34),"")</f>
      </c>
      <c r="AT505" s="42">
        <f>IF(AND(ISNUMBER($AB505),$M505&gt;0),$AB505/$M505*100,"")</f>
      </c>
      <c r="AU505" s="42">
        <f>IF(AND(ISNUMBER($AD505),$M505&gt;0),$AD505/$M505*100,"")</f>
      </c>
      <c r="AV505" s="40">
        <f>IF(AND(ISNUMBER($AB505),ISNUMBER($AD505),ABS($AB505)&gt;0),$AD505/$AB505,"")</f>
      </c>
      <c r="AW505" s="39">
        <f>IF(ISNUMBER($AD505),MAX(0,(1-0.55-Header!$O$3)*Header!$Q$3*$AQ505),"")</f>
      </c>
      <c r="AX505" s="43">
        <f>IF($A505="","",IF(TRIM(IF($A505="","Missing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",""))="","PASS","FAIL: "&amp;TRIM(IF($A505="","Missing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f>
      </c>
      <c r="AY505" s="44">
        <f>IF($M505="","",IF(ISNUMBER($M505),IF($M505&gt;=Header!$C$18,"YES — refer","No"),""))</f>
      </c>
      <c r="AZ505" s="44">
        <f>IF($AD505="","",IF(ISNUMBER($AD505),IF($AD505&lt;Header!$C$20,"BELOW MIN PREMIUM","OK"),""))</f>
      </c>
      <c r="BA505" s="32" t="inlineStr">
        <is>
          <t xml:space="preserve">Yes</t>
        </is>
      </c>
      <c r="BB505" s="32" t="inlineStr">
        <is>
          <t xml:space="preserve">Yes</t>
        </is>
      </c>
      <c r="BC505" s="30" t="inlineStr">
        <is>
          <t xml:space="preserve">Synthetic demo data</t>
        </is>
      </c>
      <c r="BE505" s="45">
        <f>IF(OR($A505="",$L505="",$H505=""),"",IF(AND(LEFT($L505,2)="06",$H505&gt;1945),"FAIL - pre-war class, year "&amp;$H505,IF(AND(LEFT($L505,2)="07",OR($H505&lt;1946,$H505&gt;1972)),"FAIL - 1946-72 class, year "&amp;$H505,IF(AND(LEFT($L505,2)="08",OR($H505&lt;1973,$H505&gt;1999)),"FAIL - 1973-99 class, year "&amp;$H505,IF(AND(LEFT($L505,2)="09",OR($H505&lt;2000,$H505&gt;2010)),"FAIL - 2000-10 class, year "&amp;$H505,"OK")))))</f>
      </c>
      <c r="BF505" s="45">
        <f>IF($AD505="","",IF(ROUND($AO505+$AP505+$AQ505-$AD505,2)=0,"OK","FAIL - out by "&amp;TEXT($AO505+$AP505+$AQ505-$AD505,"$0.00")))</f>
      </c>
    </row>
    <row r="506" spans="1:58" ht="18.75" customHeight="1" x14ac:dyDescent="0.25">
      <c r="A506" s="46" t="inlineStr">
        <is>
          <t xml:space="preserve">CANON-202606-009092</t>
        </is>
      </c>
      <c r="B506" s="46" t="inlineStr">
        <is>
          <t xml:space="preserve">Cassius Montoya</t>
        </is>
      </c>
      <c r="C506" s="47">
        <v>46197</v>
      </c>
      <c r="D506" s="48" t="inlineStr">
        <is>
          <t xml:space="preserve">Bound - within authority</t>
        </is>
      </c>
      <c r="E506" s="48" t="inlineStr">
        <is>
          <t xml:space="preserve">New business</t>
        </is>
      </c>
      <c r="F506" s="46" t="inlineStr">
        <is>
          <t xml:space="preserve">B1234EXOTIC26</t>
        </is>
      </c>
      <c r="G506" s="33">
        <f>IF($A506="","",IF($C506="","",YEAR($C506)))</f>
      </c>
      <c r="H506" s="49">
        <v>1973</v>
      </c>
      <c r="I506" s="46" t="inlineStr">
        <is>
          <t xml:space="preserve">Alfa Romeo</t>
        </is>
      </c>
      <c r="J506" s="46" t="inlineStr">
        <is>
          <t xml:space="preserve">8C 2900</t>
        </is>
      </c>
      <c r="K506" s="46" t="inlineStr">
        <is>
          <t xml:space="preserve">F1J3ZL9157NL5RHFZ</t>
        </is>
      </c>
      <c r="L506" s="48" t="inlineStr">
        <is>
          <t xml:space="preserve">08 - Modern Classic (1973-1999)</t>
        </is>
      </c>
      <c r="M506" s="50">
        <v>570000</v>
      </c>
      <c r="N506" s="48" t="inlineStr">
        <is>
          <t xml:space="preserve">Personal</t>
        </is>
      </c>
      <c r="O506" s="46" t="inlineStr">
        <is>
          <t xml:space="preserve">Personal - regular use</t>
        </is>
      </c>
      <c r="P506" s="46" t="inlineStr">
        <is>
          <t xml:space="preserve">1,000 - 2,500</t>
        </is>
      </c>
      <c r="Q506" s="46" t="inlineStr">
        <is>
          <t xml:space="preserve">Florida</t>
        </is>
      </c>
      <c r="R506" s="46" t="inlineStr">
        <is>
          <t xml:space="preserve">33139</t>
        </is>
      </c>
      <c r="S506" s="48" t="inlineStr">
        <is>
          <t xml:space="preserve">Tier 2 - Coastal wind (1-25 miles)</t>
        </is>
      </c>
      <c r="T506" s="36">
        <f>IF($A506="","",IF($S506="","",IFERROR(INDEX('[1]natural catastrophe'!$D$6:$D$17,MATCH($S506,'[1]natural catastrophe'!$B$6:$B$17,0)),"?")))</f>
      </c>
      <c r="U506" s="46" t="inlineStr">
        <is>
          <t xml:space="preserve">2% of agreed value, minimum $10,000</t>
        </is>
      </c>
      <c r="V506" s="48" t="inlineStr">
        <is>
          <t xml:space="preserve">Agreed Value</t>
        </is>
      </c>
      <c r="W506" s="46" t="inlineStr">
        <is>
          <t xml:space="preserve">$1,000</t>
        </is>
      </c>
      <c r="X506" s="48" t="inlineStr">
        <is>
          <t xml:space="preserve">$1,000,000 CSL</t>
        </is>
      </c>
      <c r="Y506" s="46"/>
      <c r="Z506" s="46"/>
      <c r="AA506" s="48" t="inlineStr">
        <is>
          <t xml:space="preserve">Surplus Lines</t>
        </is>
      </c>
      <c r="AB506" s="50">
        <v>4438.33</v>
      </c>
      <c r="AC506" s="51">
        <v>0</v>
      </c>
      <c r="AD506" s="38">
        <f>IF(ISNUMBER($AB506),$AB506*(1+N($AC506)),"")</f>
      </c>
      <c r="AE506" s="50">
        <v>350</v>
      </c>
      <c r="AF506" s="50">
        <v>0</v>
      </c>
      <c r="AG506" s="51"/>
      <c r="AH506" s="39">
        <f>IF(ISNUMBER($AD506),($AD506+$AE506+$AF506)*$AG506,"")</f>
      </c>
      <c r="AI506" s="50"/>
      <c r="AJ506" s="38">
        <f>IF(ISNUMBER($AD506),SUM($AD506:$AH506),"")</f>
      </c>
      <c r="AK506" s="40">
        <f>IF(AND(ISNUMBER($AB506),ISNUMBER($AD506)),IF($AB506&gt;0,$AD506/$AB506,""),"")</f>
      </c>
      <c r="AL506" s="48" t="inlineStr">
        <is>
          <t xml:space="preserve">At technical</t>
        </is>
      </c>
      <c r="AM506" s="41">
        <f>IF(ISNUMBER($AD506),Header!$I$3,"")</f>
      </c>
      <c r="AN506" s="39">
        <f>IF(ISNUMBER($AD506),$AO506+$AP506,"")</f>
      </c>
      <c r="AO506" s="39">
        <f>IF(ISNUMBER($AD506),ROUND($AD506*Header!$K$3,2),"")</f>
      </c>
      <c r="AP506" s="39">
        <f>IF(ISNUMBER($AD506),ROUND($AD506*Header!$M$3,2),"")</f>
      </c>
      <c r="AQ506" s="38">
        <f>IF(ISNUMBER($AD506),ROUND($AD506,2)-$AO506-$AP506,"")</f>
      </c>
      <c r="AR506" s="39">
        <f>IF(ISNUMBER($AD506),IF(Header!$D$34="","?",$AD506*Header!$D$34),"")</f>
      </c>
      <c r="AS506" s="39">
        <f>IF(ISNUMBER($AB506),IF(Header!$D$34="","?",$AB506*Header!$D$34),"")</f>
      </c>
      <c r="AT506" s="42">
        <f>IF(AND(ISNUMBER($AB506),$M506&gt;0),$AB506/$M506*100,"")</f>
      </c>
      <c r="AU506" s="42">
        <f>IF(AND(ISNUMBER($AD506),$M506&gt;0),$AD506/$M506*100,"")</f>
      </c>
      <c r="AV506" s="40">
        <f>IF(AND(ISNUMBER($AB506),ISNUMBER($AD506),ABS($AB506)&gt;0),$AD506/$AB506,"")</f>
      </c>
      <c r="AW506" s="39">
        <f>IF(ISNUMBER($AD506),MAX(0,(1-0.55-Header!$O$3)*Header!$Q$3*$AQ506),"")</f>
      </c>
      <c r="AX506" s="43">
        <f>IF($A506="","",IF(TRIM(IF($A506="","Missing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",""))="","PASS","FAIL: "&amp;TRIM(IF($A506="","Missing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f>
      </c>
      <c r="AY506" s="44">
        <f>IF($M506="","",IF(ISNUMBER($M506),IF($M506&gt;=Header!$C$18,"YES — refer","No"),""))</f>
      </c>
      <c r="AZ506" s="44">
        <f>IF($AD506="","",IF(ISNUMBER($AD506),IF($AD506&lt;Header!$C$20,"BELOW MIN PREMIUM","OK"),""))</f>
      </c>
      <c r="BA506" s="48" t="inlineStr">
        <is>
          <t xml:space="preserve">Yes</t>
        </is>
      </c>
      <c r="BB506" s="48" t="inlineStr">
        <is>
          <t xml:space="preserve">Yes</t>
        </is>
      </c>
      <c r="BC506" s="46" t="inlineStr">
        <is>
          <t xml:space="preserve">Synthetic demo data</t>
        </is>
      </c>
      <c r="BE506" s="45">
        <f>IF(OR($A506="",$L506="",$H506=""),"",IF(AND(LEFT($L506,2)="06",$H506&gt;1945),"FAIL - pre-war class, year "&amp;$H506,IF(AND(LEFT($L506,2)="07",OR($H506&lt;1946,$H506&gt;1972)),"FAIL - 1946-72 class, year "&amp;$H506,IF(AND(LEFT($L506,2)="08",OR($H506&lt;1973,$H506&gt;1999)),"FAIL - 1973-99 class, year "&amp;$H506,IF(AND(LEFT($L506,2)="09",OR($H506&lt;2000,$H506&gt;2010)),"FAIL - 2000-10 class, year "&amp;$H506,"OK")))))</f>
      </c>
      <c r="BF506" s="45">
        <f>IF($AD506="","",IF(ROUND($AO506+$AP506+$AQ506-$AD506,2)=0,"OK","FAIL - out by "&amp;TEXT($AO506+$AP506+$AQ506-$AD506,"$0.00")))</f>
      </c>
    </row>
    <row r="507" spans="1:58" ht="18.75" customHeight="1" x14ac:dyDescent="0.25">
      <c r="A507" s="30" t="inlineStr">
        <is>
          <t xml:space="preserve">CANON-202606-009093</t>
        </is>
      </c>
      <c r="B507" s="30" t="inlineStr">
        <is>
          <t xml:space="preserve">Mireille Delacroix</t>
        </is>
      </c>
      <c r="C507" s="31">
        <v>46180</v>
      </c>
      <c r="D507" s="32" t="inlineStr">
        <is>
          <t xml:space="preserve">Bound - within authority</t>
        </is>
      </c>
      <c r="E507" s="32" t="inlineStr">
        <is>
          <t xml:space="preserve">New business</t>
        </is>
      </c>
      <c r="F507" s="30" t="inlineStr">
        <is>
          <t xml:space="preserve">B1234EXOTIC26</t>
        </is>
      </c>
      <c r="G507" s="33">
        <f>IF($A507="","",IF($C507="","",YEAR($C507)))</f>
      </c>
      <c r="H507" s="34">
        <v>1992</v>
      </c>
      <c r="I507" s="30" t="inlineStr">
        <is>
          <t xml:space="preserve">Ferrari</t>
        </is>
      </c>
      <c r="J507" s="30" t="inlineStr">
        <is>
          <t xml:space="preserve">275 GTB/4</t>
        </is>
      </c>
      <c r="K507" s="30" t="inlineStr">
        <is>
          <t xml:space="preserve">3R8K76PC3EM3ANE4H</t>
        </is>
      </c>
      <c r="L507" s="32" t="inlineStr">
        <is>
          <t xml:space="preserve">08 - Modern Classic (1973-1999)</t>
        </is>
      </c>
      <c r="M507" s="35">
        <v>1280000</v>
      </c>
      <c r="N507" s="32" t="inlineStr">
        <is>
          <t xml:space="preserve">Personal</t>
        </is>
      </c>
      <c r="O507" s="30" t="inlineStr">
        <is>
          <t xml:space="preserve">Personal - regular use</t>
        </is>
      </c>
      <c r="P507" s="30" t="inlineStr">
        <is>
          <t xml:space="preserve">1,000 - 2,500</t>
        </is>
      </c>
      <c r="Q507" s="30" t="inlineStr">
        <is>
          <t xml:space="preserve">Oregon</t>
        </is>
      </c>
      <c r="R507" s="30" t="inlineStr">
        <is>
          <t xml:space="preserve">97204</t>
        </is>
      </c>
      <c r="S507" s="32" t="inlineStr">
        <is>
          <t xml:space="preserve">Earthquake - high (CA, Cascadia, New Madrid)</t>
        </is>
      </c>
      <c r="T507" s="36">
        <f>IF($A507="","",IF($S507="","",IFERROR(INDEX('[1]natural catastrophe'!$D$6:$D$17,MATCH($S507,'[1]natural catastrophe'!$B$6:$B$17,0)),"?")))</f>
      </c>
      <c r="U507" s="30" t="inlineStr">
        <is>
          <t xml:space="preserve">$5,000</t>
        </is>
      </c>
      <c r="V507" s="32" t="inlineStr">
        <is>
          <t xml:space="preserve">Agreed Value</t>
        </is>
      </c>
      <c r="W507" s="30" t="inlineStr">
        <is>
          <t xml:space="preserve">$1,000</t>
        </is>
      </c>
      <c r="X507" s="32" t="inlineStr">
        <is>
          <t xml:space="preserve">$1,000,000 CSL</t>
        </is>
      </c>
      <c r="Y507" s="30"/>
      <c r="Z507" s="30"/>
      <c r="AA507" s="32" t="inlineStr">
        <is>
          <t xml:space="preserve">Surplus Lines</t>
        </is>
      </c>
      <c r="AB507" s="35">
        <v>7931.3</v>
      </c>
      <c r="AC507" s="37">
        <v>0</v>
      </c>
      <c r="AD507" s="38">
        <f>IF(ISNUMBER($AB507),$AB507*(1+N($AC507)),"")</f>
      </c>
      <c r="AE507" s="35">
        <v>350</v>
      </c>
      <c r="AF507" s="35">
        <v>250</v>
      </c>
      <c r="AG507" s="37"/>
      <c r="AH507" s="39">
        <f>IF(ISNUMBER($AD507),($AD507+$AE507+$AF507)*$AG507,"")</f>
      </c>
      <c r="AI507" s="35"/>
      <c r="AJ507" s="38">
        <f>IF(ISNUMBER($AD507),SUM($AD507:$AH507),"")</f>
      </c>
      <c r="AK507" s="40">
        <f>IF(AND(ISNUMBER($AB507),ISNUMBER($AD507)),IF($AB507&gt;0,$AD507/$AB507,""),"")</f>
      </c>
      <c r="AL507" s="32" t="inlineStr">
        <is>
          <t xml:space="preserve">At technical</t>
        </is>
      </c>
      <c r="AM507" s="41">
        <f>IF(ISNUMBER($AD507),Header!$I$3,"")</f>
      </c>
      <c r="AN507" s="39">
        <f>IF(ISNUMBER($AD507),$AO507+$AP507,"")</f>
      </c>
      <c r="AO507" s="39">
        <f>IF(ISNUMBER($AD507),ROUND($AD507*Header!$K$3,2),"")</f>
      </c>
      <c r="AP507" s="39">
        <f>IF(ISNUMBER($AD507),ROUND($AD507*Header!$M$3,2),"")</f>
      </c>
      <c r="AQ507" s="38">
        <f>IF(ISNUMBER($AD507),ROUND($AD507,2)-$AO507-$AP507,"")</f>
      </c>
      <c r="AR507" s="39">
        <f>IF(ISNUMBER($AD507),IF(Header!$D$34="","?",$AD507*Header!$D$34),"")</f>
      </c>
      <c r="AS507" s="39">
        <f>IF(ISNUMBER($AB507),IF(Header!$D$34="","?",$AB507*Header!$D$34),"")</f>
      </c>
      <c r="AT507" s="42">
        <f>IF(AND(ISNUMBER($AB507),$M507&gt;0),$AB507/$M507*100,"")</f>
      </c>
      <c r="AU507" s="42">
        <f>IF(AND(ISNUMBER($AD507),$M507&gt;0),$AD507/$M507*100,"")</f>
      </c>
      <c r="AV507" s="40">
        <f>IF(AND(ISNUMBER($AB507),ISNUMBER($AD507),ABS($AB507)&gt;0),$AD507/$AB507,"")</f>
      </c>
      <c r="AW507" s="39">
        <f>IF(ISNUMBER($AD507),MAX(0,(1-0.55-Header!$O$3)*Header!$Q$3*$AQ507),"")</f>
      </c>
      <c r="AX507" s="43">
        <f>IF($A507="","",IF(TRIM(IF($A507="","Missing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",""))="","PASS","FAIL: "&amp;TRIM(IF($A507="","Missing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f>
      </c>
      <c r="AY507" s="44">
        <f>IF($M507="","",IF(ISNUMBER($M507),IF($M507&gt;=Header!$C$18,"YES — refer","No"),""))</f>
      </c>
      <c r="AZ507" s="44">
        <f>IF($AD507="","",IF(ISNUMBER($AD507),IF($AD507&lt;Header!$C$20,"BELOW MIN PREMIUM","OK"),""))</f>
      </c>
      <c r="BA507" s="32" t="inlineStr">
        <is>
          <t xml:space="preserve">Yes</t>
        </is>
      </c>
      <c r="BB507" s="32" t="inlineStr">
        <is>
          <t xml:space="preserve">Yes</t>
        </is>
      </c>
      <c r="BC507" s="30" t="inlineStr">
        <is>
          <t xml:space="preserve">Synthetic demo data</t>
        </is>
      </c>
      <c r="BE507" s="45">
        <f>IF(OR($A507="",$L507="",$H507=""),"",IF(AND(LEFT($L507,2)="06",$H507&gt;1945),"FAIL - pre-war class, year "&amp;$H507,IF(AND(LEFT($L507,2)="07",OR($H507&lt;1946,$H507&gt;1972)),"FAIL - 1946-72 class, year "&amp;$H507,IF(AND(LEFT($L507,2)="08",OR($H507&lt;1973,$H507&gt;1999)),"FAIL - 1973-99 class, year "&amp;$H507,IF(AND(LEFT($L507,2)="09",OR($H507&lt;2000,$H507&gt;2010)),"FAIL - 2000-10 class, year "&amp;$H507,"OK")))))</f>
      </c>
      <c r="BF507" s="45">
        <f>IF($AD507="","",IF(ROUND($AO507+$AP507+$AQ507-$AD507,2)=0,"OK","FAIL - out by "&amp;TEXT($AO507+$AP507+$AQ507-$AD507,"$0.00")))</f>
      </c>
    </row>
    <row r="508" spans="1:58" ht="18.75" customHeight="1" x14ac:dyDescent="0.25">
      <c r="A508" s="46" t="inlineStr">
        <is>
          <t xml:space="preserve">CANON-202606-009096</t>
        </is>
      </c>
      <c r="B508" s="46" t="inlineStr">
        <is>
          <t xml:space="preserve">Fitzgerald Delacroix</t>
        </is>
      </c>
      <c r="C508" s="47">
        <v>46193</v>
      </c>
      <c r="D508" s="48" t="inlineStr">
        <is>
          <t xml:space="preserve">Bound - within authority</t>
        </is>
      </c>
      <c r="E508" s="48" t="inlineStr">
        <is>
          <t xml:space="preserve">New business</t>
        </is>
      </c>
      <c r="F508" s="46" t="inlineStr">
        <is>
          <t xml:space="preserve">B1234EXOTIC26</t>
        </is>
      </c>
      <c r="G508" s="33">
        <f>IF($A508="","",IF($C508="","",YEAR($C508)))</f>
      </c>
      <c r="H508" s="49">
        <v>2002</v>
      </c>
      <c r="I508" s="46" t="inlineStr">
        <is>
          <t xml:space="preserve">Bentley</t>
        </is>
      </c>
      <c r="J508" s="46" t="inlineStr">
        <is>
          <t xml:space="preserve">Continental GT</t>
        </is>
      </c>
      <c r="K508" s="46" t="inlineStr">
        <is>
          <t xml:space="preserve">L15GBLHNY1ACJTXA7</t>
        </is>
      </c>
      <c r="L508" s="48" t="inlineStr">
        <is>
          <t xml:space="preserve">02 - Sports / GT</t>
        </is>
      </c>
      <c r="M508" s="50">
        <v>370000</v>
      </c>
      <c r="N508" s="48" t="inlineStr">
        <is>
          <t xml:space="preserve">Personal</t>
        </is>
      </c>
      <c r="O508" s="46" t="inlineStr">
        <is>
          <t xml:space="preserve">Personal - regular use</t>
        </is>
      </c>
      <c r="P508" s="46" t="inlineStr">
        <is>
          <t xml:space="preserve">2,500 - 5,000</t>
        </is>
      </c>
      <c r="Q508" s="46" t="inlineStr">
        <is>
          <t xml:space="preserve">New Jersey</t>
        </is>
      </c>
      <c r="R508" s="46" t="inlineStr">
        <is>
          <t xml:space="preserve">07102</t>
        </is>
      </c>
      <c r="S508" s="48" t="inlineStr">
        <is>
          <t xml:space="preserve">Tier 3 - Coastal wind (25-100 miles)</t>
        </is>
      </c>
      <c r="T508" s="36">
        <f>IF($A508="","",IF($S508="","",IFERROR(INDEX('[1]natural catastrophe'!$D$6:$D$17,MATCH($S508,'[1]natural catastrophe'!$B$6:$B$17,0)),"?")))</f>
      </c>
      <c r="U508" s="46" t="inlineStr">
        <is>
          <t xml:space="preserve">2% of agreed value, minimum $10,000</t>
        </is>
      </c>
      <c r="V508" s="48" t="inlineStr">
        <is>
          <t xml:space="preserve">Agreed Value</t>
        </is>
      </c>
      <c r="W508" s="46" t="inlineStr">
        <is>
          <t xml:space="preserve">$1,000</t>
        </is>
      </c>
      <c r="X508" s="48" t="inlineStr">
        <is>
          <t xml:space="preserve">$1,000,000 CSL</t>
        </is>
      </c>
      <c r="Y508" s="46"/>
      <c r="Z508" s="46"/>
      <c r="AA508" s="48" t="inlineStr">
        <is>
          <t xml:space="preserve">Surplus Lines</t>
        </is>
      </c>
      <c r="AB508" s="50">
        <v>3643.98</v>
      </c>
      <c r="AC508" s="51">
        <v>0</v>
      </c>
      <c r="AD508" s="38">
        <f>IF(ISNUMBER($AB508),$AB508*(1+N($AC508)),"")</f>
      </c>
      <c r="AE508" s="50">
        <v>350</v>
      </c>
      <c r="AF508" s="50">
        <v>0</v>
      </c>
      <c r="AG508" s="51"/>
      <c r="AH508" s="39">
        <f>IF(ISNUMBER($AD508),($AD508+$AE508+$AF508)*$AG508,"")</f>
      </c>
      <c r="AI508" s="50"/>
      <c r="AJ508" s="38">
        <f>IF(ISNUMBER($AD508),SUM($AD508:$AH508),"")</f>
      </c>
      <c r="AK508" s="40">
        <f>IF(AND(ISNUMBER($AB508),ISNUMBER($AD508)),IF($AB508&gt;0,$AD508/$AB508,""),"")</f>
      </c>
      <c r="AL508" s="48" t="inlineStr">
        <is>
          <t xml:space="preserve">At technical</t>
        </is>
      </c>
      <c r="AM508" s="41">
        <f>IF(ISNUMBER($AD508),Header!$I$3,"")</f>
      </c>
      <c r="AN508" s="39">
        <f>IF(ISNUMBER($AD508),$AO508+$AP508,"")</f>
      </c>
      <c r="AO508" s="39">
        <f>IF(ISNUMBER($AD508),ROUND($AD508*Header!$K$3,2),"")</f>
      </c>
      <c r="AP508" s="39">
        <f>IF(ISNUMBER($AD508),ROUND($AD508*Header!$M$3,2),"")</f>
      </c>
      <c r="AQ508" s="38">
        <f>IF(ISNUMBER($AD508),ROUND($AD508,2)-$AO508-$AP508,"")</f>
      </c>
      <c r="AR508" s="39">
        <f>IF(ISNUMBER($AD508),IF(Header!$D$34="","?",$AD508*Header!$D$34),"")</f>
      </c>
      <c r="AS508" s="39">
        <f>IF(ISNUMBER($AB508),IF(Header!$D$34="","?",$AB508*Header!$D$34),"")</f>
      </c>
      <c r="AT508" s="42">
        <f>IF(AND(ISNUMBER($AB508),$M508&gt;0),$AB508/$M508*100,"")</f>
      </c>
      <c r="AU508" s="42">
        <f>IF(AND(ISNUMBER($AD508),$M508&gt;0),$AD508/$M508*100,"")</f>
      </c>
      <c r="AV508" s="40">
        <f>IF(AND(ISNUMBER($AB508),ISNUMBER($AD508),ABS($AB508)&gt;0),$AD508/$AB508,"")</f>
      </c>
      <c r="AW508" s="39">
        <f>IF(ISNUMBER($AD508),MAX(0,(1-0.55-Header!$O$3)*Header!$Q$3*$AQ508),"")</f>
      </c>
      <c r="AX508" s="43">
        <f>IF($A508="","",IF(TRIM(IF($A508="","Missing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",""))="","PASS","FAIL: "&amp;TRIM(IF($A508="","Missing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f>
      </c>
      <c r="AY508" s="44">
        <f>IF($M508="","",IF(ISNUMBER($M508),IF($M508&gt;=Header!$C$18,"YES — refer","No"),""))</f>
      </c>
      <c r="AZ508" s="44">
        <f>IF($AD508="","",IF(ISNUMBER($AD508),IF($AD508&lt;Header!$C$20,"BELOW MIN PREMIUM","OK"),""))</f>
      </c>
      <c r="BA508" s="48" t="inlineStr">
        <is>
          <t xml:space="preserve">Yes</t>
        </is>
      </c>
      <c r="BB508" s="48" t="inlineStr">
        <is>
          <t xml:space="preserve">Yes</t>
        </is>
      </c>
      <c r="BC508" s="46" t="inlineStr">
        <is>
          <t xml:space="preserve">Synthetic demo data</t>
        </is>
      </c>
      <c r="BE508" s="45">
        <f>IF(OR($A508="",$L508="",$H508=""),"",IF(AND(LEFT($L508,2)="06",$H508&gt;1945),"FAIL - pre-war class, year "&amp;$H508,IF(AND(LEFT($L508,2)="07",OR($H508&lt;1946,$H508&gt;1972)),"FAIL - 1946-72 class, year "&amp;$H508,IF(AND(LEFT($L508,2)="08",OR($H508&lt;1973,$H508&gt;1999)),"FAIL - 1973-99 class, year "&amp;$H508,IF(AND(LEFT($L508,2)="09",OR($H508&lt;2000,$H508&gt;2010)),"FAIL - 2000-10 class, year "&amp;$H508,"OK")))))</f>
      </c>
      <c r="BF508" s="45">
        <f>IF($AD508="","",IF(ROUND($AO508+$AP508+$AQ508-$AD508,2)=0,"OK","FAIL - out by "&amp;TEXT($AO508+$AP508+$AQ508-$AD508,"$0.00")))</f>
      </c>
    </row>
    <row r="509" spans="1:58" ht="18.75" customHeight="1" x14ac:dyDescent="0.25">
      <c r="A509" s="30" t="inlineStr">
        <is>
          <t xml:space="preserve">CANON-202606-009097</t>
        </is>
      </c>
      <c r="B509" s="30" t="inlineStr">
        <is>
          <t xml:space="preserve">Emiliano Delacroix</t>
        </is>
      </c>
      <c r="C509" s="31">
        <v>46182</v>
      </c>
      <c r="D509" s="32" t="inlineStr">
        <is>
          <t xml:space="preserve">Bound - within authority</t>
        </is>
      </c>
      <c r="E509" s="32" t="inlineStr">
        <is>
          <t xml:space="preserve">New business</t>
        </is>
      </c>
      <c r="F509" s="30" t="inlineStr">
        <is>
          <t xml:space="preserve">B1234EXOTIC26</t>
        </is>
      </c>
      <c r="G509" s="33">
        <f>IF($A509="","",IF($C509="","",YEAR($C509)))</f>
      </c>
      <c r="H509" s="34">
        <v>1967</v>
      </c>
      <c r="I509" s="30" t="inlineStr">
        <is>
          <t xml:space="preserve">Bentley</t>
        </is>
      </c>
      <c r="J509" s="30" t="inlineStr">
        <is>
          <t xml:space="preserve">Continental GT</t>
        </is>
      </c>
      <c r="K509" s="30" t="inlineStr">
        <is>
          <t xml:space="preserve">FNZH65DCGALTM87SJ</t>
        </is>
      </c>
      <c r="L509" s="32" t="inlineStr">
        <is>
          <t xml:space="preserve">02 - Sports / GT</t>
        </is>
      </c>
      <c r="M509" s="35">
        <v>620000</v>
      </c>
      <c r="N509" s="32" t="inlineStr">
        <is>
          <t xml:space="preserve">Personal</t>
        </is>
      </c>
      <c r="O509" s="30" t="inlineStr">
        <is>
          <t xml:space="preserve">Personal - regular use</t>
        </is>
      </c>
      <c r="P509" s="30" t="inlineStr">
        <is>
          <t xml:space="preserve">Under 1,000</t>
        </is>
      </c>
      <c r="Q509" s="30" t="inlineStr">
        <is>
          <t xml:space="preserve">California</t>
        </is>
      </c>
      <c r="R509" s="30" t="inlineStr">
        <is>
          <t xml:space="preserve">90012</t>
        </is>
      </c>
      <c r="S509" s="32" t="inlineStr">
        <is>
          <t xml:space="preserve">Earthquake - high (CA, Cascadia, New Madrid)</t>
        </is>
      </c>
      <c r="T509" s="36">
        <f>IF($A509="","",IF($S509="","",IFERROR(INDEX('[1]natural catastrophe'!$D$6:$D$17,MATCH($S509,'[1]natural catastrophe'!$B$6:$B$17,0)),"?")))</f>
      </c>
      <c r="U509" s="30" t="inlineStr">
        <is>
          <t xml:space="preserve">$5,000</t>
        </is>
      </c>
      <c r="V509" s="32" t="inlineStr">
        <is>
          <t xml:space="preserve">Agreed Value</t>
        </is>
      </c>
      <c r="W509" s="30" t="inlineStr">
        <is>
          <t xml:space="preserve">$1,000</t>
        </is>
      </c>
      <c r="X509" s="32" t="inlineStr">
        <is>
          <t xml:space="preserve">$1,000,000 CSL</t>
        </is>
      </c>
      <c r="Y509" s="30"/>
      <c r="Z509" s="30"/>
      <c r="AA509" s="32" t="inlineStr">
        <is>
          <t xml:space="preserve">Surplus Lines</t>
        </is>
      </c>
      <c r="AB509" s="35">
        <v>7850.74</v>
      </c>
      <c r="AC509" s="37">
        <v>0</v>
      </c>
      <c r="AD509" s="38">
        <f>IF(ISNUMBER($AB509),$AB509*(1+N($AC509)),"")</f>
      </c>
      <c r="AE509" s="35">
        <v>350</v>
      </c>
      <c r="AF509" s="35">
        <v>0</v>
      </c>
      <c r="AG509" s="37"/>
      <c r="AH509" s="39">
        <f>IF(ISNUMBER($AD509),($AD509+$AE509+$AF509)*$AG509,"")</f>
      </c>
      <c r="AI509" s="35"/>
      <c r="AJ509" s="38">
        <f>IF(ISNUMBER($AD509),SUM($AD509:$AH509),"")</f>
      </c>
      <c r="AK509" s="40">
        <f>IF(AND(ISNUMBER($AB509),ISNUMBER($AD509)),IF($AB509&gt;0,$AD509/$AB509,""),"")</f>
      </c>
      <c r="AL509" s="32" t="inlineStr">
        <is>
          <t xml:space="preserve">At technical</t>
        </is>
      </c>
      <c r="AM509" s="41">
        <f>IF(ISNUMBER($AD509),Header!$I$3,"")</f>
      </c>
      <c r="AN509" s="39">
        <f>IF(ISNUMBER($AD509),$AO509+$AP509,"")</f>
      </c>
      <c r="AO509" s="39">
        <f>IF(ISNUMBER($AD509),ROUND($AD509*Header!$K$3,2),"")</f>
      </c>
      <c r="AP509" s="39">
        <f>IF(ISNUMBER($AD509),ROUND($AD509*Header!$M$3,2),"")</f>
      </c>
      <c r="AQ509" s="38">
        <f>IF(ISNUMBER($AD509),ROUND($AD509,2)-$AO509-$AP509,"")</f>
      </c>
      <c r="AR509" s="39">
        <f>IF(ISNUMBER($AD509),IF(Header!$D$34="","?",$AD509*Header!$D$34),"")</f>
      </c>
      <c r="AS509" s="39">
        <f>IF(ISNUMBER($AB509),IF(Header!$D$34="","?",$AB509*Header!$D$34),"")</f>
      </c>
      <c r="AT509" s="42">
        <f>IF(AND(ISNUMBER($AB509),$M509&gt;0),$AB509/$M509*100,"")</f>
      </c>
      <c r="AU509" s="42">
        <f>IF(AND(ISNUMBER($AD509),$M509&gt;0),$AD509/$M509*100,"")</f>
      </c>
      <c r="AV509" s="40">
        <f>IF(AND(ISNUMBER($AB509),ISNUMBER($AD509),ABS($AB509)&gt;0),$AD509/$AB509,"")</f>
      </c>
      <c r="AW509" s="39">
        <f>IF(ISNUMBER($AD509),MAX(0,(1-0.55-Header!$O$3)*Header!$Q$3*$AQ509),"")</f>
      </c>
      <c r="AX509" s="43">
        <f>IF($A509="","",IF(TRIM(IF($A509="","Missing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",""))="","PASS","FAIL: "&amp;TRIM(IF($A509="","Missing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f>
      </c>
      <c r="AY509" s="44">
        <f>IF($M509="","",IF(ISNUMBER($M509),IF($M509&gt;=Header!$C$18,"YES — refer","No"),""))</f>
      </c>
      <c r="AZ509" s="44">
        <f>IF($AD509="","",IF(ISNUMBER($AD509),IF($AD509&lt;Header!$C$20,"BELOW MIN PREMIUM","OK"),""))</f>
      </c>
      <c r="BA509" s="32" t="inlineStr">
        <is>
          <t xml:space="preserve">Yes</t>
        </is>
      </c>
      <c r="BB509" s="32" t="inlineStr">
        <is>
          <t xml:space="preserve">Yes</t>
        </is>
      </c>
      <c r="BC509" s="30" t="inlineStr">
        <is>
          <t xml:space="preserve">Synthetic demo data</t>
        </is>
      </c>
      <c r="BE509" s="45">
        <f>IF(OR($A509="",$L509="",$H509=""),"",IF(AND(LEFT($L509,2)="06",$H509&gt;1945),"FAIL - pre-war class, year "&amp;$H509,IF(AND(LEFT($L509,2)="07",OR($H509&lt;1946,$H509&gt;1972)),"FAIL - 1946-72 class, year "&amp;$H509,IF(AND(LEFT($L509,2)="08",OR($H509&lt;1973,$H509&gt;1999)),"FAIL - 1973-99 class, year "&amp;$H509,IF(AND(LEFT($L509,2)="09",OR($H509&lt;2000,$H509&gt;2010)),"FAIL - 2000-10 class, year "&amp;$H509,"OK")))))</f>
      </c>
      <c r="BF509" s="45">
        <f>IF($AD509="","",IF(ROUND($AO509+$AP509+$AQ509-$AD509,2)=0,"OK","FAIL - out by "&amp;TEXT($AO509+$AP509+$AQ509-$AD509,"$0.00")))</f>
      </c>
    </row>
    <row r="510" spans="1:58" ht="18.75" customHeight="1" x14ac:dyDescent="0.25">
      <c r="A510" s="46" t="inlineStr">
        <is>
          <t xml:space="preserve">CANON-202606-009098</t>
        </is>
      </c>
      <c r="B510" s="46" t="inlineStr">
        <is>
          <t xml:space="preserve">Sunniva Ashcombe</t>
        </is>
      </c>
      <c r="C510" s="47">
        <v>46176</v>
      </c>
      <c r="D510" s="48" t="inlineStr">
        <is>
          <t xml:space="preserve">Bound - within authority</t>
        </is>
      </c>
      <c r="E510" s="48" t="inlineStr">
        <is>
          <t xml:space="preserve">New business</t>
        </is>
      </c>
      <c r="F510" s="46" t="inlineStr">
        <is>
          <t xml:space="preserve">B1234EXOTIC26</t>
        </is>
      </c>
      <c r="G510" s="33">
        <f>IF($A510="","",IF($C510="","",YEAR($C510)))</f>
      </c>
      <c r="H510" s="49">
        <v>1975</v>
      </c>
      <c r="I510" s="46" t="inlineStr">
        <is>
          <t xml:space="preserve">Porsche</t>
        </is>
      </c>
      <c r="J510" s="46" t="inlineStr">
        <is>
          <t xml:space="preserve">911 Turbo S</t>
        </is>
      </c>
      <c r="K510" s="46" t="inlineStr">
        <is>
          <t xml:space="preserve">7AGBTT2TYVSUUA55X</t>
        </is>
      </c>
      <c r="L510" s="48" t="inlineStr">
        <is>
          <t xml:space="preserve">02 - Sports / GT</t>
        </is>
      </c>
      <c r="M510" s="50">
        <v>365000</v>
      </c>
      <c r="N510" s="48" t="inlineStr">
        <is>
          <t xml:space="preserve">Personal</t>
        </is>
      </c>
      <c r="O510" s="46" t="inlineStr">
        <is>
          <t xml:space="preserve">Personal - regular use</t>
        </is>
      </c>
      <c r="P510" s="46" t="inlineStr">
        <is>
          <t xml:space="preserve">2,500 - 5,000</t>
        </is>
      </c>
      <c r="Q510" s="46" t="inlineStr">
        <is>
          <t xml:space="preserve">Rhode Island</t>
        </is>
      </c>
      <c r="R510" s="46" t="inlineStr">
        <is>
          <t xml:space="preserve">02903</t>
        </is>
      </c>
      <c r="S510" s="48" t="inlineStr">
        <is>
          <t xml:space="preserve">Tier 3 - Coastal wind (25-100 miles)</t>
        </is>
      </c>
      <c r="T510" s="36">
        <f>IF($A510="","",IF($S510="","",IFERROR(INDEX('[1]natural catastrophe'!$D$6:$D$17,MATCH($S510,'[1]natural catastrophe'!$B$6:$B$17,0)),"?")))</f>
      </c>
      <c r="U510" s="46" t="inlineStr">
        <is>
          <t xml:space="preserve">2% of agreed value, minimum $10,000</t>
        </is>
      </c>
      <c r="V510" s="48" t="inlineStr">
        <is>
          <t xml:space="preserve">Agreed Value</t>
        </is>
      </c>
      <c r="W510" s="46" t="inlineStr">
        <is>
          <t xml:space="preserve">$1,000</t>
        </is>
      </c>
      <c r="X510" s="48" t="inlineStr">
        <is>
          <t xml:space="preserve">$1,000,000 CSL</t>
        </is>
      </c>
      <c r="Y510" s="46"/>
      <c r="Z510" s="46"/>
      <c r="AA510" s="48" t="inlineStr">
        <is>
          <t xml:space="preserve">Surplus Lines</t>
        </is>
      </c>
      <c r="AB510" s="50">
        <v>5411.86</v>
      </c>
      <c r="AC510" s="51">
        <v>0</v>
      </c>
      <c r="AD510" s="38">
        <f>IF(ISNUMBER($AB510),$AB510*(1+N($AC510)),"")</f>
      </c>
      <c r="AE510" s="50">
        <v>350</v>
      </c>
      <c r="AF510" s="50">
        <v>0</v>
      </c>
      <c r="AG510" s="51"/>
      <c r="AH510" s="39">
        <f>IF(ISNUMBER($AD510),($AD510+$AE510+$AF510)*$AG510,"")</f>
      </c>
      <c r="AI510" s="50"/>
      <c r="AJ510" s="38">
        <f>IF(ISNUMBER($AD510),SUM($AD510:$AH510),"")</f>
      </c>
      <c r="AK510" s="40">
        <f>IF(AND(ISNUMBER($AB510),ISNUMBER($AD510)),IF($AB510&gt;0,$AD510/$AB510,""),"")</f>
      </c>
      <c r="AL510" s="48" t="inlineStr">
        <is>
          <t xml:space="preserve">At technical</t>
        </is>
      </c>
      <c r="AM510" s="41">
        <f>IF(ISNUMBER($AD510),Header!$I$3,"")</f>
      </c>
      <c r="AN510" s="39">
        <f>IF(ISNUMBER($AD510),$AO510+$AP510,"")</f>
      </c>
      <c r="AO510" s="39">
        <f>IF(ISNUMBER($AD510),ROUND($AD510*Header!$K$3,2),"")</f>
      </c>
      <c r="AP510" s="39">
        <f>IF(ISNUMBER($AD510),ROUND($AD510*Header!$M$3,2),"")</f>
      </c>
      <c r="AQ510" s="38">
        <f>IF(ISNUMBER($AD510),ROUND($AD510,2)-$AO510-$AP510,"")</f>
      </c>
      <c r="AR510" s="39">
        <f>IF(ISNUMBER($AD510),IF(Header!$D$34="","?",$AD510*Header!$D$34),"")</f>
      </c>
      <c r="AS510" s="39">
        <f>IF(ISNUMBER($AB510),IF(Header!$D$34="","?",$AB510*Header!$D$34),"")</f>
      </c>
      <c r="AT510" s="42">
        <f>IF(AND(ISNUMBER($AB510),$M510&gt;0),$AB510/$M510*100,"")</f>
      </c>
      <c r="AU510" s="42">
        <f>IF(AND(ISNUMBER($AD510),$M510&gt;0),$AD510/$M510*100,"")</f>
      </c>
      <c r="AV510" s="40">
        <f>IF(AND(ISNUMBER($AB510),ISNUMBER($AD510),ABS($AB510)&gt;0),$AD510/$AB510,"")</f>
      </c>
      <c r="AW510" s="39">
        <f>IF(ISNUMBER($AD510),MAX(0,(1-0.55-Header!$O$3)*Header!$Q$3*$AQ510),"")</f>
      </c>
      <c r="AX510" s="43">
        <f>IF($A510="","",IF(TRIM(IF($A510="","Missing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",""))="","PASS","FAIL: "&amp;TRIM(IF($A510="","Missing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f>
      </c>
      <c r="AY510" s="44">
        <f>IF($M510="","",IF(ISNUMBER($M510),IF($M510&gt;=Header!$C$18,"YES — refer","No"),""))</f>
      </c>
      <c r="AZ510" s="44">
        <f>IF($AD510="","",IF(ISNUMBER($AD510),IF($AD510&lt;Header!$C$20,"BELOW MIN PREMIUM","OK"),""))</f>
      </c>
      <c r="BA510" s="48" t="inlineStr">
        <is>
          <t xml:space="preserve">Yes</t>
        </is>
      </c>
      <c r="BB510" s="48" t="inlineStr">
        <is>
          <t xml:space="preserve">Yes</t>
        </is>
      </c>
      <c r="BC510" s="46" t="inlineStr">
        <is>
          <t xml:space="preserve">Synthetic demo data</t>
        </is>
      </c>
      <c r="BE510" s="45">
        <f>IF(OR($A510="",$L510="",$H510=""),"",IF(AND(LEFT($L510,2)="06",$H510&gt;1945),"FAIL - pre-war class, year "&amp;$H510,IF(AND(LEFT($L510,2)="07",OR($H510&lt;1946,$H510&gt;1972)),"FAIL - 1946-72 class, year "&amp;$H510,IF(AND(LEFT($L510,2)="08",OR($H510&lt;1973,$H510&gt;1999)),"FAIL - 1973-99 class, year "&amp;$H510,IF(AND(LEFT($L510,2)="09",OR($H510&lt;2000,$H510&gt;2010)),"FAIL - 2000-10 class, year "&amp;$H510,"OK")))))</f>
      </c>
      <c r="BF510" s="45">
        <f>IF($AD510="","",IF(ROUND($AO510+$AP510+$AQ510-$AD510,2)=0,"OK","FAIL - out by "&amp;TEXT($AO510+$AP510+$AQ510-$AD510,"$0.00")))</f>
      </c>
    </row>
    <row r="511" spans="1:58" ht="18.75" customHeight="1" x14ac:dyDescent="0.25">
      <c r="A511" s="30" t="inlineStr">
        <is>
          <t xml:space="preserve">CANON-202606-009099</t>
        </is>
      </c>
      <c r="B511" s="30" t="inlineStr">
        <is>
          <t xml:space="preserve">Callum Delacroix</t>
        </is>
      </c>
      <c r="C511" s="31">
        <v>46199</v>
      </c>
      <c r="D511" s="32" t="inlineStr">
        <is>
          <t xml:space="preserve">Bound - within authority</t>
        </is>
      </c>
      <c r="E511" s="32" t="inlineStr">
        <is>
          <t xml:space="preserve">New business</t>
        </is>
      </c>
      <c r="F511" s="30" t="inlineStr">
        <is>
          <t xml:space="preserve">B1234EXOTIC26</t>
        </is>
      </c>
      <c r="G511" s="33">
        <f>IF($A511="","",IF($C511="","",YEAR($C511)))</f>
      </c>
      <c r="H511" s="34">
        <v>1973</v>
      </c>
      <c r="I511" s="30" t="inlineStr">
        <is>
          <t xml:space="preserve">Bentley</t>
        </is>
      </c>
      <c r="J511" s="30" t="inlineStr">
        <is>
          <t xml:space="preserve">4.5 Litre</t>
        </is>
      </c>
      <c r="K511" s="30" t="inlineStr">
        <is>
          <t xml:space="preserve">21XALL3Y3Y3KYKZ6U</t>
        </is>
      </c>
      <c r="L511" s="32" t="inlineStr">
        <is>
          <t xml:space="preserve">08 - Modern Classic (1973-1999)</t>
        </is>
      </c>
      <c r="M511" s="35">
        <v>345000</v>
      </c>
      <c r="N511" s="32" t="inlineStr">
        <is>
          <t xml:space="preserve">Personal</t>
        </is>
      </c>
      <c r="O511" s="30" t="inlineStr">
        <is>
          <t xml:space="preserve">Personal - regular use</t>
        </is>
      </c>
      <c r="P511" s="30" t="inlineStr">
        <is>
          <t xml:space="preserve">1,000 - 2,500</t>
        </is>
      </c>
      <c r="Q511" s="30" t="inlineStr">
        <is>
          <t xml:space="preserve">Kentucky</t>
        </is>
      </c>
      <c r="R511" s="30" t="inlineStr">
        <is>
          <t xml:space="preserve">40202</t>
        </is>
      </c>
      <c r="S511" s="32" t="inlineStr">
        <is>
          <t xml:space="preserve">Severe convective - hail / tornado (moderate)</t>
        </is>
      </c>
      <c r="T511" s="36">
        <f>IF($A511="","",IF($S511="","",IFERROR(INDEX('[1]natural catastrophe'!$D$6:$D$17,MATCH($S511,'[1]natural catastrophe'!$B$6:$B$17,0)),"?")))</f>
      </c>
      <c r="U511" s="30" t="inlineStr">
        <is>
          <t xml:space="preserve">$5,000</t>
        </is>
      </c>
      <c r="V511" s="32" t="inlineStr">
        <is>
          <t xml:space="preserve">Agreed Value</t>
        </is>
      </c>
      <c r="W511" s="30" t="inlineStr">
        <is>
          <t xml:space="preserve">$1,000</t>
        </is>
      </c>
      <c r="X511" s="32" t="inlineStr">
        <is>
          <t xml:space="preserve">$1,000,000 CSL</t>
        </is>
      </c>
      <c r="Y511" s="30"/>
      <c r="Z511" s="30"/>
      <c r="AA511" s="32" t="inlineStr">
        <is>
          <t xml:space="preserve">Surplus Lines</t>
        </is>
      </c>
      <c r="AB511" s="35">
        <v>2801.85</v>
      </c>
      <c r="AC511" s="37">
        <v>0</v>
      </c>
      <c r="AD511" s="38">
        <f>IF(ISNUMBER($AB511),$AB511*(1+N($AC511)),"")</f>
      </c>
      <c r="AE511" s="35">
        <v>350</v>
      </c>
      <c r="AF511" s="35">
        <v>0</v>
      </c>
      <c r="AG511" s="37"/>
      <c r="AH511" s="39">
        <f>IF(ISNUMBER($AD511),($AD511+$AE511+$AF511)*$AG511,"")</f>
      </c>
      <c r="AI511" s="35"/>
      <c r="AJ511" s="38">
        <f>IF(ISNUMBER($AD511),SUM($AD511:$AH511),"")</f>
      </c>
      <c r="AK511" s="40">
        <f>IF(AND(ISNUMBER($AB511),ISNUMBER($AD511)),IF($AB511&gt;0,$AD511/$AB511,""),"")</f>
      </c>
      <c r="AL511" s="32" t="inlineStr">
        <is>
          <t xml:space="preserve">At technical</t>
        </is>
      </c>
      <c r="AM511" s="41">
        <f>IF(ISNUMBER($AD511),Header!$I$3,"")</f>
      </c>
      <c r="AN511" s="39">
        <f>IF(ISNUMBER($AD511),$AO511+$AP511,"")</f>
      </c>
      <c r="AO511" s="39">
        <f>IF(ISNUMBER($AD511),ROUND($AD511*Header!$K$3,2),"")</f>
      </c>
      <c r="AP511" s="39">
        <f>IF(ISNUMBER($AD511),ROUND($AD511*Header!$M$3,2),"")</f>
      </c>
      <c r="AQ511" s="38">
        <f>IF(ISNUMBER($AD511),ROUND($AD511,2)-$AO511-$AP511,"")</f>
      </c>
      <c r="AR511" s="39">
        <f>IF(ISNUMBER($AD511),IF(Header!$D$34="","?",$AD511*Header!$D$34),"")</f>
      </c>
      <c r="AS511" s="39">
        <f>IF(ISNUMBER($AB511),IF(Header!$D$34="","?",$AB511*Header!$D$34),"")</f>
      </c>
      <c r="AT511" s="42">
        <f>IF(AND(ISNUMBER($AB511),$M511&gt;0),$AB511/$M511*100,"")</f>
      </c>
      <c r="AU511" s="42">
        <f>IF(AND(ISNUMBER($AD511),$M511&gt;0),$AD511/$M511*100,"")</f>
      </c>
      <c r="AV511" s="40">
        <f>IF(AND(ISNUMBER($AB511),ISNUMBER($AD511),ABS($AB511)&gt;0),$AD511/$AB511,"")</f>
      </c>
      <c r="AW511" s="39">
        <f>IF(ISNUMBER($AD511),MAX(0,(1-0.55-Header!$O$3)*Header!$Q$3*$AQ511),"")</f>
      </c>
      <c r="AX511" s="43">
        <f>IF($A511="","",IF(TRIM(IF($A511="","Missing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",""))="","PASS","FAIL: "&amp;TRIM(IF($A511="","Missing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f>
      </c>
      <c r="AY511" s="44">
        <f>IF($M511="","",IF(ISNUMBER($M511),IF($M511&gt;=Header!$C$18,"YES — refer","No"),""))</f>
      </c>
      <c r="AZ511" s="44">
        <f>IF($AD511="","",IF(ISNUMBER($AD511),IF($AD511&lt;Header!$C$20,"BELOW MIN PREMIUM","OK"),""))</f>
      </c>
      <c r="BA511" s="32" t="inlineStr">
        <is>
          <t xml:space="preserve">Yes</t>
        </is>
      </c>
      <c r="BB511" s="32" t="inlineStr">
        <is>
          <t xml:space="preserve">Yes</t>
        </is>
      </c>
      <c r="BC511" s="30" t="inlineStr">
        <is>
          <t xml:space="preserve">Synthetic demo data</t>
        </is>
      </c>
      <c r="BE511" s="45">
        <f>IF(OR($A511="",$L511="",$H511=""),"",IF(AND(LEFT($L511,2)="06",$H511&gt;1945),"FAIL - pre-war class, year "&amp;$H511,IF(AND(LEFT($L511,2)="07",OR($H511&lt;1946,$H511&gt;1972)),"FAIL - 1946-72 class, year "&amp;$H511,IF(AND(LEFT($L511,2)="08",OR($H511&lt;1973,$H511&gt;1999)),"FAIL - 1973-99 class, year "&amp;$H511,IF(AND(LEFT($L511,2)="09",OR($H511&lt;2000,$H511&gt;2010)),"FAIL - 2000-10 class, year "&amp;$H511,"OK")))))</f>
      </c>
      <c r="BF511" s="45">
        <f>IF($AD511="","",IF(ROUND($AO511+$AP511+$AQ511-$AD511,2)=0,"OK","FAIL - out by "&amp;TEXT($AO511+$AP511+$AQ511-$AD511,"$0.00")))</f>
      </c>
    </row>
    <row r="512" spans="1:58" ht="18.75" customHeight="1" x14ac:dyDescent="0.25">
      <c r="A512" s="46" t="inlineStr">
        <is>
          <t xml:space="preserve">CANON-202606-009100</t>
        </is>
      </c>
      <c r="B512" s="46" t="inlineStr">
        <is>
          <t xml:space="preserve">Leopold Ashcombe</t>
        </is>
      </c>
      <c r="C512" s="47">
        <v>46194</v>
      </c>
      <c r="D512" s="48" t="inlineStr">
        <is>
          <t xml:space="preserve">Bound - within authority</t>
        </is>
      </c>
      <c r="E512" s="48" t="inlineStr">
        <is>
          <t xml:space="preserve">New business</t>
        </is>
      </c>
      <c r="F512" s="46" t="inlineStr">
        <is>
          <t xml:space="preserve">B1234EXOTIC26</t>
        </is>
      </c>
      <c r="G512" s="33">
        <f>IF($A512="","",IF($C512="","",YEAR($C512)))</f>
      </c>
      <c r="H512" s="49">
        <v>2018</v>
      </c>
      <c r="I512" s="46" t="inlineStr">
        <is>
          <t xml:space="preserve">Ferrari</t>
        </is>
      </c>
      <c r="J512" s="46" t="inlineStr">
        <is>
          <t xml:space="preserve">SF90 Stradale</t>
        </is>
      </c>
      <c r="K512" s="46" t="inlineStr">
        <is>
          <t xml:space="preserve">VXNPWK9XEDGE87AD1</t>
        </is>
      </c>
      <c r="L512" s="48" t="inlineStr">
        <is>
          <t xml:space="preserve">03 - Supercar</t>
        </is>
      </c>
      <c r="M512" s="50">
        <v>1950000</v>
      </c>
      <c r="N512" s="48" t="inlineStr">
        <is>
          <t xml:space="preserve">Personal</t>
        </is>
      </c>
      <c r="O512" s="46" t="inlineStr">
        <is>
          <t xml:space="preserve">Personal - regular use</t>
        </is>
      </c>
      <c r="P512" s="46" t="inlineStr">
        <is>
          <t xml:space="preserve">2,500 - 5,000</t>
        </is>
      </c>
      <c r="Q512" s="46" t="inlineStr">
        <is>
          <t xml:space="preserve">Texas</t>
        </is>
      </c>
      <c r="R512" s="46" t="inlineStr">
        <is>
          <t xml:space="preserve">75201</t>
        </is>
      </c>
      <c r="S512" s="48" t="inlineStr">
        <is>
          <t xml:space="preserve">Tier 2 - Coastal wind (1-25 miles)</t>
        </is>
      </c>
      <c r="T512" s="36">
        <f>IF($A512="","",IF($S512="","",IFERROR(INDEX('[1]natural catastrophe'!$D$6:$D$17,MATCH($S512,'[1]natural catastrophe'!$B$6:$B$17,0)),"?")))</f>
      </c>
      <c r="U512" s="46" t="inlineStr">
        <is>
          <t xml:space="preserve">2% of agreed value, minimum $10,000</t>
        </is>
      </c>
      <c r="V512" s="48" t="inlineStr">
        <is>
          <t xml:space="preserve">Agreed Value</t>
        </is>
      </c>
      <c r="W512" s="46" t="inlineStr">
        <is>
          <t xml:space="preserve">$1,000</t>
        </is>
      </c>
      <c r="X512" s="48" t="inlineStr">
        <is>
          <t xml:space="preserve">$1,000,000 CSL</t>
        </is>
      </c>
      <c r="Y512" s="46"/>
      <c r="Z512" s="46"/>
      <c r="AA512" s="48" t="inlineStr">
        <is>
          <t xml:space="preserve">Surplus Lines</t>
        </is>
      </c>
      <c r="AB512" s="50">
        <v>25887.76</v>
      </c>
      <c r="AC512" s="51">
        <v>0</v>
      </c>
      <c r="AD512" s="38">
        <f>IF(ISNUMBER($AB512),$AB512*(1+N($AC512)),"")</f>
      </c>
      <c r="AE512" s="50">
        <v>350</v>
      </c>
      <c r="AF512" s="50">
        <v>250</v>
      </c>
      <c r="AG512" s="51"/>
      <c r="AH512" s="39">
        <f>IF(ISNUMBER($AD512),($AD512+$AE512+$AF512)*$AG512,"")</f>
      </c>
      <c r="AI512" s="50"/>
      <c r="AJ512" s="38">
        <f>IF(ISNUMBER($AD512),SUM($AD512:$AH512),"")</f>
      </c>
      <c r="AK512" s="40">
        <f>IF(AND(ISNUMBER($AB512),ISNUMBER($AD512)),IF($AB512&gt;0,$AD512/$AB512,""),"")</f>
      </c>
      <c r="AL512" s="48" t="inlineStr">
        <is>
          <t xml:space="preserve">At technical</t>
        </is>
      </c>
      <c r="AM512" s="41">
        <f>IF(ISNUMBER($AD512),Header!$I$3,"")</f>
      </c>
      <c r="AN512" s="39">
        <f>IF(ISNUMBER($AD512),$AO512+$AP512,"")</f>
      </c>
      <c r="AO512" s="39">
        <f>IF(ISNUMBER($AD512),ROUND($AD512*Header!$K$3,2),"")</f>
      </c>
      <c r="AP512" s="39">
        <f>IF(ISNUMBER($AD512),ROUND($AD512*Header!$M$3,2),"")</f>
      </c>
      <c r="AQ512" s="38">
        <f>IF(ISNUMBER($AD512),ROUND($AD512,2)-$AO512-$AP512,"")</f>
      </c>
      <c r="AR512" s="39">
        <f>IF(ISNUMBER($AD512),IF(Header!$D$34="","?",$AD512*Header!$D$34),"")</f>
      </c>
      <c r="AS512" s="39">
        <f>IF(ISNUMBER($AB512),IF(Header!$D$34="","?",$AB512*Header!$D$34),"")</f>
      </c>
      <c r="AT512" s="42">
        <f>IF(AND(ISNUMBER($AB512),$M512&gt;0),$AB512/$M512*100,"")</f>
      </c>
      <c r="AU512" s="42">
        <f>IF(AND(ISNUMBER($AD512),$M512&gt;0),$AD512/$M512*100,"")</f>
      </c>
      <c r="AV512" s="40">
        <f>IF(AND(ISNUMBER($AB512),ISNUMBER($AD512),ABS($AB512)&gt;0),$AD512/$AB512,"")</f>
      </c>
      <c r="AW512" s="39">
        <f>IF(ISNUMBER($AD512),MAX(0,(1-0.55-Header!$O$3)*Header!$Q$3*$AQ512),"")</f>
      </c>
      <c r="AX512" s="43">
        <f>IF($A512="","",IF(TRIM(IF($A512="","Missing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",""))="","PASS","FAIL: "&amp;TRIM(IF($A512="","Missing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f>
      </c>
      <c r="AY512" s="44">
        <f>IF($M512="","",IF(ISNUMBER($M512),IF($M512&gt;=Header!$C$18,"YES — refer","No"),""))</f>
      </c>
      <c r="AZ512" s="44">
        <f>IF($AD512="","",IF(ISNUMBER($AD512),IF($AD512&lt;Header!$C$20,"BELOW MIN PREMIUM","OK"),""))</f>
      </c>
      <c r="BA512" s="48" t="inlineStr">
        <is>
          <t xml:space="preserve">Yes</t>
        </is>
      </c>
      <c r="BB512" s="48" t="inlineStr">
        <is>
          <t xml:space="preserve">Yes</t>
        </is>
      </c>
      <c r="BC512" s="46" t="inlineStr">
        <is>
          <t xml:space="preserve">Synthetic demo data</t>
        </is>
      </c>
      <c r="BE512" s="45">
        <f>IF(OR($A512="",$L512="",$H512=""),"",IF(AND(LEFT($L512,2)="06",$H512&gt;1945),"FAIL - pre-war class, year "&amp;$H512,IF(AND(LEFT($L512,2)="07",OR($H512&lt;1946,$H512&gt;1972)),"FAIL - 1946-72 class, year "&amp;$H512,IF(AND(LEFT($L512,2)="08",OR($H512&lt;1973,$H512&gt;1999)),"FAIL - 1973-99 class, year "&amp;$H512,IF(AND(LEFT($L512,2)="09",OR($H512&lt;2000,$H512&gt;2010)),"FAIL - 2000-10 class, year "&amp;$H512,"OK")))))</f>
      </c>
      <c r="BF512" s="45">
        <f>IF($AD512="","",IF(ROUND($AO512+$AP512+$AQ512-$AD512,2)=0,"OK","FAIL - out by "&amp;TEXT($AO512+$AP512+$AQ512-$AD512,"$0.00")))</f>
      </c>
    </row>
    <row r="513" spans="1:58" ht="18.75" customHeight="1" x14ac:dyDescent="0.25">
      <c r="A513" s="30" t="inlineStr">
        <is>
          <t xml:space="preserve">CANON-202606-009101</t>
        </is>
      </c>
      <c r="B513" s="30" t="inlineStr">
        <is>
          <t xml:space="preserve">Desmond Pennington</t>
        </is>
      </c>
      <c r="C513" s="31">
        <v>46190</v>
      </c>
      <c r="D513" s="32" t="inlineStr">
        <is>
          <t xml:space="preserve">Bound - within authority</t>
        </is>
      </c>
      <c r="E513" s="32" t="inlineStr">
        <is>
          <t xml:space="preserve">New business</t>
        </is>
      </c>
      <c r="F513" s="30" t="inlineStr">
        <is>
          <t xml:space="preserve">B1234EXOTIC26</t>
        </is>
      </c>
      <c r="G513" s="33">
        <f>IF($A513="","",IF($C513="","",YEAR($C513)))</f>
      </c>
      <c r="H513" s="34">
        <v>2009</v>
      </c>
      <c r="I513" s="30" t="inlineStr">
        <is>
          <t xml:space="preserve">Ferrari</t>
        </is>
      </c>
      <c r="J513" s="30" t="inlineStr">
        <is>
          <t xml:space="preserve">296 GTB</t>
        </is>
      </c>
      <c r="K513" s="30" t="inlineStr">
        <is>
          <t xml:space="preserve">33X4NCWYBV3GABC02</t>
        </is>
      </c>
      <c r="L513" s="32" t="inlineStr">
        <is>
          <t xml:space="preserve">03 - Supercar</t>
        </is>
      </c>
      <c r="M513" s="35">
        <v>1275000</v>
      </c>
      <c r="N513" s="32" t="inlineStr">
        <is>
          <t xml:space="preserve">Personal</t>
        </is>
      </c>
      <c r="O513" s="30" t="inlineStr">
        <is>
          <t xml:space="preserve">Personal - regular use</t>
        </is>
      </c>
      <c r="P513" s="30" t="inlineStr">
        <is>
          <t xml:space="preserve">1,000 - 2,500</t>
        </is>
      </c>
      <c r="Q513" s="30" t="inlineStr">
        <is>
          <t xml:space="preserve">New Jersey</t>
        </is>
      </c>
      <c r="R513" s="30" t="inlineStr">
        <is>
          <t xml:space="preserve">07102</t>
        </is>
      </c>
      <c r="S513" s="32" t="inlineStr">
        <is>
          <t xml:space="preserve">Tier 3 - Coastal wind (25-100 miles)</t>
        </is>
      </c>
      <c r="T513" s="36">
        <f>IF($A513="","",IF($S513="","",IFERROR(INDEX('[1]natural catastrophe'!$D$6:$D$17,MATCH($S513,'[1]natural catastrophe'!$B$6:$B$17,0)),"?")))</f>
      </c>
      <c r="U513" s="30" t="inlineStr">
        <is>
          <t xml:space="preserve">2% of agreed value, minimum $10,000</t>
        </is>
      </c>
      <c r="V513" s="32" t="inlineStr">
        <is>
          <t xml:space="preserve">Agreed Value</t>
        </is>
      </c>
      <c r="W513" s="30" t="inlineStr">
        <is>
          <t xml:space="preserve">$1,000</t>
        </is>
      </c>
      <c r="X513" s="32" t="inlineStr">
        <is>
          <t xml:space="preserve">$1,000,000 CSL</t>
        </is>
      </c>
      <c r="Y513" s="30"/>
      <c r="Z513" s="30"/>
      <c r="AA513" s="32" t="inlineStr">
        <is>
          <t xml:space="preserve">Surplus Lines</t>
        </is>
      </c>
      <c r="AB513" s="35">
        <v>13394.1</v>
      </c>
      <c r="AC513" s="37">
        <v>0</v>
      </c>
      <c r="AD513" s="38">
        <f>IF(ISNUMBER($AB513),$AB513*(1+N($AC513)),"")</f>
      </c>
      <c r="AE513" s="35">
        <v>350</v>
      </c>
      <c r="AF513" s="35">
        <v>250</v>
      </c>
      <c r="AG513" s="37"/>
      <c r="AH513" s="39">
        <f>IF(ISNUMBER($AD513),($AD513+$AE513+$AF513)*$AG513,"")</f>
      </c>
      <c r="AI513" s="35"/>
      <c r="AJ513" s="38">
        <f>IF(ISNUMBER($AD513),SUM($AD513:$AH513),"")</f>
      </c>
      <c r="AK513" s="40">
        <f>IF(AND(ISNUMBER($AB513),ISNUMBER($AD513)),IF($AB513&gt;0,$AD513/$AB513,""),"")</f>
      </c>
      <c r="AL513" s="32" t="inlineStr">
        <is>
          <t xml:space="preserve">At technical</t>
        </is>
      </c>
      <c r="AM513" s="41">
        <f>IF(ISNUMBER($AD513),Header!$I$3,"")</f>
      </c>
      <c r="AN513" s="39">
        <f>IF(ISNUMBER($AD513),$AO513+$AP513,"")</f>
      </c>
      <c r="AO513" s="39">
        <f>IF(ISNUMBER($AD513),ROUND($AD513*Header!$K$3,2),"")</f>
      </c>
      <c r="AP513" s="39">
        <f>IF(ISNUMBER($AD513),ROUND($AD513*Header!$M$3,2),"")</f>
      </c>
      <c r="AQ513" s="38">
        <f>IF(ISNUMBER($AD513),ROUND($AD513,2)-$AO513-$AP513,"")</f>
      </c>
      <c r="AR513" s="39">
        <f>IF(ISNUMBER($AD513),IF(Header!$D$34="","?",$AD513*Header!$D$34),"")</f>
      </c>
      <c r="AS513" s="39">
        <f>IF(ISNUMBER($AB513),IF(Header!$D$34="","?",$AB513*Header!$D$34),"")</f>
      </c>
      <c r="AT513" s="42">
        <f>IF(AND(ISNUMBER($AB513),$M513&gt;0),$AB513/$M513*100,"")</f>
      </c>
      <c r="AU513" s="42">
        <f>IF(AND(ISNUMBER($AD513),$M513&gt;0),$AD513/$M513*100,"")</f>
      </c>
      <c r="AV513" s="40">
        <f>IF(AND(ISNUMBER($AB513),ISNUMBER($AD513),ABS($AB513)&gt;0),$AD513/$AB513,"")</f>
      </c>
      <c r="AW513" s="39">
        <f>IF(ISNUMBER($AD513),MAX(0,(1-0.55-Header!$O$3)*Header!$Q$3*$AQ513),"")</f>
      </c>
      <c r="AX513" s="43">
        <f>IF($A513="","",IF(TRIM(IF($A513="","Missing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",""))="","PASS","FAIL: "&amp;TRIM(IF($A513="","Missing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f>
      </c>
      <c r="AY513" s="44">
        <f>IF($M513="","",IF(ISNUMBER($M513),IF($M513&gt;=Header!$C$18,"YES — refer","No"),""))</f>
      </c>
      <c r="AZ513" s="44">
        <f>IF($AD513="","",IF(ISNUMBER($AD513),IF($AD513&lt;Header!$C$20,"BELOW MIN PREMIUM","OK"),""))</f>
      </c>
      <c r="BA513" s="32" t="inlineStr">
        <is>
          <t xml:space="preserve">Yes</t>
        </is>
      </c>
      <c r="BB513" s="32" t="inlineStr">
        <is>
          <t xml:space="preserve">Yes</t>
        </is>
      </c>
      <c r="BC513" s="30" t="inlineStr">
        <is>
          <t xml:space="preserve">Synthetic demo data</t>
        </is>
      </c>
      <c r="BE513" s="45">
        <f>IF(OR($A513="",$L513="",$H513=""),"",IF(AND(LEFT($L513,2)="06",$H513&gt;1945),"FAIL - pre-war class, year "&amp;$H513,IF(AND(LEFT($L513,2)="07",OR($H513&lt;1946,$H513&gt;1972)),"FAIL - 1946-72 class, year "&amp;$H513,IF(AND(LEFT($L513,2)="08",OR($H513&lt;1973,$H513&gt;1999)),"FAIL - 1973-99 class, year "&amp;$H513,IF(AND(LEFT($L513,2)="09",OR($H513&lt;2000,$H513&gt;2010)),"FAIL - 2000-10 class, year "&amp;$H513,"OK")))))</f>
      </c>
      <c r="BF513" s="45">
        <f>IF($AD513="","",IF(ROUND($AO513+$AP513+$AQ513-$AD513,2)=0,"OK","FAIL - out by "&amp;TEXT($AO513+$AP513+$AQ513-$AD513,"$0.00")))</f>
      </c>
    </row>
    <row r="514" spans="1:58" ht="18.75" customHeight="1" x14ac:dyDescent="0.25">
      <c r="A514" s="46" t="inlineStr">
        <is>
          <t xml:space="preserve">CANON-202606-009102</t>
        </is>
      </c>
      <c r="B514" s="46" t="inlineStr">
        <is>
          <t xml:space="preserve">Ingrid Rourke</t>
        </is>
      </c>
      <c r="C514" s="47">
        <v>46190</v>
      </c>
      <c r="D514" s="48" t="inlineStr">
        <is>
          <t xml:space="preserve">Bound - within authority</t>
        </is>
      </c>
      <c r="E514" s="48" t="inlineStr">
        <is>
          <t xml:space="preserve">New business</t>
        </is>
      </c>
      <c r="F514" s="46" t="inlineStr">
        <is>
          <t xml:space="preserve">B1234EXOTIC26</t>
        </is>
      </c>
      <c r="G514" s="33">
        <f>IF($A514="","",IF($C514="","",YEAR($C514)))</f>
      </c>
      <c r="H514" s="49">
        <v>2006</v>
      </c>
      <c r="I514" s="46" t="inlineStr">
        <is>
          <t xml:space="preserve">Mercedes-Benz</t>
        </is>
      </c>
      <c r="J514" s="46" t="inlineStr">
        <is>
          <t xml:space="preserve">AMG GT</t>
        </is>
      </c>
      <c r="K514" s="46" t="inlineStr">
        <is>
          <t xml:space="preserve">R90UP1BC5WG90N0K7</t>
        </is>
      </c>
      <c r="L514" s="48" t="inlineStr">
        <is>
          <t xml:space="preserve">02 - Sports / GT</t>
        </is>
      </c>
      <c r="M514" s="50">
        <v>1390000</v>
      </c>
      <c r="N514" s="48" t="inlineStr">
        <is>
          <t xml:space="preserve">Personal</t>
        </is>
      </c>
      <c r="O514" s="46" t="inlineStr">
        <is>
          <t xml:space="preserve">Personal - regular use</t>
        </is>
      </c>
      <c r="P514" s="46" t="inlineStr">
        <is>
          <t xml:space="preserve">Under 1,000</t>
        </is>
      </c>
      <c r="Q514" s="46" t="inlineStr">
        <is>
          <t xml:space="preserve">New Jersey</t>
        </is>
      </c>
      <c r="R514" s="46" t="inlineStr">
        <is>
          <t xml:space="preserve">07102</t>
        </is>
      </c>
      <c r="S514" s="48" t="inlineStr">
        <is>
          <t xml:space="preserve">Tier 3 - Coastal wind (25-100 miles)</t>
        </is>
      </c>
      <c r="T514" s="36">
        <f>IF($A514="","",IF($S514="","",IFERROR(INDEX('[1]natural catastrophe'!$D$6:$D$17,MATCH($S514,'[1]natural catastrophe'!$B$6:$B$17,0)),"?")))</f>
      </c>
      <c r="U514" s="46" t="inlineStr">
        <is>
          <t xml:space="preserve">2% of agreed value, minimum $10,000</t>
        </is>
      </c>
      <c r="V514" s="48" t="inlineStr">
        <is>
          <t xml:space="preserve">Agreed Value</t>
        </is>
      </c>
      <c r="W514" s="46" t="inlineStr">
        <is>
          <t xml:space="preserve">$1,000</t>
        </is>
      </c>
      <c r="X514" s="48" t="inlineStr">
        <is>
          <t xml:space="preserve">$1,000,000 CSL</t>
        </is>
      </c>
      <c r="Y514" s="46"/>
      <c r="Z514" s="46"/>
      <c r="AA514" s="48" t="inlineStr">
        <is>
          <t xml:space="preserve">Surplus Lines</t>
        </is>
      </c>
      <c r="AB514" s="50">
        <v>10039.01</v>
      </c>
      <c r="AC514" s="51">
        <v>0</v>
      </c>
      <c r="AD514" s="38">
        <f>IF(ISNUMBER($AB514),$AB514*(1+N($AC514)),"")</f>
      </c>
      <c r="AE514" s="50">
        <v>350</v>
      </c>
      <c r="AF514" s="50">
        <v>250</v>
      </c>
      <c r="AG514" s="51"/>
      <c r="AH514" s="39">
        <f>IF(ISNUMBER($AD514),($AD514+$AE514+$AF514)*$AG514,"")</f>
      </c>
      <c r="AI514" s="50"/>
      <c r="AJ514" s="38">
        <f>IF(ISNUMBER($AD514),SUM($AD514:$AH514),"")</f>
      </c>
      <c r="AK514" s="40">
        <f>IF(AND(ISNUMBER($AB514),ISNUMBER($AD514)),IF($AB514&gt;0,$AD514/$AB514,""),"")</f>
      </c>
      <c r="AL514" s="48" t="inlineStr">
        <is>
          <t xml:space="preserve">At technical</t>
        </is>
      </c>
      <c r="AM514" s="41">
        <f>IF(ISNUMBER($AD514),Header!$I$3,"")</f>
      </c>
      <c r="AN514" s="39">
        <f>IF(ISNUMBER($AD514),$AO514+$AP514,"")</f>
      </c>
      <c r="AO514" s="39">
        <f>IF(ISNUMBER($AD514),ROUND($AD514*Header!$K$3,2),"")</f>
      </c>
      <c r="AP514" s="39">
        <f>IF(ISNUMBER($AD514),ROUND($AD514*Header!$M$3,2),"")</f>
      </c>
      <c r="AQ514" s="38">
        <f>IF(ISNUMBER($AD514),ROUND($AD514,2)-$AO514-$AP514,"")</f>
      </c>
      <c r="AR514" s="39">
        <f>IF(ISNUMBER($AD514),IF(Header!$D$34="","?",$AD514*Header!$D$34),"")</f>
      </c>
      <c r="AS514" s="39">
        <f>IF(ISNUMBER($AB514),IF(Header!$D$34="","?",$AB514*Header!$D$34),"")</f>
      </c>
      <c r="AT514" s="42">
        <f>IF(AND(ISNUMBER($AB514),$M514&gt;0),$AB514/$M514*100,"")</f>
      </c>
      <c r="AU514" s="42">
        <f>IF(AND(ISNUMBER($AD514),$M514&gt;0),$AD514/$M514*100,"")</f>
      </c>
      <c r="AV514" s="40">
        <f>IF(AND(ISNUMBER($AB514),ISNUMBER($AD514),ABS($AB514)&gt;0),$AD514/$AB514,"")</f>
      </c>
      <c r="AW514" s="39">
        <f>IF(ISNUMBER($AD514),MAX(0,(1-0.55-Header!$O$3)*Header!$Q$3*$AQ514),"")</f>
      </c>
      <c r="AX514" s="43">
        <f>IF($A514="","",IF(TRIM(IF($A514="","Missing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",""))="","PASS","FAIL: "&amp;TRIM(IF($A514="","Missing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f>
      </c>
      <c r="AY514" s="44">
        <f>IF($M514="","",IF(ISNUMBER($M514),IF($M514&gt;=Header!$C$18,"YES — refer","No"),""))</f>
      </c>
      <c r="AZ514" s="44">
        <f>IF($AD514="","",IF(ISNUMBER($AD514),IF($AD514&lt;Header!$C$20,"BELOW MIN PREMIUM","OK"),""))</f>
      </c>
      <c r="BA514" s="48" t="inlineStr">
        <is>
          <t xml:space="preserve">Yes</t>
        </is>
      </c>
      <c r="BB514" s="48" t="inlineStr">
        <is>
          <t xml:space="preserve">Yes</t>
        </is>
      </c>
      <c r="BC514" s="46" t="inlineStr">
        <is>
          <t xml:space="preserve">Synthetic demo data</t>
        </is>
      </c>
      <c r="BE514" s="45">
        <f>IF(OR($A514="",$L514="",$H514=""),"",IF(AND(LEFT($L514,2)="06",$H514&gt;1945),"FAIL - pre-war class, year "&amp;$H514,IF(AND(LEFT($L514,2)="07",OR($H514&lt;1946,$H514&gt;1972)),"FAIL - 1946-72 class, year "&amp;$H514,IF(AND(LEFT($L514,2)="08",OR($H514&lt;1973,$H514&gt;1999)),"FAIL - 1973-99 class, year "&amp;$H514,IF(AND(LEFT($L514,2)="09",OR($H514&lt;2000,$H514&gt;2010)),"FAIL - 2000-10 class, year "&amp;$H514,"OK")))))</f>
      </c>
      <c r="BF514" s="45">
        <f>IF($AD514="","",IF(ROUND($AO514+$AP514+$AQ514-$AD514,2)=0,"OK","FAIL - out by "&amp;TEXT($AO514+$AP514+$AQ514-$AD514,"$0.00")))</f>
      </c>
    </row>
    <row r="515" spans="1:58" ht="18.75" customHeight="1" x14ac:dyDescent="0.25">
      <c r="A515" s="30" t="inlineStr">
        <is>
          <t xml:space="preserve">CANON-202606-009104</t>
        </is>
      </c>
      <c r="B515" s="30" t="inlineStr">
        <is>
          <t xml:space="preserve">Leopold Rourke</t>
        </is>
      </c>
      <c r="C515" s="31">
        <v>46196</v>
      </c>
      <c r="D515" s="32" t="inlineStr">
        <is>
          <t xml:space="preserve">Bound - within authority</t>
        </is>
      </c>
      <c r="E515" s="32" t="inlineStr">
        <is>
          <t xml:space="preserve">New business</t>
        </is>
      </c>
      <c r="F515" s="30" t="inlineStr">
        <is>
          <t xml:space="preserve">B1234EXOTIC26</t>
        </is>
      </c>
      <c r="G515" s="33">
        <f>IF($A515="","",IF($C515="","",YEAR($C515)))</f>
      </c>
      <c r="H515" s="34">
        <v>1955</v>
      </c>
      <c r="I515" s="30" t="inlineStr">
        <is>
          <t xml:space="preserve">BMW</t>
        </is>
      </c>
      <c r="J515" s="30" t="inlineStr">
        <is>
          <t xml:space="preserve">M8 Competition</t>
        </is>
      </c>
      <c r="K515" s="30" t="inlineStr">
        <is>
          <t xml:space="preserve">AMXNXH8KKKCA9UE54</t>
        </is>
      </c>
      <c r="L515" s="32" t="inlineStr">
        <is>
          <t xml:space="preserve">02 - Sports / GT</t>
        </is>
      </c>
      <c r="M515" s="35">
        <v>1175000</v>
      </c>
      <c r="N515" s="32" t="inlineStr">
        <is>
          <t xml:space="preserve">Personal</t>
        </is>
      </c>
      <c r="O515" s="30" t="inlineStr">
        <is>
          <t xml:space="preserve">Personal - regular use</t>
        </is>
      </c>
      <c r="P515" s="30" t="inlineStr">
        <is>
          <t xml:space="preserve">1,000 - 2,500</t>
        </is>
      </c>
      <c r="Q515" s="30" t="inlineStr">
        <is>
          <t xml:space="preserve">Alaska</t>
        </is>
      </c>
      <c r="R515" s="30" t="inlineStr">
        <is>
          <t xml:space="preserve">99501</t>
        </is>
      </c>
      <c r="S515" s="32" t="inlineStr">
        <is>
          <t xml:space="preserve">Earthquake - high (CA, Cascadia, New Madrid)</t>
        </is>
      </c>
      <c r="T515" s="36">
        <f>IF($A515="","",IF($S515="","",IFERROR(INDEX('[1]natural catastrophe'!$D$6:$D$17,MATCH($S515,'[1]natural catastrophe'!$B$6:$B$17,0)),"?")))</f>
      </c>
      <c r="U515" s="30" t="inlineStr">
        <is>
          <t xml:space="preserve">$5,000</t>
        </is>
      </c>
      <c r="V515" s="32" t="inlineStr">
        <is>
          <t xml:space="preserve">Agreed Value</t>
        </is>
      </c>
      <c r="W515" s="30" t="inlineStr">
        <is>
          <t xml:space="preserve">$1,000</t>
        </is>
      </c>
      <c r="X515" s="32" t="inlineStr">
        <is>
          <t xml:space="preserve">$1,000,000 CSL</t>
        </is>
      </c>
      <c r="Y515" s="30"/>
      <c r="Z515" s="30"/>
      <c r="AA515" s="32" t="inlineStr">
        <is>
          <t xml:space="preserve">Surplus Lines</t>
        </is>
      </c>
      <c r="AB515" s="35">
        <v>10631.08</v>
      </c>
      <c r="AC515" s="37">
        <v>0</v>
      </c>
      <c r="AD515" s="38">
        <f>IF(ISNUMBER($AB515),$AB515*(1+N($AC515)),"")</f>
      </c>
      <c r="AE515" s="35">
        <v>350</v>
      </c>
      <c r="AF515" s="35">
        <v>250</v>
      </c>
      <c r="AG515" s="37"/>
      <c r="AH515" s="39">
        <f>IF(ISNUMBER($AD515),($AD515+$AE515+$AF515)*$AG515,"")</f>
      </c>
      <c r="AI515" s="35"/>
      <c r="AJ515" s="38">
        <f>IF(ISNUMBER($AD515),SUM($AD515:$AH515),"")</f>
      </c>
      <c r="AK515" s="40">
        <f>IF(AND(ISNUMBER($AB515),ISNUMBER($AD515)),IF($AB515&gt;0,$AD515/$AB515,""),"")</f>
      </c>
      <c r="AL515" s="32" t="inlineStr">
        <is>
          <t xml:space="preserve">At technical</t>
        </is>
      </c>
      <c r="AM515" s="41">
        <f>IF(ISNUMBER($AD515),Header!$I$3,"")</f>
      </c>
      <c r="AN515" s="39">
        <f>IF(ISNUMBER($AD515),$AO515+$AP515,"")</f>
      </c>
      <c r="AO515" s="39">
        <f>IF(ISNUMBER($AD515),ROUND($AD515*Header!$K$3,2),"")</f>
      </c>
      <c r="AP515" s="39">
        <f>IF(ISNUMBER($AD515),ROUND($AD515*Header!$M$3,2),"")</f>
      </c>
      <c r="AQ515" s="38">
        <f>IF(ISNUMBER($AD515),ROUND($AD515,2)-$AO515-$AP515,"")</f>
      </c>
      <c r="AR515" s="39">
        <f>IF(ISNUMBER($AD515),IF(Header!$D$34="","?",$AD515*Header!$D$34),"")</f>
      </c>
      <c r="AS515" s="39">
        <f>IF(ISNUMBER($AB515),IF(Header!$D$34="","?",$AB515*Header!$D$34),"")</f>
      </c>
      <c r="AT515" s="42">
        <f>IF(AND(ISNUMBER($AB515),$M515&gt;0),$AB515/$M515*100,"")</f>
      </c>
      <c r="AU515" s="42">
        <f>IF(AND(ISNUMBER($AD515),$M515&gt;0),$AD515/$M515*100,"")</f>
      </c>
      <c r="AV515" s="40">
        <f>IF(AND(ISNUMBER($AB515),ISNUMBER($AD515),ABS($AB515)&gt;0),$AD515/$AB515,"")</f>
      </c>
      <c r="AW515" s="39">
        <f>IF(ISNUMBER($AD515),MAX(0,(1-0.55-Header!$O$3)*Header!$Q$3*$AQ515),"")</f>
      </c>
      <c r="AX515" s="43">
        <f>IF($A515="","",IF(TRIM(IF($A515="","Missing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",""))="","PASS","FAIL: "&amp;TRIM(IF($A515="","Missing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f>
      </c>
      <c r="AY515" s="44">
        <f>IF($M515="","",IF(ISNUMBER($M515),IF($M515&gt;=Header!$C$18,"YES — refer","No"),""))</f>
      </c>
      <c r="AZ515" s="44">
        <f>IF($AD515="","",IF(ISNUMBER($AD515),IF($AD515&lt;Header!$C$20,"BELOW MIN PREMIUM","OK"),""))</f>
      </c>
      <c r="BA515" s="32" t="inlineStr">
        <is>
          <t xml:space="preserve">Yes</t>
        </is>
      </c>
      <c r="BB515" s="32" t="inlineStr">
        <is>
          <t xml:space="preserve">Yes</t>
        </is>
      </c>
      <c r="BC515" s="30" t="inlineStr">
        <is>
          <t xml:space="preserve">Synthetic demo data</t>
        </is>
      </c>
      <c r="BE515" s="45">
        <f>IF(OR($A515="",$L515="",$H515=""),"",IF(AND(LEFT($L515,2)="06",$H515&gt;1945),"FAIL - pre-war class, year "&amp;$H515,IF(AND(LEFT($L515,2)="07",OR($H515&lt;1946,$H515&gt;1972)),"FAIL - 1946-72 class, year "&amp;$H515,IF(AND(LEFT($L515,2)="08",OR($H515&lt;1973,$H515&gt;1999)),"FAIL - 1973-99 class, year "&amp;$H515,IF(AND(LEFT($L515,2)="09",OR($H515&lt;2000,$H515&gt;2010)),"FAIL - 2000-10 class, year "&amp;$H515,"OK")))))</f>
      </c>
      <c r="BF515" s="45">
        <f>IF($AD515="","",IF(ROUND($AO515+$AP515+$AQ515-$AD515,2)=0,"OK","FAIL - out by "&amp;TEXT($AO515+$AP515+$AQ515-$AD515,"$0.00")))</f>
      </c>
    </row>
    <row r="516" spans="1:58" ht="18.75" customHeight="1" x14ac:dyDescent="0.25">
      <c r="A516" s="46" t="inlineStr">
        <is>
          <t xml:space="preserve">CANON-202606-009107</t>
        </is>
      </c>
      <c r="B516" s="46" t="inlineStr">
        <is>
          <t xml:space="preserve">Fenwick Harrington</t>
        </is>
      </c>
      <c r="C516" s="47">
        <v>46193</v>
      </c>
      <c r="D516" s="48" t="inlineStr">
        <is>
          <t xml:space="preserve">Bound - within authority</t>
        </is>
      </c>
      <c r="E516" s="48" t="inlineStr">
        <is>
          <t xml:space="preserve">New business</t>
        </is>
      </c>
      <c r="F516" s="46" t="inlineStr">
        <is>
          <t xml:space="preserve">B1234EXOTIC26</t>
        </is>
      </c>
      <c r="G516" s="33">
        <f>IF($A516="","",IF($C516="","",YEAR($C516)))</f>
      </c>
      <c r="H516" s="49">
        <v>2008</v>
      </c>
      <c r="I516" s="46" t="inlineStr">
        <is>
          <t xml:space="preserve">Porsche</t>
        </is>
      </c>
      <c r="J516" s="46" t="inlineStr">
        <is>
          <t xml:space="preserve">911 Turbo S</t>
        </is>
      </c>
      <c r="K516" s="46" t="inlineStr">
        <is>
          <t xml:space="preserve">A7CTAY1V6BLFF7V43</t>
        </is>
      </c>
      <c r="L516" s="48" t="inlineStr">
        <is>
          <t xml:space="preserve">02 - Sports / GT</t>
        </is>
      </c>
      <c r="M516" s="50">
        <v>420000</v>
      </c>
      <c r="N516" s="48" t="inlineStr">
        <is>
          <t xml:space="preserve">Personal</t>
        </is>
      </c>
      <c r="O516" s="46" t="inlineStr">
        <is>
          <t xml:space="preserve">Personal - regular use</t>
        </is>
      </c>
      <c r="P516" s="46" t="inlineStr">
        <is>
          <t xml:space="preserve">2,500 - 5,000</t>
        </is>
      </c>
      <c r="Q516" s="46" t="inlineStr">
        <is>
          <t xml:space="preserve">South Dakota</t>
        </is>
      </c>
      <c r="R516" s="46" t="inlineStr">
        <is>
          <t xml:space="preserve">57501</t>
        </is>
      </c>
      <c r="S516" s="48" t="inlineStr">
        <is>
          <t xml:space="preserve">Severe convective - hail alley (high)</t>
        </is>
      </c>
      <c r="T516" s="36">
        <f>IF($A516="","",IF($S516="","",IFERROR(INDEX('[1]natural catastrophe'!$D$6:$D$17,MATCH($S516,'[1]natural catastrophe'!$B$6:$B$17,0)),"?")))</f>
      </c>
      <c r="U516" s="46" t="inlineStr">
        <is>
          <t xml:space="preserve">$5,000</t>
        </is>
      </c>
      <c r="V516" s="48" t="inlineStr">
        <is>
          <t xml:space="preserve">Agreed Value</t>
        </is>
      </c>
      <c r="W516" s="46" t="inlineStr">
        <is>
          <t xml:space="preserve">$1,000</t>
        </is>
      </c>
      <c r="X516" s="48" t="inlineStr">
        <is>
          <t xml:space="preserve">$1,000,000 CSL</t>
        </is>
      </c>
      <c r="Y516" s="46"/>
      <c r="Z516" s="46"/>
      <c r="AA516" s="48" t="inlineStr">
        <is>
          <t xml:space="preserve">Surplus Lines</t>
        </is>
      </c>
      <c r="AB516" s="50">
        <v>5045.52</v>
      </c>
      <c r="AC516" s="51">
        <v>0</v>
      </c>
      <c r="AD516" s="38">
        <f>IF(ISNUMBER($AB516),$AB516*(1+N($AC516)),"")</f>
      </c>
      <c r="AE516" s="50">
        <v>350</v>
      </c>
      <c r="AF516" s="50">
        <v>0</v>
      </c>
      <c r="AG516" s="51"/>
      <c r="AH516" s="39">
        <f>IF(ISNUMBER($AD516),($AD516+$AE516+$AF516)*$AG516,"")</f>
      </c>
      <c r="AI516" s="50"/>
      <c r="AJ516" s="38">
        <f>IF(ISNUMBER($AD516),SUM($AD516:$AH516),"")</f>
      </c>
      <c r="AK516" s="40">
        <f>IF(AND(ISNUMBER($AB516),ISNUMBER($AD516)),IF($AB516&gt;0,$AD516/$AB516,""),"")</f>
      </c>
      <c r="AL516" s="48" t="inlineStr">
        <is>
          <t xml:space="preserve">At technical</t>
        </is>
      </c>
      <c r="AM516" s="41">
        <f>IF(ISNUMBER($AD516),Header!$I$3,"")</f>
      </c>
      <c r="AN516" s="39">
        <f>IF(ISNUMBER($AD516),$AO516+$AP516,"")</f>
      </c>
      <c r="AO516" s="39">
        <f>IF(ISNUMBER($AD516),ROUND($AD516*Header!$K$3,2),"")</f>
      </c>
      <c r="AP516" s="39">
        <f>IF(ISNUMBER($AD516),ROUND($AD516*Header!$M$3,2),"")</f>
      </c>
      <c r="AQ516" s="38">
        <f>IF(ISNUMBER($AD516),ROUND($AD516,2)-$AO516-$AP516,"")</f>
      </c>
      <c r="AR516" s="39">
        <f>IF(ISNUMBER($AD516),IF(Header!$D$34="","?",$AD516*Header!$D$34),"")</f>
      </c>
      <c r="AS516" s="39">
        <f>IF(ISNUMBER($AB516),IF(Header!$D$34="","?",$AB516*Header!$D$34),"")</f>
      </c>
      <c r="AT516" s="42">
        <f>IF(AND(ISNUMBER($AB516),$M516&gt;0),$AB516/$M516*100,"")</f>
      </c>
      <c r="AU516" s="42">
        <f>IF(AND(ISNUMBER($AD516),$M516&gt;0),$AD516/$M516*100,"")</f>
      </c>
      <c r="AV516" s="40">
        <f>IF(AND(ISNUMBER($AB516),ISNUMBER($AD516),ABS($AB516)&gt;0),$AD516/$AB516,"")</f>
      </c>
      <c r="AW516" s="39">
        <f>IF(ISNUMBER($AD516),MAX(0,(1-0.55-Header!$O$3)*Header!$Q$3*$AQ516),"")</f>
      </c>
      <c r="AX516" s="43">
        <f>IF($A516="","",IF(TRIM(IF($A516="","Missing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",""))="","PASS","FAIL: "&amp;TRIM(IF($A516="","Missing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f>
      </c>
      <c r="AY516" s="44">
        <f>IF($M516="","",IF(ISNUMBER($M516),IF($M516&gt;=Header!$C$18,"YES — refer","No"),""))</f>
      </c>
      <c r="AZ516" s="44">
        <f>IF($AD516="","",IF(ISNUMBER($AD516),IF($AD516&lt;Header!$C$20,"BELOW MIN PREMIUM","OK"),""))</f>
      </c>
      <c r="BA516" s="48" t="inlineStr">
        <is>
          <t xml:space="preserve">Yes</t>
        </is>
      </c>
      <c r="BB516" s="48" t="inlineStr">
        <is>
          <t xml:space="preserve">Yes</t>
        </is>
      </c>
      <c r="BC516" s="46" t="inlineStr">
        <is>
          <t xml:space="preserve">Synthetic demo data</t>
        </is>
      </c>
      <c r="BE516" s="45">
        <f>IF(OR($A516="",$L516="",$H516=""),"",IF(AND(LEFT($L516,2)="06",$H516&gt;1945),"FAIL - pre-war class, year "&amp;$H516,IF(AND(LEFT($L516,2)="07",OR($H516&lt;1946,$H516&gt;1972)),"FAIL - 1946-72 class, year "&amp;$H516,IF(AND(LEFT($L516,2)="08",OR($H516&lt;1973,$H516&gt;1999)),"FAIL - 1973-99 class, year "&amp;$H516,IF(AND(LEFT($L516,2)="09",OR($H516&lt;2000,$H516&gt;2010)),"FAIL - 2000-10 class, year "&amp;$H516,"OK")))))</f>
      </c>
      <c r="BF516" s="45">
        <f>IF($AD516="","",IF(ROUND($AO516+$AP516+$AQ516-$AD516,2)=0,"OK","FAIL - out by "&amp;TEXT($AO516+$AP516+$AQ516-$AD516,"$0.00")))</f>
      </c>
    </row>
    <row r="517" spans="1:58" ht="18.75" customHeight="1" x14ac:dyDescent="0.25">
      <c r="A517" s="30" t="inlineStr">
        <is>
          <t xml:space="preserve">CANON-202606-009108</t>
        </is>
      </c>
      <c r="B517" s="30" t="inlineStr">
        <is>
          <t xml:space="preserve">Saoirse Kingsford</t>
        </is>
      </c>
      <c r="C517" s="31">
        <v>46175</v>
      </c>
      <c r="D517" s="32" t="inlineStr">
        <is>
          <t xml:space="preserve">Bound - within authority</t>
        </is>
      </c>
      <c r="E517" s="32" t="inlineStr">
        <is>
          <t xml:space="preserve">New business</t>
        </is>
      </c>
      <c r="F517" s="30" t="inlineStr">
        <is>
          <t xml:space="preserve">B1234EXOTIC26</t>
        </is>
      </c>
      <c r="G517" s="33">
        <f>IF($A517="","",IF($C517="","",YEAR($C517)))</f>
      </c>
      <c r="H517" s="34">
        <v>1993</v>
      </c>
      <c r="I517" s="30" t="inlineStr">
        <is>
          <t xml:space="preserve">BMW</t>
        </is>
      </c>
      <c r="J517" s="30" t="inlineStr">
        <is>
          <t xml:space="preserve">M8 Competition</t>
        </is>
      </c>
      <c r="K517" s="30" t="inlineStr">
        <is>
          <t xml:space="preserve">S5T6JFTVPZM3GP9VF</t>
        </is>
      </c>
      <c r="L517" s="32" t="inlineStr">
        <is>
          <t xml:space="preserve">02 - Sports / GT</t>
        </is>
      </c>
      <c r="M517" s="35">
        <v>1225000</v>
      </c>
      <c r="N517" s="32" t="inlineStr">
        <is>
          <t xml:space="preserve">Personal</t>
        </is>
      </c>
      <c r="O517" s="30" t="inlineStr">
        <is>
          <t xml:space="preserve">Personal - regular use</t>
        </is>
      </c>
      <c r="P517" s="30" t="inlineStr">
        <is>
          <t xml:space="preserve">1,000 - 2,500</t>
        </is>
      </c>
      <c r="Q517" s="30" t="inlineStr">
        <is>
          <t xml:space="preserve">New Mexico</t>
        </is>
      </c>
      <c r="R517" s="30" t="inlineStr">
        <is>
          <t xml:space="preserve">87501</t>
        </is>
      </c>
      <c r="S517" s="32" t="inlineStr">
        <is>
          <t xml:space="preserve">Wildfire - WUI high hazard</t>
        </is>
      </c>
      <c r="T517" s="36">
        <f>IF($A517="","",IF($S517="","",IFERROR(INDEX('[1]natural catastrophe'!$D$6:$D$17,MATCH($S517,'[1]natural catastrophe'!$B$6:$B$17,0)),"?")))</f>
      </c>
      <c r="U517" s="30" t="inlineStr">
        <is>
          <t xml:space="preserve">$5,000</t>
        </is>
      </c>
      <c r="V517" s="32" t="inlineStr">
        <is>
          <t xml:space="preserve">Agreed Value</t>
        </is>
      </c>
      <c r="W517" s="30" t="inlineStr">
        <is>
          <t xml:space="preserve">$1,000</t>
        </is>
      </c>
      <c r="X517" s="32" t="inlineStr">
        <is>
          <t xml:space="preserve">$1,000,000 CSL</t>
        </is>
      </c>
      <c r="Y517" s="30"/>
      <c r="Z517" s="30"/>
      <c r="AA517" s="32" t="inlineStr">
        <is>
          <t xml:space="preserve">Surplus Lines</t>
        </is>
      </c>
      <c r="AB517" s="35">
        <v>12444.6</v>
      </c>
      <c r="AC517" s="37">
        <v>0</v>
      </c>
      <c r="AD517" s="38">
        <f>IF(ISNUMBER($AB517),$AB517*(1+N($AC517)),"")</f>
      </c>
      <c r="AE517" s="35">
        <v>350</v>
      </c>
      <c r="AF517" s="35">
        <v>250</v>
      </c>
      <c r="AG517" s="37"/>
      <c r="AH517" s="39">
        <f>IF(ISNUMBER($AD517),($AD517+$AE517+$AF517)*$AG517,"")</f>
      </c>
      <c r="AI517" s="35"/>
      <c r="AJ517" s="38">
        <f>IF(ISNUMBER($AD517),SUM($AD517:$AH517),"")</f>
      </c>
      <c r="AK517" s="40">
        <f>IF(AND(ISNUMBER($AB517),ISNUMBER($AD517)),IF($AB517&gt;0,$AD517/$AB517,""),"")</f>
      </c>
      <c r="AL517" s="32" t="inlineStr">
        <is>
          <t xml:space="preserve">At technical</t>
        </is>
      </c>
      <c r="AM517" s="41">
        <f>IF(ISNUMBER($AD517),Header!$I$3,"")</f>
      </c>
      <c r="AN517" s="39">
        <f>IF(ISNUMBER($AD517),$AO517+$AP517,"")</f>
      </c>
      <c r="AO517" s="39">
        <f>IF(ISNUMBER($AD517),ROUND($AD517*Header!$K$3,2),"")</f>
      </c>
      <c r="AP517" s="39">
        <f>IF(ISNUMBER($AD517),ROUND($AD517*Header!$M$3,2),"")</f>
      </c>
      <c r="AQ517" s="38">
        <f>IF(ISNUMBER($AD517),ROUND($AD517,2)-$AO517-$AP517,"")</f>
      </c>
      <c r="AR517" s="39">
        <f>IF(ISNUMBER($AD517),IF(Header!$D$34="","?",$AD517*Header!$D$34),"")</f>
      </c>
      <c r="AS517" s="39">
        <f>IF(ISNUMBER($AB517),IF(Header!$D$34="","?",$AB517*Header!$D$34),"")</f>
      </c>
      <c r="AT517" s="42">
        <f>IF(AND(ISNUMBER($AB517),$M517&gt;0),$AB517/$M517*100,"")</f>
      </c>
      <c r="AU517" s="42">
        <f>IF(AND(ISNUMBER($AD517),$M517&gt;0),$AD517/$M517*100,"")</f>
      </c>
      <c r="AV517" s="40">
        <f>IF(AND(ISNUMBER($AB517),ISNUMBER($AD517),ABS($AB517)&gt;0),$AD517/$AB517,"")</f>
      </c>
      <c r="AW517" s="39">
        <f>IF(ISNUMBER($AD517),MAX(0,(1-0.55-Header!$O$3)*Header!$Q$3*$AQ517),"")</f>
      </c>
      <c r="AX517" s="43">
        <f>IF($A517="","",IF(TRIM(IF($A517="","Missing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",""))="","PASS","FAIL: "&amp;TRIM(IF($A517="","Missing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f>
      </c>
      <c r="AY517" s="44">
        <f>IF($M517="","",IF(ISNUMBER($M517),IF($M517&gt;=Header!$C$18,"YES — refer","No"),""))</f>
      </c>
      <c r="AZ517" s="44">
        <f>IF($AD517="","",IF(ISNUMBER($AD517),IF($AD517&lt;Header!$C$20,"BELOW MIN PREMIUM","OK"),""))</f>
      </c>
      <c r="BA517" s="32" t="inlineStr">
        <is>
          <t xml:space="preserve">Yes</t>
        </is>
      </c>
      <c r="BB517" s="32" t="inlineStr">
        <is>
          <t xml:space="preserve">Yes</t>
        </is>
      </c>
      <c r="BC517" s="30" t="inlineStr">
        <is>
          <t xml:space="preserve">Synthetic demo data</t>
        </is>
      </c>
      <c r="BE517" s="45">
        <f>IF(OR($A517="",$L517="",$H517=""),"",IF(AND(LEFT($L517,2)="06",$H517&gt;1945),"FAIL - pre-war class, year "&amp;$H517,IF(AND(LEFT($L517,2)="07",OR($H517&lt;1946,$H517&gt;1972)),"FAIL - 1946-72 class, year "&amp;$H517,IF(AND(LEFT($L517,2)="08",OR($H517&lt;1973,$H517&gt;1999)),"FAIL - 1973-99 class, year "&amp;$H517,IF(AND(LEFT($L517,2)="09",OR($H517&lt;2000,$H517&gt;2010)),"FAIL - 2000-10 class, year "&amp;$H517,"OK")))))</f>
      </c>
      <c r="BF517" s="45">
        <f>IF($AD517="","",IF(ROUND($AO517+$AP517+$AQ517-$AD517,2)=0,"OK","FAIL - out by "&amp;TEXT($AO517+$AP517+$AQ517-$AD517,"$0.00")))</f>
      </c>
    </row>
    <row r="518" spans="1:58" ht="18.75" customHeight="1" x14ac:dyDescent="0.25">
      <c r="A518" s="46" t="inlineStr">
        <is>
          <t xml:space="preserve">CANON-202606-009109</t>
        </is>
      </c>
      <c r="B518" s="46" t="inlineStr">
        <is>
          <t xml:space="preserve">Lorenzo Larsson</t>
        </is>
      </c>
      <c r="C518" s="47">
        <v>46188</v>
      </c>
      <c r="D518" s="48" t="inlineStr">
        <is>
          <t xml:space="preserve">Bound - within authority</t>
        </is>
      </c>
      <c r="E518" s="48" t="inlineStr">
        <is>
          <t xml:space="preserve">New business</t>
        </is>
      </c>
      <c r="F518" s="46" t="inlineStr">
        <is>
          <t xml:space="preserve">B1234EXOTIC26</t>
        </is>
      </c>
      <c r="G518" s="33">
        <f>IF($A518="","",IF($C518="","",YEAR($C518)))</f>
      </c>
      <c r="H518" s="49">
        <v>1990</v>
      </c>
      <c r="I518" s="46" t="inlineStr">
        <is>
          <t xml:space="preserve">Bentley</t>
        </is>
      </c>
      <c r="J518" s="46" t="inlineStr">
        <is>
          <t xml:space="preserve">Continental GT</t>
        </is>
      </c>
      <c r="K518" s="46" t="inlineStr">
        <is>
          <t xml:space="preserve">51847TTE8JLDR0JP2</t>
        </is>
      </c>
      <c r="L518" s="48" t="inlineStr">
        <is>
          <t xml:space="preserve">02 - Sports / GT</t>
        </is>
      </c>
      <c r="M518" s="50">
        <v>260000</v>
      </c>
      <c r="N518" s="48" t="inlineStr">
        <is>
          <t xml:space="preserve">Personal</t>
        </is>
      </c>
      <c r="O518" s="46" t="inlineStr">
        <is>
          <t xml:space="preserve">Personal - regular use</t>
        </is>
      </c>
      <c r="P518" s="46" t="inlineStr">
        <is>
          <t xml:space="preserve">2,500 - 5,000</t>
        </is>
      </c>
      <c r="Q518" s="46" t="inlineStr">
        <is>
          <t xml:space="preserve">Utah</t>
        </is>
      </c>
      <c r="R518" s="46" t="inlineStr">
        <is>
          <t xml:space="preserve">84101</t>
        </is>
      </c>
      <c r="S518" s="48" t="inlineStr">
        <is>
          <t xml:space="preserve">Wildfire - WUI high hazard</t>
        </is>
      </c>
      <c r="T518" s="36">
        <f>IF($A518="","",IF($S518="","",IFERROR(INDEX('[1]natural catastrophe'!$D$6:$D$17,MATCH($S518,'[1]natural catastrophe'!$B$6:$B$17,0)),"?")))</f>
      </c>
      <c r="U518" s="46" t="inlineStr">
        <is>
          <t xml:space="preserve">$5,000</t>
        </is>
      </c>
      <c r="V518" s="48" t="inlineStr">
        <is>
          <t xml:space="preserve">Agreed Value</t>
        </is>
      </c>
      <c r="W518" s="46" t="inlineStr">
        <is>
          <t xml:space="preserve">$1,000</t>
        </is>
      </c>
      <c r="X518" s="48" t="inlineStr">
        <is>
          <t xml:space="preserve">$1,000,000 CSL</t>
        </is>
      </c>
      <c r="Y518" s="46"/>
      <c r="Z518" s="46"/>
      <c r="AA518" s="48" t="inlineStr">
        <is>
          <t xml:space="preserve">Surplus Lines</t>
        </is>
      </c>
      <c r="AB518" s="50">
        <v>3798.75</v>
      </c>
      <c r="AC518" s="51">
        <v>0</v>
      </c>
      <c r="AD518" s="38">
        <f>IF(ISNUMBER($AB518),$AB518*(1+N($AC518)),"")</f>
      </c>
      <c r="AE518" s="50">
        <v>350</v>
      </c>
      <c r="AF518" s="50">
        <v>0</v>
      </c>
      <c r="AG518" s="51"/>
      <c r="AH518" s="39">
        <f>IF(ISNUMBER($AD518),($AD518+$AE518+$AF518)*$AG518,"")</f>
      </c>
      <c r="AI518" s="50"/>
      <c r="AJ518" s="38">
        <f>IF(ISNUMBER($AD518),SUM($AD518:$AH518),"")</f>
      </c>
      <c r="AK518" s="40">
        <f>IF(AND(ISNUMBER($AB518),ISNUMBER($AD518)),IF($AB518&gt;0,$AD518/$AB518,""),"")</f>
      </c>
      <c r="AL518" s="48" t="inlineStr">
        <is>
          <t xml:space="preserve">At technical</t>
        </is>
      </c>
      <c r="AM518" s="41">
        <f>IF(ISNUMBER($AD518),Header!$I$3,"")</f>
      </c>
      <c r="AN518" s="39">
        <f>IF(ISNUMBER($AD518),$AO518+$AP518,"")</f>
      </c>
      <c r="AO518" s="39">
        <f>IF(ISNUMBER($AD518),ROUND($AD518*Header!$K$3,2),"")</f>
      </c>
      <c r="AP518" s="39">
        <f>IF(ISNUMBER($AD518),ROUND($AD518*Header!$M$3,2),"")</f>
      </c>
      <c r="AQ518" s="38">
        <f>IF(ISNUMBER($AD518),ROUND($AD518,2)-$AO518-$AP518,"")</f>
      </c>
      <c r="AR518" s="39">
        <f>IF(ISNUMBER($AD518),IF(Header!$D$34="","?",$AD518*Header!$D$34),"")</f>
      </c>
      <c r="AS518" s="39">
        <f>IF(ISNUMBER($AB518),IF(Header!$D$34="","?",$AB518*Header!$D$34),"")</f>
      </c>
      <c r="AT518" s="42">
        <f>IF(AND(ISNUMBER($AB518),$M518&gt;0),$AB518/$M518*100,"")</f>
      </c>
      <c r="AU518" s="42">
        <f>IF(AND(ISNUMBER($AD518),$M518&gt;0),$AD518/$M518*100,"")</f>
      </c>
      <c r="AV518" s="40">
        <f>IF(AND(ISNUMBER($AB518),ISNUMBER($AD518),ABS($AB518)&gt;0),$AD518/$AB518,"")</f>
      </c>
      <c r="AW518" s="39">
        <f>IF(ISNUMBER($AD518),MAX(0,(1-0.55-Header!$O$3)*Header!$Q$3*$AQ518),"")</f>
      </c>
      <c r="AX518" s="43">
        <f>IF($A518="","",IF(TRIM(IF($A518="","Missing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",""))="","PASS","FAIL: "&amp;TRIM(IF($A518="","Missing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f>
      </c>
      <c r="AY518" s="44">
        <f>IF($M518="","",IF(ISNUMBER($M518),IF($M518&gt;=Header!$C$18,"YES — refer","No"),""))</f>
      </c>
      <c r="AZ518" s="44">
        <f>IF($AD518="","",IF(ISNUMBER($AD518),IF($AD518&lt;Header!$C$20,"BELOW MIN PREMIUM","OK"),""))</f>
      </c>
      <c r="BA518" s="48" t="inlineStr">
        <is>
          <t xml:space="preserve">Yes</t>
        </is>
      </c>
      <c r="BB518" s="48" t="inlineStr">
        <is>
          <t xml:space="preserve">Yes</t>
        </is>
      </c>
      <c r="BC518" s="46" t="inlineStr">
        <is>
          <t xml:space="preserve">Synthetic demo data</t>
        </is>
      </c>
      <c r="BE518" s="45">
        <f>IF(OR($A518="",$L518="",$H518=""),"",IF(AND(LEFT($L518,2)="06",$H518&gt;1945),"FAIL - pre-war class, year "&amp;$H518,IF(AND(LEFT($L518,2)="07",OR($H518&lt;1946,$H518&gt;1972)),"FAIL - 1946-72 class, year "&amp;$H518,IF(AND(LEFT($L518,2)="08",OR($H518&lt;1973,$H518&gt;1999)),"FAIL - 1973-99 class, year "&amp;$H518,IF(AND(LEFT($L518,2)="09",OR($H518&lt;2000,$H518&gt;2010)),"FAIL - 2000-10 class, year "&amp;$H518,"OK")))))</f>
      </c>
      <c r="BF518" s="45">
        <f>IF($AD518="","",IF(ROUND($AO518+$AP518+$AQ518-$AD518,2)=0,"OK","FAIL - out by "&amp;TEXT($AO518+$AP518+$AQ518-$AD518,"$0.00")))</f>
      </c>
    </row>
    <row r="519" spans="1:58" ht="18.75" customHeight="1" x14ac:dyDescent="0.25">
      <c r="A519" s="30" t="inlineStr">
        <is>
          <t xml:space="preserve">CANON-202606-009110</t>
        </is>
      </c>
      <c r="B519" s="30" t="inlineStr">
        <is>
          <t xml:space="preserve">Cassius Vandermeer</t>
        </is>
      </c>
      <c r="C519" s="31">
        <v>46198</v>
      </c>
      <c r="D519" s="32" t="inlineStr">
        <is>
          <t xml:space="preserve">Bound - within authority</t>
        </is>
      </c>
      <c r="E519" s="32" t="inlineStr">
        <is>
          <t xml:space="preserve">New business</t>
        </is>
      </c>
      <c r="F519" s="30" t="inlineStr">
        <is>
          <t xml:space="preserve">B1234EXOTIC26</t>
        </is>
      </c>
      <c r="G519" s="33">
        <f>IF($A519="","",IF($C519="","",YEAR($C519)))</f>
      </c>
      <c r="H519" s="34">
        <v>2002</v>
      </c>
      <c r="I519" s="30" t="inlineStr">
        <is>
          <t xml:space="preserve">Bentley</t>
        </is>
      </c>
      <c r="J519" s="30" t="inlineStr">
        <is>
          <t xml:space="preserve">Continental GT</t>
        </is>
      </c>
      <c r="K519" s="30" t="inlineStr">
        <is>
          <t xml:space="preserve">BUGSEV356MW2KWUHF</t>
        </is>
      </c>
      <c r="L519" s="32" t="inlineStr">
        <is>
          <t xml:space="preserve">02 - Sports / GT</t>
        </is>
      </c>
      <c r="M519" s="35">
        <v>1090000</v>
      </c>
      <c r="N519" s="32" t="inlineStr">
        <is>
          <t xml:space="preserve">Personal</t>
        </is>
      </c>
      <c r="O519" s="30" t="inlineStr">
        <is>
          <t xml:space="preserve">Personal - regular use</t>
        </is>
      </c>
      <c r="P519" s="30" t="inlineStr">
        <is>
          <t xml:space="preserve">1,000 - 2,500</t>
        </is>
      </c>
      <c r="Q519" s="30" t="inlineStr">
        <is>
          <t xml:space="preserve">North Dakota</t>
        </is>
      </c>
      <c r="R519" s="30" t="inlineStr">
        <is>
          <t xml:space="preserve">58501</t>
        </is>
      </c>
      <c r="S519" s="32" t="inlineStr">
        <is>
          <t xml:space="preserve">Severe convective - hail alley (high)</t>
        </is>
      </c>
      <c r="T519" s="36">
        <f>IF($A519="","",IF($S519="","",IFERROR(INDEX('[1]natural catastrophe'!$D$6:$D$17,MATCH($S519,'[1]natural catastrophe'!$B$6:$B$17,0)),"?")))</f>
      </c>
      <c r="U519" s="30" t="inlineStr">
        <is>
          <t xml:space="preserve">$5,000</t>
        </is>
      </c>
      <c r="V519" s="32" t="inlineStr">
        <is>
          <t xml:space="preserve">Agreed Value</t>
        </is>
      </c>
      <c r="W519" s="30" t="inlineStr">
        <is>
          <t xml:space="preserve">$1,000</t>
        </is>
      </c>
      <c r="X519" s="32" t="inlineStr">
        <is>
          <t xml:space="preserve">$1,000,000 CSL</t>
        </is>
      </c>
      <c r="Y519" s="30"/>
      <c r="Z519" s="30"/>
      <c r="AA519" s="32" t="inlineStr">
        <is>
          <t xml:space="preserve">Surplus Lines</t>
        </is>
      </c>
      <c r="AB519" s="35">
        <v>8823.92</v>
      </c>
      <c r="AC519" s="37">
        <v>0</v>
      </c>
      <c r="AD519" s="38">
        <f>IF(ISNUMBER($AB519),$AB519*(1+N($AC519)),"")</f>
      </c>
      <c r="AE519" s="35">
        <v>350</v>
      </c>
      <c r="AF519" s="35">
        <v>250</v>
      </c>
      <c r="AG519" s="37"/>
      <c r="AH519" s="39">
        <f>IF(ISNUMBER($AD519),($AD519+$AE519+$AF519)*$AG519,"")</f>
      </c>
      <c r="AI519" s="35"/>
      <c r="AJ519" s="38">
        <f>IF(ISNUMBER($AD519),SUM($AD519:$AH519),"")</f>
      </c>
      <c r="AK519" s="40">
        <f>IF(AND(ISNUMBER($AB519),ISNUMBER($AD519)),IF($AB519&gt;0,$AD519/$AB519,""),"")</f>
      </c>
      <c r="AL519" s="32" t="inlineStr">
        <is>
          <t xml:space="preserve">At technical</t>
        </is>
      </c>
      <c r="AM519" s="41">
        <f>IF(ISNUMBER($AD519),Header!$I$3,"")</f>
      </c>
      <c r="AN519" s="39">
        <f>IF(ISNUMBER($AD519),$AO519+$AP519,"")</f>
      </c>
      <c r="AO519" s="39">
        <f>IF(ISNUMBER($AD519),ROUND($AD519*Header!$K$3,2),"")</f>
      </c>
      <c r="AP519" s="39">
        <f>IF(ISNUMBER($AD519),ROUND($AD519*Header!$M$3,2),"")</f>
      </c>
      <c r="AQ519" s="38">
        <f>IF(ISNUMBER($AD519),ROUND($AD519,2)-$AO519-$AP519,"")</f>
      </c>
      <c r="AR519" s="39">
        <f>IF(ISNUMBER($AD519),IF(Header!$D$34="","?",$AD519*Header!$D$34),"")</f>
      </c>
      <c r="AS519" s="39">
        <f>IF(ISNUMBER($AB519),IF(Header!$D$34="","?",$AB519*Header!$D$34),"")</f>
      </c>
      <c r="AT519" s="42">
        <f>IF(AND(ISNUMBER($AB519),$M519&gt;0),$AB519/$M519*100,"")</f>
      </c>
      <c r="AU519" s="42">
        <f>IF(AND(ISNUMBER($AD519),$M519&gt;0),$AD519/$M519*100,"")</f>
      </c>
      <c r="AV519" s="40">
        <f>IF(AND(ISNUMBER($AB519),ISNUMBER($AD519),ABS($AB519)&gt;0),$AD519/$AB519,"")</f>
      </c>
      <c r="AW519" s="39">
        <f>IF(ISNUMBER($AD519),MAX(0,(1-0.55-Header!$O$3)*Header!$Q$3*$AQ519),"")</f>
      </c>
      <c r="AX519" s="43">
        <f>IF($A519="","",IF(TRIM(IF($A519="","Missing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",""))="","PASS","FAIL: "&amp;TRIM(IF($A519="","Missing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f>
      </c>
      <c r="AY519" s="44">
        <f>IF($M519="","",IF(ISNUMBER($M519),IF($M519&gt;=Header!$C$18,"YES — refer","No"),""))</f>
      </c>
      <c r="AZ519" s="44">
        <f>IF($AD519="","",IF(ISNUMBER($AD519),IF($AD519&lt;Header!$C$20,"BELOW MIN PREMIUM","OK"),""))</f>
      </c>
      <c r="BA519" s="32" t="inlineStr">
        <is>
          <t xml:space="preserve">Yes</t>
        </is>
      </c>
      <c r="BB519" s="32" t="inlineStr">
        <is>
          <t xml:space="preserve">Yes</t>
        </is>
      </c>
      <c r="BC519" s="30" t="inlineStr">
        <is>
          <t xml:space="preserve">Synthetic demo data</t>
        </is>
      </c>
      <c r="BE519" s="45">
        <f>IF(OR($A519="",$L519="",$H519=""),"",IF(AND(LEFT($L519,2)="06",$H519&gt;1945),"FAIL - pre-war class, year "&amp;$H519,IF(AND(LEFT($L519,2)="07",OR($H519&lt;1946,$H519&gt;1972)),"FAIL - 1946-72 class, year "&amp;$H519,IF(AND(LEFT($L519,2)="08",OR($H519&lt;1973,$H519&gt;1999)),"FAIL - 1973-99 class, year "&amp;$H519,IF(AND(LEFT($L519,2)="09",OR($H519&lt;2000,$H519&gt;2010)),"FAIL - 2000-10 class, year "&amp;$H519,"OK")))))</f>
      </c>
      <c r="BF519" s="45">
        <f>IF($AD519="","",IF(ROUND($AO519+$AP519+$AQ519-$AD519,2)=0,"OK","FAIL - out by "&amp;TEXT($AO519+$AP519+$AQ519-$AD519,"$0.00")))</f>
      </c>
    </row>
    <row r="520" spans="1:58" ht="18.75" customHeight="1" x14ac:dyDescent="0.25">
      <c r="A520" s="46" t="inlineStr">
        <is>
          <t xml:space="preserve">CANON-202606-009113</t>
        </is>
      </c>
      <c r="B520" s="46" t="inlineStr">
        <is>
          <t xml:space="preserve">Priya Thistlewood</t>
        </is>
      </c>
      <c r="C520" s="47">
        <v>46196</v>
      </c>
      <c r="D520" s="48" t="inlineStr">
        <is>
          <t xml:space="preserve">Bound - within authority</t>
        </is>
      </c>
      <c r="E520" s="48" t="inlineStr">
        <is>
          <t xml:space="preserve">New business</t>
        </is>
      </c>
      <c r="F520" s="46" t="inlineStr">
        <is>
          <t xml:space="preserve">B1234EXOTIC26</t>
        </is>
      </c>
      <c r="G520" s="33">
        <f>IF($A520="","",IF($C520="","",YEAR($C520)))</f>
      </c>
      <c r="H520" s="49">
        <v>1978</v>
      </c>
      <c r="I520" s="46" t="inlineStr">
        <is>
          <t xml:space="preserve">Aston Martin</t>
        </is>
      </c>
      <c r="J520" s="46" t="inlineStr">
        <is>
          <t xml:space="preserve">DB5</t>
        </is>
      </c>
      <c r="K520" s="46" t="inlineStr">
        <is>
          <t xml:space="preserve">M05585SGLVLDE262X</t>
        </is>
      </c>
      <c r="L520" s="48" t="inlineStr">
        <is>
          <t xml:space="preserve">08 - Modern Classic (1973-1999)</t>
        </is>
      </c>
      <c r="M520" s="50">
        <v>795000</v>
      </c>
      <c r="N520" s="48" t="inlineStr">
        <is>
          <t xml:space="preserve">Personal</t>
        </is>
      </c>
      <c r="O520" s="46" t="inlineStr">
        <is>
          <t xml:space="preserve">Personal - regular use</t>
        </is>
      </c>
      <c r="P520" s="46" t="inlineStr">
        <is>
          <t xml:space="preserve">1,000 - 2,500</t>
        </is>
      </c>
      <c r="Q520" s="46" t="inlineStr">
        <is>
          <t xml:space="preserve">New Jersey</t>
        </is>
      </c>
      <c r="R520" s="46" t="inlineStr">
        <is>
          <t xml:space="preserve">07102</t>
        </is>
      </c>
      <c r="S520" s="48" t="inlineStr">
        <is>
          <t xml:space="preserve">Tier 3 - Coastal wind (25-100 miles)</t>
        </is>
      </c>
      <c r="T520" s="36">
        <f>IF($A520="","",IF($S520="","",IFERROR(INDEX('[1]natural catastrophe'!$D$6:$D$17,MATCH($S520,'[1]natural catastrophe'!$B$6:$B$17,0)),"?")))</f>
      </c>
      <c r="U520" s="46" t="inlineStr">
        <is>
          <t xml:space="preserve">2% of agreed value, minimum $10,000</t>
        </is>
      </c>
      <c r="V520" s="48" t="inlineStr">
        <is>
          <t xml:space="preserve">Agreed Value</t>
        </is>
      </c>
      <c r="W520" s="46" t="inlineStr">
        <is>
          <t xml:space="preserve">$1,000</t>
        </is>
      </c>
      <c r="X520" s="48" t="inlineStr">
        <is>
          <t xml:space="preserve">$1,000,000 CSL</t>
        </is>
      </c>
      <c r="Y520" s="46"/>
      <c r="Z520" s="46"/>
      <c r="AA520" s="48" t="inlineStr">
        <is>
          <t xml:space="preserve">Surplus Lines</t>
        </is>
      </c>
      <c r="AB520" s="50">
        <v>4488.99</v>
      </c>
      <c r="AC520" s="51">
        <v>0</v>
      </c>
      <c r="AD520" s="38">
        <f>IF(ISNUMBER($AB520),$AB520*(1+N($AC520)),"")</f>
      </c>
      <c r="AE520" s="50">
        <v>350</v>
      </c>
      <c r="AF520" s="50">
        <v>0</v>
      </c>
      <c r="AG520" s="51"/>
      <c r="AH520" s="39">
        <f>IF(ISNUMBER($AD520),($AD520+$AE520+$AF520)*$AG520,"")</f>
      </c>
      <c r="AI520" s="50"/>
      <c r="AJ520" s="38">
        <f>IF(ISNUMBER($AD520),SUM($AD520:$AH520),"")</f>
      </c>
      <c r="AK520" s="40">
        <f>IF(AND(ISNUMBER($AB520),ISNUMBER($AD520)),IF($AB520&gt;0,$AD520/$AB520,""),"")</f>
      </c>
      <c r="AL520" s="48" t="inlineStr">
        <is>
          <t xml:space="preserve">At technical</t>
        </is>
      </c>
      <c r="AM520" s="41">
        <f>IF(ISNUMBER($AD520),Header!$I$3,"")</f>
      </c>
      <c r="AN520" s="39">
        <f>IF(ISNUMBER($AD520),$AO520+$AP520,"")</f>
      </c>
      <c r="AO520" s="39">
        <f>IF(ISNUMBER($AD520),ROUND($AD520*Header!$K$3,2),"")</f>
      </c>
      <c r="AP520" s="39">
        <f>IF(ISNUMBER($AD520),ROUND($AD520*Header!$M$3,2),"")</f>
      </c>
      <c r="AQ520" s="38">
        <f>IF(ISNUMBER($AD520),ROUND($AD520,2)-$AO520-$AP520,"")</f>
      </c>
      <c r="AR520" s="39">
        <f>IF(ISNUMBER($AD520),IF(Header!$D$34="","?",$AD520*Header!$D$34),"")</f>
      </c>
      <c r="AS520" s="39">
        <f>IF(ISNUMBER($AB520),IF(Header!$D$34="","?",$AB520*Header!$D$34),"")</f>
      </c>
      <c r="AT520" s="42">
        <f>IF(AND(ISNUMBER($AB520),$M520&gt;0),$AB520/$M520*100,"")</f>
      </c>
      <c r="AU520" s="42">
        <f>IF(AND(ISNUMBER($AD520),$M520&gt;0),$AD520/$M520*100,"")</f>
      </c>
      <c r="AV520" s="40">
        <f>IF(AND(ISNUMBER($AB520),ISNUMBER($AD520),ABS($AB520)&gt;0),$AD520/$AB520,"")</f>
      </c>
      <c r="AW520" s="39">
        <f>IF(ISNUMBER($AD520),MAX(0,(1-0.55-Header!$O$3)*Header!$Q$3*$AQ520),"")</f>
      </c>
      <c r="AX520" s="43">
        <f>IF($A520="","",IF(TRIM(IF($A520="","Missing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",""))="","PASS","FAIL: "&amp;TRIM(IF($A520="","Missing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f>
      </c>
      <c r="AY520" s="44">
        <f>IF($M520="","",IF(ISNUMBER($M520),IF($M520&gt;=Header!$C$18,"YES — refer","No"),""))</f>
      </c>
      <c r="AZ520" s="44">
        <f>IF($AD520="","",IF(ISNUMBER($AD520),IF($AD520&lt;Header!$C$20,"BELOW MIN PREMIUM","OK"),""))</f>
      </c>
      <c r="BA520" s="48" t="inlineStr">
        <is>
          <t xml:space="preserve">Yes</t>
        </is>
      </c>
      <c r="BB520" s="48" t="inlineStr">
        <is>
          <t xml:space="preserve">Yes</t>
        </is>
      </c>
      <c r="BC520" s="46" t="inlineStr">
        <is>
          <t xml:space="preserve">Synthetic demo data</t>
        </is>
      </c>
      <c r="BE520" s="45">
        <f>IF(OR($A520="",$L520="",$H520=""),"",IF(AND(LEFT($L520,2)="06",$H520&gt;1945),"FAIL - pre-war class, year "&amp;$H520,IF(AND(LEFT($L520,2)="07",OR($H520&lt;1946,$H520&gt;1972)),"FAIL - 1946-72 class, year "&amp;$H520,IF(AND(LEFT($L520,2)="08",OR($H520&lt;1973,$H520&gt;1999)),"FAIL - 1973-99 class, year "&amp;$H520,IF(AND(LEFT($L520,2)="09",OR($H520&lt;2000,$H520&gt;2010)),"FAIL - 2000-10 class, year "&amp;$H520,"OK")))))</f>
      </c>
      <c r="BF520" s="45">
        <f>IF($AD520="","",IF(ROUND($AO520+$AP520+$AQ520-$AD520,2)=0,"OK","FAIL - out by "&amp;TEXT($AO520+$AP520+$AQ520-$AD520,"$0.00")))</f>
      </c>
    </row>
    <row r="521" spans="1:58" ht="18.75" customHeight="1" x14ac:dyDescent="0.25">
      <c r="A521" s="30" t="inlineStr">
        <is>
          <t xml:space="preserve">CANON-202606-009114</t>
        </is>
      </c>
      <c r="B521" s="30" t="inlineStr">
        <is>
          <t xml:space="preserve">Everett Ashcombe</t>
        </is>
      </c>
      <c r="C521" s="31">
        <v>46175</v>
      </c>
      <c r="D521" s="32" t="inlineStr">
        <is>
          <t xml:space="preserve">Bound - within authority</t>
        </is>
      </c>
      <c r="E521" s="32" t="inlineStr">
        <is>
          <t xml:space="preserve">New business</t>
        </is>
      </c>
      <c r="F521" s="30" t="inlineStr">
        <is>
          <t xml:space="preserve">B1234EXOTIC26</t>
        </is>
      </c>
      <c r="G521" s="33">
        <f>IF($A521="","",IF($C521="","",YEAR($C521)))</f>
      </c>
      <c r="H521" s="34">
        <v>1966</v>
      </c>
      <c r="I521" s="30" t="inlineStr">
        <is>
          <t xml:space="preserve">Mercedes-Benz</t>
        </is>
      </c>
      <c r="J521" s="30" t="inlineStr">
        <is>
          <t xml:space="preserve">AMG GT</t>
        </is>
      </c>
      <c r="K521" s="30" t="inlineStr">
        <is>
          <t xml:space="preserve">7VTVBRSYLRTLK99GV</t>
        </is>
      </c>
      <c r="L521" s="32" t="inlineStr">
        <is>
          <t xml:space="preserve">02 - Sports / GT</t>
        </is>
      </c>
      <c r="M521" s="35">
        <v>295000</v>
      </c>
      <c r="N521" s="32" t="inlineStr">
        <is>
          <t xml:space="preserve">Personal</t>
        </is>
      </c>
      <c r="O521" s="30" t="inlineStr">
        <is>
          <t xml:space="preserve">Personal - regular use</t>
        </is>
      </c>
      <c r="P521" s="30" t="inlineStr">
        <is>
          <t xml:space="preserve">1,000 - 2,500</t>
        </is>
      </c>
      <c r="Q521" s="30" t="inlineStr">
        <is>
          <t xml:space="preserve">New York</t>
        </is>
      </c>
      <c r="R521" s="30" t="inlineStr">
        <is>
          <t xml:space="preserve">10022</t>
        </is>
      </c>
      <c r="S521" s="32" t="inlineStr">
        <is>
          <t xml:space="preserve">Tier 3 - Coastal wind (25-100 miles)</t>
        </is>
      </c>
      <c r="T521" s="36">
        <f>IF($A521="","",IF($S521="","",IFERROR(INDEX('[1]natural catastrophe'!$D$6:$D$17,MATCH($S521,'[1]natural catastrophe'!$B$6:$B$17,0)),"?")))</f>
      </c>
      <c r="U521" s="30" t="inlineStr">
        <is>
          <t xml:space="preserve">2% of agreed value, minimum $10,000</t>
        </is>
      </c>
      <c r="V521" s="32" t="inlineStr">
        <is>
          <t xml:space="preserve">Agreed Value</t>
        </is>
      </c>
      <c r="W521" s="30" t="inlineStr">
        <is>
          <t xml:space="preserve">$1,000</t>
        </is>
      </c>
      <c r="X521" s="32" t="inlineStr">
        <is>
          <t xml:space="preserve">$1,000,000 CSL</t>
        </is>
      </c>
      <c r="Y521" s="30"/>
      <c r="Z521" s="30"/>
      <c r="AA521" s="32" t="inlineStr">
        <is>
          <t xml:space="preserve">Surplus Lines</t>
        </is>
      </c>
      <c r="AB521" s="35">
        <v>4086.63</v>
      </c>
      <c r="AC521" s="37">
        <v>0</v>
      </c>
      <c r="AD521" s="38">
        <f>IF(ISNUMBER($AB521),$AB521*(1+N($AC521)),"")</f>
      </c>
      <c r="AE521" s="35">
        <v>350</v>
      </c>
      <c r="AF521" s="35">
        <v>0</v>
      </c>
      <c r="AG521" s="37"/>
      <c r="AH521" s="39">
        <f>IF(ISNUMBER($AD521),($AD521+$AE521+$AF521)*$AG521,"")</f>
      </c>
      <c r="AI521" s="35"/>
      <c r="AJ521" s="38">
        <f>IF(ISNUMBER($AD521),SUM($AD521:$AH521),"")</f>
      </c>
      <c r="AK521" s="40">
        <f>IF(AND(ISNUMBER($AB521),ISNUMBER($AD521)),IF($AB521&gt;0,$AD521/$AB521,""),"")</f>
      </c>
      <c r="AL521" s="32" t="inlineStr">
        <is>
          <t xml:space="preserve">At technical</t>
        </is>
      </c>
      <c r="AM521" s="41">
        <f>IF(ISNUMBER($AD521),Header!$I$3,"")</f>
      </c>
      <c r="AN521" s="39">
        <f>IF(ISNUMBER($AD521),$AO521+$AP521,"")</f>
      </c>
      <c r="AO521" s="39">
        <f>IF(ISNUMBER($AD521),ROUND($AD521*Header!$K$3,2),"")</f>
      </c>
      <c r="AP521" s="39">
        <f>IF(ISNUMBER($AD521),ROUND($AD521*Header!$M$3,2),"")</f>
      </c>
      <c r="AQ521" s="38">
        <f>IF(ISNUMBER($AD521),ROUND($AD521,2)-$AO521-$AP521,"")</f>
      </c>
      <c r="AR521" s="39">
        <f>IF(ISNUMBER($AD521),IF(Header!$D$34="","?",$AD521*Header!$D$34),"")</f>
      </c>
      <c r="AS521" s="39">
        <f>IF(ISNUMBER($AB521),IF(Header!$D$34="","?",$AB521*Header!$D$34),"")</f>
      </c>
      <c r="AT521" s="42">
        <f>IF(AND(ISNUMBER($AB521),$M521&gt;0),$AB521/$M521*100,"")</f>
      </c>
      <c r="AU521" s="42">
        <f>IF(AND(ISNUMBER($AD521),$M521&gt;0),$AD521/$M521*100,"")</f>
      </c>
      <c r="AV521" s="40">
        <f>IF(AND(ISNUMBER($AB521),ISNUMBER($AD521),ABS($AB521)&gt;0),$AD521/$AB521,"")</f>
      </c>
      <c r="AW521" s="39">
        <f>IF(ISNUMBER($AD521),MAX(0,(1-0.55-Header!$O$3)*Header!$Q$3*$AQ521),"")</f>
      </c>
      <c r="AX521" s="43">
        <f>IF($A521="","",IF(TRIM(IF($A521="","Missing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",""))="","PASS","FAIL: "&amp;TRIM(IF($A521="","Missing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f>
      </c>
      <c r="AY521" s="44">
        <f>IF($M521="","",IF(ISNUMBER($M521),IF($M521&gt;=Header!$C$18,"YES — refer","No"),""))</f>
      </c>
      <c r="AZ521" s="44">
        <f>IF($AD521="","",IF(ISNUMBER($AD521),IF($AD521&lt;Header!$C$20,"BELOW MIN PREMIUM","OK"),""))</f>
      </c>
      <c r="BA521" s="32" t="inlineStr">
        <is>
          <t xml:space="preserve">Yes</t>
        </is>
      </c>
      <c r="BB521" s="32" t="inlineStr">
        <is>
          <t xml:space="preserve">Yes</t>
        </is>
      </c>
      <c r="BC521" s="30" t="inlineStr">
        <is>
          <t xml:space="preserve">Synthetic demo data</t>
        </is>
      </c>
      <c r="BE521" s="45">
        <f>IF(OR($A521="",$L521="",$H521=""),"",IF(AND(LEFT($L521,2)="06",$H521&gt;1945),"FAIL - pre-war class, year "&amp;$H521,IF(AND(LEFT($L521,2)="07",OR($H521&lt;1946,$H521&gt;1972)),"FAIL - 1946-72 class, year "&amp;$H521,IF(AND(LEFT($L521,2)="08",OR($H521&lt;1973,$H521&gt;1999)),"FAIL - 1973-99 class, year "&amp;$H521,IF(AND(LEFT($L521,2)="09",OR($H521&lt;2000,$H521&gt;2010)),"FAIL - 2000-10 class, year "&amp;$H521,"OK")))))</f>
      </c>
      <c r="BF521" s="45">
        <f>IF($AD521="","",IF(ROUND($AO521+$AP521+$AQ521-$AD521,2)=0,"OK","FAIL - out by "&amp;TEXT($AO521+$AP521+$AQ521-$AD521,"$0.00")))</f>
      </c>
    </row>
    <row r="522" spans="1:58" ht="18.75" customHeight="1" x14ac:dyDescent="0.25">
      <c r="A522" s="46" t="inlineStr">
        <is>
          <t xml:space="preserve">CANON-202606-009115</t>
        </is>
      </c>
      <c r="B522" s="46" t="inlineStr">
        <is>
          <t xml:space="preserve">Cassius Vandermeer</t>
        </is>
      </c>
      <c r="C522" s="47">
        <v>46195</v>
      </c>
      <c r="D522" s="48" t="inlineStr">
        <is>
          <t xml:space="preserve">Bound - within authority</t>
        </is>
      </c>
      <c r="E522" s="48" t="inlineStr">
        <is>
          <t xml:space="preserve">New business</t>
        </is>
      </c>
      <c r="F522" s="46" t="inlineStr">
        <is>
          <t xml:space="preserve">B1234EXOTIC26</t>
        </is>
      </c>
      <c r="G522" s="33">
        <f>IF($A522="","",IF($C522="","",YEAR($C522)))</f>
      </c>
      <c r="H522" s="49">
        <v>1975</v>
      </c>
      <c r="I522" s="46" t="inlineStr">
        <is>
          <t xml:space="preserve">Aston Martin</t>
        </is>
      </c>
      <c r="J522" s="46" t="inlineStr">
        <is>
          <t xml:space="preserve">DB12</t>
        </is>
      </c>
      <c r="K522" s="46" t="inlineStr">
        <is>
          <t xml:space="preserve">HS6ATCHBS1GB9N2Z7</t>
        </is>
      </c>
      <c r="L522" s="48" t="inlineStr">
        <is>
          <t xml:space="preserve">02 - Sports / GT</t>
        </is>
      </c>
      <c r="M522" s="50">
        <v>580000</v>
      </c>
      <c r="N522" s="48" t="inlineStr">
        <is>
          <t xml:space="preserve">Personal</t>
        </is>
      </c>
      <c r="O522" s="46" t="inlineStr">
        <is>
          <t xml:space="preserve">Personal - regular use</t>
        </is>
      </c>
      <c r="P522" s="46" t="inlineStr">
        <is>
          <t xml:space="preserve">Under 1,000</t>
        </is>
      </c>
      <c r="Q522" s="46" t="inlineStr">
        <is>
          <t xml:space="preserve">California</t>
        </is>
      </c>
      <c r="R522" s="46" t="inlineStr">
        <is>
          <t xml:space="preserve">90012</t>
        </is>
      </c>
      <c r="S522" s="48" t="inlineStr">
        <is>
          <t xml:space="preserve">Earthquake - high (CA, Cascadia, New Madrid)</t>
        </is>
      </c>
      <c r="T522" s="36">
        <f>IF($A522="","",IF($S522="","",IFERROR(INDEX('[1]natural catastrophe'!$D$6:$D$17,MATCH($S522,'[1]natural catastrophe'!$B$6:$B$17,0)),"?")))</f>
      </c>
      <c r="U522" s="46" t="inlineStr">
        <is>
          <t xml:space="preserve">$5,000</t>
        </is>
      </c>
      <c r="V522" s="48" t="inlineStr">
        <is>
          <t xml:space="preserve">Agreed Value</t>
        </is>
      </c>
      <c r="W522" s="46" t="inlineStr">
        <is>
          <t xml:space="preserve">$1,000</t>
        </is>
      </c>
      <c r="X522" s="48" t="inlineStr">
        <is>
          <t xml:space="preserve">$1,000,000 CSL</t>
        </is>
      </c>
      <c r="Y522" s="46"/>
      <c r="Z522" s="46"/>
      <c r="AA522" s="48" t="inlineStr">
        <is>
          <t xml:space="preserve">Surplus Lines</t>
        </is>
      </c>
      <c r="AB522" s="50">
        <v>7344.24</v>
      </c>
      <c r="AC522" s="51">
        <v>0</v>
      </c>
      <c r="AD522" s="38">
        <f>IF(ISNUMBER($AB522),$AB522*(1+N($AC522)),"")</f>
      </c>
      <c r="AE522" s="50">
        <v>350</v>
      </c>
      <c r="AF522" s="50">
        <v>0</v>
      </c>
      <c r="AG522" s="51"/>
      <c r="AH522" s="39">
        <f>IF(ISNUMBER($AD522),($AD522+$AE522+$AF522)*$AG522,"")</f>
      </c>
      <c r="AI522" s="50"/>
      <c r="AJ522" s="38">
        <f>IF(ISNUMBER($AD522),SUM($AD522:$AH522),"")</f>
      </c>
      <c r="AK522" s="40">
        <f>IF(AND(ISNUMBER($AB522),ISNUMBER($AD522)),IF($AB522&gt;0,$AD522/$AB522,""),"")</f>
      </c>
      <c r="AL522" s="48" t="inlineStr">
        <is>
          <t xml:space="preserve">At technical</t>
        </is>
      </c>
      <c r="AM522" s="41">
        <f>IF(ISNUMBER($AD522),Header!$I$3,"")</f>
      </c>
      <c r="AN522" s="39">
        <f>IF(ISNUMBER($AD522),$AO522+$AP522,"")</f>
      </c>
      <c r="AO522" s="39">
        <f>IF(ISNUMBER($AD522),ROUND($AD522*Header!$K$3,2),"")</f>
      </c>
      <c r="AP522" s="39">
        <f>IF(ISNUMBER($AD522),ROUND($AD522*Header!$M$3,2),"")</f>
      </c>
      <c r="AQ522" s="38">
        <f>IF(ISNUMBER($AD522),ROUND($AD522,2)-$AO522-$AP522,"")</f>
      </c>
      <c r="AR522" s="39">
        <f>IF(ISNUMBER($AD522),IF(Header!$D$34="","?",$AD522*Header!$D$34),"")</f>
      </c>
      <c r="AS522" s="39">
        <f>IF(ISNUMBER($AB522),IF(Header!$D$34="","?",$AB522*Header!$D$34),"")</f>
      </c>
      <c r="AT522" s="42">
        <f>IF(AND(ISNUMBER($AB522),$M522&gt;0),$AB522/$M522*100,"")</f>
      </c>
      <c r="AU522" s="42">
        <f>IF(AND(ISNUMBER($AD522),$M522&gt;0),$AD522/$M522*100,"")</f>
      </c>
      <c r="AV522" s="40">
        <f>IF(AND(ISNUMBER($AB522),ISNUMBER($AD522),ABS($AB522)&gt;0),$AD522/$AB522,"")</f>
      </c>
      <c r="AW522" s="39">
        <f>IF(ISNUMBER($AD522),MAX(0,(1-0.55-Header!$O$3)*Header!$Q$3*$AQ522),"")</f>
      </c>
      <c r="AX522" s="43">
        <f>IF($A522="","",IF(TRIM(IF($A522="","Missing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",""))="","PASS","FAIL: "&amp;TRIM(IF($A522="","Missing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f>
      </c>
      <c r="AY522" s="44">
        <f>IF($M522="","",IF(ISNUMBER($M522),IF($M522&gt;=Header!$C$18,"YES — refer","No"),""))</f>
      </c>
      <c r="AZ522" s="44">
        <f>IF($AD522="","",IF(ISNUMBER($AD522),IF($AD522&lt;Header!$C$20,"BELOW MIN PREMIUM","OK"),""))</f>
      </c>
      <c r="BA522" s="48" t="inlineStr">
        <is>
          <t xml:space="preserve">Yes</t>
        </is>
      </c>
      <c r="BB522" s="48" t="inlineStr">
        <is>
          <t xml:space="preserve">Yes</t>
        </is>
      </c>
      <c r="BC522" s="46" t="inlineStr">
        <is>
          <t xml:space="preserve">Synthetic demo data</t>
        </is>
      </c>
      <c r="BE522" s="45">
        <f>IF(OR($A522="",$L522="",$H522=""),"",IF(AND(LEFT($L522,2)="06",$H522&gt;1945),"FAIL - pre-war class, year "&amp;$H522,IF(AND(LEFT($L522,2)="07",OR($H522&lt;1946,$H522&gt;1972)),"FAIL - 1946-72 class, year "&amp;$H522,IF(AND(LEFT($L522,2)="08",OR($H522&lt;1973,$H522&gt;1999)),"FAIL - 1973-99 class, year "&amp;$H522,IF(AND(LEFT($L522,2)="09",OR($H522&lt;2000,$H522&gt;2010)),"FAIL - 2000-10 class, year "&amp;$H522,"OK")))))</f>
      </c>
      <c r="BF522" s="45">
        <f>IF($AD522="","",IF(ROUND($AO522+$AP522+$AQ522-$AD522,2)=0,"OK","FAIL - out by "&amp;TEXT($AO522+$AP522+$AQ522-$AD522,"$0.00")))</f>
      </c>
    </row>
    <row r="523" spans="1:58" ht="18.75" customHeight="1" x14ac:dyDescent="0.25">
      <c r="A523" s="30" t="inlineStr">
        <is>
          <t xml:space="preserve">CANON-202606-009118</t>
        </is>
      </c>
      <c r="B523" s="30" t="inlineStr">
        <is>
          <t xml:space="preserve">Anouk Larsson</t>
        </is>
      </c>
      <c r="C523" s="31">
        <v>46198</v>
      </c>
      <c r="D523" s="32" t="inlineStr">
        <is>
          <t xml:space="preserve">Bound - within authority</t>
        </is>
      </c>
      <c r="E523" s="32" t="inlineStr">
        <is>
          <t xml:space="preserve">New business</t>
        </is>
      </c>
      <c r="F523" s="30" t="inlineStr">
        <is>
          <t xml:space="preserve">B1234EXOTIC26</t>
        </is>
      </c>
      <c r="G523" s="33">
        <f>IF($A523="","",IF($C523="","",YEAR($C523)))</f>
      </c>
      <c r="H523" s="34">
        <v>1955</v>
      </c>
      <c r="I523" s="30" t="inlineStr">
        <is>
          <t xml:space="preserve">Ferrari</t>
        </is>
      </c>
      <c r="J523" s="30" t="inlineStr">
        <is>
          <t xml:space="preserve">296 GTB</t>
        </is>
      </c>
      <c r="K523" s="30" t="inlineStr">
        <is>
          <t xml:space="preserve">SA794J42JVXRPATXL</t>
        </is>
      </c>
      <c r="L523" s="32" t="inlineStr">
        <is>
          <t xml:space="preserve">03 - Supercar</t>
        </is>
      </c>
      <c r="M523" s="35">
        <v>185000</v>
      </c>
      <c r="N523" s="32" t="inlineStr">
        <is>
          <t xml:space="preserve">Personal</t>
        </is>
      </c>
      <c r="O523" s="30" t="inlineStr">
        <is>
          <t xml:space="preserve">Personal - regular use</t>
        </is>
      </c>
      <c r="P523" s="30" t="inlineStr">
        <is>
          <t xml:space="preserve">1,000 - 2,500</t>
        </is>
      </c>
      <c r="Q523" s="30" t="inlineStr">
        <is>
          <t xml:space="preserve">Colorado</t>
        </is>
      </c>
      <c r="R523" s="30" t="inlineStr">
        <is>
          <t xml:space="preserve">80202</t>
        </is>
      </c>
      <c r="S523" s="32" t="inlineStr">
        <is>
          <t xml:space="preserve">Severe convective - hail alley (high)</t>
        </is>
      </c>
      <c r="T523" s="36">
        <f>IF($A523="","",IF($S523="","",IFERROR(INDEX('[1]natural catastrophe'!$D$6:$D$17,MATCH($S523,'[1]natural catastrophe'!$B$6:$B$17,0)),"?")))</f>
      </c>
      <c r="U523" s="30" t="inlineStr">
        <is>
          <t xml:space="preserve">$5,000</t>
        </is>
      </c>
      <c r="V523" s="32" t="inlineStr">
        <is>
          <t xml:space="preserve">Agreed Value</t>
        </is>
      </c>
      <c r="W523" s="30" t="inlineStr">
        <is>
          <t xml:space="preserve">$1,000</t>
        </is>
      </c>
      <c r="X523" s="32" t="inlineStr">
        <is>
          <t xml:space="preserve">$1,000,000 CSL</t>
        </is>
      </c>
      <c r="Y523" s="30"/>
      <c r="Z523" s="30"/>
      <c r="AA523" s="32" t="inlineStr">
        <is>
          <t xml:space="preserve">Surplus Lines</t>
        </is>
      </c>
      <c r="AB523" s="35">
        <v>4169.89</v>
      </c>
      <c r="AC523" s="37">
        <v>0</v>
      </c>
      <c r="AD523" s="38">
        <f>IF(ISNUMBER($AB523),$AB523*(1+N($AC523)),"")</f>
      </c>
      <c r="AE523" s="35">
        <v>350</v>
      </c>
      <c r="AF523" s="35">
        <v>0</v>
      </c>
      <c r="AG523" s="37"/>
      <c r="AH523" s="39">
        <f>IF(ISNUMBER($AD523),($AD523+$AE523+$AF523)*$AG523,"")</f>
      </c>
      <c r="AI523" s="35"/>
      <c r="AJ523" s="38">
        <f>IF(ISNUMBER($AD523),SUM($AD523:$AH523),"")</f>
      </c>
      <c r="AK523" s="40">
        <f>IF(AND(ISNUMBER($AB523),ISNUMBER($AD523)),IF($AB523&gt;0,$AD523/$AB523,""),"")</f>
      </c>
      <c r="AL523" s="32" t="inlineStr">
        <is>
          <t xml:space="preserve">At technical</t>
        </is>
      </c>
      <c r="AM523" s="41">
        <f>IF(ISNUMBER($AD523),Header!$I$3,"")</f>
      </c>
      <c r="AN523" s="39">
        <f>IF(ISNUMBER($AD523),$AO523+$AP523,"")</f>
      </c>
      <c r="AO523" s="39">
        <f>IF(ISNUMBER($AD523),ROUND($AD523*Header!$K$3,2),"")</f>
      </c>
      <c r="AP523" s="39">
        <f>IF(ISNUMBER($AD523),ROUND($AD523*Header!$M$3,2),"")</f>
      </c>
      <c r="AQ523" s="38">
        <f>IF(ISNUMBER($AD523),ROUND($AD523,2)-$AO523-$AP523,"")</f>
      </c>
      <c r="AR523" s="39">
        <f>IF(ISNUMBER($AD523),IF(Header!$D$34="","?",$AD523*Header!$D$34),"")</f>
      </c>
      <c r="AS523" s="39">
        <f>IF(ISNUMBER($AB523),IF(Header!$D$34="","?",$AB523*Header!$D$34),"")</f>
      </c>
      <c r="AT523" s="42">
        <f>IF(AND(ISNUMBER($AB523),$M523&gt;0),$AB523/$M523*100,"")</f>
      </c>
      <c r="AU523" s="42">
        <f>IF(AND(ISNUMBER($AD523),$M523&gt;0),$AD523/$M523*100,"")</f>
      </c>
      <c r="AV523" s="40">
        <f>IF(AND(ISNUMBER($AB523),ISNUMBER($AD523),ABS($AB523)&gt;0),$AD523/$AB523,"")</f>
      </c>
      <c r="AW523" s="39">
        <f>IF(ISNUMBER($AD523),MAX(0,(1-0.55-Header!$O$3)*Header!$Q$3*$AQ523),"")</f>
      </c>
      <c r="AX523" s="43">
        <f>IF($A523="","",IF(TRIM(IF($A523="","Missing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",""))="","PASS","FAIL: "&amp;TRIM(IF($A523="","Missing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f>
      </c>
      <c r="AY523" s="44">
        <f>IF($M523="","",IF(ISNUMBER($M523),IF($M523&gt;=Header!$C$18,"YES — refer","No"),""))</f>
      </c>
      <c r="AZ523" s="44">
        <f>IF($AD523="","",IF(ISNUMBER($AD523),IF($AD523&lt;Header!$C$20,"BELOW MIN PREMIUM","OK"),""))</f>
      </c>
      <c r="BA523" s="32" t="inlineStr">
        <is>
          <t xml:space="preserve">Yes</t>
        </is>
      </c>
      <c r="BB523" s="32" t="inlineStr">
        <is>
          <t xml:space="preserve">Yes</t>
        </is>
      </c>
      <c r="BC523" s="30" t="inlineStr">
        <is>
          <t xml:space="preserve">Synthetic demo data</t>
        </is>
      </c>
      <c r="BE523" s="45">
        <f>IF(OR($A523="",$L523="",$H523=""),"",IF(AND(LEFT($L523,2)="06",$H523&gt;1945),"FAIL - pre-war class, year "&amp;$H523,IF(AND(LEFT($L523,2)="07",OR($H523&lt;1946,$H523&gt;1972)),"FAIL - 1946-72 class, year "&amp;$H523,IF(AND(LEFT($L523,2)="08",OR($H523&lt;1973,$H523&gt;1999)),"FAIL - 1973-99 class, year "&amp;$H523,IF(AND(LEFT($L523,2)="09",OR($H523&lt;2000,$H523&gt;2010)),"FAIL - 2000-10 class, year "&amp;$H523,"OK")))))</f>
      </c>
      <c r="BF523" s="45">
        <f>IF($AD523="","",IF(ROUND($AO523+$AP523+$AQ523-$AD523,2)=0,"OK","FAIL - out by "&amp;TEXT($AO523+$AP523+$AQ523-$AD523,"$0.00")))</f>
      </c>
    </row>
    <row r="524" spans="1:58" ht="18.75" customHeight="1" x14ac:dyDescent="0.25">
      <c r="A524" s="46" t="inlineStr">
        <is>
          <t xml:space="preserve">CANON-202606-009119</t>
        </is>
      </c>
      <c r="B524" s="46" t="inlineStr">
        <is>
          <t xml:space="preserve">Thaddeus Castellanos</t>
        </is>
      </c>
      <c r="C524" s="47">
        <v>46203</v>
      </c>
      <c r="D524" s="48" t="inlineStr">
        <is>
          <t xml:space="preserve">Bound - within authority</t>
        </is>
      </c>
      <c r="E524" s="48" t="inlineStr">
        <is>
          <t xml:space="preserve">New business</t>
        </is>
      </c>
      <c r="F524" s="46" t="inlineStr">
        <is>
          <t xml:space="preserve">B1234EXOTIC26</t>
        </is>
      </c>
      <c r="G524" s="33">
        <f>IF($A524="","",IF($C524="","",YEAR($C524)))</f>
      </c>
      <c r="H524" s="49">
        <v>1959</v>
      </c>
      <c r="I524" s="46" t="inlineStr">
        <is>
          <t xml:space="preserve">Aston Martin</t>
        </is>
      </c>
      <c r="J524" s="46" t="inlineStr">
        <is>
          <t xml:space="preserve">DB12</t>
        </is>
      </c>
      <c r="K524" s="46" t="inlineStr">
        <is>
          <t xml:space="preserve">NFMRYJK9M34PRJDV4</t>
        </is>
      </c>
      <c r="L524" s="48" t="inlineStr">
        <is>
          <t xml:space="preserve">02 - Sports / GT</t>
        </is>
      </c>
      <c r="M524" s="50">
        <v>415000</v>
      </c>
      <c r="N524" s="48" t="inlineStr">
        <is>
          <t xml:space="preserve">Personal</t>
        </is>
      </c>
      <c r="O524" s="46" t="inlineStr">
        <is>
          <t xml:space="preserve">Personal - regular use</t>
        </is>
      </c>
      <c r="P524" s="46" t="inlineStr">
        <is>
          <t xml:space="preserve">Under 1,000</t>
        </is>
      </c>
      <c r="Q524" s="46" t="inlineStr">
        <is>
          <t xml:space="preserve">New York</t>
        </is>
      </c>
      <c r="R524" s="46" t="inlineStr">
        <is>
          <t xml:space="preserve">10022</t>
        </is>
      </c>
      <c r="S524" s="48" t="inlineStr">
        <is>
          <t xml:space="preserve">Tier 3 - Coastal wind (25-100 miles)</t>
        </is>
      </c>
      <c r="T524" s="36">
        <f>IF($A524="","",IF($S524="","",IFERROR(INDEX('[1]natural catastrophe'!$D$6:$D$17,MATCH($S524,'[1]natural catastrophe'!$B$6:$B$17,0)),"?")))</f>
      </c>
      <c r="U524" s="46" t="inlineStr">
        <is>
          <t xml:space="preserve">2% of agreed value, minimum $10,000</t>
        </is>
      </c>
      <c r="V524" s="48" t="inlineStr">
        <is>
          <t xml:space="preserve">Agreed Value</t>
        </is>
      </c>
      <c r="W524" s="46" t="inlineStr">
        <is>
          <t xml:space="preserve">$1,000</t>
        </is>
      </c>
      <c r="X524" s="48" t="inlineStr">
        <is>
          <t xml:space="preserve">$1,000,000 CSL</t>
        </is>
      </c>
      <c r="Y524" s="46"/>
      <c r="Z524" s="46"/>
      <c r="AA524" s="48" t="inlineStr">
        <is>
          <t xml:space="preserve">Surplus Lines</t>
        </is>
      </c>
      <c r="AB524" s="50">
        <v>5748.99</v>
      </c>
      <c r="AC524" s="51">
        <v>0</v>
      </c>
      <c r="AD524" s="38">
        <f>IF(ISNUMBER($AB524),$AB524*(1+N($AC524)),"")</f>
      </c>
      <c r="AE524" s="50">
        <v>350</v>
      </c>
      <c r="AF524" s="50">
        <v>0</v>
      </c>
      <c r="AG524" s="51"/>
      <c r="AH524" s="39">
        <f>IF(ISNUMBER($AD524),($AD524+$AE524+$AF524)*$AG524,"")</f>
      </c>
      <c r="AI524" s="50"/>
      <c r="AJ524" s="38">
        <f>IF(ISNUMBER($AD524),SUM($AD524:$AH524),"")</f>
      </c>
      <c r="AK524" s="40">
        <f>IF(AND(ISNUMBER($AB524),ISNUMBER($AD524)),IF($AB524&gt;0,$AD524/$AB524,""),"")</f>
      </c>
      <c r="AL524" s="48" t="inlineStr">
        <is>
          <t xml:space="preserve">At technical</t>
        </is>
      </c>
      <c r="AM524" s="41">
        <f>IF(ISNUMBER($AD524),Header!$I$3,"")</f>
      </c>
      <c r="AN524" s="39">
        <f>IF(ISNUMBER($AD524),$AO524+$AP524,"")</f>
      </c>
      <c r="AO524" s="39">
        <f>IF(ISNUMBER($AD524),ROUND($AD524*Header!$K$3,2),"")</f>
      </c>
      <c r="AP524" s="39">
        <f>IF(ISNUMBER($AD524),ROUND($AD524*Header!$M$3,2),"")</f>
      </c>
      <c r="AQ524" s="38">
        <f>IF(ISNUMBER($AD524),ROUND($AD524,2)-$AO524-$AP524,"")</f>
      </c>
      <c r="AR524" s="39">
        <f>IF(ISNUMBER($AD524),IF(Header!$D$34="","?",$AD524*Header!$D$34),"")</f>
      </c>
      <c r="AS524" s="39">
        <f>IF(ISNUMBER($AB524),IF(Header!$D$34="","?",$AB524*Header!$D$34),"")</f>
      </c>
      <c r="AT524" s="42">
        <f>IF(AND(ISNUMBER($AB524),$M524&gt;0),$AB524/$M524*100,"")</f>
      </c>
      <c r="AU524" s="42">
        <f>IF(AND(ISNUMBER($AD524),$M524&gt;0),$AD524/$M524*100,"")</f>
      </c>
      <c r="AV524" s="40">
        <f>IF(AND(ISNUMBER($AB524),ISNUMBER($AD524),ABS($AB524)&gt;0),$AD524/$AB524,"")</f>
      </c>
      <c r="AW524" s="39">
        <f>IF(ISNUMBER($AD524),MAX(0,(1-0.55-Header!$O$3)*Header!$Q$3*$AQ524),"")</f>
      </c>
      <c r="AX524" s="43">
        <f>IF($A524="","",IF(TRIM(IF($A524="","Missing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",""))="","PASS","FAIL: "&amp;TRIM(IF($A524="","Missing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f>
      </c>
      <c r="AY524" s="44">
        <f>IF($M524="","",IF(ISNUMBER($M524),IF($M524&gt;=Header!$C$18,"YES — refer","No"),""))</f>
      </c>
      <c r="AZ524" s="44">
        <f>IF($AD524="","",IF(ISNUMBER($AD524),IF($AD524&lt;Header!$C$20,"BELOW MIN PREMIUM","OK"),""))</f>
      </c>
      <c r="BA524" s="48" t="inlineStr">
        <is>
          <t xml:space="preserve">Yes</t>
        </is>
      </c>
      <c r="BB524" s="48" t="inlineStr">
        <is>
          <t xml:space="preserve">Yes</t>
        </is>
      </c>
      <c r="BC524" s="46" t="inlineStr">
        <is>
          <t xml:space="preserve">Synthetic demo data</t>
        </is>
      </c>
      <c r="BE524" s="45">
        <f>IF(OR($A524="",$L524="",$H524=""),"",IF(AND(LEFT($L524,2)="06",$H524&gt;1945),"FAIL - pre-war class, year "&amp;$H524,IF(AND(LEFT($L524,2)="07",OR($H524&lt;1946,$H524&gt;1972)),"FAIL - 1946-72 class, year "&amp;$H524,IF(AND(LEFT($L524,2)="08",OR($H524&lt;1973,$H524&gt;1999)),"FAIL - 1973-99 class, year "&amp;$H524,IF(AND(LEFT($L524,2)="09",OR($H524&lt;2000,$H524&gt;2010)),"FAIL - 2000-10 class, year "&amp;$H524,"OK")))))</f>
      </c>
      <c r="BF524" s="45">
        <f>IF($AD524="","",IF(ROUND($AO524+$AP524+$AQ524-$AD524,2)=0,"OK","FAIL - out by "&amp;TEXT($AO524+$AP524+$AQ524-$AD524,"$0.00")))</f>
      </c>
    </row>
    <row r="525" spans="1:58" ht="18.75" customHeight="1" x14ac:dyDescent="0.25">
      <c r="A525" s="30" t="inlineStr">
        <is>
          <t xml:space="preserve">CANON-202606-009120</t>
        </is>
      </c>
      <c r="B525" s="30" t="inlineStr">
        <is>
          <t xml:space="preserve">Everett Ashcombe</t>
        </is>
      </c>
      <c r="C525" s="31">
        <v>46202</v>
      </c>
      <c r="D525" s="32" t="inlineStr">
        <is>
          <t xml:space="preserve">Bound - within authority</t>
        </is>
      </c>
      <c r="E525" s="32" t="inlineStr">
        <is>
          <t xml:space="preserve">New business</t>
        </is>
      </c>
      <c r="F525" s="30" t="inlineStr">
        <is>
          <t xml:space="preserve">B1234EXOTIC26</t>
        </is>
      </c>
      <c r="G525" s="33">
        <f>IF($A525="","",IF($C525="","",YEAR($C525)))</f>
      </c>
      <c r="H525" s="34">
        <v>1991</v>
      </c>
      <c r="I525" s="30" t="inlineStr">
        <is>
          <t xml:space="preserve">Porsche</t>
        </is>
      </c>
      <c r="J525" s="30" t="inlineStr">
        <is>
          <t xml:space="preserve">911 Turbo S</t>
        </is>
      </c>
      <c r="K525" s="30" t="inlineStr">
        <is>
          <t xml:space="preserve">ZRRMZ6JA52FKPZ3PB</t>
        </is>
      </c>
      <c r="L525" s="32" t="inlineStr">
        <is>
          <t xml:space="preserve">02 - Sports / GT</t>
        </is>
      </c>
      <c r="M525" s="35">
        <v>225000</v>
      </c>
      <c r="N525" s="32" t="inlineStr">
        <is>
          <t xml:space="preserve">Personal</t>
        </is>
      </c>
      <c r="O525" s="30" t="inlineStr">
        <is>
          <t xml:space="preserve">Personal - regular use</t>
        </is>
      </c>
      <c r="P525" s="30" t="inlineStr">
        <is>
          <t xml:space="preserve">1,000 - 2,500</t>
        </is>
      </c>
      <c r="Q525" s="30" t="inlineStr">
        <is>
          <t xml:space="preserve">Oklahoma</t>
        </is>
      </c>
      <c r="R525" s="30" t="inlineStr">
        <is>
          <t xml:space="preserve">73102</t>
        </is>
      </c>
      <c r="S525" s="32" t="inlineStr">
        <is>
          <t xml:space="preserve">Severe convective - hail alley (high)</t>
        </is>
      </c>
      <c r="T525" s="36">
        <f>IF($A525="","",IF($S525="","",IFERROR(INDEX('[1]natural catastrophe'!$D$6:$D$17,MATCH($S525,'[1]natural catastrophe'!$B$6:$B$17,0)),"?")))</f>
      </c>
      <c r="U525" s="30" t="inlineStr">
        <is>
          <t xml:space="preserve">$5,000</t>
        </is>
      </c>
      <c r="V525" s="32" t="inlineStr">
        <is>
          <t xml:space="preserve">Agreed Value</t>
        </is>
      </c>
      <c r="W525" s="30" t="inlineStr">
        <is>
          <t xml:space="preserve">$1,000</t>
        </is>
      </c>
      <c r="X525" s="32" t="inlineStr">
        <is>
          <t xml:space="preserve">$1,000,000 CSL</t>
        </is>
      </c>
      <c r="Y525" s="30"/>
      <c r="Z525" s="30"/>
      <c r="AA525" s="32" t="inlineStr">
        <is>
          <t xml:space="preserve">Surplus Lines</t>
        </is>
      </c>
      <c r="AB525" s="35">
        <v>3763.68</v>
      </c>
      <c r="AC525" s="37">
        <v>0</v>
      </c>
      <c r="AD525" s="38">
        <f>IF(ISNUMBER($AB525),$AB525*(1+N($AC525)),"")</f>
      </c>
      <c r="AE525" s="35">
        <v>350</v>
      </c>
      <c r="AF525" s="35">
        <v>0</v>
      </c>
      <c r="AG525" s="37"/>
      <c r="AH525" s="39">
        <f>IF(ISNUMBER($AD525),($AD525+$AE525+$AF525)*$AG525,"")</f>
      </c>
      <c r="AI525" s="35"/>
      <c r="AJ525" s="38">
        <f>IF(ISNUMBER($AD525),SUM($AD525:$AH525),"")</f>
      </c>
      <c r="AK525" s="40">
        <f>IF(AND(ISNUMBER($AB525),ISNUMBER($AD525)),IF($AB525&gt;0,$AD525/$AB525,""),"")</f>
      </c>
      <c r="AL525" s="32" t="inlineStr">
        <is>
          <t xml:space="preserve">At technical</t>
        </is>
      </c>
      <c r="AM525" s="41">
        <f>IF(ISNUMBER($AD525),Header!$I$3,"")</f>
      </c>
      <c r="AN525" s="39">
        <f>IF(ISNUMBER($AD525),$AO525+$AP525,"")</f>
      </c>
      <c r="AO525" s="39">
        <f>IF(ISNUMBER($AD525),ROUND($AD525*Header!$K$3,2),"")</f>
      </c>
      <c r="AP525" s="39">
        <f>IF(ISNUMBER($AD525),ROUND($AD525*Header!$M$3,2),"")</f>
      </c>
      <c r="AQ525" s="38">
        <f>IF(ISNUMBER($AD525),ROUND($AD525,2)-$AO525-$AP525,"")</f>
      </c>
      <c r="AR525" s="39">
        <f>IF(ISNUMBER($AD525),IF(Header!$D$34="","?",$AD525*Header!$D$34),"")</f>
      </c>
      <c r="AS525" s="39">
        <f>IF(ISNUMBER($AB525),IF(Header!$D$34="","?",$AB525*Header!$D$34),"")</f>
      </c>
      <c r="AT525" s="42">
        <f>IF(AND(ISNUMBER($AB525),$M525&gt;0),$AB525/$M525*100,"")</f>
      </c>
      <c r="AU525" s="42">
        <f>IF(AND(ISNUMBER($AD525),$M525&gt;0),$AD525/$M525*100,"")</f>
      </c>
      <c r="AV525" s="40">
        <f>IF(AND(ISNUMBER($AB525),ISNUMBER($AD525),ABS($AB525)&gt;0),$AD525/$AB525,"")</f>
      </c>
      <c r="AW525" s="39">
        <f>IF(ISNUMBER($AD525),MAX(0,(1-0.55-Header!$O$3)*Header!$Q$3*$AQ525),"")</f>
      </c>
      <c r="AX525" s="43">
        <f>IF($A525="","",IF(TRIM(IF($A525="","Missing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",""))="","PASS","FAIL: "&amp;TRIM(IF($A525="","Missing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f>
      </c>
      <c r="AY525" s="44">
        <f>IF($M525="","",IF(ISNUMBER($M525),IF($M525&gt;=Header!$C$18,"YES — refer","No"),""))</f>
      </c>
      <c r="AZ525" s="44">
        <f>IF($AD525="","",IF(ISNUMBER($AD525),IF($AD525&lt;Header!$C$20,"BELOW MIN PREMIUM","OK"),""))</f>
      </c>
      <c r="BA525" s="32" t="inlineStr">
        <is>
          <t xml:space="preserve">Yes</t>
        </is>
      </c>
      <c r="BB525" s="32" t="inlineStr">
        <is>
          <t xml:space="preserve">Yes</t>
        </is>
      </c>
      <c r="BC525" s="30" t="inlineStr">
        <is>
          <t xml:space="preserve">Synthetic demo data</t>
        </is>
      </c>
      <c r="BE525" s="45">
        <f>IF(OR($A525="",$L525="",$H525=""),"",IF(AND(LEFT($L525,2)="06",$H525&gt;1945),"FAIL - pre-war class, year "&amp;$H525,IF(AND(LEFT($L525,2)="07",OR($H525&lt;1946,$H525&gt;1972)),"FAIL - 1946-72 class, year "&amp;$H525,IF(AND(LEFT($L525,2)="08",OR($H525&lt;1973,$H525&gt;1999)),"FAIL - 1973-99 class, year "&amp;$H525,IF(AND(LEFT($L525,2)="09",OR($H525&lt;2000,$H525&gt;2010)),"FAIL - 2000-10 class, year "&amp;$H525,"OK")))))</f>
      </c>
      <c r="BF525" s="45">
        <f>IF($AD525="","",IF(ROUND($AO525+$AP525+$AQ525-$AD525,2)=0,"OK","FAIL - out by "&amp;TEXT($AO525+$AP525+$AQ525-$AD525,"$0.00")))</f>
      </c>
    </row>
    <row r="526" spans="1:58" ht="18.75" customHeight="1" x14ac:dyDescent="0.25">
      <c r="A526" s="46" t="inlineStr">
        <is>
          <t xml:space="preserve">CANON-202606-009121</t>
        </is>
      </c>
      <c r="B526" s="46" t="inlineStr">
        <is>
          <t xml:space="preserve">Beatrix Montoya</t>
        </is>
      </c>
      <c r="C526" s="47">
        <v>46174</v>
      </c>
      <c r="D526" s="48" t="inlineStr">
        <is>
          <t xml:space="preserve">Bound - within authority</t>
        </is>
      </c>
      <c r="E526" s="48" t="inlineStr">
        <is>
          <t xml:space="preserve">New business</t>
        </is>
      </c>
      <c r="F526" s="46" t="inlineStr">
        <is>
          <t xml:space="preserve">B1234EXOTIC26</t>
        </is>
      </c>
      <c r="G526" s="33">
        <f>IF($A526="","",IF($C526="","",YEAR($C526)))</f>
      </c>
      <c r="H526" s="49">
        <v>1969</v>
      </c>
      <c r="I526" s="46" t="inlineStr">
        <is>
          <t xml:space="preserve">McLaren</t>
        </is>
      </c>
      <c r="J526" s="46" t="inlineStr">
        <is>
          <t xml:space="preserve">750S</t>
        </is>
      </c>
      <c r="K526" s="46" t="inlineStr">
        <is>
          <t xml:space="preserve">ZGD1GEGHS0GW3X2HL</t>
        </is>
      </c>
      <c r="L526" s="48" t="inlineStr">
        <is>
          <t xml:space="preserve">03 - Supercar</t>
        </is>
      </c>
      <c r="M526" s="50">
        <v>820000</v>
      </c>
      <c r="N526" s="48" t="inlineStr">
        <is>
          <t xml:space="preserve">Personal</t>
        </is>
      </c>
      <c r="O526" s="46" t="inlineStr">
        <is>
          <t xml:space="preserve">Personal - regular use</t>
        </is>
      </c>
      <c r="P526" s="46" t="inlineStr">
        <is>
          <t xml:space="preserve">Under 1,000</t>
        </is>
      </c>
      <c r="Q526" s="46" t="inlineStr">
        <is>
          <t xml:space="preserve">Tennessee</t>
        </is>
      </c>
      <c r="R526" s="46" t="inlineStr">
        <is>
          <t xml:space="preserve">37203</t>
        </is>
      </c>
      <c r="S526" s="48" t="inlineStr">
        <is>
          <t xml:space="preserve">Severe convective - hail / tornado (moderate)</t>
        </is>
      </c>
      <c r="T526" s="36">
        <f>IF($A526="","",IF($S526="","",IFERROR(INDEX('[1]natural catastrophe'!$D$6:$D$17,MATCH($S526,'[1]natural catastrophe'!$B$6:$B$17,0)),"?")))</f>
      </c>
      <c r="U526" s="46" t="inlineStr">
        <is>
          <t xml:space="preserve">$5,000</t>
        </is>
      </c>
      <c r="V526" s="48" t="inlineStr">
        <is>
          <t xml:space="preserve">Agreed Value</t>
        </is>
      </c>
      <c r="W526" s="46" t="inlineStr">
        <is>
          <t xml:space="preserve">$1,000</t>
        </is>
      </c>
      <c r="X526" s="48" t="inlineStr">
        <is>
          <t xml:space="preserve">$1,000,000 CSL</t>
        </is>
      </c>
      <c r="Y526" s="46"/>
      <c r="Z526" s="46"/>
      <c r="AA526" s="48" t="inlineStr">
        <is>
          <t xml:space="preserve">Surplus Lines</t>
        </is>
      </c>
      <c r="AB526" s="50">
        <v>11016.29</v>
      </c>
      <c r="AC526" s="51">
        <v>0</v>
      </c>
      <c r="AD526" s="38">
        <f>IF(ISNUMBER($AB526),$AB526*(1+N($AC526)),"")</f>
      </c>
      <c r="AE526" s="50">
        <v>350</v>
      </c>
      <c r="AF526" s="50">
        <v>0</v>
      </c>
      <c r="AG526" s="51"/>
      <c r="AH526" s="39">
        <f>IF(ISNUMBER($AD526),($AD526+$AE526+$AF526)*$AG526,"")</f>
      </c>
      <c r="AI526" s="50"/>
      <c r="AJ526" s="38">
        <f>IF(ISNUMBER($AD526),SUM($AD526:$AH526),"")</f>
      </c>
      <c r="AK526" s="40">
        <f>IF(AND(ISNUMBER($AB526),ISNUMBER($AD526)),IF($AB526&gt;0,$AD526/$AB526,""),"")</f>
      </c>
      <c r="AL526" s="48" t="inlineStr">
        <is>
          <t xml:space="preserve">At technical</t>
        </is>
      </c>
      <c r="AM526" s="41">
        <f>IF(ISNUMBER($AD526),Header!$I$3,"")</f>
      </c>
      <c r="AN526" s="39">
        <f>IF(ISNUMBER($AD526),$AO526+$AP526,"")</f>
      </c>
      <c r="AO526" s="39">
        <f>IF(ISNUMBER($AD526),ROUND($AD526*Header!$K$3,2),"")</f>
      </c>
      <c r="AP526" s="39">
        <f>IF(ISNUMBER($AD526),ROUND($AD526*Header!$M$3,2),"")</f>
      </c>
      <c r="AQ526" s="38">
        <f>IF(ISNUMBER($AD526),ROUND($AD526,2)-$AO526-$AP526,"")</f>
      </c>
      <c r="AR526" s="39">
        <f>IF(ISNUMBER($AD526),IF(Header!$D$34="","?",$AD526*Header!$D$34),"")</f>
      </c>
      <c r="AS526" s="39">
        <f>IF(ISNUMBER($AB526),IF(Header!$D$34="","?",$AB526*Header!$D$34),"")</f>
      </c>
      <c r="AT526" s="42">
        <f>IF(AND(ISNUMBER($AB526),$M526&gt;0),$AB526/$M526*100,"")</f>
      </c>
      <c r="AU526" s="42">
        <f>IF(AND(ISNUMBER($AD526),$M526&gt;0),$AD526/$M526*100,"")</f>
      </c>
      <c r="AV526" s="40">
        <f>IF(AND(ISNUMBER($AB526),ISNUMBER($AD526),ABS($AB526)&gt;0),$AD526/$AB526,"")</f>
      </c>
      <c r="AW526" s="39">
        <f>IF(ISNUMBER($AD526),MAX(0,(1-0.55-Header!$O$3)*Header!$Q$3*$AQ526),"")</f>
      </c>
      <c r="AX526" s="43">
        <f>IF($A526="","",IF(TRIM(IF($A526="","Missing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",""))="","PASS","FAIL: "&amp;TRIM(IF($A526="","Missing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f>
      </c>
      <c r="AY526" s="44">
        <f>IF($M526="","",IF(ISNUMBER($M526),IF($M526&gt;=Header!$C$18,"YES — refer","No"),""))</f>
      </c>
      <c r="AZ526" s="44">
        <f>IF($AD526="","",IF(ISNUMBER($AD526),IF($AD526&lt;Header!$C$20,"BELOW MIN PREMIUM","OK"),""))</f>
      </c>
      <c r="BA526" s="48" t="inlineStr">
        <is>
          <t xml:space="preserve">Yes</t>
        </is>
      </c>
      <c r="BB526" s="48" t="inlineStr">
        <is>
          <t xml:space="preserve">Yes</t>
        </is>
      </c>
      <c r="BC526" s="46" t="inlineStr">
        <is>
          <t xml:space="preserve">Synthetic demo data</t>
        </is>
      </c>
      <c r="BE526" s="45">
        <f>IF(OR($A526="",$L526="",$H526=""),"",IF(AND(LEFT($L526,2)="06",$H526&gt;1945),"FAIL - pre-war class, year "&amp;$H526,IF(AND(LEFT($L526,2)="07",OR($H526&lt;1946,$H526&gt;1972)),"FAIL - 1946-72 class, year "&amp;$H526,IF(AND(LEFT($L526,2)="08",OR($H526&lt;1973,$H526&gt;1999)),"FAIL - 1973-99 class, year "&amp;$H526,IF(AND(LEFT($L526,2)="09",OR($H526&lt;2000,$H526&gt;2010)),"FAIL - 2000-10 class, year "&amp;$H526,"OK")))))</f>
      </c>
      <c r="BF526" s="45">
        <f>IF($AD526="","",IF(ROUND($AO526+$AP526+$AQ526-$AD526,2)=0,"OK","FAIL - out by "&amp;TEXT($AO526+$AP526+$AQ526-$AD526,"$0.00")))</f>
      </c>
    </row>
    <row r="527" spans="1:58" ht="18.75" customHeight="1" x14ac:dyDescent="0.25">
      <c r="A527" s="30" t="inlineStr">
        <is>
          <t xml:space="preserve">CANON-202606-009122</t>
        </is>
      </c>
      <c r="B527" s="30" t="inlineStr">
        <is>
          <t xml:space="preserve">Delphine Blackwood</t>
        </is>
      </c>
      <c r="C527" s="31">
        <v>46198</v>
      </c>
      <c r="D527" s="32" t="inlineStr">
        <is>
          <t xml:space="preserve">Bound - within authority</t>
        </is>
      </c>
      <c r="E527" s="32" t="inlineStr">
        <is>
          <t xml:space="preserve">New business</t>
        </is>
      </c>
      <c r="F527" s="30" t="inlineStr">
        <is>
          <t xml:space="preserve">B1234EXOTIC26</t>
        </is>
      </c>
      <c r="G527" s="33">
        <f>IF($A527="","",IF($C527="","",YEAR($C527)))</f>
      </c>
      <c r="H527" s="34">
        <v>1996</v>
      </c>
      <c r="I527" s="30" t="inlineStr">
        <is>
          <t xml:space="preserve">Maserati</t>
        </is>
      </c>
      <c r="J527" s="30" t="inlineStr">
        <is>
          <t xml:space="preserve">GranTurismo</t>
        </is>
      </c>
      <c r="K527" s="30" t="inlineStr">
        <is>
          <t xml:space="preserve">R1SVB4ULZ2VJF1GFK</t>
        </is>
      </c>
      <c r="L527" s="32" t="inlineStr">
        <is>
          <t xml:space="preserve">02 - Sports / GT</t>
        </is>
      </c>
      <c r="M527" s="35">
        <v>170000</v>
      </c>
      <c r="N527" s="32" t="inlineStr">
        <is>
          <t xml:space="preserve">Personal</t>
        </is>
      </c>
      <c r="O527" s="30" t="inlineStr">
        <is>
          <t xml:space="preserve">Personal - regular use</t>
        </is>
      </c>
      <c r="P527" s="30" t="inlineStr">
        <is>
          <t xml:space="preserve">1,000 - 2,500</t>
        </is>
      </c>
      <c r="Q527" s="30" t="inlineStr">
        <is>
          <t xml:space="preserve">Texas</t>
        </is>
      </c>
      <c r="R527" s="30" t="inlineStr">
        <is>
          <t xml:space="preserve">75201</t>
        </is>
      </c>
      <c r="S527" s="32" t="inlineStr">
        <is>
          <t xml:space="preserve">Tier 2 - Coastal wind (1-25 miles)</t>
        </is>
      </c>
      <c r="T527" s="36">
        <f>IF($A527="","",IF($S527="","",IFERROR(INDEX('[1]natural catastrophe'!$D$6:$D$17,MATCH($S527,'[1]natural catastrophe'!$B$6:$B$17,0)),"?")))</f>
      </c>
      <c r="U527" s="30" t="inlineStr">
        <is>
          <t xml:space="preserve">2% of agreed value, minimum $10,000</t>
        </is>
      </c>
      <c r="V527" s="32" t="inlineStr">
        <is>
          <t xml:space="preserve">Agreed Value</t>
        </is>
      </c>
      <c r="W527" s="30" t="inlineStr">
        <is>
          <t xml:space="preserve">$1,000</t>
        </is>
      </c>
      <c r="X527" s="32" t="inlineStr">
        <is>
          <t xml:space="preserve">$1,000,000 CSL</t>
        </is>
      </c>
      <c r="Y527" s="30"/>
      <c r="Z527" s="30"/>
      <c r="AA527" s="32" t="inlineStr">
        <is>
          <t xml:space="preserve">Surplus Lines</t>
        </is>
      </c>
      <c r="AB527" s="35">
        <v>2595.41</v>
      </c>
      <c r="AC527" s="37">
        <v>0</v>
      </c>
      <c r="AD527" s="38">
        <f>IF(ISNUMBER($AB527),$AB527*(1+N($AC527)),"")</f>
      </c>
      <c r="AE527" s="35">
        <v>350</v>
      </c>
      <c r="AF527" s="35">
        <v>0</v>
      </c>
      <c r="AG527" s="37"/>
      <c r="AH527" s="39">
        <f>IF(ISNUMBER($AD527),($AD527+$AE527+$AF527)*$AG527,"")</f>
      </c>
      <c r="AI527" s="35"/>
      <c r="AJ527" s="38">
        <f>IF(ISNUMBER($AD527),SUM($AD527:$AH527),"")</f>
      </c>
      <c r="AK527" s="40">
        <f>IF(AND(ISNUMBER($AB527),ISNUMBER($AD527)),IF($AB527&gt;0,$AD527/$AB527,""),"")</f>
      </c>
      <c r="AL527" s="32" t="inlineStr">
        <is>
          <t xml:space="preserve">At technical</t>
        </is>
      </c>
      <c r="AM527" s="41">
        <f>IF(ISNUMBER($AD527),Header!$I$3,"")</f>
      </c>
      <c r="AN527" s="39">
        <f>IF(ISNUMBER($AD527),$AO527+$AP527,"")</f>
      </c>
      <c r="AO527" s="39">
        <f>IF(ISNUMBER($AD527),ROUND($AD527*Header!$K$3,2),"")</f>
      </c>
      <c r="AP527" s="39">
        <f>IF(ISNUMBER($AD527),ROUND($AD527*Header!$M$3,2),"")</f>
      </c>
      <c r="AQ527" s="38">
        <f>IF(ISNUMBER($AD527),ROUND($AD527,2)-$AO527-$AP527,"")</f>
      </c>
      <c r="AR527" s="39">
        <f>IF(ISNUMBER($AD527),IF(Header!$D$34="","?",$AD527*Header!$D$34),"")</f>
      </c>
      <c r="AS527" s="39">
        <f>IF(ISNUMBER($AB527),IF(Header!$D$34="","?",$AB527*Header!$D$34),"")</f>
      </c>
      <c r="AT527" s="42">
        <f>IF(AND(ISNUMBER($AB527),$M527&gt;0),$AB527/$M527*100,"")</f>
      </c>
      <c r="AU527" s="42">
        <f>IF(AND(ISNUMBER($AD527),$M527&gt;0),$AD527/$M527*100,"")</f>
      </c>
      <c r="AV527" s="40">
        <f>IF(AND(ISNUMBER($AB527),ISNUMBER($AD527),ABS($AB527)&gt;0),$AD527/$AB527,"")</f>
      </c>
      <c r="AW527" s="39">
        <f>IF(ISNUMBER($AD527),MAX(0,(1-0.55-Header!$O$3)*Header!$Q$3*$AQ527),"")</f>
      </c>
      <c r="AX527" s="43">
        <f>IF($A527="","",IF(TRIM(IF($A527="","Missing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",""))="","PASS","FAIL: "&amp;TRIM(IF($A527="","Missing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f>
      </c>
      <c r="AY527" s="44">
        <f>IF($M527="","",IF(ISNUMBER($M527),IF($M527&gt;=Header!$C$18,"YES — refer","No"),""))</f>
      </c>
      <c r="AZ527" s="44">
        <f>IF($AD527="","",IF(ISNUMBER($AD527),IF($AD527&lt;Header!$C$20,"BELOW MIN PREMIUM","OK"),""))</f>
      </c>
      <c r="BA527" s="32" t="inlineStr">
        <is>
          <t xml:space="preserve">Yes</t>
        </is>
      </c>
      <c r="BB527" s="32" t="inlineStr">
        <is>
          <t xml:space="preserve">Yes</t>
        </is>
      </c>
      <c r="BC527" s="30" t="inlineStr">
        <is>
          <t xml:space="preserve">Synthetic demo data</t>
        </is>
      </c>
      <c r="BE527" s="45">
        <f>IF(OR($A527="",$L527="",$H527=""),"",IF(AND(LEFT($L527,2)="06",$H527&gt;1945),"FAIL - pre-war class, year "&amp;$H527,IF(AND(LEFT($L527,2)="07",OR($H527&lt;1946,$H527&gt;1972)),"FAIL - 1946-72 class, year "&amp;$H527,IF(AND(LEFT($L527,2)="08",OR($H527&lt;1973,$H527&gt;1999)),"FAIL - 1973-99 class, year "&amp;$H527,IF(AND(LEFT($L527,2)="09",OR($H527&lt;2000,$H527&gt;2010)),"FAIL - 2000-10 class, year "&amp;$H527,"OK")))))</f>
      </c>
      <c r="BF527" s="45">
        <f>IF($AD527="","",IF(ROUND($AO527+$AP527+$AQ527-$AD527,2)=0,"OK","FAIL - out by "&amp;TEXT($AO527+$AP527+$AQ527-$AD527,"$0.00")))</f>
      </c>
    </row>
    <row r="528" spans="1:58" ht="18.75" customHeight="1" x14ac:dyDescent="0.25">
      <c r="A528" s="46" t="inlineStr">
        <is>
          <t xml:space="preserve">CANON-202606-009123</t>
        </is>
      </c>
      <c r="B528" s="46" t="inlineStr">
        <is>
          <t xml:space="preserve">Wilhelmina Vasquez</t>
        </is>
      </c>
      <c r="C528" s="47">
        <v>46188</v>
      </c>
      <c r="D528" s="48" t="inlineStr">
        <is>
          <t xml:space="preserve">Bound - within authority</t>
        </is>
      </c>
      <c r="E528" s="48" t="inlineStr">
        <is>
          <t xml:space="preserve">New business</t>
        </is>
      </c>
      <c r="F528" s="46" t="inlineStr">
        <is>
          <t xml:space="preserve">B1234EXOTIC26</t>
        </is>
      </c>
      <c r="G528" s="33">
        <f>IF($A528="","",IF($C528="","",YEAR($C528)))</f>
      </c>
      <c r="H528" s="49">
        <v>1968</v>
      </c>
      <c r="I528" s="46" t="inlineStr">
        <is>
          <t xml:space="preserve">McLaren</t>
        </is>
      </c>
      <c r="J528" s="46" t="inlineStr">
        <is>
          <t xml:space="preserve">750S</t>
        </is>
      </c>
      <c r="K528" s="46" t="inlineStr">
        <is>
          <t xml:space="preserve">N07MU9YH8K7C6945D</t>
        </is>
      </c>
      <c r="L528" s="48" t="inlineStr">
        <is>
          <t xml:space="preserve">03 - Supercar</t>
        </is>
      </c>
      <c r="M528" s="50">
        <v>770000</v>
      </c>
      <c r="N528" s="48" t="inlineStr">
        <is>
          <t xml:space="preserve">Personal</t>
        </is>
      </c>
      <c r="O528" s="46" t="inlineStr">
        <is>
          <t xml:space="preserve">Personal - regular use</t>
        </is>
      </c>
      <c r="P528" s="46" t="inlineStr">
        <is>
          <t xml:space="preserve">1,000 - 2,500</t>
        </is>
      </c>
      <c r="Q528" s="46" t="inlineStr">
        <is>
          <t xml:space="preserve">Illinois</t>
        </is>
      </c>
      <c r="R528" s="46" t="inlineStr">
        <is>
          <t xml:space="preserve">60601</t>
        </is>
      </c>
      <c r="S528" s="48" t="inlineStr">
        <is>
          <t xml:space="preserve">Severe convective - hail / tornado (moderate)</t>
        </is>
      </c>
      <c r="T528" s="36">
        <f>IF($A528="","",IF($S528="","",IFERROR(INDEX('[1]natural catastrophe'!$D$6:$D$17,MATCH($S528,'[1]natural catastrophe'!$B$6:$B$17,0)),"?")))</f>
      </c>
      <c r="U528" s="46" t="inlineStr">
        <is>
          <t xml:space="preserve">$5,000</t>
        </is>
      </c>
      <c r="V528" s="48" t="inlineStr">
        <is>
          <t xml:space="preserve">Agreed Value</t>
        </is>
      </c>
      <c r="W528" s="46" t="inlineStr">
        <is>
          <t xml:space="preserve">$1,000</t>
        </is>
      </c>
      <c r="X528" s="48" t="inlineStr">
        <is>
          <t xml:space="preserve">$1,000,000 CSL</t>
        </is>
      </c>
      <c r="Y528" s="46"/>
      <c r="Z528" s="46"/>
      <c r="AA528" s="48" t="inlineStr">
        <is>
          <t xml:space="preserve">Surplus Lines</t>
        </is>
      </c>
      <c r="AB528" s="50">
        <v>14355.73</v>
      </c>
      <c r="AC528" s="51">
        <v>0</v>
      </c>
      <c r="AD528" s="38">
        <f>IF(ISNUMBER($AB528),$AB528*(1+N($AC528)),"")</f>
      </c>
      <c r="AE528" s="50">
        <v>350</v>
      </c>
      <c r="AF528" s="50">
        <v>0</v>
      </c>
      <c r="AG528" s="51"/>
      <c r="AH528" s="39">
        <f>IF(ISNUMBER($AD528),($AD528+$AE528+$AF528)*$AG528,"")</f>
      </c>
      <c r="AI528" s="50"/>
      <c r="AJ528" s="38">
        <f>IF(ISNUMBER($AD528),SUM($AD528:$AH528),"")</f>
      </c>
      <c r="AK528" s="40">
        <f>IF(AND(ISNUMBER($AB528),ISNUMBER($AD528)),IF($AB528&gt;0,$AD528/$AB528,""),"")</f>
      </c>
      <c r="AL528" s="48" t="inlineStr">
        <is>
          <t xml:space="preserve">At technical</t>
        </is>
      </c>
      <c r="AM528" s="41">
        <f>IF(ISNUMBER($AD528),Header!$I$3,"")</f>
      </c>
      <c r="AN528" s="39">
        <f>IF(ISNUMBER($AD528),$AO528+$AP528,"")</f>
      </c>
      <c r="AO528" s="39">
        <f>IF(ISNUMBER($AD528),ROUND($AD528*Header!$K$3,2),"")</f>
      </c>
      <c r="AP528" s="39">
        <f>IF(ISNUMBER($AD528),ROUND($AD528*Header!$M$3,2),"")</f>
      </c>
      <c r="AQ528" s="38">
        <f>IF(ISNUMBER($AD528),ROUND($AD528,2)-$AO528-$AP528,"")</f>
      </c>
      <c r="AR528" s="39">
        <f>IF(ISNUMBER($AD528),IF(Header!$D$34="","?",$AD528*Header!$D$34),"")</f>
      </c>
      <c r="AS528" s="39">
        <f>IF(ISNUMBER($AB528),IF(Header!$D$34="","?",$AB528*Header!$D$34),"")</f>
      </c>
      <c r="AT528" s="42">
        <f>IF(AND(ISNUMBER($AB528),$M528&gt;0),$AB528/$M528*100,"")</f>
      </c>
      <c r="AU528" s="42">
        <f>IF(AND(ISNUMBER($AD528),$M528&gt;0),$AD528/$M528*100,"")</f>
      </c>
      <c r="AV528" s="40">
        <f>IF(AND(ISNUMBER($AB528),ISNUMBER($AD528),ABS($AB528)&gt;0),$AD528/$AB528,"")</f>
      </c>
      <c r="AW528" s="39">
        <f>IF(ISNUMBER($AD528),MAX(0,(1-0.55-Header!$O$3)*Header!$Q$3*$AQ528),"")</f>
      </c>
      <c r="AX528" s="43">
        <f>IF($A528="","",IF(TRIM(IF($A528="","Missing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",""))="","PASS","FAIL: "&amp;TRIM(IF($A528="","Missing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f>
      </c>
      <c r="AY528" s="44">
        <f>IF($M528="","",IF(ISNUMBER($M528),IF($M528&gt;=Header!$C$18,"YES — refer","No"),""))</f>
      </c>
      <c r="AZ528" s="44">
        <f>IF($AD528="","",IF(ISNUMBER($AD528),IF($AD528&lt;Header!$C$20,"BELOW MIN PREMIUM","OK"),""))</f>
      </c>
      <c r="BA528" s="48" t="inlineStr">
        <is>
          <t xml:space="preserve">Yes</t>
        </is>
      </c>
      <c r="BB528" s="48" t="inlineStr">
        <is>
          <t xml:space="preserve">Yes</t>
        </is>
      </c>
      <c r="BC528" s="46" t="inlineStr">
        <is>
          <t xml:space="preserve">Synthetic demo data</t>
        </is>
      </c>
      <c r="BE528" s="45">
        <f>IF(OR($A528="",$L528="",$H528=""),"",IF(AND(LEFT($L528,2)="06",$H528&gt;1945),"FAIL - pre-war class, year "&amp;$H528,IF(AND(LEFT($L528,2)="07",OR($H528&lt;1946,$H528&gt;1972)),"FAIL - 1946-72 class, year "&amp;$H528,IF(AND(LEFT($L528,2)="08",OR($H528&lt;1973,$H528&gt;1999)),"FAIL - 1973-99 class, year "&amp;$H528,IF(AND(LEFT($L528,2)="09",OR($H528&lt;2000,$H528&gt;2010)),"FAIL - 2000-10 class, year "&amp;$H528,"OK")))))</f>
      </c>
      <c r="BF528" s="45">
        <f>IF($AD528="","",IF(ROUND($AO528+$AP528+$AQ528-$AD528,2)=0,"OK","FAIL - out by "&amp;TEXT($AO528+$AP528+$AQ528-$AD528,"$0.00")))</f>
      </c>
    </row>
    <row r="529" spans="1:58" ht="18.75" customHeight="1" x14ac:dyDescent="0.25">
      <c r="A529" s="30" t="inlineStr">
        <is>
          <t xml:space="preserve">CANON-202606-009124</t>
        </is>
      </c>
      <c r="B529" s="30" t="inlineStr">
        <is>
          <t xml:space="preserve">Saoirse Delacroix</t>
        </is>
      </c>
      <c r="C529" s="31">
        <v>46187</v>
      </c>
      <c r="D529" s="32" t="inlineStr">
        <is>
          <t xml:space="preserve">Bound - within authority</t>
        </is>
      </c>
      <c r="E529" s="32" t="inlineStr">
        <is>
          <t xml:space="preserve">New business</t>
        </is>
      </c>
      <c r="F529" s="30" t="inlineStr">
        <is>
          <t xml:space="preserve">B1234EXOTIC26</t>
        </is>
      </c>
      <c r="G529" s="33">
        <f>IF($A529="","",IF($C529="","",YEAR($C529)))</f>
      </c>
      <c r="H529" s="34">
        <v>1973</v>
      </c>
      <c r="I529" s="30" t="inlineStr">
        <is>
          <t xml:space="preserve">Bugatti</t>
        </is>
      </c>
      <c r="J529" s="30" t="inlineStr">
        <is>
          <t xml:space="preserve">Type 57</t>
        </is>
      </c>
      <c r="K529" s="30" t="inlineStr">
        <is>
          <t xml:space="preserve">WWMKP3ZKDGBRUPCV6</t>
        </is>
      </c>
      <c r="L529" s="32" t="inlineStr">
        <is>
          <t xml:space="preserve">08 - Modern Classic (1973-1999)</t>
        </is>
      </c>
      <c r="M529" s="35">
        <v>1295000</v>
      </c>
      <c r="N529" s="32" t="inlineStr">
        <is>
          <t xml:space="preserve">Personal</t>
        </is>
      </c>
      <c r="O529" s="30" t="inlineStr">
        <is>
          <t xml:space="preserve">Personal - regular use</t>
        </is>
      </c>
      <c r="P529" s="30" t="inlineStr">
        <is>
          <t xml:space="preserve">Under 1,000</t>
        </is>
      </c>
      <c r="Q529" s="30" t="inlineStr">
        <is>
          <t xml:space="preserve">Arkansas</t>
        </is>
      </c>
      <c r="R529" s="30" t="inlineStr">
        <is>
          <t xml:space="preserve">72201</t>
        </is>
      </c>
      <c r="S529" s="32" t="inlineStr">
        <is>
          <t xml:space="preserve">Severe convective - hail / tornado (moderate)</t>
        </is>
      </c>
      <c r="T529" s="36">
        <f>IF($A529="","",IF($S529="","",IFERROR(INDEX('[1]natural catastrophe'!$D$6:$D$17,MATCH($S529,'[1]natural catastrophe'!$B$6:$B$17,0)),"?")))</f>
      </c>
      <c r="U529" s="30" t="inlineStr">
        <is>
          <t xml:space="preserve">$5,000</t>
        </is>
      </c>
      <c r="V529" s="32" t="inlineStr">
        <is>
          <t xml:space="preserve">Agreed Value</t>
        </is>
      </c>
      <c r="W529" s="30" t="inlineStr">
        <is>
          <t xml:space="preserve">$1,000</t>
        </is>
      </c>
      <c r="X529" s="32" t="inlineStr">
        <is>
          <t xml:space="preserve">$1,000,000 CSL</t>
        </is>
      </c>
      <c r="Y529" s="30"/>
      <c r="Z529" s="30"/>
      <c r="AA529" s="32" t="inlineStr">
        <is>
          <t xml:space="preserve">Surplus Lines</t>
        </is>
      </c>
      <c r="AB529" s="35">
        <v>8767.99</v>
      </c>
      <c r="AC529" s="37">
        <v>0</v>
      </c>
      <c r="AD529" s="38">
        <f>IF(ISNUMBER($AB529),$AB529*(1+N($AC529)),"")</f>
      </c>
      <c r="AE529" s="35">
        <v>350</v>
      </c>
      <c r="AF529" s="35">
        <v>250</v>
      </c>
      <c r="AG529" s="37"/>
      <c r="AH529" s="39">
        <f>IF(ISNUMBER($AD529),($AD529+$AE529+$AF529)*$AG529,"")</f>
      </c>
      <c r="AI529" s="35"/>
      <c r="AJ529" s="38">
        <f>IF(ISNUMBER($AD529),SUM($AD529:$AH529),"")</f>
      </c>
      <c r="AK529" s="40">
        <f>IF(AND(ISNUMBER($AB529),ISNUMBER($AD529)),IF($AB529&gt;0,$AD529/$AB529,""),"")</f>
      </c>
      <c r="AL529" s="32" t="inlineStr">
        <is>
          <t xml:space="preserve">At technical</t>
        </is>
      </c>
      <c r="AM529" s="41">
        <f>IF(ISNUMBER($AD529),Header!$I$3,"")</f>
      </c>
      <c r="AN529" s="39">
        <f>IF(ISNUMBER($AD529),$AO529+$AP529,"")</f>
      </c>
      <c r="AO529" s="39">
        <f>IF(ISNUMBER($AD529),ROUND($AD529*Header!$K$3,2),"")</f>
      </c>
      <c r="AP529" s="39">
        <f>IF(ISNUMBER($AD529),ROUND($AD529*Header!$M$3,2),"")</f>
      </c>
      <c r="AQ529" s="38">
        <f>IF(ISNUMBER($AD529),ROUND($AD529,2)-$AO529-$AP529,"")</f>
      </c>
      <c r="AR529" s="39">
        <f>IF(ISNUMBER($AD529),IF(Header!$D$34="","?",$AD529*Header!$D$34),"")</f>
      </c>
      <c r="AS529" s="39">
        <f>IF(ISNUMBER($AB529),IF(Header!$D$34="","?",$AB529*Header!$D$34),"")</f>
      </c>
      <c r="AT529" s="42">
        <f>IF(AND(ISNUMBER($AB529),$M529&gt;0),$AB529/$M529*100,"")</f>
      </c>
      <c r="AU529" s="42">
        <f>IF(AND(ISNUMBER($AD529),$M529&gt;0),$AD529/$M529*100,"")</f>
      </c>
      <c r="AV529" s="40">
        <f>IF(AND(ISNUMBER($AB529),ISNUMBER($AD529),ABS($AB529)&gt;0),$AD529/$AB529,"")</f>
      </c>
      <c r="AW529" s="39">
        <f>IF(ISNUMBER($AD529),MAX(0,(1-0.55-Header!$O$3)*Header!$Q$3*$AQ529),"")</f>
      </c>
      <c r="AX529" s="43">
        <f>IF($A529="","",IF(TRIM(IF($A529="","Missing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",""))="","PASS","FAIL: "&amp;TRIM(IF($A529="","Missing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f>
      </c>
      <c r="AY529" s="44">
        <f>IF($M529="","",IF(ISNUMBER($M529),IF($M529&gt;=Header!$C$18,"YES — refer","No"),""))</f>
      </c>
      <c r="AZ529" s="44">
        <f>IF($AD529="","",IF(ISNUMBER($AD529),IF($AD529&lt;Header!$C$20,"BELOW MIN PREMIUM","OK"),""))</f>
      </c>
      <c r="BA529" s="32" t="inlineStr">
        <is>
          <t xml:space="preserve">Yes</t>
        </is>
      </c>
      <c r="BB529" s="32" t="inlineStr">
        <is>
          <t xml:space="preserve">Yes</t>
        </is>
      </c>
      <c r="BC529" s="30" t="inlineStr">
        <is>
          <t xml:space="preserve">Synthetic demo data</t>
        </is>
      </c>
      <c r="BE529" s="45">
        <f>IF(OR($A529="",$L529="",$H529=""),"",IF(AND(LEFT($L529,2)="06",$H529&gt;1945),"FAIL - pre-war class, year "&amp;$H529,IF(AND(LEFT($L529,2)="07",OR($H529&lt;1946,$H529&gt;1972)),"FAIL - 1946-72 class, year "&amp;$H529,IF(AND(LEFT($L529,2)="08",OR($H529&lt;1973,$H529&gt;1999)),"FAIL - 1973-99 class, year "&amp;$H529,IF(AND(LEFT($L529,2)="09",OR($H529&lt;2000,$H529&gt;2010)),"FAIL - 2000-10 class, year "&amp;$H529,"OK")))))</f>
      </c>
      <c r="BF529" s="45">
        <f>IF($AD529="","",IF(ROUND($AO529+$AP529+$AQ529-$AD529,2)=0,"OK","FAIL - out by "&amp;TEXT($AO529+$AP529+$AQ529-$AD529,"$0.00")))</f>
      </c>
    </row>
    <row r="530" spans="1:58" ht="18.75" customHeight="1" x14ac:dyDescent="0.25">
      <c r="A530" s="46" t="inlineStr">
        <is>
          <t xml:space="preserve">CANON-202606-009125</t>
        </is>
      </c>
      <c r="B530" s="46" t="inlineStr">
        <is>
          <t xml:space="preserve">Marisol Kingsford</t>
        </is>
      </c>
      <c r="C530" s="47">
        <v>46197</v>
      </c>
      <c r="D530" s="48" t="inlineStr">
        <is>
          <t xml:space="preserve">Bound - within authority</t>
        </is>
      </c>
      <c r="E530" s="48" t="inlineStr">
        <is>
          <t xml:space="preserve">New business</t>
        </is>
      </c>
      <c r="F530" s="46" t="inlineStr">
        <is>
          <t xml:space="preserve">B1234EXOTIC26</t>
        </is>
      </c>
      <c r="G530" s="33">
        <f>IF($A530="","",IF($C530="","",YEAR($C530)))</f>
      </c>
      <c r="H530" s="49">
        <v>1992</v>
      </c>
      <c r="I530" s="46" t="inlineStr">
        <is>
          <t xml:space="preserve">Porsche</t>
        </is>
      </c>
      <c r="J530" s="46" t="inlineStr">
        <is>
          <t xml:space="preserve">911 Turbo S</t>
        </is>
      </c>
      <c r="K530" s="46" t="inlineStr">
        <is>
          <t xml:space="preserve">ASBD1UHWMJWW30URE</t>
        </is>
      </c>
      <c r="L530" s="48" t="inlineStr">
        <is>
          <t xml:space="preserve">02 - Sports / GT</t>
        </is>
      </c>
      <c r="M530" s="50">
        <v>860000</v>
      </c>
      <c r="N530" s="48" t="inlineStr">
        <is>
          <t xml:space="preserve">Personal</t>
        </is>
      </c>
      <c r="O530" s="46" t="inlineStr">
        <is>
          <t xml:space="preserve">Personal - regular use</t>
        </is>
      </c>
      <c r="P530" s="46" t="inlineStr">
        <is>
          <t xml:space="preserve">2,500 - 5,000</t>
        </is>
      </c>
      <c r="Q530" s="46" t="inlineStr">
        <is>
          <t xml:space="preserve">Maine</t>
        </is>
      </c>
      <c r="R530" s="46" t="inlineStr">
        <is>
          <t xml:space="preserve">04101</t>
        </is>
      </c>
      <c r="S530" s="48" t="inlineStr">
        <is>
          <t xml:space="preserve">Tier 3 - Coastal wind (25-100 miles)</t>
        </is>
      </c>
      <c r="T530" s="36">
        <f>IF($A530="","",IF($S530="","",IFERROR(INDEX('[1]natural catastrophe'!$D$6:$D$17,MATCH($S530,'[1]natural catastrophe'!$B$6:$B$17,0)),"?")))</f>
      </c>
      <c r="U530" s="46" t="inlineStr">
        <is>
          <t xml:space="preserve">2% of agreed value, minimum $10,000</t>
        </is>
      </c>
      <c r="V530" s="48" t="inlineStr">
        <is>
          <t xml:space="preserve">Agreed Value</t>
        </is>
      </c>
      <c r="W530" s="46" t="inlineStr">
        <is>
          <t xml:space="preserve">$1,000</t>
        </is>
      </c>
      <c r="X530" s="48" t="inlineStr">
        <is>
          <t xml:space="preserve">$1,000,000 CSL</t>
        </is>
      </c>
      <c r="Y530" s="46"/>
      <c r="Z530" s="46"/>
      <c r="AA530" s="48" t="inlineStr">
        <is>
          <t xml:space="preserve">Surplus Lines</t>
        </is>
      </c>
      <c r="AB530" s="50">
        <v>8711.79</v>
      </c>
      <c r="AC530" s="51">
        <v>0</v>
      </c>
      <c r="AD530" s="38">
        <f>IF(ISNUMBER($AB530),$AB530*(1+N($AC530)),"")</f>
      </c>
      <c r="AE530" s="50">
        <v>350</v>
      </c>
      <c r="AF530" s="50">
        <v>0</v>
      </c>
      <c r="AG530" s="51"/>
      <c r="AH530" s="39">
        <f>IF(ISNUMBER($AD530),($AD530+$AE530+$AF530)*$AG530,"")</f>
      </c>
      <c r="AI530" s="50"/>
      <c r="AJ530" s="38">
        <f>IF(ISNUMBER($AD530),SUM($AD530:$AH530),"")</f>
      </c>
      <c r="AK530" s="40">
        <f>IF(AND(ISNUMBER($AB530),ISNUMBER($AD530)),IF($AB530&gt;0,$AD530/$AB530,""),"")</f>
      </c>
      <c r="AL530" s="48" t="inlineStr">
        <is>
          <t xml:space="preserve">At technical</t>
        </is>
      </c>
      <c r="AM530" s="41">
        <f>IF(ISNUMBER($AD530),Header!$I$3,"")</f>
      </c>
      <c r="AN530" s="39">
        <f>IF(ISNUMBER($AD530),$AO530+$AP530,"")</f>
      </c>
      <c r="AO530" s="39">
        <f>IF(ISNUMBER($AD530),ROUND($AD530*Header!$K$3,2),"")</f>
      </c>
      <c r="AP530" s="39">
        <f>IF(ISNUMBER($AD530),ROUND($AD530*Header!$M$3,2),"")</f>
      </c>
      <c r="AQ530" s="38">
        <f>IF(ISNUMBER($AD530),ROUND($AD530,2)-$AO530-$AP530,"")</f>
      </c>
      <c r="AR530" s="39">
        <f>IF(ISNUMBER($AD530),IF(Header!$D$34="","?",$AD530*Header!$D$34),"")</f>
      </c>
      <c r="AS530" s="39">
        <f>IF(ISNUMBER($AB530),IF(Header!$D$34="","?",$AB530*Header!$D$34),"")</f>
      </c>
      <c r="AT530" s="42">
        <f>IF(AND(ISNUMBER($AB530),$M530&gt;0),$AB530/$M530*100,"")</f>
      </c>
      <c r="AU530" s="42">
        <f>IF(AND(ISNUMBER($AD530),$M530&gt;0),$AD530/$M530*100,"")</f>
      </c>
      <c r="AV530" s="40">
        <f>IF(AND(ISNUMBER($AB530),ISNUMBER($AD530),ABS($AB530)&gt;0),$AD530/$AB530,"")</f>
      </c>
      <c r="AW530" s="39">
        <f>IF(ISNUMBER($AD530),MAX(0,(1-0.55-Header!$O$3)*Header!$Q$3*$AQ530),"")</f>
      </c>
      <c r="AX530" s="43">
        <f>IF($A530="","",IF(TRIM(IF($A530="","Missing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",""))="","PASS","FAIL: "&amp;TRIM(IF($A530="","Missing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f>
      </c>
      <c r="AY530" s="44">
        <f>IF($M530="","",IF(ISNUMBER($M530),IF($M530&gt;=Header!$C$18,"YES — refer","No"),""))</f>
      </c>
      <c r="AZ530" s="44">
        <f>IF($AD530="","",IF(ISNUMBER($AD530),IF($AD530&lt;Header!$C$20,"BELOW MIN PREMIUM","OK"),""))</f>
      </c>
      <c r="BA530" s="48" t="inlineStr">
        <is>
          <t xml:space="preserve">Yes</t>
        </is>
      </c>
      <c r="BB530" s="48" t="inlineStr">
        <is>
          <t xml:space="preserve">Yes</t>
        </is>
      </c>
      <c r="BC530" s="46" t="inlineStr">
        <is>
          <t xml:space="preserve">Synthetic demo data</t>
        </is>
      </c>
      <c r="BE530" s="45">
        <f>IF(OR($A530="",$L530="",$H530=""),"",IF(AND(LEFT($L530,2)="06",$H530&gt;1945),"FAIL - pre-war class, year "&amp;$H530,IF(AND(LEFT($L530,2)="07",OR($H530&lt;1946,$H530&gt;1972)),"FAIL - 1946-72 class, year "&amp;$H530,IF(AND(LEFT($L530,2)="08",OR($H530&lt;1973,$H530&gt;1999)),"FAIL - 1973-99 class, year "&amp;$H530,IF(AND(LEFT($L530,2)="09",OR($H530&lt;2000,$H530&gt;2010)),"FAIL - 2000-10 class, year "&amp;$H530,"OK")))))</f>
      </c>
      <c r="BF530" s="45">
        <f>IF($AD530="","",IF(ROUND($AO530+$AP530+$AQ530-$AD530,2)=0,"OK","FAIL - out by "&amp;TEXT($AO530+$AP530+$AQ530-$AD530,"$0.00")))</f>
      </c>
    </row>
    <row r="531" spans="1:58" ht="18.75" customHeight="1" x14ac:dyDescent="0.25">
      <c r="A531" s="30" t="inlineStr">
        <is>
          <t xml:space="preserve">CANON-202606-009127</t>
        </is>
      </c>
      <c r="B531" s="30" t="inlineStr">
        <is>
          <t xml:space="preserve">Ingrid Blackwood</t>
        </is>
      </c>
      <c r="C531" s="31">
        <v>46202</v>
      </c>
      <c r="D531" s="32" t="inlineStr">
        <is>
          <t xml:space="preserve">Bound - within authority</t>
        </is>
      </c>
      <c r="E531" s="32" t="inlineStr">
        <is>
          <t xml:space="preserve">New business</t>
        </is>
      </c>
      <c r="F531" s="30" t="inlineStr">
        <is>
          <t xml:space="preserve">B1234EXOTIC26</t>
        </is>
      </c>
      <c r="G531" s="33">
        <f>IF($A531="","",IF($C531="","",YEAR($C531)))</f>
      </c>
      <c r="H531" s="34">
        <v>1990</v>
      </c>
      <c r="I531" s="30" t="inlineStr">
        <is>
          <t xml:space="preserve">Porsche</t>
        </is>
      </c>
      <c r="J531" s="30" t="inlineStr">
        <is>
          <t xml:space="preserve">911 Turbo S</t>
        </is>
      </c>
      <c r="K531" s="30" t="inlineStr">
        <is>
          <t xml:space="preserve">3K043G4PM8R93DLN9</t>
        </is>
      </c>
      <c r="L531" s="32" t="inlineStr">
        <is>
          <t xml:space="preserve">02 - Sports / GT</t>
        </is>
      </c>
      <c r="M531" s="35">
        <v>1950000</v>
      </c>
      <c r="N531" s="32" t="inlineStr">
        <is>
          <t xml:space="preserve">Personal</t>
        </is>
      </c>
      <c r="O531" s="30" t="inlineStr">
        <is>
          <t xml:space="preserve">Personal - regular use</t>
        </is>
      </c>
      <c r="P531" s="30" t="inlineStr">
        <is>
          <t xml:space="preserve">2,500 - 5,000</t>
        </is>
      </c>
      <c r="Q531" s="30" t="inlineStr">
        <is>
          <t xml:space="preserve">North Carolina</t>
        </is>
      </c>
      <c r="R531" s="30" t="inlineStr">
        <is>
          <t xml:space="preserve">28202</t>
        </is>
      </c>
      <c r="S531" s="32" t="inlineStr">
        <is>
          <t xml:space="preserve">Tier 2 - Coastal wind (1-25 miles)</t>
        </is>
      </c>
      <c r="T531" s="36">
        <f>IF($A531="","",IF($S531="","",IFERROR(INDEX('[1]natural catastrophe'!$D$6:$D$17,MATCH($S531,'[1]natural catastrophe'!$B$6:$B$17,0)),"?")))</f>
      </c>
      <c r="U531" s="30" t="inlineStr">
        <is>
          <t xml:space="preserve">2% of agreed value, minimum $10,000</t>
        </is>
      </c>
      <c r="V531" s="32" t="inlineStr">
        <is>
          <t xml:space="preserve">Agreed Value</t>
        </is>
      </c>
      <c r="W531" s="30" t="inlineStr">
        <is>
          <t xml:space="preserve">$1,000</t>
        </is>
      </c>
      <c r="X531" s="32" t="inlineStr">
        <is>
          <t xml:space="preserve">$1,000,000 CSL</t>
        </is>
      </c>
      <c r="Y531" s="30"/>
      <c r="Z531" s="30"/>
      <c r="AA531" s="32" t="inlineStr">
        <is>
          <t xml:space="preserve">Surplus Lines</t>
        </is>
      </c>
      <c r="AB531" s="35">
        <v>17797.84</v>
      </c>
      <c r="AC531" s="37">
        <v>0</v>
      </c>
      <c r="AD531" s="38">
        <f>IF(ISNUMBER($AB531),$AB531*(1+N($AC531)),"")</f>
      </c>
      <c r="AE531" s="35">
        <v>350</v>
      </c>
      <c r="AF531" s="35">
        <v>250</v>
      </c>
      <c r="AG531" s="37"/>
      <c r="AH531" s="39">
        <f>IF(ISNUMBER($AD531),($AD531+$AE531+$AF531)*$AG531,"")</f>
      </c>
      <c r="AI531" s="35"/>
      <c r="AJ531" s="38">
        <f>IF(ISNUMBER($AD531),SUM($AD531:$AH531),"")</f>
      </c>
      <c r="AK531" s="40">
        <f>IF(AND(ISNUMBER($AB531),ISNUMBER($AD531)),IF($AB531&gt;0,$AD531/$AB531,""),"")</f>
      </c>
      <c r="AL531" s="32" t="inlineStr">
        <is>
          <t xml:space="preserve">At technical</t>
        </is>
      </c>
      <c r="AM531" s="41">
        <f>IF(ISNUMBER($AD531),Header!$I$3,"")</f>
      </c>
      <c r="AN531" s="39">
        <f>IF(ISNUMBER($AD531),$AO531+$AP531,"")</f>
      </c>
      <c r="AO531" s="39">
        <f>IF(ISNUMBER($AD531),ROUND($AD531*Header!$K$3,2),"")</f>
      </c>
      <c r="AP531" s="39">
        <f>IF(ISNUMBER($AD531),ROUND($AD531*Header!$M$3,2),"")</f>
      </c>
      <c r="AQ531" s="38">
        <f>IF(ISNUMBER($AD531),ROUND($AD531,2)-$AO531-$AP531,"")</f>
      </c>
      <c r="AR531" s="39">
        <f>IF(ISNUMBER($AD531),IF(Header!$D$34="","?",$AD531*Header!$D$34),"")</f>
      </c>
      <c r="AS531" s="39">
        <f>IF(ISNUMBER($AB531),IF(Header!$D$34="","?",$AB531*Header!$D$34),"")</f>
      </c>
      <c r="AT531" s="42">
        <f>IF(AND(ISNUMBER($AB531),$M531&gt;0),$AB531/$M531*100,"")</f>
      </c>
      <c r="AU531" s="42">
        <f>IF(AND(ISNUMBER($AD531),$M531&gt;0),$AD531/$M531*100,"")</f>
      </c>
      <c r="AV531" s="40">
        <f>IF(AND(ISNUMBER($AB531),ISNUMBER($AD531),ABS($AB531)&gt;0),$AD531/$AB531,"")</f>
      </c>
      <c r="AW531" s="39">
        <f>IF(ISNUMBER($AD531),MAX(0,(1-0.55-Header!$O$3)*Header!$Q$3*$AQ531),"")</f>
      </c>
      <c r="AX531" s="43">
        <f>IF($A531="","",IF(TRIM(IF($A531="","Missing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",""))="","PASS","FAIL: "&amp;TRIM(IF($A531="","Missing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f>
      </c>
      <c r="AY531" s="44">
        <f>IF($M531="","",IF(ISNUMBER($M531),IF($M531&gt;=Header!$C$18,"YES — refer","No"),""))</f>
      </c>
      <c r="AZ531" s="44">
        <f>IF($AD531="","",IF(ISNUMBER($AD531),IF($AD531&lt;Header!$C$20,"BELOW MIN PREMIUM","OK"),""))</f>
      </c>
      <c r="BA531" s="32" t="inlineStr">
        <is>
          <t xml:space="preserve">Yes</t>
        </is>
      </c>
      <c r="BB531" s="32" t="inlineStr">
        <is>
          <t xml:space="preserve">Yes</t>
        </is>
      </c>
      <c r="BC531" s="30" t="inlineStr">
        <is>
          <t xml:space="preserve">Synthetic demo data</t>
        </is>
      </c>
      <c r="BE531" s="45">
        <f>IF(OR($A531="",$L531="",$H531=""),"",IF(AND(LEFT($L531,2)="06",$H531&gt;1945),"FAIL - pre-war class, year "&amp;$H531,IF(AND(LEFT($L531,2)="07",OR($H531&lt;1946,$H531&gt;1972)),"FAIL - 1946-72 class, year "&amp;$H531,IF(AND(LEFT($L531,2)="08",OR($H531&lt;1973,$H531&gt;1999)),"FAIL - 1973-99 class, year "&amp;$H531,IF(AND(LEFT($L531,2)="09",OR($H531&lt;2000,$H531&gt;2010)),"FAIL - 2000-10 class, year "&amp;$H531,"OK")))))</f>
      </c>
      <c r="BF531" s="45">
        <f>IF($AD531="","",IF(ROUND($AO531+$AP531+$AQ531-$AD531,2)=0,"OK","FAIL - out by "&amp;TEXT($AO531+$AP531+$AQ531-$AD531,"$0.00")))</f>
      </c>
    </row>
    <row r="532" spans="1:58" ht="18.75" customHeight="1" x14ac:dyDescent="0.25">
      <c r="A532" s="46" t="inlineStr">
        <is>
          <t xml:space="preserve">CANON-202606-009128</t>
        </is>
      </c>
      <c r="B532" s="46" t="inlineStr">
        <is>
          <t xml:space="preserve">Callum Whitlock</t>
        </is>
      </c>
      <c r="C532" s="47">
        <v>46183</v>
      </c>
      <c r="D532" s="48" t="inlineStr">
        <is>
          <t xml:space="preserve">Bound - within authority</t>
        </is>
      </c>
      <c r="E532" s="48" t="inlineStr">
        <is>
          <t xml:space="preserve">New business</t>
        </is>
      </c>
      <c r="F532" s="46" t="inlineStr">
        <is>
          <t xml:space="preserve">B1234EXOTIC26</t>
        </is>
      </c>
      <c r="G532" s="33">
        <f>IF($A532="","",IF($C532="","",YEAR($C532)))</f>
      </c>
      <c r="H532" s="49">
        <v>1962</v>
      </c>
      <c r="I532" s="46" t="inlineStr">
        <is>
          <t xml:space="preserve">Aston Martin</t>
        </is>
      </c>
      <c r="J532" s="46" t="inlineStr">
        <is>
          <t xml:space="preserve">DB12</t>
        </is>
      </c>
      <c r="K532" s="46" t="inlineStr">
        <is>
          <t xml:space="preserve">YJDC41ESA9G07DG4W</t>
        </is>
      </c>
      <c r="L532" s="48" t="inlineStr">
        <is>
          <t xml:space="preserve">02 - Sports / GT</t>
        </is>
      </c>
      <c r="M532" s="50">
        <v>210000</v>
      </c>
      <c r="N532" s="48" t="inlineStr">
        <is>
          <t xml:space="preserve">Personal</t>
        </is>
      </c>
      <c r="O532" s="46" t="inlineStr">
        <is>
          <t xml:space="preserve">Personal - regular use</t>
        </is>
      </c>
      <c r="P532" s="46" t="inlineStr">
        <is>
          <t xml:space="preserve">1,000 - 2,500</t>
        </is>
      </c>
      <c r="Q532" s="46" t="inlineStr">
        <is>
          <t xml:space="preserve">New Mexico</t>
        </is>
      </c>
      <c r="R532" s="46" t="inlineStr">
        <is>
          <t xml:space="preserve">87501</t>
        </is>
      </c>
      <c r="S532" s="48" t="inlineStr">
        <is>
          <t xml:space="preserve">Wildfire - WUI high hazard</t>
        </is>
      </c>
      <c r="T532" s="36">
        <f>IF($A532="","",IF($S532="","",IFERROR(INDEX('[1]natural catastrophe'!$D$6:$D$17,MATCH($S532,'[1]natural catastrophe'!$B$6:$B$17,0)),"?")))</f>
      </c>
      <c r="U532" s="46" t="inlineStr">
        <is>
          <t xml:space="preserve">$5,000</t>
        </is>
      </c>
      <c r="V532" s="48" t="inlineStr">
        <is>
          <t xml:space="preserve">Agreed Value</t>
        </is>
      </c>
      <c r="W532" s="46" t="inlineStr">
        <is>
          <t xml:space="preserve">$1,000</t>
        </is>
      </c>
      <c r="X532" s="48" t="inlineStr">
        <is>
          <t xml:space="preserve">$1,000,000 CSL</t>
        </is>
      </c>
      <c r="Y532" s="46"/>
      <c r="Z532" s="46"/>
      <c r="AA532" s="48" t="inlineStr">
        <is>
          <t xml:space="preserve">Surplus Lines</t>
        </is>
      </c>
      <c r="AB532" s="50">
        <v>3568.53</v>
      </c>
      <c r="AC532" s="51">
        <v>0</v>
      </c>
      <c r="AD532" s="38">
        <f>IF(ISNUMBER($AB532),$AB532*(1+N($AC532)),"")</f>
      </c>
      <c r="AE532" s="50">
        <v>350</v>
      </c>
      <c r="AF532" s="50">
        <v>0</v>
      </c>
      <c r="AG532" s="51"/>
      <c r="AH532" s="39">
        <f>IF(ISNUMBER($AD532),($AD532+$AE532+$AF532)*$AG532,"")</f>
      </c>
      <c r="AI532" s="50"/>
      <c r="AJ532" s="38">
        <f>IF(ISNUMBER($AD532),SUM($AD532:$AH532),"")</f>
      </c>
      <c r="AK532" s="40">
        <f>IF(AND(ISNUMBER($AB532),ISNUMBER($AD532)),IF($AB532&gt;0,$AD532/$AB532,""),"")</f>
      </c>
      <c r="AL532" s="48" t="inlineStr">
        <is>
          <t xml:space="preserve">At technical</t>
        </is>
      </c>
      <c r="AM532" s="41">
        <f>IF(ISNUMBER($AD532),Header!$I$3,"")</f>
      </c>
      <c r="AN532" s="39">
        <f>IF(ISNUMBER($AD532),$AO532+$AP532,"")</f>
      </c>
      <c r="AO532" s="39">
        <f>IF(ISNUMBER($AD532),ROUND($AD532*Header!$K$3,2),"")</f>
      </c>
      <c r="AP532" s="39">
        <f>IF(ISNUMBER($AD532),ROUND($AD532*Header!$M$3,2),"")</f>
      </c>
      <c r="AQ532" s="38">
        <f>IF(ISNUMBER($AD532),ROUND($AD532,2)-$AO532-$AP532,"")</f>
      </c>
      <c r="AR532" s="39">
        <f>IF(ISNUMBER($AD532),IF(Header!$D$34="","?",$AD532*Header!$D$34),"")</f>
      </c>
      <c r="AS532" s="39">
        <f>IF(ISNUMBER($AB532),IF(Header!$D$34="","?",$AB532*Header!$D$34),"")</f>
      </c>
      <c r="AT532" s="42">
        <f>IF(AND(ISNUMBER($AB532),$M532&gt;0),$AB532/$M532*100,"")</f>
      </c>
      <c r="AU532" s="42">
        <f>IF(AND(ISNUMBER($AD532),$M532&gt;0),$AD532/$M532*100,"")</f>
      </c>
      <c r="AV532" s="40">
        <f>IF(AND(ISNUMBER($AB532),ISNUMBER($AD532),ABS($AB532)&gt;0),$AD532/$AB532,"")</f>
      </c>
      <c r="AW532" s="39">
        <f>IF(ISNUMBER($AD532),MAX(0,(1-0.55-Header!$O$3)*Header!$Q$3*$AQ532),"")</f>
      </c>
      <c r="AX532" s="43">
        <f>IF($A532="","",IF(TRIM(IF($A532="","Missing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",""))="","PASS","FAIL: "&amp;TRIM(IF($A532="","Missing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f>
      </c>
      <c r="AY532" s="44">
        <f>IF($M532="","",IF(ISNUMBER($M532),IF($M532&gt;=Header!$C$18,"YES — refer","No"),""))</f>
      </c>
      <c r="AZ532" s="44">
        <f>IF($AD532="","",IF(ISNUMBER($AD532),IF($AD532&lt;Header!$C$20,"BELOW MIN PREMIUM","OK"),""))</f>
      </c>
      <c r="BA532" s="48" t="inlineStr">
        <is>
          <t xml:space="preserve">Yes</t>
        </is>
      </c>
      <c r="BB532" s="48" t="inlineStr">
        <is>
          <t xml:space="preserve">Yes</t>
        </is>
      </c>
      <c r="BC532" s="46" t="inlineStr">
        <is>
          <t xml:space="preserve">Synthetic demo data</t>
        </is>
      </c>
      <c r="BE532" s="45">
        <f>IF(OR($A532="",$L532="",$H532=""),"",IF(AND(LEFT($L532,2)="06",$H532&gt;1945),"FAIL - pre-war class, year "&amp;$H532,IF(AND(LEFT($L532,2)="07",OR($H532&lt;1946,$H532&gt;1972)),"FAIL - 1946-72 class, year "&amp;$H532,IF(AND(LEFT($L532,2)="08",OR($H532&lt;1973,$H532&gt;1999)),"FAIL - 1973-99 class, year "&amp;$H532,IF(AND(LEFT($L532,2)="09",OR($H532&lt;2000,$H532&gt;2010)),"FAIL - 2000-10 class, year "&amp;$H532,"OK")))))</f>
      </c>
      <c r="BF532" s="45">
        <f>IF($AD532="","",IF(ROUND($AO532+$AP532+$AQ532-$AD532,2)=0,"OK","FAIL - out by "&amp;TEXT($AO532+$AP532+$AQ532-$AD532,"$0.00")))</f>
      </c>
    </row>
    <row r="533" spans="1:58" ht="18.75" customHeight="1" x14ac:dyDescent="0.25">
      <c r="A533" s="30" t="inlineStr">
        <is>
          <t xml:space="preserve">CANON-202606-009129</t>
        </is>
      </c>
      <c r="B533" s="30" t="inlineStr">
        <is>
          <t xml:space="preserve">Marisol Pennington</t>
        </is>
      </c>
      <c r="C533" s="31">
        <v>46185</v>
      </c>
      <c r="D533" s="32" t="inlineStr">
        <is>
          <t xml:space="preserve">Bound - within authority</t>
        </is>
      </c>
      <c r="E533" s="32" t="inlineStr">
        <is>
          <t xml:space="preserve">New business</t>
        </is>
      </c>
      <c r="F533" s="30" t="inlineStr">
        <is>
          <t xml:space="preserve">B1234EXOTIC26</t>
        </is>
      </c>
      <c r="G533" s="33">
        <f>IF($A533="","",IF($C533="","",YEAR($C533)))</f>
      </c>
      <c r="H533" s="34">
        <v>2011</v>
      </c>
      <c r="I533" s="30" t="inlineStr">
        <is>
          <t xml:space="preserve">Alfa Romeo</t>
        </is>
      </c>
      <c r="J533" s="30" t="inlineStr">
        <is>
          <t xml:space="preserve">8C 2900</t>
        </is>
      </c>
      <c r="K533" s="30" t="inlineStr">
        <is>
          <t xml:space="preserve">Y51V15M33DKR0S5HX</t>
        </is>
      </c>
      <c r="L533" s="32" t="inlineStr">
        <is>
          <t xml:space="preserve">02 - Sports / GT</t>
        </is>
      </c>
      <c r="M533" s="35">
        <v>1155000</v>
      </c>
      <c r="N533" s="32" t="inlineStr">
        <is>
          <t xml:space="preserve">Personal</t>
        </is>
      </c>
      <c r="O533" s="30" t="inlineStr">
        <is>
          <t xml:space="preserve">Personal - regular use</t>
        </is>
      </c>
      <c r="P533" s="30" t="inlineStr">
        <is>
          <t xml:space="preserve">2,500 - 5,000</t>
        </is>
      </c>
      <c r="Q533" s="30" t="inlineStr">
        <is>
          <t xml:space="preserve">Illinois</t>
        </is>
      </c>
      <c r="R533" s="30" t="inlineStr">
        <is>
          <t xml:space="preserve">60601</t>
        </is>
      </c>
      <c r="S533" s="32" t="inlineStr">
        <is>
          <t xml:space="preserve">Severe convective - hail / tornado (moderate)</t>
        </is>
      </c>
      <c r="T533" s="36">
        <f>IF($A533="","",IF($S533="","",IFERROR(INDEX('[1]natural catastrophe'!$D$6:$D$17,MATCH($S533,'[1]natural catastrophe'!$B$6:$B$17,0)),"?")))</f>
      </c>
      <c r="U533" s="30" t="inlineStr">
        <is>
          <t xml:space="preserve">$5,000</t>
        </is>
      </c>
      <c r="V533" s="32" t="inlineStr">
        <is>
          <t xml:space="preserve">Agreed Value</t>
        </is>
      </c>
      <c r="W533" s="30" t="inlineStr">
        <is>
          <t xml:space="preserve">$1,000</t>
        </is>
      </c>
      <c r="X533" s="32" t="inlineStr">
        <is>
          <t xml:space="preserve">$1,000,000 CSL</t>
        </is>
      </c>
      <c r="Y533" s="30"/>
      <c r="Z533" s="30"/>
      <c r="AA533" s="32" t="inlineStr">
        <is>
          <t xml:space="preserve">Surplus Lines</t>
        </is>
      </c>
      <c r="AB533" s="35">
        <v>7706.76</v>
      </c>
      <c r="AC533" s="37">
        <v>0</v>
      </c>
      <c r="AD533" s="38">
        <f>IF(ISNUMBER($AB533),$AB533*(1+N($AC533)),"")</f>
      </c>
      <c r="AE533" s="35">
        <v>350</v>
      </c>
      <c r="AF533" s="35">
        <v>250</v>
      </c>
      <c r="AG533" s="37"/>
      <c r="AH533" s="39">
        <f>IF(ISNUMBER($AD533),($AD533+$AE533+$AF533)*$AG533,"")</f>
      </c>
      <c r="AI533" s="35"/>
      <c r="AJ533" s="38">
        <f>IF(ISNUMBER($AD533),SUM($AD533:$AH533),"")</f>
      </c>
      <c r="AK533" s="40">
        <f>IF(AND(ISNUMBER($AB533),ISNUMBER($AD533)),IF($AB533&gt;0,$AD533/$AB533,""),"")</f>
      </c>
      <c r="AL533" s="32" t="inlineStr">
        <is>
          <t xml:space="preserve">At technical</t>
        </is>
      </c>
      <c r="AM533" s="41">
        <f>IF(ISNUMBER($AD533),Header!$I$3,"")</f>
      </c>
      <c r="AN533" s="39">
        <f>IF(ISNUMBER($AD533),$AO533+$AP533,"")</f>
      </c>
      <c r="AO533" s="39">
        <f>IF(ISNUMBER($AD533),ROUND($AD533*Header!$K$3,2),"")</f>
      </c>
      <c r="AP533" s="39">
        <f>IF(ISNUMBER($AD533),ROUND($AD533*Header!$M$3,2),"")</f>
      </c>
      <c r="AQ533" s="38">
        <f>IF(ISNUMBER($AD533),ROUND($AD533,2)-$AO533-$AP533,"")</f>
      </c>
      <c r="AR533" s="39">
        <f>IF(ISNUMBER($AD533),IF(Header!$D$34="","?",$AD533*Header!$D$34),"")</f>
      </c>
      <c r="AS533" s="39">
        <f>IF(ISNUMBER($AB533),IF(Header!$D$34="","?",$AB533*Header!$D$34),"")</f>
      </c>
      <c r="AT533" s="42">
        <f>IF(AND(ISNUMBER($AB533),$M533&gt;0),$AB533/$M533*100,"")</f>
      </c>
      <c r="AU533" s="42">
        <f>IF(AND(ISNUMBER($AD533),$M533&gt;0),$AD533/$M533*100,"")</f>
      </c>
      <c r="AV533" s="40">
        <f>IF(AND(ISNUMBER($AB533),ISNUMBER($AD533),ABS($AB533)&gt;0),$AD533/$AB533,"")</f>
      </c>
      <c r="AW533" s="39">
        <f>IF(ISNUMBER($AD533),MAX(0,(1-0.55-Header!$O$3)*Header!$Q$3*$AQ533),"")</f>
      </c>
      <c r="AX533" s="43">
        <f>IF($A533="","",IF(TRIM(IF($A533="","Missing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",""))="","PASS","FAIL: "&amp;TRIM(IF($A533="","Missing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f>
      </c>
      <c r="AY533" s="44">
        <f>IF($M533="","",IF(ISNUMBER($M533),IF($M533&gt;=Header!$C$18,"YES — refer","No"),""))</f>
      </c>
      <c r="AZ533" s="44">
        <f>IF($AD533="","",IF(ISNUMBER($AD533),IF($AD533&lt;Header!$C$20,"BELOW MIN PREMIUM","OK"),""))</f>
      </c>
      <c r="BA533" s="32" t="inlineStr">
        <is>
          <t xml:space="preserve">Yes</t>
        </is>
      </c>
      <c r="BB533" s="32" t="inlineStr">
        <is>
          <t xml:space="preserve">Yes</t>
        </is>
      </c>
      <c r="BC533" s="30" t="inlineStr">
        <is>
          <t xml:space="preserve">Synthetic demo data</t>
        </is>
      </c>
      <c r="BE533" s="45">
        <f>IF(OR($A533="",$L533="",$H533=""),"",IF(AND(LEFT($L533,2)="06",$H533&gt;1945),"FAIL - pre-war class, year "&amp;$H533,IF(AND(LEFT($L533,2)="07",OR($H533&lt;1946,$H533&gt;1972)),"FAIL - 1946-72 class, year "&amp;$H533,IF(AND(LEFT($L533,2)="08",OR($H533&lt;1973,$H533&gt;1999)),"FAIL - 1973-99 class, year "&amp;$H533,IF(AND(LEFT($L533,2)="09",OR($H533&lt;2000,$H533&gt;2010)),"FAIL - 2000-10 class, year "&amp;$H533,"OK")))))</f>
      </c>
      <c r="BF533" s="45">
        <f>IF($AD533="","",IF(ROUND($AO533+$AP533+$AQ533-$AD533,2)=0,"OK","FAIL - out by "&amp;TEXT($AO533+$AP533+$AQ533-$AD533,"$0.00")))</f>
      </c>
    </row>
    <row r="534" spans="1:58" ht="18.75" customHeight="1" x14ac:dyDescent="0.25">
      <c r="A534" s="46" t="inlineStr">
        <is>
          <t xml:space="preserve">CANON-202606-009134</t>
        </is>
      </c>
      <c r="B534" s="46" t="inlineStr">
        <is>
          <t xml:space="preserve">Marisol Farkas</t>
        </is>
      </c>
      <c r="C534" s="47">
        <v>46195</v>
      </c>
      <c r="D534" s="48" t="inlineStr">
        <is>
          <t xml:space="preserve">Bound - within authority</t>
        </is>
      </c>
      <c r="E534" s="48" t="inlineStr">
        <is>
          <t xml:space="preserve">New business</t>
        </is>
      </c>
      <c r="F534" s="46" t="inlineStr">
        <is>
          <t xml:space="preserve">B1234EXOTIC26</t>
        </is>
      </c>
      <c r="G534" s="33">
        <f>IF($A534="","",IF($C534="","",YEAR($C534)))</f>
      </c>
      <c r="H534" s="49">
        <v>1976</v>
      </c>
      <c r="I534" s="46" t="inlineStr">
        <is>
          <t xml:space="preserve">Aston Martin</t>
        </is>
      </c>
      <c r="J534" s="46" t="inlineStr">
        <is>
          <t xml:space="preserve">DB12</t>
        </is>
      </c>
      <c r="K534" s="46" t="inlineStr">
        <is>
          <t xml:space="preserve">5JD36ZAHBSC4TR4Z0</t>
        </is>
      </c>
      <c r="L534" s="48" t="inlineStr">
        <is>
          <t xml:space="preserve">02 - Sports / GT</t>
        </is>
      </c>
      <c r="M534" s="50">
        <v>365000</v>
      </c>
      <c r="N534" s="48" t="inlineStr">
        <is>
          <t xml:space="preserve">Personal</t>
        </is>
      </c>
      <c r="O534" s="46" t="inlineStr">
        <is>
          <t xml:space="preserve">Personal - regular use</t>
        </is>
      </c>
      <c r="P534" s="46" t="inlineStr">
        <is>
          <t xml:space="preserve">Under 1,000</t>
        </is>
      </c>
      <c r="Q534" s="46" t="inlineStr">
        <is>
          <t xml:space="preserve">Iowa</t>
        </is>
      </c>
      <c r="R534" s="46" t="inlineStr">
        <is>
          <t xml:space="preserve">50309</t>
        </is>
      </c>
      <c r="S534" s="48" t="inlineStr">
        <is>
          <t xml:space="preserve">Severe convective - hail alley (high)</t>
        </is>
      </c>
      <c r="T534" s="36">
        <f>IF($A534="","",IF($S534="","",IFERROR(INDEX('[1]natural catastrophe'!$D$6:$D$17,MATCH($S534,'[1]natural catastrophe'!$B$6:$B$17,0)),"?")))</f>
      </c>
      <c r="U534" s="46" t="inlineStr">
        <is>
          <t xml:space="preserve">$5,000</t>
        </is>
      </c>
      <c r="V534" s="48" t="inlineStr">
        <is>
          <t xml:space="preserve">Agreed Value</t>
        </is>
      </c>
      <c r="W534" s="46" t="inlineStr">
        <is>
          <t xml:space="preserve">$1,000</t>
        </is>
      </c>
      <c r="X534" s="48" t="inlineStr">
        <is>
          <t xml:space="preserve">$1,000,000 CSL</t>
        </is>
      </c>
      <c r="Y534" s="46"/>
      <c r="Z534" s="46"/>
      <c r="AA534" s="48" t="inlineStr">
        <is>
          <t xml:space="preserve">Surplus Lines</t>
        </is>
      </c>
      <c r="AB534" s="50">
        <v>4345.29</v>
      </c>
      <c r="AC534" s="51">
        <v>0</v>
      </c>
      <c r="AD534" s="38">
        <f>IF(ISNUMBER($AB534),$AB534*(1+N($AC534)),"")</f>
      </c>
      <c r="AE534" s="50">
        <v>350</v>
      </c>
      <c r="AF534" s="50">
        <v>0</v>
      </c>
      <c r="AG534" s="51"/>
      <c r="AH534" s="39">
        <f>IF(ISNUMBER($AD534),($AD534+$AE534+$AF534)*$AG534,"")</f>
      </c>
      <c r="AI534" s="50"/>
      <c r="AJ534" s="38">
        <f>IF(ISNUMBER($AD534),SUM($AD534:$AH534),"")</f>
      </c>
      <c r="AK534" s="40">
        <f>IF(AND(ISNUMBER($AB534),ISNUMBER($AD534)),IF($AB534&gt;0,$AD534/$AB534,""),"")</f>
      </c>
      <c r="AL534" s="48" t="inlineStr">
        <is>
          <t xml:space="preserve">At technical</t>
        </is>
      </c>
      <c r="AM534" s="41">
        <f>IF(ISNUMBER($AD534),Header!$I$3,"")</f>
      </c>
      <c r="AN534" s="39">
        <f>IF(ISNUMBER($AD534),$AO534+$AP534,"")</f>
      </c>
      <c r="AO534" s="39">
        <f>IF(ISNUMBER($AD534),ROUND($AD534*Header!$K$3,2),"")</f>
      </c>
      <c r="AP534" s="39">
        <f>IF(ISNUMBER($AD534),ROUND($AD534*Header!$M$3,2),"")</f>
      </c>
      <c r="AQ534" s="38">
        <f>IF(ISNUMBER($AD534),ROUND($AD534,2)-$AO534-$AP534,"")</f>
      </c>
      <c r="AR534" s="39">
        <f>IF(ISNUMBER($AD534),IF(Header!$D$34="","?",$AD534*Header!$D$34),"")</f>
      </c>
      <c r="AS534" s="39">
        <f>IF(ISNUMBER($AB534),IF(Header!$D$34="","?",$AB534*Header!$D$34),"")</f>
      </c>
      <c r="AT534" s="42">
        <f>IF(AND(ISNUMBER($AB534),$M534&gt;0),$AB534/$M534*100,"")</f>
      </c>
      <c r="AU534" s="42">
        <f>IF(AND(ISNUMBER($AD534),$M534&gt;0),$AD534/$M534*100,"")</f>
      </c>
      <c r="AV534" s="40">
        <f>IF(AND(ISNUMBER($AB534),ISNUMBER($AD534),ABS($AB534)&gt;0),$AD534/$AB534,"")</f>
      </c>
      <c r="AW534" s="39">
        <f>IF(ISNUMBER($AD534),MAX(0,(1-0.55-Header!$O$3)*Header!$Q$3*$AQ534),"")</f>
      </c>
      <c r="AX534" s="43">
        <f>IF($A534="","",IF(TRIM(IF($A534="","Missing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",""))="","PASS","FAIL: "&amp;TRIM(IF($A534="","Missing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f>
      </c>
      <c r="AY534" s="44">
        <f>IF($M534="","",IF(ISNUMBER($M534),IF($M534&gt;=Header!$C$18,"YES — refer","No"),""))</f>
      </c>
      <c r="AZ534" s="44">
        <f>IF($AD534="","",IF(ISNUMBER($AD534),IF($AD534&lt;Header!$C$20,"BELOW MIN PREMIUM","OK"),""))</f>
      </c>
      <c r="BA534" s="48" t="inlineStr">
        <is>
          <t xml:space="preserve">Yes</t>
        </is>
      </c>
      <c r="BB534" s="48" t="inlineStr">
        <is>
          <t xml:space="preserve">Yes</t>
        </is>
      </c>
      <c r="BC534" s="46" t="inlineStr">
        <is>
          <t xml:space="preserve">Synthetic demo data</t>
        </is>
      </c>
      <c r="BE534" s="45">
        <f>IF(OR($A534="",$L534="",$H534=""),"",IF(AND(LEFT($L534,2)="06",$H534&gt;1945),"FAIL - pre-war class, year "&amp;$H534,IF(AND(LEFT($L534,2)="07",OR($H534&lt;1946,$H534&gt;1972)),"FAIL - 1946-72 class, year "&amp;$H534,IF(AND(LEFT($L534,2)="08",OR($H534&lt;1973,$H534&gt;1999)),"FAIL - 1973-99 class, year "&amp;$H534,IF(AND(LEFT($L534,2)="09",OR($H534&lt;2000,$H534&gt;2010)),"FAIL - 2000-10 class, year "&amp;$H534,"OK")))))</f>
      </c>
      <c r="BF534" s="45">
        <f>IF($AD534="","",IF(ROUND($AO534+$AP534+$AQ534-$AD534,2)=0,"OK","FAIL - out by "&amp;TEXT($AO534+$AP534+$AQ534-$AD534,"$0.00")))</f>
      </c>
    </row>
    <row r="535" spans="1:58" ht="18.75" customHeight="1" x14ac:dyDescent="0.25">
      <c r="A535" s="30" t="inlineStr">
        <is>
          <t xml:space="preserve">CANON-202606-009135</t>
        </is>
      </c>
      <c r="B535" s="30" t="inlineStr">
        <is>
          <t xml:space="preserve">Fitzgerald Montoya</t>
        </is>
      </c>
      <c r="C535" s="31">
        <v>46200</v>
      </c>
      <c r="D535" s="32" t="inlineStr">
        <is>
          <t xml:space="preserve">Bound - within authority</t>
        </is>
      </c>
      <c r="E535" s="32" t="inlineStr">
        <is>
          <t xml:space="preserve">New business</t>
        </is>
      </c>
      <c r="F535" s="30" t="inlineStr">
        <is>
          <t xml:space="preserve">B1234EXOTIC26</t>
        </is>
      </c>
      <c r="G535" s="33">
        <f>IF($A535="","",IF($C535="","",YEAR($C535)))</f>
      </c>
      <c r="H535" s="34">
        <v>1973</v>
      </c>
      <c r="I535" s="30" t="inlineStr">
        <is>
          <t xml:space="preserve">Lamborghini</t>
        </is>
      </c>
      <c r="J535" s="30" t="inlineStr">
        <is>
          <t xml:space="preserve">Huracan EVO</t>
        </is>
      </c>
      <c r="K535" s="30" t="inlineStr">
        <is>
          <t xml:space="preserve">DEPSU433JHU3B8684</t>
        </is>
      </c>
      <c r="L535" s="32" t="inlineStr">
        <is>
          <t xml:space="preserve">03 - Supercar</t>
        </is>
      </c>
      <c r="M535" s="35">
        <v>845000</v>
      </c>
      <c r="N535" s="32" t="inlineStr">
        <is>
          <t xml:space="preserve">Personal</t>
        </is>
      </c>
      <c r="O535" s="30" t="inlineStr">
        <is>
          <t xml:space="preserve">Personal - regular use</t>
        </is>
      </c>
      <c r="P535" s="30" t="inlineStr">
        <is>
          <t xml:space="preserve">Under 1,000</t>
        </is>
      </c>
      <c r="Q535" s="30" t="inlineStr">
        <is>
          <t xml:space="preserve">Washington</t>
        </is>
      </c>
      <c r="R535" s="30" t="inlineStr">
        <is>
          <t xml:space="preserve">98101</t>
        </is>
      </c>
      <c r="S535" s="32" t="inlineStr">
        <is>
          <t xml:space="preserve">Earthquake - high (CA, Cascadia, New Madrid)</t>
        </is>
      </c>
      <c r="T535" s="36">
        <f>IF($A535="","",IF($S535="","",IFERROR(INDEX('[1]natural catastrophe'!$D$6:$D$17,MATCH($S535,'[1]natural catastrophe'!$B$6:$B$17,0)),"?")))</f>
      </c>
      <c r="U535" s="30" t="inlineStr">
        <is>
          <t xml:space="preserve">$5,000</t>
        </is>
      </c>
      <c r="V535" s="32" t="inlineStr">
        <is>
          <t xml:space="preserve">Agreed Value</t>
        </is>
      </c>
      <c r="W535" s="30" t="inlineStr">
        <is>
          <t xml:space="preserve">$1,000</t>
        </is>
      </c>
      <c r="X535" s="32" t="inlineStr">
        <is>
          <t xml:space="preserve">$1,000,000 CSL</t>
        </is>
      </c>
      <c r="Y535" s="30"/>
      <c r="Z535" s="30"/>
      <c r="AA535" s="32" t="inlineStr">
        <is>
          <t xml:space="preserve">Surplus Lines</t>
        </is>
      </c>
      <c r="AB535" s="35">
        <v>11120.48</v>
      </c>
      <c r="AC535" s="37">
        <v>0</v>
      </c>
      <c r="AD535" s="38">
        <f>IF(ISNUMBER($AB535),$AB535*(1+N($AC535)),"")</f>
      </c>
      <c r="AE535" s="35">
        <v>350</v>
      </c>
      <c r="AF535" s="35">
        <v>0</v>
      </c>
      <c r="AG535" s="37"/>
      <c r="AH535" s="39">
        <f>IF(ISNUMBER($AD535),($AD535+$AE535+$AF535)*$AG535,"")</f>
      </c>
      <c r="AI535" s="35"/>
      <c r="AJ535" s="38">
        <f>IF(ISNUMBER($AD535),SUM($AD535:$AH535),"")</f>
      </c>
      <c r="AK535" s="40">
        <f>IF(AND(ISNUMBER($AB535),ISNUMBER($AD535)),IF($AB535&gt;0,$AD535/$AB535,""),"")</f>
      </c>
      <c r="AL535" s="32" t="inlineStr">
        <is>
          <t xml:space="preserve">At technical</t>
        </is>
      </c>
      <c r="AM535" s="41">
        <f>IF(ISNUMBER($AD535),Header!$I$3,"")</f>
      </c>
      <c r="AN535" s="39">
        <f>IF(ISNUMBER($AD535),$AO535+$AP535,"")</f>
      </c>
      <c r="AO535" s="39">
        <f>IF(ISNUMBER($AD535),ROUND($AD535*Header!$K$3,2),"")</f>
      </c>
      <c r="AP535" s="39">
        <f>IF(ISNUMBER($AD535),ROUND($AD535*Header!$M$3,2),"")</f>
      </c>
      <c r="AQ535" s="38">
        <f>IF(ISNUMBER($AD535),ROUND($AD535,2)-$AO535-$AP535,"")</f>
      </c>
      <c r="AR535" s="39">
        <f>IF(ISNUMBER($AD535),IF(Header!$D$34="","?",$AD535*Header!$D$34),"")</f>
      </c>
      <c r="AS535" s="39">
        <f>IF(ISNUMBER($AB535),IF(Header!$D$34="","?",$AB535*Header!$D$34),"")</f>
      </c>
      <c r="AT535" s="42">
        <f>IF(AND(ISNUMBER($AB535),$M535&gt;0),$AB535/$M535*100,"")</f>
      </c>
      <c r="AU535" s="42">
        <f>IF(AND(ISNUMBER($AD535),$M535&gt;0),$AD535/$M535*100,"")</f>
      </c>
      <c r="AV535" s="40">
        <f>IF(AND(ISNUMBER($AB535),ISNUMBER($AD535),ABS($AB535)&gt;0),$AD535/$AB535,"")</f>
      </c>
      <c r="AW535" s="39">
        <f>IF(ISNUMBER($AD535),MAX(0,(1-0.55-Header!$O$3)*Header!$Q$3*$AQ535),"")</f>
      </c>
      <c r="AX535" s="43">
        <f>IF($A535="","",IF(TRIM(IF($A535="","Missing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",""))="","PASS","FAIL: "&amp;TRIM(IF($A535="","Missing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f>
      </c>
      <c r="AY535" s="44">
        <f>IF($M535="","",IF(ISNUMBER($M535),IF($M535&gt;=Header!$C$18,"YES — refer","No"),""))</f>
      </c>
      <c r="AZ535" s="44">
        <f>IF($AD535="","",IF(ISNUMBER($AD535),IF($AD535&lt;Header!$C$20,"BELOW MIN PREMIUM","OK"),""))</f>
      </c>
      <c r="BA535" s="32" t="inlineStr">
        <is>
          <t xml:space="preserve">Yes</t>
        </is>
      </c>
      <c r="BB535" s="32" t="inlineStr">
        <is>
          <t xml:space="preserve">Yes</t>
        </is>
      </c>
      <c r="BC535" s="30" t="inlineStr">
        <is>
          <t xml:space="preserve">Synthetic demo data</t>
        </is>
      </c>
      <c r="BE535" s="45">
        <f>IF(OR($A535="",$L535="",$H535=""),"",IF(AND(LEFT($L535,2)="06",$H535&gt;1945),"FAIL - pre-war class, year "&amp;$H535,IF(AND(LEFT($L535,2)="07",OR($H535&lt;1946,$H535&gt;1972)),"FAIL - 1946-72 class, year "&amp;$H535,IF(AND(LEFT($L535,2)="08",OR($H535&lt;1973,$H535&gt;1999)),"FAIL - 1973-99 class, year "&amp;$H535,IF(AND(LEFT($L535,2)="09",OR($H535&lt;2000,$H535&gt;2010)),"FAIL - 2000-10 class, year "&amp;$H535,"OK")))))</f>
      </c>
      <c r="BF535" s="45">
        <f>IF($AD535="","",IF(ROUND($AO535+$AP535+$AQ535-$AD535,2)=0,"OK","FAIL - out by "&amp;TEXT($AO535+$AP535+$AQ535-$AD535,"$0.00")))</f>
      </c>
    </row>
    <row r="536" spans="1:58" ht="18.75" customHeight="1" x14ac:dyDescent="0.25">
      <c r="A536" s="46" t="inlineStr">
        <is>
          <t xml:space="preserve">CANON-202606-009136</t>
        </is>
      </c>
      <c r="B536" s="46" t="inlineStr">
        <is>
          <t xml:space="preserve">Mireille Larsson</t>
        </is>
      </c>
      <c r="C536" s="47">
        <v>46176</v>
      </c>
      <c r="D536" s="48" t="inlineStr">
        <is>
          <t xml:space="preserve">Bound - within authority</t>
        </is>
      </c>
      <c r="E536" s="48" t="inlineStr">
        <is>
          <t xml:space="preserve">New business</t>
        </is>
      </c>
      <c r="F536" s="46" t="inlineStr">
        <is>
          <t xml:space="preserve">B1234EXOTIC26</t>
        </is>
      </c>
      <c r="G536" s="33">
        <f>IF($A536="","",IF($C536="","",YEAR($C536)))</f>
      </c>
      <c r="H536" s="49">
        <v>2009</v>
      </c>
      <c r="I536" s="46" t="inlineStr">
        <is>
          <t xml:space="preserve">Mercedes-Benz</t>
        </is>
      </c>
      <c r="J536" s="46" t="inlineStr">
        <is>
          <t xml:space="preserve">AMG GT</t>
        </is>
      </c>
      <c r="K536" s="46" t="inlineStr">
        <is>
          <t xml:space="preserve">875XLR0WVMRZJYSD3</t>
        </is>
      </c>
      <c r="L536" s="48" t="inlineStr">
        <is>
          <t xml:space="preserve">02 - Sports / GT</t>
        </is>
      </c>
      <c r="M536" s="50">
        <v>615000</v>
      </c>
      <c r="N536" s="48" t="inlineStr">
        <is>
          <t xml:space="preserve">Personal</t>
        </is>
      </c>
      <c r="O536" s="46" t="inlineStr">
        <is>
          <t xml:space="preserve">Personal - regular use</t>
        </is>
      </c>
      <c r="P536" s="46" t="inlineStr">
        <is>
          <t xml:space="preserve">1,000 - 2,500</t>
        </is>
      </c>
      <c r="Q536" s="46" t="inlineStr">
        <is>
          <t xml:space="preserve">Maine</t>
        </is>
      </c>
      <c r="R536" s="46" t="inlineStr">
        <is>
          <t xml:space="preserve">04101</t>
        </is>
      </c>
      <c r="S536" s="48" t="inlineStr">
        <is>
          <t xml:space="preserve">Tier 3 - Coastal wind (25-100 miles)</t>
        </is>
      </c>
      <c r="T536" s="36">
        <f>IF($A536="","",IF($S536="","",IFERROR(INDEX('[1]natural catastrophe'!$D$6:$D$17,MATCH($S536,'[1]natural catastrophe'!$B$6:$B$17,0)),"?")))</f>
      </c>
      <c r="U536" s="46" t="inlineStr">
        <is>
          <t xml:space="preserve">2% of agreed value, minimum $10,000</t>
        </is>
      </c>
      <c r="V536" s="48" t="inlineStr">
        <is>
          <t xml:space="preserve">Agreed Value</t>
        </is>
      </c>
      <c r="W536" s="46" t="inlineStr">
        <is>
          <t xml:space="preserve">$1,000</t>
        </is>
      </c>
      <c r="X536" s="48" t="inlineStr">
        <is>
          <t xml:space="preserve">$1,000,000 CSL</t>
        </is>
      </c>
      <c r="Y536" s="46"/>
      <c r="Z536" s="46"/>
      <c r="AA536" s="48" t="inlineStr">
        <is>
          <t xml:space="preserve">Surplus Lines</t>
        </is>
      </c>
      <c r="AB536" s="50">
        <v>6229.95</v>
      </c>
      <c r="AC536" s="51">
        <v>0</v>
      </c>
      <c r="AD536" s="38">
        <f>IF(ISNUMBER($AB536),$AB536*(1+N($AC536)),"")</f>
      </c>
      <c r="AE536" s="50">
        <v>350</v>
      </c>
      <c r="AF536" s="50">
        <v>0</v>
      </c>
      <c r="AG536" s="51"/>
      <c r="AH536" s="39">
        <f>IF(ISNUMBER($AD536),($AD536+$AE536+$AF536)*$AG536,"")</f>
      </c>
      <c r="AI536" s="50"/>
      <c r="AJ536" s="38">
        <f>IF(ISNUMBER($AD536),SUM($AD536:$AH536),"")</f>
      </c>
      <c r="AK536" s="40">
        <f>IF(AND(ISNUMBER($AB536),ISNUMBER($AD536)),IF($AB536&gt;0,$AD536/$AB536,""),"")</f>
      </c>
      <c r="AL536" s="48" t="inlineStr">
        <is>
          <t xml:space="preserve">At technical</t>
        </is>
      </c>
      <c r="AM536" s="41">
        <f>IF(ISNUMBER($AD536),Header!$I$3,"")</f>
      </c>
      <c r="AN536" s="39">
        <f>IF(ISNUMBER($AD536),$AO536+$AP536,"")</f>
      </c>
      <c r="AO536" s="39">
        <f>IF(ISNUMBER($AD536),ROUND($AD536*Header!$K$3,2),"")</f>
      </c>
      <c r="AP536" s="39">
        <f>IF(ISNUMBER($AD536),ROUND($AD536*Header!$M$3,2),"")</f>
      </c>
      <c r="AQ536" s="38">
        <f>IF(ISNUMBER($AD536),ROUND($AD536,2)-$AO536-$AP536,"")</f>
      </c>
      <c r="AR536" s="39">
        <f>IF(ISNUMBER($AD536),IF(Header!$D$34="","?",$AD536*Header!$D$34),"")</f>
      </c>
      <c r="AS536" s="39">
        <f>IF(ISNUMBER($AB536),IF(Header!$D$34="","?",$AB536*Header!$D$34),"")</f>
      </c>
      <c r="AT536" s="42">
        <f>IF(AND(ISNUMBER($AB536),$M536&gt;0),$AB536/$M536*100,"")</f>
      </c>
      <c r="AU536" s="42">
        <f>IF(AND(ISNUMBER($AD536),$M536&gt;0),$AD536/$M536*100,"")</f>
      </c>
      <c r="AV536" s="40">
        <f>IF(AND(ISNUMBER($AB536),ISNUMBER($AD536),ABS($AB536)&gt;0),$AD536/$AB536,"")</f>
      </c>
      <c r="AW536" s="39">
        <f>IF(ISNUMBER($AD536),MAX(0,(1-0.55-Header!$O$3)*Header!$Q$3*$AQ536),"")</f>
      </c>
      <c r="AX536" s="43">
        <f>IF($A536="","",IF(TRIM(IF($A536="","Missing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",""))="","PASS","FAIL: "&amp;TRIM(IF($A536="","Missing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f>
      </c>
      <c r="AY536" s="44">
        <f>IF($M536="","",IF(ISNUMBER($M536),IF($M536&gt;=Header!$C$18,"YES — refer","No"),""))</f>
      </c>
      <c r="AZ536" s="44">
        <f>IF($AD536="","",IF(ISNUMBER($AD536),IF($AD536&lt;Header!$C$20,"BELOW MIN PREMIUM","OK"),""))</f>
      </c>
      <c r="BA536" s="48" t="inlineStr">
        <is>
          <t xml:space="preserve">Yes</t>
        </is>
      </c>
      <c r="BB536" s="48" t="inlineStr">
        <is>
          <t xml:space="preserve">Yes</t>
        </is>
      </c>
      <c r="BC536" s="46" t="inlineStr">
        <is>
          <t xml:space="preserve">Synthetic demo data</t>
        </is>
      </c>
      <c r="BE536" s="45">
        <f>IF(OR($A536="",$L536="",$H536=""),"",IF(AND(LEFT($L536,2)="06",$H536&gt;1945),"FAIL - pre-war class, year "&amp;$H536,IF(AND(LEFT($L536,2)="07",OR($H536&lt;1946,$H536&gt;1972)),"FAIL - 1946-72 class, year "&amp;$H536,IF(AND(LEFT($L536,2)="08",OR($H536&lt;1973,$H536&gt;1999)),"FAIL - 1973-99 class, year "&amp;$H536,IF(AND(LEFT($L536,2)="09",OR($H536&lt;2000,$H536&gt;2010)),"FAIL - 2000-10 class, year "&amp;$H536,"OK")))))</f>
      </c>
      <c r="BF536" s="45">
        <f>IF($AD536="","",IF(ROUND($AO536+$AP536+$AQ536-$AD536,2)=0,"OK","FAIL - out by "&amp;TEXT($AO536+$AP536+$AQ536-$AD536,"$0.00")))</f>
      </c>
    </row>
    <row r="537" spans="1:58" ht="18.75" customHeight="1" x14ac:dyDescent="0.25">
      <c r="A537" s="30" t="inlineStr">
        <is>
          <t xml:space="preserve">CANON-202606-009137</t>
        </is>
      </c>
      <c r="B537" s="30" t="inlineStr">
        <is>
          <t xml:space="preserve">Emiliano Fairweather</t>
        </is>
      </c>
      <c r="C537" s="31">
        <v>46184</v>
      </c>
      <c r="D537" s="32" t="inlineStr">
        <is>
          <t xml:space="preserve">Bound - within authority</t>
        </is>
      </c>
      <c r="E537" s="32" t="inlineStr">
        <is>
          <t xml:space="preserve">New business</t>
        </is>
      </c>
      <c r="F537" s="30" t="inlineStr">
        <is>
          <t xml:space="preserve">B1234EXOTIC26</t>
        </is>
      </c>
      <c r="G537" s="33">
        <f>IF($A537="","",IF($C537="","",YEAR($C537)))</f>
      </c>
      <c r="H537" s="34">
        <v>1966</v>
      </c>
      <c r="I537" s="30" t="inlineStr">
        <is>
          <t xml:space="preserve">Bugatti</t>
        </is>
      </c>
      <c r="J537" s="30" t="inlineStr">
        <is>
          <t xml:space="preserve">Type 57</t>
        </is>
      </c>
      <c r="K537" s="30" t="inlineStr">
        <is>
          <t xml:space="preserve">8GA3497EGNW5L1T5S</t>
        </is>
      </c>
      <c r="L537" s="32" t="inlineStr">
        <is>
          <t xml:space="preserve">07 - Post-War Classic (1946-1972)</t>
        </is>
      </c>
      <c r="M537" s="35">
        <v>765000</v>
      </c>
      <c r="N537" s="32" t="inlineStr">
        <is>
          <t xml:space="preserve">Personal</t>
        </is>
      </c>
      <c r="O537" s="30" t="inlineStr">
        <is>
          <t xml:space="preserve">Personal - regular use</t>
        </is>
      </c>
      <c r="P537" s="30" t="inlineStr">
        <is>
          <t xml:space="preserve">1,000 - 2,500</t>
        </is>
      </c>
      <c r="Q537" s="30" t="inlineStr">
        <is>
          <t xml:space="preserve">Oregon</t>
        </is>
      </c>
      <c r="R537" s="30" t="inlineStr">
        <is>
          <t xml:space="preserve">97204</t>
        </is>
      </c>
      <c r="S537" s="32" t="inlineStr">
        <is>
          <t xml:space="preserve">Earthquake - high (CA, Cascadia, New Madrid)</t>
        </is>
      </c>
      <c r="T537" s="36">
        <f>IF($A537="","",IF($S537="","",IFERROR(INDEX('[1]natural catastrophe'!$D$6:$D$17,MATCH($S537,'[1]natural catastrophe'!$B$6:$B$17,0)),"?")))</f>
      </c>
      <c r="U537" s="30" t="inlineStr">
        <is>
          <t xml:space="preserve">$5,000</t>
        </is>
      </c>
      <c r="V537" s="32" t="inlineStr">
        <is>
          <t xml:space="preserve">Agreed Value</t>
        </is>
      </c>
      <c r="W537" s="30" t="inlineStr">
        <is>
          <t xml:space="preserve">$1,000</t>
        </is>
      </c>
      <c r="X537" s="32" t="inlineStr">
        <is>
          <t xml:space="preserve">$1,000,000 CSL</t>
        </is>
      </c>
      <c r="Y537" s="30"/>
      <c r="Z537" s="30"/>
      <c r="AA537" s="32" t="inlineStr">
        <is>
          <t xml:space="preserve">Surplus Lines</t>
        </is>
      </c>
      <c r="AB537" s="35">
        <v>4740.18</v>
      </c>
      <c r="AC537" s="37">
        <v>0</v>
      </c>
      <c r="AD537" s="38">
        <f>IF(ISNUMBER($AB537),$AB537*(1+N($AC537)),"")</f>
      </c>
      <c r="AE537" s="35">
        <v>350</v>
      </c>
      <c r="AF537" s="35">
        <v>0</v>
      </c>
      <c r="AG537" s="37"/>
      <c r="AH537" s="39">
        <f>IF(ISNUMBER($AD537),($AD537+$AE537+$AF537)*$AG537,"")</f>
      </c>
      <c r="AI537" s="35"/>
      <c r="AJ537" s="38">
        <f>IF(ISNUMBER($AD537),SUM($AD537:$AH537),"")</f>
      </c>
      <c r="AK537" s="40">
        <f>IF(AND(ISNUMBER($AB537),ISNUMBER($AD537)),IF($AB537&gt;0,$AD537/$AB537,""),"")</f>
      </c>
      <c r="AL537" s="32" t="inlineStr">
        <is>
          <t xml:space="preserve">At technical</t>
        </is>
      </c>
      <c r="AM537" s="41">
        <f>IF(ISNUMBER($AD537),Header!$I$3,"")</f>
      </c>
      <c r="AN537" s="39">
        <f>IF(ISNUMBER($AD537),$AO537+$AP537,"")</f>
      </c>
      <c r="AO537" s="39">
        <f>IF(ISNUMBER($AD537),ROUND($AD537*Header!$K$3,2),"")</f>
      </c>
      <c r="AP537" s="39">
        <f>IF(ISNUMBER($AD537),ROUND($AD537*Header!$M$3,2),"")</f>
      </c>
      <c r="AQ537" s="38">
        <f>IF(ISNUMBER($AD537),ROUND($AD537,2)-$AO537-$AP537,"")</f>
      </c>
      <c r="AR537" s="39">
        <f>IF(ISNUMBER($AD537),IF(Header!$D$34="","?",$AD537*Header!$D$34),"")</f>
      </c>
      <c r="AS537" s="39">
        <f>IF(ISNUMBER($AB537),IF(Header!$D$34="","?",$AB537*Header!$D$34),"")</f>
      </c>
      <c r="AT537" s="42">
        <f>IF(AND(ISNUMBER($AB537),$M537&gt;0),$AB537/$M537*100,"")</f>
      </c>
      <c r="AU537" s="42">
        <f>IF(AND(ISNUMBER($AD537),$M537&gt;0),$AD537/$M537*100,"")</f>
      </c>
      <c r="AV537" s="40">
        <f>IF(AND(ISNUMBER($AB537),ISNUMBER($AD537),ABS($AB537)&gt;0),$AD537/$AB537,"")</f>
      </c>
      <c r="AW537" s="39">
        <f>IF(ISNUMBER($AD537),MAX(0,(1-0.55-Header!$O$3)*Header!$Q$3*$AQ537),"")</f>
      </c>
      <c r="AX537" s="43">
        <f>IF($A537="","",IF(TRIM(IF($A537="","Missing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",""))="","PASS","FAIL: "&amp;TRIM(IF($A537="","Missing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f>
      </c>
      <c r="AY537" s="44">
        <f>IF($M537="","",IF(ISNUMBER($M537),IF($M537&gt;=Header!$C$18,"YES — refer","No"),""))</f>
      </c>
      <c r="AZ537" s="44">
        <f>IF($AD537="","",IF(ISNUMBER($AD537),IF($AD537&lt;Header!$C$20,"BELOW MIN PREMIUM","OK"),""))</f>
      </c>
      <c r="BA537" s="32" t="inlineStr">
        <is>
          <t xml:space="preserve">Yes</t>
        </is>
      </c>
      <c r="BB537" s="32" t="inlineStr">
        <is>
          <t xml:space="preserve">Yes</t>
        </is>
      </c>
      <c r="BC537" s="30" t="inlineStr">
        <is>
          <t xml:space="preserve">Synthetic demo data</t>
        </is>
      </c>
      <c r="BE537" s="45">
        <f>IF(OR($A537="",$L537="",$H537=""),"",IF(AND(LEFT($L537,2)="06",$H537&gt;1945),"FAIL - pre-war class, year "&amp;$H537,IF(AND(LEFT($L537,2)="07",OR($H537&lt;1946,$H537&gt;1972)),"FAIL - 1946-72 class, year "&amp;$H537,IF(AND(LEFT($L537,2)="08",OR($H537&lt;1973,$H537&gt;1999)),"FAIL - 1973-99 class, year "&amp;$H537,IF(AND(LEFT($L537,2)="09",OR($H537&lt;2000,$H537&gt;2010)),"FAIL - 2000-10 class, year "&amp;$H537,"OK")))))</f>
      </c>
      <c r="BF537" s="45">
        <f>IF($AD537="","",IF(ROUND($AO537+$AP537+$AQ537-$AD537,2)=0,"OK","FAIL - out by "&amp;TEXT($AO537+$AP537+$AQ537-$AD537,"$0.00")))</f>
      </c>
    </row>
    <row r="538" spans="1:58" ht="18.75" customHeight="1" x14ac:dyDescent="0.25">
      <c r="A538" s="46" t="inlineStr">
        <is>
          <t xml:space="preserve">CANON-202606-009139</t>
        </is>
      </c>
      <c r="B538" s="46" t="inlineStr">
        <is>
          <t xml:space="preserve">Thaddeus Pennington</t>
        </is>
      </c>
      <c r="C538" s="47">
        <v>46197</v>
      </c>
      <c r="D538" s="48" t="inlineStr">
        <is>
          <t xml:space="preserve">Bound - within authority</t>
        </is>
      </c>
      <c r="E538" s="48" t="inlineStr">
        <is>
          <t xml:space="preserve">New business</t>
        </is>
      </c>
      <c r="F538" s="46" t="inlineStr">
        <is>
          <t xml:space="preserve">B1234EXOTIC26</t>
        </is>
      </c>
      <c r="G538" s="33">
        <f>IF($A538="","",IF($C538="","",YEAR($C538)))</f>
      </c>
      <c r="H538" s="49">
        <v>1978</v>
      </c>
      <c r="I538" s="46" t="inlineStr">
        <is>
          <t xml:space="preserve">Bentley</t>
        </is>
      </c>
      <c r="J538" s="46" t="inlineStr">
        <is>
          <t xml:space="preserve">Continental GT</t>
        </is>
      </c>
      <c r="K538" s="46" t="inlineStr">
        <is>
          <t xml:space="preserve">SKV82SDWV2K7TXTDX</t>
        </is>
      </c>
      <c r="L538" s="48" t="inlineStr">
        <is>
          <t xml:space="preserve">02 - Sports / GT</t>
        </is>
      </c>
      <c r="M538" s="50">
        <v>465000</v>
      </c>
      <c r="N538" s="48" t="inlineStr">
        <is>
          <t xml:space="preserve">Personal</t>
        </is>
      </c>
      <c r="O538" s="46" t="inlineStr">
        <is>
          <t xml:space="preserve">Personal - regular use</t>
        </is>
      </c>
      <c r="P538" s="46" t="inlineStr">
        <is>
          <t xml:space="preserve">1,000 - 2,500</t>
        </is>
      </c>
      <c r="Q538" s="46" t="inlineStr">
        <is>
          <t xml:space="preserve">Alaska</t>
        </is>
      </c>
      <c r="R538" s="46" t="inlineStr">
        <is>
          <t xml:space="preserve">99501</t>
        </is>
      </c>
      <c r="S538" s="48" t="inlineStr">
        <is>
          <t xml:space="preserve">Earthquake - high (CA, Cascadia, New Madrid)</t>
        </is>
      </c>
      <c r="T538" s="36">
        <f>IF($A538="","",IF($S538="","",IFERROR(INDEX('[1]natural catastrophe'!$D$6:$D$17,MATCH($S538,'[1]natural catastrophe'!$B$6:$B$17,0)),"?")))</f>
      </c>
      <c r="U538" s="46" t="inlineStr">
        <is>
          <t xml:space="preserve">$5,000</t>
        </is>
      </c>
      <c r="V538" s="48" t="inlineStr">
        <is>
          <t xml:space="preserve">Agreed Value</t>
        </is>
      </c>
      <c r="W538" s="46" t="inlineStr">
        <is>
          <t xml:space="preserve">$1,000</t>
        </is>
      </c>
      <c r="X538" s="48" t="inlineStr">
        <is>
          <t xml:space="preserve">$1,000,000 CSL</t>
        </is>
      </c>
      <c r="Y538" s="46"/>
      <c r="Z538" s="46"/>
      <c r="AA538" s="48" t="inlineStr">
        <is>
          <t xml:space="preserve">Surplus Lines</t>
        </is>
      </c>
      <c r="AB538" s="50">
        <v>5737.09</v>
      </c>
      <c r="AC538" s="51">
        <v>0</v>
      </c>
      <c r="AD538" s="38">
        <f>IF(ISNUMBER($AB538),$AB538*(1+N($AC538)),"")</f>
      </c>
      <c r="AE538" s="50">
        <v>350</v>
      </c>
      <c r="AF538" s="50">
        <v>0</v>
      </c>
      <c r="AG538" s="51"/>
      <c r="AH538" s="39">
        <f>IF(ISNUMBER($AD538),($AD538+$AE538+$AF538)*$AG538,"")</f>
      </c>
      <c r="AI538" s="50"/>
      <c r="AJ538" s="38">
        <f>IF(ISNUMBER($AD538),SUM($AD538:$AH538),"")</f>
      </c>
      <c r="AK538" s="40">
        <f>IF(AND(ISNUMBER($AB538),ISNUMBER($AD538)),IF($AB538&gt;0,$AD538/$AB538,""),"")</f>
      </c>
      <c r="AL538" s="48" t="inlineStr">
        <is>
          <t xml:space="preserve">At technical</t>
        </is>
      </c>
      <c r="AM538" s="41">
        <f>IF(ISNUMBER($AD538),Header!$I$3,"")</f>
      </c>
      <c r="AN538" s="39">
        <f>IF(ISNUMBER($AD538),$AO538+$AP538,"")</f>
      </c>
      <c r="AO538" s="39">
        <f>IF(ISNUMBER($AD538),ROUND($AD538*Header!$K$3,2),"")</f>
      </c>
      <c r="AP538" s="39">
        <f>IF(ISNUMBER($AD538),ROUND($AD538*Header!$M$3,2),"")</f>
      </c>
      <c r="AQ538" s="38">
        <f>IF(ISNUMBER($AD538),ROUND($AD538,2)-$AO538-$AP538,"")</f>
      </c>
      <c r="AR538" s="39">
        <f>IF(ISNUMBER($AD538),IF(Header!$D$34="","?",$AD538*Header!$D$34),"")</f>
      </c>
      <c r="AS538" s="39">
        <f>IF(ISNUMBER($AB538),IF(Header!$D$34="","?",$AB538*Header!$D$34),"")</f>
      </c>
      <c r="AT538" s="42">
        <f>IF(AND(ISNUMBER($AB538),$M538&gt;0),$AB538/$M538*100,"")</f>
      </c>
      <c r="AU538" s="42">
        <f>IF(AND(ISNUMBER($AD538),$M538&gt;0),$AD538/$M538*100,"")</f>
      </c>
      <c r="AV538" s="40">
        <f>IF(AND(ISNUMBER($AB538),ISNUMBER($AD538),ABS($AB538)&gt;0),$AD538/$AB538,"")</f>
      </c>
      <c r="AW538" s="39">
        <f>IF(ISNUMBER($AD538),MAX(0,(1-0.55-Header!$O$3)*Header!$Q$3*$AQ538),"")</f>
      </c>
      <c r="AX538" s="43">
        <f>IF($A538="","",IF(TRIM(IF($A538="","Missing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",""))="","PASS","FAIL: "&amp;TRIM(IF($A538="","Missing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f>
      </c>
      <c r="AY538" s="44">
        <f>IF($M538="","",IF(ISNUMBER($M538),IF($M538&gt;=Header!$C$18,"YES — refer","No"),""))</f>
      </c>
      <c r="AZ538" s="44">
        <f>IF($AD538="","",IF(ISNUMBER($AD538),IF($AD538&lt;Header!$C$20,"BELOW MIN PREMIUM","OK"),""))</f>
      </c>
      <c r="BA538" s="48" t="inlineStr">
        <is>
          <t xml:space="preserve">Yes</t>
        </is>
      </c>
      <c r="BB538" s="48" t="inlineStr">
        <is>
          <t xml:space="preserve">Yes</t>
        </is>
      </c>
      <c r="BC538" s="46" t="inlineStr">
        <is>
          <t xml:space="preserve">Synthetic demo data</t>
        </is>
      </c>
      <c r="BE538" s="45">
        <f>IF(OR($A538="",$L538="",$H538=""),"",IF(AND(LEFT($L538,2)="06",$H538&gt;1945),"FAIL - pre-war class, year "&amp;$H538,IF(AND(LEFT($L538,2)="07",OR($H538&lt;1946,$H538&gt;1972)),"FAIL - 1946-72 class, year "&amp;$H538,IF(AND(LEFT($L538,2)="08",OR($H538&lt;1973,$H538&gt;1999)),"FAIL - 1973-99 class, year "&amp;$H538,IF(AND(LEFT($L538,2)="09",OR($H538&lt;2000,$H538&gt;2010)),"FAIL - 2000-10 class, year "&amp;$H538,"OK")))))</f>
      </c>
      <c r="BF538" s="45">
        <f>IF($AD538="","",IF(ROUND($AO538+$AP538+$AQ538-$AD538,2)=0,"OK","FAIL - out by "&amp;TEXT($AO538+$AP538+$AQ538-$AD538,"$0.00")))</f>
      </c>
    </row>
    <row r="539" spans="1:58" ht="18.75" customHeight="1" x14ac:dyDescent="0.25">
      <c r="A539" s="30" t="inlineStr">
        <is>
          <t xml:space="preserve">CANON-202606-009140</t>
        </is>
      </c>
      <c r="B539" s="30" t="inlineStr">
        <is>
          <t xml:space="preserve">Ottilie Nakashima</t>
        </is>
      </c>
      <c r="C539" s="31">
        <v>46182</v>
      </c>
      <c r="D539" s="32" t="inlineStr">
        <is>
          <t xml:space="preserve">Bound - within authority</t>
        </is>
      </c>
      <c r="E539" s="32" t="inlineStr">
        <is>
          <t xml:space="preserve">New business</t>
        </is>
      </c>
      <c r="F539" s="30" t="inlineStr">
        <is>
          <t xml:space="preserve">B1234EXOTIC26</t>
        </is>
      </c>
      <c r="G539" s="33">
        <f>IF($A539="","",IF($C539="","",YEAR($C539)))</f>
      </c>
      <c r="H539" s="34">
        <v>2023</v>
      </c>
      <c r="I539" s="30" t="inlineStr">
        <is>
          <t xml:space="preserve">Aston Martin</t>
        </is>
      </c>
      <c r="J539" s="30" t="inlineStr">
        <is>
          <t xml:space="preserve">DB12</t>
        </is>
      </c>
      <c r="K539" s="30" t="inlineStr">
        <is>
          <t xml:space="preserve">846KPRBAS1CK0SPCK</t>
        </is>
      </c>
      <c r="L539" s="32" t="inlineStr">
        <is>
          <t xml:space="preserve">02 - Sports / GT</t>
        </is>
      </c>
      <c r="M539" s="35">
        <v>420000</v>
      </c>
      <c r="N539" s="32" t="inlineStr">
        <is>
          <t xml:space="preserve">Personal</t>
        </is>
      </c>
      <c r="O539" s="30" t="inlineStr">
        <is>
          <t xml:space="preserve">Personal - regular use</t>
        </is>
      </c>
      <c r="P539" s="30" t="inlineStr">
        <is>
          <t xml:space="preserve">2,500 - 5,000</t>
        </is>
      </c>
      <c r="Q539" s="30" t="inlineStr">
        <is>
          <t xml:space="preserve">Michigan</t>
        </is>
      </c>
      <c r="R539" s="30" t="inlineStr">
        <is>
          <t xml:space="preserve">48226</t>
        </is>
      </c>
      <c r="S539" s="32" t="inlineStr">
        <is>
          <t xml:space="preserve">Severe convective - hail / tornado (moderate)</t>
        </is>
      </c>
      <c r="T539" s="36">
        <f>IF($A539="","",IF($S539="","",IFERROR(INDEX('[1]natural catastrophe'!$D$6:$D$17,MATCH($S539,'[1]natural catastrophe'!$B$6:$B$17,0)),"?")))</f>
      </c>
      <c r="U539" s="30" t="inlineStr">
        <is>
          <t xml:space="preserve">$5,000</t>
        </is>
      </c>
      <c r="V539" s="32" t="inlineStr">
        <is>
          <t xml:space="preserve">Agreed Value</t>
        </is>
      </c>
      <c r="W539" s="30" t="inlineStr">
        <is>
          <t xml:space="preserve">$1,000</t>
        </is>
      </c>
      <c r="X539" s="32" t="inlineStr">
        <is>
          <t xml:space="preserve">$1,000,000 CSL</t>
        </is>
      </c>
      <c r="Y539" s="30"/>
      <c r="Z539" s="30"/>
      <c r="AA539" s="32" t="inlineStr">
        <is>
          <t xml:space="preserve">Surplus Lines</t>
        </is>
      </c>
      <c r="AB539" s="35">
        <v>7045.54</v>
      </c>
      <c r="AC539" s="37">
        <v>0</v>
      </c>
      <c r="AD539" s="38">
        <f>IF(ISNUMBER($AB539),$AB539*(1+N($AC539)),"")</f>
      </c>
      <c r="AE539" s="35">
        <v>350</v>
      </c>
      <c r="AF539" s="35">
        <v>0</v>
      </c>
      <c r="AG539" s="37"/>
      <c r="AH539" s="39">
        <f>IF(ISNUMBER($AD539),($AD539+$AE539+$AF539)*$AG539,"")</f>
      </c>
      <c r="AI539" s="35"/>
      <c r="AJ539" s="38">
        <f>IF(ISNUMBER($AD539),SUM($AD539:$AH539),"")</f>
      </c>
      <c r="AK539" s="40">
        <f>IF(AND(ISNUMBER($AB539),ISNUMBER($AD539)),IF($AB539&gt;0,$AD539/$AB539,""),"")</f>
      </c>
      <c r="AL539" s="32" t="inlineStr">
        <is>
          <t xml:space="preserve">At technical</t>
        </is>
      </c>
      <c r="AM539" s="41">
        <f>IF(ISNUMBER($AD539),Header!$I$3,"")</f>
      </c>
      <c r="AN539" s="39">
        <f>IF(ISNUMBER($AD539),$AO539+$AP539,"")</f>
      </c>
      <c r="AO539" s="39">
        <f>IF(ISNUMBER($AD539),ROUND($AD539*Header!$K$3,2),"")</f>
      </c>
      <c r="AP539" s="39">
        <f>IF(ISNUMBER($AD539),ROUND($AD539*Header!$M$3,2),"")</f>
      </c>
      <c r="AQ539" s="38">
        <f>IF(ISNUMBER($AD539),ROUND($AD539,2)-$AO539-$AP539,"")</f>
      </c>
      <c r="AR539" s="39">
        <f>IF(ISNUMBER($AD539),IF(Header!$D$34="","?",$AD539*Header!$D$34),"")</f>
      </c>
      <c r="AS539" s="39">
        <f>IF(ISNUMBER($AB539),IF(Header!$D$34="","?",$AB539*Header!$D$34),"")</f>
      </c>
      <c r="AT539" s="42">
        <f>IF(AND(ISNUMBER($AB539),$M539&gt;0),$AB539/$M539*100,"")</f>
      </c>
      <c r="AU539" s="42">
        <f>IF(AND(ISNUMBER($AD539),$M539&gt;0),$AD539/$M539*100,"")</f>
      </c>
      <c r="AV539" s="40">
        <f>IF(AND(ISNUMBER($AB539),ISNUMBER($AD539),ABS($AB539)&gt;0),$AD539/$AB539,"")</f>
      </c>
      <c r="AW539" s="39">
        <f>IF(ISNUMBER($AD539),MAX(0,(1-0.55-Header!$O$3)*Header!$Q$3*$AQ539),"")</f>
      </c>
      <c r="AX539" s="43">
        <f>IF($A539="","",IF(TRIM(IF($A539="","Missing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",""))="","PASS","FAIL: "&amp;TRIM(IF($A539="","Missing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f>
      </c>
      <c r="AY539" s="44">
        <f>IF($M539="","",IF(ISNUMBER($M539),IF($M539&gt;=Header!$C$18,"YES — refer","No"),""))</f>
      </c>
      <c r="AZ539" s="44">
        <f>IF($AD539="","",IF(ISNUMBER($AD539),IF($AD539&lt;Header!$C$20,"BELOW MIN PREMIUM","OK"),""))</f>
      </c>
      <c r="BA539" s="32" t="inlineStr">
        <is>
          <t xml:space="preserve">Yes</t>
        </is>
      </c>
      <c r="BB539" s="32" t="inlineStr">
        <is>
          <t xml:space="preserve">Yes</t>
        </is>
      </c>
      <c r="BC539" s="30" t="inlineStr">
        <is>
          <t xml:space="preserve">Synthetic demo data</t>
        </is>
      </c>
      <c r="BE539" s="45">
        <f>IF(OR($A539="",$L539="",$H539=""),"",IF(AND(LEFT($L539,2)="06",$H539&gt;1945),"FAIL - pre-war class, year "&amp;$H539,IF(AND(LEFT($L539,2)="07",OR($H539&lt;1946,$H539&gt;1972)),"FAIL - 1946-72 class, year "&amp;$H539,IF(AND(LEFT($L539,2)="08",OR($H539&lt;1973,$H539&gt;1999)),"FAIL - 1973-99 class, year "&amp;$H539,IF(AND(LEFT($L539,2)="09",OR($H539&lt;2000,$H539&gt;2010)),"FAIL - 2000-10 class, year "&amp;$H539,"OK")))))</f>
      </c>
      <c r="BF539" s="45">
        <f>IF($AD539="","",IF(ROUND($AO539+$AP539+$AQ539-$AD539,2)=0,"OK","FAIL - out by "&amp;TEXT($AO539+$AP539+$AQ539-$AD539,"$0.00")))</f>
      </c>
    </row>
    <row r="540" spans="1:58" ht="18.75" customHeight="1" x14ac:dyDescent="0.25">
      <c r="A540" s="46" t="inlineStr">
        <is>
          <t xml:space="preserve">CANON-202606-009141</t>
        </is>
      </c>
      <c r="B540" s="46" t="inlineStr">
        <is>
          <t xml:space="preserve">Fenwick Farkas</t>
        </is>
      </c>
      <c r="C540" s="47">
        <v>46191</v>
      </c>
      <c r="D540" s="48" t="inlineStr">
        <is>
          <t xml:space="preserve">Bound - within authority</t>
        </is>
      </c>
      <c r="E540" s="48" t="inlineStr">
        <is>
          <t xml:space="preserve">New business</t>
        </is>
      </c>
      <c r="F540" s="46" t="inlineStr">
        <is>
          <t xml:space="preserve">B1234EXOTIC26</t>
        </is>
      </c>
      <c r="G540" s="33">
        <f>IF($A540="","",IF($C540="","",YEAR($C540)))</f>
      </c>
      <c r="H540" s="49">
        <v>1967</v>
      </c>
      <c r="I540" s="46" t="inlineStr">
        <is>
          <t xml:space="preserve">Mercedes-Benz</t>
        </is>
      </c>
      <c r="J540" s="46" t="inlineStr">
        <is>
          <t xml:space="preserve">AMG GT</t>
        </is>
      </c>
      <c r="K540" s="46" t="inlineStr">
        <is>
          <t xml:space="preserve">0D32Z0MAZ0HLDHJHK</t>
        </is>
      </c>
      <c r="L540" s="48" t="inlineStr">
        <is>
          <t xml:space="preserve">02 - Sports / GT</t>
        </is>
      </c>
      <c r="M540" s="50">
        <v>275000</v>
      </c>
      <c r="N540" s="48" t="inlineStr">
        <is>
          <t xml:space="preserve">Personal</t>
        </is>
      </c>
      <c r="O540" s="46" t="inlineStr">
        <is>
          <t xml:space="preserve">Personal - regular use</t>
        </is>
      </c>
      <c r="P540" s="46" t="inlineStr">
        <is>
          <t xml:space="preserve">Under 1,000</t>
        </is>
      </c>
      <c r="Q540" s="46" t="inlineStr">
        <is>
          <t xml:space="preserve">South Carolina</t>
        </is>
      </c>
      <c r="R540" s="46" t="inlineStr">
        <is>
          <t xml:space="preserve">29401</t>
        </is>
      </c>
      <c r="S540" s="48" t="inlineStr">
        <is>
          <t xml:space="preserve">Tier 2 - Coastal wind (1-25 miles)</t>
        </is>
      </c>
      <c r="T540" s="36">
        <f>IF($A540="","",IF($S540="","",IFERROR(INDEX('[1]natural catastrophe'!$D$6:$D$17,MATCH($S540,'[1]natural catastrophe'!$B$6:$B$17,0)),"?")))</f>
      </c>
      <c r="U540" s="46" t="inlineStr">
        <is>
          <t xml:space="preserve">2% of agreed value, minimum $10,000</t>
        </is>
      </c>
      <c r="V540" s="48" t="inlineStr">
        <is>
          <t xml:space="preserve">Agreed Value</t>
        </is>
      </c>
      <c r="W540" s="46" t="inlineStr">
        <is>
          <t xml:space="preserve">$1,000</t>
        </is>
      </c>
      <c r="X540" s="48" t="inlineStr">
        <is>
          <t xml:space="preserve">$1,000,000 CSL</t>
        </is>
      </c>
      <c r="Y540" s="46"/>
      <c r="Z540" s="46"/>
      <c r="AA540" s="48" t="inlineStr">
        <is>
          <t xml:space="preserve">Surplus Lines</t>
        </is>
      </c>
      <c r="AB540" s="50">
        <v>3690.52</v>
      </c>
      <c r="AC540" s="51">
        <v>0</v>
      </c>
      <c r="AD540" s="38">
        <f>IF(ISNUMBER($AB540),$AB540*(1+N($AC540)),"")</f>
      </c>
      <c r="AE540" s="50">
        <v>350</v>
      </c>
      <c r="AF540" s="50">
        <v>0</v>
      </c>
      <c r="AG540" s="51"/>
      <c r="AH540" s="39">
        <f>IF(ISNUMBER($AD540),($AD540+$AE540+$AF540)*$AG540,"")</f>
      </c>
      <c r="AI540" s="50"/>
      <c r="AJ540" s="38">
        <f>IF(ISNUMBER($AD540),SUM($AD540:$AH540),"")</f>
      </c>
      <c r="AK540" s="40">
        <f>IF(AND(ISNUMBER($AB540),ISNUMBER($AD540)),IF($AB540&gt;0,$AD540/$AB540,""),"")</f>
      </c>
      <c r="AL540" s="48" t="inlineStr">
        <is>
          <t xml:space="preserve">At technical</t>
        </is>
      </c>
      <c r="AM540" s="41">
        <f>IF(ISNUMBER($AD540),Header!$I$3,"")</f>
      </c>
      <c r="AN540" s="39">
        <f>IF(ISNUMBER($AD540),$AO540+$AP540,"")</f>
      </c>
      <c r="AO540" s="39">
        <f>IF(ISNUMBER($AD540),ROUND($AD540*Header!$K$3,2),"")</f>
      </c>
      <c r="AP540" s="39">
        <f>IF(ISNUMBER($AD540),ROUND($AD540*Header!$M$3,2),"")</f>
      </c>
      <c r="AQ540" s="38">
        <f>IF(ISNUMBER($AD540),ROUND($AD540,2)-$AO540-$AP540,"")</f>
      </c>
      <c r="AR540" s="39">
        <f>IF(ISNUMBER($AD540),IF(Header!$D$34="","?",$AD540*Header!$D$34),"")</f>
      </c>
      <c r="AS540" s="39">
        <f>IF(ISNUMBER($AB540),IF(Header!$D$34="","?",$AB540*Header!$D$34),"")</f>
      </c>
      <c r="AT540" s="42">
        <f>IF(AND(ISNUMBER($AB540),$M540&gt;0),$AB540/$M540*100,"")</f>
      </c>
      <c r="AU540" s="42">
        <f>IF(AND(ISNUMBER($AD540),$M540&gt;0),$AD540/$M540*100,"")</f>
      </c>
      <c r="AV540" s="40">
        <f>IF(AND(ISNUMBER($AB540),ISNUMBER($AD540),ABS($AB540)&gt;0),$AD540/$AB540,"")</f>
      </c>
      <c r="AW540" s="39">
        <f>IF(ISNUMBER($AD540),MAX(0,(1-0.55-Header!$O$3)*Header!$Q$3*$AQ540),"")</f>
      </c>
      <c r="AX540" s="43">
        <f>IF($A540="","",IF(TRIM(IF($A540="","Missing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",""))="","PASS","FAIL: "&amp;TRIM(IF($A540="","Missing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f>
      </c>
      <c r="AY540" s="44">
        <f>IF($M540="","",IF(ISNUMBER($M540),IF($M540&gt;=Header!$C$18,"YES — refer","No"),""))</f>
      </c>
      <c r="AZ540" s="44">
        <f>IF($AD540="","",IF(ISNUMBER($AD540),IF($AD540&lt;Header!$C$20,"BELOW MIN PREMIUM","OK"),""))</f>
      </c>
      <c r="BA540" s="48" t="inlineStr">
        <is>
          <t xml:space="preserve">Yes</t>
        </is>
      </c>
      <c r="BB540" s="48" t="inlineStr">
        <is>
          <t xml:space="preserve">Yes</t>
        </is>
      </c>
      <c r="BC540" s="46" t="inlineStr">
        <is>
          <t xml:space="preserve">Synthetic demo data</t>
        </is>
      </c>
      <c r="BE540" s="45">
        <f>IF(OR($A540="",$L540="",$H540=""),"",IF(AND(LEFT($L540,2)="06",$H540&gt;1945),"FAIL - pre-war class, year "&amp;$H540,IF(AND(LEFT($L540,2)="07",OR($H540&lt;1946,$H540&gt;1972)),"FAIL - 1946-72 class, year "&amp;$H540,IF(AND(LEFT($L540,2)="08",OR($H540&lt;1973,$H540&gt;1999)),"FAIL - 1973-99 class, year "&amp;$H540,IF(AND(LEFT($L540,2)="09",OR($H540&lt;2000,$H540&gt;2010)),"FAIL - 2000-10 class, year "&amp;$H540,"OK")))))</f>
      </c>
      <c r="BF540" s="45">
        <f>IF($AD540="","",IF(ROUND($AO540+$AP540+$AQ540-$AD540,2)=0,"OK","FAIL - out by "&amp;TEXT($AO540+$AP540+$AQ540-$AD540,"$0.00")))</f>
      </c>
    </row>
    <row r="541" spans="1:58" ht="18.75" customHeight="1" x14ac:dyDescent="0.25">
      <c r="A541" s="30" t="inlineStr">
        <is>
          <t xml:space="preserve">CANON-202606-009143</t>
        </is>
      </c>
      <c r="B541" s="30" t="inlineStr">
        <is>
          <t xml:space="preserve">Delphine Harrington</t>
        </is>
      </c>
      <c r="C541" s="31">
        <v>46203</v>
      </c>
      <c r="D541" s="32" t="inlineStr">
        <is>
          <t xml:space="preserve">Bound - within authority</t>
        </is>
      </c>
      <c r="E541" s="32" t="inlineStr">
        <is>
          <t xml:space="preserve">New business</t>
        </is>
      </c>
      <c r="F541" s="30" t="inlineStr">
        <is>
          <t xml:space="preserve">B1234EXOTIC26</t>
        </is>
      </c>
      <c r="G541" s="33">
        <f>IF($A541="","",IF($C541="","",YEAR($C541)))</f>
      </c>
      <c r="H541" s="34">
        <v>2012</v>
      </c>
      <c r="I541" s="30" t="inlineStr">
        <is>
          <t xml:space="preserve">Maserati</t>
        </is>
      </c>
      <c r="J541" s="30" t="inlineStr">
        <is>
          <t xml:space="preserve">GranTurismo</t>
        </is>
      </c>
      <c r="K541" s="30" t="inlineStr">
        <is>
          <t xml:space="preserve">K056MW8DVR86VXXVZ</t>
        </is>
      </c>
      <c r="L541" s="32" t="inlineStr">
        <is>
          <t xml:space="preserve">02 - Sports / GT</t>
        </is>
      </c>
      <c r="M541" s="35">
        <v>800000</v>
      </c>
      <c r="N541" s="32" t="inlineStr">
        <is>
          <t xml:space="preserve">Personal</t>
        </is>
      </c>
      <c r="O541" s="30" t="inlineStr">
        <is>
          <t xml:space="preserve">Personal - regular use</t>
        </is>
      </c>
      <c r="P541" s="30" t="inlineStr">
        <is>
          <t xml:space="preserve">2,500 - 5,000</t>
        </is>
      </c>
      <c r="Q541" s="30" t="inlineStr">
        <is>
          <t xml:space="preserve">Connecticut</t>
        </is>
      </c>
      <c r="R541" s="30" t="inlineStr">
        <is>
          <t xml:space="preserve">06103</t>
        </is>
      </c>
      <c r="S541" s="32" t="inlineStr">
        <is>
          <t xml:space="preserve">Tier 3 - Coastal wind (25-100 miles)</t>
        </is>
      </c>
      <c r="T541" s="36">
        <f>IF($A541="","",IF($S541="","",IFERROR(INDEX('[1]natural catastrophe'!$D$6:$D$17,MATCH($S541,'[1]natural catastrophe'!$B$6:$B$17,0)),"?")))</f>
      </c>
      <c r="U541" s="30" t="inlineStr">
        <is>
          <t xml:space="preserve">2% of agreed value, minimum $10,000</t>
        </is>
      </c>
      <c r="V541" s="32" t="inlineStr">
        <is>
          <t xml:space="preserve">Agreed Value</t>
        </is>
      </c>
      <c r="W541" s="30" t="inlineStr">
        <is>
          <t xml:space="preserve">$1,000</t>
        </is>
      </c>
      <c r="X541" s="32" t="inlineStr">
        <is>
          <t xml:space="preserve">$1,000,000 CSL</t>
        </is>
      </c>
      <c r="Y541" s="30"/>
      <c r="Z541" s="30"/>
      <c r="AA541" s="32" t="inlineStr">
        <is>
          <t xml:space="preserve">Surplus Lines</t>
        </is>
      </c>
      <c r="AB541" s="35">
        <v>8404.14</v>
      </c>
      <c r="AC541" s="37">
        <v>0</v>
      </c>
      <c r="AD541" s="38">
        <f>IF(ISNUMBER($AB541),$AB541*(1+N($AC541)),"")</f>
      </c>
      <c r="AE541" s="35">
        <v>350</v>
      </c>
      <c r="AF541" s="35">
        <v>0</v>
      </c>
      <c r="AG541" s="37"/>
      <c r="AH541" s="39">
        <f>IF(ISNUMBER($AD541),($AD541+$AE541+$AF541)*$AG541,"")</f>
      </c>
      <c r="AI541" s="35"/>
      <c r="AJ541" s="38">
        <f>IF(ISNUMBER($AD541),SUM($AD541:$AH541),"")</f>
      </c>
      <c r="AK541" s="40">
        <f>IF(AND(ISNUMBER($AB541),ISNUMBER($AD541)),IF($AB541&gt;0,$AD541/$AB541,""),"")</f>
      </c>
      <c r="AL541" s="32" t="inlineStr">
        <is>
          <t xml:space="preserve">At technical</t>
        </is>
      </c>
      <c r="AM541" s="41">
        <f>IF(ISNUMBER($AD541),Header!$I$3,"")</f>
      </c>
      <c r="AN541" s="39">
        <f>IF(ISNUMBER($AD541),$AO541+$AP541,"")</f>
      </c>
      <c r="AO541" s="39">
        <f>IF(ISNUMBER($AD541),ROUND($AD541*Header!$K$3,2),"")</f>
      </c>
      <c r="AP541" s="39">
        <f>IF(ISNUMBER($AD541),ROUND($AD541*Header!$M$3,2),"")</f>
      </c>
      <c r="AQ541" s="38">
        <f>IF(ISNUMBER($AD541),ROUND($AD541,2)-$AO541-$AP541,"")</f>
      </c>
      <c r="AR541" s="39">
        <f>IF(ISNUMBER($AD541),IF(Header!$D$34="","?",$AD541*Header!$D$34),"")</f>
      </c>
      <c r="AS541" s="39">
        <f>IF(ISNUMBER($AB541),IF(Header!$D$34="","?",$AB541*Header!$D$34),"")</f>
      </c>
      <c r="AT541" s="42">
        <f>IF(AND(ISNUMBER($AB541),$M541&gt;0),$AB541/$M541*100,"")</f>
      </c>
      <c r="AU541" s="42">
        <f>IF(AND(ISNUMBER($AD541),$M541&gt;0),$AD541/$M541*100,"")</f>
      </c>
      <c r="AV541" s="40">
        <f>IF(AND(ISNUMBER($AB541),ISNUMBER($AD541),ABS($AB541)&gt;0),$AD541/$AB541,"")</f>
      </c>
      <c r="AW541" s="39">
        <f>IF(ISNUMBER($AD541),MAX(0,(1-0.55-Header!$O$3)*Header!$Q$3*$AQ541),"")</f>
      </c>
      <c r="AX541" s="43">
        <f>IF($A541="","",IF(TRIM(IF($A541="","Missing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",""))="","PASS","FAIL: "&amp;TRIM(IF($A541="","Missing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f>
      </c>
      <c r="AY541" s="44">
        <f>IF($M541="","",IF(ISNUMBER($M541),IF($M541&gt;=Header!$C$18,"YES — refer","No"),""))</f>
      </c>
      <c r="AZ541" s="44">
        <f>IF($AD541="","",IF(ISNUMBER($AD541),IF($AD541&lt;Header!$C$20,"BELOW MIN PREMIUM","OK"),""))</f>
      </c>
      <c r="BA541" s="32" t="inlineStr">
        <is>
          <t xml:space="preserve">Yes</t>
        </is>
      </c>
      <c r="BB541" s="32" t="inlineStr">
        <is>
          <t xml:space="preserve">Yes</t>
        </is>
      </c>
      <c r="BC541" s="30" t="inlineStr">
        <is>
          <t xml:space="preserve">Synthetic demo data</t>
        </is>
      </c>
      <c r="BE541" s="45">
        <f>IF(OR($A541="",$L541="",$H541=""),"",IF(AND(LEFT($L541,2)="06",$H541&gt;1945),"FAIL - pre-war class, year "&amp;$H541,IF(AND(LEFT($L541,2)="07",OR($H541&lt;1946,$H541&gt;1972)),"FAIL - 1946-72 class, year "&amp;$H541,IF(AND(LEFT($L541,2)="08",OR($H541&lt;1973,$H541&gt;1999)),"FAIL - 1973-99 class, year "&amp;$H541,IF(AND(LEFT($L541,2)="09",OR($H541&lt;2000,$H541&gt;2010)),"FAIL - 2000-10 class, year "&amp;$H541,"OK")))))</f>
      </c>
      <c r="BF541" s="45">
        <f>IF($AD541="","",IF(ROUND($AO541+$AP541+$AQ541-$AD541,2)=0,"OK","FAIL - out by "&amp;TEXT($AO541+$AP541+$AQ541-$AD541,"$0.00")))</f>
      </c>
    </row>
    <row r="542" spans="1:58" ht="18.75" customHeight="1" x14ac:dyDescent="0.25">
      <c r="A542" s="46" t="inlineStr">
        <is>
          <t xml:space="preserve">CANON-202606-009144</t>
        </is>
      </c>
      <c r="B542" s="46" t="inlineStr">
        <is>
          <t xml:space="preserve">Leopold Nakashima</t>
        </is>
      </c>
      <c r="C542" s="47">
        <v>46200</v>
      </c>
      <c r="D542" s="48" t="inlineStr">
        <is>
          <t xml:space="preserve">Bound - within authority</t>
        </is>
      </c>
      <c r="E542" s="48" t="inlineStr">
        <is>
          <t xml:space="preserve">New business</t>
        </is>
      </c>
      <c r="F542" s="46" t="inlineStr">
        <is>
          <t xml:space="preserve">B1234EXOTIC26</t>
        </is>
      </c>
      <c r="G542" s="33">
        <f>IF($A542="","",IF($C542="","",YEAR($C542)))</f>
      </c>
      <c r="H542" s="49">
        <v>2018</v>
      </c>
      <c r="I542" s="46" t="inlineStr">
        <is>
          <t xml:space="preserve">Ferrari</t>
        </is>
      </c>
      <c r="J542" s="46" t="inlineStr">
        <is>
          <t xml:space="preserve">SF90 Stradale</t>
        </is>
      </c>
      <c r="K542" s="46" t="inlineStr">
        <is>
          <t xml:space="preserve">2VJZS91U0ZXYTW9KA</t>
        </is>
      </c>
      <c r="L542" s="48" t="inlineStr">
        <is>
          <t xml:space="preserve">03 - Supercar</t>
        </is>
      </c>
      <c r="M542" s="50">
        <v>1405000</v>
      </c>
      <c r="N542" s="48" t="inlineStr">
        <is>
          <t xml:space="preserve">Personal</t>
        </is>
      </c>
      <c r="O542" s="46" t="inlineStr">
        <is>
          <t xml:space="preserve">Personal - regular use</t>
        </is>
      </c>
      <c r="P542" s="46" t="inlineStr">
        <is>
          <t xml:space="preserve">2,500 - 5,000</t>
        </is>
      </c>
      <c r="Q542" s="46" t="inlineStr">
        <is>
          <t xml:space="preserve">New Jersey</t>
        </is>
      </c>
      <c r="R542" s="46" t="inlineStr">
        <is>
          <t xml:space="preserve">07102</t>
        </is>
      </c>
      <c r="S542" s="48" t="inlineStr">
        <is>
          <t xml:space="preserve">Tier 3 - Coastal wind (25-100 miles)</t>
        </is>
      </c>
      <c r="T542" s="36">
        <f>IF($A542="","",IF($S542="","",IFERROR(INDEX('[1]natural catastrophe'!$D$6:$D$17,MATCH($S542,'[1]natural catastrophe'!$B$6:$B$17,0)),"?")))</f>
      </c>
      <c r="U542" s="46" t="inlineStr">
        <is>
          <t xml:space="preserve">2% of agreed value, minimum $10,000</t>
        </is>
      </c>
      <c r="V542" s="48" t="inlineStr">
        <is>
          <t xml:space="preserve">Agreed Value</t>
        </is>
      </c>
      <c r="W542" s="46" t="inlineStr">
        <is>
          <t xml:space="preserve">$1,000</t>
        </is>
      </c>
      <c r="X542" s="48" t="inlineStr">
        <is>
          <t xml:space="preserve">$1,000,000 CSL</t>
        </is>
      </c>
      <c r="Y542" s="46"/>
      <c r="Z542" s="46"/>
      <c r="AA542" s="48" t="inlineStr">
        <is>
          <t xml:space="preserve">Surplus Lines</t>
        </is>
      </c>
      <c r="AB542" s="50">
        <v>14759.78</v>
      </c>
      <c r="AC542" s="51">
        <v>0</v>
      </c>
      <c r="AD542" s="38">
        <f>IF(ISNUMBER($AB542),$AB542*(1+N($AC542)),"")</f>
      </c>
      <c r="AE542" s="50">
        <v>350</v>
      </c>
      <c r="AF542" s="50">
        <v>250</v>
      </c>
      <c r="AG542" s="51"/>
      <c r="AH542" s="39">
        <f>IF(ISNUMBER($AD542),($AD542+$AE542+$AF542)*$AG542,"")</f>
      </c>
      <c r="AI542" s="50"/>
      <c r="AJ542" s="38">
        <f>IF(ISNUMBER($AD542),SUM($AD542:$AH542),"")</f>
      </c>
      <c r="AK542" s="40">
        <f>IF(AND(ISNUMBER($AB542),ISNUMBER($AD542)),IF($AB542&gt;0,$AD542/$AB542,""),"")</f>
      </c>
      <c r="AL542" s="48" t="inlineStr">
        <is>
          <t xml:space="preserve">At technical</t>
        </is>
      </c>
      <c r="AM542" s="41">
        <f>IF(ISNUMBER($AD542),Header!$I$3,"")</f>
      </c>
      <c r="AN542" s="39">
        <f>IF(ISNUMBER($AD542),$AO542+$AP542,"")</f>
      </c>
      <c r="AO542" s="39">
        <f>IF(ISNUMBER($AD542),ROUND($AD542*Header!$K$3,2),"")</f>
      </c>
      <c r="AP542" s="39">
        <f>IF(ISNUMBER($AD542),ROUND($AD542*Header!$M$3,2),"")</f>
      </c>
      <c r="AQ542" s="38">
        <f>IF(ISNUMBER($AD542),ROUND($AD542,2)-$AO542-$AP542,"")</f>
      </c>
      <c r="AR542" s="39">
        <f>IF(ISNUMBER($AD542),IF(Header!$D$34="","?",$AD542*Header!$D$34),"")</f>
      </c>
      <c r="AS542" s="39">
        <f>IF(ISNUMBER($AB542),IF(Header!$D$34="","?",$AB542*Header!$D$34),"")</f>
      </c>
      <c r="AT542" s="42">
        <f>IF(AND(ISNUMBER($AB542),$M542&gt;0),$AB542/$M542*100,"")</f>
      </c>
      <c r="AU542" s="42">
        <f>IF(AND(ISNUMBER($AD542),$M542&gt;0),$AD542/$M542*100,"")</f>
      </c>
      <c r="AV542" s="40">
        <f>IF(AND(ISNUMBER($AB542),ISNUMBER($AD542),ABS($AB542)&gt;0),$AD542/$AB542,"")</f>
      </c>
      <c r="AW542" s="39">
        <f>IF(ISNUMBER($AD542),MAX(0,(1-0.55-Header!$O$3)*Header!$Q$3*$AQ542),"")</f>
      </c>
      <c r="AX542" s="43">
        <f>IF($A542="","",IF(TRIM(IF($A542="","Missing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",""))="","PASS","FAIL: "&amp;TRIM(IF($A542="","Missing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f>
      </c>
      <c r="AY542" s="44">
        <f>IF($M542="","",IF(ISNUMBER($M542),IF($M542&gt;=Header!$C$18,"YES — refer","No"),""))</f>
      </c>
      <c r="AZ542" s="44">
        <f>IF($AD542="","",IF(ISNUMBER($AD542),IF($AD542&lt;Header!$C$20,"BELOW MIN PREMIUM","OK"),""))</f>
      </c>
      <c r="BA542" s="48" t="inlineStr">
        <is>
          <t xml:space="preserve">Yes</t>
        </is>
      </c>
      <c r="BB542" s="48" t="inlineStr">
        <is>
          <t xml:space="preserve">Yes</t>
        </is>
      </c>
      <c r="BC542" s="46" t="inlineStr">
        <is>
          <t xml:space="preserve">Synthetic demo data</t>
        </is>
      </c>
      <c r="BE542" s="45">
        <f>IF(OR($A542="",$L542="",$H542=""),"",IF(AND(LEFT($L542,2)="06",$H542&gt;1945),"FAIL - pre-war class, year "&amp;$H542,IF(AND(LEFT($L542,2)="07",OR($H542&lt;1946,$H542&gt;1972)),"FAIL - 1946-72 class, year "&amp;$H542,IF(AND(LEFT($L542,2)="08",OR($H542&lt;1973,$H542&gt;1999)),"FAIL - 1973-99 class, year "&amp;$H542,IF(AND(LEFT($L542,2)="09",OR($H542&lt;2000,$H542&gt;2010)),"FAIL - 2000-10 class, year "&amp;$H542,"OK")))))</f>
      </c>
      <c r="BF542" s="45">
        <f>IF($AD542="","",IF(ROUND($AO542+$AP542+$AQ542-$AD542,2)=0,"OK","FAIL - out by "&amp;TEXT($AO542+$AP542+$AQ542-$AD542,"$0.00")))</f>
      </c>
    </row>
    <row r="543" spans="1:58" ht="18.75" customHeight="1" x14ac:dyDescent="0.25">
      <c r="A543" s="30" t="inlineStr">
        <is>
          <t xml:space="preserve">CANON-202606-009147</t>
        </is>
      </c>
      <c r="B543" s="30" t="inlineStr">
        <is>
          <t xml:space="preserve">Wilhelmina Nakashima</t>
        </is>
      </c>
      <c r="C543" s="31">
        <v>46195</v>
      </c>
      <c r="D543" s="32" t="inlineStr">
        <is>
          <t xml:space="preserve">Bound - within authority</t>
        </is>
      </c>
      <c r="E543" s="32" t="inlineStr">
        <is>
          <t xml:space="preserve">New business</t>
        </is>
      </c>
      <c r="F543" s="30" t="inlineStr">
        <is>
          <t xml:space="preserve">B1234EXOTIC26</t>
        </is>
      </c>
      <c r="G543" s="33">
        <f>IF($A543="","",IF($C543="","",YEAR($C543)))</f>
      </c>
      <c r="H543" s="34">
        <v>1973</v>
      </c>
      <c r="I543" s="30" t="inlineStr">
        <is>
          <t xml:space="preserve">McLaren</t>
        </is>
      </c>
      <c r="J543" s="30" t="inlineStr">
        <is>
          <t xml:space="preserve">750S</t>
        </is>
      </c>
      <c r="K543" s="30" t="inlineStr">
        <is>
          <t xml:space="preserve">B8NYTWSYJBY9N00NL</t>
        </is>
      </c>
      <c r="L543" s="32" t="inlineStr">
        <is>
          <t xml:space="preserve">03 - Supercar</t>
        </is>
      </c>
      <c r="M543" s="35">
        <v>635000</v>
      </c>
      <c r="N543" s="32" t="inlineStr">
        <is>
          <t xml:space="preserve">Personal</t>
        </is>
      </c>
      <c r="O543" s="30" t="inlineStr">
        <is>
          <t xml:space="preserve">Personal - regular use</t>
        </is>
      </c>
      <c r="P543" s="30" t="inlineStr">
        <is>
          <t xml:space="preserve">1,000 - 2,500</t>
        </is>
      </c>
      <c r="Q543" s="30" t="inlineStr">
        <is>
          <t xml:space="preserve">Vermont</t>
        </is>
      </c>
      <c r="R543" s="30" t="inlineStr">
        <is>
          <t xml:space="preserve">05601</t>
        </is>
      </c>
      <c r="S543" s="32" t="inlineStr">
        <is>
          <t xml:space="preserve">Low hazard - inland benign</t>
        </is>
      </c>
      <c r="T543" s="36">
        <f>IF($A543="","",IF($S543="","",IFERROR(INDEX('[1]natural catastrophe'!$D$6:$D$17,MATCH($S543,'[1]natural catastrophe'!$B$6:$B$17,0)),"?")))</f>
      </c>
      <c r="U543" s="30" t="inlineStr">
        <is>
          <t xml:space="preserve">$5,000</t>
        </is>
      </c>
      <c r="V543" s="32" t="inlineStr">
        <is>
          <t xml:space="preserve">Agreed Value</t>
        </is>
      </c>
      <c r="W543" s="30" t="inlineStr">
        <is>
          <t xml:space="preserve">$1,000</t>
        </is>
      </c>
      <c r="X543" s="32" t="inlineStr">
        <is>
          <t xml:space="preserve">$1,000,000 CSL</t>
        </is>
      </c>
      <c r="Y543" s="30"/>
      <c r="Z543" s="30"/>
      <c r="AA543" s="32" t="inlineStr">
        <is>
          <t xml:space="preserve">Surplus Lines</t>
        </is>
      </c>
      <c r="AB543" s="35">
        <v>10620.11</v>
      </c>
      <c r="AC543" s="37">
        <v>0</v>
      </c>
      <c r="AD543" s="38">
        <f>IF(ISNUMBER($AB543),$AB543*(1+N($AC543)),"")</f>
      </c>
      <c r="AE543" s="35">
        <v>350</v>
      </c>
      <c r="AF543" s="35">
        <v>0</v>
      </c>
      <c r="AG543" s="37"/>
      <c r="AH543" s="39">
        <f>IF(ISNUMBER($AD543),($AD543+$AE543+$AF543)*$AG543,"")</f>
      </c>
      <c r="AI543" s="35"/>
      <c r="AJ543" s="38">
        <f>IF(ISNUMBER($AD543),SUM($AD543:$AH543),"")</f>
      </c>
      <c r="AK543" s="40">
        <f>IF(AND(ISNUMBER($AB543),ISNUMBER($AD543)),IF($AB543&gt;0,$AD543/$AB543,""),"")</f>
      </c>
      <c r="AL543" s="32" t="inlineStr">
        <is>
          <t xml:space="preserve">At technical</t>
        </is>
      </c>
      <c r="AM543" s="41">
        <f>IF(ISNUMBER($AD543),Header!$I$3,"")</f>
      </c>
      <c r="AN543" s="39">
        <f>IF(ISNUMBER($AD543),$AO543+$AP543,"")</f>
      </c>
      <c r="AO543" s="39">
        <f>IF(ISNUMBER($AD543),ROUND($AD543*Header!$K$3,2),"")</f>
      </c>
      <c r="AP543" s="39">
        <f>IF(ISNUMBER($AD543),ROUND($AD543*Header!$M$3,2),"")</f>
      </c>
      <c r="AQ543" s="38">
        <f>IF(ISNUMBER($AD543),ROUND($AD543,2)-$AO543-$AP543,"")</f>
      </c>
      <c r="AR543" s="39">
        <f>IF(ISNUMBER($AD543),IF(Header!$D$34="","?",$AD543*Header!$D$34),"")</f>
      </c>
      <c r="AS543" s="39">
        <f>IF(ISNUMBER($AB543),IF(Header!$D$34="","?",$AB543*Header!$D$34),"")</f>
      </c>
      <c r="AT543" s="42">
        <f>IF(AND(ISNUMBER($AB543),$M543&gt;0),$AB543/$M543*100,"")</f>
      </c>
      <c r="AU543" s="42">
        <f>IF(AND(ISNUMBER($AD543),$M543&gt;0),$AD543/$M543*100,"")</f>
      </c>
      <c r="AV543" s="40">
        <f>IF(AND(ISNUMBER($AB543),ISNUMBER($AD543),ABS($AB543)&gt;0),$AD543/$AB543,"")</f>
      </c>
      <c r="AW543" s="39">
        <f>IF(ISNUMBER($AD543),MAX(0,(1-0.55-Header!$O$3)*Header!$Q$3*$AQ543),"")</f>
      </c>
      <c r="AX543" s="43">
        <f>IF($A543="","",IF(TRIM(IF($A543="","Missing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",""))="","PASS","FAIL: "&amp;TRIM(IF($A543="","Missing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f>
      </c>
      <c r="AY543" s="44">
        <f>IF($M543="","",IF(ISNUMBER($M543),IF($M543&gt;=Header!$C$18,"YES — refer","No"),""))</f>
      </c>
      <c r="AZ543" s="44">
        <f>IF($AD543="","",IF(ISNUMBER($AD543),IF($AD543&lt;Header!$C$20,"BELOW MIN PREMIUM","OK"),""))</f>
      </c>
      <c r="BA543" s="32" t="inlineStr">
        <is>
          <t xml:space="preserve">Yes</t>
        </is>
      </c>
      <c r="BB543" s="32" t="inlineStr">
        <is>
          <t xml:space="preserve">Yes</t>
        </is>
      </c>
      <c r="BC543" s="30" t="inlineStr">
        <is>
          <t xml:space="preserve">Synthetic demo data</t>
        </is>
      </c>
      <c r="BE543" s="45">
        <f>IF(OR($A543="",$L543="",$H543=""),"",IF(AND(LEFT($L543,2)="06",$H543&gt;1945),"FAIL - pre-war class, year "&amp;$H543,IF(AND(LEFT($L543,2)="07",OR($H543&lt;1946,$H543&gt;1972)),"FAIL - 1946-72 class, year "&amp;$H543,IF(AND(LEFT($L543,2)="08",OR($H543&lt;1973,$H543&gt;1999)),"FAIL - 1973-99 class, year "&amp;$H543,IF(AND(LEFT($L543,2)="09",OR($H543&lt;2000,$H543&gt;2010)),"FAIL - 2000-10 class, year "&amp;$H543,"OK")))))</f>
      </c>
      <c r="BF543" s="45">
        <f>IF($AD543="","",IF(ROUND($AO543+$AP543+$AQ543-$AD543,2)=0,"OK","FAIL - out by "&amp;TEXT($AO543+$AP543+$AQ543-$AD543,"$0.00")))</f>
      </c>
    </row>
    <row r="544" spans="1:58" ht="18.75" customHeight="1" x14ac:dyDescent="0.25">
      <c r="A544" s="46" t="inlineStr">
        <is>
          <t xml:space="preserve">CANON-202606-009148</t>
        </is>
      </c>
      <c r="B544" s="46" t="inlineStr">
        <is>
          <t xml:space="preserve">Lorenzo Harrington</t>
        </is>
      </c>
      <c r="C544" s="47">
        <v>46178</v>
      </c>
      <c r="D544" s="48" t="inlineStr">
        <is>
          <t xml:space="preserve">Bound - within authority</t>
        </is>
      </c>
      <c r="E544" s="48" t="inlineStr">
        <is>
          <t xml:space="preserve">New business</t>
        </is>
      </c>
      <c r="F544" s="46" t="inlineStr">
        <is>
          <t xml:space="preserve">B1234EXOTIC26</t>
        </is>
      </c>
      <c r="G544" s="33">
        <f>IF($A544="","",IF($C544="","",YEAR($C544)))</f>
      </c>
      <c r="H544" s="49">
        <v>1967</v>
      </c>
      <c r="I544" s="46" t="inlineStr">
        <is>
          <t xml:space="preserve">BMW</t>
        </is>
      </c>
      <c r="J544" s="46" t="inlineStr">
        <is>
          <t xml:space="preserve">M8 Competition</t>
        </is>
      </c>
      <c r="K544" s="46" t="inlineStr">
        <is>
          <t xml:space="preserve">G8MLBLNZDBTZSLCN9</t>
        </is>
      </c>
      <c r="L544" s="48" t="inlineStr">
        <is>
          <t xml:space="preserve">02 - Sports / GT</t>
        </is>
      </c>
      <c r="M544" s="50">
        <v>490000</v>
      </c>
      <c r="N544" s="48" t="inlineStr">
        <is>
          <t xml:space="preserve">Personal</t>
        </is>
      </c>
      <c r="O544" s="46" t="inlineStr">
        <is>
          <t xml:space="preserve">Personal - regular use</t>
        </is>
      </c>
      <c r="P544" s="46" t="inlineStr">
        <is>
          <t xml:space="preserve">2,500 - 5,000</t>
        </is>
      </c>
      <c r="Q544" s="46" t="inlineStr">
        <is>
          <t xml:space="preserve">Nebraska</t>
        </is>
      </c>
      <c r="R544" s="46" t="inlineStr">
        <is>
          <t xml:space="preserve">68102</t>
        </is>
      </c>
      <c r="S544" s="48" t="inlineStr">
        <is>
          <t xml:space="preserve">Severe convective - hail alley (high)</t>
        </is>
      </c>
      <c r="T544" s="36">
        <f>IF($A544="","",IF($S544="","",IFERROR(INDEX('[1]natural catastrophe'!$D$6:$D$17,MATCH($S544,'[1]natural catastrophe'!$B$6:$B$17,0)),"?")))</f>
      </c>
      <c r="U544" s="46" t="inlineStr">
        <is>
          <t xml:space="preserve">$5,000</t>
        </is>
      </c>
      <c r="V544" s="48" t="inlineStr">
        <is>
          <t xml:space="preserve">Agreed Value</t>
        </is>
      </c>
      <c r="W544" s="46" t="inlineStr">
        <is>
          <t xml:space="preserve">$1,000</t>
        </is>
      </c>
      <c r="X544" s="48" t="inlineStr">
        <is>
          <t xml:space="preserve">$1,000,000 CSL</t>
        </is>
      </c>
      <c r="Y544" s="46"/>
      <c r="Z544" s="46"/>
      <c r="AA544" s="48" t="inlineStr">
        <is>
          <t xml:space="preserve">Surplus Lines</t>
        </is>
      </c>
      <c r="AB544" s="50">
        <v>6894.02</v>
      </c>
      <c r="AC544" s="51">
        <v>0</v>
      </c>
      <c r="AD544" s="38">
        <f>IF(ISNUMBER($AB544),$AB544*(1+N($AC544)),"")</f>
      </c>
      <c r="AE544" s="50">
        <v>350</v>
      </c>
      <c r="AF544" s="50">
        <v>0</v>
      </c>
      <c r="AG544" s="51"/>
      <c r="AH544" s="39">
        <f>IF(ISNUMBER($AD544),($AD544+$AE544+$AF544)*$AG544,"")</f>
      </c>
      <c r="AI544" s="50"/>
      <c r="AJ544" s="38">
        <f>IF(ISNUMBER($AD544),SUM($AD544:$AH544),"")</f>
      </c>
      <c r="AK544" s="40">
        <f>IF(AND(ISNUMBER($AB544),ISNUMBER($AD544)),IF($AB544&gt;0,$AD544/$AB544,""),"")</f>
      </c>
      <c r="AL544" s="48" t="inlineStr">
        <is>
          <t xml:space="preserve">At technical</t>
        </is>
      </c>
      <c r="AM544" s="41">
        <f>IF(ISNUMBER($AD544),Header!$I$3,"")</f>
      </c>
      <c r="AN544" s="39">
        <f>IF(ISNUMBER($AD544),$AO544+$AP544,"")</f>
      </c>
      <c r="AO544" s="39">
        <f>IF(ISNUMBER($AD544),ROUND($AD544*Header!$K$3,2),"")</f>
      </c>
      <c r="AP544" s="39">
        <f>IF(ISNUMBER($AD544),ROUND($AD544*Header!$M$3,2),"")</f>
      </c>
      <c r="AQ544" s="38">
        <f>IF(ISNUMBER($AD544),ROUND($AD544,2)-$AO544-$AP544,"")</f>
      </c>
      <c r="AR544" s="39">
        <f>IF(ISNUMBER($AD544),IF(Header!$D$34="","?",$AD544*Header!$D$34),"")</f>
      </c>
      <c r="AS544" s="39">
        <f>IF(ISNUMBER($AB544),IF(Header!$D$34="","?",$AB544*Header!$D$34),"")</f>
      </c>
      <c r="AT544" s="42">
        <f>IF(AND(ISNUMBER($AB544),$M544&gt;0),$AB544/$M544*100,"")</f>
      </c>
      <c r="AU544" s="42">
        <f>IF(AND(ISNUMBER($AD544),$M544&gt;0),$AD544/$M544*100,"")</f>
      </c>
      <c r="AV544" s="40">
        <f>IF(AND(ISNUMBER($AB544),ISNUMBER($AD544),ABS($AB544)&gt;0),$AD544/$AB544,"")</f>
      </c>
      <c r="AW544" s="39">
        <f>IF(ISNUMBER($AD544),MAX(0,(1-0.55-Header!$O$3)*Header!$Q$3*$AQ544),"")</f>
      </c>
      <c r="AX544" s="43">
        <f>IF($A544="","",IF(TRIM(IF($A544="","Missing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",""))="","PASS","FAIL: "&amp;TRIM(IF($A544="","Missing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f>
      </c>
      <c r="AY544" s="44">
        <f>IF($M544="","",IF(ISNUMBER($M544),IF($M544&gt;=Header!$C$18,"YES — refer","No"),""))</f>
      </c>
      <c r="AZ544" s="44">
        <f>IF($AD544="","",IF(ISNUMBER($AD544),IF($AD544&lt;Header!$C$20,"BELOW MIN PREMIUM","OK"),""))</f>
      </c>
      <c r="BA544" s="48" t="inlineStr">
        <is>
          <t xml:space="preserve">Yes</t>
        </is>
      </c>
      <c r="BB544" s="48" t="inlineStr">
        <is>
          <t xml:space="preserve">Yes</t>
        </is>
      </c>
      <c r="BC544" s="46" t="inlineStr">
        <is>
          <t xml:space="preserve">Synthetic demo data</t>
        </is>
      </c>
      <c r="BE544" s="45">
        <f>IF(OR($A544="",$L544="",$H544=""),"",IF(AND(LEFT($L544,2)="06",$H544&gt;1945),"FAIL - pre-war class, year "&amp;$H544,IF(AND(LEFT($L544,2)="07",OR($H544&lt;1946,$H544&gt;1972)),"FAIL - 1946-72 class, year "&amp;$H544,IF(AND(LEFT($L544,2)="08",OR($H544&lt;1973,$H544&gt;1999)),"FAIL - 1973-99 class, year "&amp;$H544,IF(AND(LEFT($L544,2)="09",OR($H544&lt;2000,$H544&gt;2010)),"FAIL - 2000-10 class, year "&amp;$H544,"OK")))))</f>
      </c>
      <c r="BF544" s="45">
        <f>IF($AD544="","",IF(ROUND($AO544+$AP544+$AQ544-$AD544,2)=0,"OK","FAIL - out by "&amp;TEXT($AO544+$AP544+$AQ544-$AD544,"$0.00")))</f>
      </c>
    </row>
    <row r="545" spans="1:58" ht="18.75" customHeight="1" x14ac:dyDescent="0.25">
      <c r="A545" s="30" t="inlineStr">
        <is>
          <t xml:space="preserve">CANON-202606-009149</t>
        </is>
      </c>
      <c r="B545" s="30" t="inlineStr">
        <is>
          <t xml:space="preserve">Emiliano Okonkwo</t>
        </is>
      </c>
      <c r="C545" s="31">
        <v>46193</v>
      </c>
      <c r="D545" s="32" t="inlineStr">
        <is>
          <t xml:space="preserve">Bound - within authority</t>
        </is>
      </c>
      <c r="E545" s="32" t="inlineStr">
        <is>
          <t xml:space="preserve">New business</t>
        </is>
      </c>
      <c r="F545" s="30" t="inlineStr">
        <is>
          <t xml:space="preserve">B1234EXOTIC26</t>
        </is>
      </c>
      <c r="G545" s="33">
        <f>IF($A545="","",IF($C545="","",YEAR($C545)))</f>
      </c>
      <c r="H545" s="34">
        <v>1967</v>
      </c>
      <c r="I545" s="30" t="inlineStr">
        <is>
          <t xml:space="preserve">Bentley</t>
        </is>
      </c>
      <c r="J545" s="30" t="inlineStr">
        <is>
          <t xml:space="preserve">Continental GT</t>
        </is>
      </c>
      <c r="K545" s="30" t="inlineStr">
        <is>
          <t xml:space="preserve">9WKGAX7UD3VKSPV8S</t>
        </is>
      </c>
      <c r="L545" s="32" t="inlineStr">
        <is>
          <t xml:space="preserve">02 - Sports / GT</t>
        </is>
      </c>
      <c r="M545" s="35">
        <v>1205000</v>
      </c>
      <c r="N545" s="32" t="inlineStr">
        <is>
          <t xml:space="preserve">Personal</t>
        </is>
      </c>
      <c r="O545" s="30" t="inlineStr">
        <is>
          <t xml:space="preserve">Personal - regular use</t>
        </is>
      </c>
      <c r="P545" s="30" t="inlineStr">
        <is>
          <t xml:space="preserve">1,000 - 2,500</t>
        </is>
      </c>
      <c r="Q545" s="30" t="inlineStr">
        <is>
          <t xml:space="preserve">Rhode Island</t>
        </is>
      </c>
      <c r="R545" s="30" t="inlineStr">
        <is>
          <t xml:space="preserve">02903</t>
        </is>
      </c>
      <c r="S545" s="32" t="inlineStr">
        <is>
          <t xml:space="preserve">Tier 3 - Coastal wind (25-100 miles)</t>
        </is>
      </c>
      <c r="T545" s="36">
        <f>IF($A545="","",IF($S545="","",IFERROR(INDEX('[1]natural catastrophe'!$D$6:$D$17,MATCH($S545,'[1]natural catastrophe'!$B$6:$B$17,0)),"?")))</f>
      </c>
      <c r="U545" s="30" t="inlineStr">
        <is>
          <t xml:space="preserve">2% of agreed value, minimum $10,000</t>
        </is>
      </c>
      <c r="V545" s="32" t="inlineStr">
        <is>
          <t xml:space="preserve">Agreed Value</t>
        </is>
      </c>
      <c r="W545" s="30" t="inlineStr">
        <is>
          <t xml:space="preserve">$1,000</t>
        </is>
      </c>
      <c r="X545" s="32" t="inlineStr">
        <is>
          <t xml:space="preserve">$1,000,000 CSL</t>
        </is>
      </c>
      <c r="Y545" s="30"/>
      <c r="Z545" s="30"/>
      <c r="AA545" s="32" t="inlineStr">
        <is>
          <t xml:space="preserve">Surplus Lines</t>
        </is>
      </c>
      <c r="AB545" s="35">
        <v>13102.14</v>
      </c>
      <c r="AC545" s="37">
        <v>0</v>
      </c>
      <c r="AD545" s="38">
        <f>IF(ISNUMBER($AB545),$AB545*(1+N($AC545)),"")</f>
      </c>
      <c r="AE545" s="35">
        <v>350</v>
      </c>
      <c r="AF545" s="35">
        <v>250</v>
      </c>
      <c r="AG545" s="37"/>
      <c r="AH545" s="39">
        <f>IF(ISNUMBER($AD545),($AD545+$AE545+$AF545)*$AG545,"")</f>
      </c>
      <c r="AI545" s="35"/>
      <c r="AJ545" s="38">
        <f>IF(ISNUMBER($AD545),SUM($AD545:$AH545),"")</f>
      </c>
      <c r="AK545" s="40">
        <f>IF(AND(ISNUMBER($AB545),ISNUMBER($AD545)),IF($AB545&gt;0,$AD545/$AB545,""),"")</f>
      </c>
      <c r="AL545" s="32" t="inlineStr">
        <is>
          <t xml:space="preserve">At technical</t>
        </is>
      </c>
      <c r="AM545" s="41">
        <f>IF(ISNUMBER($AD545),Header!$I$3,"")</f>
      </c>
      <c r="AN545" s="39">
        <f>IF(ISNUMBER($AD545),$AO545+$AP545,"")</f>
      </c>
      <c r="AO545" s="39">
        <f>IF(ISNUMBER($AD545),ROUND($AD545*Header!$K$3,2),"")</f>
      </c>
      <c r="AP545" s="39">
        <f>IF(ISNUMBER($AD545),ROUND($AD545*Header!$M$3,2),"")</f>
      </c>
      <c r="AQ545" s="38">
        <f>IF(ISNUMBER($AD545),ROUND($AD545,2)-$AO545-$AP545,"")</f>
      </c>
      <c r="AR545" s="39">
        <f>IF(ISNUMBER($AD545),IF(Header!$D$34="","?",$AD545*Header!$D$34),"")</f>
      </c>
      <c r="AS545" s="39">
        <f>IF(ISNUMBER($AB545),IF(Header!$D$34="","?",$AB545*Header!$D$34),"")</f>
      </c>
      <c r="AT545" s="42">
        <f>IF(AND(ISNUMBER($AB545),$M545&gt;0),$AB545/$M545*100,"")</f>
      </c>
      <c r="AU545" s="42">
        <f>IF(AND(ISNUMBER($AD545),$M545&gt;0),$AD545/$M545*100,"")</f>
      </c>
      <c r="AV545" s="40">
        <f>IF(AND(ISNUMBER($AB545),ISNUMBER($AD545),ABS($AB545)&gt;0),$AD545/$AB545,"")</f>
      </c>
      <c r="AW545" s="39">
        <f>IF(ISNUMBER($AD545),MAX(0,(1-0.55-Header!$O$3)*Header!$Q$3*$AQ545),"")</f>
      </c>
      <c r="AX545" s="43">
        <f>IF($A545="","",IF(TRIM(IF($A545="","Missing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",""))="","PASS","FAIL: "&amp;TRIM(IF($A545="","Missing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f>
      </c>
      <c r="AY545" s="44">
        <f>IF($M545="","",IF(ISNUMBER($M545),IF($M545&gt;=Header!$C$18,"YES — refer","No"),""))</f>
      </c>
      <c r="AZ545" s="44">
        <f>IF($AD545="","",IF(ISNUMBER($AD545),IF($AD545&lt;Header!$C$20,"BELOW MIN PREMIUM","OK"),""))</f>
      </c>
      <c r="BA545" s="32" t="inlineStr">
        <is>
          <t xml:space="preserve">Yes</t>
        </is>
      </c>
      <c r="BB545" s="32" t="inlineStr">
        <is>
          <t xml:space="preserve">Yes</t>
        </is>
      </c>
      <c r="BC545" s="30" t="inlineStr">
        <is>
          <t xml:space="preserve">Synthetic demo data</t>
        </is>
      </c>
      <c r="BE545" s="45">
        <f>IF(OR($A545="",$L545="",$H545=""),"",IF(AND(LEFT($L545,2)="06",$H545&gt;1945),"FAIL - pre-war class, year "&amp;$H545,IF(AND(LEFT($L545,2)="07",OR($H545&lt;1946,$H545&gt;1972)),"FAIL - 1946-72 class, year "&amp;$H545,IF(AND(LEFT($L545,2)="08",OR($H545&lt;1973,$H545&gt;1999)),"FAIL - 1973-99 class, year "&amp;$H545,IF(AND(LEFT($L545,2)="09",OR($H545&lt;2000,$H545&gt;2010)),"FAIL - 2000-10 class, year "&amp;$H545,"OK")))))</f>
      </c>
      <c r="BF545" s="45">
        <f>IF($AD545="","",IF(ROUND($AO545+$AP545+$AQ545-$AD545,2)=0,"OK","FAIL - out by "&amp;TEXT($AO545+$AP545+$AQ545-$AD545,"$0.00")))</f>
      </c>
    </row>
    <row r="546" spans="1:58" ht="18.75" customHeight="1" x14ac:dyDescent="0.25">
      <c r="A546" s="46" t="inlineStr">
        <is>
          <t xml:space="preserve">CANON-202606-009150</t>
        </is>
      </c>
      <c r="B546" s="46" t="inlineStr">
        <is>
          <t xml:space="preserve">Everett Thistlewood</t>
        </is>
      </c>
      <c r="C546" s="47">
        <v>46197</v>
      </c>
      <c r="D546" s="48" t="inlineStr">
        <is>
          <t xml:space="preserve">Bound - within authority</t>
        </is>
      </c>
      <c r="E546" s="48" t="inlineStr">
        <is>
          <t xml:space="preserve">New business</t>
        </is>
      </c>
      <c r="F546" s="46" t="inlineStr">
        <is>
          <t xml:space="preserve">B1234EXOTIC26</t>
        </is>
      </c>
      <c r="G546" s="33">
        <f>IF($A546="","",IF($C546="","",YEAR($C546)))</f>
      </c>
      <c r="H546" s="49">
        <v>2019</v>
      </c>
      <c r="I546" s="46" t="inlineStr">
        <is>
          <t xml:space="preserve">Aston Martin</t>
        </is>
      </c>
      <c r="J546" s="46" t="inlineStr">
        <is>
          <t xml:space="preserve">DB12</t>
        </is>
      </c>
      <c r="K546" s="46" t="inlineStr">
        <is>
          <t xml:space="preserve">H0U4M714ARBE9YEFR</t>
        </is>
      </c>
      <c r="L546" s="48" t="inlineStr">
        <is>
          <t xml:space="preserve">02 - Sports / GT</t>
        </is>
      </c>
      <c r="M546" s="50">
        <v>1015000</v>
      </c>
      <c r="N546" s="48" t="inlineStr">
        <is>
          <t xml:space="preserve">Personal</t>
        </is>
      </c>
      <c r="O546" s="46" t="inlineStr">
        <is>
          <t xml:space="preserve">Personal - regular use</t>
        </is>
      </c>
      <c r="P546" s="46" t="inlineStr">
        <is>
          <t xml:space="preserve">2,500 - 5,000</t>
        </is>
      </c>
      <c r="Q546" s="46" t="inlineStr">
        <is>
          <t xml:space="preserve">New Mexico</t>
        </is>
      </c>
      <c r="R546" s="46" t="inlineStr">
        <is>
          <t xml:space="preserve">87501</t>
        </is>
      </c>
      <c r="S546" s="48" t="inlineStr">
        <is>
          <t xml:space="preserve">Wildfire - WUI high hazard</t>
        </is>
      </c>
      <c r="T546" s="36">
        <f>IF($A546="","",IF($S546="","",IFERROR(INDEX('[1]natural catastrophe'!$D$6:$D$17,MATCH($S546,'[1]natural catastrophe'!$B$6:$B$17,0)),"?")))</f>
      </c>
      <c r="U546" s="46" t="inlineStr">
        <is>
          <t xml:space="preserve">$5,000</t>
        </is>
      </c>
      <c r="V546" s="48" t="inlineStr">
        <is>
          <t xml:space="preserve">Agreed Value</t>
        </is>
      </c>
      <c r="W546" s="46" t="inlineStr">
        <is>
          <t xml:space="preserve">$1,000</t>
        </is>
      </c>
      <c r="X546" s="48" t="inlineStr">
        <is>
          <t xml:space="preserve">$1,000,000 CSL</t>
        </is>
      </c>
      <c r="Y546" s="46"/>
      <c r="Z546" s="46"/>
      <c r="AA546" s="48" t="inlineStr">
        <is>
          <t xml:space="preserve">Surplus Lines</t>
        </is>
      </c>
      <c r="AB546" s="50">
        <v>10311.23</v>
      </c>
      <c r="AC546" s="51">
        <v>0</v>
      </c>
      <c r="AD546" s="38">
        <f>IF(ISNUMBER($AB546),$AB546*(1+N($AC546)),"")</f>
      </c>
      <c r="AE546" s="50">
        <v>350</v>
      </c>
      <c r="AF546" s="50">
        <v>250</v>
      </c>
      <c r="AG546" s="51"/>
      <c r="AH546" s="39">
        <f>IF(ISNUMBER($AD546),($AD546+$AE546+$AF546)*$AG546,"")</f>
      </c>
      <c r="AI546" s="50"/>
      <c r="AJ546" s="38">
        <f>IF(ISNUMBER($AD546),SUM($AD546:$AH546),"")</f>
      </c>
      <c r="AK546" s="40">
        <f>IF(AND(ISNUMBER($AB546),ISNUMBER($AD546)),IF($AB546&gt;0,$AD546/$AB546,""),"")</f>
      </c>
      <c r="AL546" s="48" t="inlineStr">
        <is>
          <t xml:space="preserve">At technical</t>
        </is>
      </c>
      <c r="AM546" s="41">
        <f>IF(ISNUMBER($AD546),Header!$I$3,"")</f>
      </c>
      <c r="AN546" s="39">
        <f>IF(ISNUMBER($AD546),$AO546+$AP546,"")</f>
      </c>
      <c r="AO546" s="39">
        <f>IF(ISNUMBER($AD546),ROUND($AD546*Header!$K$3,2),"")</f>
      </c>
      <c r="AP546" s="39">
        <f>IF(ISNUMBER($AD546),ROUND($AD546*Header!$M$3,2),"")</f>
      </c>
      <c r="AQ546" s="38">
        <f>IF(ISNUMBER($AD546),ROUND($AD546,2)-$AO546-$AP546,"")</f>
      </c>
      <c r="AR546" s="39">
        <f>IF(ISNUMBER($AD546),IF(Header!$D$34="","?",$AD546*Header!$D$34),"")</f>
      </c>
      <c r="AS546" s="39">
        <f>IF(ISNUMBER($AB546),IF(Header!$D$34="","?",$AB546*Header!$D$34),"")</f>
      </c>
      <c r="AT546" s="42">
        <f>IF(AND(ISNUMBER($AB546),$M546&gt;0),$AB546/$M546*100,"")</f>
      </c>
      <c r="AU546" s="42">
        <f>IF(AND(ISNUMBER($AD546),$M546&gt;0),$AD546/$M546*100,"")</f>
      </c>
      <c r="AV546" s="40">
        <f>IF(AND(ISNUMBER($AB546),ISNUMBER($AD546),ABS($AB546)&gt;0),$AD546/$AB546,"")</f>
      </c>
      <c r="AW546" s="39">
        <f>IF(ISNUMBER($AD546),MAX(0,(1-0.55-Header!$O$3)*Header!$Q$3*$AQ546),"")</f>
      </c>
      <c r="AX546" s="43">
        <f>IF($A546="","",IF(TRIM(IF($A546="","Missing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",""))="","PASS","FAIL: "&amp;TRIM(IF($A546="","Missing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f>
      </c>
      <c r="AY546" s="44">
        <f>IF($M546="","",IF(ISNUMBER($M546),IF($M546&gt;=Header!$C$18,"YES — refer","No"),""))</f>
      </c>
      <c r="AZ546" s="44">
        <f>IF($AD546="","",IF(ISNUMBER($AD546),IF($AD546&lt;Header!$C$20,"BELOW MIN PREMIUM","OK"),""))</f>
      </c>
      <c r="BA546" s="48" t="inlineStr">
        <is>
          <t xml:space="preserve">Yes</t>
        </is>
      </c>
      <c r="BB546" s="48" t="inlineStr">
        <is>
          <t xml:space="preserve">Yes</t>
        </is>
      </c>
      <c r="BC546" s="46" t="inlineStr">
        <is>
          <t xml:space="preserve">Synthetic demo data</t>
        </is>
      </c>
      <c r="BE546" s="45">
        <f>IF(OR($A546="",$L546="",$H546=""),"",IF(AND(LEFT($L546,2)="06",$H546&gt;1945),"FAIL - pre-war class, year "&amp;$H546,IF(AND(LEFT($L546,2)="07",OR($H546&lt;1946,$H546&gt;1972)),"FAIL - 1946-72 class, year "&amp;$H546,IF(AND(LEFT($L546,2)="08",OR($H546&lt;1973,$H546&gt;1999)),"FAIL - 1973-99 class, year "&amp;$H546,IF(AND(LEFT($L546,2)="09",OR($H546&lt;2000,$H546&gt;2010)),"FAIL - 2000-10 class, year "&amp;$H546,"OK")))))</f>
      </c>
      <c r="BF546" s="45">
        <f>IF($AD546="","",IF(ROUND($AO546+$AP546+$AQ546-$AD546,2)=0,"OK","FAIL - out by "&amp;TEXT($AO546+$AP546+$AQ546-$AD546,"$0.00")))</f>
      </c>
    </row>
    <row r="547" spans="1:58" ht="18.75" customHeight="1" x14ac:dyDescent="0.25">
      <c r="A547" s="30" t="inlineStr">
        <is>
          <t xml:space="preserve">CANON-202606-009151</t>
        </is>
      </c>
      <c r="B547" s="30" t="inlineStr">
        <is>
          <t xml:space="preserve">Leopold Larsson</t>
        </is>
      </c>
      <c r="C547" s="31">
        <v>46194</v>
      </c>
      <c r="D547" s="32" t="inlineStr">
        <is>
          <t xml:space="preserve">Bound - within authority</t>
        </is>
      </c>
      <c r="E547" s="32" t="inlineStr">
        <is>
          <t xml:space="preserve">New business</t>
        </is>
      </c>
      <c r="F547" s="30" t="inlineStr">
        <is>
          <t xml:space="preserve">B1234EXOTIC26</t>
        </is>
      </c>
      <c r="G547" s="33">
        <f>IF($A547="","",IF($C547="","",YEAR($C547)))</f>
      </c>
      <c r="H547" s="34">
        <v>1995</v>
      </c>
      <c r="I547" s="30" t="inlineStr">
        <is>
          <t xml:space="preserve">BMW</t>
        </is>
      </c>
      <c r="J547" s="30" t="inlineStr">
        <is>
          <t xml:space="preserve">M8 Competition</t>
        </is>
      </c>
      <c r="K547" s="30" t="inlineStr">
        <is>
          <t xml:space="preserve">8VFY2TBUV1AJBNDZY</t>
        </is>
      </c>
      <c r="L547" s="32" t="inlineStr">
        <is>
          <t xml:space="preserve">02 - Sports / GT</t>
        </is>
      </c>
      <c r="M547" s="35">
        <v>765000</v>
      </c>
      <c r="N547" s="32" t="inlineStr">
        <is>
          <t xml:space="preserve">Personal</t>
        </is>
      </c>
      <c r="O547" s="30" t="inlineStr">
        <is>
          <t xml:space="preserve">Personal - regular use</t>
        </is>
      </c>
      <c r="P547" s="30" t="inlineStr">
        <is>
          <t xml:space="preserve">1,000 - 2,500</t>
        </is>
      </c>
      <c r="Q547" s="30" t="inlineStr">
        <is>
          <t xml:space="preserve">Washington</t>
        </is>
      </c>
      <c r="R547" s="30" t="inlineStr">
        <is>
          <t xml:space="preserve">98101</t>
        </is>
      </c>
      <c r="S547" s="32" t="inlineStr">
        <is>
          <t xml:space="preserve">Earthquake - high (CA, Cascadia, New Madrid)</t>
        </is>
      </c>
      <c r="T547" s="36">
        <f>IF($A547="","",IF($S547="","",IFERROR(INDEX('[1]natural catastrophe'!$D$6:$D$17,MATCH($S547,'[1]natural catastrophe'!$B$6:$B$17,0)),"?")))</f>
      </c>
      <c r="U547" s="30" t="inlineStr">
        <is>
          <t xml:space="preserve">$5,000</t>
        </is>
      </c>
      <c r="V547" s="32" t="inlineStr">
        <is>
          <t xml:space="preserve">Agreed Value</t>
        </is>
      </c>
      <c r="W547" s="30" t="inlineStr">
        <is>
          <t xml:space="preserve">$1,000</t>
        </is>
      </c>
      <c r="X547" s="32" t="inlineStr">
        <is>
          <t xml:space="preserve">$1,000,000 CSL</t>
        </is>
      </c>
      <c r="Y547" s="30"/>
      <c r="Z547" s="30"/>
      <c r="AA547" s="32" t="inlineStr">
        <is>
          <t xml:space="preserve">Surplus Lines</t>
        </is>
      </c>
      <c r="AB547" s="35">
        <v>6888.39</v>
      </c>
      <c r="AC547" s="37">
        <v>0</v>
      </c>
      <c r="AD547" s="38">
        <f>IF(ISNUMBER($AB547),$AB547*(1+N($AC547)),"")</f>
      </c>
      <c r="AE547" s="35">
        <v>350</v>
      </c>
      <c r="AF547" s="35">
        <v>0</v>
      </c>
      <c r="AG547" s="37"/>
      <c r="AH547" s="39">
        <f>IF(ISNUMBER($AD547),($AD547+$AE547+$AF547)*$AG547,"")</f>
      </c>
      <c r="AI547" s="35"/>
      <c r="AJ547" s="38">
        <f>IF(ISNUMBER($AD547),SUM($AD547:$AH547),"")</f>
      </c>
      <c r="AK547" s="40">
        <f>IF(AND(ISNUMBER($AB547),ISNUMBER($AD547)),IF($AB547&gt;0,$AD547/$AB547,""),"")</f>
      </c>
      <c r="AL547" s="32" t="inlineStr">
        <is>
          <t xml:space="preserve">At technical</t>
        </is>
      </c>
      <c r="AM547" s="41">
        <f>IF(ISNUMBER($AD547),Header!$I$3,"")</f>
      </c>
      <c r="AN547" s="39">
        <f>IF(ISNUMBER($AD547),$AO547+$AP547,"")</f>
      </c>
      <c r="AO547" s="39">
        <f>IF(ISNUMBER($AD547),ROUND($AD547*Header!$K$3,2),"")</f>
      </c>
      <c r="AP547" s="39">
        <f>IF(ISNUMBER($AD547),ROUND($AD547*Header!$M$3,2),"")</f>
      </c>
      <c r="AQ547" s="38">
        <f>IF(ISNUMBER($AD547),ROUND($AD547,2)-$AO547-$AP547,"")</f>
      </c>
      <c r="AR547" s="39">
        <f>IF(ISNUMBER($AD547),IF(Header!$D$34="","?",$AD547*Header!$D$34),"")</f>
      </c>
      <c r="AS547" s="39">
        <f>IF(ISNUMBER($AB547),IF(Header!$D$34="","?",$AB547*Header!$D$34),"")</f>
      </c>
      <c r="AT547" s="42">
        <f>IF(AND(ISNUMBER($AB547),$M547&gt;0),$AB547/$M547*100,"")</f>
      </c>
      <c r="AU547" s="42">
        <f>IF(AND(ISNUMBER($AD547),$M547&gt;0),$AD547/$M547*100,"")</f>
      </c>
      <c r="AV547" s="40">
        <f>IF(AND(ISNUMBER($AB547),ISNUMBER($AD547),ABS($AB547)&gt;0),$AD547/$AB547,"")</f>
      </c>
      <c r="AW547" s="39">
        <f>IF(ISNUMBER($AD547),MAX(0,(1-0.55-Header!$O$3)*Header!$Q$3*$AQ547),"")</f>
      </c>
      <c r="AX547" s="43">
        <f>IF($A547="","",IF(TRIM(IF($A547="","Missing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",""))="","PASS","FAIL: "&amp;TRIM(IF($A547="","Missing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f>
      </c>
      <c r="AY547" s="44">
        <f>IF($M547="","",IF(ISNUMBER($M547),IF($M547&gt;=Header!$C$18,"YES — refer","No"),""))</f>
      </c>
      <c r="AZ547" s="44">
        <f>IF($AD547="","",IF(ISNUMBER($AD547),IF($AD547&lt;Header!$C$20,"BELOW MIN PREMIUM","OK"),""))</f>
      </c>
      <c r="BA547" s="32" t="inlineStr">
        <is>
          <t xml:space="preserve">Yes</t>
        </is>
      </c>
      <c r="BB547" s="32" t="inlineStr">
        <is>
          <t xml:space="preserve">Yes</t>
        </is>
      </c>
      <c r="BC547" s="30" t="inlineStr">
        <is>
          <t xml:space="preserve">Synthetic demo data</t>
        </is>
      </c>
      <c r="BE547" s="45">
        <f>IF(OR($A547="",$L547="",$H547=""),"",IF(AND(LEFT($L547,2)="06",$H547&gt;1945),"FAIL - pre-war class, year "&amp;$H547,IF(AND(LEFT($L547,2)="07",OR($H547&lt;1946,$H547&gt;1972)),"FAIL - 1946-72 class, year "&amp;$H547,IF(AND(LEFT($L547,2)="08",OR($H547&lt;1973,$H547&gt;1999)),"FAIL - 1973-99 class, year "&amp;$H547,IF(AND(LEFT($L547,2)="09",OR($H547&lt;2000,$H547&gt;2010)),"FAIL - 2000-10 class, year "&amp;$H547,"OK")))))</f>
      </c>
      <c r="BF547" s="45">
        <f>IF($AD547="","",IF(ROUND($AO547+$AP547+$AQ547-$AD547,2)=0,"OK","FAIL - out by "&amp;TEXT($AO547+$AP547+$AQ547-$AD547,"$0.00")))</f>
      </c>
    </row>
    <row r="548" spans="1:58" ht="18.75" customHeight="1" x14ac:dyDescent="0.25">
      <c r="A548" s="46" t="inlineStr">
        <is>
          <t xml:space="preserve">CANON-202606-009152</t>
        </is>
      </c>
      <c r="B548" s="46" t="inlineStr">
        <is>
          <t xml:space="preserve">Lorenzo Larsson</t>
        </is>
      </c>
      <c r="C548" s="47">
        <v>46195</v>
      </c>
      <c r="D548" s="48" t="inlineStr">
        <is>
          <t xml:space="preserve">Bound - within authority</t>
        </is>
      </c>
      <c r="E548" s="48" t="inlineStr">
        <is>
          <t xml:space="preserve">New business</t>
        </is>
      </c>
      <c r="F548" s="46" t="inlineStr">
        <is>
          <t xml:space="preserve">B1234EXOTIC26</t>
        </is>
      </c>
      <c r="G548" s="33">
        <f>IF($A548="","",IF($C548="","",YEAR($C548)))</f>
      </c>
      <c r="H548" s="49">
        <v>1961</v>
      </c>
      <c r="I548" s="46" t="inlineStr">
        <is>
          <t xml:space="preserve">BMW</t>
        </is>
      </c>
      <c r="J548" s="46" t="inlineStr">
        <is>
          <t xml:space="preserve">M8 Competition</t>
        </is>
      </c>
      <c r="K548" s="46" t="inlineStr">
        <is>
          <t xml:space="preserve">0ZE50H6JEGPV40ALR</t>
        </is>
      </c>
      <c r="L548" s="48" t="inlineStr">
        <is>
          <t xml:space="preserve">02 - Sports / GT</t>
        </is>
      </c>
      <c r="M548" s="50">
        <v>160000</v>
      </c>
      <c r="N548" s="48" t="inlineStr">
        <is>
          <t xml:space="preserve">Personal</t>
        </is>
      </c>
      <c r="O548" s="46" t="inlineStr">
        <is>
          <t xml:space="preserve">Personal - regular use</t>
        </is>
      </c>
      <c r="P548" s="46" t="inlineStr">
        <is>
          <t xml:space="preserve">2,500 - 5,000</t>
        </is>
      </c>
      <c r="Q548" s="46" t="inlineStr">
        <is>
          <t xml:space="preserve">Rhode Island</t>
        </is>
      </c>
      <c r="R548" s="46" t="inlineStr">
        <is>
          <t xml:space="preserve">02903</t>
        </is>
      </c>
      <c r="S548" s="48" t="inlineStr">
        <is>
          <t xml:space="preserve">Tier 3 - Coastal wind (25-100 miles)</t>
        </is>
      </c>
      <c r="T548" s="36">
        <f>IF($A548="","",IF($S548="","",IFERROR(INDEX('[1]natural catastrophe'!$D$6:$D$17,MATCH($S548,'[1]natural catastrophe'!$B$6:$B$17,0)),"?")))</f>
      </c>
      <c r="U548" s="46" t="inlineStr">
        <is>
          <t xml:space="preserve">2% of agreed value, minimum $10,000</t>
        </is>
      </c>
      <c r="V548" s="48" t="inlineStr">
        <is>
          <t xml:space="preserve">Agreed Value</t>
        </is>
      </c>
      <c r="W548" s="46" t="inlineStr">
        <is>
          <t xml:space="preserve">$1,000</t>
        </is>
      </c>
      <c r="X548" s="48" t="inlineStr">
        <is>
          <t xml:space="preserve">$1,000,000 CSL</t>
        </is>
      </c>
      <c r="Y548" s="46"/>
      <c r="Z548" s="46"/>
      <c r="AA548" s="48" t="inlineStr">
        <is>
          <t xml:space="preserve">Surplus Lines</t>
        </is>
      </c>
      <c r="AB548" s="50">
        <v>2910.05</v>
      </c>
      <c r="AC548" s="51">
        <v>0</v>
      </c>
      <c r="AD548" s="38">
        <f>IF(ISNUMBER($AB548),$AB548*(1+N($AC548)),"")</f>
      </c>
      <c r="AE548" s="50">
        <v>350</v>
      </c>
      <c r="AF548" s="50">
        <v>0</v>
      </c>
      <c r="AG548" s="51"/>
      <c r="AH548" s="39">
        <f>IF(ISNUMBER($AD548),($AD548+$AE548+$AF548)*$AG548,"")</f>
      </c>
      <c r="AI548" s="50"/>
      <c r="AJ548" s="38">
        <f>IF(ISNUMBER($AD548),SUM($AD548:$AH548),"")</f>
      </c>
      <c r="AK548" s="40">
        <f>IF(AND(ISNUMBER($AB548),ISNUMBER($AD548)),IF($AB548&gt;0,$AD548/$AB548,""),"")</f>
      </c>
      <c r="AL548" s="48" t="inlineStr">
        <is>
          <t xml:space="preserve">At technical</t>
        </is>
      </c>
      <c r="AM548" s="41">
        <f>IF(ISNUMBER($AD548),Header!$I$3,"")</f>
      </c>
      <c r="AN548" s="39">
        <f>IF(ISNUMBER($AD548),$AO548+$AP548,"")</f>
      </c>
      <c r="AO548" s="39">
        <f>IF(ISNUMBER($AD548),ROUND($AD548*Header!$K$3,2),"")</f>
      </c>
      <c r="AP548" s="39">
        <f>IF(ISNUMBER($AD548),ROUND($AD548*Header!$M$3,2),"")</f>
      </c>
      <c r="AQ548" s="38">
        <f>IF(ISNUMBER($AD548),ROUND($AD548,2)-$AO548-$AP548,"")</f>
      </c>
      <c r="AR548" s="39">
        <f>IF(ISNUMBER($AD548),IF(Header!$D$34="","?",$AD548*Header!$D$34),"")</f>
      </c>
      <c r="AS548" s="39">
        <f>IF(ISNUMBER($AB548),IF(Header!$D$34="","?",$AB548*Header!$D$34),"")</f>
      </c>
      <c r="AT548" s="42">
        <f>IF(AND(ISNUMBER($AB548),$M548&gt;0),$AB548/$M548*100,"")</f>
      </c>
      <c r="AU548" s="42">
        <f>IF(AND(ISNUMBER($AD548),$M548&gt;0),$AD548/$M548*100,"")</f>
      </c>
      <c r="AV548" s="40">
        <f>IF(AND(ISNUMBER($AB548),ISNUMBER($AD548),ABS($AB548)&gt;0),$AD548/$AB548,"")</f>
      </c>
      <c r="AW548" s="39">
        <f>IF(ISNUMBER($AD548),MAX(0,(1-0.55-Header!$O$3)*Header!$Q$3*$AQ548),"")</f>
      </c>
      <c r="AX548" s="43">
        <f>IF($A548="","",IF(TRIM(IF($A548="","Missing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",""))="","PASS","FAIL: "&amp;TRIM(IF($A548="","Missing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f>
      </c>
      <c r="AY548" s="44">
        <f>IF($M548="","",IF(ISNUMBER($M548),IF($M548&gt;=Header!$C$18,"YES — refer","No"),""))</f>
      </c>
      <c r="AZ548" s="44">
        <f>IF($AD548="","",IF(ISNUMBER($AD548),IF($AD548&lt;Header!$C$20,"BELOW MIN PREMIUM","OK"),""))</f>
      </c>
      <c r="BA548" s="48" t="inlineStr">
        <is>
          <t xml:space="preserve">Yes</t>
        </is>
      </c>
      <c r="BB548" s="48" t="inlineStr">
        <is>
          <t xml:space="preserve">Yes</t>
        </is>
      </c>
      <c r="BC548" s="46" t="inlineStr">
        <is>
          <t xml:space="preserve">Synthetic demo data</t>
        </is>
      </c>
      <c r="BE548" s="45">
        <f>IF(OR($A548="",$L548="",$H548=""),"",IF(AND(LEFT($L548,2)="06",$H548&gt;1945),"FAIL - pre-war class, year "&amp;$H548,IF(AND(LEFT($L548,2)="07",OR($H548&lt;1946,$H548&gt;1972)),"FAIL - 1946-72 class, year "&amp;$H548,IF(AND(LEFT($L548,2)="08",OR($H548&lt;1973,$H548&gt;1999)),"FAIL - 1973-99 class, year "&amp;$H548,IF(AND(LEFT($L548,2)="09",OR($H548&lt;2000,$H548&gt;2010)),"FAIL - 2000-10 class, year "&amp;$H548,"OK")))))</f>
      </c>
      <c r="BF548" s="45">
        <f>IF($AD548="","",IF(ROUND($AO548+$AP548+$AQ548-$AD548,2)=0,"OK","FAIL - out by "&amp;TEXT($AO548+$AP548+$AQ548-$AD548,"$0.00")))</f>
      </c>
    </row>
    <row r="549" spans="1:58" ht="18.75" customHeight="1" x14ac:dyDescent="0.25">
      <c r="A549" s="30" t="inlineStr">
        <is>
          <t xml:space="preserve">CANON-202606-009153</t>
        </is>
      </c>
      <c r="B549" s="30" t="inlineStr">
        <is>
          <t xml:space="preserve">Fitzgerald Bellandi</t>
        </is>
      </c>
      <c r="C549" s="31">
        <v>46177</v>
      </c>
      <c r="D549" s="32" t="inlineStr">
        <is>
          <t xml:space="preserve">Bound - within authority</t>
        </is>
      </c>
      <c r="E549" s="32" t="inlineStr">
        <is>
          <t xml:space="preserve">New business</t>
        </is>
      </c>
      <c r="F549" s="30" t="inlineStr">
        <is>
          <t xml:space="preserve">B1234EXOTIC26</t>
        </is>
      </c>
      <c r="G549" s="33">
        <f>IF($A549="","",IF($C549="","",YEAR($C549)))</f>
      </c>
      <c r="H549" s="34">
        <v>1959</v>
      </c>
      <c r="I549" s="30" t="inlineStr">
        <is>
          <t xml:space="preserve">Mercedes-Benz</t>
        </is>
      </c>
      <c r="J549" s="30" t="inlineStr">
        <is>
          <t xml:space="preserve">280SL Pagoda</t>
        </is>
      </c>
      <c r="K549" s="30" t="inlineStr">
        <is>
          <t xml:space="preserve">KPMDLNDKYN68YT29W</t>
        </is>
      </c>
      <c r="L549" s="32" t="inlineStr">
        <is>
          <t xml:space="preserve">07 - Post-War Classic (1946-1972)</t>
        </is>
      </c>
      <c r="M549" s="35">
        <v>1235000</v>
      </c>
      <c r="N549" s="32" t="inlineStr">
        <is>
          <t xml:space="preserve">Personal</t>
        </is>
      </c>
      <c r="O549" s="30" t="inlineStr">
        <is>
          <t xml:space="preserve">Personal - regular use</t>
        </is>
      </c>
      <c r="P549" s="30" t="inlineStr">
        <is>
          <t xml:space="preserve">2,500 - 5,000</t>
        </is>
      </c>
      <c r="Q549" s="30" t="inlineStr">
        <is>
          <t xml:space="preserve">Texas</t>
        </is>
      </c>
      <c r="R549" s="30" t="inlineStr">
        <is>
          <t xml:space="preserve">75201</t>
        </is>
      </c>
      <c r="S549" s="32" t="inlineStr">
        <is>
          <t xml:space="preserve">Tier 2 - Coastal wind (1-25 miles)</t>
        </is>
      </c>
      <c r="T549" s="36">
        <f>IF($A549="","",IF($S549="","",IFERROR(INDEX('[1]natural catastrophe'!$D$6:$D$17,MATCH($S549,'[1]natural catastrophe'!$B$6:$B$17,0)),"?")))</f>
      </c>
      <c r="U549" s="30" t="inlineStr">
        <is>
          <t xml:space="preserve">2% of agreed value, minimum $10,000</t>
        </is>
      </c>
      <c r="V549" s="32" t="inlineStr">
        <is>
          <t xml:space="preserve">Agreed Value</t>
        </is>
      </c>
      <c r="W549" s="30" t="inlineStr">
        <is>
          <t xml:space="preserve">$1,000</t>
        </is>
      </c>
      <c r="X549" s="32" t="inlineStr">
        <is>
          <t xml:space="preserve">$1,000,000 CSL</t>
        </is>
      </c>
      <c r="Y549" s="30"/>
      <c r="Z549" s="30"/>
      <c r="AA549" s="32" t="inlineStr">
        <is>
          <t xml:space="preserve">Surplus Lines</t>
        </is>
      </c>
      <c r="AB549" s="35">
        <v>7787.9</v>
      </c>
      <c r="AC549" s="37">
        <v>0</v>
      </c>
      <c r="AD549" s="38">
        <f>IF(ISNUMBER($AB549),$AB549*(1+N($AC549)),"")</f>
      </c>
      <c r="AE549" s="35">
        <v>350</v>
      </c>
      <c r="AF549" s="35">
        <v>250</v>
      </c>
      <c r="AG549" s="37"/>
      <c r="AH549" s="39">
        <f>IF(ISNUMBER($AD549),($AD549+$AE549+$AF549)*$AG549,"")</f>
      </c>
      <c r="AI549" s="35"/>
      <c r="AJ549" s="38">
        <f>IF(ISNUMBER($AD549),SUM($AD549:$AH549),"")</f>
      </c>
      <c r="AK549" s="40">
        <f>IF(AND(ISNUMBER($AB549),ISNUMBER($AD549)),IF($AB549&gt;0,$AD549/$AB549,""),"")</f>
      </c>
      <c r="AL549" s="32" t="inlineStr">
        <is>
          <t xml:space="preserve">At technical</t>
        </is>
      </c>
      <c r="AM549" s="41">
        <f>IF(ISNUMBER($AD549),Header!$I$3,"")</f>
      </c>
      <c r="AN549" s="39">
        <f>IF(ISNUMBER($AD549),$AO549+$AP549,"")</f>
      </c>
      <c r="AO549" s="39">
        <f>IF(ISNUMBER($AD549),ROUND($AD549*Header!$K$3,2),"")</f>
      </c>
      <c r="AP549" s="39">
        <f>IF(ISNUMBER($AD549),ROUND($AD549*Header!$M$3,2),"")</f>
      </c>
      <c r="AQ549" s="38">
        <f>IF(ISNUMBER($AD549),ROUND($AD549,2)-$AO549-$AP549,"")</f>
      </c>
      <c r="AR549" s="39">
        <f>IF(ISNUMBER($AD549),IF(Header!$D$34="","?",$AD549*Header!$D$34),"")</f>
      </c>
      <c r="AS549" s="39">
        <f>IF(ISNUMBER($AB549),IF(Header!$D$34="","?",$AB549*Header!$D$34),"")</f>
      </c>
      <c r="AT549" s="42">
        <f>IF(AND(ISNUMBER($AB549),$M549&gt;0),$AB549/$M549*100,"")</f>
      </c>
      <c r="AU549" s="42">
        <f>IF(AND(ISNUMBER($AD549),$M549&gt;0),$AD549/$M549*100,"")</f>
      </c>
      <c r="AV549" s="40">
        <f>IF(AND(ISNUMBER($AB549),ISNUMBER($AD549),ABS($AB549)&gt;0),$AD549/$AB549,"")</f>
      </c>
      <c r="AW549" s="39">
        <f>IF(ISNUMBER($AD549),MAX(0,(1-0.55-Header!$O$3)*Header!$Q$3*$AQ549),"")</f>
      </c>
      <c r="AX549" s="43">
        <f>IF($A549="","",IF(TRIM(IF($A549="","Missing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",""))="","PASS","FAIL: "&amp;TRIM(IF($A549="","Missing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f>
      </c>
      <c r="AY549" s="44">
        <f>IF($M549="","",IF(ISNUMBER($M549),IF($M549&gt;=Header!$C$18,"YES — refer","No"),""))</f>
      </c>
      <c r="AZ549" s="44">
        <f>IF($AD549="","",IF(ISNUMBER($AD549),IF($AD549&lt;Header!$C$20,"BELOW MIN PREMIUM","OK"),""))</f>
      </c>
      <c r="BA549" s="32" t="inlineStr">
        <is>
          <t xml:space="preserve">Yes</t>
        </is>
      </c>
      <c r="BB549" s="32" t="inlineStr">
        <is>
          <t xml:space="preserve">Yes</t>
        </is>
      </c>
      <c r="BC549" s="30" t="inlineStr">
        <is>
          <t xml:space="preserve">Synthetic demo data</t>
        </is>
      </c>
      <c r="BE549" s="45">
        <f>IF(OR($A549="",$L549="",$H549=""),"",IF(AND(LEFT($L549,2)="06",$H549&gt;1945),"FAIL - pre-war class, year "&amp;$H549,IF(AND(LEFT($L549,2)="07",OR($H549&lt;1946,$H549&gt;1972)),"FAIL - 1946-72 class, year "&amp;$H549,IF(AND(LEFT($L549,2)="08",OR($H549&lt;1973,$H549&gt;1999)),"FAIL - 1973-99 class, year "&amp;$H549,IF(AND(LEFT($L549,2)="09",OR($H549&lt;2000,$H549&gt;2010)),"FAIL - 2000-10 class, year "&amp;$H549,"OK")))))</f>
      </c>
      <c r="BF549" s="45">
        <f>IF($AD549="","",IF(ROUND($AO549+$AP549+$AQ549-$AD549,2)=0,"OK","FAIL - out by "&amp;TEXT($AO549+$AP549+$AQ549-$AD549,"$0.00")))</f>
      </c>
    </row>
    <row r="550" spans="1:58" ht="18.75" customHeight="1" x14ac:dyDescent="0.25">
      <c r="A550" s="46" t="inlineStr">
        <is>
          <t xml:space="preserve">CANON-202606-009154</t>
        </is>
      </c>
      <c r="B550" s="46" t="inlineStr">
        <is>
          <t xml:space="preserve">Desmond Vasquez</t>
        </is>
      </c>
      <c r="C550" s="47">
        <v>46181</v>
      </c>
      <c r="D550" s="48" t="inlineStr">
        <is>
          <t xml:space="preserve">Bound - within authority</t>
        </is>
      </c>
      <c r="E550" s="48" t="inlineStr">
        <is>
          <t xml:space="preserve">New business</t>
        </is>
      </c>
      <c r="F550" s="46" t="inlineStr">
        <is>
          <t xml:space="preserve">B1234EXOTIC26</t>
        </is>
      </c>
      <c r="G550" s="33">
        <f>IF($A550="","",IF($C550="","",YEAR($C550)))</f>
      </c>
      <c r="H550" s="49">
        <v>1987</v>
      </c>
      <c r="I550" s="46" t="inlineStr">
        <is>
          <t xml:space="preserve">Porsche</t>
        </is>
      </c>
      <c r="J550" s="46" t="inlineStr">
        <is>
          <t xml:space="preserve">911 Turbo S</t>
        </is>
      </c>
      <c r="K550" s="46" t="inlineStr">
        <is>
          <t xml:space="preserve">TML97YPE4T3ZU8FRZ</t>
        </is>
      </c>
      <c r="L550" s="48" t="inlineStr">
        <is>
          <t xml:space="preserve">02 - Sports / GT</t>
        </is>
      </c>
      <c r="M550" s="50">
        <v>625000</v>
      </c>
      <c r="N550" s="48" t="inlineStr">
        <is>
          <t xml:space="preserve">Personal</t>
        </is>
      </c>
      <c r="O550" s="46" t="inlineStr">
        <is>
          <t xml:space="preserve">Personal - regular use</t>
        </is>
      </c>
      <c r="P550" s="46" t="inlineStr">
        <is>
          <t xml:space="preserve">2,500 - 5,000</t>
        </is>
      </c>
      <c r="Q550" s="46" t="inlineStr">
        <is>
          <t xml:space="preserve">New Jersey</t>
        </is>
      </c>
      <c r="R550" s="46" t="inlineStr">
        <is>
          <t xml:space="preserve">07102</t>
        </is>
      </c>
      <c r="S550" s="48" t="inlineStr">
        <is>
          <t xml:space="preserve">Tier 3 - Coastal wind (25-100 miles)</t>
        </is>
      </c>
      <c r="T550" s="36">
        <f>IF($A550="","",IF($S550="","",IFERROR(INDEX('[1]natural catastrophe'!$D$6:$D$17,MATCH($S550,'[1]natural catastrophe'!$B$6:$B$17,0)),"?")))</f>
      </c>
      <c r="U550" s="46" t="inlineStr">
        <is>
          <t xml:space="preserve">2% of agreed value, minimum $10,000</t>
        </is>
      </c>
      <c r="V550" s="48" t="inlineStr">
        <is>
          <t xml:space="preserve">Agreed Value</t>
        </is>
      </c>
      <c r="W550" s="46" t="inlineStr">
        <is>
          <t xml:space="preserve">$1,000</t>
        </is>
      </c>
      <c r="X550" s="48" t="inlineStr">
        <is>
          <t xml:space="preserve">$1,000,000 CSL</t>
        </is>
      </c>
      <c r="Y550" s="46"/>
      <c r="Z550" s="46"/>
      <c r="AA550" s="48" t="inlineStr">
        <is>
          <t xml:space="preserve">Surplus Lines</t>
        </is>
      </c>
      <c r="AB550" s="50">
        <v>5334.66</v>
      </c>
      <c r="AC550" s="51">
        <v>0</v>
      </c>
      <c r="AD550" s="38">
        <f>IF(ISNUMBER($AB550),$AB550*(1+N($AC550)),"")</f>
      </c>
      <c r="AE550" s="50">
        <v>350</v>
      </c>
      <c r="AF550" s="50">
        <v>0</v>
      </c>
      <c r="AG550" s="51"/>
      <c r="AH550" s="39">
        <f>IF(ISNUMBER($AD550),($AD550+$AE550+$AF550)*$AG550,"")</f>
      </c>
      <c r="AI550" s="50"/>
      <c r="AJ550" s="38">
        <f>IF(ISNUMBER($AD550),SUM($AD550:$AH550),"")</f>
      </c>
      <c r="AK550" s="40">
        <f>IF(AND(ISNUMBER($AB550),ISNUMBER($AD550)),IF($AB550&gt;0,$AD550/$AB550,""),"")</f>
      </c>
      <c r="AL550" s="48" t="inlineStr">
        <is>
          <t xml:space="preserve">At technical</t>
        </is>
      </c>
      <c r="AM550" s="41">
        <f>IF(ISNUMBER($AD550),Header!$I$3,"")</f>
      </c>
      <c r="AN550" s="39">
        <f>IF(ISNUMBER($AD550),$AO550+$AP550,"")</f>
      </c>
      <c r="AO550" s="39">
        <f>IF(ISNUMBER($AD550),ROUND($AD550*Header!$K$3,2),"")</f>
      </c>
      <c r="AP550" s="39">
        <f>IF(ISNUMBER($AD550),ROUND($AD550*Header!$M$3,2),"")</f>
      </c>
      <c r="AQ550" s="38">
        <f>IF(ISNUMBER($AD550),ROUND($AD550,2)-$AO550-$AP550,"")</f>
      </c>
      <c r="AR550" s="39">
        <f>IF(ISNUMBER($AD550),IF(Header!$D$34="","?",$AD550*Header!$D$34),"")</f>
      </c>
      <c r="AS550" s="39">
        <f>IF(ISNUMBER($AB550),IF(Header!$D$34="","?",$AB550*Header!$D$34),"")</f>
      </c>
      <c r="AT550" s="42">
        <f>IF(AND(ISNUMBER($AB550),$M550&gt;0),$AB550/$M550*100,"")</f>
      </c>
      <c r="AU550" s="42">
        <f>IF(AND(ISNUMBER($AD550),$M550&gt;0),$AD550/$M550*100,"")</f>
      </c>
      <c r="AV550" s="40">
        <f>IF(AND(ISNUMBER($AB550),ISNUMBER($AD550),ABS($AB550)&gt;0),$AD550/$AB550,"")</f>
      </c>
      <c r="AW550" s="39">
        <f>IF(ISNUMBER($AD550),MAX(0,(1-0.55-Header!$O$3)*Header!$Q$3*$AQ550),"")</f>
      </c>
      <c r="AX550" s="43">
        <f>IF($A550="","",IF(TRIM(IF($A550="","Missing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",""))="","PASS","FAIL: "&amp;TRIM(IF($A550="","Missing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f>
      </c>
      <c r="AY550" s="44">
        <f>IF($M550="","",IF(ISNUMBER($M550),IF($M550&gt;=Header!$C$18,"YES — refer","No"),""))</f>
      </c>
      <c r="AZ550" s="44">
        <f>IF($AD550="","",IF(ISNUMBER($AD550),IF($AD550&lt;Header!$C$20,"BELOW MIN PREMIUM","OK"),""))</f>
      </c>
      <c r="BA550" s="48" t="inlineStr">
        <is>
          <t xml:space="preserve">Yes</t>
        </is>
      </c>
      <c r="BB550" s="48" t="inlineStr">
        <is>
          <t xml:space="preserve">Yes</t>
        </is>
      </c>
      <c r="BC550" s="46" t="inlineStr">
        <is>
          <t xml:space="preserve">Synthetic demo data</t>
        </is>
      </c>
      <c r="BE550" s="45">
        <f>IF(OR($A550="",$L550="",$H550=""),"",IF(AND(LEFT($L550,2)="06",$H550&gt;1945),"FAIL - pre-war class, year "&amp;$H550,IF(AND(LEFT($L550,2)="07",OR($H550&lt;1946,$H550&gt;1972)),"FAIL - 1946-72 class, year "&amp;$H550,IF(AND(LEFT($L550,2)="08",OR($H550&lt;1973,$H550&gt;1999)),"FAIL - 1973-99 class, year "&amp;$H550,IF(AND(LEFT($L550,2)="09",OR($H550&lt;2000,$H550&gt;2010)),"FAIL - 2000-10 class, year "&amp;$H550,"OK")))))</f>
      </c>
      <c r="BF550" s="45">
        <f>IF($AD550="","",IF(ROUND($AO550+$AP550+$AQ550-$AD550,2)=0,"OK","FAIL - out by "&amp;TEXT($AO550+$AP550+$AQ550-$AD550,"$0.00")))</f>
      </c>
    </row>
    <row r="551" spans="1:58" ht="18.75" customHeight="1" x14ac:dyDescent="0.25">
      <c r="A551" s="30" t="inlineStr">
        <is>
          <t xml:space="preserve">CANON-202606-009155</t>
        </is>
      </c>
      <c r="B551" s="30" t="inlineStr">
        <is>
          <t xml:space="preserve">Mireille Montoya</t>
        </is>
      </c>
      <c r="C551" s="31">
        <v>46199</v>
      </c>
      <c r="D551" s="32" t="inlineStr">
        <is>
          <t xml:space="preserve">Bound - within authority</t>
        </is>
      </c>
      <c r="E551" s="32" t="inlineStr">
        <is>
          <t xml:space="preserve">New business</t>
        </is>
      </c>
      <c r="F551" s="30" t="inlineStr">
        <is>
          <t xml:space="preserve">B1234EXOTIC26</t>
        </is>
      </c>
      <c r="G551" s="33">
        <f>IF($A551="","",IF($C551="","",YEAR($C551)))</f>
      </c>
      <c r="H551" s="34">
        <v>1998</v>
      </c>
      <c r="I551" s="30" t="inlineStr">
        <is>
          <t xml:space="preserve">Bentley</t>
        </is>
      </c>
      <c r="J551" s="30" t="inlineStr">
        <is>
          <t xml:space="preserve">Continental GT</t>
        </is>
      </c>
      <c r="K551" s="30" t="inlineStr">
        <is>
          <t xml:space="preserve">503W42NK1FT2FC4UW</t>
        </is>
      </c>
      <c r="L551" s="32" t="inlineStr">
        <is>
          <t xml:space="preserve">02 - Sports / GT</t>
        </is>
      </c>
      <c r="M551" s="35">
        <v>565000</v>
      </c>
      <c r="N551" s="32" t="inlineStr">
        <is>
          <t xml:space="preserve">Personal</t>
        </is>
      </c>
      <c r="O551" s="30" t="inlineStr">
        <is>
          <t xml:space="preserve">Personal - regular use</t>
        </is>
      </c>
      <c r="P551" s="30" t="inlineStr">
        <is>
          <t xml:space="preserve">1,000 - 2,500</t>
        </is>
      </c>
      <c r="Q551" s="30" t="inlineStr">
        <is>
          <t xml:space="preserve">New York</t>
        </is>
      </c>
      <c r="R551" s="30" t="inlineStr">
        <is>
          <t xml:space="preserve">10022</t>
        </is>
      </c>
      <c r="S551" s="32" t="inlineStr">
        <is>
          <t xml:space="preserve">Tier 3 - Coastal wind (25-100 miles)</t>
        </is>
      </c>
      <c r="T551" s="36">
        <f>IF($A551="","",IF($S551="","",IFERROR(INDEX('[1]natural catastrophe'!$D$6:$D$17,MATCH($S551,'[1]natural catastrophe'!$B$6:$B$17,0)),"?")))</f>
      </c>
      <c r="U551" s="30" t="inlineStr">
        <is>
          <t xml:space="preserve">2% of agreed value, minimum $10,000</t>
        </is>
      </c>
      <c r="V551" s="32" t="inlineStr">
        <is>
          <t xml:space="preserve">Agreed Value</t>
        </is>
      </c>
      <c r="W551" s="30" t="inlineStr">
        <is>
          <t xml:space="preserve">$1,000</t>
        </is>
      </c>
      <c r="X551" s="32" t="inlineStr">
        <is>
          <t xml:space="preserve">$1,000,000 CSL</t>
        </is>
      </c>
      <c r="Y551" s="30"/>
      <c r="Z551" s="30"/>
      <c r="AA551" s="32" t="inlineStr">
        <is>
          <t xml:space="preserve">Surplus Lines</t>
        </is>
      </c>
      <c r="AB551" s="35">
        <v>6783.34</v>
      </c>
      <c r="AC551" s="37">
        <v>0</v>
      </c>
      <c r="AD551" s="38">
        <f>IF(ISNUMBER($AB551),$AB551*(1+N($AC551)),"")</f>
      </c>
      <c r="AE551" s="35">
        <v>350</v>
      </c>
      <c r="AF551" s="35">
        <v>0</v>
      </c>
      <c r="AG551" s="37"/>
      <c r="AH551" s="39">
        <f>IF(ISNUMBER($AD551),($AD551+$AE551+$AF551)*$AG551,"")</f>
      </c>
      <c r="AI551" s="35"/>
      <c r="AJ551" s="38">
        <f>IF(ISNUMBER($AD551),SUM($AD551:$AH551),"")</f>
      </c>
      <c r="AK551" s="40">
        <f>IF(AND(ISNUMBER($AB551),ISNUMBER($AD551)),IF($AB551&gt;0,$AD551/$AB551,""),"")</f>
      </c>
      <c r="AL551" s="32" t="inlineStr">
        <is>
          <t xml:space="preserve">At technical</t>
        </is>
      </c>
      <c r="AM551" s="41">
        <f>IF(ISNUMBER($AD551),Header!$I$3,"")</f>
      </c>
      <c r="AN551" s="39">
        <f>IF(ISNUMBER($AD551),$AO551+$AP551,"")</f>
      </c>
      <c r="AO551" s="39">
        <f>IF(ISNUMBER($AD551),ROUND($AD551*Header!$K$3,2),"")</f>
      </c>
      <c r="AP551" s="39">
        <f>IF(ISNUMBER($AD551),ROUND($AD551*Header!$M$3,2),"")</f>
      </c>
      <c r="AQ551" s="38">
        <f>IF(ISNUMBER($AD551),ROUND($AD551,2)-$AO551-$AP551,"")</f>
      </c>
      <c r="AR551" s="39">
        <f>IF(ISNUMBER($AD551),IF(Header!$D$34="","?",$AD551*Header!$D$34),"")</f>
      </c>
      <c r="AS551" s="39">
        <f>IF(ISNUMBER($AB551),IF(Header!$D$34="","?",$AB551*Header!$D$34),"")</f>
      </c>
      <c r="AT551" s="42">
        <f>IF(AND(ISNUMBER($AB551),$M551&gt;0),$AB551/$M551*100,"")</f>
      </c>
      <c r="AU551" s="42">
        <f>IF(AND(ISNUMBER($AD551),$M551&gt;0),$AD551/$M551*100,"")</f>
      </c>
      <c r="AV551" s="40">
        <f>IF(AND(ISNUMBER($AB551),ISNUMBER($AD551),ABS($AB551)&gt;0),$AD551/$AB551,"")</f>
      </c>
      <c r="AW551" s="39">
        <f>IF(ISNUMBER($AD551),MAX(0,(1-0.55-Header!$O$3)*Header!$Q$3*$AQ551),"")</f>
      </c>
      <c r="AX551" s="43">
        <f>IF($A551="","",IF(TRIM(IF($A551="","Missing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",""))="","PASS","FAIL: "&amp;TRIM(IF($A551="","Missing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f>
      </c>
      <c r="AY551" s="44">
        <f>IF($M551="","",IF(ISNUMBER($M551),IF($M551&gt;=Header!$C$18,"YES — refer","No"),""))</f>
      </c>
      <c r="AZ551" s="44">
        <f>IF($AD551="","",IF(ISNUMBER($AD551),IF($AD551&lt;Header!$C$20,"BELOW MIN PREMIUM","OK"),""))</f>
      </c>
      <c r="BA551" s="32" t="inlineStr">
        <is>
          <t xml:space="preserve">Yes</t>
        </is>
      </c>
      <c r="BB551" s="32" t="inlineStr">
        <is>
          <t xml:space="preserve">Yes</t>
        </is>
      </c>
      <c r="BC551" s="30" t="inlineStr">
        <is>
          <t xml:space="preserve">Synthetic demo data</t>
        </is>
      </c>
      <c r="BE551" s="45">
        <f>IF(OR($A551="",$L551="",$H551=""),"",IF(AND(LEFT($L551,2)="06",$H551&gt;1945),"FAIL - pre-war class, year "&amp;$H551,IF(AND(LEFT($L551,2)="07",OR($H551&lt;1946,$H551&gt;1972)),"FAIL - 1946-72 class, year "&amp;$H551,IF(AND(LEFT($L551,2)="08",OR($H551&lt;1973,$H551&gt;1999)),"FAIL - 1973-99 class, year "&amp;$H551,IF(AND(LEFT($L551,2)="09",OR($H551&lt;2000,$H551&gt;2010)),"FAIL - 2000-10 class, year "&amp;$H551,"OK")))))</f>
      </c>
      <c r="BF551" s="45">
        <f>IF($AD551="","",IF(ROUND($AO551+$AP551+$AQ551-$AD551,2)=0,"OK","FAIL - out by "&amp;TEXT($AO551+$AP551+$AQ551-$AD551,"$0.00")))</f>
      </c>
    </row>
    <row r="552" spans="1:58" ht="18.75" customHeight="1" x14ac:dyDescent="0.25">
      <c r="A552" s="46" t="inlineStr">
        <is>
          <t xml:space="preserve">CANON-202606-009156</t>
        </is>
      </c>
      <c r="B552" s="46" t="inlineStr">
        <is>
          <t xml:space="preserve">Callum Pennington</t>
        </is>
      </c>
      <c r="C552" s="47">
        <v>46202</v>
      </c>
      <c r="D552" s="48" t="inlineStr">
        <is>
          <t xml:space="preserve">Bound - within authority</t>
        </is>
      </c>
      <c r="E552" s="48" t="inlineStr">
        <is>
          <t xml:space="preserve">New business</t>
        </is>
      </c>
      <c r="F552" s="46" t="inlineStr">
        <is>
          <t xml:space="preserve">B1234EXOTIC26</t>
        </is>
      </c>
      <c r="G552" s="33">
        <f>IF($A552="","",IF($C552="","",YEAR($C552)))</f>
      </c>
      <c r="H552" s="49">
        <v>1988</v>
      </c>
      <c r="I552" s="46" t="inlineStr">
        <is>
          <t xml:space="preserve">Porsche</t>
        </is>
      </c>
      <c r="J552" s="46" t="inlineStr">
        <is>
          <t xml:space="preserve">911 Turbo S</t>
        </is>
      </c>
      <c r="K552" s="46" t="inlineStr">
        <is>
          <t xml:space="preserve">BF0E9L3DHDRERSH09</t>
        </is>
      </c>
      <c r="L552" s="48" t="inlineStr">
        <is>
          <t xml:space="preserve">02 - Sports / GT</t>
        </is>
      </c>
      <c r="M552" s="50">
        <v>395000</v>
      </c>
      <c r="N552" s="48" t="inlineStr">
        <is>
          <t xml:space="preserve">Personal</t>
        </is>
      </c>
      <c r="O552" s="46" t="inlineStr">
        <is>
          <t xml:space="preserve">Personal - regular use</t>
        </is>
      </c>
      <c r="P552" s="46" t="inlineStr">
        <is>
          <t xml:space="preserve">2,500 - 5,000</t>
        </is>
      </c>
      <c r="Q552" s="46" t="inlineStr">
        <is>
          <t xml:space="preserve">Colorado</t>
        </is>
      </c>
      <c r="R552" s="46" t="inlineStr">
        <is>
          <t xml:space="preserve">80202</t>
        </is>
      </c>
      <c r="S552" s="48" t="inlineStr">
        <is>
          <t xml:space="preserve">Severe convective - hail alley (high)</t>
        </is>
      </c>
      <c r="T552" s="36">
        <f>IF($A552="","",IF($S552="","",IFERROR(INDEX('[1]natural catastrophe'!$D$6:$D$17,MATCH($S552,'[1]natural catastrophe'!$B$6:$B$17,0)),"?")))</f>
      </c>
      <c r="U552" s="46" t="inlineStr">
        <is>
          <t xml:space="preserve">$5,000</t>
        </is>
      </c>
      <c r="V552" s="48" t="inlineStr">
        <is>
          <t xml:space="preserve">Agreed Value</t>
        </is>
      </c>
      <c r="W552" s="46" t="inlineStr">
        <is>
          <t xml:space="preserve">$1,000</t>
        </is>
      </c>
      <c r="X552" s="48" t="inlineStr">
        <is>
          <t xml:space="preserve">$1,000,000 CSL</t>
        </is>
      </c>
      <c r="Y552" s="46"/>
      <c r="Z552" s="46"/>
      <c r="AA552" s="48" t="inlineStr">
        <is>
          <t xml:space="preserve">Surplus Lines</t>
        </is>
      </c>
      <c r="AB552" s="50">
        <v>4702.43</v>
      </c>
      <c r="AC552" s="51">
        <v>0</v>
      </c>
      <c r="AD552" s="38">
        <f>IF(ISNUMBER($AB552),$AB552*(1+N($AC552)),"")</f>
      </c>
      <c r="AE552" s="50">
        <v>350</v>
      </c>
      <c r="AF552" s="50">
        <v>0</v>
      </c>
      <c r="AG552" s="51"/>
      <c r="AH552" s="39">
        <f>IF(ISNUMBER($AD552),($AD552+$AE552+$AF552)*$AG552,"")</f>
      </c>
      <c r="AI552" s="50"/>
      <c r="AJ552" s="38">
        <f>IF(ISNUMBER($AD552),SUM($AD552:$AH552),"")</f>
      </c>
      <c r="AK552" s="40">
        <f>IF(AND(ISNUMBER($AB552),ISNUMBER($AD552)),IF($AB552&gt;0,$AD552/$AB552,""),"")</f>
      </c>
      <c r="AL552" s="48" t="inlineStr">
        <is>
          <t xml:space="preserve">At technical</t>
        </is>
      </c>
      <c r="AM552" s="41">
        <f>IF(ISNUMBER($AD552),Header!$I$3,"")</f>
      </c>
      <c r="AN552" s="39">
        <f>IF(ISNUMBER($AD552),$AO552+$AP552,"")</f>
      </c>
      <c r="AO552" s="39">
        <f>IF(ISNUMBER($AD552),ROUND($AD552*Header!$K$3,2),"")</f>
      </c>
      <c r="AP552" s="39">
        <f>IF(ISNUMBER($AD552),ROUND($AD552*Header!$M$3,2),"")</f>
      </c>
      <c r="AQ552" s="38">
        <f>IF(ISNUMBER($AD552),ROUND($AD552,2)-$AO552-$AP552,"")</f>
      </c>
      <c r="AR552" s="39">
        <f>IF(ISNUMBER($AD552),IF(Header!$D$34="","?",$AD552*Header!$D$34),"")</f>
      </c>
      <c r="AS552" s="39">
        <f>IF(ISNUMBER($AB552),IF(Header!$D$34="","?",$AB552*Header!$D$34),"")</f>
      </c>
      <c r="AT552" s="42">
        <f>IF(AND(ISNUMBER($AB552),$M552&gt;0),$AB552/$M552*100,"")</f>
      </c>
      <c r="AU552" s="42">
        <f>IF(AND(ISNUMBER($AD552),$M552&gt;0),$AD552/$M552*100,"")</f>
      </c>
      <c r="AV552" s="40">
        <f>IF(AND(ISNUMBER($AB552),ISNUMBER($AD552),ABS($AB552)&gt;0),$AD552/$AB552,"")</f>
      </c>
      <c r="AW552" s="39">
        <f>IF(ISNUMBER($AD552),MAX(0,(1-0.55-Header!$O$3)*Header!$Q$3*$AQ552),"")</f>
      </c>
      <c r="AX552" s="43">
        <f>IF($A552="","",IF(TRIM(IF($A552="","Missing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",""))="","PASS","FAIL: "&amp;TRIM(IF($A552="","Missing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f>
      </c>
      <c r="AY552" s="44">
        <f>IF($M552="","",IF(ISNUMBER($M552),IF($M552&gt;=Header!$C$18,"YES — refer","No"),""))</f>
      </c>
      <c r="AZ552" s="44">
        <f>IF($AD552="","",IF(ISNUMBER($AD552),IF($AD552&lt;Header!$C$20,"BELOW MIN PREMIUM","OK"),""))</f>
      </c>
      <c r="BA552" s="48" t="inlineStr">
        <is>
          <t xml:space="preserve">Yes</t>
        </is>
      </c>
      <c r="BB552" s="48" t="inlineStr">
        <is>
          <t xml:space="preserve">Yes</t>
        </is>
      </c>
      <c r="BC552" s="46" t="inlineStr">
        <is>
          <t xml:space="preserve">Synthetic demo data</t>
        </is>
      </c>
      <c r="BE552" s="45">
        <f>IF(OR($A552="",$L552="",$H552=""),"",IF(AND(LEFT($L552,2)="06",$H552&gt;1945),"FAIL - pre-war class, year "&amp;$H552,IF(AND(LEFT($L552,2)="07",OR($H552&lt;1946,$H552&gt;1972)),"FAIL - 1946-72 class, year "&amp;$H552,IF(AND(LEFT($L552,2)="08",OR($H552&lt;1973,$H552&gt;1999)),"FAIL - 1973-99 class, year "&amp;$H552,IF(AND(LEFT($L552,2)="09",OR($H552&lt;2000,$H552&gt;2010)),"FAIL - 2000-10 class, year "&amp;$H552,"OK")))))</f>
      </c>
      <c r="BF552" s="45">
        <f>IF($AD552="","",IF(ROUND($AO552+$AP552+$AQ552-$AD552,2)=0,"OK","FAIL - out by "&amp;TEXT($AO552+$AP552+$AQ552-$AD552,"$0.00")))</f>
      </c>
    </row>
    <row r="553" spans="1:58" ht="18.75" customHeight="1" x14ac:dyDescent="0.25">
      <c r="A553" s="30" t="inlineStr">
        <is>
          <t xml:space="preserve">CANON-202606-009157</t>
        </is>
      </c>
      <c r="B553" s="30" t="inlineStr">
        <is>
          <t xml:space="preserve">Cassius Whitlock</t>
        </is>
      </c>
      <c r="C553" s="31">
        <v>46200</v>
      </c>
      <c r="D553" s="32" t="inlineStr">
        <is>
          <t xml:space="preserve">Bound - within authority</t>
        </is>
      </c>
      <c r="E553" s="32" t="inlineStr">
        <is>
          <t xml:space="preserve">New business</t>
        </is>
      </c>
      <c r="F553" s="30" t="inlineStr">
        <is>
          <t xml:space="preserve">B1234EXOTIC26</t>
        </is>
      </c>
      <c r="G553" s="33">
        <f>IF($A553="","",IF($C553="","",YEAR($C553)))</f>
      </c>
      <c r="H553" s="34">
        <v>1997</v>
      </c>
      <c r="I553" s="30" t="inlineStr">
        <is>
          <t xml:space="preserve">Jaguar</t>
        </is>
      </c>
      <c r="J553" s="30" t="inlineStr">
        <is>
          <t xml:space="preserve">E-Type Series 1</t>
        </is>
      </c>
      <c r="K553" s="30" t="inlineStr">
        <is>
          <t xml:space="preserve">20NBL4RLYYW2V96EH</t>
        </is>
      </c>
      <c r="L553" s="32" t="inlineStr">
        <is>
          <t xml:space="preserve">08 - Modern Classic (1973-1999)</t>
        </is>
      </c>
      <c r="M553" s="35">
        <v>425000</v>
      </c>
      <c r="N553" s="32" t="inlineStr">
        <is>
          <t xml:space="preserve">Personal</t>
        </is>
      </c>
      <c r="O553" s="30" t="inlineStr">
        <is>
          <t xml:space="preserve">Personal - regular use</t>
        </is>
      </c>
      <c r="P553" s="30" t="inlineStr">
        <is>
          <t xml:space="preserve">2,500 - 5,000</t>
        </is>
      </c>
      <c r="Q553" s="30" t="inlineStr">
        <is>
          <t xml:space="preserve">Alaska</t>
        </is>
      </c>
      <c r="R553" s="30" t="inlineStr">
        <is>
          <t xml:space="preserve">99501</t>
        </is>
      </c>
      <c r="S553" s="32" t="inlineStr">
        <is>
          <t xml:space="preserve">Earthquake - high (CA, Cascadia, New Madrid)</t>
        </is>
      </c>
      <c r="T553" s="36">
        <f>IF($A553="","",IF($S553="","",IFERROR(INDEX('[1]natural catastrophe'!$D$6:$D$17,MATCH($S553,'[1]natural catastrophe'!$B$6:$B$17,0)),"?")))</f>
      </c>
      <c r="U553" s="30" t="inlineStr">
        <is>
          <t xml:space="preserve">$5,000</t>
        </is>
      </c>
      <c r="V553" s="32" t="inlineStr">
        <is>
          <t xml:space="preserve">Agreed Value</t>
        </is>
      </c>
      <c r="W553" s="30" t="inlineStr">
        <is>
          <t xml:space="preserve">$1,000</t>
        </is>
      </c>
      <c r="X553" s="32" t="inlineStr">
        <is>
          <t xml:space="preserve">$1,000,000 CSL</t>
        </is>
      </c>
      <c r="Y553" s="30"/>
      <c r="Z553" s="30"/>
      <c r="AA553" s="32" t="inlineStr">
        <is>
          <t xml:space="preserve">Surplus Lines</t>
        </is>
      </c>
      <c r="AB553" s="35">
        <v>3355.88</v>
      </c>
      <c r="AC553" s="37">
        <v>0</v>
      </c>
      <c r="AD553" s="38">
        <f>IF(ISNUMBER($AB553),$AB553*(1+N($AC553)),"")</f>
      </c>
      <c r="AE553" s="35">
        <v>350</v>
      </c>
      <c r="AF553" s="35">
        <v>0</v>
      </c>
      <c r="AG553" s="37"/>
      <c r="AH553" s="39">
        <f>IF(ISNUMBER($AD553),($AD553+$AE553+$AF553)*$AG553,"")</f>
      </c>
      <c r="AI553" s="35"/>
      <c r="AJ553" s="38">
        <f>IF(ISNUMBER($AD553),SUM($AD553:$AH553),"")</f>
      </c>
      <c r="AK553" s="40">
        <f>IF(AND(ISNUMBER($AB553),ISNUMBER($AD553)),IF($AB553&gt;0,$AD553/$AB553,""),"")</f>
      </c>
      <c r="AL553" s="32" t="inlineStr">
        <is>
          <t xml:space="preserve">At technical</t>
        </is>
      </c>
      <c r="AM553" s="41">
        <f>IF(ISNUMBER($AD553),Header!$I$3,"")</f>
      </c>
      <c r="AN553" s="39">
        <f>IF(ISNUMBER($AD553),$AO553+$AP553,"")</f>
      </c>
      <c r="AO553" s="39">
        <f>IF(ISNUMBER($AD553),ROUND($AD553*Header!$K$3,2),"")</f>
      </c>
      <c r="AP553" s="39">
        <f>IF(ISNUMBER($AD553),ROUND($AD553*Header!$M$3,2),"")</f>
      </c>
      <c r="AQ553" s="38">
        <f>IF(ISNUMBER($AD553),ROUND($AD553,2)-$AO553-$AP553,"")</f>
      </c>
      <c r="AR553" s="39">
        <f>IF(ISNUMBER($AD553),IF(Header!$D$34="","?",$AD553*Header!$D$34),"")</f>
      </c>
      <c r="AS553" s="39">
        <f>IF(ISNUMBER($AB553),IF(Header!$D$34="","?",$AB553*Header!$D$34),"")</f>
      </c>
      <c r="AT553" s="42">
        <f>IF(AND(ISNUMBER($AB553),$M553&gt;0),$AB553/$M553*100,"")</f>
      </c>
      <c r="AU553" s="42">
        <f>IF(AND(ISNUMBER($AD553),$M553&gt;0),$AD553/$M553*100,"")</f>
      </c>
      <c r="AV553" s="40">
        <f>IF(AND(ISNUMBER($AB553),ISNUMBER($AD553),ABS($AB553)&gt;0),$AD553/$AB553,"")</f>
      </c>
      <c r="AW553" s="39">
        <f>IF(ISNUMBER($AD553),MAX(0,(1-0.55-Header!$O$3)*Header!$Q$3*$AQ553),"")</f>
      </c>
      <c r="AX553" s="43">
        <f>IF($A553="","",IF(TRIM(IF($A553="","Missing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",""))="","PASS","FAIL: "&amp;TRIM(IF($A553="","Missing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f>
      </c>
      <c r="AY553" s="44">
        <f>IF($M553="","",IF(ISNUMBER($M553),IF($M553&gt;=Header!$C$18,"YES — refer","No"),""))</f>
      </c>
      <c r="AZ553" s="44">
        <f>IF($AD553="","",IF(ISNUMBER($AD553),IF($AD553&lt;Header!$C$20,"BELOW MIN PREMIUM","OK"),""))</f>
      </c>
      <c r="BA553" s="32" t="inlineStr">
        <is>
          <t xml:space="preserve">Yes</t>
        </is>
      </c>
      <c r="BB553" s="32" t="inlineStr">
        <is>
          <t xml:space="preserve">Yes</t>
        </is>
      </c>
      <c r="BC553" s="30" t="inlineStr">
        <is>
          <t xml:space="preserve">Synthetic demo data</t>
        </is>
      </c>
      <c r="BE553" s="45">
        <f>IF(OR($A553="",$L553="",$H553=""),"",IF(AND(LEFT($L553,2)="06",$H553&gt;1945),"FAIL - pre-war class, year "&amp;$H553,IF(AND(LEFT($L553,2)="07",OR($H553&lt;1946,$H553&gt;1972)),"FAIL - 1946-72 class, year "&amp;$H553,IF(AND(LEFT($L553,2)="08",OR($H553&lt;1973,$H553&gt;1999)),"FAIL - 1973-99 class, year "&amp;$H553,IF(AND(LEFT($L553,2)="09",OR($H553&lt;2000,$H553&gt;2010)),"FAIL - 2000-10 class, year "&amp;$H553,"OK")))))</f>
      </c>
      <c r="BF553" s="45">
        <f>IF($AD553="","",IF(ROUND($AO553+$AP553+$AQ553-$AD553,2)=0,"OK","FAIL - out by "&amp;TEXT($AO553+$AP553+$AQ553-$AD553,"$0.00")))</f>
      </c>
    </row>
    <row r="554" spans="1:58" ht="18.75" customHeight="1" x14ac:dyDescent="0.25">
      <c r="A554" s="46" t="inlineStr">
        <is>
          <t xml:space="preserve">CANON-202606-009158</t>
        </is>
      </c>
      <c r="B554" s="46" t="inlineStr">
        <is>
          <t xml:space="preserve">Anouk Chattopadhyay</t>
        </is>
      </c>
      <c r="C554" s="47">
        <v>46190</v>
      </c>
      <c r="D554" s="48" t="inlineStr">
        <is>
          <t xml:space="preserve">Bound - within authority</t>
        </is>
      </c>
      <c r="E554" s="48" t="inlineStr">
        <is>
          <t xml:space="preserve">New business</t>
        </is>
      </c>
      <c r="F554" s="46" t="inlineStr">
        <is>
          <t xml:space="preserve">B1234EXOTIC26</t>
        </is>
      </c>
      <c r="G554" s="33">
        <f>IF($A554="","",IF($C554="","",YEAR($C554)))</f>
      </c>
      <c r="H554" s="49">
        <v>1957</v>
      </c>
      <c r="I554" s="46" t="inlineStr">
        <is>
          <t xml:space="preserve">BMW</t>
        </is>
      </c>
      <c r="J554" s="46" t="inlineStr">
        <is>
          <t xml:space="preserve">M8 Competition</t>
        </is>
      </c>
      <c r="K554" s="46" t="inlineStr">
        <is>
          <t xml:space="preserve">85SUXXA3DABYDH19D</t>
        </is>
      </c>
      <c r="L554" s="48" t="inlineStr">
        <is>
          <t xml:space="preserve">02 - Sports / GT</t>
        </is>
      </c>
      <c r="M554" s="50">
        <v>560000</v>
      </c>
      <c r="N554" s="48" t="inlineStr">
        <is>
          <t xml:space="preserve">Personal</t>
        </is>
      </c>
      <c r="O554" s="46" t="inlineStr">
        <is>
          <t xml:space="preserve">Personal - regular use</t>
        </is>
      </c>
      <c r="P554" s="46" t="inlineStr">
        <is>
          <t xml:space="preserve">Under 1,000</t>
        </is>
      </c>
      <c r="Q554" s="46" t="inlineStr">
        <is>
          <t xml:space="preserve">Louisiana</t>
        </is>
      </c>
      <c r="R554" s="46" t="inlineStr">
        <is>
          <t xml:space="preserve">70112</t>
        </is>
      </c>
      <c r="S554" s="48" t="inlineStr">
        <is>
          <t xml:space="preserve">Tier 2 - Coastal wind (1-25 miles)</t>
        </is>
      </c>
      <c r="T554" s="36">
        <f>IF($A554="","",IF($S554="","",IFERROR(INDEX('[1]natural catastrophe'!$D$6:$D$17,MATCH($S554,'[1]natural catastrophe'!$B$6:$B$17,0)),"?")))</f>
      </c>
      <c r="U554" s="46" t="inlineStr">
        <is>
          <t xml:space="preserve">2% of agreed value, minimum $10,000</t>
        </is>
      </c>
      <c r="V554" s="48" t="inlineStr">
        <is>
          <t xml:space="preserve">Agreed Value</t>
        </is>
      </c>
      <c r="W554" s="46" t="inlineStr">
        <is>
          <t xml:space="preserve">$1,000</t>
        </is>
      </c>
      <c r="X554" s="48" t="inlineStr">
        <is>
          <t xml:space="preserve">$1,000,000 CSL</t>
        </is>
      </c>
      <c r="Y554" s="46"/>
      <c r="Z554" s="46"/>
      <c r="AA554" s="48" t="inlineStr">
        <is>
          <t xml:space="preserve">Surplus Lines</t>
        </is>
      </c>
      <c r="AB554" s="50">
        <v>6355.63</v>
      </c>
      <c r="AC554" s="51">
        <v>0</v>
      </c>
      <c r="AD554" s="38">
        <f>IF(ISNUMBER($AB554),$AB554*(1+N($AC554)),"")</f>
      </c>
      <c r="AE554" s="50">
        <v>350</v>
      </c>
      <c r="AF554" s="50">
        <v>0</v>
      </c>
      <c r="AG554" s="51"/>
      <c r="AH554" s="39">
        <f>IF(ISNUMBER($AD554),($AD554+$AE554+$AF554)*$AG554,"")</f>
      </c>
      <c r="AI554" s="50"/>
      <c r="AJ554" s="38">
        <f>IF(ISNUMBER($AD554),SUM($AD554:$AH554),"")</f>
      </c>
      <c r="AK554" s="40">
        <f>IF(AND(ISNUMBER($AB554),ISNUMBER($AD554)),IF($AB554&gt;0,$AD554/$AB554,""),"")</f>
      </c>
      <c r="AL554" s="48" t="inlineStr">
        <is>
          <t xml:space="preserve">At technical</t>
        </is>
      </c>
      <c r="AM554" s="41">
        <f>IF(ISNUMBER($AD554),Header!$I$3,"")</f>
      </c>
      <c r="AN554" s="39">
        <f>IF(ISNUMBER($AD554),$AO554+$AP554,"")</f>
      </c>
      <c r="AO554" s="39">
        <f>IF(ISNUMBER($AD554),ROUND($AD554*Header!$K$3,2),"")</f>
      </c>
      <c r="AP554" s="39">
        <f>IF(ISNUMBER($AD554),ROUND($AD554*Header!$M$3,2),"")</f>
      </c>
      <c r="AQ554" s="38">
        <f>IF(ISNUMBER($AD554),ROUND($AD554,2)-$AO554-$AP554,"")</f>
      </c>
      <c r="AR554" s="39">
        <f>IF(ISNUMBER($AD554),IF(Header!$D$34="","?",$AD554*Header!$D$34),"")</f>
      </c>
      <c r="AS554" s="39">
        <f>IF(ISNUMBER($AB554),IF(Header!$D$34="","?",$AB554*Header!$D$34),"")</f>
      </c>
      <c r="AT554" s="42">
        <f>IF(AND(ISNUMBER($AB554),$M554&gt;0),$AB554/$M554*100,"")</f>
      </c>
      <c r="AU554" s="42">
        <f>IF(AND(ISNUMBER($AD554),$M554&gt;0),$AD554/$M554*100,"")</f>
      </c>
      <c r="AV554" s="40">
        <f>IF(AND(ISNUMBER($AB554),ISNUMBER($AD554),ABS($AB554)&gt;0),$AD554/$AB554,"")</f>
      </c>
      <c r="AW554" s="39">
        <f>IF(ISNUMBER($AD554),MAX(0,(1-0.55-Header!$O$3)*Header!$Q$3*$AQ554),"")</f>
      </c>
      <c r="AX554" s="43">
        <f>IF($A554="","",IF(TRIM(IF($A554="","Missing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",""))="","PASS","FAIL: "&amp;TRIM(IF($A554="","Missing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f>
      </c>
      <c r="AY554" s="44">
        <f>IF($M554="","",IF(ISNUMBER($M554),IF($M554&gt;=Header!$C$18,"YES — refer","No"),""))</f>
      </c>
      <c r="AZ554" s="44">
        <f>IF($AD554="","",IF(ISNUMBER($AD554),IF($AD554&lt;Header!$C$20,"BELOW MIN PREMIUM","OK"),""))</f>
      </c>
      <c r="BA554" s="48" t="inlineStr">
        <is>
          <t xml:space="preserve">Yes</t>
        </is>
      </c>
      <c r="BB554" s="48" t="inlineStr">
        <is>
          <t xml:space="preserve">Yes</t>
        </is>
      </c>
      <c r="BC554" s="46" t="inlineStr">
        <is>
          <t xml:space="preserve">Synthetic demo data</t>
        </is>
      </c>
      <c r="BE554" s="45">
        <f>IF(OR($A554="",$L554="",$H554=""),"",IF(AND(LEFT($L554,2)="06",$H554&gt;1945),"FAIL - pre-war class, year "&amp;$H554,IF(AND(LEFT($L554,2)="07",OR($H554&lt;1946,$H554&gt;1972)),"FAIL - 1946-72 class, year "&amp;$H554,IF(AND(LEFT($L554,2)="08",OR($H554&lt;1973,$H554&gt;1999)),"FAIL - 1973-99 class, year "&amp;$H554,IF(AND(LEFT($L554,2)="09",OR($H554&lt;2000,$H554&gt;2010)),"FAIL - 2000-10 class, year "&amp;$H554,"OK")))))</f>
      </c>
      <c r="BF554" s="45">
        <f>IF($AD554="","",IF(ROUND($AO554+$AP554+$AQ554-$AD554,2)=0,"OK","FAIL - out by "&amp;TEXT($AO554+$AP554+$AQ554-$AD554,"$0.00")))</f>
      </c>
    </row>
    <row r="555" spans="1:58" ht="18.75" customHeight="1" x14ac:dyDescent="0.25">
      <c r="A555" s="30" t="inlineStr">
        <is>
          <t xml:space="preserve">CANON-202606-009159</t>
        </is>
      </c>
      <c r="B555" s="30" t="inlineStr">
        <is>
          <t xml:space="preserve">Priya Bellandi</t>
        </is>
      </c>
      <c r="C555" s="31">
        <v>46202</v>
      </c>
      <c r="D555" s="32" t="inlineStr">
        <is>
          <t xml:space="preserve">Bound - within authority</t>
        </is>
      </c>
      <c r="E555" s="32" t="inlineStr">
        <is>
          <t xml:space="preserve">New business</t>
        </is>
      </c>
      <c r="F555" s="30" t="inlineStr">
        <is>
          <t xml:space="preserve">B1234EXOTIC26</t>
        </is>
      </c>
      <c r="G555" s="33">
        <f>IF($A555="","",IF($C555="","",YEAR($C555)))</f>
      </c>
      <c r="H555" s="34">
        <v>1966</v>
      </c>
      <c r="I555" s="30" t="inlineStr">
        <is>
          <t xml:space="preserve">Bentley</t>
        </is>
      </c>
      <c r="J555" s="30" t="inlineStr">
        <is>
          <t xml:space="preserve">Continental GT</t>
        </is>
      </c>
      <c r="K555" s="30" t="inlineStr">
        <is>
          <t xml:space="preserve">UHCRN87G51VV9C3NF</t>
        </is>
      </c>
      <c r="L555" s="32" t="inlineStr">
        <is>
          <t xml:space="preserve">02 - Sports / GT</t>
        </is>
      </c>
      <c r="M555" s="35">
        <v>850000</v>
      </c>
      <c r="N555" s="32" t="inlineStr">
        <is>
          <t xml:space="preserve">Personal</t>
        </is>
      </c>
      <c r="O555" s="30" t="inlineStr">
        <is>
          <t xml:space="preserve">Personal - regular use</t>
        </is>
      </c>
      <c r="P555" s="30" t="inlineStr">
        <is>
          <t xml:space="preserve">1,000 - 2,500</t>
        </is>
      </c>
      <c r="Q555" s="30" t="inlineStr">
        <is>
          <t xml:space="preserve">California</t>
        </is>
      </c>
      <c r="R555" s="30" t="inlineStr">
        <is>
          <t xml:space="preserve">90012</t>
        </is>
      </c>
      <c r="S555" s="32" t="inlineStr">
        <is>
          <t xml:space="preserve">Earthquake - high (CA, Cascadia, New Madrid)</t>
        </is>
      </c>
      <c r="T555" s="36">
        <f>IF($A555="","",IF($S555="","",IFERROR(INDEX('[1]natural catastrophe'!$D$6:$D$17,MATCH($S555,'[1]natural catastrophe'!$B$6:$B$17,0)),"?")))</f>
      </c>
      <c r="U555" s="30" t="inlineStr">
        <is>
          <t xml:space="preserve">$5,000</t>
        </is>
      </c>
      <c r="V555" s="32" t="inlineStr">
        <is>
          <t xml:space="preserve">Agreed Value</t>
        </is>
      </c>
      <c r="W555" s="30" t="inlineStr">
        <is>
          <t xml:space="preserve">$1,000</t>
        </is>
      </c>
      <c r="X555" s="32" t="inlineStr">
        <is>
          <t xml:space="preserve">$1,000,000 CSL</t>
        </is>
      </c>
      <c r="Y555" s="30"/>
      <c r="Z555" s="30"/>
      <c r="AA555" s="32" t="inlineStr">
        <is>
          <t xml:space="preserve">Surplus Lines</t>
        </is>
      </c>
      <c r="AB555" s="35">
        <v>10763.11</v>
      </c>
      <c r="AC555" s="37">
        <v>0</v>
      </c>
      <c r="AD555" s="38">
        <f>IF(ISNUMBER($AB555),$AB555*(1+N($AC555)),"")</f>
      </c>
      <c r="AE555" s="35">
        <v>350</v>
      </c>
      <c r="AF555" s="35">
        <v>0</v>
      </c>
      <c r="AG555" s="37"/>
      <c r="AH555" s="39">
        <f>IF(ISNUMBER($AD555),($AD555+$AE555+$AF555)*$AG555,"")</f>
      </c>
      <c r="AI555" s="35"/>
      <c r="AJ555" s="38">
        <f>IF(ISNUMBER($AD555),SUM($AD555:$AH555),"")</f>
      </c>
      <c r="AK555" s="40">
        <f>IF(AND(ISNUMBER($AB555),ISNUMBER($AD555)),IF($AB555&gt;0,$AD555/$AB555,""),"")</f>
      </c>
      <c r="AL555" s="32" t="inlineStr">
        <is>
          <t xml:space="preserve">At technical</t>
        </is>
      </c>
      <c r="AM555" s="41">
        <f>IF(ISNUMBER($AD555),Header!$I$3,"")</f>
      </c>
      <c r="AN555" s="39">
        <f>IF(ISNUMBER($AD555),$AO555+$AP555,"")</f>
      </c>
      <c r="AO555" s="39">
        <f>IF(ISNUMBER($AD555),ROUND($AD555*Header!$K$3,2),"")</f>
      </c>
      <c r="AP555" s="39">
        <f>IF(ISNUMBER($AD555),ROUND($AD555*Header!$M$3,2),"")</f>
      </c>
      <c r="AQ555" s="38">
        <f>IF(ISNUMBER($AD555),ROUND($AD555,2)-$AO555-$AP555,"")</f>
      </c>
      <c r="AR555" s="39">
        <f>IF(ISNUMBER($AD555),IF(Header!$D$34="","?",$AD555*Header!$D$34),"")</f>
      </c>
      <c r="AS555" s="39">
        <f>IF(ISNUMBER($AB555),IF(Header!$D$34="","?",$AB555*Header!$D$34),"")</f>
      </c>
      <c r="AT555" s="42">
        <f>IF(AND(ISNUMBER($AB555),$M555&gt;0),$AB555/$M555*100,"")</f>
      </c>
      <c r="AU555" s="42">
        <f>IF(AND(ISNUMBER($AD555),$M555&gt;0),$AD555/$M555*100,"")</f>
      </c>
      <c r="AV555" s="40">
        <f>IF(AND(ISNUMBER($AB555),ISNUMBER($AD555),ABS($AB555)&gt;0),$AD555/$AB555,"")</f>
      </c>
      <c r="AW555" s="39">
        <f>IF(ISNUMBER($AD555),MAX(0,(1-0.55-Header!$O$3)*Header!$Q$3*$AQ555),"")</f>
      </c>
      <c r="AX555" s="43">
        <f>IF($A555="","",IF(TRIM(IF($A555="","Missing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",""))="","PASS","FAIL: "&amp;TRIM(IF($A555="","Missing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f>
      </c>
      <c r="AY555" s="44">
        <f>IF($M555="","",IF(ISNUMBER($M555),IF($M555&gt;=Header!$C$18,"YES — refer","No"),""))</f>
      </c>
      <c r="AZ555" s="44">
        <f>IF($AD555="","",IF(ISNUMBER($AD555),IF($AD555&lt;Header!$C$20,"BELOW MIN PREMIUM","OK"),""))</f>
      </c>
      <c r="BA555" s="32" t="inlineStr">
        <is>
          <t xml:space="preserve">Yes</t>
        </is>
      </c>
      <c r="BB555" s="32" t="inlineStr">
        <is>
          <t xml:space="preserve">Yes</t>
        </is>
      </c>
      <c r="BC555" s="30" t="inlineStr">
        <is>
          <t xml:space="preserve">Synthetic demo data</t>
        </is>
      </c>
      <c r="BE555" s="45">
        <f>IF(OR($A555="",$L555="",$H555=""),"",IF(AND(LEFT($L555,2)="06",$H555&gt;1945),"FAIL - pre-war class, year "&amp;$H555,IF(AND(LEFT($L555,2)="07",OR($H555&lt;1946,$H555&gt;1972)),"FAIL - 1946-72 class, year "&amp;$H555,IF(AND(LEFT($L555,2)="08",OR($H555&lt;1973,$H555&gt;1999)),"FAIL - 1973-99 class, year "&amp;$H555,IF(AND(LEFT($L555,2)="09",OR($H555&lt;2000,$H555&gt;2010)),"FAIL - 2000-10 class, year "&amp;$H555,"OK")))))</f>
      </c>
      <c r="BF555" s="45">
        <f>IF($AD555="","",IF(ROUND($AO555+$AP555+$AQ555-$AD555,2)=0,"OK","FAIL - out by "&amp;TEXT($AO555+$AP555+$AQ555-$AD555,"$0.00")))</f>
      </c>
    </row>
    <row r="556" spans="1:58" ht="18.75" customHeight="1" x14ac:dyDescent="0.25">
      <c r="A556" s="46" t="inlineStr">
        <is>
          <t xml:space="preserve">CANON-202606-009160</t>
        </is>
      </c>
      <c r="B556" s="46" t="inlineStr">
        <is>
          <t xml:space="preserve">Aurelio Vandermeer</t>
        </is>
      </c>
      <c r="C556" s="47">
        <v>46176</v>
      </c>
      <c r="D556" s="48" t="inlineStr">
        <is>
          <t xml:space="preserve">Bound - within authority</t>
        </is>
      </c>
      <c r="E556" s="48" t="inlineStr">
        <is>
          <t xml:space="preserve">New business</t>
        </is>
      </c>
      <c r="F556" s="46" t="inlineStr">
        <is>
          <t xml:space="preserve">B1234EXOTIC26</t>
        </is>
      </c>
      <c r="G556" s="33">
        <f>IF($A556="","",IF($C556="","",YEAR($C556)))</f>
      </c>
      <c r="H556" s="49">
        <v>1957</v>
      </c>
      <c r="I556" s="46" t="inlineStr">
        <is>
          <t xml:space="preserve">Ferrari</t>
        </is>
      </c>
      <c r="J556" s="46" t="inlineStr">
        <is>
          <t xml:space="preserve">SF90 Stradale</t>
        </is>
      </c>
      <c r="K556" s="46" t="inlineStr">
        <is>
          <t xml:space="preserve">24LC96Z798A6A1WGD</t>
        </is>
      </c>
      <c r="L556" s="48" t="inlineStr">
        <is>
          <t xml:space="preserve">03 - Supercar</t>
        </is>
      </c>
      <c r="M556" s="50">
        <v>445000</v>
      </c>
      <c r="N556" s="48" t="inlineStr">
        <is>
          <t xml:space="preserve">Personal</t>
        </is>
      </c>
      <c r="O556" s="46" t="inlineStr">
        <is>
          <t xml:space="preserve">Personal - regular use</t>
        </is>
      </c>
      <c r="P556" s="46" t="inlineStr">
        <is>
          <t xml:space="preserve">Under 1,000</t>
        </is>
      </c>
      <c r="Q556" s="46" t="inlineStr">
        <is>
          <t xml:space="preserve">Georgia</t>
        </is>
      </c>
      <c r="R556" s="46" t="inlineStr">
        <is>
          <t xml:space="preserve">30303</t>
        </is>
      </c>
      <c r="S556" s="48" t="inlineStr">
        <is>
          <t xml:space="preserve">Tier 2 - Coastal wind (1-25 miles)</t>
        </is>
      </c>
      <c r="T556" s="36">
        <f>IF($A556="","",IF($S556="","",IFERROR(INDEX('[1]natural catastrophe'!$D$6:$D$17,MATCH($S556,'[1]natural catastrophe'!$B$6:$B$17,0)),"?")))</f>
      </c>
      <c r="U556" s="46" t="inlineStr">
        <is>
          <t xml:space="preserve">2% of agreed value, minimum $10,000</t>
        </is>
      </c>
      <c r="V556" s="48" t="inlineStr">
        <is>
          <t xml:space="preserve">Agreed Value</t>
        </is>
      </c>
      <c r="W556" s="46" t="inlineStr">
        <is>
          <t xml:space="preserve">$1,000</t>
        </is>
      </c>
      <c r="X556" s="48" t="inlineStr">
        <is>
          <t xml:space="preserve">$1,000,000 CSL</t>
        </is>
      </c>
      <c r="Y556" s="46"/>
      <c r="Z556" s="46"/>
      <c r="AA556" s="48" t="inlineStr">
        <is>
          <t xml:space="preserve">Surplus Lines</t>
        </is>
      </c>
      <c r="AB556" s="50">
        <v>8270.81</v>
      </c>
      <c r="AC556" s="51">
        <v>0</v>
      </c>
      <c r="AD556" s="38">
        <f>IF(ISNUMBER($AB556),$AB556*(1+N($AC556)),"")</f>
      </c>
      <c r="AE556" s="50">
        <v>350</v>
      </c>
      <c r="AF556" s="50">
        <v>0</v>
      </c>
      <c r="AG556" s="51"/>
      <c r="AH556" s="39">
        <f>IF(ISNUMBER($AD556),($AD556+$AE556+$AF556)*$AG556,"")</f>
      </c>
      <c r="AI556" s="50"/>
      <c r="AJ556" s="38">
        <f>IF(ISNUMBER($AD556),SUM($AD556:$AH556),"")</f>
      </c>
      <c r="AK556" s="40">
        <f>IF(AND(ISNUMBER($AB556),ISNUMBER($AD556)),IF($AB556&gt;0,$AD556/$AB556,""),"")</f>
      </c>
      <c r="AL556" s="48" t="inlineStr">
        <is>
          <t xml:space="preserve">At technical</t>
        </is>
      </c>
      <c r="AM556" s="41">
        <f>IF(ISNUMBER($AD556),Header!$I$3,"")</f>
      </c>
      <c r="AN556" s="39">
        <f>IF(ISNUMBER($AD556),$AO556+$AP556,"")</f>
      </c>
      <c r="AO556" s="39">
        <f>IF(ISNUMBER($AD556),ROUND($AD556*Header!$K$3,2),"")</f>
      </c>
      <c r="AP556" s="39">
        <f>IF(ISNUMBER($AD556),ROUND($AD556*Header!$M$3,2),"")</f>
      </c>
      <c r="AQ556" s="38">
        <f>IF(ISNUMBER($AD556),ROUND($AD556,2)-$AO556-$AP556,"")</f>
      </c>
      <c r="AR556" s="39">
        <f>IF(ISNUMBER($AD556),IF(Header!$D$34="","?",$AD556*Header!$D$34),"")</f>
      </c>
      <c r="AS556" s="39">
        <f>IF(ISNUMBER($AB556),IF(Header!$D$34="","?",$AB556*Header!$D$34),"")</f>
      </c>
      <c r="AT556" s="42">
        <f>IF(AND(ISNUMBER($AB556),$M556&gt;0),$AB556/$M556*100,"")</f>
      </c>
      <c r="AU556" s="42">
        <f>IF(AND(ISNUMBER($AD556),$M556&gt;0),$AD556/$M556*100,"")</f>
      </c>
      <c r="AV556" s="40">
        <f>IF(AND(ISNUMBER($AB556),ISNUMBER($AD556),ABS($AB556)&gt;0),$AD556/$AB556,"")</f>
      </c>
      <c r="AW556" s="39">
        <f>IF(ISNUMBER($AD556),MAX(0,(1-0.55-Header!$O$3)*Header!$Q$3*$AQ556),"")</f>
      </c>
      <c r="AX556" s="43">
        <f>IF($A556="","",IF(TRIM(IF($A556="","Missing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",""))="","PASS","FAIL: "&amp;TRIM(IF($A556="","Missing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f>
      </c>
      <c r="AY556" s="44">
        <f>IF($M556="","",IF(ISNUMBER($M556),IF($M556&gt;=Header!$C$18,"YES — refer","No"),""))</f>
      </c>
      <c r="AZ556" s="44">
        <f>IF($AD556="","",IF(ISNUMBER($AD556),IF($AD556&lt;Header!$C$20,"BELOW MIN PREMIUM","OK"),""))</f>
      </c>
      <c r="BA556" s="48" t="inlineStr">
        <is>
          <t xml:space="preserve">Yes</t>
        </is>
      </c>
      <c r="BB556" s="48" t="inlineStr">
        <is>
          <t xml:space="preserve">Yes</t>
        </is>
      </c>
      <c r="BC556" s="46" t="inlineStr">
        <is>
          <t xml:space="preserve">Synthetic demo data</t>
        </is>
      </c>
      <c r="BE556" s="45">
        <f>IF(OR($A556="",$L556="",$H556=""),"",IF(AND(LEFT($L556,2)="06",$H556&gt;1945),"FAIL - pre-war class, year "&amp;$H556,IF(AND(LEFT($L556,2)="07",OR($H556&lt;1946,$H556&gt;1972)),"FAIL - 1946-72 class, year "&amp;$H556,IF(AND(LEFT($L556,2)="08",OR($H556&lt;1973,$H556&gt;1999)),"FAIL - 1973-99 class, year "&amp;$H556,IF(AND(LEFT($L556,2)="09",OR($H556&lt;2000,$H556&gt;2010)),"FAIL - 2000-10 class, year "&amp;$H556,"OK")))))</f>
      </c>
      <c r="BF556" s="45">
        <f>IF($AD556="","",IF(ROUND($AO556+$AP556+$AQ556-$AD556,2)=0,"OK","FAIL - out by "&amp;TEXT($AO556+$AP556+$AQ556-$AD556,"$0.00")))</f>
      </c>
    </row>
    <row r="557" spans="1:58" ht="18.75" customHeight="1" x14ac:dyDescent="0.25">
      <c r="A557" s="30" t="inlineStr">
        <is>
          <t xml:space="preserve">CANON-202606-009161</t>
        </is>
      </c>
      <c r="B557" s="30" t="inlineStr">
        <is>
          <t xml:space="preserve">Ingrid Whitlock</t>
        </is>
      </c>
      <c r="C557" s="31">
        <v>46194</v>
      </c>
      <c r="D557" s="32" t="inlineStr">
        <is>
          <t xml:space="preserve">Bound - within authority</t>
        </is>
      </c>
      <c r="E557" s="32" t="inlineStr">
        <is>
          <t xml:space="preserve">New business</t>
        </is>
      </c>
      <c r="F557" s="30" t="inlineStr">
        <is>
          <t xml:space="preserve">B1234EXOTIC26</t>
        </is>
      </c>
      <c r="G557" s="33">
        <f>IF($A557="","",IF($C557="","",YEAR($C557)))</f>
      </c>
      <c r="H557" s="34">
        <v>1970</v>
      </c>
      <c r="I557" s="30" t="inlineStr">
        <is>
          <t xml:space="preserve">Aston Martin</t>
        </is>
      </c>
      <c r="J557" s="30" t="inlineStr">
        <is>
          <t xml:space="preserve">DB12</t>
        </is>
      </c>
      <c r="K557" s="30" t="inlineStr">
        <is>
          <t xml:space="preserve">825YRD1XZJTB1DGSA</t>
        </is>
      </c>
      <c r="L557" s="32" t="inlineStr">
        <is>
          <t xml:space="preserve">02 - Sports / GT</t>
        </is>
      </c>
      <c r="M557" s="35">
        <v>1805000</v>
      </c>
      <c r="N557" s="32" t="inlineStr">
        <is>
          <t xml:space="preserve">Personal</t>
        </is>
      </c>
      <c r="O557" s="30" t="inlineStr">
        <is>
          <t xml:space="preserve">Personal - regular use</t>
        </is>
      </c>
      <c r="P557" s="30" t="inlineStr">
        <is>
          <t xml:space="preserve">2,500 - 5,000</t>
        </is>
      </c>
      <c r="Q557" s="30" t="inlineStr">
        <is>
          <t xml:space="preserve">Michigan</t>
        </is>
      </c>
      <c r="R557" s="30" t="inlineStr">
        <is>
          <t xml:space="preserve">48226</t>
        </is>
      </c>
      <c r="S557" s="32" t="inlineStr">
        <is>
          <t xml:space="preserve">Severe convective - hail / tornado (moderate)</t>
        </is>
      </c>
      <c r="T557" s="36">
        <f>IF($A557="","",IF($S557="","",IFERROR(INDEX('[1]natural catastrophe'!$D$6:$D$17,MATCH($S557,'[1]natural catastrophe'!$B$6:$B$17,0)),"?")))</f>
      </c>
      <c r="U557" s="30" t="inlineStr">
        <is>
          <t xml:space="preserve">$5,000</t>
        </is>
      </c>
      <c r="V557" s="32" t="inlineStr">
        <is>
          <t xml:space="preserve">Agreed Value</t>
        </is>
      </c>
      <c r="W557" s="30" t="inlineStr">
        <is>
          <t xml:space="preserve">$1,000</t>
        </is>
      </c>
      <c r="X557" s="32" t="inlineStr">
        <is>
          <t xml:space="preserve">$1,000,000 CSL</t>
        </is>
      </c>
      <c r="Y557" s="30"/>
      <c r="Z557" s="30"/>
      <c r="AA557" s="32" t="inlineStr">
        <is>
          <t xml:space="preserve">Surplus Lines</t>
        </is>
      </c>
      <c r="AB557" s="35">
        <v>22204.63</v>
      </c>
      <c r="AC557" s="37">
        <v>0</v>
      </c>
      <c r="AD557" s="38">
        <f>IF(ISNUMBER($AB557),$AB557*(1+N($AC557)),"")</f>
      </c>
      <c r="AE557" s="35">
        <v>350</v>
      </c>
      <c r="AF557" s="35">
        <v>250</v>
      </c>
      <c r="AG557" s="37"/>
      <c r="AH557" s="39">
        <f>IF(ISNUMBER($AD557),($AD557+$AE557+$AF557)*$AG557,"")</f>
      </c>
      <c r="AI557" s="35"/>
      <c r="AJ557" s="38">
        <f>IF(ISNUMBER($AD557),SUM($AD557:$AH557),"")</f>
      </c>
      <c r="AK557" s="40">
        <f>IF(AND(ISNUMBER($AB557),ISNUMBER($AD557)),IF($AB557&gt;0,$AD557/$AB557,""),"")</f>
      </c>
      <c r="AL557" s="32" t="inlineStr">
        <is>
          <t xml:space="preserve">At technical</t>
        </is>
      </c>
      <c r="AM557" s="41">
        <f>IF(ISNUMBER($AD557),Header!$I$3,"")</f>
      </c>
      <c r="AN557" s="39">
        <f>IF(ISNUMBER($AD557),$AO557+$AP557,"")</f>
      </c>
      <c r="AO557" s="39">
        <f>IF(ISNUMBER($AD557),ROUND($AD557*Header!$K$3,2),"")</f>
      </c>
      <c r="AP557" s="39">
        <f>IF(ISNUMBER($AD557),ROUND($AD557*Header!$M$3,2),"")</f>
      </c>
      <c r="AQ557" s="38">
        <f>IF(ISNUMBER($AD557),ROUND($AD557,2)-$AO557-$AP557,"")</f>
      </c>
      <c r="AR557" s="39">
        <f>IF(ISNUMBER($AD557),IF(Header!$D$34="","?",$AD557*Header!$D$34),"")</f>
      </c>
      <c r="AS557" s="39">
        <f>IF(ISNUMBER($AB557),IF(Header!$D$34="","?",$AB557*Header!$D$34),"")</f>
      </c>
      <c r="AT557" s="42">
        <f>IF(AND(ISNUMBER($AB557),$M557&gt;0),$AB557/$M557*100,"")</f>
      </c>
      <c r="AU557" s="42">
        <f>IF(AND(ISNUMBER($AD557),$M557&gt;0),$AD557/$M557*100,"")</f>
      </c>
      <c r="AV557" s="40">
        <f>IF(AND(ISNUMBER($AB557),ISNUMBER($AD557),ABS($AB557)&gt;0),$AD557/$AB557,"")</f>
      </c>
      <c r="AW557" s="39">
        <f>IF(ISNUMBER($AD557),MAX(0,(1-0.55-Header!$O$3)*Header!$Q$3*$AQ557),"")</f>
      </c>
      <c r="AX557" s="43">
        <f>IF($A557="","",IF(TRIM(IF($A557="","Missing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",""))="","PASS","FAIL: "&amp;TRIM(IF($A557="","Missing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f>
      </c>
      <c r="AY557" s="44">
        <f>IF($M557="","",IF(ISNUMBER($M557),IF($M557&gt;=Header!$C$18,"YES — refer","No"),""))</f>
      </c>
      <c r="AZ557" s="44">
        <f>IF($AD557="","",IF(ISNUMBER($AD557),IF($AD557&lt;Header!$C$20,"BELOW MIN PREMIUM","OK"),""))</f>
      </c>
      <c r="BA557" s="32" t="inlineStr">
        <is>
          <t xml:space="preserve">Yes</t>
        </is>
      </c>
      <c r="BB557" s="32" t="inlineStr">
        <is>
          <t xml:space="preserve">Yes</t>
        </is>
      </c>
      <c r="BC557" s="30" t="inlineStr">
        <is>
          <t xml:space="preserve">Synthetic demo data</t>
        </is>
      </c>
      <c r="BE557" s="45">
        <f>IF(OR($A557="",$L557="",$H557=""),"",IF(AND(LEFT($L557,2)="06",$H557&gt;1945),"FAIL - pre-war class, year "&amp;$H557,IF(AND(LEFT($L557,2)="07",OR($H557&lt;1946,$H557&gt;1972)),"FAIL - 1946-72 class, year "&amp;$H557,IF(AND(LEFT($L557,2)="08",OR($H557&lt;1973,$H557&gt;1999)),"FAIL - 1973-99 class, year "&amp;$H557,IF(AND(LEFT($L557,2)="09",OR($H557&lt;2000,$H557&gt;2010)),"FAIL - 2000-10 class, year "&amp;$H557,"OK")))))</f>
      </c>
      <c r="BF557" s="45">
        <f>IF($AD557="","",IF(ROUND($AO557+$AP557+$AQ557-$AD557,2)=0,"OK","FAIL - out by "&amp;TEXT($AO557+$AP557+$AQ557-$AD557,"$0.00")))</f>
      </c>
    </row>
    <row r="558" spans="1:58" ht="18.75" customHeight="1" x14ac:dyDescent="0.25">
      <c r="A558" s="46" t="inlineStr">
        <is>
          <t xml:space="preserve">CANON-202606-009162</t>
        </is>
      </c>
      <c r="B558" s="46" t="inlineStr">
        <is>
          <t xml:space="preserve">Sunniva Nakashima</t>
        </is>
      </c>
      <c r="C558" s="47">
        <v>46184</v>
      </c>
      <c r="D558" s="48" t="inlineStr">
        <is>
          <t xml:space="preserve">Bound - within authority</t>
        </is>
      </c>
      <c r="E558" s="48" t="inlineStr">
        <is>
          <t xml:space="preserve">New business</t>
        </is>
      </c>
      <c r="F558" s="46" t="inlineStr">
        <is>
          <t xml:space="preserve">B1234EXOTIC26</t>
        </is>
      </c>
      <c r="G558" s="33">
        <f>IF($A558="","",IF($C558="","",YEAR($C558)))</f>
      </c>
      <c r="H558" s="49">
        <v>1983</v>
      </c>
      <c r="I558" s="46" t="inlineStr">
        <is>
          <t xml:space="preserve">Ferrari</t>
        </is>
      </c>
      <c r="J558" s="46" t="inlineStr">
        <is>
          <t xml:space="preserve">296 GTB</t>
        </is>
      </c>
      <c r="K558" s="46" t="inlineStr">
        <is>
          <t xml:space="preserve">96JM8DTAWGV2UBHV4</t>
        </is>
      </c>
      <c r="L558" s="48" t="inlineStr">
        <is>
          <t xml:space="preserve">03 - Supercar</t>
        </is>
      </c>
      <c r="M558" s="50">
        <v>1100000</v>
      </c>
      <c r="N558" s="48" t="inlineStr">
        <is>
          <t xml:space="preserve">Personal</t>
        </is>
      </c>
      <c r="O558" s="46" t="inlineStr">
        <is>
          <t xml:space="preserve">Personal - regular use</t>
        </is>
      </c>
      <c r="P558" s="46" t="inlineStr">
        <is>
          <t xml:space="preserve">2,500 - 5,000</t>
        </is>
      </c>
      <c r="Q558" s="46" t="inlineStr">
        <is>
          <t xml:space="preserve">Colorado</t>
        </is>
      </c>
      <c r="R558" s="46" t="inlineStr">
        <is>
          <t xml:space="preserve">80202</t>
        </is>
      </c>
      <c r="S558" s="48" t="inlineStr">
        <is>
          <t xml:space="preserve">Severe convective - hail alley (high)</t>
        </is>
      </c>
      <c r="T558" s="36">
        <f>IF($A558="","",IF($S558="","",IFERROR(INDEX('[1]natural catastrophe'!$D$6:$D$17,MATCH($S558,'[1]natural catastrophe'!$B$6:$B$17,0)),"?")))</f>
      </c>
      <c r="U558" s="46" t="inlineStr">
        <is>
          <t xml:space="preserve">$5,000</t>
        </is>
      </c>
      <c r="V558" s="48" t="inlineStr">
        <is>
          <t xml:space="preserve">Agreed Value</t>
        </is>
      </c>
      <c r="W558" s="46" t="inlineStr">
        <is>
          <t xml:space="preserve">$1,000</t>
        </is>
      </c>
      <c r="X558" s="48" t="inlineStr">
        <is>
          <t xml:space="preserve">$1,000,000 CSL</t>
        </is>
      </c>
      <c r="Y558" s="46"/>
      <c r="Z558" s="46"/>
      <c r="AA558" s="48" t="inlineStr">
        <is>
          <t xml:space="preserve">Surplus Lines</t>
        </is>
      </c>
      <c r="AB558" s="50">
        <v>13968.42</v>
      </c>
      <c r="AC558" s="51">
        <v>0</v>
      </c>
      <c r="AD558" s="38">
        <f>IF(ISNUMBER($AB558),$AB558*(1+N($AC558)),"")</f>
      </c>
      <c r="AE558" s="50">
        <v>350</v>
      </c>
      <c r="AF558" s="50">
        <v>250</v>
      </c>
      <c r="AG558" s="51"/>
      <c r="AH558" s="39">
        <f>IF(ISNUMBER($AD558),($AD558+$AE558+$AF558)*$AG558,"")</f>
      </c>
      <c r="AI558" s="50"/>
      <c r="AJ558" s="38">
        <f>IF(ISNUMBER($AD558),SUM($AD558:$AH558),"")</f>
      </c>
      <c r="AK558" s="40">
        <f>IF(AND(ISNUMBER($AB558),ISNUMBER($AD558)),IF($AB558&gt;0,$AD558/$AB558,""),"")</f>
      </c>
      <c r="AL558" s="48" t="inlineStr">
        <is>
          <t xml:space="preserve">At technical</t>
        </is>
      </c>
      <c r="AM558" s="41">
        <f>IF(ISNUMBER($AD558),Header!$I$3,"")</f>
      </c>
      <c r="AN558" s="39">
        <f>IF(ISNUMBER($AD558),$AO558+$AP558,"")</f>
      </c>
      <c r="AO558" s="39">
        <f>IF(ISNUMBER($AD558),ROUND($AD558*Header!$K$3,2),"")</f>
      </c>
      <c r="AP558" s="39">
        <f>IF(ISNUMBER($AD558),ROUND($AD558*Header!$M$3,2),"")</f>
      </c>
      <c r="AQ558" s="38">
        <f>IF(ISNUMBER($AD558),ROUND($AD558,2)-$AO558-$AP558,"")</f>
      </c>
      <c r="AR558" s="39">
        <f>IF(ISNUMBER($AD558),IF(Header!$D$34="","?",$AD558*Header!$D$34),"")</f>
      </c>
      <c r="AS558" s="39">
        <f>IF(ISNUMBER($AB558),IF(Header!$D$34="","?",$AB558*Header!$D$34),"")</f>
      </c>
      <c r="AT558" s="42">
        <f>IF(AND(ISNUMBER($AB558),$M558&gt;0),$AB558/$M558*100,"")</f>
      </c>
      <c r="AU558" s="42">
        <f>IF(AND(ISNUMBER($AD558),$M558&gt;0),$AD558/$M558*100,"")</f>
      </c>
      <c r="AV558" s="40">
        <f>IF(AND(ISNUMBER($AB558),ISNUMBER($AD558),ABS($AB558)&gt;0),$AD558/$AB558,"")</f>
      </c>
      <c r="AW558" s="39">
        <f>IF(ISNUMBER($AD558),MAX(0,(1-0.55-Header!$O$3)*Header!$Q$3*$AQ558),"")</f>
      </c>
      <c r="AX558" s="43">
        <f>IF($A558="","",IF(TRIM(IF($A558="","Missing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",""))="","PASS","FAIL: "&amp;TRIM(IF($A558="","Missing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f>
      </c>
      <c r="AY558" s="44">
        <f>IF($M558="","",IF(ISNUMBER($M558),IF($M558&gt;=Header!$C$18,"YES — refer","No"),""))</f>
      </c>
      <c r="AZ558" s="44">
        <f>IF($AD558="","",IF(ISNUMBER($AD558),IF($AD558&lt;Header!$C$20,"BELOW MIN PREMIUM","OK"),""))</f>
      </c>
      <c r="BA558" s="48" t="inlineStr">
        <is>
          <t xml:space="preserve">Yes</t>
        </is>
      </c>
      <c r="BB558" s="48" t="inlineStr">
        <is>
          <t xml:space="preserve">Yes</t>
        </is>
      </c>
      <c r="BC558" s="46" t="inlineStr">
        <is>
          <t xml:space="preserve">Synthetic demo data</t>
        </is>
      </c>
      <c r="BE558" s="45">
        <f>IF(OR($A558="",$L558="",$H558=""),"",IF(AND(LEFT($L558,2)="06",$H558&gt;1945),"FAIL - pre-war class, year "&amp;$H558,IF(AND(LEFT($L558,2)="07",OR($H558&lt;1946,$H558&gt;1972)),"FAIL - 1946-72 class, year "&amp;$H558,IF(AND(LEFT($L558,2)="08",OR($H558&lt;1973,$H558&gt;1999)),"FAIL - 1973-99 class, year "&amp;$H558,IF(AND(LEFT($L558,2)="09",OR($H558&lt;2000,$H558&gt;2010)),"FAIL - 2000-10 class, year "&amp;$H558,"OK")))))</f>
      </c>
      <c r="BF558" s="45">
        <f>IF($AD558="","",IF(ROUND($AO558+$AP558+$AQ558-$AD558,2)=0,"OK","FAIL - out by "&amp;TEXT($AO558+$AP558+$AQ558-$AD558,"$0.00")))</f>
      </c>
    </row>
    <row r="559" spans="1:58" ht="18.75" customHeight="1" x14ac:dyDescent="0.25">
      <c r="A559" s="30" t="inlineStr">
        <is>
          <t xml:space="preserve">CANON-202606-009163</t>
        </is>
      </c>
      <c r="B559" s="30" t="inlineStr">
        <is>
          <t xml:space="preserve">Lorenzo Montoya</t>
        </is>
      </c>
      <c r="C559" s="31">
        <v>46197</v>
      </c>
      <c r="D559" s="32" t="inlineStr">
        <is>
          <t xml:space="preserve">Bound - within authority</t>
        </is>
      </c>
      <c r="E559" s="32" t="inlineStr">
        <is>
          <t xml:space="preserve">New business</t>
        </is>
      </c>
      <c r="F559" s="30" t="inlineStr">
        <is>
          <t xml:space="preserve">B1234EXOTIC26</t>
        </is>
      </c>
      <c r="G559" s="33">
        <f>IF($A559="","",IF($C559="","",YEAR($C559)))</f>
      </c>
      <c r="H559" s="34">
        <v>2003</v>
      </c>
      <c r="I559" s="30" t="inlineStr">
        <is>
          <t xml:space="preserve">BMW</t>
        </is>
      </c>
      <c r="J559" s="30" t="inlineStr">
        <is>
          <t xml:space="preserve">M8 Competition</t>
        </is>
      </c>
      <c r="K559" s="30" t="inlineStr">
        <is>
          <t xml:space="preserve">M6LH0CJTRWCCAGV4E</t>
        </is>
      </c>
      <c r="L559" s="32" t="inlineStr">
        <is>
          <t xml:space="preserve">02 - Sports / GT</t>
        </is>
      </c>
      <c r="M559" s="35">
        <v>1025000</v>
      </c>
      <c r="N559" s="32" t="inlineStr">
        <is>
          <t xml:space="preserve">Personal</t>
        </is>
      </c>
      <c r="O559" s="30" t="inlineStr">
        <is>
          <t xml:space="preserve">Personal - regular use</t>
        </is>
      </c>
      <c r="P559" s="30" t="inlineStr">
        <is>
          <t xml:space="preserve">2,500 - 5,000</t>
        </is>
      </c>
      <c r="Q559" s="30" t="inlineStr">
        <is>
          <t xml:space="preserve">Michigan</t>
        </is>
      </c>
      <c r="R559" s="30" t="inlineStr">
        <is>
          <t xml:space="preserve">48226</t>
        </is>
      </c>
      <c r="S559" s="32" t="inlineStr">
        <is>
          <t xml:space="preserve">Severe convective - hail / tornado (moderate)</t>
        </is>
      </c>
      <c r="T559" s="36">
        <f>IF($A559="","",IF($S559="","",IFERROR(INDEX('[1]natural catastrophe'!$D$6:$D$17,MATCH($S559,'[1]natural catastrophe'!$B$6:$B$17,0)),"?")))</f>
      </c>
      <c r="U559" s="30" t="inlineStr">
        <is>
          <t xml:space="preserve">$5,000</t>
        </is>
      </c>
      <c r="V559" s="32" t="inlineStr">
        <is>
          <t xml:space="preserve">Agreed Value</t>
        </is>
      </c>
      <c r="W559" s="30" t="inlineStr">
        <is>
          <t xml:space="preserve">$1,000</t>
        </is>
      </c>
      <c r="X559" s="32" t="inlineStr">
        <is>
          <t xml:space="preserve">$1,000,000 CSL</t>
        </is>
      </c>
      <c r="Y559" s="30"/>
      <c r="Z559" s="30"/>
      <c r="AA559" s="32" t="inlineStr">
        <is>
          <t xml:space="preserve">Surplus Lines</t>
        </is>
      </c>
      <c r="AB559" s="35">
        <v>12609.28</v>
      </c>
      <c r="AC559" s="37">
        <v>0</v>
      </c>
      <c r="AD559" s="38">
        <f>IF(ISNUMBER($AB559),$AB559*(1+N($AC559)),"")</f>
      </c>
      <c r="AE559" s="35">
        <v>350</v>
      </c>
      <c r="AF559" s="35">
        <v>250</v>
      </c>
      <c r="AG559" s="37"/>
      <c r="AH559" s="39">
        <f>IF(ISNUMBER($AD559),($AD559+$AE559+$AF559)*$AG559,"")</f>
      </c>
      <c r="AI559" s="35"/>
      <c r="AJ559" s="38">
        <f>IF(ISNUMBER($AD559),SUM($AD559:$AH559),"")</f>
      </c>
      <c r="AK559" s="40">
        <f>IF(AND(ISNUMBER($AB559),ISNUMBER($AD559)),IF($AB559&gt;0,$AD559/$AB559,""),"")</f>
      </c>
      <c r="AL559" s="32" t="inlineStr">
        <is>
          <t xml:space="preserve">At technical</t>
        </is>
      </c>
      <c r="AM559" s="41">
        <f>IF(ISNUMBER($AD559),Header!$I$3,"")</f>
      </c>
      <c r="AN559" s="39">
        <f>IF(ISNUMBER($AD559),$AO559+$AP559,"")</f>
      </c>
      <c r="AO559" s="39">
        <f>IF(ISNUMBER($AD559),ROUND($AD559*Header!$K$3,2),"")</f>
      </c>
      <c r="AP559" s="39">
        <f>IF(ISNUMBER($AD559),ROUND($AD559*Header!$M$3,2),"")</f>
      </c>
      <c r="AQ559" s="38">
        <f>IF(ISNUMBER($AD559),ROUND($AD559,2)-$AO559-$AP559,"")</f>
      </c>
      <c r="AR559" s="39">
        <f>IF(ISNUMBER($AD559),IF(Header!$D$34="","?",$AD559*Header!$D$34),"")</f>
      </c>
      <c r="AS559" s="39">
        <f>IF(ISNUMBER($AB559),IF(Header!$D$34="","?",$AB559*Header!$D$34),"")</f>
      </c>
      <c r="AT559" s="42">
        <f>IF(AND(ISNUMBER($AB559),$M559&gt;0),$AB559/$M559*100,"")</f>
      </c>
      <c r="AU559" s="42">
        <f>IF(AND(ISNUMBER($AD559),$M559&gt;0),$AD559/$M559*100,"")</f>
      </c>
      <c r="AV559" s="40">
        <f>IF(AND(ISNUMBER($AB559),ISNUMBER($AD559),ABS($AB559)&gt;0),$AD559/$AB559,"")</f>
      </c>
      <c r="AW559" s="39">
        <f>IF(ISNUMBER($AD559),MAX(0,(1-0.55-Header!$O$3)*Header!$Q$3*$AQ559),"")</f>
      </c>
      <c r="AX559" s="43">
        <f>IF($A559="","",IF(TRIM(IF($A559="","Missing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",""))="","PASS","FAIL: "&amp;TRIM(IF($A559="","Missing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f>
      </c>
      <c r="AY559" s="44">
        <f>IF($M559="","",IF(ISNUMBER($M559),IF($M559&gt;=Header!$C$18,"YES — refer","No"),""))</f>
      </c>
      <c r="AZ559" s="44">
        <f>IF($AD559="","",IF(ISNUMBER($AD559),IF($AD559&lt;Header!$C$20,"BELOW MIN PREMIUM","OK"),""))</f>
      </c>
      <c r="BA559" s="32" t="inlineStr">
        <is>
          <t xml:space="preserve">Yes</t>
        </is>
      </c>
      <c r="BB559" s="32" t="inlineStr">
        <is>
          <t xml:space="preserve">Yes</t>
        </is>
      </c>
      <c r="BC559" s="30" t="inlineStr">
        <is>
          <t xml:space="preserve">Synthetic demo data</t>
        </is>
      </c>
      <c r="BE559" s="45">
        <f>IF(OR($A559="",$L559="",$H559=""),"",IF(AND(LEFT($L559,2)="06",$H559&gt;1945),"FAIL - pre-war class, year "&amp;$H559,IF(AND(LEFT($L559,2)="07",OR($H559&lt;1946,$H559&gt;1972)),"FAIL - 1946-72 class, year "&amp;$H559,IF(AND(LEFT($L559,2)="08",OR($H559&lt;1973,$H559&gt;1999)),"FAIL - 1973-99 class, year "&amp;$H559,IF(AND(LEFT($L559,2)="09",OR($H559&lt;2000,$H559&gt;2010)),"FAIL - 2000-10 class, year "&amp;$H559,"OK")))))</f>
      </c>
      <c r="BF559" s="45">
        <f>IF($AD559="","",IF(ROUND($AO559+$AP559+$AQ559-$AD559,2)=0,"OK","FAIL - out by "&amp;TEXT($AO559+$AP559+$AQ559-$AD559,"$0.00")))</f>
      </c>
    </row>
    <row r="560" spans="1:58" ht="18.75" customHeight="1" x14ac:dyDescent="0.25">
      <c r="A560" s="46" t="inlineStr">
        <is>
          <t xml:space="preserve">CANON-202606-009164</t>
        </is>
      </c>
      <c r="B560" s="46" t="inlineStr">
        <is>
          <t xml:space="preserve">Thaddeus Pennington</t>
        </is>
      </c>
      <c r="C560" s="47">
        <v>46199</v>
      </c>
      <c r="D560" s="48" t="inlineStr">
        <is>
          <t xml:space="preserve">Bound - within authority</t>
        </is>
      </c>
      <c r="E560" s="48" t="inlineStr">
        <is>
          <t xml:space="preserve">New business</t>
        </is>
      </c>
      <c r="F560" s="46" t="inlineStr">
        <is>
          <t xml:space="preserve">B1234EXOTIC26</t>
        </is>
      </c>
      <c r="G560" s="33">
        <f>IF($A560="","",IF($C560="","",YEAR($C560)))</f>
      </c>
      <c r="H560" s="49">
        <v>2017</v>
      </c>
      <c r="I560" s="46" t="inlineStr">
        <is>
          <t xml:space="preserve">Aston Martin</t>
        </is>
      </c>
      <c r="J560" s="46" t="inlineStr">
        <is>
          <t xml:space="preserve">DB12</t>
        </is>
      </c>
      <c r="K560" s="46" t="inlineStr">
        <is>
          <t xml:space="preserve">CV5GPD36HE57N4A3Z</t>
        </is>
      </c>
      <c r="L560" s="48" t="inlineStr">
        <is>
          <t xml:space="preserve">02 - Sports / GT</t>
        </is>
      </c>
      <c r="M560" s="50">
        <v>265000</v>
      </c>
      <c r="N560" s="48" t="inlineStr">
        <is>
          <t xml:space="preserve">Personal</t>
        </is>
      </c>
      <c r="O560" s="46" t="inlineStr">
        <is>
          <t xml:space="preserve">Personal - regular use</t>
        </is>
      </c>
      <c r="P560" s="46" t="inlineStr">
        <is>
          <t xml:space="preserve">2,500 - 5,000</t>
        </is>
      </c>
      <c r="Q560" s="46" t="inlineStr">
        <is>
          <t xml:space="preserve">Georgia</t>
        </is>
      </c>
      <c r="R560" s="46" t="inlineStr">
        <is>
          <t xml:space="preserve">30303</t>
        </is>
      </c>
      <c r="S560" s="48" t="inlineStr">
        <is>
          <t xml:space="preserve">Tier 2 - Coastal wind (1-25 miles)</t>
        </is>
      </c>
      <c r="T560" s="36">
        <f>IF($A560="","",IF($S560="","",IFERROR(INDEX('[1]natural catastrophe'!$D$6:$D$17,MATCH($S560,'[1]natural catastrophe'!$B$6:$B$17,0)),"?")))</f>
      </c>
      <c r="U560" s="46" t="inlineStr">
        <is>
          <t xml:space="preserve">2% of agreed value, minimum $10,000</t>
        </is>
      </c>
      <c r="V560" s="48" t="inlineStr">
        <is>
          <t xml:space="preserve">Agreed Value</t>
        </is>
      </c>
      <c r="W560" s="46" t="inlineStr">
        <is>
          <t xml:space="preserve">$1,000</t>
        </is>
      </c>
      <c r="X560" s="48" t="inlineStr">
        <is>
          <t xml:space="preserve">$1,000,000 CSL</t>
        </is>
      </c>
      <c r="Y560" s="46"/>
      <c r="Z560" s="46"/>
      <c r="AA560" s="48" t="inlineStr">
        <is>
          <t xml:space="preserve">Surplus Lines</t>
        </is>
      </c>
      <c r="AB560" s="50">
        <v>3212.16</v>
      </c>
      <c r="AC560" s="51">
        <v>0</v>
      </c>
      <c r="AD560" s="38">
        <f>IF(ISNUMBER($AB560),$AB560*(1+N($AC560)),"")</f>
      </c>
      <c r="AE560" s="50">
        <v>350</v>
      </c>
      <c r="AF560" s="50">
        <v>0</v>
      </c>
      <c r="AG560" s="51"/>
      <c r="AH560" s="39">
        <f>IF(ISNUMBER($AD560),($AD560+$AE560+$AF560)*$AG560,"")</f>
      </c>
      <c r="AI560" s="50"/>
      <c r="AJ560" s="38">
        <f>IF(ISNUMBER($AD560),SUM($AD560:$AH560),"")</f>
      </c>
      <c r="AK560" s="40">
        <f>IF(AND(ISNUMBER($AB560),ISNUMBER($AD560)),IF($AB560&gt;0,$AD560/$AB560,""),"")</f>
      </c>
      <c r="AL560" s="48" t="inlineStr">
        <is>
          <t xml:space="preserve">At technical</t>
        </is>
      </c>
      <c r="AM560" s="41">
        <f>IF(ISNUMBER($AD560),Header!$I$3,"")</f>
      </c>
      <c r="AN560" s="39">
        <f>IF(ISNUMBER($AD560),$AO560+$AP560,"")</f>
      </c>
      <c r="AO560" s="39">
        <f>IF(ISNUMBER($AD560),ROUND($AD560*Header!$K$3,2),"")</f>
      </c>
      <c r="AP560" s="39">
        <f>IF(ISNUMBER($AD560),ROUND($AD560*Header!$M$3,2),"")</f>
      </c>
      <c r="AQ560" s="38">
        <f>IF(ISNUMBER($AD560),ROUND($AD560,2)-$AO560-$AP560,"")</f>
      </c>
      <c r="AR560" s="39">
        <f>IF(ISNUMBER($AD560),IF(Header!$D$34="","?",$AD560*Header!$D$34),"")</f>
      </c>
      <c r="AS560" s="39">
        <f>IF(ISNUMBER($AB560),IF(Header!$D$34="","?",$AB560*Header!$D$34),"")</f>
      </c>
      <c r="AT560" s="42">
        <f>IF(AND(ISNUMBER($AB560),$M560&gt;0),$AB560/$M560*100,"")</f>
      </c>
      <c r="AU560" s="42">
        <f>IF(AND(ISNUMBER($AD560),$M560&gt;0),$AD560/$M560*100,"")</f>
      </c>
      <c r="AV560" s="40">
        <f>IF(AND(ISNUMBER($AB560),ISNUMBER($AD560),ABS($AB560)&gt;0),$AD560/$AB560,"")</f>
      </c>
      <c r="AW560" s="39">
        <f>IF(ISNUMBER($AD560),MAX(0,(1-0.55-Header!$O$3)*Header!$Q$3*$AQ560),"")</f>
      </c>
      <c r="AX560" s="43">
        <f>IF($A560="","",IF(TRIM(IF($A560="","Missing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",""))="","PASS","FAIL: "&amp;TRIM(IF($A560="","Missing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f>
      </c>
      <c r="AY560" s="44">
        <f>IF($M560="","",IF(ISNUMBER($M560),IF($M560&gt;=Header!$C$18,"YES — refer","No"),""))</f>
      </c>
      <c r="AZ560" s="44">
        <f>IF($AD560="","",IF(ISNUMBER($AD560),IF($AD560&lt;Header!$C$20,"BELOW MIN PREMIUM","OK"),""))</f>
      </c>
      <c r="BA560" s="48" t="inlineStr">
        <is>
          <t xml:space="preserve">Yes</t>
        </is>
      </c>
      <c r="BB560" s="48" t="inlineStr">
        <is>
          <t xml:space="preserve">Yes</t>
        </is>
      </c>
      <c r="BC560" s="46" t="inlineStr">
        <is>
          <t xml:space="preserve">Synthetic demo data</t>
        </is>
      </c>
      <c r="BE560" s="45">
        <f>IF(OR($A560="",$L560="",$H560=""),"",IF(AND(LEFT($L560,2)="06",$H560&gt;1945),"FAIL - pre-war class, year "&amp;$H560,IF(AND(LEFT($L560,2)="07",OR($H560&lt;1946,$H560&gt;1972)),"FAIL - 1946-72 class, year "&amp;$H560,IF(AND(LEFT($L560,2)="08",OR($H560&lt;1973,$H560&gt;1999)),"FAIL - 1973-99 class, year "&amp;$H560,IF(AND(LEFT($L560,2)="09",OR($H560&lt;2000,$H560&gt;2010)),"FAIL - 2000-10 class, year "&amp;$H560,"OK")))))</f>
      </c>
      <c r="BF560" s="45">
        <f>IF($AD560="","",IF(ROUND($AO560+$AP560+$AQ560-$AD560,2)=0,"OK","FAIL - out by "&amp;TEXT($AO560+$AP560+$AQ560-$AD560,"$0.00")))</f>
      </c>
    </row>
    <row r="561" spans="1:58" ht="18.75" customHeight="1" x14ac:dyDescent="0.25">
      <c r="A561" s="30" t="inlineStr">
        <is>
          <t xml:space="preserve">CANON-202606-009165</t>
        </is>
      </c>
      <c r="B561" s="30" t="inlineStr">
        <is>
          <t xml:space="preserve">Everett Chattopadhyay</t>
        </is>
      </c>
      <c r="C561" s="31">
        <v>46181</v>
      </c>
      <c r="D561" s="32" t="inlineStr">
        <is>
          <t xml:space="preserve">Bound - within authority</t>
        </is>
      </c>
      <c r="E561" s="32" t="inlineStr">
        <is>
          <t xml:space="preserve">New business</t>
        </is>
      </c>
      <c r="F561" s="30" t="inlineStr">
        <is>
          <t xml:space="preserve">B1234EXOTIC26</t>
        </is>
      </c>
      <c r="G561" s="33">
        <f>IF($A561="","",IF($C561="","",YEAR($C561)))</f>
      </c>
      <c r="H561" s="34">
        <v>2012</v>
      </c>
      <c r="I561" s="30" t="inlineStr">
        <is>
          <t xml:space="preserve">Aston Martin</t>
        </is>
      </c>
      <c r="J561" s="30" t="inlineStr">
        <is>
          <t xml:space="preserve">DB5</t>
        </is>
      </c>
      <c r="K561" s="30" t="inlineStr">
        <is>
          <t xml:space="preserve">ARB04J3WTBT1E0J1R</t>
        </is>
      </c>
      <c r="L561" s="32" t="inlineStr">
        <is>
          <t xml:space="preserve">02 - Sports / GT</t>
        </is>
      </c>
      <c r="M561" s="35">
        <v>450000</v>
      </c>
      <c r="N561" s="32" t="inlineStr">
        <is>
          <t xml:space="preserve">Personal</t>
        </is>
      </c>
      <c r="O561" s="30" t="inlineStr">
        <is>
          <t xml:space="preserve">Personal - regular use</t>
        </is>
      </c>
      <c r="P561" s="30" t="inlineStr">
        <is>
          <t xml:space="preserve">1,000 - 2,500</t>
        </is>
      </c>
      <c r="Q561" s="30" t="inlineStr">
        <is>
          <t xml:space="preserve">Michigan</t>
        </is>
      </c>
      <c r="R561" s="30" t="inlineStr">
        <is>
          <t xml:space="preserve">48226</t>
        </is>
      </c>
      <c r="S561" s="32" t="inlineStr">
        <is>
          <t xml:space="preserve">Severe convective - hail / tornado (moderate)</t>
        </is>
      </c>
      <c r="T561" s="36">
        <f>IF($A561="","",IF($S561="","",IFERROR(INDEX('[1]natural catastrophe'!$D$6:$D$17,MATCH($S561,'[1]natural catastrophe'!$B$6:$B$17,0)),"?")))</f>
      </c>
      <c r="U561" s="30" t="inlineStr">
        <is>
          <t xml:space="preserve">$5,000</t>
        </is>
      </c>
      <c r="V561" s="32" t="inlineStr">
        <is>
          <t xml:space="preserve">Agreed Value</t>
        </is>
      </c>
      <c r="W561" s="30" t="inlineStr">
        <is>
          <t xml:space="preserve">$1,000</t>
        </is>
      </c>
      <c r="X561" s="32" t="inlineStr">
        <is>
          <t xml:space="preserve">$1,000,000 CSL</t>
        </is>
      </c>
      <c r="Y561" s="30"/>
      <c r="Z561" s="30"/>
      <c r="AA561" s="32" t="inlineStr">
        <is>
          <t xml:space="preserve">Surplus Lines</t>
        </is>
      </c>
      <c r="AB561" s="35">
        <v>4831.23</v>
      </c>
      <c r="AC561" s="37">
        <v>0</v>
      </c>
      <c r="AD561" s="38">
        <f>IF(ISNUMBER($AB561),$AB561*(1+N($AC561)),"")</f>
      </c>
      <c r="AE561" s="35">
        <v>350</v>
      </c>
      <c r="AF561" s="35">
        <v>0</v>
      </c>
      <c r="AG561" s="37"/>
      <c r="AH561" s="39">
        <f>IF(ISNUMBER($AD561),($AD561+$AE561+$AF561)*$AG561,"")</f>
      </c>
      <c r="AI561" s="35"/>
      <c r="AJ561" s="38">
        <f>IF(ISNUMBER($AD561),SUM($AD561:$AH561),"")</f>
      </c>
      <c r="AK561" s="40">
        <f>IF(AND(ISNUMBER($AB561),ISNUMBER($AD561)),IF($AB561&gt;0,$AD561/$AB561,""),"")</f>
      </c>
      <c r="AL561" s="32" t="inlineStr">
        <is>
          <t xml:space="preserve">At technical</t>
        </is>
      </c>
      <c r="AM561" s="41">
        <f>IF(ISNUMBER($AD561),Header!$I$3,"")</f>
      </c>
      <c r="AN561" s="39">
        <f>IF(ISNUMBER($AD561),$AO561+$AP561,"")</f>
      </c>
      <c r="AO561" s="39">
        <f>IF(ISNUMBER($AD561),ROUND($AD561*Header!$K$3,2),"")</f>
      </c>
      <c r="AP561" s="39">
        <f>IF(ISNUMBER($AD561),ROUND($AD561*Header!$M$3,2),"")</f>
      </c>
      <c r="AQ561" s="38">
        <f>IF(ISNUMBER($AD561),ROUND($AD561,2)-$AO561-$AP561,"")</f>
      </c>
      <c r="AR561" s="39">
        <f>IF(ISNUMBER($AD561),IF(Header!$D$34="","?",$AD561*Header!$D$34),"")</f>
      </c>
      <c r="AS561" s="39">
        <f>IF(ISNUMBER($AB561),IF(Header!$D$34="","?",$AB561*Header!$D$34),"")</f>
      </c>
      <c r="AT561" s="42">
        <f>IF(AND(ISNUMBER($AB561),$M561&gt;0),$AB561/$M561*100,"")</f>
      </c>
      <c r="AU561" s="42">
        <f>IF(AND(ISNUMBER($AD561),$M561&gt;0),$AD561/$M561*100,"")</f>
      </c>
      <c r="AV561" s="40">
        <f>IF(AND(ISNUMBER($AB561),ISNUMBER($AD561),ABS($AB561)&gt;0),$AD561/$AB561,"")</f>
      </c>
      <c r="AW561" s="39">
        <f>IF(ISNUMBER($AD561),MAX(0,(1-0.55-Header!$O$3)*Header!$Q$3*$AQ561),"")</f>
      </c>
      <c r="AX561" s="43">
        <f>IF($A561="","",IF(TRIM(IF($A561="","Missing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",""))="","PASS","FAIL: "&amp;TRIM(IF($A561="","Missing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f>
      </c>
      <c r="AY561" s="44">
        <f>IF($M561="","",IF(ISNUMBER($M561),IF($M561&gt;=Header!$C$18,"YES — refer","No"),""))</f>
      </c>
      <c r="AZ561" s="44">
        <f>IF($AD561="","",IF(ISNUMBER($AD561),IF($AD561&lt;Header!$C$20,"BELOW MIN PREMIUM","OK"),""))</f>
      </c>
      <c r="BA561" s="32" t="inlineStr">
        <is>
          <t xml:space="preserve">Yes</t>
        </is>
      </c>
      <c r="BB561" s="32" t="inlineStr">
        <is>
          <t xml:space="preserve">Yes</t>
        </is>
      </c>
      <c r="BC561" s="30" t="inlineStr">
        <is>
          <t xml:space="preserve">Synthetic demo data</t>
        </is>
      </c>
      <c r="BE561" s="45">
        <f>IF(OR($A561="",$L561="",$H561=""),"",IF(AND(LEFT($L561,2)="06",$H561&gt;1945),"FAIL - pre-war class, year "&amp;$H561,IF(AND(LEFT($L561,2)="07",OR($H561&lt;1946,$H561&gt;1972)),"FAIL - 1946-72 class, year "&amp;$H561,IF(AND(LEFT($L561,2)="08",OR($H561&lt;1973,$H561&gt;1999)),"FAIL - 1973-99 class, year "&amp;$H561,IF(AND(LEFT($L561,2)="09",OR($H561&lt;2000,$H561&gt;2010)),"FAIL - 2000-10 class, year "&amp;$H561,"OK")))))</f>
      </c>
      <c r="BF561" s="45">
        <f>IF($AD561="","",IF(ROUND($AO561+$AP561+$AQ561-$AD561,2)=0,"OK","FAIL - out by "&amp;TEXT($AO561+$AP561+$AQ561-$AD561,"$0.00")))</f>
      </c>
    </row>
    <row r="562" spans="1:58" ht="18.75" customHeight="1" x14ac:dyDescent="0.25">
      <c r="A562" s="46" t="inlineStr">
        <is>
          <t xml:space="preserve">CANON-202606-009166</t>
        </is>
      </c>
      <c r="B562" s="46" t="inlineStr">
        <is>
          <t xml:space="preserve">Saoirse Castellanos</t>
        </is>
      </c>
      <c r="C562" s="47">
        <v>46194</v>
      </c>
      <c r="D562" s="48" t="inlineStr">
        <is>
          <t xml:space="preserve">Bound - within authority</t>
        </is>
      </c>
      <c r="E562" s="48" t="inlineStr">
        <is>
          <t xml:space="preserve">New business</t>
        </is>
      </c>
      <c r="F562" s="46" t="inlineStr">
        <is>
          <t xml:space="preserve">B1234EXOTIC26</t>
        </is>
      </c>
      <c r="G562" s="33">
        <f>IF($A562="","",IF($C562="","",YEAR($C562)))</f>
      </c>
      <c r="H562" s="49">
        <v>2003</v>
      </c>
      <c r="I562" s="46" t="inlineStr">
        <is>
          <t xml:space="preserve">Aston Martin</t>
        </is>
      </c>
      <c r="J562" s="46" t="inlineStr">
        <is>
          <t xml:space="preserve">DB12</t>
        </is>
      </c>
      <c r="K562" s="46" t="inlineStr">
        <is>
          <t xml:space="preserve">BYM19LDFH1MT1E94Y</t>
        </is>
      </c>
      <c r="L562" s="48" t="inlineStr">
        <is>
          <t xml:space="preserve">02 - Sports / GT</t>
        </is>
      </c>
      <c r="M562" s="50">
        <v>705000</v>
      </c>
      <c r="N562" s="48" t="inlineStr">
        <is>
          <t xml:space="preserve">Personal</t>
        </is>
      </c>
      <c r="O562" s="46" t="inlineStr">
        <is>
          <t xml:space="preserve">Personal - regular use</t>
        </is>
      </c>
      <c r="P562" s="46" t="inlineStr">
        <is>
          <t xml:space="preserve">1,000 - 2,500</t>
        </is>
      </c>
      <c r="Q562" s="46" t="inlineStr">
        <is>
          <t xml:space="preserve">Illinois</t>
        </is>
      </c>
      <c r="R562" s="46" t="inlineStr">
        <is>
          <t xml:space="preserve">60601</t>
        </is>
      </c>
      <c r="S562" s="48" t="inlineStr">
        <is>
          <t xml:space="preserve">Severe convective - hail / tornado (moderate)</t>
        </is>
      </c>
      <c r="T562" s="36">
        <f>IF($A562="","",IF($S562="","",IFERROR(INDEX('[1]natural catastrophe'!$D$6:$D$17,MATCH($S562,'[1]natural catastrophe'!$B$6:$B$17,0)),"?")))</f>
      </c>
      <c r="U562" s="46" t="inlineStr">
        <is>
          <t xml:space="preserve">$5,000</t>
        </is>
      </c>
      <c r="V562" s="48" t="inlineStr">
        <is>
          <t xml:space="preserve">Agreed Value</t>
        </is>
      </c>
      <c r="W562" s="46" t="inlineStr">
        <is>
          <t xml:space="preserve">$1,000</t>
        </is>
      </c>
      <c r="X562" s="48" t="inlineStr">
        <is>
          <t xml:space="preserve">$1,000,000 CSL</t>
        </is>
      </c>
      <c r="Y562" s="46"/>
      <c r="Z562" s="46"/>
      <c r="AA562" s="48" t="inlineStr">
        <is>
          <t xml:space="preserve">Surplus Lines</t>
        </is>
      </c>
      <c r="AB562" s="50">
        <v>8993.18</v>
      </c>
      <c r="AC562" s="51">
        <v>0</v>
      </c>
      <c r="AD562" s="38">
        <f>IF(ISNUMBER($AB562),$AB562*(1+N($AC562)),"")</f>
      </c>
      <c r="AE562" s="50">
        <v>350</v>
      </c>
      <c r="AF562" s="50">
        <v>0</v>
      </c>
      <c r="AG562" s="51"/>
      <c r="AH562" s="39">
        <f>IF(ISNUMBER($AD562),($AD562+$AE562+$AF562)*$AG562,"")</f>
      </c>
      <c r="AI562" s="50"/>
      <c r="AJ562" s="38">
        <f>IF(ISNUMBER($AD562),SUM($AD562:$AH562),"")</f>
      </c>
      <c r="AK562" s="40">
        <f>IF(AND(ISNUMBER($AB562),ISNUMBER($AD562)),IF($AB562&gt;0,$AD562/$AB562,""),"")</f>
      </c>
      <c r="AL562" s="48" t="inlineStr">
        <is>
          <t xml:space="preserve">At technical</t>
        </is>
      </c>
      <c r="AM562" s="41">
        <f>IF(ISNUMBER($AD562),Header!$I$3,"")</f>
      </c>
      <c r="AN562" s="39">
        <f>IF(ISNUMBER($AD562),$AO562+$AP562,"")</f>
      </c>
      <c r="AO562" s="39">
        <f>IF(ISNUMBER($AD562),ROUND($AD562*Header!$K$3,2),"")</f>
      </c>
      <c r="AP562" s="39">
        <f>IF(ISNUMBER($AD562),ROUND($AD562*Header!$M$3,2),"")</f>
      </c>
      <c r="AQ562" s="38">
        <f>IF(ISNUMBER($AD562),ROUND($AD562,2)-$AO562-$AP562,"")</f>
      </c>
      <c r="AR562" s="39">
        <f>IF(ISNUMBER($AD562),IF(Header!$D$34="","?",$AD562*Header!$D$34),"")</f>
      </c>
      <c r="AS562" s="39">
        <f>IF(ISNUMBER($AB562),IF(Header!$D$34="","?",$AB562*Header!$D$34),"")</f>
      </c>
      <c r="AT562" s="42">
        <f>IF(AND(ISNUMBER($AB562),$M562&gt;0),$AB562/$M562*100,"")</f>
      </c>
      <c r="AU562" s="42">
        <f>IF(AND(ISNUMBER($AD562),$M562&gt;0),$AD562/$M562*100,"")</f>
      </c>
      <c r="AV562" s="40">
        <f>IF(AND(ISNUMBER($AB562),ISNUMBER($AD562),ABS($AB562)&gt;0),$AD562/$AB562,"")</f>
      </c>
      <c r="AW562" s="39">
        <f>IF(ISNUMBER($AD562),MAX(0,(1-0.55-Header!$O$3)*Header!$Q$3*$AQ562),"")</f>
      </c>
      <c r="AX562" s="43">
        <f>IF($A562="","",IF(TRIM(IF($A562="","Missing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",""))="","PASS","FAIL: "&amp;TRIM(IF($A562="","Missing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f>
      </c>
      <c r="AY562" s="44">
        <f>IF($M562="","",IF(ISNUMBER($M562),IF($M562&gt;=Header!$C$18,"YES — refer","No"),""))</f>
      </c>
      <c r="AZ562" s="44">
        <f>IF($AD562="","",IF(ISNUMBER($AD562),IF($AD562&lt;Header!$C$20,"BELOW MIN PREMIUM","OK"),""))</f>
      </c>
      <c r="BA562" s="48" t="inlineStr">
        <is>
          <t xml:space="preserve">Yes</t>
        </is>
      </c>
      <c r="BB562" s="48" t="inlineStr">
        <is>
          <t xml:space="preserve">Yes</t>
        </is>
      </c>
      <c r="BC562" s="46" t="inlineStr">
        <is>
          <t xml:space="preserve">Synthetic demo data</t>
        </is>
      </c>
      <c r="BE562" s="45">
        <f>IF(OR($A562="",$L562="",$H562=""),"",IF(AND(LEFT($L562,2)="06",$H562&gt;1945),"FAIL - pre-war class, year "&amp;$H562,IF(AND(LEFT($L562,2)="07",OR($H562&lt;1946,$H562&gt;1972)),"FAIL - 1946-72 class, year "&amp;$H562,IF(AND(LEFT($L562,2)="08",OR($H562&lt;1973,$H562&gt;1999)),"FAIL - 1973-99 class, year "&amp;$H562,IF(AND(LEFT($L562,2)="09",OR($H562&lt;2000,$H562&gt;2010)),"FAIL - 2000-10 class, year "&amp;$H562,"OK")))))</f>
      </c>
      <c r="BF562" s="45">
        <f>IF($AD562="","",IF(ROUND($AO562+$AP562+$AQ562-$AD562,2)=0,"OK","FAIL - out by "&amp;TEXT($AO562+$AP562+$AQ562-$AD562,"$0.00")))</f>
      </c>
    </row>
    <row r="563" spans="1:58" ht="18.75" customHeight="1" x14ac:dyDescent="0.25">
      <c r="A563" s="30" t="inlineStr">
        <is>
          <t xml:space="preserve">CANON-202606-009167</t>
        </is>
      </c>
      <c r="B563" s="30" t="inlineStr">
        <is>
          <t xml:space="preserve">Fitzgerald Nakashima</t>
        </is>
      </c>
      <c r="C563" s="31">
        <v>46192</v>
      </c>
      <c r="D563" s="32" t="inlineStr">
        <is>
          <t xml:space="preserve">Bound - within authority</t>
        </is>
      </c>
      <c r="E563" s="32" t="inlineStr">
        <is>
          <t xml:space="preserve">New business</t>
        </is>
      </c>
      <c r="F563" s="30" t="inlineStr">
        <is>
          <t xml:space="preserve">B1234EXOTIC26</t>
        </is>
      </c>
      <c r="G563" s="33">
        <f>IF($A563="","",IF($C563="","",YEAR($C563)))</f>
      </c>
      <c r="H563" s="34">
        <v>1985</v>
      </c>
      <c r="I563" s="30" t="inlineStr">
        <is>
          <t xml:space="preserve">Mercedes-Benz</t>
        </is>
      </c>
      <c r="J563" s="30" t="inlineStr">
        <is>
          <t xml:space="preserve">AMG GT</t>
        </is>
      </c>
      <c r="K563" s="30" t="inlineStr">
        <is>
          <t xml:space="preserve">UL97KALX95E84YZNG</t>
        </is>
      </c>
      <c r="L563" s="32" t="inlineStr">
        <is>
          <t xml:space="preserve">02 - Sports / GT</t>
        </is>
      </c>
      <c r="M563" s="35">
        <v>245000</v>
      </c>
      <c r="N563" s="32" t="inlineStr">
        <is>
          <t xml:space="preserve">Personal</t>
        </is>
      </c>
      <c r="O563" s="30" t="inlineStr">
        <is>
          <t xml:space="preserve">Personal - regular use</t>
        </is>
      </c>
      <c r="P563" s="30" t="inlineStr">
        <is>
          <t xml:space="preserve">2,500 - 5,000</t>
        </is>
      </c>
      <c r="Q563" s="30" t="inlineStr">
        <is>
          <t xml:space="preserve">Wyoming</t>
        </is>
      </c>
      <c r="R563" s="30" t="inlineStr">
        <is>
          <t xml:space="preserve">82001</t>
        </is>
      </c>
      <c r="S563" s="32" t="inlineStr">
        <is>
          <t xml:space="preserve">Severe convective - hail alley (high)</t>
        </is>
      </c>
      <c r="T563" s="36">
        <f>IF($A563="","",IF($S563="","",IFERROR(INDEX('[1]natural catastrophe'!$D$6:$D$17,MATCH($S563,'[1]natural catastrophe'!$B$6:$B$17,0)),"?")))</f>
      </c>
      <c r="U563" s="30" t="inlineStr">
        <is>
          <t xml:space="preserve">$5,000</t>
        </is>
      </c>
      <c r="V563" s="32" t="inlineStr">
        <is>
          <t xml:space="preserve">Agreed Value</t>
        </is>
      </c>
      <c r="W563" s="30" t="inlineStr">
        <is>
          <t xml:space="preserve">$1,000</t>
        </is>
      </c>
      <c r="X563" s="32" t="inlineStr">
        <is>
          <t xml:space="preserve">$1,000,000 CSL</t>
        </is>
      </c>
      <c r="Y563" s="30"/>
      <c r="Z563" s="30"/>
      <c r="AA563" s="32" t="inlineStr">
        <is>
          <t xml:space="preserve">Surplus Lines</t>
        </is>
      </c>
      <c r="AB563" s="35">
        <v>3480.25</v>
      </c>
      <c r="AC563" s="37">
        <v>0</v>
      </c>
      <c r="AD563" s="38">
        <f>IF(ISNUMBER($AB563),$AB563*(1+N($AC563)),"")</f>
      </c>
      <c r="AE563" s="35">
        <v>350</v>
      </c>
      <c r="AF563" s="35">
        <v>0</v>
      </c>
      <c r="AG563" s="37"/>
      <c r="AH563" s="39">
        <f>IF(ISNUMBER($AD563),($AD563+$AE563+$AF563)*$AG563,"")</f>
      </c>
      <c r="AI563" s="35"/>
      <c r="AJ563" s="38">
        <f>IF(ISNUMBER($AD563),SUM($AD563:$AH563),"")</f>
      </c>
      <c r="AK563" s="40">
        <f>IF(AND(ISNUMBER($AB563),ISNUMBER($AD563)),IF($AB563&gt;0,$AD563/$AB563,""),"")</f>
      </c>
      <c r="AL563" s="32" t="inlineStr">
        <is>
          <t xml:space="preserve">At technical</t>
        </is>
      </c>
      <c r="AM563" s="41">
        <f>IF(ISNUMBER($AD563),Header!$I$3,"")</f>
      </c>
      <c r="AN563" s="39">
        <f>IF(ISNUMBER($AD563),$AO563+$AP563,"")</f>
      </c>
      <c r="AO563" s="39">
        <f>IF(ISNUMBER($AD563),ROUND($AD563*Header!$K$3,2),"")</f>
      </c>
      <c r="AP563" s="39">
        <f>IF(ISNUMBER($AD563),ROUND($AD563*Header!$M$3,2),"")</f>
      </c>
      <c r="AQ563" s="38">
        <f>IF(ISNUMBER($AD563),ROUND($AD563,2)-$AO563-$AP563,"")</f>
      </c>
      <c r="AR563" s="39">
        <f>IF(ISNUMBER($AD563),IF(Header!$D$34="","?",$AD563*Header!$D$34),"")</f>
      </c>
      <c r="AS563" s="39">
        <f>IF(ISNUMBER($AB563),IF(Header!$D$34="","?",$AB563*Header!$D$34),"")</f>
      </c>
      <c r="AT563" s="42">
        <f>IF(AND(ISNUMBER($AB563),$M563&gt;0),$AB563/$M563*100,"")</f>
      </c>
      <c r="AU563" s="42">
        <f>IF(AND(ISNUMBER($AD563),$M563&gt;0),$AD563/$M563*100,"")</f>
      </c>
      <c r="AV563" s="40">
        <f>IF(AND(ISNUMBER($AB563),ISNUMBER($AD563),ABS($AB563)&gt;0),$AD563/$AB563,"")</f>
      </c>
      <c r="AW563" s="39">
        <f>IF(ISNUMBER($AD563),MAX(0,(1-0.55-Header!$O$3)*Header!$Q$3*$AQ563),"")</f>
      </c>
      <c r="AX563" s="43">
        <f>IF($A563="","",IF(TRIM(IF($A563="","Missing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",""))="","PASS","FAIL: "&amp;TRIM(IF($A563="","Missing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f>
      </c>
      <c r="AY563" s="44">
        <f>IF($M563="","",IF(ISNUMBER($M563),IF($M563&gt;=Header!$C$18,"YES — refer","No"),""))</f>
      </c>
      <c r="AZ563" s="44">
        <f>IF($AD563="","",IF(ISNUMBER($AD563),IF($AD563&lt;Header!$C$20,"BELOW MIN PREMIUM","OK"),""))</f>
      </c>
      <c r="BA563" s="32" t="inlineStr">
        <is>
          <t xml:space="preserve">Yes</t>
        </is>
      </c>
      <c r="BB563" s="32" t="inlineStr">
        <is>
          <t xml:space="preserve">Yes</t>
        </is>
      </c>
      <c r="BC563" s="30" t="inlineStr">
        <is>
          <t xml:space="preserve">Synthetic demo data</t>
        </is>
      </c>
      <c r="BE563" s="45">
        <f>IF(OR($A563="",$L563="",$H563=""),"",IF(AND(LEFT($L563,2)="06",$H563&gt;1945),"FAIL - pre-war class, year "&amp;$H563,IF(AND(LEFT($L563,2)="07",OR($H563&lt;1946,$H563&gt;1972)),"FAIL - 1946-72 class, year "&amp;$H563,IF(AND(LEFT($L563,2)="08",OR($H563&lt;1973,$H563&gt;1999)),"FAIL - 1973-99 class, year "&amp;$H563,IF(AND(LEFT($L563,2)="09",OR($H563&lt;2000,$H563&gt;2010)),"FAIL - 2000-10 class, year "&amp;$H563,"OK")))))</f>
      </c>
      <c r="BF563" s="45">
        <f>IF($AD563="","",IF(ROUND($AO563+$AP563+$AQ563-$AD563,2)=0,"OK","FAIL - out by "&amp;TEXT($AO563+$AP563+$AQ563-$AD563,"$0.00")))</f>
      </c>
    </row>
    <row r="564" spans="1:58" ht="18.75" customHeight="1" x14ac:dyDescent="0.25">
      <c r="A564" s="46" t="inlineStr">
        <is>
          <t xml:space="preserve">CANON-202606-009168</t>
        </is>
      </c>
      <c r="B564" s="46" t="inlineStr">
        <is>
          <t xml:space="preserve">Wilhelmina Kingsford</t>
        </is>
      </c>
      <c r="C564" s="47">
        <v>46183</v>
      </c>
      <c r="D564" s="48" t="inlineStr">
        <is>
          <t xml:space="preserve">Bound - within authority</t>
        </is>
      </c>
      <c r="E564" s="48" t="inlineStr">
        <is>
          <t xml:space="preserve">New business</t>
        </is>
      </c>
      <c r="F564" s="46" t="inlineStr">
        <is>
          <t xml:space="preserve">B1234EXOTIC26</t>
        </is>
      </c>
      <c r="G564" s="33">
        <f>IF($A564="","",IF($C564="","",YEAR($C564)))</f>
      </c>
      <c r="H564" s="49">
        <v>2009</v>
      </c>
      <c r="I564" s="46" t="inlineStr">
        <is>
          <t xml:space="preserve">Bugatti</t>
        </is>
      </c>
      <c r="J564" s="46" t="inlineStr">
        <is>
          <t xml:space="preserve">Type 57</t>
        </is>
      </c>
      <c r="K564" s="46" t="inlineStr">
        <is>
          <t xml:space="preserve">M4PHZ0002PJ4GZT9L</t>
        </is>
      </c>
      <c r="L564" s="48" t="inlineStr">
        <is>
          <t xml:space="preserve">09 - Youngtimer / Collectible (2000-2010)</t>
        </is>
      </c>
      <c r="M564" s="50">
        <v>1380000</v>
      </c>
      <c r="N564" s="48" t="inlineStr">
        <is>
          <t xml:space="preserve">Personal</t>
        </is>
      </c>
      <c r="O564" s="46" t="inlineStr">
        <is>
          <t xml:space="preserve">Personal - regular use</t>
        </is>
      </c>
      <c r="P564" s="46" t="inlineStr">
        <is>
          <t xml:space="preserve">Under 1,000</t>
        </is>
      </c>
      <c r="Q564" s="46" t="inlineStr">
        <is>
          <t xml:space="preserve">South Carolina</t>
        </is>
      </c>
      <c r="R564" s="46" t="inlineStr">
        <is>
          <t xml:space="preserve">29401</t>
        </is>
      </c>
      <c r="S564" s="48" t="inlineStr">
        <is>
          <t xml:space="preserve">Tier 2 - Coastal wind (1-25 miles)</t>
        </is>
      </c>
      <c r="T564" s="36">
        <f>IF($A564="","",IF($S564="","",IFERROR(INDEX('[1]natural catastrophe'!$D$6:$D$17,MATCH($S564,'[1]natural catastrophe'!$B$6:$B$17,0)),"?")))</f>
      </c>
      <c r="U564" s="46" t="inlineStr">
        <is>
          <t xml:space="preserve">2% of agreed value, minimum $10,000</t>
        </is>
      </c>
      <c r="V564" s="48" t="inlineStr">
        <is>
          <t xml:space="preserve">Agreed Value</t>
        </is>
      </c>
      <c r="W564" s="46" t="inlineStr">
        <is>
          <t xml:space="preserve">$1,000</t>
        </is>
      </c>
      <c r="X564" s="48" t="inlineStr">
        <is>
          <t xml:space="preserve">$1,000,000 CSL</t>
        </is>
      </c>
      <c r="Y564" s="46"/>
      <c r="Z564" s="46"/>
      <c r="AA564" s="48" t="inlineStr">
        <is>
          <t xml:space="preserve">Surplus Lines</t>
        </is>
      </c>
      <c r="AB564" s="50">
        <v>8395.6</v>
      </c>
      <c r="AC564" s="51">
        <v>0</v>
      </c>
      <c r="AD564" s="38">
        <f>IF(ISNUMBER($AB564),$AB564*(1+N($AC564)),"")</f>
      </c>
      <c r="AE564" s="50">
        <v>350</v>
      </c>
      <c r="AF564" s="50">
        <v>250</v>
      </c>
      <c r="AG564" s="51"/>
      <c r="AH564" s="39">
        <f>IF(ISNUMBER($AD564),($AD564+$AE564+$AF564)*$AG564,"")</f>
      </c>
      <c r="AI564" s="50"/>
      <c r="AJ564" s="38">
        <f>IF(ISNUMBER($AD564),SUM($AD564:$AH564),"")</f>
      </c>
      <c r="AK564" s="40">
        <f>IF(AND(ISNUMBER($AB564),ISNUMBER($AD564)),IF($AB564&gt;0,$AD564/$AB564,""),"")</f>
      </c>
      <c r="AL564" s="48" t="inlineStr">
        <is>
          <t xml:space="preserve">At technical</t>
        </is>
      </c>
      <c r="AM564" s="41">
        <f>IF(ISNUMBER($AD564),Header!$I$3,"")</f>
      </c>
      <c r="AN564" s="39">
        <f>IF(ISNUMBER($AD564),$AO564+$AP564,"")</f>
      </c>
      <c r="AO564" s="39">
        <f>IF(ISNUMBER($AD564),ROUND($AD564*Header!$K$3,2),"")</f>
      </c>
      <c r="AP564" s="39">
        <f>IF(ISNUMBER($AD564),ROUND($AD564*Header!$M$3,2),"")</f>
      </c>
      <c r="AQ564" s="38">
        <f>IF(ISNUMBER($AD564),ROUND($AD564,2)-$AO564-$AP564,"")</f>
      </c>
      <c r="AR564" s="39">
        <f>IF(ISNUMBER($AD564),IF(Header!$D$34="","?",$AD564*Header!$D$34),"")</f>
      </c>
      <c r="AS564" s="39">
        <f>IF(ISNUMBER($AB564),IF(Header!$D$34="","?",$AB564*Header!$D$34),"")</f>
      </c>
      <c r="AT564" s="42">
        <f>IF(AND(ISNUMBER($AB564),$M564&gt;0),$AB564/$M564*100,"")</f>
      </c>
      <c r="AU564" s="42">
        <f>IF(AND(ISNUMBER($AD564),$M564&gt;0),$AD564/$M564*100,"")</f>
      </c>
      <c r="AV564" s="40">
        <f>IF(AND(ISNUMBER($AB564),ISNUMBER($AD564),ABS($AB564)&gt;0),$AD564/$AB564,"")</f>
      </c>
      <c r="AW564" s="39">
        <f>IF(ISNUMBER($AD564),MAX(0,(1-0.55-Header!$O$3)*Header!$Q$3*$AQ564),"")</f>
      </c>
      <c r="AX564" s="43">
        <f>IF($A564="","",IF(TRIM(IF($A564="","Missing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",""))="","PASS","FAIL: "&amp;TRIM(IF($A564="","Missing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f>
      </c>
      <c r="AY564" s="44">
        <f>IF($M564="","",IF(ISNUMBER($M564),IF($M564&gt;=Header!$C$18,"YES — refer","No"),""))</f>
      </c>
      <c r="AZ564" s="44">
        <f>IF($AD564="","",IF(ISNUMBER($AD564),IF($AD564&lt;Header!$C$20,"BELOW MIN PREMIUM","OK"),""))</f>
      </c>
      <c r="BA564" s="48" t="inlineStr">
        <is>
          <t xml:space="preserve">Yes</t>
        </is>
      </c>
      <c r="BB564" s="48" t="inlineStr">
        <is>
          <t xml:space="preserve">Yes</t>
        </is>
      </c>
      <c r="BC564" s="46" t="inlineStr">
        <is>
          <t xml:space="preserve">Synthetic demo data</t>
        </is>
      </c>
      <c r="BE564" s="45">
        <f>IF(OR($A564="",$L564="",$H564=""),"",IF(AND(LEFT($L564,2)="06",$H564&gt;1945),"FAIL - pre-war class, year "&amp;$H564,IF(AND(LEFT($L564,2)="07",OR($H564&lt;1946,$H564&gt;1972)),"FAIL - 1946-72 class, year "&amp;$H564,IF(AND(LEFT($L564,2)="08",OR($H564&lt;1973,$H564&gt;1999)),"FAIL - 1973-99 class, year "&amp;$H564,IF(AND(LEFT($L564,2)="09",OR($H564&lt;2000,$H564&gt;2010)),"FAIL - 2000-10 class, year "&amp;$H564,"OK")))))</f>
      </c>
      <c r="BF564" s="45">
        <f>IF($AD564="","",IF(ROUND($AO564+$AP564+$AQ564-$AD564,2)=0,"OK","FAIL - out by "&amp;TEXT($AO564+$AP564+$AQ564-$AD564,"$0.00")))</f>
      </c>
    </row>
    <row r="565" spans="1:58" ht="18.75" customHeight="1" x14ac:dyDescent="0.25">
      <c r="A565" s="30" t="inlineStr">
        <is>
          <t xml:space="preserve">CANON-202606-009170</t>
        </is>
      </c>
      <c r="B565" s="30" t="inlineStr">
        <is>
          <t xml:space="preserve">Sunniva Rourke</t>
        </is>
      </c>
      <c r="C565" s="31">
        <v>46188</v>
      </c>
      <c r="D565" s="32" t="inlineStr">
        <is>
          <t xml:space="preserve">Bound - within authority</t>
        </is>
      </c>
      <c r="E565" s="32" t="inlineStr">
        <is>
          <t xml:space="preserve">New business</t>
        </is>
      </c>
      <c r="F565" s="30" t="inlineStr">
        <is>
          <t xml:space="preserve">B1234EXOTIC26</t>
        </is>
      </c>
      <c r="G565" s="33">
        <f>IF($A565="","",IF($C565="","",YEAR($C565)))</f>
      </c>
      <c r="H565" s="34">
        <v>1985</v>
      </c>
      <c r="I565" s="30" t="inlineStr">
        <is>
          <t xml:space="preserve">Porsche</t>
        </is>
      </c>
      <c r="J565" s="30" t="inlineStr">
        <is>
          <t xml:space="preserve">911 Turbo S</t>
        </is>
      </c>
      <c r="K565" s="30" t="inlineStr">
        <is>
          <t xml:space="preserve">LB1VJMXSN3HTMLXUN</t>
        </is>
      </c>
      <c r="L565" s="32" t="inlineStr">
        <is>
          <t xml:space="preserve">02 - Sports / GT</t>
        </is>
      </c>
      <c r="M565" s="35">
        <v>330000</v>
      </c>
      <c r="N565" s="32" t="inlineStr">
        <is>
          <t xml:space="preserve">Personal</t>
        </is>
      </c>
      <c r="O565" s="30" t="inlineStr">
        <is>
          <t xml:space="preserve">Personal - regular use</t>
        </is>
      </c>
      <c r="P565" s="30" t="inlineStr">
        <is>
          <t xml:space="preserve">Under 1,000</t>
        </is>
      </c>
      <c r="Q565" s="30" t="inlineStr">
        <is>
          <t xml:space="preserve">New York</t>
        </is>
      </c>
      <c r="R565" s="30" t="inlineStr">
        <is>
          <t xml:space="preserve">10022</t>
        </is>
      </c>
      <c r="S565" s="32" t="inlineStr">
        <is>
          <t xml:space="preserve">Tier 3 - Coastal wind (25-100 miles)</t>
        </is>
      </c>
      <c r="T565" s="36">
        <f>IF($A565="","",IF($S565="","",IFERROR(INDEX('[1]natural catastrophe'!$D$6:$D$17,MATCH($S565,'[1]natural catastrophe'!$B$6:$B$17,0)),"?")))</f>
      </c>
      <c r="U565" s="30" t="inlineStr">
        <is>
          <t xml:space="preserve">2% of agreed value, minimum $10,000</t>
        </is>
      </c>
      <c r="V565" s="32" t="inlineStr">
        <is>
          <t xml:space="preserve">Agreed Value</t>
        </is>
      </c>
      <c r="W565" s="30" t="inlineStr">
        <is>
          <t xml:space="preserve">$1,000</t>
        </is>
      </c>
      <c r="X565" s="32" t="inlineStr">
        <is>
          <t xml:space="preserve">$1,000,000 CSL</t>
        </is>
      </c>
      <c r="Y565" s="30"/>
      <c r="Z565" s="30"/>
      <c r="AA565" s="32" t="inlineStr">
        <is>
          <t xml:space="preserve">Surplus Lines</t>
        </is>
      </c>
      <c r="AB565" s="35">
        <v>4571.48</v>
      </c>
      <c r="AC565" s="37">
        <v>0</v>
      </c>
      <c r="AD565" s="38">
        <f>IF(ISNUMBER($AB565),$AB565*(1+N($AC565)),"")</f>
      </c>
      <c r="AE565" s="35">
        <v>350</v>
      </c>
      <c r="AF565" s="35">
        <v>0</v>
      </c>
      <c r="AG565" s="37"/>
      <c r="AH565" s="39">
        <f>IF(ISNUMBER($AD565),($AD565+$AE565+$AF565)*$AG565,"")</f>
      </c>
      <c r="AI565" s="35"/>
      <c r="AJ565" s="38">
        <f>IF(ISNUMBER($AD565),SUM($AD565:$AH565),"")</f>
      </c>
      <c r="AK565" s="40">
        <f>IF(AND(ISNUMBER($AB565),ISNUMBER($AD565)),IF($AB565&gt;0,$AD565/$AB565,""),"")</f>
      </c>
      <c r="AL565" s="32" t="inlineStr">
        <is>
          <t xml:space="preserve">At technical</t>
        </is>
      </c>
      <c r="AM565" s="41">
        <f>IF(ISNUMBER($AD565),Header!$I$3,"")</f>
      </c>
      <c r="AN565" s="39">
        <f>IF(ISNUMBER($AD565),$AO565+$AP565,"")</f>
      </c>
      <c r="AO565" s="39">
        <f>IF(ISNUMBER($AD565),ROUND($AD565*Header!$K$3,2),"")</f>
      </c>
      <c r="AP565" s="39">
        <f>IF(ISNUMBER($AD565),ROUND($AD565*Header!$M$3,2),"")</f>
      </c>
      <c r="AQ565" s="38">
        <f>IF(ISNUMBER($AD565),ROUND($AD565,2)-$AO565-$AP565,"")</f>
      </c>
      <c r="AR565" s="39">
        <f>IF(ISNUMBER($AD565),IF(Header!$D$34="","?",$AD565*Header!$D$34),"")</f>
      </c>
      <c r="AS565" s="39">
        <f>IF(ISNUMBER($AB565),IF(Header!$D$34="","?",$AB565*Header!$D$34),"")</f>
      </c>
      <c r="AT565" s="42">
        <f>IF(AND(ISNUMBER($AB565),$M565&gt;0),$AB565/$M565*100,"")</f>
      </c>
      <c r="AU565" s="42">
        <f>IF(AND(ISNUMBER($AD565),$M565&gt;0),$AD565/$M565*100,"")</f>
      </c>
      <c r="AV565" s="40">
        <f>IF(AND(ISNUMBER($AB565),ISNUMBER($AD565),ABS($AB565)&gt;0),$AD565/$AB565,"")</f>
      </c>
      <c r="AW565" s="39">
        <f>IF(ISNUMBER($AD565),MAX(0,(1-0.55-Header!$O$3)*Header!$Q$3*$AQ565),"")</f>
      </c>
      <c r="AX565" s="43">
        <f>IF($A565="","",IF(TRIM(IF($A565="","Missing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",""))="","PASS","FAIL: "&amp;TRIM(IF($A565="","Missing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f>
      </c>
      <c r="AY565" s="44">
        <f>IF($M565="","",IF(ISNUMBER($M565),IF($M565&gt;=Header!$C$18,"YES — refer","No"),""))</f>
      </c>
      <c r="AZ565" s="44">
        <f>IF($AD565="","",IF(ISNUMBER($AD565),IF($AD565&lt;Header!$C$20,"BELOW MIN PREMIUM","OK"),""))</f>
      </c>
      <c r="BA565" s="32" t="inlineStr">
        <is>
          <t xml:space="preserve">Yes</t>
        </is>
      </c>
      <c r="BB565" s="32" t="inlineStr">
        <is>
          <t xml:space="preserve">Yes</t>
        </is>
      </c>
      <c r="BC565" s="30" t="inlineStr">
        <is>
          <t xml:space="preserve">Synthetic demo data</t>
        </is>
      </c>
      <c r="BE565" s="45">
        <f>IF(OR($A565="",$L565="",$H565=""),"",IF(AND(LEFT($L565,2)="06",$H565&gt;1945),"FAIL - pre-war class, year "&amp;$H565,IF(AND(LEFT($L565,2)="07",OR($H565&lt;1946,$H565&gt;1972)),"FAIL - 1946-72 class, year "&amp;$H565,IF(AND(LEFT($L565,2)="08",OR($H565&lt;1973,$H565&gt;1999)),"FAIL - 1973-99 class, year "&amp;$H565,IF(AND(LEFT($L565,2)="09",OR($H565&lt;2000,$H565&gt;2010)),"FAIL - 2000-10 class, year "&amp;$H565,"OK")))))</f>
      </c>
      <c r="BF565" s="45">
        <f>IF($AD565="","",IF(ROUND($AO565+$AP565+$AQ565-$AD565,2)=0,"OK","FAIL - out by "&amp;TEXT($AO565+$AP565+$AQ565-$AD565,"$0.00")))</f>
      </c>
    </row>
    <row r="566" spans="1:58" ht="18.75" customHeight="1" x14ac:dyDescent="0.25">
      <c r="A566" s="46" t="inlineStr">
        <is>
          <t xml:space="preserve">CANON-202606-009171</t>
        </is>
      </c>
      <c r="B566" s="46" t="inlineStr">
        <is>
          <t xml:space="preserve">Marisol Kingsford</t>
        </is>
      </c>
      <c r="C566" s="47">
        <v>46185</v>
      </c>
      <c r="D566" s="48" t="inlineStr">
        <is>
          <t xml:space="preserve">Bound - within authority</t>
        </is>
      </c>
      <c r="E566" s="48" t="inlineStr">
        <is>
          <t xml:space="preserve">New business</t>
        </is>
      </c>
      <c r="F566" s="46" t="inlineStr">
        <is>
          <t xml:space="preserve">B1234EXOTIC26</t>
        </is>
      </c>
      <c r="G566" s="33">
        <f>IF($A566="","",IF($C566="","",YEAR($C566)))</f>
      </c>
      <c r="H566" s="49">
        <v>1970</v>
      </c>
      <c r="I566" s="46" t="inlineStr">
        <is>
          <t xml:space="preserve">Mercedes-Benz</t>
        </is>
      </c>
      <c r="J566" s="46" t="inlineStr">
        <is>
          <t xml:space="preserve">AMG GT</t>
        </is>
      </c>
      <c r="K566" s="46" t="inlineStr">
        <is>
          <t xml:space="preserve">LPJAKTKD3WFP615EL</t>
        </is>
      </c>
      <c r="L566" s="48" t="inlineStr">
        <is>
          <t xml:space="preserve">02 - Sports / GT</t>
        </is>
      </c>
      <c r="M566" s="50">
        <v>1700000</v>
      </c>
      <c r="N566" s="48" t="inlineStr">
        <is>
          <t xml:space="preserve">Personal</t>
        </is>
      </c>
      <c r="O566" s="46" t="inlineStr">
        <is>
          <t xml:space="preserve">Personal - regular use</t>
        </is>
      </c>
      <c r="P566" s="46" t="inlineStr">
        <is>
          <t xml:space="preserve">Under 1,000</t>
        </is>
      </c>
      <c r="Q566" s="46" t="inlineStr">
        <is>
          <t xml:space="preserve">Colorado</t>
        </is>
      </c>
      <c r="R566" s="46" t="inlineStr">
        <is>
          <t xml:space="preserve">80202</t>
        </is>
      </c>
      <c r="S566" s="48" t="inlineStr">
        <is>
          <t xml:space="preserve">Severe convective - hail alley (high)</t>
        </is>
      </c>
      <c r="T566" s="36">
        <f>IF($A566="","",IF($S566="","",IFERROR(INDEX('[1]natural catastrophe'!$D$6:$D$17,MATCH($S566,'[1]natural catastrophe'!$B$6:$B$17,0)),"?")))</f>
      </c>
      <c r="U566" s="46" t="inlineStr">
        <is>
          <t xml:space="preserve">$5,000</t>
        </is>
      </c>
      <c r="V566" s="48" t="inlineStr">
        <is>
          <t xml:space="preserve">Agreed Value</t>
        </is>
      </c>
      <c r="W566" s="46" t="inlineStr">
        <is>
          <t xml:space="preserve">$1,000</t>
        </is>
      </c>
      <c r="X566" s="48" t="inlineStr">
        <is>
          <t xml:space="preserve">$1,000,000 CSL</t>
        </is>
      </c>
      <c r="Y566" s="46"/>
      <c r="Z566" s="46"/>
      <c r="AA566" s="48" t="inlineStr">
        <is>
          <t xml:space="preserve">Surplus Lines</t>
        </is>
      </c>
      <c r="AB566" s="50">
        <v>14841.45</v>
      </c>
      <c r="AC566" s="51">
        <v>0</v>
      </c>
      <c r="AD566" s="38">
        <f>IF(ISNUMBER($AB566),$AB566*(1+N($AC566)),"")</f>
      </c>
      <c r="AE566" s="50">
        <v>350</v>
      </c>
      <c r="AF566" s="50">
        <v>250</v>
      </c>
      <c r="AG566" s="51"/>
      <c r="AH566" s="39">
        <f>IF(ISNUMBER($AD566),($AD566+$AE566+$AF566)*$AG566,"")</f>
      </c>
      <c r="AI566" s="50"/>
      <c r="AJ566" s="38">
        <f>IF(ISNUMBER($AD566),SUM($AD566:$AH566),"")</f>
      </c>
      <c r="AK566" s="40">
        <f>IF(AND(ISNUMBER($AB566),ISNUMBER($AD566)),IF($AB566&gt;0,$AD566/$AB566,""),"")</f>
      </c>
      <c r="AL566" s="48" t="inlineStr">
        <is>
          <t xml:space="preserve">At technical</t>
        </is>
      </c>
      <c r="AM566" s="41">
        <f>IF(ISNUMBER($AD566),Header!$I$3,"")</f>
      </c>
      <c r="AN566" s="39">
        <f>IF(ISNUMBER($AD566),$AO566+$AP566,"")</f>
      </c>
      <c r="AO566" s="39">
        <f>IF(ISNUMBER($AD566),ROUND($AD566*Header!$K$3,2),"")</f>
      </c>
      <c r="AP566" s="39">
        <f>IF(ISNUMBER($AD566),ROUND($AD566*Header!$M$3,2),"")</f>
      </c>
      <c r="AQ566" s="38">
        <f>IF(ISNUMBER($AD566),ROUND($AD566,2)-$AO566-$AP566,"")</f>
      </c>
      <c r="AR566" s="39">
        <f>IF(ISNUMBER($AD566),IF(Header!$D$34="","?",$AD566*Header!$D$34),"")</f>
      </c>
      <c r="AS566" s="39">
        <f>IF(ISNUMBER($AB566),IF(Header!$D$34="","?",$AB566*Header!$D$34),"")</f>
      </c>
      <c r="AT566" s="42">
        <f>IF(AND(ISNUMBER($AB566),$M566&gt;0),$AB566/$M566*100,"")</f>
      </c>
      <c r="AU566" s="42">
        <f>IF(AND(ISNUMBER($AD566),$M566&gt;0),$AD566/$M566*100,"")</f>
      </c>
      <c r="AV566" s="40">
        <f>IF(AND(ISNUMBER($AB566),ISNUMBER($AD566),ABS($AB566)&gt;0),$AD566/$AB566,"")</f>
      </c>
      <c r="AW566" s="39">
        <f>IF(ISNUMBER($AD566),MAX(0,(1-0.55-Header!$O$3)*Header!$Q$3*$AQ566),"")</f>
      </c>
      <c r="AX566" s="43">
        <f>IF($A566="","",IF(TRIM(IF($A566="","Missing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",""))="","PASS","FAIL: "&amp;TRIM(IF($A566="","Missing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f>
      </c>
      <c r="AY566" s="44">
        <f>IF($M566="","",IF(ISNUMBER($M566),IF($M566&gt;=Header!$C$18,"YES — refer","No"),""))</f>
      </c>
      <c r="AZ566" s="44">
        <f>IF($AD566="","",IF(ISNUMBER($AD566),IF($AD566&lt;Header!$C$20,"BELOW MIN PREMIUM","OK"),""))</f>
      </c>
      <c r="BA566" s="48" t="inlineStr">
        <is>
          <t xml:space="preserve">Yes</t>
        </is>
      </c>
      <c r="BB566" s="48" t="inlineStr">
        <is>
          <t xml:space="preserve">Yes</t>
        </is>
      </c>
      <c r="BC566" s="46" t="inlineStr">
        <is>
          <t xml:space="preserve">Synthetic demo data</t>
        </is>
      </c>
      <c r="BE566" s="45">
        <f>IF(OR($A566="",$L566="",$H566=""),"",IF(AND(LEFT($L566,2)="06",$H566&gt;1945),"FAIL - pre-war class, year "&amp;$H566,IF(AND(LEFT($L566,2)="07",OR($H566&lt;1946,$H566&gt;1972)),"FAIL - 1946-72 class, year "&amp;$H566,IF(AND(LEFT($L566,2)="08",OR($H566&lt;1973,$H566&gt;1999)),"FAIL - 1973-99 class, year "&amp;$H566,IF(AND(LEFT($L566,2)="09",OR($H566&lt;2000,$H566&gt;2010)),"FAIL - 2000-10 class, year "&amp;$H566,"OK")))))</f>
      </c>
      <c r="BF566" s="45">
        <f>IF($AD566="","",IF(ROUND($AO566+$AP566+$AQ566-$AD566,2)=0,"OK","FAIL - out by "&amp;TEXT($AO566+$AP566+$AQ566-$AD566,"$0.00")))</f>
      </c>
    </row>
    <row r="567" spans="1:58" ht="18.75" customHeight="1" x14ac:dyDescent="0.25">
      <c r="A567" s="30" t="inlineStr">
        <is>
          <t xml:space="preserve">CANON-202606-009172</t>
        </is>
      </c>
      <c r="B567" s="30" t="inlineStr">
        <is>
          <t xml:space="preserve">Everett Larsson</t>
        </is>
      </c>
      <c r="C567" s="31">
        <v>46177</v>
      </c>
      <c r="D567" s="32" t="inlineStr">
        <is>
          <t xml:space="preserve">Bound - within authority</t>
        </is>
      </c>
      <c r="E567" s="32" t="inlineStr">
        <is>
          <t xml:space="preserve">New business</t>
        </is>
      </c>
      <c r="F567" s="30" t="inlineStr">
        <is>
          <t xml:space="preserve">B1234EXOTIC26</t>
        </is>
      </c>
      <c r="G567" s="33">
        <f>IF($A567="","",IF($C567="","",YEAR($C567)))</f>
      </c>
      <c r="H567" s="34">
        <v>1982</v>
      </c>
      <c r="I567" s="30" t="inlineStr">
        <is>
          <t xml:space="preserve">Jaguar</t>
        </is>
      </c>
      <c r="J567" s="30" t="inlineStr">
        <is>
          <t xml:space="preserve">E-Type Series 1</t>
        </is>
      </c>
      <c r="K567" s="30" t="inlineStr">
        <is>
          <t xml:space="preserve">JD430FCDC7RPKTLJU</t>
        </is>
      </c>
      <c r="L567" s="32" t="inlineStr">
        <is>
          <t xml:space="preserve">08 - Modern Classic (1973-1999)</t>
        </is>
      </c>
      <c r="M567" s="35">
        <v>890000</v>
      </c>
      <c r="N567" s="32" t="inlineStr">
        <is>
          <t xml:space="preserve">Personal</t>
        </is>
      </c>
      <c r="O567" s="30" t="inlineStr">
        <is>
          <t xml:space="preserve">Personal - regular use</t>
        </is>
      </c>
      <c r="P567" s="30" t="inlineStr">
        <is>
          <t xml:space="preserve">1,000 - 2,500</t>
        </is>
      </c>
      <c r="Q567" s="30" t="inlineStr">
        <is>
          <t xml:space="preserve">Wisconsin</t>
        </is>
      </c>
      <c r="R567" s="30" t="inlineStr">
        <is>
          <t xml:space="preserve">53202</t>
        </is>
      </c>
      <c r="S567" s="32" t="inlineStr">
        <is>
          <t xml:space="preserve">Severe convective - hail / tornado (moderate)</t>
        </is>
      </c>
      <c r="T567" s="36">
        <f>IF($A567="","",IF($S567="","",IFERROR(INDEX('[1]natural catastrophe'!$D$6:$D$17,MATCH($S567,'[1]natural catastrophe'!$B$6:$B$17,0)),"?")))</f>
      </c>
      <c r="U567" s="30" t="inlineStr">
        <is>
          <t xml:space="preserve">$5,000</t>
        </is>
      </c>
      <c r="V567" s="32" t="inlineStr">
        <is>
          <t xml:space="preserve">Agreed Value</t>
        </is>
      </c>
      <c r="W567" s="30" t="inlineStr">
        <is>
          <t xml:space="preserve">$1,000</t>
        </is>
      </c>
      <c r="X567" s="32" t="inlineStr">
        <is>
          <t xml:space="preserve">$1,000,000 CSL</t>
        </is>
      </c>
      <c r="Y567" s="30"/>
      <c r="Z567" s="30"/>
      <c r="AA567" s="32" t="inlineStr">
        <is>
          <t xml:space="preserve">Surplus Lines</t>
        </is>
      </c>
      <c r="AB567" s="35">
        <v>6626.92</v>
      </c>
      <c r="AC567" s="37">
        <v>0</v>
      </c>
      <c r="AD567" s="38">
        <f>IF(ISNUMBER($AB567),$AB567*(1+N($AC567)),"")</f>
      </c>
      <c r="AE567" s="35">
        <v>350</v>
      </c>
      <c r="AF567" s="35">
        <v>0</v>
      </c>
      <c r="AG567" s="37"/>
      <c r="AH567" s="39">
        <f>IF(ISNUMBER($AD567),($AD567+$AE567+$AF567)*$AG567,"")</f>
      </c>
      <c r="AI567" s="35"/>
      <c r="AJ567" s="38">
        <f>IF(ISNUMBER($AD567),SUM($AD567:$AH567),"")</f>
      </c>
      <c r="AK567" s="40">
        <f>IF(AND(ISNUMBER($AB567),ISNUMBER($AD567)),IF($AB567&gt;0,$AD567/$AB567,""),"")</f>
      </c>
      <c r="AL567" s="32" t="inlineStr">
        <is>
          <t xml:space="preserve">At technical</t>
        </is>
      </c>
      <c r="AM567" s="41">
        <f>IF(ISNUMBER($AD567),Header!$I$3,"")</f>
      </c>
      <c r="AN567" s="39">
        <f>IF(ISNUMBER($AD567),$AO567+$AP567,"")</f>
      </c>
      <c r="AO567" s="39">
        <f>IF(ISNUMBER($AD567),ROUND($AD567*Header!$K$3,2),"")</f>
      </c>
      <c r="AP567" s="39">
        <f>IF(ISNUMBER($AD567),ROUND($AD567*Header!$M$3,2),"")</f>
      </c>
      <c r="AQ567" s="38">
        <f>IF(ISNUMBER($AD567),ROUND($AD567,2)-$AO567-$AP567,"")</f>
      </c>
      <c r="AR567" s="39">
        <f>IF(ISNUMBER($AD567),IF(Header!$D$34="","?",$AD567*Header!$D$34),"")</f>
      </c>
      <c r="AS567" s="39">
        <f>IF(ISNUMBER($AB567),IF(Header!$D$34="","?",$AB567*Header!$D$34),"")</f>
      </c>
      <c r="AT567" s="42">
        <f>IF(AND(ISNUMBER($AB567),$M567&gt;0),$AB567/$M567*100,"")</f>
      </c>
      <c r="AU567" s="42">
        <f>IF(AND(ISNUMBER($AD567),$M567&gt;0),$AD567/$M567*100,"")</f>
      </c>
      <c r="AV567" s="40">
        <f>IF(AND(ISNUMBER($AB567),ISNUMBER($AD567),ABS($AB567)&gt;0),$AD567/$AB567,"")</f>
      </c>
      <c r="AW567" s="39">
        <f>IF(ISNUMBER($AD567),MAX(0,(1-0.55-Header!$O$3)*Header!$Q$3*$AQ567),"")</f>
      </c>
      <c r="AX567" s="43">
        <f>IF($A567="","",IF(TRIM(IF($A567="","Missing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",""))="","PASS","FAIL: "&amp;TRIM(IF($A567="","Missing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f>
      </c>
      <c r="AY567" s="44">
        <f>IF($M567="","",IF(ISNUMBER($M567),IF($M567&gt;=Header!$C$18,"YES — refer","No"),""))</f>
      </c>
      <c r="AZ567" s="44">
        <f>IF($AD567="","",IF(ISNUMBER($AD567),IF($AD567&lt;Header!$C$20,"BELOW MIN PREMIUM","OK"),""))</f>
      </c>
      <c r="BA567" s="32" t="inlineStr">
        <is>
          <t xml:space="preserve">Yes</t>
        </is>
      </c>
      <c r="BB567" s="32" t="inlineStr">
        <is>
          <t xml:space="preserve">Yes</t>
        </is>
      </c>
      <c r="BC567" s="30" t="inlineStr">
        <is>
          <t xml:space="preserve">Synthetic demo data</t>
        </is>
      </c>
      <c r="BE567" s="45">
        <f>IF(OR($A567="",$L567="",$H567=""),"",IF(AND(LEFT($L567,2)="06",$H567&gt;1945),"FAIL - pre-war class, year "&amp;$H567,IF(AND(LEFT($L567,2)="07",OR($H567&lt;1946,$H567&gt;1972)),"FAIL - 1946-72 class, year "&amp;$H567,IF(AND(LEFT($L567,2)="08",OR($H567&lt;1973,$H567&gt;1999)),"FAIL - 1973-99 class, year "&amp;$H567,IF(AND(LEFT($L567,2)="09",OR($H567&lt;2000,$H567&gt;2010)),"FAIL - 2000-10 class, year "&amp;$H567,"OK")))))</f>
      </c>
      <c r="BF567" s="45">
        <f>IF($AD567="","",IF(ROUND($AO567+$AP567+$AQ567-$AD567,2)=0,"OK","FAIL - out by "&amp;TEXT($AO567+$AP567+$AQ567-$AD567,"$0.00")))</f>
      </c>
    </row>
    <row r="568" spans="1:58" ht="18.75" customHeight="1" x14ac:dyDescent="0.25">
      <c r="A568" s="46" t="inlineStr">
        <is>
          <t xml:space="preserve">CANON-202606-009173</t>
        </is>
      </c>
      <c r="B568" s="46" t="inlineStr">
        <is>
          <t xml:space="preserve">Cassius Vasquez</t>
        </is>
      </c>
      <c r="C568" s="47">
        <v>46203</v>
      </c>
      <c r="D568" s="48" t="inlineStr">
        <is>
          <t xml:space="preserve">Bound - within authority</t>
        </is>
      </c>
      <c r="E568" s="48" t="inlineStr">
        <is>
          <t xml:space="preserve">New business</t>
        </is>
      </c>
      <c r="F568" s="46" t="inlineStr">
        <is>
          <t xml:space="preserve">B1234EXOTIC26</t>
        </is>
      </c>
      <c r="G568" s="33">
        <f>IF($A568="","",IF($C568="","",YEAR($C568)))</f>
      </c>
      <c r="H568" s="49">
        <v>1984</v>
      </c>
      <c r="I568" s="46" t="inlineStr">
        <is>
          <t xml:space="preserve">Singer</t>
        </is>
      </c>
      <c r="J568" s="46" t="inlineStr">
        <is>
          <t xml:space="preserve">911 Reimagined</t>
        </is>
      </c>
      <c r="K568" s="46" t="inlineStr">
        <is>
          <t xml:space="preserve">FLMPBCVECVS9F30ZJ</t>
        </is>
      </c>
      <c r="L568" s="48" t="inlineStr">
        <is>
          <t xml:space="preserve">11 - Restomod / Coachbuilt / Bespoke</t>
        </is>
      </c>
      <c r="M568" s="50">
        <v>615000</v>
      </c>
      <c r="N568" s="48" t="inlineStr">
        <is>
          <t xml:space="preserve">Personal</t>
        </is>
      </c>
      <c r="O568" s="46" t="inlineStr">
        <is>
          <t xml:space="preserve">Personal - regular use</t>
        </is>
      </c>
      <c r="P568" s="46" t="inlineStr">
        <is>
          <t xml:space="preserve">Under 1,000</t>
        </is>
      </c>
      <c r="Q568" s="46" t="inlineStr">
        <is>
          <t xml:space="preserve">Washington</t>
        </is>
      </c>
      <c r="R568" s="46" t="inlineStr">
        <is>
          <t xml:space="preserve">98101</t>
        </is>
      </c>
      <c r="S568" s="48" t="inlineStr">
        <is>
          <t xml:space="preserve">Earthquake - high (CA, Cascadia, New Madrid)</t>
        </is>
      </c>
      <c r="T568" s="36">
        <f>IF($A568="","",IF($S568="","",IFERROR(INDEX('[1]natural catastrophe'!$D$6:$D$17,MATCH($S568,'[1]natural catastrophe'!$B$6:$B$17,0)),"?")))</f>
      </c>
      <c r="U568" s="46" t="inlineStr">
        <is>
          <t xml:space="preserve">$5,000</t>
        </is>
      </c>
      <c r="V568" s="48" t="inlineStr">
        <is>
          <t xml:space="preserve">Agreed Value</t>
        </is>
      </c>
      <c r="W568" s="46" t="inlineStr">
        <is>
          <t xml:space="preserve">$1,000</t>
        </is>
      </c>
      <c r="X568" s="48" t="inlineStr">
        <is>
          <t xml:space="preserve">$1,000,000 CSL</t>
        </is>
      </c>
      <c r="Y568" s="46"/>
      <c r="Z568" s="46"/>
      <c r="AA568" s="48" t="inlineStr">
        <is>
          <t xml:space="preserve">Surplus Lines</t>
        </is>
      </c>
      <c r="AB568" s="50">
        <v>6645.28</v>
      </c>
      <c r="AC568" s="51">
        <v>0</v>
      </c>
      <c r="AD568" s="38">
        <f>IF(ISNUMBER($AB568),$AB568*(1+N($AC568)),"")</f>
      </c>
      <c r="AE568" s="50">
        <v>350</v>
      </c>
      <c r="AF568" s="50">
        <v>0</v>
      </c>
      <c r="AG568" s="51"/>
      <c r="AH568" s="39">
        <f>IF(ISNUMBER($AD568),($AD568+$AE568+$AF568)*$AG568,"")</f>
      </c>
      <c r="AI568" s="50"/>
      <c r="AJ568" s="38">
        <f>IF(ISNUMBER($AD568),SUM($AD568:$AH568),"")</f>
      </c>
      <c r="AK568" s="40">
        <f>IF(AND(ISNUMBER($AB568),ISNUMBER($AD568)),IF($AB568&gt;0,$AD568/$AB568,""),"")</f>
      </c>
      <c r="AL568" s="48" t="inlineStr">
        <is>
          <t xml:space="preserve">At technical</t>
        </is>
      </c>
      <c r="AM568" s="41">
        <f>IF(ISNUMBER($AD568),Header!$I$3,"")</f>
      </c>
      <c r="AN568" s="39">
        <f>IF(ISNUMBER($AD568),$AO568+$AP568,"")</f>
      </c>
      <c r="AO568" s="39">
        <f>IF(ISNUMBER($AD568),ROUND($AD568*Header!$K$3,2),"")</f>
      </c>
      <c r="AP568" s="39">
        <f>IF(ISNUMBER($AD568),ROUND($AD568*Header!$M$3,2),"")</f>
      </c>
      <c r="AQ568" s="38">
        <f>IF(ISNUMBER($AD568),ROUND($AD568,2)-$AO568-$AP568,"")</f>
      </c>
      <c r="AR568" s="39">
        <f>IF(ISNUMBER($AD568),IF(Header!$D$34="","?",$AD568*Header!$D$34),"")</f>
      </c>
      <c r="AS568" s="39">
        <f>IF(ISNUMBER($AB568),IF(Header!$D$34="","?",$AB568*Header!$D$34),"")</f>
      </c>
      <c r="AT568" s="42">
        <f>IF(AND(ISNUMBER($AB568),$M568&gt;0),$AB568/$M568*100,"")</f>
      </c>
      <c r="AU568" s="42">
        <f>IF(AND(ISNUMBER($AD568),$M568&gt;0),$AD568/$M568*100,"")</f>
      </c>
      <c r="AV568" s="40">
        <f>IF(AND(ISNUMBER($AB568),ISNUMBER($AD568),ABS($AB568)&gt;0),$AD568/$AB568,"")</f>
      </c>
      <c r="AW568" s="39">
        <f>IF(ISNUMBER($AD568),MAX(0,(1-0.55-Header!$O$3)*Header!$Q$3*$AQ568),"")</f>
      </c>
      <c r="AX568" s="43">
        <f>IF($A568="","",IF(TRIM(IF($A568="","Missing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",""))="","PASS","FAIL: "&amp;TRIM(IF($A568="","Missing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f>
      </c>
      <c r="AY568" s="44">
        <f>IF($M568="","",IF(ISNUMBER($M568),IF($M568&gt;=Header!$C$18,"YES — refer","No"),""))</f>
      </c>
      <c r="AZ568" s="44">
        <f>IF($AD568="","",IF(ISNUMBER($AD568),IF($AD568&lt;Header!$C$20,"BELOW MIN PREMIUM","OK"),""))</f>
      </c>
      <c r="BA568" s="48" t="inlineStr">
        <is>
          <t xml:space="preserve">Yes</t>
        </is>
      </c>
      <c r="BB568" s="48" t="inlineStr">
        <is>
          <t xml:space="preserve">Yes</t>
        </is>
      </c>
      <c r="BC568" s="46" t="inlineStr">
        <is>
          <t xml:space="preserve">Synthetic demo data</t>
        </is>
      </c>
      <c r="BE568" s="45">
        <f>IF(OR($A568="",$L568="",$H568=""),"",IF(AND(LEFT($L568,2)="06",$H568&gt;1945),"FAIL - pre-war class, year "&amp;$H568,IF(AND(LEFT($L568,2)="07",OR($H568&lt;1946,$H568&gt;1972)),"FAIL - 1946-72 class, year "&amp;$H568,IF(AND(LEFT($L568,2)="08",OR($H568&lt;1973,$H568&gt;1999)),"FAIL - 1973-99 class, year "&amp;$H568,IF(AND(LEFT($L568,2)="09",OR($H568&lt;2000,$H568&gt;2010)),"FAIL - 2000-10 class, year "&amp;$H568,"OK")))))</f>
      </c>
      <c r="BF568" s="45">
        <f>IF($AD568="","",IF(ROUND($AO568+$AP568+$AQ568-$AD568,2)=0,"OK","FAIL - out by "&amp;TEXT($AO568+$AP568+$AQ568-$AD568,"$0.00")))</f>
      </c>
    </row>
    <row r="569" spans="1:58" ht="18.75" customHeight="1" x14ac:dyDescent="0.25">
      <c r="A569" s="30" t="inlineStr">
        <is>
          <t xml:space="preserve">CANON-202606-009175</t>
        </is>
      </c>
      <c r="B569" s="30" t="inlineStr">
        <is>
          <t xml:space="preserve">Priya Thistlewood</t>
        </is>
      </c>
      <c r="C569" s="31">
        <v>46198</v>
      </c>
      <c r="D569" s="32" t="inlineStr">
        <is>
          <t xml:space="preserve">Bound - within authority</t>
        </is>
      </c>
      <c r="E569" s="32" t="inlineStr">
        <is>
          <t xml:space="preserve">New business</t>
        </is>
      </c>
      <c r="F569" s="30" t="inlineStr">
        <is>
          <t xml:space="preserve">B1234EXOTIC26</t>
        </is>
      </c>
      <c r="G569" s="33">
        <f>IF($A569="","",IF($C569="","",YEAR($C569)))</f>
      </c>
      <c r="H569" s="34">
        <v>1973</v>
      </c>
      <c r="I569" s="30" t="inlineStr">
        <is>
          <t xml:space="preserve">Mercedes-Benz</t>
        </is>
      </c>
      <c r="J569" s="30" t="inlineStr">
        <is>
          <t xml:space="preserve">AMG GT</t>
        </is>
      </c>
      <c r="K569" s="30" t="inlineStr">
        <is>
          <t xml:space="preserve">CZKC9C7Z7M3M68K38</t>
        </is>
      </c>
      <c r="L569" s="32" t="inlineStr">
        <is>
          <t xml:space="preserve">02 - Sports / GT</t>
        </is>
      </c>
      <c r="M569" s="35">
        <v>280000</v>
      </c>
      <c r="N569" s="32" t="inlineStr">
        <is>
          <t xml:space="preserve">Personal</t>
        </is>
      </c>
      <c r="O569" s="30" t="inlineStr">
        <is>
          <t xml:space="preserve">Personal - regular use</t>
        </is>
      </c>
      <c r="P569" s="30" t="inlineStr">
        <is>
          <t xml:space="preserve">1,000 - 2,500</t>
        </is>
      </c>
      <c r="Q569" s="30" t="inlineStr">
        <is>
          <t xml:space="preserve">Wyoming</t>
        </is>
      </c>
      <c r="R569" s="30" t="inlineStr">
        <is>
          <t xml:space="preserve">82001</t>
        </is>
      </c>
      <c r="S569" s="32" t="inlineStr">
        <is>
          <t xml:space="preserve">Severe convective - hail alley (high)</t>
        </is>
      </c>
      <c r="T569" s="36">
        <f>IF($A569="","",IF($S569="","",IFERROR(INDEX('[1]natural catastrophe'!$D$6:$D$17,MATCH($S569,'[1]natural catastrophe'!$B$6:$B$17,0)),"?")))</f>
      </c>
      <c r="U569" s="30" t="inlineStr">
        <is>
          <t xml:space="preserve">$5,000</t>
        </is>
      </c>
      <c r="V569" s="32" t="inlineStr">
        <is>
          <t xml:space="preserve">Agreed Value</t>
        </is>
      </c>
      <c r="W569" s="30" t="inlineStr">
        <is>
          <t xml:space="preserve">$1,000</t>
        </is>
      </c>
      <c r="X569" s="32" t="inlineStr">
        <is>
          <t xml:space="preserve">$1,000,000 CSL</t>
        </is>
      </c>
      <c r="Y569" s="30"/>
      <c r="Z569" s="30"/>
      <c r="AA569" s="32" t="inlineStr">
        <is>
          <t xml:space="preserve">Surplus Lines</t>
        </is>
      </c>
      <c r="AB569" s="35">
        <v>3242.46</v>
      </c>
      <c r="AC569" s="37">
        <v>0</v>
      </c>
      <c r="AD569" s="38">
        <f>IF(ISNUMBER($AB569),$AB569*(1+N($AC569)),"")</f>
      </c>
      <c r="AE569" s="35">
        <v>350</v>
      </c>
      <c r="AF569" s="35">
        <v>0</v>
      </c>
      <c r="AG569" s="37"/>
      <c r="AH569" s="39">
        <f>IF(ISNUMBER($AD569),($AD569+$AE569+$AF569)*$AG569,"")</f>
      </c>
      <c r="AI569" s="35"/>
      <c r="AJ569" s="38">
        <f>IF(ISNUMBER($AD569),SUM($AD569:$AH569),"")</f>
      </c>
      <c r="AK569" s="40">
        <f>IF(AND(ISNUMBER($AB569),ISNUMBER($AD569)),IF($AB569&gt;0,$AD569/$AB569,""),"")</f>
      </c>
      <c r="AL569" s="32" t="inlineStr">
        <is>
          <t xml:space="preserve">At technical</t>
        </is>
      </c>
      <c r="AM569" s="41">
        <f>IF(ISNUMBER($AD569),Header!$I$3,"")</f>
      </c>
      <c r="AN569" s="39">
        <f>IF(ISNUMBER($AD569),$AO569+$AP569,"")</f>
      </c>
      <c r="AO569" s="39">
        <f>IF(ISNUMBER($AD569),ROUND($AD569*Header!$K$3,2),"")</f>
      </c>
      <c r="AP569" s="39">
        <f>IF(ISNUMBER($AD569),ROUND($AD569*Header!$M$3,2),"")</f>
      </c>
      <c r="AQ569" s="38">
        <f>IF(ISNUMBER($AD569),ROUND($AD569,2)-$AO569-$AP569,"")</f>
      </c>
      <c r="AR569" s="39">
        <f>IF(ISNUMBER($AD569),IF(Header!$D$34="","?",$AD569*Header!$D$34),"")</f>
      </c>
      <c r="AS569" s="39">
        <f>IF(ISNUMBER($AB569),IF(Header!$D$34="","?",$AB569*Header!$D$34),"")</f>
      </c>
      <c r="AT569" s="42">
        <f>IF(AND(ISNUMBER($AB569),$M569&gt;0),$AB569/$M569*100,"")</f>
      </c>
      <c r="AU569" s="42">
        <f>IF(AND(ISNUMBER($AD569),$M569&gt;0),$AD569/$M569*100,"")</f>
      </c>
      <c r="AV569" s="40">
        <f>IF(AND(ISNUMBER($AB569),ISNUMBER($AD569),ABS($AB569)&gt;0),$AD569/$AB569,"")</f>
      </c>
      <c r="AW569" s="39">
        <f>IF(ISNUMBER($AD569),MAX(0,(1-0.55-Header!$O$3)*Header!$Q$3*$AQ569),"")</f>
      </c>
      <c r="AX569" s="43">
        <f>IF($A569="","",IF(TRIM(IF($A569="","Missing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",""))="","PASS","FAIL: "&amp;TRIM(IF($A569="","Missing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f>
      </c>
      <c r="AY569" s="44">
        <f>IF($M569="","",IF(ISNUMBER($M569),IF($M569&gt;=Header!$C$18,"YES — refer","No"),""))</f>
      </c>
      <c r="AZ569" s="44">
        <f>IF($AD569="","",IF(ISNUMBER($AD569),IF($AD569&lt;Header!$C$20,"BELOW MIN PREMIUM","OK"),""))</f>
      </c>
      <c r="BA569" s="32" t="inlineStr">
        <is>
          <t xml:space="preserve">Yes</t>
        </is>
      </c>
      <c r="BB569" s="32" t="inlineStr">
        <is>
          <t xml:space="preserve">Yes</t>
        </is>
      </c>
      <c r="BC569" s="30" t="inlineStr">
        <is>
          <t xml:space="preserve">Synthetic demo data</t>
        </is>
      </c>
      <c r="BE569" s="45">
        <f>IF(OR($A569="",$L569="",$H569=""),"",IF(AND(LEFT($L569,2)="06",$H569&gt;1945),"FAIL - pre-war class, year "&amp;$H569,IF(AND(LEFT($L569,2)="07",OR($H569&lt;1946,$H569&gt;1972)),"FAIL - 1946-72 class, year "&amp;$H569,IF(AND(LEFT($L569,2)="08",OR($H569&lt;1973,$H569&gt;1999)),"FAIL - 1973-99 class, year "&amp;$H569,IF(AND(LEFT($L569,2)="09",OR($H569&lt;2000,$H569&gt;2010)),"FAIL - 2000-10 class, year "&amp;$H569,"OK")))))</f>
      </c>
      <c r="BF569" s="45">
        <f>IF($AD569="","",IF(ROUND($AO569+$AP569+$AQ569-$AD569,2)=0,"OK","FAIL - out by "&amp;TEXT($AO569+$AP569+$AQ569-$AD569,"$0.00")))</f>
      </c>
    </row>
    <row r="570" spans="1:58" ht="18.75" customHeight="1" x14ac:dyDescent="0.25">
      <c r="A570" s="46" t="inlineStr">
        <is>
          <t xml:space="preserve">CANON-202606-009176</t>
        </is>
      </c>
      <c r="B570" s="46" t="inlineStr">
        <is>
          <t xml:space="preserve">Beatrix Castellanos</t>
        </is>
      </c>
      <c r="C570" s="47">
        <v>46184</v>
      </c>
      <c r="D570" s="48" t="inlineStr">
        <is>
          <t xml:space="preserve">Bound - within authority</t>
        </is>
      </c>
      <c r="E570" s="48" t="inlineStr">
        <is>
          <t xml:space="preserve">New business</t>
        </is>
      </c>
      <c r="F570" s="46" t="inlineStr">
        <is>
          <t xml:space="preserve">B1234EXOTIC26</t>
        </is>
      </c>
      <c r="G570" s="33">
        <f>IF($A570="","",IF($C570="","",YEAR($C570)))</f>
      </c>
      <c r="H570" s="49">
        <v>2003</v>
      </c>
      <c r="I570" s="46" t="inlineStr">
        <is>
          <t xml:space="preserve">BMW</t>
        </is>
      </c>
      <c r="J570" s="46" t="inlineStr">
        <is>
          <t xml:space="preserve">M8 Competition</t>
        </is>
      </c>
      <c r="K570" s="46" t="inlineStr">
        <is>
          <t xml:space="preserve">UG4JVC1TCZAVC96PP</t>
        </is>
      </c>
      <c r="L570" s="48" t="inlineStr">
        <is>
          <t xml:space="preserve">02 - Sports / GT</t>
        </is>
      </c>
      <c r="M570" s="50">
        <v>465000</v>
      </c>
      <c r="N570" s="48" t="inlineStr">
        <is>
          <t xml:space="preserve">Personal</t>
        </is>
      </c>
      <c r="O570" s="46" t="inlineStr">
        <is>
          <t xml:space="preserve">Personal - regular use</t>
        </is>
      </c>
      <c r="P570" s="46" t="inlineStr">
        <is>
          <t xml:space="preserve">1,000 - 2,500</t>
        </is>
      </c>
      <c r="Q570" s="46" t="inlineStr">
        <is>
          <t xml:space="preserve">South Dakota</t>
        </is>
      </c>
      <c r="R570" s="46" t="inlineStr">
        <is>
          <t xml:space="preserve">57501</t>
        </is>
      </c>
      <c r="S570" s="48" t="inlineStr">
        <is>
          <t xml:space="preserve">Severe convective - hail alley (high)</t>
        </is>
      </c>
      <c r="T570" s="36">
        <f>IF($A570="","",IF($S570="","",IFERROR(INDEX('[1]natural catastrophe'!$D$6:$D$17,MATCH($S570,'[1]natural catastrophe'!$B$6:$B$17,0)),"?")))</f>
      </c>
      <c r="U570" s="46" t="inlineStr">
        <is>
          <t xml:space="preserve">$5,000</t>
        </is>
      </c>
      <c r="V570" s="48" t="inlineStr">
        <is>
          <t xml:space="preserve">Agreed Value</t>
        </is>
      </c>
      <c r="W570" s="46" t="inlineStr">
        <is>
          <t xml:space="preserve">$1,000</t>
        </is>
      </c>
      <c r="X570" s="48" t="inlineStr">
        <is>
          <t xml:space="preserve">$1,000,000 CSL</t>
        </is>
      </c>
      <c r="Y570" s="46"/>
      <c r="Z570" s="46"/>
      <c r="AA570" s="48" t="inlineStr">
        <is>
          <t xml:space="preserve">Surplus Lines</t>
        </is>
      </c>
      <c r="AB570" s="50">
        <v>5586.11</v>
      </c>
      <c r="AC570" s="51">
        <v>0</v>
      </c>
      <c r="AD570" s="38">
        <f>IF(ISNUMBER($AB570),$AB570*(1+N($AC570)),"")</f>
      </c>
      <c r="AE570" s="50">
        <v>350</v>
      </c>
      <c r="AF570" s="50">
        <v>0</v>
      </c>
      <c r="AG570" s="51"/>
      <c r="AH570" s="39">
        <f>IF(ISNUMBER($AD570),($AD570+$AE570+$AF570)*$AG570,"")</f>
      </c>
      <c r="AI570" s="50"/>
      <c r="AJ570" s="38">
        <f>IF(ISNUMBER($AD570),SUM($AD570:$AH570),"")</f>
      </c>
      <c r="AK570" s="40">
        <f>IF(AND(ISNUMBER($AB570),ISNUMBER($AD570)),IF($AB570&gt;0,$AD570/$AB570,""),"")</f>
      </c>
      <c r="AL570" s="48" t="inlineStr">
        <is>
          <t xml:space="preserve">At technical</t>
        </is>
      </c>
      <c r="AM570" s="41">
        <f>IF(ISNUMBER($AD570),Header!$I$3,"")</f>
      </c>
      <c r="AN570" s="39">
        <f>IF(ISNUMBER($AD570),$AO570+$AP570,"")</f>
      </c>
      <c r="AO570" s="39">
        <f>IF(ISNUMBER($AD570),ROUND($AD570*Header!$K$3,2),"")</f>
      </c>
      <c r="AP570" s="39">
        <f>IF(ISNUMBER($AD570),ROUND($AD570*Header!$M$3,2),"")</f>
      </c>
      <c r="AQ570" s="38">
        <f>IF(ISNUMBER($AD570),ROUND($AD570,2)-$AO570-$AP570,"")</f>
      </c>
      <c r="AR570" s="39">
        <f>IF(ISNUMBER($AD570),IF(Header!$D$34="","?",$AD570*Header!$D$34),"")</f>
      </c>
      <c r="AS570" s="39">
        <f>IF(ISNUMBER($AB570),IF(Header!$D$34="","?",$AB570*Header!$D$34),"")</f>
      </c>
      <c r="AT570" s="42">
        <f>IF(AND(ISNUMBER($AB570),$M570&gt;0),$AB570/$M570*100,"")</f>
      </c>
      <c r="AU570" s="42">
        <f>IF(AND(ISNUMBER($AD570),$M570&gt;0),$AD570/$M570*100,"")</f>
      </c>
      <c r="AV570" s="40">
        <f>IF(AND(ISNUMBER($AB570),ISNUMBER($AD570),ABS($AB570)&gt;0),$AD570/$AB570,"")</f>
      </c>
      <c r="AW570" s="39">
        <f>IF(ISNUMBER($AD570),MAX(0,(1-0.55-Header!$O$3)*Header!$Q$3*$AQ570),"")</f>
      </c>
      <c r="AX570" s="43">
        <f>IF($A570="","",IF(TRIM(IF($A570="","Missing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",""))="","PASS","FAIL: "&amp;TRIM(IF($A570="","Missing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f>
      </c>
      <c r="AY570" s="44">
        <f>IF($M570="","",IF(ISNUMBER($M570),IF($M570&gt;=Header!$C$18,"YES — refer","No"),""))</f>
      </c>
      <c r="AZ570" s="44">
        <f>IF($AD570="","",IF(ISNUMBER($AD570),IF($AD570&lt;Header!$C$20,"BELOW MIN PREMIUM","OK"),""))</f>
      </c>
      <c r="BA570" s="48" t="inlineStr">
        <is>
          <t xml:space="preserve">Yes</t>
        </is>
      </c>
      <c r="BB570" s="48" t="inlineStr">
        <is>
          <t xml:space="preserve">Yes</t>
        </is>
      </c>
      <c r="BC570" s="46" t="inlineStr">
        <is>
          <t xml:space="preserve">Synthetic demo data</t>
        </is>
      </c>
      <c r="BE570" s="45">
        <f>IF(OR($A570="",$L570="",$H570=""),"",IF(AND(LEFT($L570,2)="06",$H570&gt;1945),"FAIL - pre-war class, year "&amp;$H570,IF(AND(LEFT($L570,2)="07",OR($H570&lt;1946,$H570&gt;1972)),"FAIL - 1946-72 class, year "&amp;$H570,IF(AND(LEFT($L570,2)="08",OR($H570&lt;1973,$H570&gt;1999)),"FAIL - 1973-99 class, year "&amp;$H570,IF(AND(LEFT($L570,2)="09",OR($H570&lt;2000,$H570&gt;2010)),"FAIL - 2000-10 class, year "&amp;$H570,"OK")))))</f>
      </c>
      <c r="BF570" s="45">
        <f>IF($AD570="","",IF(ROUND($AO570+$AP570+$AQ570-$AD570,2)=0,"OK","FAIL - out by "&amp;TEXT($AO570+$AP570+$AQ570-$AD570,"$0.00")))</f>
      </c>
    </row>
    <row r="571" spans="1:58" ht="18.75" customHeight="1" x14ac:dyDescent="0.25">
      <c r="A571" s="30" t="inlineStr">
        <is>
          <t xml:space="preserve">CANON-202606-009177</t>
        </is>
      </c>
      <c r="B571" s="30" t="inlineStr">
        <is>
          <t xml:space="preserve">Wilhelmina Ashcombe</t>
        </is>
      </c>
      <c r="C571" s="31">
        <v>46178</v>
      </c>
      <c r="D571" s="32" t="inlineStr">
        <is>
          <t xml:space="preserve">Bound - within authority</t>
        </is>
      </c>
      <c r="E571" s="32" t="inlineStr">
        <is>
          <t xml:space="preserve">New business</t>
        </is>
      </c>
      <c r="F571" s="30" t="inlineStr">
        <is>
          <t xml:space="preserve">B1234EXOTIC26</t>
        </is>
      </c>
      <c r="G571" s="33">
        <f>IF($A571="","",IF($C571="","",YEAR($C571)))</f>
      </c>
      <c r="H571" s="34">
        <v>1977</v>
      </c>
      <c r="I571" s="30" t="inlineStr">
        <is>
          <t xml:space="preserve">Mercedes-Benz</t>
        </is>
      </c>
      <c r="J571" s="30" t="inlineStr">
        <is>
          <t xml:space="preserve">280SL Pagoda</t>
        </is>
      </c>
      <c r="K571" s="30" t="inlineStr">
        <is>
          <t xml:space="preserve">83D4GZRGTLYK4VMU7</t>
        </is>
      </c>
      <c r="L571" s="32" t="inlineStr">
        <is>
          <t xml:space="preserve">08 - Modern Classic (1973-1999)</t>
        </is>
      </c>
      <c r="M571" s="35">
        <v>1505000</v>
      </c>
      <c r="N571" s="32" t="inlineStr">
        <is>
          <t xml:space="preserve">Personal</t>
        </is>
      </c>
      <c r="O571" s="30" t="inlineStr">
        <is>
          <t xml:space="preserve">Personal - regular use</t>
        </is>
      </c>
      <c r="P571" s="30" t="inlineStr">
        <is>
          <t xml:space="preserve">1,000 - 2,500</t>
        </is>
      </c>
      <c r="Q571" s="30" t="inlineStr">
        <is>
          <t xml:space="preserve">Washington</t>
        </is>
      </c>
      <c r="R571" s="30" t="inlineStr">
        <is>
          <t xml:space="preserve">98101</t>
        </is>
      </c>
      <c r="S571" s="32" t="inlineStr">
        <is>
          <t xml:space="preserve">Earthquake - high (CA, Cascadia, New Madrid)</t>
        </is>
      </c>
      <c r="T571" s="36">
        <f>IF($A571="","",IF($S571="","",IFERROR(INDEX('[1]natural catastrophe'!$D$6:$D$17,MATCH($S571,'[1]natural catastrophe'!$B$6:$B$17,0)),"?")))</f>
      </c>
      <c r="U571" s="30" t="inlineStr">
        <is>
          <t xml:space="preserve">$5,000</t>
        </is>
      </c>
      <c r="V571" s="32" t="inlineStr">
        <is>
          <t xml:space="preserve">Agreed Value</t>
        </is>
      </c>
      <c r="W571" s="30" t="inlineStr">
        <is>
          <t xml:space="preserve">$1,000</t>
        </is>
      </c>
      <c r="X571" s="32" t="inlineStr">
        <is>
          <t xml:space="preserve">$1,000,000 CSL</t>
        </is>
      </c>
      <c r="Y571" s="30"/>
      <c r="Z571" s="30"/>
      <c r="AA571" s="32" t="inlineStr">
        <is>
          <t xml:space="preserve">Surplus Lines</t>
        </is>
      </c>
      <c r="AB571" s="35">
        <v>7922.52</v>
      </c>
      <c r="AC571" s="37">
        <v>0</v>
      </c>
      <c r="AD571" s="38">
        <f>IF(ISNUMBER($AB571),$AB571*(1+N($AC571)),"")</f>
      </c>
      <c r="AE571" s="35">
        <v>350</v>
      </c>
      <c r="AF571" s="35">
        <v>250</v>
      </c>
      <c r="AG571" s="37"/>
      <c r="AH571" s="39">
        <f>IF(ISNUMBER($AD571),($AD571+$AE571+$AF571)*$AG571,"")</f>
      </c>
      <c r="AI571" s="35"/>
      <c r="AJ571" s="38">
        <f>IF(ISNUMBER($AD571),SUM($AD571:$AH571),"")</f>
      </c>
      <c r="AK571" s="40">
        <f>IF(AND(ISNUMBER($AB571),ISNUMBER($AD571)),IF($AB571&gt;0,$AD571/$AB571,""),"")</f>
      </c>
      <c r="AL571" s="32" t="inlineStr">
        <is>
          <t xml:space="preserve">At technical</t>
        </is>
      </c>
      <c r="AM571" s="41">
        <f>IF(ISNUMBER($AD571),Header!$I$3,"")</f>
      </c>
      <c r="AN571" s="39">
        <f>IF(ISNUMBER($AD571),$AO571+$AP571,"")</f>
      </c>
      <c r="AO571" s="39">
        <f>IF(ISNUMBER($AD571),ROUND($AD571*Header!$K$3,2),"")</f>
      </c>
      <c r="AP571" s="39">
        <f>IF(ISNUMBER($AD571),ROUND($AD571*Header!$M$3,2),"")</f>
      </c>
      <c r="AQ571" s="38">
        <f>IF(ISNUMBER($AD571),ROUND($AD571,2)-$AO571-$AP571,"")</f>
      </c>
      <c r="AR571" s="39">
        <f>IF(ISNUMBER($AD571),IF(Header!$D$34="","?",$AD571*Header!$D$34),"")</f>
      </c>
      <c r="AS571" s="39">
        <f>IF(ISNUMBER($AB571),IF(Header!$D$34="","?",$AB571*Header!$D$34),"")</f>
      </c>
      <c r="AT571" s="42">
        <f>IF(AND(ISNUMBER($AB571),$M571&gt;0),$AB571/$M571*100,"")</f>
      </c>
      <c r="AU571" s="42">
        <f>IF(AND(ISNUMBER($AD571),$M571&gt;0),$AD571/$M571*100,"")</f>
      </c>
      <c r="AV571" s="40">
        <f>IF(AND(ISNUMBER($AB571),ISNUMBER($AD571),ABS($AB571)&gt;0),$AD571/$AB571,"")</f>
      </c>
      <c r="AW571" s="39">
        <f>IF(ISNUMBER($AD571),MAX(0,(1-0.55-Header!$O$3)*Header!$Q$3*$AQ571),"")</f>
      </c>
      <c r="AX571" s="43">
        <f>IF($A571="","",IF(TRIM(IF($A571="","Missing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",""))="","PASS","FAIL: "&amp;TRIM(IF($A571="","Missing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f>
      </c>
      <c r="AY571" s="44">
        <f>IF($M571="","",IF(ISNUMBER($M571),IF($M571&gt;=Header!$C$18,"YES — refer","No"),""))</f>
      </c>
      <c r="AZ571" s="44">
        <f>IF($AD571="","",IF(ISNUMBER($AD571),IF($AD571&lt;Header!$C$20,"BELOW MIN PREMIUM","OK"),""))</f>
      </c>
      <c r="BA571" s="32" t="inlineStr">
        <is>
          <t xml:space="preserve">Yes</t>
        </is>
      </c>
      <c r="BB571" s="32" t="inlineStr">
        <is>
          <t xml:space="preserve">Yes</t>
        </is>
      </c>
      <c r="BC571" s="30" t="inlineStr">
        <is>
          <t xml:space="preserve">Synthetic demo data</t>
        </is>
      </c>
      <c r="BE571" s="45">
        <f>IF(OR($A571="",$L571="",$H571=""),"",IF(AND(LEFT($L571,2)="06",$H571&gt;1945),"FAIL - pre-war class, year "&amp;$H571,IF(AND(LEFT($L571,2)="07",OR($H571&lt;1946,$H571&gt;1972)),"FAIL - 1946-72 class, year "&amp;$H571,IF(AND(LEFT($L571,2)="08",OR($H571&lt;1973,$H571&gt;1999)),"FAIL - 1973-99 class, year "&amp;$H571,IF(AND(LEFT($L571,2)="09",OR($H571&lt;2000,$H571&gt;2010)),"FAIL - 2000-10 class, year "&amp;$H571,"OK")))))</f>
      </c>
      <c r="BF571" s="45">
        <f>IF($AD571="","",IF(ROUND($AO571+$AP571+$AQ571-$AD571,2)=0,"OK","FAIL - out by "&amp;TEXT($AO571+$AP571+$AQ571-$AD571,"$0.00")))</f>
      </c>
    </row>
    <row r="572" spans="1:58" ht="18.75" customHeight="1" x14ac:dyDescent="0.25">
      <c r="A572" s="46" t="inlineStr">
        <is>
          <t xml:space="preserve">CANON-202606-009178</t>
        </is>
      </c>
      <c r="B572" s="46" t="inlineStr">
        <is>
          <t xml:space="preserve">Fitzgerald Castellanos</t>
        </is>
      </c>
      <c r="C572" s="47">
        <v>46191</v>
      </c>
      <c r="D572" s="48" t="inlineStr">
        <is>
          <t xml:space="preserve">Bound - within authority</t>
        </is>
      </c>
      <c r="E572" s="48" t="inlineStr">
        <is>
          <t xml:space="preserve">New business</t>
        </is>
      </c>
      <c r="F572" s="46" t="inlineStr">
        <is>
          <t xml:space="preserve">B1234EXOTIC26</t>
        </is>
      </c>
      <c r="G572" s="33">
        <f>IF($A572="","",IF($C572="","",YEAR($C572)))</f>
      </c>
      <c r="H572" s="49">
        <v>1983</v>
      </c>
      <c r="I572" s="46" t="inlineStr">
        <is>
          <t xml:space="preserve">Porsche</t>
        </is>
      </c>
      <c r="J572" s="46" t="inlineStr">
        <is>
          <t xml:space="preserve">911 Turbo S</t>
        </is>
      </c>
      <c r="K572" s="46" t="inlineStr">
        <is>
          <t xml:space="preserve">AT7KXU91KKCVENCAH</t>
        </is>
      </c>
      <c r="L572" s="48" t="inlineStr">
        <is>
          <t xml:space="preserve">02 - Sports / GT</t>
        </is>
      </c>
      <c r="M572" s="50">
        <v>1055000</v>
      </c>
      <c r="N572" s="48" t="inlineStr">
        <is>
          <t xml:space="preserve">Personal</t>
        </is>
      </c>
      <c r="O572" s="46" t="inlineStr">
        <is>
          <t xml:space="preserve">Personal - regular use</t>
        </is>
      </c>
      <c r="P572" s="46" t="inlineStr">
        <is>
          <t xml:space="preserve">Under 1,000</t>
        </is>
      </c>
      <c r="Q572" s="46" t="inlineStr">
        <is>
          <t xml:space="preserve">Arkansas</t>
        </is>
      </c>
      <c r="R572" s="46" t="inlineStr">
        <is>
          <t xml:space="preserve">72201</t>
        </is>
      </c>
      <c r="S572" s="48" t="inlineStr">
        <is>
          <t xml:space="preserve">Severe convective - hail / tornado (moderate)</t>
        </is>
      </c>
      <c r="T572" s="36">
        <f>IF($A572="","",IF($S572="","",IFERROR(INDEX('[1]natural catastrophe'!$D$6:$D$17,MATCH($S572,'[1]natural catastrophe'!$B$6:$B$17,0)),"?")))</f>
      </c>
      <c r="U572" s="46" t="inlineStr">
        <is>
          <t xml:space="preserve">$5,000</t>
        </is>
      </c>
      <c r="V572" s="48" t="inlineStr">
        <is>
          <t xml:space="preserve">Agreed Value</t>
        </is>
      </c>
      <c r="W572" s="46" t="inlineStr">
        <is>
          <t xml:space="preserve">$1,000</t>
        </is>
      </c>
      <c r="X572" s="48" t="inlineStr">
        <is>
          <t xml:space="preserve">$1,000,000 CSL</t>
        </is>
      </c>
      <c r="Y572" s="46"/>
      <c r="Z572" s="46"/>
      <c r="AA572" s="48" t="inlineStr">
        <is>
          <t xml:space="preserve">Surplus Lines</t>
        </is>
      </c>
      <c r="AB572" s="50">
        <v>11554.9</v>
      </c>
      <c r="AC572" s="51">
        <v>0</v>
      </c>
      <c r="AD572" s="38">
        <f>IF(ISNUMBER($AB572),$AB572*(1+N($AC572)),"")</f>
      </c>
      <c r="AE572" s="50">
        <v>350</v>
      </c>
      <c r="AF572" s="50">
        <v>250</v>
      </c>
      <c r="AG572" s="51"/>
      <c r="AH572" s="39">
        <f>IF(ISNUMBER($AD572),($AD572+$AE572+$AF572)*$AG572,"")</f>
      </c>
      <c r="AI572" s="50"/>
      <c r="AJ572" s="38">
        <f>IF(ISNUMBER($AD572),SUM($AD572:$AH572),"")</f>
      </c>
      <c r="AK572" s="40">
        <f>IF(AND(ISNUMBER($AB572),ISNUMBER($AD572)),IF($AB572&gt;0,$AD572/$AB572,""),"")</f>
      </c>
      <c r="AL572" s="48" t="inlineStr">
        <is>
          <t xml:space="preserve">At technical</t>
        </is>
      </c>
      <c r="AM572" s="41">
        <f>IF(ISNUMBER($AD572),Header!$I$3,"")</f>
      </c>
      <c r="AN572" s="39">
        <f>IF(ISNUMBER($AD572),$AO572+$AP572,"")</f>
      </c>
      <c r="AO572" s="39">
        <f>IF(ISNUMBER($AD572),ROUND($AD572*Header!$K$3,2),"")</f>
      </c>
      <c r="AP572" s="39">
        <f>IF(ISNUMBER($AD572),ROUND($AD572*Header!$M$3,2),"")</f>
      </c>
      <c r="AQ572" s="38">
        <f>IF(ISNUMBER($AD572),ROUND($AD572,2)-$AO572-$AP572,"")</f>
      </c>
      <c r="AR572" s="39">
        <f>IF(ISNUMBER($AD572),IF(Header!$D$34="","?",$AD572*Header!$D$34),"")</f>
      </c>
      <c r="AS572" s="39">
        <f>IF(ISNUMBER($AB572),IF(Header!$D$34="","?",$AB572*Header!$D$34),"")</f>
      </c>
      <c r="AT572" s="42">
        <f>IF(AND(ISNUMBER($AB572),$M572&gt;0),$AB572/$M572*100,"")</f>
      </c>
      <c r="AU572" s="42">
        <f>IF(AND(ISNUMBER($AD572),$M572&gt;0),$AD572/$M572*100,"")</f>
      </c>
      <c r="AV572" s="40">
        <f>IF(AND(ISNUMBER($AB572),ISNUMBER($AD572),ABS($AB572)&gt;0),$AD572/$AB572,"")</f>
      </c>
      <c r="AW572" s="39">
        <f>IF(ISNUMBER($AD572),MAX(0,(1-0.55-Header!$O$3)*Header!$Q$3*$AQ572),"")</f>
      </c>
      <c r="AX572" s="43">
        <f>IF($A572="","",IF(TRIM(IF($A572="","Missing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",""))="","PASS","FAIL: "&amp;TRIM(IF($A572="","Missing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f>
      </c>
      <c r="AY572" s="44">
        <f>IF($M572="","",IF(ISNUMBER($M572),IF($M572&gt;=Header!$C$18,"YES — refer","No"),""))</f>
      </c>
      <c r="AZ572" s="44">
        <f>IF($AD572="","",IF(ISNUMBER($AD572),IF($AD572&lt;Header!$C$20,"BELOW MIN PREMIUM","OK"),""))</f>
      </c>
      <c r="BA572" s="48" t="inlineStr">
        <is>
          <t xml:space="preserve">Yes</t>
        </is>
      </c>
      <c r="BB572" s="48" t="inlineStr">
        <is>
          <t xml:space="preserve">Yes</t>
        </is>
      </c>
      <c r="BC572" s="46" t="inlineStr">
        <is>
          <t xml:space="preserve">Synthetic demo data</t>
        </is>
      </c>
      <c r="BE572" s="45">
        <f>IF(OR($A572="",$L572="",$H572=""),"",IF(AND(LEFT($L572,2)="06",$H572&gt;1945),"FAIL - pre-war class, year "&amp;$H572,IF(AND(LEFT($L572,2)="07",OR($H572&lt;1946,$H572&gt;1972)),"FAIL - 1946-72 class, year "&amp;$H572,IF(AND(LEFT($L572,2)="08",OR($H572&lt;1973,$H572&gt;1999)),"FAIL - 1973-99 class, year "&amp;$H572,IF(AND(LEFT($L572,2)="09",OR($H572&lt;2000,$H572&gt;2010)),"FAIL - 2000-10 class, year "&amp;$H572,"OK")))))</f>
      </c>
      <c r="BF572" s="45">
        <f>IF($AD572="","",IF(ROUND($AO572+$AP572+$AQ572-$AD572,2)=0,"OK","FAIL - out by "&amp;TEXT($AO572+$AP572+$AQ572-$AD572,"$0.00")))</f>
      </c>
    </row>
    <row r="573" spans="1:58" ht="18.75" customHeight="1" x14ac:dyDescent="0.25">
      <c r="A573" s="30" t="inlineStr">
        <is>
          <t xml:space="preserve">CANON-202606-009179</t>
        </is>
      </c>
      <c r="B573" s="30" t="inlineStr">
        <is>
          <t xml:space="preserve">Fitzgerald Harrington</t>
        </is>
      </c>
      <c r="C573" s="31">
        <v>46201</v>
      </c>
      <c r="D573" s="32" t="inlineStr">
        <is>
          <t xml:space="preserve">Bound - within authority</t>
        </is>
      </c>
      <c r="E573" s="32" t="inlineStr">
        <is>
          <t xml:space="preserve">New business</t>
        </is>
      </c>
      <c r="F573" s="30" t="inlineStr">
        <is>
          <t xml:space="preserve">B1234EXOTIC26</t>
        </is>
      </c>
      <c r="G573" s="33">
        <f>IF($A573="","",IF($C573="","",YEAR($C573)))</f>
      </c>
      <c r="H573" s="34">
        <v>1982</v>
      </c>
      <c r="I573" s="30" t="inlineStr">
        <is>
          <t xml:space="preserve">Porsche</t>
        </is>
      </c>
      <c r="J573" s="30" t="inlineStr">
        <is>
          <t xml:space="preserve">911 Turbo S</t>
        </is>
      </c>
      <c r="K573" s="30" t="inlineStr">
        <is>
          <t xml:space="preserve">23P68S333U5BWWJ8C</t>
        </is>
      </c>
      <c r="L573" s="32" t="inlineStr">
        <is>
          <t xml:space="preserve">02 - Sports / GT</t>
        </is>
      </c>
      <c r="M573" s="35">
        <v>460000</v>
      </c>
      <c r="N573" s="32" t="inlineStr">
        <is>
          <t xml:space="preserve">Personal</t>
        </is>
      </c>
      <c r="O573" s="30" t="inlineStr">
        <is>
          <t xml:space="preserve">Personal - regular use</t>
        </is>
      </c>
      <c r="P573" s="30" t="inlineStr">
        <is>
          <t xml:space="preserve">2,500 - 5,000</t>
        </is>
      </c>
      <c r="Q573" s="30" t="inlineStr">
        <is>
          <t xml:space="preserve">Michigan</t>
        </is>
      </c>
      <c r="R573" s="30" t="inlineStr">
        <is>
          <t xml:space="preserve">48226</t>
        </is>
      </c>
      <c r="S573" s="32" t="inlineStr">
        <is>
          <t xml:space="preserve">Severe convective - hail / tornado (moderate)</t>
        </is>
      </c>
      <c r="T573" s="36">
        <f>IF($A573="","",IF($S573="","",IFERROR(INDEX('[1]natural catastrophe'!$D$6:$D$17,MATCH($S573,'[1]natural catastrophe'!$B$6:$B$17,0)),"?")))</f>
      </c>
      <c r="U573" s="30" t="inlineStr">
        <is>
          <t xml:space="preserve">$5,000</t>
        </is>
      </c>
      <c r="V573" s="32" t="inlineStr">
        <is>
          <t xml:space="preserve">Agreed Value</t>
        </is>
      </c>
      <c r="W573" s="30" t="inlineStr">
        <is>
          <t xml:space="preserve">$1,000</t>
        </is>
      </c>
      <c r="X573" s="32" t="inlineStr">
        <is>
          <t xml:space="preserve">$1,000,000 CSL</t>
        </is>
      </c>
      <c r="Y573" s="30"/>
      <c r="Z573" s="30"/>
      <c r="AA573" s="32" t="inlineStr">
        <is>
          <t xml:space="preserve">Surplus Lines</t>
        </is>
      </c>
      <c r="AB573" s="35">
        <v>7716.54</v>
      </c>
      <c r="AC573" s="37">
        <v>0</v>
      </c>
      <c r="AD573" s="38">
        <f>IF(ISNUMBER($AB573),$AB573*(1+N($AC573)),"")</f>
      </c>
      <c r="AE573" s="35">
        <v>350</v>
      </c>
      <c r="AF573" s="35">
        <v>0</v>
      </c>
      <c r="AG573" s="37"/>
      <c r="AH573" s="39">
        <f>IF(ISNUMBER($AD573),($AD573+$AE573+$AF573)*$AG573,"")</f>
      </c>
      <c r="AI573" s="35"/>
      <c r="AJ573" s="38">
        <f>IF(ISNUMBER($AD573),SUM($AD573:$AH573),"")</f>
      </c>
      <c r="AK573" s="40">
        <f>IF(AND(ISNUMBER($AB573),ISNUMBER($AD573)),IF($AB573&gt;0,$AD573/$AB573,""),"")</f>
      </c>
      <c r="AL573" s="32" t="inlineStr">
        <is>
          <t xml:space="preserve">At technical</t>
        </is>
      </c>
      <c r="AM573" s="41">
        <f>IF(ISNUMBER($AD573),Header!$I$3,"")</f>
      </c>
      <c r="AN573" s="39">
        <f>IF(ISNUMBER($AD573),$AO573+$AP573,"")</f>
      </c>
      <c r="AO573" s="39">
        <f>IF(ISNUMBER($AD573),ROUND($AD573*Header!$K$3,2),"")</f>
      </c>
      <c r="AP573" s="39">
        <f>IF(ISNUMBER($AD573),ROUND($AD573*Header!$M$3,2),"")</f>
      </c>
      <c r="AQ573" s="38">
        <f>IF(ISNUMBER($AD573),ROUND($AD573,2)-$AO573-$AP573,"")</f>
      </c>
      <c r="AR573" s="39">
        <f>IF(ISNUMBER($AD573),IF(Header!$D$34="","?",$AD573*Header!$D$34),"")</f>
      </c>
      <c r="AS573" s="39">
        <f>IF(ISNUMBER($AB573),IF(Header!$D$34="","?",$AB573*Header!$D$34),"")</f>
      </c>
      <c r="AT573" s="42">
        <f>IF(AND(ISNUMBER($AB573),$M573&gt;0),$AB573/$M573*100,"")</f>
      </c>
      <c r="AU573" s="42">
        <f>IF(AND(ISNUMBER($AD573),$M573&gt;0),$AD573/$M573*100,"")</f>
      </c>
      <c r="AV573" s="40">
        <f>IF(AND(ISNUMBER($AB573),ISNUMBER($AD573),ABS($AB573)&gt;0),$AD573/$AB573,"")</f>
      </c>
      <c r="AW573" s="39">
        <f>IF(ISNUMBER($AD573),MAX(0,(1-0.55-Header!$O$3)*Header!$Q$3*$AQ573),"")</f>
      </c>
      <c r="AX573" s="43">
        <f>IF($A573="","",IF(TRIM(IF($A573="","Missing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",""))="","PASS","FAIL: "&amp;TRIM(IF($A573="","Missing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f>
      </c>
      <c r="AY573" s="44">
        <f>IF($M573="","",IF(ISNUMBER($M573),IF($M573&gt;=Header!$C$18,"YES — refer","No"),""))</f>
      </c>
      <c r="AZ573" s="44">
        <f>IF($AD573="","",IF(ISNUMBER($AD573),IF($AD573&lt;Header!$C$20,"BELOW MIN PREMIUM","OK"),""))</f>
      </c>
      <c r="BA573" s="32" t="inlineStr">
        <is>
          <t xml:space="preserve">Yes</t>
        </is>
      </c>
      <c r="BB573" s="32" t="inlineStr">
        <is>
          <t xml:space="preserve">Yes</t>
        </is>
      </c>
      <c r="BC573" s="30" t="inlineStr">
        <is>
          <t xml:space="preserve">Synthetic demo data</t>
        </is>
      </c>
      <c r="BE573" s="45">
        <f>IF(OR($A573="",$L573="",$H573=""),"",IF(AND(LEFT($L573,2)="06",$H573&gt;1945),"FAIL - pre-war class, year "&amp;$H573,IF(AND(LEFT($L573,2)="07",OR($H573&lt;1946,$H573&gt;1972)),"FAIL - 1946-72 class, year "&amp;$H573,IF(AND(LEFT($L573,2)="08",OR($H573&lt;1973,$H573&gt;1999)),"FAIL - 1973-99 class, year "&amp;$H573,IF(AND(LEFT($L573,2)="09",OR($H573&lt;2000,$H573&gt;2010)),"FAIL - 2000-10 class, year "&amp;$H573,"OK")))))</f>
      </c>
      <c r="BF573" s="45">
        <f>IF($AD573="","",IF(ROUND($AO573+$AP573+$AQ573-$AD573,2)=0,"OK","FAIL - out by "&amp;TEXT($AO573+$AP573+$AQ573-$AD573,"$0.00")))</f>
      </c>
    </row>
    <row r="574" spans="1:58" ht="18.75" customHeight="1" x14ac:dyDescent="0.25">
      <c r="A574" s="46" t="inlineStr">
        <is>
          <t xml:space="preserve">CANON-202606-009180</t>
        </is>
      </c>
      <c r="B574" s="46" t="inlineStr">
        <is>
          <t xml:space="preserve">Horace Underwood</t>
        </is>
      </c>
      <c r="C574" s="47">
        <v>46201</v>
      </c>
      <c r="D574" s="48" t="inlineStr">
        <is>
          <t xml:space="preserve">Bound - within authority</t>
        </is>
      </c>
      <c r="E574" s="48" t="inlineStr">
        <is>
          <t xml:space="preserve">New business</t>
        </is>
      </c>
      <c r="F574" s="46" t="inlineStr">
        <is>
          <t xml:space="preserve">B1234EXOTIC26</t>
        </is>
      </c>
      <c r="G574" s="33">
        <f>IF($A574="","",IF($C574="","",YEAR($C574)))</f>
      </c>
      <c r="H574" s="49">
        <v>2020</v>
      </c>
      <c r="I574" s="46" t="inlineStr">
        <is>
          <t xml:space="preserve">Ferrari</t>
        </is>
      </c>
      <c r="J574" s="46" t="inlineStr">
        <is>
          <t xml:space="preserve">296 GTB</t>
        </is>
      </c>
      <c r="K574" s="46" t="inlineStr">
        <is>
          <t xml:space="preserve">AS2PVHP6R1A1J06LR</t>
        </is>
      </c>
      <c r="L574" s="48" t="inlineStr">
        <is>
          <t xml:space="preserve">03 - Supercar</t>
        </is>
      </c>
      <c r="M574" s="50">
        <v>455000</v>
      </c>
      <c r="N574" s="48" t="inlineStr">
        <is>
          <t xml:space="preserve">Personal</t>
        </is>
      </c>
      <c r="O574" s="46" t="inlineStr">
        <is>
          <t xml:space="preserve">Personal - regular use</t>
        </is>
      </c>
      <c r="P574" s="46" t="inlineStr">
        <is>
          <t xml:space="preserve">2,500 - 5,000</t>
        </is>
      </c>
      <c r="Q574" s="46" t="inlineStr">
        <is>
          <t xml:space="preserve">Delaware</t>
        </is>
      </c>
      <c r="R574" s="46" t="inlineStr">
        <is>
          <t xml:space="preserve">19801</t>
        </is>
      </c>
      <c r="S574" s="48" t="inlineStr">
        <is>
          <t xml:space="preserve">Tier 3 - Coastal wind (25-100 miles)</t>
        </is>
      </c>
      <c r="T574" s="36">
        <f>IF($A574="","",IF($S574="","",IFERROR(INDEX('[1]natural catastrophe'!$D$6:$D$17,MATCH($S574,'[1]natural catastrophe'!$B$6:$B$17,0)),"?")))</f>
      </c>
      <c r="U574" s="46" t="inlineStr">
        <is>
          <t xml:space="preserve">2% of agreed value, minimum $10,000</t>
        </is>
      </c>
      <c r="V574" s="48" t="inlineStr">
        <is>
          <t xml:space="preserve">Agreed Value</t>
        </is>
      </c>
      <c r="W574" s="46" t="inlineStr">
        <is>
          <t xml:space="preserve">$1,000</t>
        </is>
      </c>
      <c r="X574" s="48" t="inlineStr">
        <is>
          <t xml:space="preserve">$1,000,000 CSL</t>
        </is>
      </c>
      <c r="Y574" s="46"/>
      <c r="Z574" s="46"/>
      <c r="AA574" s="48" t="inlineStr">
        <is>
          <t xml:space="preserve">Surplus Lines</t>
        </is>
      </c>
      <c r="AB574" s="50">
        <v>9438.24</v>
      </c>
      <c r="AC574" s="51">
        <v>0</v>
      </c>
      <c r="AD574" s="38">
        <f>IF(ISNUMBER($AB574),$AB574*(1+N($AC574)),"")</f>
      </c>
      <c r="AE574" s="50">
        <v>350</v>
      </c>
      <c r="AF574" s="50">
        <v>0</v>
      </c>
      <c r="AG574" s="51"/>
      <c r="AH574" s="39">
        <f>IF(ISNUMBER($AD574),($AD574+$AE574+$AF574)*$AG574,"")</f>
      </c>
      <c r="AI574" s="50"/>
      <c r="AJ574" s="38">
        <f>IF(ISNUMBER($AD574),SUM($AD574:$AH574),"")</f>
      </c>
      <c r="AK574" s="40">
        <f>IF(AND(ISNUMBER($AB574),ISNUMBER($AD574)),IF($AB574&gt;0,$AD574/$AB574,""),"")</f>
      </c>
      <c r="AL574" s="48" t="inlineStr">
        <is>
          <t xml:space="preserve">At technical</t>
        </is>
      </c>
      <c r="AM574" s="41">
        <f>IF(ISNUMBER($AD574),Header!$I$3,"")</f>
      </c>
      <c r="AN574" s="39">
        <f>IF(ISNUMBER($AD574),$AO574+$AP574,"")</f>
      </c>
      <c r="AO574" s="39">
        <f>IF(ISNUMBER($AD574),ROUND($AD574*Header!$K$3,2),"")</f>
      </c>
      <c r="AP574" s="39">
        <f>IF(ISNUMBER($AD574),ROUND($AD574*Header!$M$3,2),"")</f>
      </c>
      <c r="AQ574" s="38">
        <f>IF(ISNUMBER($AD574),ROUND($AD574,2)-$AO574-$AP574,"")</f>
      </c>
      <c r="AR574" s="39">
        <f>IF(ISNUMBER($AD574),IF(Header!$D$34="","?",$AD574*Header!$D$34),"")</f>
      </c>
      <c r="AS574" s="39">
        <f>IF(ISNUMBER($AB574),IF(Header!$D$34="","?",$AB574*Header!$D$34),"")</f>
      </c>
      <c r="AT574" s="42">
        <f>IF(AND(ISNUMBER($AB574),$M574&gt;0),$AB574/$M574*100,"")</f>
      </c>
      <c r="AU574" s="42">
        <f>IF(AND(ISNUMBER($AD574),$M574&gt;0),$AD574/$M574*100,"")</f>
      </c>
      <c r="AV574" s="40">
        <f>IF(AND(ISNUMBER($AB574),ISNUMBER($AD574),ABS($AB574)&gt;0),$AD574/$AB574,"")</f>
      </c>
      <c r="AW574" s="39">
        <f>IF(ISNUMBER($AD574),MAX(0,(1-0.55-Header!$O$3)*Header!$Q$3*$AQ574),"")</f>
      </c>
      <c r="AX574" s="43">
        <f>IF($A574="","",IF(TRIM(IF($A574="","Missing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",""))="","PASS","FAIL: "&amp;TRIM(IF($A574="","Missing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f>
      </c>
      <c r="AY574" s="44">
        <f>IF($M574="","",IF(ISNUMBER($M574),IF($M574&gt;=Header!$C$18,"YES — refer","No"),""))</f>
      </c>
      <c r="AZ574" s="44">
        <f>IF($AD574="","",IF(ISNUMBER($AD574),IF($AD574&lt;Header!$C$20,"BELOW MIN PREMIUM","OK"),""))</f>
      </c>
      <c r="BA574" s="48" t="inlineStr">
        <is>
          <t xml:space="preserve">Yes</t>
        </is>
      </c>
      <c r="BB574" s="48" t="inlineStr">
        <is>
          <t xml:space="preserve">Yes</t>
        </is>
      </c>
      <c r="BC574" s="46" t="inlineStr">
        <is>
          <t xml:space="preserve">Synthetic demo data</t>
        </is>
      </c>
      <c r="BE574" s="45">
        <f>IF(OR($A574="",$L574="",$H574=""),"",IF(AND(LEFT($L574,2)="06",$H574&gt;1945),"FAIL - pre-war class, year "&amp;$H574,IF(AND(LEFT($L574,2)="07",OR($H574&lt;1946,$H574&gt;1972)),"FAIL - 1946-72 class, year "&amp;$H574,IF(AND(LEFT($L574,2)="08",OR($H574&lt;1973,$H574&gt;1999)),"FAIL - 1973-99 class, year "&amp;$H574,IF(AND(LEFT($L574,2)="09",OR($H574&lt;2000,$H574&gt;2010)),"FAIL - 2000-10 class, year "&amp;$H574,"OK")))))</f>
      </c>
      <c r="BF574" s="45">
        <f>IF($AD574="","",IF(ROUND($AO574+$AP574+$AQ574-$AD574,2)=0,"OK","FAIL - out by "&amp;TEXT($AO574+$AP574+$AQ574-$AD574,"$0.00")))</f>
      </c>
    </row>
    <row r="575" spans="1:58" ht="18.75" customHeight="1" x14ac:dyDescent="0.25">
      <c r="A575" s="30" t="inlineStr">
        <is>
          <t xml:space="preserve">CANON-202606-009181</t>
        </is>
      </c>
      <c r="B575" s="30" t="inlineStr">
        <is>
          <t xml:space="preserve">Horace Delacroix</t>
        </is>
      </c>
      <c r="C575" s="31">
        <v>46201</v>
      </c>
      <c r="D575" s="32" t="inlineStr">
        <is>
          <t xml:space="preserve">Bound - within authority</t>
        </is>
      </c>
      <c r="E575" s="32" t="inlineStr">
        <is>
          <t xml:space="preserve">New business</t>
        </is>
      </c>
      <c r="F575" s="30" t="inlineStr">
        <is>
          <t xml:space="preserve">B1234EXOTIC26</t>
        </is>
      </c>
      <c r="G575" s="33">
        <f>IF($A575="","",IF($C575="","",YEAR($C575)))</f>
      </c>
      <c r="H575" s="34">
        <v>1984</v>
      </c>
      <c r="I575" s="30" t="inlineStr">
        <is>
          <t xml:space="preserve">Jaguar</t>
        </is>
      </c>
      <c r="J575" s="30" t="inlineStr">
        <is>
          <t xml:space="preserve">E-Type Series 1</t>
        </is>
      </c>
      <c r="K575" s="30" t="inlineStr">
        <is>
          <t xml:space="preserve">TR3NXJPJB1UZV7PY9</t>
        </is>
      </c>
      <c r="L575" s="32" t="inlineStr">
        <is>
          <t xml:space="preserve">08 - Modern Classic (1973-1999)</t>
        </is>
      </c>
      <c r="M575" s="35">
        <v>500000</v>
      </c>
      <c r="N575" s="32" t="inlineStr">
        <is>
          <t xml:space="preserve">Personal</t>
        </is>
      </c>
      <c r="O575" s="30" t="inlineStr">
        <is>
          <t xml:space="preserve">Personal - regular use</t>
        </is>
      </c>
      <c r="P575" s="30" t="inlineStr">
        <is>
          <t xml:space="preserve">Under 1,000</t>
        </is>
      </c>
      <c r="Q575" s="30" t="inlineStr">
        <is>
          <t xml:space="preserve">Arkansas</t>
        </is>
      </c>
      <c r="R575" s="30" t="inlineStr">
        <is>
          <t xml:space="preserve">72201</t>
        </is>
      </c>
      <c r="S575" s="32" t="inlineStr">
        <is>
          <t xml:space="preserve">Severe convective - hail / tornado (moderate)</t>
        </is>
      </c>
      <c r="T575" s="36">
        <f>IF($A575="","",IF($S575="","",IFERROR(INDEX('[1]natural catastrophe'!$D$6:$D$17,MATCH($S575,'[1]natural catastrophe'!$B$6:$B$17,0)),"?")))</f>
      </c>
      <c r="U575" s="30" t="inlineStr">
        <is>
          <t xml:space="preserve">$5,000</t>
        </is>
      </c>
      <c r="V575" s="32" t="inlineStr">
        <is>
          <t xml:space="preserve">Agreed Value</t>
        </is>
      </c>
      <c r="W575" s="30" t="inlineStr">
        <is>
          <t xml:space="preserve">$1,000</t>
        </is>
      </c>
      <c r="X575" s="32" t="inlineStr">
        <is>
          <t xml:space="preserve">$1,000,000 CSL</t>
        </is>
      </c>
      <c r="Y575" s="30"/>
      <c r="Z575" s="30"/>
      <c r="AA575" s="32" t="inlineStr">
        <is>
          <t xml:space="preserve">Surplus Lines</t>
        </is>
      </c>
      <c r="AB575" s="35">
        <v>4281.43</v>
      </c>
      <c r="AC575" s="37">
        <v>0</v>
      </c>
      <c r="AD575" s="38">
        <f>IF(ISNUMBER($AB575),$AB575*(1+N($AC575)),"")</f>
      </c>
      <c r="AE575" s="35">
        <v>350</v>
      </c>
      <c r="AF575" s="35">
        <v>0</v>
      </c>
      <c r="AG575" s="37"/>
      <c r="AH575" s="39">
        <f>IF(ISNUMBER($AD575),($AD575+$AE575+$AF575)*$AG575,"")</f>
      </c>
      <c r="AI575" s="35"/>
      <c r="AJ575" s="38">
        <f>IF(ISNUMBER($AD575),SUM($AD575:$AH575),"")</f>
      </c>
      <c r="AK575" s="40">
        <f>IF(AND(ISNUMBER($AB575),ISNUMBER($AD575)),IF($AB575&gt;0,$AD575/$AB575,""),"")</f>
      </c>
      <c r="AL575" s="32" t="inlineStr">
        <is>
          <t xml:space="preserve">At technical</t>
        </is>
      </c>
      <c r="AM575" s="41">
        <f>IF(ISNUMBER($AD575),Header!$I$3,"")</f>
      </c>
      <c r="AN575" s="39">
        <f>IF(ISNUMBER($AD575),$AO575+$AP575,"")</f>
      </c>
      <c r="AO575" s="39">
        <f>IF(ISNUMBER($AD575),ROUND($AD575*Header!$K$3,2),"")</f>
      </c>
      <c r="AP575" s="39">
        <f>IF(ISNUMBER($AD575),ROUND($AD575*Header!$M$3,2),"")</f>
      </c>
      <c r="AQ575" s="38">
        <f>IF(ISNUMBER($AD575),ROUND($AD575,2)-$AO575-$AP575,"")</f>
      </c>
      <c r="AR575" s="39">
        <f>IF(ISNUMBER($AD575),IF(Header!$D$34="","?",$AD575*Header!$D$34),"")</f>
      </c>
      <c r="AS575" s="39">
        <f>IF(ISNUMBER($AB575),IF(Header!$D$34="","?",$AB575*Header!$D$34),"")</f>
      </c>
      <c r="AT575" s="42">
        <f>IF(AND(ISNUMBER($AB575),$M575&gt;0),$AB575/$M575*100,"")</f>
      </c>
      <c r="AU575" s="42">
        <f>IF(AND(ISNUMBER($AD575),$M575&gt;0),$AD575/$M575*100,"")</f>
      </c>
      <c r="AV575" s="40">
        <f>IF(AND(ISNUMBER($AB575),ISNUMBER($AD575),ABS($AB575)&gt;0),$AD575/$AB575,"")</f>
      </c>
      <c r="AW575" s="39">
        <f>IF(ISNUMBER($AD575),MAX(0,(1-0.55-Header!$O$3)*Header!$Q$3*$AQ575),"")</f>
      </c>
      <c r="AX575" s="43">
        <f>IF($A575="","",IF(TRIM(IF($A575="","Missing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",""))="","PASS","FAIL: "&amp;TRIM(IF($A575="","Missing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f>
      </c>
      <c r="AY575" s="44">
        <f>IF($M575="","",IF(ISNUMBER($M575),IF($M575&gt;=Header!$C$18,"YES — refer","No"),""))</f>
      </c>
      <c r="AZ575" s="44">
        <f>IF($AD575="","",IF(ISNUMBER($AD575),IF($AD575&lt;Header!$C$20,"BELOW MIN PREMIUM","OK"),""))</f>
      </c>
      <c r="BA575" s="32" t="inlineStr">
        <is>
          <t xml:space="preserve">Yes</t>
        </is>
      </c>
      <c r="BB575" s="32" t="inlineStr">
        <is>
          <t xml:space="preserve">Yes</t>
        </is>
      </c>
      <c r="BC575" s="30" t="inlineStr">
        <is>
          <t xml:space="preserve">Synthetic demo data</t>
        </is>
      </c>
      <c r="BE575" s="45">
        <f>IF(OR($A575="",$L575="",$H575=""),"",IF(AND(LEFT($L575,2)="06",$H575&gt;1945),"FAIL - pre-war class, year "&amp;$H575,IF(AND(LEFT($L575,2)="07",OR($H575&lt;1946,$H575&gt;1972)),"FAIL - 1946-72 class, year "&amp;$H575,IF(AND(LEFT($L575,2)="08",OR($H575&lt;1973,$H575&gt;1999)),"FAIL - 1973-99 class, year "&amp;$H575,IF(AND(LEFT($L575,2)="09",OR($H575&lt;2000,$H575&gt;2010)),"FAIL - 2000-10 class, year "&amp;$H575,"OK")))))</f>
      </c>
      <c r="BF575" s="45">
        <f>IF($AD575="","",IF(ROUND($AO575+$AP575+$AQ575-$AD575,2)=0,"OK","FAIL - out by "&amp;TEXT($AO575+$AP575+$AQ575-$AD575,"$0.00")))</f>
      </c>
    </row>
    <row r="576" spans="1:58" ht="18.75" customHeight="1" x14ac:dyDescent="0.25">
      <c r="A576" s="46" t="inlineStr">
        <is>
          <t xml:space="preserve">CANON-202606-009183</t>
        </is>
      </c>
      <c r="B576" s="46" t="inlineStr">
        <is>
          <t xml:space="preserve">Marisol Bellandi</t>
        </is>
      </c>
      <c r="C576" s="47">
        <v>46200</v>
      </c>
      <c r="D576" s="48" t="inlineStr">
        <is>
          <t xml:space="preserve">Bound - within authority</t>
        </is>
      </c>
      <c r="E576" s="48" t="inlineStr">
        <is>
          <t xml:space="preserve">New business</t>
        </is>
      </c>
      <c r="F576" s="46" t="inlineStr">
        <is>
          <t xml:space="preserve">B1234EXOTIC26</t>
        </is>
      </c>
      <c r="G576" s="33">
        <f>IF($A576="","",IF($C576="","",YEAR($C576)))</f>
      </c>
      <c r="H576" s="49">
        <v>1979</v>
      </c>
      <c r="I576" s="46" t="inlineStr">
        <is>
          <t xml:space="preserve">Ferrari</t>
        </is>
      </c>
      <c r="J576" s="46" t="inlineStr">
        <is>
          <t xml:space="preserve">296 GTB</t>
        </is>
      </c>
      <c r="K576" s="46" t="inlineStr">
        <is>
          <t xml:space="preserve">6RPDXHB78VSGVA8LC</t>
        </is>
      </c>
      <c r="L576" s="48" t="inlineStr">
        <is>
          <t xml:space="preserve">03 - Supercar</t>
        </is>
      </c>
      <c r="M576" s="50">
        <v>1940000</v>
      </c>
      <c r="N576" s="48" t="inlineStr">
        <is>
          <t xml:space="preserve">Personal</t>
        </is>
      </c>
      <c r="O576" s="46" t="inlineStr">
        <is>
          <t xml:space="preserve">Personal - regular use</t>
        </is>
      </c>
      <c r="P576" s="46" t="inlineStr">
        <is>
          <t xml:space="preserve">1,000 - 2,500</t>
        </is>
      </c>
      <c r="Q576" s="46" t="inlineStr">
        <is>
          <t xml:space="preserve">Texas</t>
        </is>
      </c>
      <c r="R576" s="46" t="inlineStr">
        <is>
          <t xml:space="preserve">75201</t>
        </is>
      </c>
      <c r="S576" s="48" t="inlineStr">
        <is>
          <t xml:space="preserve">Tier 2 - Coastal wind (1-25 miles)</t>
        </is>
      </c>
      <c r="T576" s="36">
        <f>IF($A576="","",IF($S576="","",IFERROR(INDEX('[1]natural catastrophe'!$D$6:$D$17,MATCH($S576,'[1]natural catastrophe'!$B$6:$B$17,0)),"?")))</f>
      </c>
      <c r="U576" s="46" t="inlineStr">
        <is>
          <t xml:space="preserve">2% of agreed value, minimum $10,000</t>
        </is>
      </c>
      <c r="V576" s="48" t="inlineStr">
        <is>
          <t xml:space="preserve">Agreed Value</t>
        </is>
      </c>
      <c r="W576" s="46" t="inlineStr">
        <is>
          <t xml:space="preserve">$1,000</t>
        </is>
      </c>
      <c r="X576" s="48" t="inlineStr">
        <is>
          <t xml:space="preserve">$1,000,000 CSL</t>
        </is>
      </c>
      <c r="Y576" s="46"/>
      <c r="Z576" s="46"/>
      <c r="AA576" s="48" t="inlineStr">
        <is>
          <t xml:space="preserve">Surplus Lines</t>
        </is>
      </c>
      <c r="AB576" s="50">
        <v>25755</v>
      </c>
      <c r="AC576" s="51">
        <v>0</v>
      </c>
      <c r="AD576" s="38">
        <f>IF(ISNUMBER($AB576),$AB576*(1+N($AC576)),"")</f>
      </c>
      <c r="AE576" s="50">
        <v>350</v>
      </c>
      <c r="AF576" s="50">
        <v>250</v>
      </c>
      <c r="AG576" s="51"/>
      <c r="AH576" s="39">
        <f>IF(ISNUMBER($AD576),($AD576+$AE576+$AF576)*$AG576,"")</f>
      </c>
      <c r="AI576" s="50"/>
      <c r="AJ576" s="38">
        <f>IF(ISNUMBER($AD576),SUM($AD576:$AH576),"")</f>
      </c>
      <c r="AK576" s="40">
        <f>IF(AND(ISNUMBER($AB576),ISNUMBER($AD576)),IF($AB576&gt;0,$AD576/$AB576,""),"")</f>
      </c>
      <c r="AL576" s="48" t="inlineStr">
        <is>
          <t xml:space="preserve">At technical</t>
        </is>
      </c>
      <c r="AM576" s="41">
        <f>IF(ISNUMBER($AD576),Header!$I$3,"")</f>
      </c>
      <c r="AN576" s="39">
        <f>IF(ISNUMBER($AD576),$AO576+$AP576,"")</f>
      </c>
      <c r="AO576" s="39">
        <f>IF(ISNUMBER($AD576),ROUND($AD576*Header!$K$3,2),"")</f>
      </c>
      <c r="AP576" s="39">
        <f>IF(ISNUMBER($AD576),ROUND($AD576*Header!$M$3,2),"")</f>
      </c>
      <c r="AQ576" s="38">
        <f>IF(ISNUMBER($AD576),ROUND($AD576,2)-$AO576-$AP576,"")</f>
      </c>
      <c r="AR576" s="39">
        <f>IF(ISNUMBER($AD576),IF(Header!$D$34="","?",$AD576*Header!$D$34),"")</f>
      </c>
      <c r="AS576" s="39">
        <f>IF(ISNUMBER($AB576),IF(Header!$D$34="","?",$AB576*Header!$D$34),"")</f>
      </c>
      <c r="AT576" s="42">
        <f>IF(AND(ISNUMBER($AB576),$M576&gt;0),$AB576/$M576*100,"")</f>
      </c>
      <c r="AU576" s="42">
        <f>IF(AND(ISNUMBER($AD576),$M576&gt;0),$AD576/$M576*100,"")</f>
      </c>
      <c r="AV576" s="40">
        <f>IF(AND(ISNUMBER($AB576),ISNUMBER($AD576),ABS($AB576)&gt;0),$AD576/$AB576,"")</f>
      </c>
      <c r="AW576" s="39">
        <f>IF(ISNUMBER($AD576),MAX(0,(1-0.55-Header!$O$3)*Header!$Q$3*$AQ576),"")</f>
      </c>
      <c r="AX576" s="43">
        <f>IF($A576="","",IF(TRIM(IF($A576="","Missing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",""))="","PASS","FAIL: "&amp;TRIM(IF($A576="","Missing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f>
      </c>
      <c r="AY576" s="44">
        <f>IF($M576="","",IF(ISNUMBER($M576),IF($M576&gt;=Header!$C$18,"YES — refer","No"),""))</f>
      </c>
      <c r="AZ576" s="44">
        <f>IF($AD576="","",IF(ISNUMBER($AD576),IF($AD576&lt;Header!$C$20,"BELOW MIN PREMIUM","OK"),""))</f>
      </c>
      <c r="BA576" s="48" t="inlineStr">
        <is>
          <t xml:space="preserve">Yes</t>
        </is>
      </c>
      <c r="BB576" s="48" t="inlineStr">
        <is>
          <t xml:space="preserve">Yes</t>
        </is>
      </c>
      <c r="BC576" s="46" t="inlineStr">
        <is>
          <t xml:space="preserve">Synthetic demo data</t>
        </is>
      </c>
      <c r="BE576" s="45">
        <f>IF(OR($A576="",$L576="",$H576=""),"",IF(AND(LEFT($L576,2)="06",$H576&gt;1945),"FAIL - pre-war class, year "&amp;$H576,IF(AND(LEFT($L576,2)="07",OR($H576&lt;1946,$H576&gt;1972)),"FAIL - 1946-72 class, year "&amp;$H576,IF(AND(LEFT($L576,2)="08",OR($H576&lt;1973,$H576&gt;1999)),"FAIL - 1973-99 class, year "&amp;$H576,IF(AND(LEFT($L576,2)="09",OR($H576&lt;2000,$H576&gt;2010)),"FAIL - 2000-10 class, year "&amp;$H576,"OK")))))</f>
      </c>
      <c r="BF576" s="45">
        <f>IF($AD576="","",IF(ROUND($AO576+$AP576+$AQ576-$AD576,2)=0,"OK","FAIL - out by "&amp;TEXT($AO576+$AP576+$AQ576-$AD576,"$0.00")))</f>
      </c>
    </row>
    <row r="577" spans="1:58" ht="18.75" customHeight="1" x14ac:dyDescent="0.25">
      <c r="A577" s="30" t="inlineStr">
        <is>
          <t xml:space="preserve">CANON-202606-009184</t>
        </is>
      </c>
      <c r="B577" s="30" t="inlineStr">
        <is>
          <t xml:space="preserve">Noor Okonkwo</t>
        </is>
      </c>
      <c r="C577" s="31">
        <v>46200</v>
      </c>
      <c r="D577" s="32" t="inlineStr">
        <is>
          <t xml:space="preserve">Bound - within authority</t>
        </is>
      </c>
      <c r="E577" s="32" t="inlineStr">
        <is>
          <t xml:space="preserve">New business</t>
        </is>
      </c>
      <c r="F577" s="30" t="inlineStr">
        <is>
          <t xml:space="preserve">B1234EXOTIC26</t>
        </is>
      </c>
      <c r="G577" s="33">
        <f>IF($A577="","",IF($C577="","",YEAR($C577)))</f>
      </c>
      <c r="H577" s="34">
        <v>1959</v>
      </c>
      <c r="I577" s="30" t="inlineStr">
        <is>
          <t xml:space="preserve">Ferrari</t>
        </is>
      </c>
      <c r="J577" s="30" t="inlineStr">
        <is>
          <t xml:space="preserve">SF90 Stradale</t>
        </is>
      </c>
      <c r="K577" s="30" t="inlineStr">
        <is>
          <t xml:space="preserve">RPGKRD5K1ER7PBX0W</t>
        </is>
      </c>
      <c r="L577" s="32" t="inlineStr">
        <is>
          <t xml:space="preserve">03 - Supercar</t>
        </is>
      </c>
      <c r="M577" s="35">
        <v>625000</v>
      </c>
      <c r="N577" s="32" t="inlineStr">
        <is>
          <t xml:space="preserve">Personal</t>
        </is>
      </c>
      <c r="O577" s="30" t="inlineStr">
        <is>
          <t xml:space="preserve">Personal - regular use</t>
        </is>
      </c>
      <c r="P577" s="30" t="inlineStr">
        <is>
          <t xml:space="preserve">1,000 - 2,500</t>
        </is>
      </c>
      <c r="Q577" s="30" t="inlineStr">
        <is>
          <t xml:space="preserve">Michigan</t>
        </is>
      </c>
      <c r="R577" s="30" t="inlineStr">
        <is>
          <t xml:space="preserve">48226</t>
        </is>
      </c>
      <c r="S577" s="32" t="inlineStr">
        <is>
          <t xml:space="preserve">Severe convective - hail / tornado (moderate)</t>
        </is>
      </c>
      <c r="T577" s="36">
        <f>IF($A577="","",IF($S577="","",IFERROR(INDEX('[1]natural catastrophe'!$D$6:$D$17,MATCH($S577,'[1]natural catastrophe'!$B$6:$B$17,0)),"?")))</f>
      </c>
      <c r="U577" s="30" t="inlineStr">
        <is>
          <t xml:space="preserve">$5,000</t>
        </is>
      </c>
      <c r="V577" s="32" t="inlineStr">
        <is>
          <t xml:space="preserve">Agreed Value</t>
        </is>
      </c>
      <c r="W577" s="30" t="inlineStr">
        <is>
          <t xml:space="preserve">$1,000</t>
        </is>
      </c>
      <c r="X577" s="32" t="inlineStr">
        <is>
          <t xml:space="preserve">$1,000,000 CSL</t>
        </is>
      </c>
      <c r="Y577" s="30"/>
      <c r="Z577" s="30"/>
      <c r="AA577" s="32" t="inlineStr">
        <is>
          <t xml:space="preserve">Surplus Lines</t>
        </is>
      </c>
      <c r="AB577" s="35">
        <v>13280.29</v>
      </c>
      <c r="AC577" s="37">
        <v>0</v>
      </c>
      <c r="AD577" s="38">
        <f>IF(ISNUMBER($AB577),$AB577*(1+N($AC577)),"")</f>
      </c>
      <c r="AE577" s="35">
        <v>350</v>
      </c>
      <c r="AF577" s="35">
        <v>0</v>
      </c>
      <c r="AG577" s="37"/>
      <c r="AH577" s="39">
        <f>IF(ISNUMBER($AD577),($AD577+$AE577+$AF577)*$AG577,"")</f>
      </c>
      <c r="AI577" s="35"/>
      <c r="AJ577" s="38">
        <f>IF(ISNUMBER($AD577),SUM($AD577:$AH577),"")</f>
      </c>
      <c r="AK577" s="40">
        <f>IF(AND(ISNUMBER($AB577),ISNUMBER($AD577)),IF($AB577&gt;0,$AD577/$AB577,""),"")</f>
      </c>
      <c r="AL577" s="32" t="inlineStr">
        <is>
          <t xml:space="preserve">At technical</t>
        </is>
      </c>
      <c r="AM577" s="41">
        <f>IF(ISNUMBER($AD577),Header!$I$3,"")</f>
      </c>
      <c r="AN577" s="39">
        <f>IF(ISNUMBER($AD577),$AO577+$AP577,"")</f>
      </c>
      <c r="AO577" s="39">
        <f>IF(ISNUMBER($AD577),ROUND($AD577*Header!$K$3,2),"")</f>
      </c>
      <c r="AP577" s="39">
        <f>IF(ISNUMBER($AD577),ROUND($AD577*Header!$M$3,2),"")</f>
      </c>
      <c r="AQ577" s="38">
        <f>IF(ISNUMBER($AD577),ROUND($AD577,2)-$AO577-$AP577,"")</f>
      </c>
      <c r="AR577" s="39">
        <f>IF(ISNUMBER($AD577),IF(Header!$D$34="","?",$AD577*Header!$D$34),"")</f>
      </c>
      <c r="AS577" s="39">
        <f>IF(ISNUMBER($AB577),IF(Header!$D$34="","?",$AB577*Header!$D$34),"")</f>
      </c>
      <c r="AT577" s="42">
        <f>IF(AND(ISNUMBER($AB577),$M577&gt;0),$AB577/$M577*100,"")</f>
      </c>
      <c r="AU577" s="42">
        <f>IF(AND(ISNUMBER($AD577),$M577&gt;0),$AD577/$M577*100,"")</f>
      </c>
      <c r="AV577" s="40">
        <f>IF(AND(ISNUMBER($AB577),ISNUMBER($AD577),ABS($AB577)&gt;0),$AD577/$AB577,"")</f>
      </c>
      <c r="AW577" s="39">
        <f>IF(ISNUMBER($AD577),MAX(0,(1-0.55-Header!$O$3)*Header!$Q$3*$AQ577),"")</f>
      </c>
      <c r="AX577" s="43">
        <f>IF($A577="","",IF(TRIM(IF($A577="","Missing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",""))="","PASS","FAIL: "&amp;TRIM(IF($A577="","Missing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f>
      </c>
      <c r="AY577" s="44">
        <f>IF($M577="","",IF(ISNUMBER($M577),IF($M577&gt;=Header!$C$18,"YES — refer","No"),""))</f>
      </c>
      <c r="AZ577" s="44">
        <f>IF($AD577="","",IF(ISNUMBER($AD577),IF($AD577&lt;Header!$C$20,"BELOW MIN PREMIUM","OK"),""))</f>
      </c>
      <c r="BA577" s="32" t="inlineStr">
        <is>
          <t xml:space="preserve">Yes</t>
        </is>
      </c>
      <c r="BB577" s="32" t="inlineStr">
        <is>
          <t xml:space="preserve">Yes</t>
        </is>
      </c>
      <c r="BC577" s="30" t="inlineStr">
        <is>
          <t xml:space="preserve">Synthetic demo data</t>
        </is>
      </c>
      <c r="BE577" s="45">
        <f>IF(OR($A577="",$L577="",$H577=""),"",IF(AND(LEFT($L577,2)="06",$H577&gt;1945),"FAIL - pre-war class, year "&amp;$H577,IF(AND(LEFT($L577,2)="07",OR($H577&lt;1946,$H577&gt;1972)),"FAIL - 1946-72 class, year "&amp;$H577,IF(AND(LEFT($L577,2)="08",OR($H577&lt;1973,$H577&gt;1999)),"FAIL - 1973-99 class, year "&amp;$H577,IF(AND(LEFT($L577,2)="09",OR($H577&lt;2000,$H577&gt;2010)),"FAIL - 2000-10 class, year "&amp;$H577,"OK")))))</f>
      </c>
      <c r="BF577" s="45">
        <f>IF($AD577="","",IF(ROUND($AO577+$AP577+$AQ577-$AD577,2)=0,"OK","FAIL - out by "&amp;TEXT($AO577+$AP577+$AQ577-$AD577,"$0.00")))</f>
      </c>
    </row>
    <row r="578" spans="1:58" ht="18.75" customHeight="1" x14ac:dyDescent="0.25">
      <c r="A578" s="46" t="inlineStr">
        <is>
          <t xml:space="preserve">CANON-202606-009186</t>
        </is>
      </c>
      <c r="B578" s="46" t="inlineStr">
        <is>
          <t xml:space="preserve">Mireille Merriweather</t>
        </is>
      </c>
      <c r="C578" s="47">
        <v>46197</v>
      </c>
      <c r="D578" s="48" t="inlineStr">
        <is>
          <t xml:space="preserve">Bound - within authority</t>
        </is>
      </c>
      <c r="E578" s="48" t="inlineStr">
        <is>
          <t xml:space="preserve">New business</t>
        </is>
      </c>
      <c r="F578" s="46" t="inlineStr">
        <is>
          <t xml:space="preserve">B1234EXOTIC26</t>
        </is>
      </c>
      <c r="G578" s="33">
        <f>IF($A578="","",IF($C578="","",YEAR($C578)))</f>
      </c>
      <c r="H578" s="49">
        <v>1988</v>
      </c>
      <c r="I578" s="46" t="inlineStr">
        <is>
          <t xml:space="preserve">Maserati</t>
        </is>
      </c>
      <c r="J578" s="46" t="inlineStr">
        <is>
          <t xml:space="preserve">GranTurismo</t>
        </is>
      </c>
      <c r="K578" s="46" t="inlineStr">
        <is>
          <t xml:space="preserve">LWWEFMWZG2J6JTZM1</t>
        </is>
      </c>
      <c r="L578" s="48" t="inlineStr">
        <is>
          <t xml:space="preserve">02 - Sports / GT</t>
        </is>
      </c>
      <c r="M578" s="50">
        <v>280000</v>
      </c>
      <c r="N578" s="48" t="inlineStr">
        <is>
          <t xml:space="preserve">Personal</t>
        </is>
      </c>
      <c r="O578" s="46" t="inlineStr">
        <is>
          <t xml:space="preserve">Personal - regular use</t>
        </is>
      </c>
      <c r="P578" s="46" t="inlineStr">
        <is>
          <t xml:space="preserve">2,500 - 5,000</t>
        </is>
      </c>
      <c r="Q578" s="46" t="inlineStr">
        <is>
          <t xml:space="preserve">New York</t>
        </is>
      </c>
      <c r="R578" s="46" t="inlineStr">
        <is>
          <t xml:space="preserve">10022</t>
        </is>
      </c>
      <c r="S578" s="48" t="inlineStr">
        <is>
          <t xml:space="preserve">Tier 3 - Coastal wind (25-100 miles)</t>
        </is>
      </c>
      <c r="T578" s="36">
        <f>IF($A578="","",IF($S578="","",IFERROR(INDEX('[1]natural catastrophe'!$D$6:$D$17,MATCH($S578,'[1]natural catastrophe'!$B$6:$B$17,0)),"?")))</f>
      </c>
      <c r="U578" s="46" t="inlineStr">
        <is>
          <t xml:space="preserve">2% of agreed value, minimum $10,000</t>
        </is>
      </c>
      <c r="V578" s="48" t="inlineStr">
        <is>
          <t xml:space="preserve">Agreed Value</t>
        </is>
      </c>
      <c r="W578" s="46" t="inlineStr">
        <is>
          <t xml:space="preserve">$1,000</t>
        </is>
      </c>
      <c r="X578" s="48" t="inlineStr">
        <is>
          <t xml:space="preserve">$1,000,000 CSL</t>
        </is>
      </c>
      <c r="Y578" s="46"/>
      <c r="Z578" s="46"/>
      <c r="AA578" s="48" t="inlineStr">
        <is>
          <t xml:space="preserve">Surplus Lines</t>
        </is>
      </c>
      <c r="AB578" s="50">
        <v>3878.84</v>
      </c>
      <c r="AC578" s="51">
        <v>0</v>
      </c>
      <c r="AD578" s="38">
        <f>IF(ISNUMBER($AB578),$AB578*(1+N($AC578)),"")</f>
      </c>
      <c r="AE578" s="50">
        <v>350</v>
      </c>
      <c r="AF578" s="50">
        <v>0</v>
      </c>
      <c r="AG578" s="51"/>
      <c r="AH578" s="39">
        <f>IF(ISNUMBER($AD578),($AD578+$AE578+$AF578)*$AG578,"")</f>
      </c>
      <c r="AI578" s="50"/>
      <c r="AJ578" s="38">
        <f>IF(ISNUMBER($AD578),SUM($AD578:$AH578),"")</f>
      </c>
      <c r="AK578" s="40">
        <f>IF(AND(ISNUMBER($AB578),ISNUMBER($AD578)),IF($AB578&gt;0,$AD578/$AB578,""),"")</f>
      </c>
      <c r="AL578" s="48" t="inlineStr">
        <is>
          <t xml:space="preserve">At technical</t>
        </is>
      </c>
      <c r="AM578" s="41">
        <f>IF(ISNUMBER($AD578),Header!$I$3,"")</f>
      </c>
      <c r="AN578" s="39">
        <f>IF(ISNUMBER($AD578),$AO578+$AP578,"")</f>
      </c>
      <c r="AO578" s="39">
        <f>IF(ISNUMBER($AD578),ROUND($AD578*Header!$K$3,2),"")</f>
      </c>
      <c r="AP578" s="39">
        <f>IF(ISNUMBER($AD578),ROUND($AD578*Header!$M$3,2),"")</f>
      </c>
      <c r="AQ578" s="38">
        <f>IF(ISNUMBER($AD578),ROUND($AD578,2)-$AO578-$AP578,"")</f>
      </c>
      <c r="AR578" s="39">
        <f>IF(ISNUMBER($AD578),IF(Header!$D$34="","?",$AD578*Header!$D$34),"")</f>
      </c>
      <c r="AS578" s="39">
        <f>IF(ISNUMBER($AB578),IF(Header!$D$34="","?",$AB578*Header!$D$34),"")</f>
      </c>
      <c r="AT578" s="42">
        <f>IF(AND(ISNUMBER($AB578),$M578&gt;0),$AB578/$M578*100,"")</f>
      </c>
      <c r="AU578" s="42">
        <f>IF(AND(ISNUMBER($AD578),$M578&gt;0),$AD578/$M578*100,"")</f>
      </c>
      <c r="AV578" s="40">
        <f>IF(AND(ISNUMBER($AB578),ISNUMBER($AD578),ABS($AB578)&gt;0),$AD578/$AB578,"")</f>
      </c>
      <c r="AW578" s="39">
        <f>IF(ISNUMBER($AD578),MAX(0,(1-0.55-Header!$O$3)*Header!$Q$3*$AQ578),"")</f>
      </c>
      <c r="AX578" s="43">
        <f>IF($A578="","",IF(TRIM(IF($A578="","Missing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",""))="","PASS","FAIL: "&amp;TRIM(IF($A578="","Missing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f>
      </c>
      <c r="AY578" s="44">
        <f>IF($M578="","",IF(ISNUMBER($M578),IF($M578&gt;=Header!$C$18,"YES — refer","No"),""))</f>
      </c>
      <c r="AZ578" s="44">
        <f>IF($AD578="","",IF(ISNUMBER($AD578),IF($AD578&lt;Header!$C$20,"BELOW MIN PREMIUM","OK"),""))</f>
      </c>
      <c r="BA578" s="48" t="inlineStr">
        <is>
          <t xml:space="preserve">Yes</t>
        </is>
      </c>
      <c r="BB578" s="48" t="inlineStr">
        <is>
          <t xml:space="preserve">Yes</t>
        </is>
      </c>
      <c r="BC578" s="46" t="inlineStr">
        <is>
          <t xml:space="preserve">Synthetic demo data</t>
        </is>
      </c>
      <c r="BE578" s="45">
        <f>IF(OR($A578="",$L578="",$H578=""),"",IF(AND(LEFT($L578,2)="06",$H578&gt;1945),"FAIL - pre-war class, year "&amp;$H578,IF(AND(LEFT($L578,2)="07",OR($H578&lt;1946,$H578&gt;1972)),"FAIL - 1946-72 class, year "&amp;$H578,IF(AND(LEFT($L578,2)="08",OR($H578&lt;1973,$H578&gt;1999)),"FAIL - 1973-99 class, year "&amp;$H578,IF(AND(LEFT($L578,2)="09",OR($H578&lt;2000,$H578&gt;2010)),"FAIL - 2000-10 class, year "&amp;$H578,"OK")))))</f>
      </c>
      <c r="BF578" s="45">
        <f>IF($AD578="","",IF(ROUND($AO578+$AP578+$AQ578-$AD578,2)=0,"OK","FAIL - out by "&amp;TEXT($AO578+$AP578+$AQ578-$AD578,"$0.00")))</f>
      </c>
    </row>
    <row r="579" spans="1:58" ht="18.75" customHeight="1" x14ac:dyDescent="0.25">
      <c r="A579" s="30" t="inlineStr">
        <is>
          <t xml:space="preserve">CANON-202606-009188</t>
        </is>
      </c>
      <c r="B579" s="30" t="inlineStr">
        <is>
          <t xml:space="preserve">Anouk Fairweather</t>
        </is>
      </c>
      <c r="C579" s="31">
        <v>46188</v>
      </c>
      <c r="D579" s="32" t="inlineStr">
        <is>
          <t xml:space="preserve">Bound - within authority</t>
        </is>
      </c>
      <c r="E579" s="32" t="inlineStr">
        <is>
          <t xml:space="preserve">New business</t>
        </is>
      </c>
      <c r="F579" s="30" t="inlineStr">
        <is>
          <t xml:space="preserve">B1234EXOTIC26</t>
        </is>
      </c>
      <c r="G579" s="33">
        <f>IF($A579="","",IF($C579="","",YEAR($C579)))</f>
      </c>
      <c r="H579" s="34">
        <v>1987</v>
      </c>
      <c r="I579" s="30" t="inlineStr">
        <is>
          <t xml:space="preserve">McLaren</t>
        </is>
      </c>
      <c r="J579" s="30" t="inlineStr">
        <is>
          <t xml:space="preserve">750S</t>
        </is>
      </c>
      <c r="K579" s="30" t="inlineStr">
        <is>
          <t xml:space="preserve">EKPS7C41WE6SZWBL3</t>
        </is>
      </c>
      <c r="L579" s="32" t="inlineStr">
        <is>
          <t xml:space="preserve">03 - Supercar</t>
        </is>
      </c>
      <c r="M579" s="35">
        <v>1560000</v>
      </c>
      <c r="N579" s="32" t="inlineStr">
        <is>
          <t xml:space="preserve">Personal</t>
        </is>
      </c>
      <c r="O579" s="30" t="inlineStr">
        <is>
          <t xml:space="preserve">Personal - regular use</t>
        </is>
      </c>
      <c r="P579" s="30" t="inlineStr">
        <is>
          <t xml:space="preserve">Under 1,000</t>
        </is>
      </c>
      <c r="Q579" s="30" t="inlineStr">
        <is>
          <t xml:space="preserve">Nevada</t>
        </is>
      </c>
      <c r="R579" s="30" t="inlineStr">
        <is>
          <t xml:space="preserve">89101</t>
        </is>
      </c>
      <c r="S579" s="32" t="inlineStr">
        <is>
          <t xml:space="preserve">Wildfire - WUI high hazard</t>
        </is>
      </c>
      <c r="T579" s="36">
        <f>IF($A579="","",IF($S579="","",IFERROR(INDEX('[1]natural catastrophe'!$D$6:$D$17,MATCH($S579,'[1]natural catastrophe'!$B$6:$B$17,0)),"?")))</f>
      </c>
      <c r="U579" s="30" t="inlineStr">
        <is>
          <t xml:space="preserve">$5,000</t>
        </is>
      </c>
      <c r="V579" s="32" t="inlineStr">
        <is>
          <t xml:space="preserve">Agreed Value</t>
        </is>
      </c>
      <c r="W579" s="30" t="inlineStr">
        <is>
          <t xml:space="preserve">$1,000</t>
        </is>
      </c>
      <c r="X579" s="32" t="inlineStr">
        <is>
          <t xml:space="preserve">$1,000,000 CSL</t>
        </is>
      </c>
      <c r="Y579" s="30"/>
      <c r="Z579" s="30"/>
      <c r="AA579" s="32" t="inlineStr">
        <is>
          <t xml:space="preserve">Surplus Lines</t>
        </is>
      </c>
      <c r="AB579" s="35">
        <v>21070.39</v>
      </c>
      <c r="AC579" s="37">
        <v>0</v>
      </c>
      <c r="AD579" s="38">
        <f>IF(ISNUMBER($AB579),$AB579*(1+N($AC579)),"")</f>
      </c>
      <c r="AE579" s="35">
        <v>350</v>
      </c>
      <c r="AF579" s="35">
        <v>250</v>
      </c>
      <c r="AG579" s="37"/>
      <c r="AH579" s="39">
        <f>IF(ISNUMBER($AD579),($AD579+$AE579+$AF579)*$AG579,"")</f>
      </c>
      <c r="AI579" s="35"/>
      <c r="AJ579" s="38">
        <f>IF(ISNUMBER($AD579),SUM($AD579:$AH579),"")</f>
      </c>
      <c r="AK579" s="40">
        <f>IF(AND(ISNUMBER($AB579),ISNUMBER($AD579)),IF($AB579&gt;0,$AD579/$AB579,""),"")</f>
      </c>
      <c r="AL579" s="32" t="inlineStr">
        <is>
          <t xml:space="preserve">At technical</t>
        </is>
      </c>
      <c r="AM579" s="41">
        <f>IF(ISNUMBER($AD579),Header!$I$3,"")</f>
      </c>
      <c r="AN579" s="39">
        <f>IF(ISNUMBER($AD579),$AO579+$AP579,"")</f>
      </c>
      <c r="AO579" s="39">
        <f>IF(ISNUMBER($AD579),ROUND($AD579*Header!$K$3,2),"")</f>
      </c>
      <c r="AP579" s="39">
        <f>IF(ISNUMBER($AD579),ROUND($AD579*Header!$M$3,2),"")</f>
      </c>
      <c r="AQ579" s="38">
        <f>IF(ISNUMBER($AD579),ROUND($AD579,2)-$AO579-$AP579,"")</f>
      </c>
      <c r="AR579" s="39">
        <f>IF(ISNUMBER($AD579),IF(Header!$D$34="","?",$AD579*Header!$D$34),"")</f>
      </c>
      <c r="AS579" s="39">
        <f>IF(ISNUMBER($AB579),IF(Header!$D$34="","?",$AB579*Header!$D$34),"")</f>
      </c>
      <c r="AT579" s="42">
        <f>IF(AND(ISNUMBER($AB579),$M579&gt;0),$AB579/$M579*100,"")</f>
      </c>
      <c r="AU579" s="42">
        <f>IF(AND(ISNUMBER($AD579),$M579&gt;0),$AD579/$M579*100,"")</f>
      </c>
      <c r="AV579" s="40">
        <f>IF(AND(ISNUMBER($AB579),ISNUMBER($AD579),ABS($AB579)&gt;0),$AD579/$AB579,"")</f>
      </c>
      <c r="AW579" s="39">
        <f>IF(ISNUMBER($AD579),MAX(0,(1-0.55-Header!$O$3)*Header!$Q$3*$AQ579),"")</f>
      </c>
      <c r="AX579" s="43">
        <f>IF($A579="","",IF(TRIM(IF($A579="","Missing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",""))="","PASS","FAIL: "&amp;TRIM(IF($A579="","Missing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f>
      </c>
      <c r="AY579" s="44">
        <f>IF($M579="","",IF(ISNUMBER($M579),IF($M579&gt;=Header!$C$18,"YES — refer","No"),""))</f>
      </c>
      <c r="AZ579" s="44">
        <f>IF($AD579="","",IF(ISNUMBER($AD579),IF($AD579&lt;Header!$C$20,"BELOW MIN PREMIUM","OK"),""))</f>
      </c>
      <c r="BA579" s="32" t="inlineStr">
        <is>
          <t xml:space="preserve">Yes</t>
        </is>
      </c>
      <c r="BB579" s="32" t="inlineStr">
        <is>
          <t xml:space="preserve">Yes</t>
        </is>
      </c>
      <c r="BC579" s="30" t="inlineStr">
        <is>
          <t xml:space="preserve">Synthetic demo data</t>
        </is>
      </c>
      <c r="BE579" s="45">
        <f>IF(OR($A579="",$L579="",$H579=""),"",IF(AND(LEFT($L579,2)="06",$H579&gt;1945),"FAIL - pre-war class, year "&amp;$H579,IF(AND(LEFT($L579,2)="07",OR($H579&lt;1946,$H579&gt;1972)),"FAIL - 1946-72 class, year "&amp;$H579,IF(AND(LEFT($L579,2)="08",OR($H579&lt;1973,$H579&gt;1999)),"FAIL - 1973-99 class, year "&amp;$H579,IF(AND(LEFT($L579,2)="09",OR($H579&lt;2000,$H579&gt;2010)),"FAIL - 2000-10 class, year "&amp;$H579,"OK")))))</f>
      </c>
      <c r="BF579" s="45">
        <f>IF($AD579="","",IF(ROUND($AO579+$AP579+$AQ579-$AD579,2)=0,"OK","FAIL - out by "&amp;TEXT($AO579+$AP579+$AQ579-$AD579,"$0.00")))</f>
      </c>
    </row>
    <row r="580" spans="1:58" ht="18.75" customHeight="1" x14ac:dyDescent="0.25">
      <c r="A580" s="46" t="inlineStr">
        <is>
          <t xml:space="preserve">CANON-202606-009189</t>
        </is>
      </c>
      <c r="B580" s="46" t="inlineStr">
        <is>
          <t xml:space="preserve">Marisol Okonkwo</t>
        </is>
      </c>
      <c r="C580" s="47">
        <v>46196</v>
      </c>
      <c r="D580" s="48" t="inlineStr">
        <is>
          <t xml:space="preserve">Bound - within authority</t>
        </is>
      </c>
      <c r="E580" s="48" t="inlineStr">
        <is>
          <t xml:space="preserve">New business</t>
        </is>
      </c>
      <c r="F580" s="46" t="inlineStr">
        <is>
          <t xml:space="preserve">B1234EXOTIC26</t>
        </is>
      </c>
      <c r="G580" s="33">
        <f>IF($A580="","",IF($C580="","",YEAR($C580)))</f>
      </c>
      <c r="H580" s="49">
        <v>1974</v>
      </c>
      <c r="I580" s="46" t="inlineStr">
        <is>
          <t xml:space="preserve">Lamborghini</t>
        </is>
      </c>
      <c r="J580" s="46" t="inlineStr">
        <is>
          <t xml:space="preserve">Huracan EVO</t>
        </is>
      </c>
      <c r="K580" s="46" t="inlineStr">
        <is>
          <t xml:space="preserve">L7XJ2PBCSGVKE4P12</t>
        </is>
      </c>
      <c r="L580" s="48" t="inlineStr">
        <is>
          <t xml:space="preserve">03 - Supercar</t>
        </is>
      </c>
      <c r="M580" s="50">
        <v>720000</v>
      </c>
      <c r="N580" s="48" t="inlineStr">
        <is>
          <t xml:space="preserve">Personal</t>
        </is>
      </c>
      <c r="O580" s="46" t="inlineStr">
        <is>
          <t xml:space="preserve">Personal - regular use</t>
        </is>
      </c>
      <c r="P580" s="46" t="inlineStr">
        <is>
          <t xml:space="preserve">Under 1,000</t>
        </is>
      </c>
      <c r="Q580" s="46" t="inlineStr">
        <is>
          <t xml:space="preserve">New York</t>
        </is>
      </c>
      <c r="R580" s="46" t="inlineStr">
        <is>
          <t xml:space="preserve">10022</t>
        </is>
      </c>
      <c r="S580" s="48" t="inlineStr">
        <is>
          <t xml:space="preserve">Tier 3 - Coastal wind (25-100 miles)</t>
        </is>
      </c>
      <c r="T580" s="36">
        <f>IF($A580="","",IF($S580="","",IFERROR(INDEX('[1]natural catastrophe'!$D$6:$D$17,MATCH($S580,'[1]natural catastrophe'!$B$6:$B$17,0)),"?")))</f>
      </c>
      <c r="U580" s="46" t="inlineStr">
        <is>
          <t xml:space="preserve">2% of agreed value, minimum $10,000</t>
        </is>
      </c>
      <c r="V580" s="48" t="inlineStr">
        <is>
          <t xml:space="preserve">Agreed Value</t>
        </is>
      </c>
      <c r="W580" s="46" t="inlineStr">
        <is>
          <t xml:space="preserve">$1,000</t>
        </is>
      </c>
      <c r="X580" s="48" t="inlineStr">
        <is>
          <t xml:space="preserve">$1,000,000 CSL</t>
        </is>
      </c>
      <c r="Y580" s="46"/>
      <c r="Z580" s="46"/>
      <c r="AA580" s="48" t="inlineStr">
        <is>
          <t xml:space="preserve">Surplus Lines</t>
        </is>
      </c>
      <c r="AB580" s="50">
        <v>12633.92</v>
      </c>
      <c r="AC580" s="51">
        <v>0</v>
      </c>
      <c r="AD580" s="38">
        <f>IF(ISNUMBER($AB580),$AB580*(1+N($AC580)),"")</f>
      </c>
      <c r="AE580" s="50">
        <v>350</v>
      </c>
      <c r="AF580" s="50">
        <v>0</v>
      </c>
      <c r="AG580" s="51"/>
      <c r="AH580" s="39">
        <f>IF(ISNUMBER($AD580),($AD580+$AE580+$AF580)*$AG580,"")</f>
      </c>
      <c r="AI580" s="50"/>
      <c r="AJ580" s="38">
        <f>IF(ISNUMBER($AD580),SUM($AD580:$AH580),"")</f>
      </c>
      <c r="AK580" s="40">
        <f>IF(AND(ISNUMBER($AB580),ISNUMBER($AD580)),IF($AB580&gt;0,$AD580/$AB580,""),"")</f>
      </c>
      <c r="AL580" s="48" t="inlineStr">
        <is>
          <t xml:space="preserve">At technical</t>
        </is>
      </c>
      <c r="AM580" s="41">
        <f>IF(ISNUMBER($AD580),Header!$I$3,"")</f>
      </c>
      <c r="AN580" s="39">
        <f>IF(ISNUMBER($AD580),$AO580+$AP580,"")</f>
      </c>
      <c r="AO580" s="39">
        <f>IF(ISNUMBER($AD580),ROUND($AD580*Header!$K$3,2),"")</f>
      </c>
      <c r="AP580" s="39">
        <f>IF(ISNUMBER($AD580),ROUND($AD580*Header!$M$3,2),"")</f>
      </c>
      <c r="AQ580" s="38">
        <f>IF(ISNUMBER($AD580),ROUND($AD580,2)-$AO580-$AP580,"")</f>
      </c>
      <c r="AR580" s="39">
        <f>IF(ISNUMBER($AD580),IF(Header!$D$34="","?",$AD580*Header!$D$34),"")</f>
      </c>
      <c r="AS580" s="39">
        <f>IF(ISNUMBER($AB580),IF(Header!$D$34="","?",$AB580*Header!$D$34),"")</f>
      </c>
      <c r="AT580" s="42">
        <f>IF(AND(ISNUMBER($AB580),$M580&gt;0),$AB580/$M580*100,"")</f>
      </c>
      <c r="AU580" s="42">
        <f>IF(AND(ISNUMBER($AD580),$M580&gt;0),$AD580/$M580*100,"")</f>
      </c>
      <c r="AV580" s="40">
        <f>IF(AND(ISNUMBER($AB580),ISNUMBER($AD580),ABS($AB580)&gt;0),$AD580/$AB580,"")</f>
      </c>
      <c r="AW580" s="39">
        <f>IF(ISNUMBER($AD580),MAX(0,(1-0.55-Header!$O$3)*Header!$Q$3*$AQ580),"")</f>
      </c>
      <c r="AX580" s="43">
        <f>IF($A580="","",IF(TRIM(IF($A580="","Missing certificate ref. ","") &amp; IF($C580="","Missing effective date. ","") &amp; IF($D580="","Missing binding status. ","") &amp; IF($E580="","Missing movement type. ","") &amp; IF($I580="","Missing make. ","") &amp; IF($L580="","Missing vehicle class. ","") &amp; IF($M580="","Missing agreed value. ","") &amp; IF($N580="","Missing policy type. ","") &amp; IF($Q580="","Missing garaging state. ","") &amp; IF($R580="","Missing garaging ZIP. ","") &amp; IF($S580="","Missing cat zone. ","") &amp; IF($V580="","Missing valuation basis. ","") &amp; IF($W580="","Missing PD deductible. ","") &amp; IF($X580="","Missing liability limit. ","") &amp; IF($AB580="","Missing technical premium. ","") &amp; IF($AF580="","Missing surplus lines tax %. ",""))="","PASS","FAIL: "&amp;TRIM(IF($A580="","Missing certificate ref. ","") &amp; IF($C580="","Missing effective date. ","") &amp; IF($D580="","Missing binding status. ","") &amp; IF($E580="","Missing movement type. ","") &amp; IF($I580="","Missing make. ","") &amp; IF($L580="","Missing vehicle class. ","") &amp; IF($M580="","Missing agreed value. ","") &amp; IF($N580="","Missing policy type. ","") &amp; IF($Q580="","Missing garaging state. ","") &amp; IF($R580="","Missing garaging ZIP. ","") &amp; IF($S580="","Missing cat zone. ","") &amp; IF($V580="","Missing valuation basis. ","") &amp; IF($W580="","Missing PD deductible. ","") &amp; IF($X580="","Missing liability limit. ","") &amp; IF($AB580="","Missing technical premium. ","") &amp; IF($AF580="","Missing surplus lines tax %. ",""))))</f>
      </c>
      <c r="AY580" s="44">
        <f>IF($M580="","",IF(ISNUMBER($M580),IF($M580&gt;=Header!$C$18,"YES — refer","No"),""))</f>
      </c>
      <c r="AZ580" s="44">
        <f>IF($AD580="","",IF(ISNUMBER($AD580),IF($AD580&lt;Header!$C$20,"BELOW MIN PREMIUM","OK"),""))</f>
      </c>
      <c r="BA580" s="48" t="inlineStr">
        <is>
          <t xml:space="preserve">Yes</t>
        </is>
      </c>
      <c r="BB580" s="48" t="inlineStr">
        <is>
          <t xml:space="preserve">Yes</t>
        </is>
      </c>
      <c r="BC580" s="46" t="inlineStr">
        <is>
          <t xml:space="preserve">Synthetic demo data</t>
        </is>
      </c>
      <c r="BE580" s="45">
        <f>IF(OR($A580="",$L580="",$H580=""),"",IF(AND(LEFT($L580,2)="06",$H580&gt;1945),"FAIL - pre-war class, year "&amp;$H580,IF(AND(LEFT($L580,2)="07",OR($H580&lt;1946,$H580&gt;1972)),"FAIL - 1946-72 class, year "&amp;$H580,IF(AND(LEFT($L580,2)="08",OR($H580&lt;1973,$H580&gt;1999)),"FAIL - 1973-99 class, year "&amp;$H580,IF(AND(LEFT($L580,2)="09",OR($H580&lt;2000,$H580&gt;2010)),"FAIL - 2000-10 class, year "&amp;$H580,"OK")))))</f>
      </c>
      <c r="BF580" s="45">
        <f>IF($AD580="","",IF(ROUND($AO580+$AP580+$AQ580-$AD580,2)=0,"OK","FAIL - out by "&amp;TEXT($AO580+$AP580+$AQ580-$AD580,"$0.00")))</f>
      </c>
    </row>
    <row r="581" spans="1:58" ht="18.75" customHeight="1" x14ac:dyDescent="0.25">
      <c r="A581" s="30" t="inlineStr">
        <is>
          <t xml:space="preserve">CANON-202606-009190</t>
        </is>
      </c>
      <c r="B581" s="30" t="inlineStr">
        <is>
          <t xml:space="preserve">Callum Farkas</t>
        </is>
      </c>
      <c r="C581" s="31">
        <v>46189</v>
      </c>
      <c r="D581" s="32" t="inlineStr">
        <is>
          <t xml:space="preserve">Bound - within authority</t>
        </is>
      </c>
      <c r="E581" s="32" t="inlineStr">
        <is>
          <t xml:space="preserve">New business</t>
        </is>
      </c>
      <c r="F581" s="30" t="inlineStr">
        <is>
          <t xml:space="preserve">B1234EXOTIC26</t>
        </is>
      </c>
      <c r="G581" s="33">
        <f>IF($A581="","",IF($C581="","",YEAR($C581)))</f>
      </c>
      <c r="H581" s="34">
        <v>1979</v>
      </c>
      <c r="I581" s="30" t="inlineStr">
        <is>
          <t xml:space="preserve">Bentley</t>
        </is>
      </c>
      <c r="J581" s="30" t="inlineStr">
        <is>
          <t xml:space="preserve">Continental GT</t>
        </is>
      </c>
      <c r="K581" s="30" t="inlineStr">
        <is>
          <t xml:space="preserve">PSG87H6M7SEDXB30W</t>
        </is>
      </c>
      <c r="L581" s="32" t="inlineStr">
        <is>
          <t xml:space="preserve">02 - Sports / GT</t>
        </is>
      </c>
      <c r="M581" s="35">
        <v>345000</v>
      </c>
      <c r="N581" s="32" t="inlineStr">
        <is>
          <t xml:space="preserve">Personal</t>
        </is>
      </c>
      <c r="O581" s="30" t="inlineStr">
        <is>
          <t xml:space="preserve">Personal - regular use</t>
        </is>
      </c>
      <c r="P581" s="30" t="inlineStr">
        <is>
          <t xml:space="preserve">1,000 - 2,500</t>
        </is>
      </c>
      <c r="Q581" s="30" t="inlineStr">
        <is>
          <t xml:space="preserve">West Virginia</t>
        </is>
      </c>
      <c r="R581" s="30" t="inlineStr">
        <is>
          <t xml:space="preserve">25301</t>
        </is>
      </c>
      <c r="S581" s="32" t="inlineStr">
        <is>
          <t xml:space="preserve">Low hazard - inland benign</t>
        </is>
      </c>
      <c r="T581" s="36">
        <f>IF($A581="","",IF($S581="","",IFERROR(INDEX('[1]natural catastrophe'!$D$6:$D$17,MATCH($S581,'[1]natural catastrophe'!$B$6:$B$17,0)),"?")))</f>
      </c>
      <c r="U581" s="30" t="inlineStr">
        <is>
          <t xml:space="preserve">$5,000</t>
        </is>
      </c>
      <c r="V581" s="32" t="inlineStr">
        <is>
          <t xml:space="preserve">Agreed Value</t>
        </is>
      </c>
      <c r="W581" s="30" t="inlineStr">
        <is>
          <t xml:space="preserve">$1,000</t>
        </is>
      </c>
      <c r="X581" s="32" t="inlineStr">
        <is>
          <t xml:space="preserve">$1,000,000 CSL</t>
        </is>
      </c>
      <c r="Y581" s="30"/>
      <c r="Z581" s="30"/>
      <c r="AA581" s="32" t="inlineStr">
        <is>
          <t xml:space="preserve">Surplus Lines</t>
        </is>
      </c>
      <c r="AB581" s="35">
        <v>4965.97</v>
      </c>
      <c r="AC581" s="37">
        <v>0</v>
      </c>
      <c r="AD581" s="38">
        <f>IF(ISNUMBER($AB581),$AB581*(1+N($AC581)),"")</f>
      </c>
      <c r="AE581" s="35">
        <v>350</v>
      </c>
      <c r="AF581" s="35">
        <v>0</v>
      </c>
      <c r="AG581" s="37"/>
      <c r="AH581" s="39">
        <f>IF(ISNUMBER($AD581),($AD581+$AE581+$AF581)*$AG581,"")</f>
      </c>
      <c r="AI581" s="35"/>
      <c r="AJ581" s="38">
        <f>IF(ISNUMBER($AD581),SUM($AD581:$AH581),"")</f>
      </c>
      <c r="AK581" s="40">
        <f>IF(AND(ISNUMBER($AB581),ISNUMBER($AD581)),IF($AB581&gt;0,$AD581/$AB581,""),"")</f>
      </c>
      <c r="AL581" s="32" t="inlineStr">
        <is>
          <t xml:space="preserve">At technical</t>
        </is>
      </c>
      <c r="AM581" s="41">
        <f>IF(ISNUMBER($AD581),Header!$I$3,"")</f>
      </c>
      <c r="AN581" s="39">
        <f>IF(ISNUMBER($AD581),$AO581+$AP581,"")</f>
      </c>
      <c r="AO581" s="39">
        <f>IF(ISNUMBER($AD581),ROUND($AD581*Header!$K$3,2),"")</f>
      </c>
      <c r="AP581" s="39">
        <f>IF(ISNUMBER($AD581),ROUND($AD581*Header!$M$3,2),"")</f>
      </c>
      <c r="AQ581" s="38">
        <f>IF(ISNUMBER($AD581),ROUND($AD581,2)-$AO581-$AP581,"")</f>
      </c>
      <c r="AR581" s="39">
        <f>IF(ISNUMBER($AD581),IF(Header!$D$34="","?",$AD581*Header!$D$34),"")</f>
      </c>
      <c r="AS581" s="39">
        <f>IF(ISNUMBER($AB581),IF(Header!$D$34="","?",$AB581*Header!$D$34),"")</f>
      </c>
      <c r="AT581" s="42">
        <f>IF(AND(ISNUMBER($AB581),$M581&gt;0),$AB581/$M581*100,"")</f>
      </c>
      <c r="AU581" s="42">
        <f>IF(AND(ISNUMBER($AD581),$M581&gt;0),$AD581/$M581*100,"")</f>
      </c>
      <c r="AV581" s="40">
        <f>IF(AND(ISNUMBER($AB581),ISNUMBER($AD581),ABS($AB581)&gt;0),$AD581/$AB581,"")</f>
      </c>
      <c r="AW581" s="39">
        <f>IF(ISNUMBER($AD581),MAX(0,(1-0.55-Header!$O$3)*Header!$Q$3*$AQ581),"")</f>
      </c>
      <c r="AX581" s="43">
        <f>IF($A581="","",IF(TRIM(IF($A581="","Missing certificate ref. ","") &amp; IF($C581="","Missing effective date. ","") &amp; IF($D581="","Missing binding status. ","") &amp; IF($E581="","Missing movement type. ","") &amp; IF($I581="","Missing make. ","") &amp; IF($L581="","Missing vehicle class. ","") &amp; IF($M581="","Missing agreed value. ","") &amp; IF($N581="","Missing policy type. ","") &amp; IF($Q581="","Missing garaging state. ","") &amp; IF($R581="","Missing garaging ZIP. ","") &amp; IF($S581="","Missing cat zone. ","") &amp; IF($V581="","Missing valuation basis. ","") &amp; IF($W581="","Missing PD deductible. ","") &amp; IF($X581="","Missing liability limit. ","") &amp; IF($AB581="","Missing technical premium. ","") &amp; IF($AF581="","Missing surplus lines tax %. ",""))="","PASS","FAIL: "&amp;TRIM(IF($A581="","Missing certificate ref. ","") &amp; IF($C581="","Missing effective date. ","") &amp; IF($D581="","Missing binding status. ","") &amp; IF($E581="","Missing movement type. ","") &amp; IF($I581="","Missing make. ","") &amp; IF($L581="","Missing vehicle class. ","") &amp; IF($M581="","Missing agreed value. ","") &amp; IF($N581="","Missing policy type. ","") &amp; IF($Q581="","Missing garaging state. ","") &amp; IF($R581="","Missing garaging ZIP. ","") &amp; IF($S581="","Missing cat zone. ","") &amp; IF($V581="","Missing valuation basis. ","") &amp; IF($W581="","Missing PD deductible. ","") &amp; IF($X581="","Missing liability limit. ","") &amp; IF($AB581="","Missing technical premium. ","") &amp; IF($AF581="","Missing surplus lines tax %. ",""))))</f>
      </c>
      <c r="AY581" s="44">
        <f>IF($M581="","",IF(ISNUMBER($M581),IF($M581&gt;=Header!$C$18,"YES — refer","No"),""))</f>
      </c>
      <c r="AZ581" s="44">
        <f>IF($AD581="","",IF(ISNUMBER($AD581),IF($AD581&lt;Header!$C$20,"BELOW MIN PREMIUM","OK"),""))</f>
      </c>
      <c r="BA581" s="32" t="inlineStr">
        <is>
          <t xml:space="preserve">Yes</t>
        </is>
      </c>
      <c r="BB581" s="32" t="inlineStr">
        <is>
          <t xml:space="preserve">Yes</t>
        </is>
      </c>
      <c r="BC581" s="30" t="inlineStr">
        <is>
          <t xml:space="preserve">Synthetic demo data</t>
        </is>
      </c>
      <c r="BE581" s="45">
        <f>IF(OR($A581="",$L581="",$H581=""),"",IF(AND(LEFT($L581,2)="06",$H581&gt;1945),"FAIL - pre-war class, year "&amp;$H581,IF(AND(LEFT($L581,2)="07",OR($H581&lt;1946,$H581&gt;1972)),"FAIL - 1946-72 class, year "&amp;$H581,IF(AND(LEFT($L581,2)="08",OR($H581&lt;1973,$H581&gt;1999)),"FAIL - 1973-99 class, year "&amp;$H581,IF(AND(LEFT($L581,2)="09",OR($H581&lt;2000,$H581&gt;2010)),"FAIL - 2000-10 class, year "&amp;$H581,"OK")))))</f>
      </c>
      <c r="BF581" s="45">
        <f>IF($AD581="","",IF(ROUND($AO581+$AP581+$AQ581-$AD581,2)=0,"OK","FAIL - out by "&amp;TEXT($AO581+$AP581+$AQ581-$AD581,"$0.00")))</f>
      </c>
    </row>
    <row r="582" spans="1:58" ht="18.75" customHeight="1" x14ac:dyDescent="0.25">
      <c r="A582" s="46" t="inlineStr">
        <is>
          <t xml:space="preserve">CANON-202606-009191</t>
        </is>
      </c>
      <c r="B582" s="46" t="inlineStr">
        <is>
          <t xml:space="preserve">Saoirse Farkas</t>
        </is>
      </c>
      <c r="C582" s="47">
        <v>46200</v>
      </c>
      <c r="D582" s="48" t="inlineStr">
        <is>
          <t xml:space="preserve">Bound - within authority</t>
        </is>
      </c>
      <c r="E582" s="48" t="inlineStr">
        <is>
          <t xml:space="preserve">New business</t>
        </is>
      </c>
      <c r="F582" s="46" t="inlineStr">
        <is>
          <t xml:space="preserve">B1234EXOTIC26</t>
        </is>
      </c>
      <c r="G582" s="33">
        <f>IF($A582="","",IF($C582="","",YEAR($C582)))</f>
      </c>
      <c r="H582" s="49">
        <v>1989</v>
      </c>
      <c r="I582" s="46" t="inlineStr">
        <is>
          <t xml:space="preserve">Porsche</t>
        </is>
      </c>
      <c r="J582" s="46" t="inlineStr">
        <is>
          <t xml:space="preserve">911 Turbo S</t>
        </is>
      </c>
      <c r="K582" s="46" t="inlineStr">
        <is>
          <t xml:space="preserve">AM21PP7C6AG8DZTHJ</t>
        </is>
      </c>
      <c r="L582" s="48" t="inlineStr">
        <is>
          <t xml:space="preserve">02 - Sports / GT</t>
        </is>
      </c>
      <c r="M582" s="50">
        <v>280000</v>
      </c>
      <c r="N582" s="48" t="inlineStr">
        <is>
          <t xml:space="preserve">Personal</t>
        </is>
      </c>
      <c r="O582" s="46" t="inlineStr">
        <is>
          <t xml:space="preserve">Personal - regular use</t>
        </is>
      </c>
      <c r="P582" s="46" t="inlineStr">
        <is>
          <t xml:space="preserve">1,000 - 2,500</t>
        </is>
      </c>
      <c r="Q582" s="46" t="inlineStr">
        <is>
          <t xml:space="preserve">Florida</t>
        </is>
      </c>
      <c r="R582" s="46" t="inlineStr">
        <is>
          <t xml:space="preserve">33139</t>
        </is>
      </c>
      <c r="S582" s="48" t="inlineStr">
        <is>
          <t xml:space="preserve">Tier 2 - Coastal wind (1-25 miles)</t>
        </is>
      </c>
      <c r="T582" s="36">
        <f>IF($A582="","",IF($S582="","",IFERROR(INDEX('[1]natural catastrophe'!$D$6:$D$17,MATCH($S582,'[1]natural catastrophe'!$B$6:$B$17,0)),"?")))</f>
      </c>
      <c r="U582" s="46" t="inlineStr">
        <is>
          <t xml:space="preserve">2% of agreed value, minimum $10,000</t>
        </is>
      </c>
      <c r="V582" s="48" t="inlineStr">
        <is>
          <t xml:space="preserve">Agreed Value</t>
        </is>
      </c>
      <c r="W582" s="46" t="inlineStr">
        <is>
          <t xml:space="preserve">$1,000</t>
        </is>
      </c>
      <c r="X582" s="48" t="inlineStr">
        <is>
          <t xml:space="preserve">$1,000,000 CSL</t>
        </is>
      </c>
      <c r="Y582" s="46"/>
      <c r="Z582" s="46"/>
      <c r="AA582" s="48" t="inlineStr">
        <is>
          <t xml:space="preserve">Surplus Lines</t>
        </is>
      </c>
      <c r="AB582" s="50">
        <v>4303.09</v>
      </c>
      <c r="AC582" s="51">
        <v>0</v>
      </c>
      <c r="AD582" s="38">
        <f>IF(ISNUMBER($AB582),$AB582*(1+N($AC582)),"")</f>
      </c>
      <c r="AE582" s="50">
        <v>350</v>
      </c>
      <c r="AF582" s="50">
        <v>0</v>
      </c>
      <c r="AG582" s="51"/>
      <c r="AH582" s="39">
        <f>IF(ISNUMBER($AD582),($AD582+$AE582+$AF582)*$AG582,"")</f>
      </c>
      <c r="AI582" s="50"/>
      <c r="AJ582" s="38">
        <f>IF(ISNUMBER($AD582),SUM($AD582:$AH582),"")</f>
      </c>
      <c r="AK582" s="40">
        <f>IF(AND(ISNUMBER($AB582),ISNUMBER($AD582)),IF($AB582&gt;0,$AD582/$AB582,""),"")</f>
      </c>
      <c r="AL582" s="48" t="inlineStr">
        <is>
          <t xml:space="preserve">At technical</t>
        </is>
      </c>
      <c r="AM582" s="41">
        <f>IF(ISNUMBER($AD582),Header!$I$3,"")</f>
      </c>
      <c r="AN582" s="39">
        <f>IF(ISNUMBER($AD582),$AO582+$AP582,"")</f>
      </c>
      <c r="AO582" s="39">
        <f>IF(ISNUMBER($AD582),ROUND($AD582*Header!$K$3,2),"")</f>
      </c>
      <c r="AP582" s="39">
        <f>IF(ISNUMBER($AD582),ROUND($AD582*Header!$M$3,2),"")</f>
      </c>
      <c r="AQ582" s="38">
        <f>IF(ISNUMBER($AD582),ROUND($AD582,2)-$AO582-$AP582,"")</f>
      </c>
      <c r="AR582" s="39">
        <f>IF(ISNUMBER($AD582),IF(Header!$D$34="","?",$AD582*Header!$D$34),"")</f>
      </c>
      <c r="AS582" s="39">
        <f>IF(ISNUMBER($AB582),IF(Header!$D$34="","?",$AB582*Header!$D$34),"")</f>
      </c>
      <c r="AT582" s="42">
        <f>IF(AND(ISNUMBER($AB582),$M582&gt;0),$AB582/$M582*100,"")</f>
      </c>
      <c r="AU582" s="42">
        <f>IF(AND(ISNUMBER($AD582),$M582&gt;0),$AD582/$M582*100,"")</f>
      </c>
      <c r="AV582" s="40">
        <f>IF(AND(ISNUMBER($AB582),ISNUMBER($AD582),ABS($AB582)&gt;0),$AD582/$AB582,"")</f>
      </c>
      <c r="AW582" s="39">
        <f>IF(ISNUMBER($AD582),MAX(0,(1-0.55-Header!$O$3)*Header!$Q$3*$AQ582),"")</f>
      </c>
      <c r="AX582" s="43">
        <f>IF($A582="","",IF(TRIM(IF($A582="","Missing certificate ref. ","") &amp; IF($C582="","Missing effective date. ","") &amp; IF($D582="","Missing binding status. ","") &amp; IF($E582="","Missing movement type. ","") &amp; IF($I582="","Missing make. ","") &amp; IF($L582="","Missing vehicle class. ","") &amp; IF($M582="","Missing agreed value. ","") &amp; IF($N582="","Missing policy type. ","") &amp; IF($Q582="","Missing garaging state. ","") &amp; IF($R582="","Missing garaging ZIP. ","") &amp; IF($S582="","Missing cat zone. ","") &amp; IF($V582="","Missing valuation basis. ","") &amp; IF($W582="","Missing PD deductible. ","") &amp; IF($X582="","Missing liability limit. ","") &amp; IF($AB582="","Missing technical premium. ","") &amp; IF($AF582="","Missing surplus lines tax %. ",""))="","PASS","FAIL: "&amp;TRIM(IF($A582="","Missing certificate ref. ","") &amp; IF($C582="","Missing effective date. ","") &amp; IF($D582="","Missing binding status. ","") &amp; IF($E582="","Missing movement type. ","") &amp; IF($I582="","Missing make. ","") &amp; IF($L582="","Missing vehicle class. ","") &amp; IF($M582="","Missing agreed value. ","") &amp; IF($N582="","Missing policy type. ","") &amp; IF($Q582="","Missing garaging state. ","") &amp; IF($R582="","Missing garaging ZIP. ","") &amp; IF($S582="","Missing cat zone. ","") &amp; IF($V582="","Missing valuation basis. ","") &amp; IF($W582="","Missing PD deductible. ","") &amp; IF($X582="","Missing liability limit. ","") &amp; IF($AB582="","Missing technical premium. ","") &amp; IF($AF582="","Missing surplus lines tax %. ",""))))</f>
      </c>
      <c r="AY582" s="44">
        <f>IF($M582="","",IF(ISNUMBER($M582),IF($M582&gt;=Header!$C$18,"YES — refer","No"),""))</f>
      </c>
      <c r="AZ582" s="44">
        <f>IF($AD582="","",IF(ISNUMBER($AD582),IF($AD582&lt;Header!$C$20,"BELOW MIN PREMIUM","OK"),""))</f>
      </c>
      <c r="BA582" s="48" t="inlineStr">
        <is>
          <t xml:space="preserve">Yes</t>
        </is>
      </c>
      <c r="BB582" s="48" t="inlineStr">
        <is>
          <t xml:space="preserve">Yes</t>
        </is>
      </c>
      <c r="BC582" s="46" t="inlineStr">
        <is>
          <t xml:space="preserve">Synthetic demo data</t>
        </is>
      </c>
      <c r="BE582" s="45">
        <f>IF(OR($A582="",$L582="",$H582=""),"",IF(AND(LEFT($L582,2)="06",$H582&gt;1945),"FAIL - pre-war class, year "&amp;$H582,IF(AND(LEFT($L582,2)="07",OR($H582&lt;1946,$H582&gt;1972)),"FAIL - 1946-72 class, year "&amp;$H582,IF(AND(LEFT($L582,2)="08",OR($H582&lt;1973,$H582&gt;1999)),"FAIL - 1973-99 class, year "&amp;$H582,IF(AND(LEFT($L582,2)="09",OR($H582&lt;2000,$H582&gt;2010)),"FAIL - 2000-10 class, year "&amp;$H582,"OK")))))</f>
      </c>
      <c r="BF582" s="45">
        <f>IF($AD582="","",IF(ROUND($AO582+$AP582+$AQ582-$AD582,2)=0,"OK","FAIL - out by "&amp;TEXT($AO582+$AP582+$AQ582-$AD582,"$0.00")))</f>
      </c>
    </row>
    <row r="583" spans="1:58" ht="18.75" customHeight="1" x14ac:dyDescent="0.25">
      <c r="A583" s="30" t="inlineStr">
        <is>
          <t xml:space="preserve">CANON-202606-009192</t>
        </is>
      </c>
      <c r="B583" s="30" t="inlineStr">
        <is>
          <t xml:space="preserve">Aurelio Merriweather</t>
        </is>
      </c>
      <c r="C583" s="31">
        <v>46198</v>
      </c>
      <c r="D583" s="32" t="inlineStr">
        <is>
          <t xml:space="preserve">Bound - within authority</t>
        </is>
      </c>
      <c r="E583" s="32" t="inlineStr">
        <is>
          <t xml:space="preserve">New business</t>
        </is>
      </c>
      <c r="F583" s="30" t="inlineStr">
        <is>
          <t xml:space="preserve">B1234EXOTIC26</t>
        </is>
      </c>
      <c r="G583" s="33">
        <f>IF($A583="","",IF($C583="","",YEAR($C583)))</f>
      </c>
      <c r="H583" s="34">
        <v>2022</v>
      </c>
      <c r="I583" s="30" t="inlineStr">
        <is>
          <t xml:space="preserve">Mercedes-Benz</t>
        </is>
      </c>
      <c r="J583" s="30" t="inlineStr">
        <is>
          <t xml:space="preserve">AMG GT</t>
        </is>
      </c>
      <c r="K583" s="30" t="inlineStr">
        <is>
          <t xml:space="preserve">T8WUD2D9SV2W3LS55</t>
        </is>
      </c>
      <c r="L583" s="32" t="inlineStr">
        <is>
          <t xml:space="preserve">02 - Sports / GT</t>
        </is>
      </c>
      <c r="M583" s="35">
        <v>905000</v>
      </c>
      <c r="N583" s="32" t="inlineStr">
        <is>
          <t xml:space="preserve">Personal</t>
        </is>
      </c>
      <c r="O583" s="30" t="inlineStr">
        <is>
          <t xml:space="preserve">Personal - regular use</t>
        </is>
      </c>
      <c r="P583" s="30" t="inlineStr">
        <is>
          <t xml:space="preserve">2,500 - 5,000</t>
        </is>
      </c>
      <c r="Q583" s="30" t="inlineStr">
        <is>
          <t xml:space="preserve">Rhode Island</t>
        </is>
      </c>
      <c r="R583" s="30" t="inlineStr">
        <is>
          <t xml:space="preserve">02903</t>
        </is>
      </c>
      <c r="S583" s="32" t="inlineStr">
        <is>
          <t xml:space="preserve">Tier 3 - Coastal wind (25-100 miles)</t>
        </is>
      </c>
      <c r="T583" s="36">
        <f>IF($A583="","",IF($S583="","",IFERROR(INDEX('[1]natural catastrophe'!$D$6:$D$17,MATCH($S583,'[1]natural catastrophe'!$B$6:$B$17,0)),"?")))</f>
      </c>
      <c r="U583" s="30" t="inlineStr">
        <is>
          <t xml:space="preserve">2% of agreed value, minimum $10,000</t>
        </is>
      </c>
      <c r="V583" s="32" t="inlineStr">
        <is>
          <t xml:space="preserve">Agreed Value</t>
        </is>
      </c>
      <c r="W583" s="30" t="inlineStr">
        <is>
          <t xml:space="preserve">$1,000</t>
        </is>
      </c>
      <c r="X583" s="32" t="inlineStr">
        <is>
          <t xml:space="preserve">$1,000,000 CSL</t>
        </is>
      </c>
      <c r="Y583" s="30"/>
      <c r="Z583" s="30"/>
      <c r="AA583" s="32" t="inlineStr">
        <is>
          <t xml:space="preserve">Surplus Lines</t>
        </is>
      </c>
      <c r="AB583" s="35">
        <v>11629.33</v>
      </c>
      <c r="AC583" s="37">
        <v>0</v>
      </c>
      <c r="AD583" s="38">
        <f>IF(ISNUMBER($AB583),$AB583*(1+N($AC583)),"")</f>
      </c>
      <c r="AE583" s="35">
        <v>350</v>
      </c>
      <c r="AF583" s="35">
        <v>0</v>
      </c>
      <c r="AG583" s="37"/>
      <c r="AH583" s="39">
        <f>IF(ISNUMBER($AD583),($AD583+$AE583+$AF583)*$AG583,"")</f>
      </c>
      <c r="AI583" s="35"/>
      <c r="AJ583" s="38">
        <f>IF(ISNUMBER($AD583),SUM($AD583:$AH583),"")</f>
      </c>
      <c r="AK583" s="40">
        <f>IF(AND(ISNUMBER($AB583),ISNUMBER($AD583)),IF($AB583&gt;0,$AD583/$AB583,""),"")</f>
      </c>
      <c r="AL583" s="32" t="inlineStr">
        <is>
          <t xml:space="preserve">At technical</t>
        </is>
      </c>
      <c r="AM583" s="41">
        <f>IF(ISNUMBER($AD583),Header!$I$3,"")</f>
      </c>
      <c r="AN583" s="39">
        <f>IF(ISNUMBER($AD583),$AO583+$AP583,"")</f>
      </c>
      <c r="AO583" s="39">
        <f>IF(ISNUMBER($AD583),ROUND($AD583*Header!$K$3,2),"")</f>
      </c>
      <c r="AP583" s="39">
        <f>IF(ISNUMBER($AD583),ROUND($AD583*Header!$M$3,2),"")</f>
      </c>
      <c r="AQ583" s="38">
        <f>IF(ISNUMBER($AD583),ROUND($AD583,2)-$AO583-$AP583,"")</f>
      </c>
      <c r="AR583" s="39">
        <f>IF(ISNUMBER($AD583),IF(Header!$D$34="","?",$AD583*Header!$D$34),"")</f>
      </c>
      <c r="AS583" s="39">
        <f>IF(ISNUMBER($AB583),IF(Header!$D$34="","?",$AB583*Header!$D$34),"")</f>
      </c>
      <c r="AT583" s="42">
        <f>IF(AND(ISNUMBER($AB583),$M583&gt;0),$AB583/$M583*100,"")</f>
      </c>
      <c r="AU583" s="42">
        <f>IF(AND(ISNUMBER($AD583),$M583&gt;0),$AD583/$M583*100,"")</f>
      </c>
      <c r="AV583" s="40">
        <f>IF(AND(ISNUMBER($AB583),ISNUMBER($AD583),ABS($AB583)&gt;0),$AD583/$AB583,"")</f>
      </c>
      <c r="AW583" s="39">
        <f>IF(ISNUMBER($AD583),MAX(0,(1-0.55-Header!$O$3)*Header!$Q$3*$AQ583),"")</f>
      </c>
      <c r="AX583" s="43">
        <f>IF($A583="","",IF(TRIM(IF($A583="","Missing certificate ref. ","") &amp; IF($C583="","Missing effective date. ","") &amp; IF($D583="","Missing binding status. ","") &amp; IF($E583="","Missing movement type. ","") &amp; IF($I583="","Missing make. ","") &amp; IF($L583="","Missing vehicle class. ","") &amp; IF($M583="","Missing agreed value. ","") &amp; IF($N583="","Missing policy type. ","") &amp; IF($Q583="","Missing garaging state. ","") &amp; IF($R583="","Missing garaging ZIP. ","") &amp; IF($S583="","Missing cat zone. ","") &amp; IF($V583="","Missing valuation basis. ","") &amp; IF($W583="","Missing PD deductible. ","") &amp; IF($X583="","Missing liability limit. ","") &amp; IF($AB583="","Missing technical premium. ","") &amp; IF($AF583="","Missing surplus lines tax %. ",""))="","PASS","FAIL: "&amp;TRIM(IF($A583="","Missing certificate ref. ","") &amp; IF($C583="","Missing effective date. ","") &amp; IF($D583="","Missing binding status. ","") &amp; IF($E583="","Missing movement type. ","") &amp; IF($I583="","Missing make. ","") &amp; IF($L583="","Missing vehicle class. ","") &amp; IF($M583="","Missing agreed value. ","") &amp; IF($N583="","Missing policy type. ","") &amp; IF($Q583="","Missing garaging state. ","") &amp; IF($R583="","Missing garaging ZIP. ","") &amp; IF($S583="","Missing cat zone. ","") &amp; IF($V583="","Missing valuation basis. ","") &amp; IF($W583="","Missing PD deductible. ","") &amp; IF($X583="","Missing liability limit. ","") &amp; IF($AB583="","Missing technical premium. ","") &amp; IF($AF583="","Missing surplus lines tax %. ",""))))</f>
      </c>
      <c r="AY583" s="44">
        <f>IF($M583="","",IF(ISNUMBER($M583),IF($M583&gt;=Header!$C$18,"YES — refer","No"),""))</f>
      </c>
      <c r="AZ583" s="44">
        <f>IF($AD583="","",IF(ISNUMBER($AD583),IF($AD583&lt;Header!$C$20,"BELOW MIN PREMIUM","OK"),""))</f>
      </c>
      <c r="BA583" s="32" t="inlineStr">
        <is>
          <t xml:space="preserve">Yes</t>
        </is>
      </c>
      <c r="BB583" s="32" t="inlineStr">
        <is>
          <t xml:space="preserve">Yes</t>
        </is>
      </c>
      <c r="BC583" s="30" t="inlineStr">
        <is>
          <t xml:space="preserve">Synthetic demo data</t>
        </is>
      </c>
      <c r="BE583" s="45">
        <f>IF(OR($A583="",$L583="",$H583=""),"",IF(AND(LEFT($L583,2)="06",$H583&gt;1945),"FAIL - pre-war class, year "&amp;$H583,IF(AND(LEFT($L583,2)="07",OR($H583&lt;1946,$H583&gt;1972)),"FAIL - 1946-72 class, year "&amp;$H583,IF(AND(LEFT($L583,2)="08",OR($H583&lt;1973,$H583&gt;1999)),"FAIL - 1973-99 class, year "&amp;$H583,IF(AND(LEFT($L583,2)="09",OR($H583&lt;2000,$H583&gt;2010)),"FAIL - 2000-10 class, year "&amp;$H583,"OK")))))</f>
      </c>
      <c r="BF583" s="45">
        <f>IF($AD583="","",IF(ROUND($AO583+$AP583+$AQ583-$AD583,2)=0,"OK","FAIL - out by "&amp;TEXT($AO583+$AP583+$AQ583-$AD583,"$0.00")))</f>
      </c>
    </row>
    <row r="584" spans="1:58" ht="18.75" customHeight="1" x14ac:dyDescent="0.25">
      <c r="A584" s="46" t="inlineStr">
        <is>
          <t xml:space="preserve">CANON-202606-009193</t>
        </is>
      </c>
      <c r="B584" s="46" t="inlineStr">
        <is>
          <t xml:space="preserve">Lorenzo Vandermeer</t>
        </is>
      </c>
      <c r="C584" s="47">
        <v>46182</v>
      </c>
      <c r="D584" s="48" t="inlineStr">
        <is>
          <t xml:space="preserve">Bound - within authority</t>
        </is>
      </c>
      <c r="E584" s="48" t="inlineStr">
        <is>
          <t xml:space="preserve">New business</t>
        </is>
      </c>
      <c r="F584" s="46" t="inlineStr">
        <is>
          <t xml:space="preserve">B1234EXOTIC26</t>
        </is>
      </c>
      <c r="G584" s="33">
        <f>IF($A584="","",IF($C584="","",YEAR($C584)))</f>
      </c>
      <c r="H584" s="49">
        <v>1973</v>
      </c>
      <c r="I584" s="46" t="inlineStr">
        <is>
          <t xml:space="preserve">Maserati</t>
        </is>
      </c>
      <c r="J584" s="46" t="inlineStr">
        <is>
          <t xml:space="preserve">GranTurismo</t>
        </is>
      </c>
      <c r="K584" s="46" t="inlineStr">
        <is>
          <t xml:space="preserve">FC8J2EH1ESAH8V66X</t>
        </is>
      </c>
      <c r="L584" s="48" t="inlineStr">
        <is>
          <t xml:space="preserve">02 - Sports / GT</t>
        </is>
      </c>
      <c r="M584" s="50">
        <v>630000</v>
      </c>
      <c r="N584" s="48" t="inlineStr">
        <is>
          <t xml:space="preserve">Personal</t>
        </is>
      </c>
      <c r="O584" s="46" t="inlineStr">
        <is>
          <t xml:space="preserve">Personal - regular use</t>
        </is>
      </c>
      <c r="P584" s="46" t="inlineStr">
        <is>
          <t xml:space="preserve">1,000 - 2,500</t>
        </is>
      </c>
      <c r="Q584" s="46" t="inlineStr">
        <is>
          <t xml:space="preserve">Connecticut</t>
        </is>
      </c>
      <c r="R584" s="46" t="inlineStr">
        <is>
          <t xml:space="preserve">06103</t>
        </is>
      </c>
      <c r="S584" s="48" t="inlineStr">
        <is>
          <t xml:space="preserve">Tier 3 - Coastal wind (25-100 miles)</t>
        </is>
      </c>
      <c r="T584" s="36">
        <f>IF($A584="","",IF($S584="","",IFERROR(INDEX('[1]natural catastrophe'!$D$6:$D$17,MATCH($S584,'[1]natural catastrophe'!$B$6:$B$17,0)),"?")))</f>
      </c>
      <c r="U584" s="46" t="inlineStr">
        <is>
          <t xml:space="preserve">2% of agreed value, minimum $10,000</t>
        </is>
      </c>
      <c r="V584" s="48" t="inlineStr">
        <is>
          <t xml:space="preserve">Agreed Value</t>
        </is>
      </c>
      <c r="W584" s="46" t="inlineStr">
        <is>
          <t xml:space="preserve">$1,000</t>
        </is>
      </c>
      <c r="X584" s="48" t="inlineStr">
        <is>
          <t xml:space="preserve">$1,000,000 CSL</t>
        </is>
      </c>
      <c r="Y584" s="46"/>
      <c r="Z584" s="46"/>
      <c r="AA584" s="48" t="inlineStr">
        <is>
          <t xml:space="preserve">Surplus Lines</t>
        </is>
      </c>
      <c r="AB584" s="50">
        <v>6618.26</v>
      </c>
      <c r="AC584" s="51">
        <v>0</v>
      </c>
      <c r="AD584" s="38">
        <f>IF(ISNUMBER($AB584),$AB584*(1+N($AC584)),"")</f>
      </c>
      <c r="AE584" s="50">
        <v>350</v>
      </c>
      <c r="AF584" s="50">
        <v>0</v>
      </c>
      <c r="AG584" s="51"/>
      <c r="AH584" s="39">
        <f>IF(ISNUMBER($AD584),($AD584+$AE584+$AF584)*$AG584,"")</f>
      </c>
      <c r="AI584" s="50"/>
      <c r="AJ584" s="38">
        <f>IF(ISNUMBER($AD584),SUM($AD584:$AH584),"")</f>
      </c>
      <c r="AK584" s="40">
        <f>IF(AND(ISNUMBER($AB584),ISNUMBER($AD584)),IF($AB584&gt;0,$AD584/$AB584,""),"")</f>
      </c>
      <c r="AL584" s="48" t="inlineStr">
        <is>
          <t xml:space="preserve">At technical</t>
        </is>
      </c>
      <c r="AM584" s="41">
        <f>IF(ISNUMBER($AD584),Header!$I$3,"")</f>
      </c>
      <c r="AN584" s="39">
        <f>IF(ISNUMBER($AD584),$AO584+$AP584,"")</f>
      </c>
      <c r="AO584" s="39">
        <f>IF(ISNUMBER($AD584),ROUND($AD584*Header!$K$3,2),"")</f>
      </c>
      <c r="AP584" s="39">
        <f>IF(ISNUMBER($AD584),ROUND($AD584*Header!$M$3,2),"")</f>
      </c>
      <c r="AQ584" s="38">
        <f>IF(ISNUMBER($AD584),ROUND($AD584,2)-$AO584-$AP584,"")</f>
      </c>
      <c r="AR584" s="39">
        <f>IF(ISNUMBER($AD584),IF(Header!$D$34="","?",$AD584*Header!$D$34),"")</f>
      </c>
      <c r="AS584" s="39">
        <f>IF(ISNUMBER($AB584),IF(Header!$D$34="","?",$AB584*Header!$D$34),"")</f>
      </c>
      <c r="AT584" s="42">
        <f>IF(AND(ISNUMBER($AB584),$M584&gt;0),$AB584/$M584*100,"")</f>
      </c>
      <c r="AU584" s="42">
        <f>IF(AND(ISNUMBER($AD584),$M584&gt;0),$AD584/$M584*100,"")</f>
      </c>
      <c r="AV584" s="40">
        <f>IF(AND(ISNUMBER($AB584),ISNUMBER($AD584),ABS($AB584)&gt;0),$AD584/$AB584,"")</f>
      </c>
      <c r="AW584" s="39">
        <f>IF(ISNUMBER($AD584),MAX(0,(1-0.55-Header!$O$3)*Header!$Q$3*$AQ584),"")</f>
      </c>
      <c r="AX584" s="43">
        <f>IF($A584="","",IF(TRIM(IF($A584="","Missing certificate ref. ","") &amp; IF($C584="","Missing effective date. ","") &amp; IF($D584="","Missing binding status. ","") &amp; IF($E584="","Missing movement type. ","") &amp; IF($I584="","Missing make. ","") &amp; IF($L584="","Missing vehicle class. ","") &amp; IF($M584="","Missing agreed value. ","") &amp; IF($N584="","Missing policy type. ","") &amp; IF($Q584="","Missing garaging state. ","") &amp; IF($R584="","Missing garaging ZIP. ","") &amp; IF($S584="","Missing cat zone. ","") &amp; IF($V584="","Missing valuation basis. ","") &amp; IF($W584="","Missing PD deductible. ","") &amp; IF($X584="","Missing liability limit. ","") &amp; IF($AB584="","Missing technical premium. ","") &amp; IF($AF584="","Missing surplus lines tax %. ",""))="","PASS","FAIL: "&amp;TRIM(IF($A584="","Missing certificate ref. ","") &amp; IF($C584="","Missing effective date. ","") &amp; IF($D584="","Missing binding status. ","") &amp; IF($E584="","Missing movement type. ","") &amp; IF($I584="","Missing make. ","") &amp; IF($L584="","Missing vehicle class. ","") &amp; IF($M584="","Missing agreed value. ","") &amp; IF($N584="","Missing policy type. ","") &amp; IF($Q584="","Missing garaging state. ","") &amp; IF($R584="","Missing garaging ZIP. ","") &amp; IF($S584="","Missing cat zone. ","") &amp; IF($V584="","Missing valuation basis. ","") &amp; IF($W584="","Missing PD deductible. ","") &amp; IF($X584="","Missing liability limit. ","") &amp; IF($AB584="","Missing technical premium. ","") &amp; IF($AF584="","Missing surplus lines tax %. ",""))))</f>
      </c>
      <c r="AY584" s="44">
        <f>IF($M584="","",IF(ISNUMBER($M584),IF($M584&gt;=Header!$C$18,"YES — refer","No"),""))</f>
      </c>
      <c r="AZ584" s="44">
        <f>IF($AD584="","",IF(ISNUMBER($AD584),IF($AD584&lt;Header!$C$20,"BELOW MIN PREMIUM","OK"),""))</f>
      </c>
      <c r="BA584" s="48" t="inlineStr">
        <is>
          <t xml:space="preserve">Yes</t>
        </is>
      </c>
      <c r="BB584" s="48" t="inlineStr">
        <is>
          <t xml:space="preserve">Yes</t>
        </is>
      </c>
      <c r="BC584" s="46" t="inlineStr">
        <is>
          <t xml:space="preserve">Synthetic demo data</t>
        </is>
      </c>
      <c r="BE584" s="45">
        <f>IF(OR($A584="",$L584="",$H584=""),"",IF(AND(LEFT($L584,2)="06",$H584&gt;1945),"FAIL - pre-war class, year "&amp;$H584,IF(AND(LEFT($L584,2)="07",OR($H584&lt;1946,$H584&gt;1972)),"FAIL - 1946-72 class, year "&amp;$H584,IF(AND(LEFT($L584,2)="08",OR($H584&lt;1973,$H584&gt;1999)),"FAIL - 1973-99 class, year "&amp;$H584,IF(AND(LEFT($L584,2)="09",OR($H584&lt;2000,$H584&gt;2010)),"FAIL - 2000-10 class, year "&amp;$H584,"OK")))))</f>
      </c>
      <c r="BF584" s="45">
        <f>IF($AD584="","",IF(ROUND($AO584+$AP584+$AQ584-$AD584,2)=0,"OK","FAIL - out by "&amp;TEXT($AO584+$AP584+$AQ584-$AD584,"$0.00")))</f>
      </c>
    </row>
    <row r="585" spans="1:58" ht="18.75" customHeight="1" x14ac:dyDescent="0.25">
      <c r="A585" s="30" t="inlineStr">
        <is>
          <t xml:space="preserve">CANON-202606-009194</t>
        </is>
      </c>
      <c r="B585" s="30" t="inlineStr">
        <is>
          <t xml:space="preserve">Beatrix Rourke</t>
        </is>
      </c>
      <c r="C585" s="31">
        <v>46195</v>
      </c>
      <c r="D585" s="32" t="inlineStr">
        <is>
          <t xml:space="preserve">Bound - within authority</t>
        </is>
      </c>
      <c r="E585" s="32" t="inlineStr">
        <is>
          <t xml:space="preserve">New business</t>
        </is>
      </c>
      <c r="F585" s="30" t="inlineStr">
        <is>
          <t xml:space="preserve">B1234EXOTIC26</t>
        </is>
      </c>
      <c r="G585" s="33">
        <f>IF($A585="","",IF($C585="","",YEAR($C585)))</f>
      </c>
      <c r="H585" s="34">
        <v>1972</v>
      </c>
      <c r="I585" s="30" t="inlineStr">
        <is>
          <t xml:space="preserve">Icon</t>
        </is>
      </c>
      <c r="J585" s="30" t="inlineStr">
        <is>
          <t xml:space="preserve">Derelict</t>
        </is>
      </c>
      <c r="K585" s="30" t="inlineStr">
        <is>
          <t xml:space="preserve">DR11KNGJUR6LK2ZCZ</t>
        </is>
      </c>
      <c r="L585" s="32" t="inlineStr">
        <is>
          <t xml:space="preserve">11 - Restomod / Coachbuilt / Bespoke</t>
        </is>
      </c>
      <c r="M585" s="35">
        <v>1055000</v>
      </c>
      <c r="N585" s="32" t="inlineStr">
        <is>
          <t xml:space="preserve">Personal</t>
        </is>
      </c>
      <c r="O585" s="30" t="inlineStr">
        <is>
          <t xml:space="preserve">Personal - regular use</t>
        </is>
      </c>
      <c r="P585" s="30" t="inlineStr">
        <is>
          <t xml:space="preserve">Under 1,000</t>
        </is>
      </c>
      <c r="Q585" s="30" t="inlineStr">
        <is>
          <t xml:space="preserve">Florida</t>
        </is>
      </c>
      <c r="R585" s="30" t="inlineStr">
        <is>
          <t xml:space="preserve">33139</t>
        </is>
      </c>
      <c r="S585" s="32" t="inlineStr">
        <is>
          <t xml:space="preserve">Tier 2 - Coastal wind (1-25 miles)</t>
        </is>
      </c>
      <c r="T585" s="36">
        <f>IF($A585="","",IF($S585="","",IFERROR(INDEX('[1]natural catastrophe'!$D$6:$D$17,MATCH($S585,'[1]natural catastrophe'!$B$6:$B$17,0)),"?")))</f>
      </c>
      <c r="U585" s="30" t="inlineStr">
        <is>
          <t xml:space="preserve">2% of agreed value, minimum $10,000</t>
        </is>
      </c>
      <c r="V585" s="32" t="inlineStr">
        <is>
          <t xml:space="preserve">Agreed Value</t>
        </is>
      </c>
      <c r="W585" s="30" t="inlineStr">
        <is>
          <t xml:space="preserve">$1,000</t>
        </is>
      </c>
      <c r="X585" s="32" t="inlineStr">
        <is>
          <t xml:space="preserve">$1,000,000 CSL</t>
        </is>
      </c>
      <c r="Y585" s="30"/>
      <c r="Z585" s="30"/>
      <c r="AA585" s="32" t="inlineStr">
        <is>
          <t xml:space="preserve">Surplus Lines</t>
        </is>
      </c>
      <c r="AB585" s="35">
        <v>14700.15</v>
      </c>
      <c r="AC585" s="37">
        <v>0</v>
      </c>
      <c r="AD585" s="38">
        <f>IF(ISNUMBER($AB585),$AB585*(1+N($AC585)),"")</f>
      </c>
      <c r="AE585" s="35">
        <v>350</v>
      </c>
      <c r="AF585" s="35">
        <v>250</v>
      </c>
      <c r="AG585" s="37"/>
      <c r="AH585" s="39">
        <f>IF(ISNUMBER($AD585),($AD585+$AE585+$AF585)*$AG585,"")</f>
      </c>
      <c r="AI585" s="35"/>
      <c r="AJ585" s="38">
        <f>IF(ISNUMBER($AD585),SUM($AD585:$AH585),"")</f>
      </c>
      <c r="AK585" s="40">
        <f>IF(AND(ISNUMBER($AB585),ISNUMBER($AD585)),IF($AB585&gt;0,$AD585/$AB585,""),"")</f>
      </c>
      <c r="AL585" s="32" t="inlineStr">
        <is>
          <t xml:space="preserve">At technical</t>
        </is>
      </c>
      <c r="AM585" s="41">
        <f>IF(ISNUMBER($AD585),Header!$I$3,"")</f>
      </c>
      <c r="AN585" s="39">
        <f>IF(ISNUMBER($AD585),$AO585+$AP585,"")</f>
      </c>
      <c r="AO585" s="39">
        <f>IF(ISNUMBER($AD585),ROUND($AD585*Header!$K$3,2),"")</f>
      </c>
      <c r="AP585" s="39">
        <f>IF(ISNUMBER($AD585),ROUND($AD585*Header!$M$3,2),"")</f>
      </c>
      <c r="AQ585" s="38">
        <f>IF(ISNUMBER($AD585),ROUND($AD585,2)-$AO585-$AP585,"")</f>
      </c>
      <c r="AR585" s="39">
        <f>IF(ISNUMBER($AD585),IF(Header!$D$34="","?",$AD585*Header!$D$34),"")</f>
      </c>
      <c r="AS585" s="39">
        <f>IF(ISNUMBER($AB585),IF(Header!$D$34="","?",$AB585*Header!$D$34),"")</f>
      </c>
      <c r="AT585" s="42">
        <f>IF(AND(ISNUMBER($AB585),$M585&gt;0),$AB585/$M585*100,"")</f>
      </c>
      <c r="AU585" s="42">
        <f>IF(AND(ISNUMBER($AD585),$M585&gt;0),$AD585/$M585*100,"")</f>
      </c>
      <c r="AV585" s="40">
        <f>IF(AND(ISNUMBER($AB585),ISNUMBER($AD585),ABS($AB585)&gt;0),$AD585/$AB585,"")</f>
      </c>
      <c r="AW585" s="39">
        <f>IF(ISNUMBER($AD585),MAX(0,(1-0.55-Header!$O$3)*Header!$Q$3*$AQ585),"")</f>
      </c>
      <c r="AX585" s="43">
        <f>IF($A585="","",IF(TRIM(IF($A585="","Missing certificate ref. ","") &amp; IF($C585="","Missing effective date. ","") &amp; IF($D585="","Missing binding status. ","") &amp; IF($E585="","Missing movement type. ","") &amp; IF($I585="","Missing make. ","") &amp; IF($L585="","Missing vehicle class. ","") &amp; IF($M585="","Missing agreed value. ","") &amp; IF($N585="","Missing policy type. ","") &amp; IF($Q585="","Missing garaging state. ","") &amp; IF($R585="","Missing garaging ZIP. ","") &amp; IF($S585="","Missing cat zone. ","") &amp; IF($V585="","Missing valuation basis. ","") &amp; IF($W585="","Missing PD deductible. ","") &amp; IF($X585="","Missing liability limit. ","") &amp; IF($AB585="","Missing technical premium. ","") &amp; IF($AF585="","Missing surplus lines tax %. ",""))="","PASS","FAIL: "&amp;TRIM(IF($A585="","Missing certificate ref. ","") &amp; IF($C585="","Missing effective date. ","") &amp; IF($D585="","Missing binding status. ","") &amp; IF($E585="","Missing movement type. ","") &amp; IF($I585="","Missing make. ","") &amp; IF($L585="","Missing vehicle class. ","") &amp; IF($M585="","Missing agreed value. ","") &amp; IF($N585="","Missing policy type. ","") &amp; IF($Q585="","Missing garaging state. ","") &amp; IF($R585="","Missing garaging ZIP. ","") &amp; IF($S585="","Missing cat zone. ","") &amp; IF($V585="","Missing valuation basis. ","") &amp; IF($W585="","Missing PD deductible. ","") &amp; IF($X585="","Missing liability limit. ","") &amp; IF($AB585="","Missing technical premium. ","") &amp; IF($AF585="","Missing surplus lines tax %. ",""))))</f>
      </c>
      <c r="AY585" s="44">
        <f>IF($M585="","",IF(ISNUMBER($M585),IF($M585&gt;=Header!$C$18,"YES — refer","No"),""))</f>
      </c>
      <c r="AZ585" s="44">
        <f>IF($AD585="","",IF(ISNUMBER($AD585),IF($AD585&lt;Header!$C$20,"BELOW MIN PREMIUM","OK"),""))</f>
      </c>
      <c r="BA585" s="32" t="inlineStr">
        <is>
          <t xml:space="preserve">Yes</t>
        </is>
      </c>
      <c r="BB585" s="32" t="inlineStr">
        <is>
          <t xml:space="preserve">Yes</t>
        </is>
      </c>
      <c r="BC585" s="30" t="inlineStr">
        <is>
          <t xml:space="preserve">Synthetic demo data</t>
        </is>
      </c>
      <c r="BE585" s="45">
        <f>IF(OR($A585="",$L585="",$H585=""),"",IF(AND(LEFT($L585,2)="06",$H585&gt;1945),"FAIL - pre-war class, year "&amp;$H585,IF(AND(LEFT($L585,2)="07",OR($H585&lt;1946,$H585&gt;1972)),"FAIL - 1946-72 class, year "&amp;$H585,IF(AND(LEFT($L585,2)="08",OR($H585&lt;1973,$H585&gt;1999)),"FAIL - 1973-99 class, year "&amp;$H585,IF(AND(LEFT($L585,2)="09",OR($H585&lt;2000,$H585&gt;2010)),"FAIL - 2000-10 class, year "&amp;$H585,"OK")))))</f>
      </c>
      <c r="BF585" s="45">
        <f>IF($AD585="","",IF(ROUND($AO585+$AP585+$AQ585-$AD585,2)=0,"OK","FAIL - out by "&amp;TEXT($AO585+$AP585+$AQ585-$AD585,"$0.00")))</f>
      </c>
    </row>
    <row r="586" spans="1:58" ht="18.75" customHeight="1" x14ac:dyDescent="0.25">
      <c r="A586" s="46" t="inlineStr">
        <is>
          <t xml:space="preserve">CANON-202606-009196</t>
        </is>
      </c>
      <c r="B586" s="46" t="inlineStr">
        <is>
          <t xml:space="preserve">Callum Harrington</t>
        </is>
      </c>
      <c r="C586" s="47">
        <v>46179</v>
      </c>
      <c r="D586" s="48" t="inlineStr">
        <is>
          <t xml:space="preserve">Bound - within authority</t>
        </is>
      </c>
      <c r="E586" s="48" t="inlineStr">
        <is>
          <t xml:space="preserve">New business</t>
        </is>
      </c>
      <c r="F586" s="46" t="inlineStr">
        <is>
          <t xml:space="preserve">B1234EXOTIC26</t>
        </is>
      </c>
      <c r="G586" s="33">
        <f>IF($A586="","",IF($C586="","",YEAR($C586)))</f>
      </c>
      <c r="H586" s="49">
        <v>1972</v>
      </c>
      <c r="I586" s="46" t="inlineStr">
        <is>
          <t xml:space="preserve">BMW</t>
        </is>
      </c>
      <c r="J586" s="46" t="inlineStr">
        <is>
          <t xml:space="preserve">M8 Competition</t>
        </is>
      </c>
      <c r="K586" s="46" t="inlineStr">
        <is>
          <t xml:space="preserve">90MS23EB2DB3R4GR1</t>
        </is>
      </c>
      <c r="L586" s="48" t="inlineStr">
        <is>
          <t xml:space="preserve">02 - Sports / GT</t>
        </is>
      </c>
      <c r="M586" s="50">
        <v>405000</v>
      </c>
      <c r="N586" s="48" t="inlineStr">
        <is>
          <t xml:space="preserve">Personal</t>
        </is>
      </c>
      <c r="O586" s="46" t="inlineStr">
        <is>
          <t xml:space="preserve">Personal - regular use</t>
        </is>
      </c>
      <c r="P586" s="46" t="inlineStr">
        <is>
          <t xml:space="preserve">Under 1,000</t>
        </is>
      </c>
      <c r="Q586" s="46" t="inlineStr">
        <is>
          <t xml:space="preserve">Pennsylvania</t>
        </is>
      </c>
      <c r="R586" s="46" t="inlineStr">
        <is>
          <t xml:space="preserve">19103</t>
        </is>
      </c>
      <c r="S586" s="48" t="inlineStr">
        <is>
          <t xml:space="preserve">Low hazard - inland benign</t>
        </is>
      </c>
      <c r="T586" s="36">
        <f>IF($A586="","",IF($S586="","",IFERROR(INDEX('[1]natural catastrophe'!$D$6:$D$17,MATCH($S586,'[1]natural catastrophe'!$B$6:$B$17,0)),"?")))</f>
      </c>
      <c r="U586" s="46" t="inlineStr">
        <is>
          <t xml:space="preserve">$5,000</t>
        </is>
      </c>
      <c r="V586" s="48" t="inlineStr">
        <is>
          <t xml:space="preserve">Agreed Value</t>
        </is>
      </c>
      <c r="W586" s="46" t="inlineStr">
        <is>
          <t xml:space="preserve">$1,000</t>
        </is>
      </c>
      <c r="X586" s="48" t="inlineStr">
        <is>
          <t xml:space="preserve">$1,000,000 CSL</t>
        </is>
      </c>
      <c r="Y586" s="46"/>
      <c r="Z586" s="46"/>
      <c r="AA586" s="48" t="inlineStr">
        <is>
          <t xml:space="preserve">Surplus Lines</t>
        </is>
      </c>
      <c r="AB586" s="50">
        <v>4383.17</v>
      </c>
      <c r="AC586" s="51">
        <v>0</v>
      </c>
      <c r="AD586" s="38">
        <f>IF(ISNUMBER($AB586),$AB586*(1+N($AC586)),"")</f>
      </c>
      <c r="AE586" s="50">
        <v>350</v>
      </c>
      <c r="AF586" s="50">
        <v>0</v>
      </c>
      <c r="AG586" s="51"/>
      <c r="AH586" s="39">
        <f>IF(ISNUMBER($AD586),($AD586+$AE586+$AF586)*$AG586,"")</f>
      </c>
      <c r="AI586" s="50"/>
      <c r="AJ586" s="38">
        <f>IF(ISNUMBER($AD586),SUM($AD586:$AH586),"")</f>
      </c>
      <c r="AK586" s="40">
        <f>IF(AND(ISNUMBER($AB586),ISNUMBER($AD586)),IF($AB586&gt;0,$AD586/$AB586,""),"")</f>
      </c>
      <c r="AL586" s="48" t="inlineStr">
        <is>
          <t xml:space="preserve">At technical</t>
        </is>
      </c>
      <c r="AM586" s="41">
        <f>IF(ISNUMBER($AD586),Header!$I$3,"")</f>
      </c>
      <c r="AN586" s="39">
        <f>IF(ISNUMBER($AD586),$AO586+$AP586,"")</f>
      </c>
      <c r="AO586" s="39">
        <f>IF(ISNUMBER($AD586),ROUND($AD586*Header!$K$3,2),"")</f>
      </c>
      <c r="AP586" s="39">
        <f>IF(ISNUMBER($AD586),ROUND($AD586*Header!$M$3,2),"")</f>
      </c>
      <c r="AQ586" s="38">
        <f>IF(ISNUMBER($AD586),ROUND($AD586,2)-$AO586-$AP586,"")</f>
      </c>
      <c r="AR586" s="39">
        <f>IF(ISNUMBER($AD586),IF(Header!$D$34="","?",$AD586*Header!$D$34),"")</f>
      </c>
      <c r="AS586" s="39">
        <f>IF(ISNUMBER($AB586),IF(Header!$D$34="","?",$AB586*Header!$D$34),"")</f>
      </c>
      <c r="AT586" s="42">
        <f>IF(AND(ISNUMBER($AB586),$M586&gt;0),$AB586/$M586*100,"")</f>
      </c>
      <c r="AU586" s="42">
        <f>IF(AND(ISNUMBER($AD586),$M586&gt;0),$AD586/$M586*100,"")</f>
      </c>
      <c r="AV586" s="40">
        <f>IF(AND(ISNUMBER($AB586),ISNUMBER($AD586),ABS($AB586)&gt;0),$AD586/$AB586,"")</f>
      </c>
      <c r="AW586" s="39">
        <f>IF(ISNUMBER($AD586),MAX(0,(1-0.55-Header!$O$3)*Header!$Q$3*$AQ586),"")</f>
      </c>
      <c r="AX586" s="43">
        <f>IF($A586="","",IF(TRIM(IF($A586="","Missing certificate ref. ","") &amp; IF($C586="","Missing effective date. ","") &amp; IF($D586="","Missing binding status. ","") &amp; IF($E586="","Missing movement type. ","") &amp; IF($I586="","Missing make. ","") &amp; IF($L586="","Missing vehicle class. ","") &amp; IF($M586="","Missing agreed value. ","") &amp; IF($N586="","Missing policy type. ","") &amp; IF($Q586="","Missing garaging state. ","") &amp; IF($R586="","Missing garaging ZIP. ","") &amp; IF($S586="","Missing cat zone. ","") &amp; IF($V586="","Missing valuation basis. ","") &amp; IF($W586="","Missing PD deductible. ","") &amp; IF($X586="","Missing liability limit. ","") &amp; IF($AB586="","Missing technical premium. ","") &amp; IF($AF586="","Missing surplus lines tax %. ",""))="","PASS","FAIL: "&amp;TRIM(IF($A586="","Missing certificate ref. ","") &amp; IF($C586="","Missing effective date. ","") &amp; IF($D586="","Missing binding status. ","") &amp; IF($E586="","Missing movement type. ","") &amp; IF($I586="","Missing make. ","") &amp; IF($L586="","Missing vehicle class. ","") &amp; IF($M586="","Missing agreed value. ","") &amp; IF($N586="","Missing policy type. ","") &amp; IF($Q586="","Missing garaging state. ","") &amp; IF($R586="","Missing garaging ZIP. ","") &amp; IF($S586="","Missing cat zone. ","") &amp; IF($V586="","Missing valuation basis. ","") &amp; IF($W586="","Missing PD deductible. ","") &amp; IF($X586="","Missing liability limit. ","") &amp; IF($AB586="","Missing technical premium. ","") &amp; IF($AF586="","Missing surplus lines tax %. ",""))))</f>
      </c>
      <c r="AY586" s="44">
        <f>IF($M586="","",IF(ISNUMBER($M586),IF($M586&gt;=Header!$C$18,"YES — refer","No"),""))</f>
      </c>
      <c r="AZ586" s="44">
        <f>IF($AD586="","",IF(ISNUMBER($AD586),IF($AD586&lt;Header!$C$20,"BELOW MIN PREMIUM","OK"),""))</f>
      </c>
      <c r="BA586" s="48" t="inlineStr">
        <is>
          <t xml:space="preserve">Yes</t>
        </is>
      </c>
      <c r="BB586" s="48" t="inlineStr">
        <is>
          <t xml:space="preserve">Yes</t>
        </is>
      </c>
      <c r="BC586" s="46" t="inlineStr">
        <is>
          <t xml:space="preserve">Synthetic demo data</t>
        </is>
      </c>
      <c r="BE586" s="45">
        <f>IF(OR($A586="",$L586="",$H586=""),"",IF(AND(LEFT($L586,2)="06",$H586&gt;1945),"FAIL - pre-war class, year "&amp;$H586,IF(AND(LEFT($L586,2)="07",OR($H586&lt;1946,$H586&gt;1972)),"FAIL - 1946-72 class, year "&amp;$H586,IF(AND(LEFT($L586,2)="08",OR($H586&lt;1973,$H586&gt;1999)),"FAIL - 1973-99 class, year "&amp;$H586,IF(AND(LEFT($L586,2)="09",OR($H586&lt;2000,$H586&gt;2010)),"FAIL - 2000-10 class, year "&amp;$H586,"OK")))))</f>
      </c>
      <c r="BF586" s="45">
        <f>IF($AD586="","",IF(ROUND($AO586+$AP586+$AQ586-$AD586,2)=0,"OK","FAIL - out by "&amp;TEXT($AO586+$AP586+$AQ586-$AD586,"$0.00")))</f>
      </c>
    </row>
    <row r="587" spans="1:58" ht="18.75" customHeight="1" x14ac:dyDescent="0.25">
      <c r="A587" s="30" t="inlineStr">
        <is>
          <t xml:space="preserve">CANON-202606-009197</t>
        </is>
      </c>
      <c r="B587" s="30" t="inlineStr">
        <is>
          <t xml:space="preserve">Priya Montoya</t>
        </is>
      </c>
      <c r="C587" s="31">
        <v>46189</v>
      </c>
      <c r="D587" s="32" t="inlineStr">
        <is>
          <t xml:space="preserve">Bound - within authority</t>
        </is>
      </c>
      <c r="E587" s="32" t="inlineStr">
        <is>
          <t xml:space="preserve">New business</t>
        </is>
      </c>
      <c r="F587" s="30" t="inlineStr">
        <is>
          <t xml:space="preserve">B1234EXOTIC26</t>
        </is>
      </c>
      <c r="G587" s="33">
        <f>IF($A587="","",IF($C587="","",YEAR($C587)))</f>
      </c>
      <c r="H587" s="34">
        <v>1963</v>
      </c>
      <c r="I587" s="30" t="inlineStr">
        <is>
          <t xml:space="preserve">Bentley</t>
        </is>
      </c>
      <c r="J587" s="30" t="inlineStr">
        <is>
          <t xml:space="preserve">Continental GT</t>
        </is>
      </c>
      <c r="K587" s="30" t="inlineStr">
        <is>
          <t xml:space="preserve">1EHNHP6KFDV4PX8ZD</t>
        </is>
      </c>
      <c r="L587" s="32" t="inlineStr">
        <is>
          <t xml:space="preserve">02 - Sports / GT</t>
        </is>
      </c>
      <c r="M587" s="35">
        <v>530000</v>
      </c>
      <c r="N587" s="32" t="inlineStr">
        <is>
          <t xml:space="preserve">Personal</t>
        </is>
      </c>
      <c r="O587" s="30" t="inlineStr">
        <is>
          <t xml:space="preserve">Personal - regular use</t>
        </is>
      </c>
      <c r="P587" s="30" t="inlineStr">
        <is>
          <t xml:space="preserve">2,500 - 5,000</t>
        </is>
      </c>
      <c r="Q587" s="30" t="inlineStr">
        <is>
          <t xml:space="preserve">Pennsylvania</t>
        </is>
      </c>
      <c r="R587" s="30" t="inlineStr">
        <is>
          <t xml:space="preserve">19103</t>
        </is>
      </c>
      <c r="S587" s="32" t="inlineStr">
        <is>
          <t xml:space="preserve">Low hazard - inland benign</t>
        </is>
      </c>
      <c r="T587" s="36">
        <f>IF($A587="","",IF($S587="","",IFERROR(INDEX('[1]natural catastrophe'!$D$6:$D$17,MATCH($S587,'[1]natural catastrophe'!$B$6:$B$17,0)),"?")))</f>
      </c>
      <c r="U587" s="30" t="inlineStr">
        <is>
          <t xml:space="preserve">$5,000</t>
        </is>
      </c>
      <c r="V587" s="32" t="inlineStr">
        <is>
          <t xml:space="preserve">Agreed Value</t>
        </is>
      </c>
      <c r="W587" s="30" t="inlineStr">
        <is>
          <t xml:space="preserve">$1,000</t>
        </is>
      </c>
      <c r="X587" s="32" t="inlineStr">
        <is>
          <t xml:space="preserve">$1,000,000 CSL</t>
        </is>
      </c>
      <c r="Y587" s="30"/>
      <c r="Z587" s="30"/>
      <c r="AA587" s="32" t="inlineStr">
        <is>
          <t xml:space="preserve">Surplus Lines</t>
        </is>
      </c>
      <c r="AB587" s="35">
        <v>4971.2</v>
      </c>
      <c r="AC587" s="37">
        <v>0</v>
      </c>
      <c r="AD587" s="38">
        <f>IF(ISNUMBER($AB587),$AB587*(1+N($AC587)),"")</f>
      </c>
      <c r="AE587" s="35">
        <v>350</v>
      </c>
      <c r="AF587" s="35">
        <v>0</v>
      </c>
      <c r="AG587" s="37"/>
      <c r="AH587" s="39">
        <f>IF(ISNUMBER($AD587),($AD587+$AE587+$AF587)*$AG587,"")</f>
      </c>
      <c r="AI587" s="35"/>
      <c r="AJ587" s="38">
        <f>IF(ISNUMBER($AD587),SUM($AD587:$AH587),"")</f>
      </c>
      <c r="AK587" s="40">
        <f>IF(AND(ISNUMBER($AB587),ISNUMBER($AD587)),IF($AB587&gt;0,$AD587/$AB587,""),"")</f>
      </c>
      <c r="AL587" s="32" t="inlineStr">
        <is>
          <t xml:space="preserve">At technical</t>
        </is>
      </c>
      <c r="AM587" s="41">
        <f>IF(ISNUMBER($AD587),Header!$I$3,"")</f>
      </c>
      <c r="AN587" s="39">
        <f>IF(ISNUMBER($AD587),$AO587+$AP587,"")</f>
      </c>
      <c r="AO587" s="39">
        <f>IF(ISNUMBER($AD587),ROUND($AD587*Header!$K$3,2),"")</f>
      </c>
      <c r="AP587" s="39">
        <f>IF(ISNUMBER($AD587),ROUND($AD587*Header!$M$3,2),"")</f>
      </c>
      <c r="AQ587" s="38">
        <f>IF(ISNUMBER($AD587),ROUND($AD587,2)-$AO587-$AP587,"")</f>
      </c>
      <c r="AR587" s="39">
        <f>IF(ISNUMBER($AD587),IF(Header!$D$34="","?",$AD587*Header!$D$34),"")</f>
      </c>
      <c r="AS587" s="39">
        <f>IF(ISNUMBER($AB587),IF(Header!$D$34="","?",$AB587*Header!$D$34),"")</f>
      </c>
      <c r="AT587" s="42">
        <f>IF(AND(ISNUMBER($AB587),$M587&gt;0),$AB587/$M587*100,"")</f>
      </c>
      <c r="AU587" s="42">
        <f>IF(AND(ISNUMBER($AD587),$M587&gt;0),$AD587/$M587*100,"")</f>
      </c>
      <c r="AV587" s="40">
        <f>IF(AND(ISNUMBER($AB587),ISNUMBER($AD587),ABS($AB587)&gt;0),$AD587/$AB587,"")</f>
      </c>
      <c r="AW587" s="39">
        <f>IF(ISNUMBER($AD587),MAX(0,(1-0.55-Header!$O$3)*Header!$Q$3*$AQ587),"")</f>
      </c>
      <c r="AX587" s="43">
        <f>IF($A587="","",IF(TRIM(IF($A587="","Missing certificate ref. ","") &amp; IF($C587="","Missing effective date. ","") &amp; IF($D587="","Missing binding status. ","") &amp; IF($E587="","Missing movement type. ","") &amp; IF($I587="","Missing make. ","") &amp; IF($L587="","Missing vehicle class. ","") &amp; IF($M587="","Missing agreed value. ","") &amp; IF($N587="","Missing policy type. ","") &amp; IF($Q587="","Missing garaging state. ","") &amp; IF($R587="","Missing garaging ZIP. ","") &amp; IF($S587="","Missing cat zone. ","") &amp; IF($V587="","Missing valuation basis. ","") &amp; IF($W587="","Missing PD deductible. ","") &amp; IF($X587="","Missing liability limit. ","") &amp; IF($AB587="","Missing technical premium. ","") &amp; IF($AF587="","Missing surplus lines tax %. ",""))="","PASS","FAIL: "&amp;TRIM(IF($A587="","Missing certificate ref. ","") &amp; IF($C587="","Missing effective date. ","") &amp; IF($D587="","Missing binding status. ","") &amp; IF($E587="","Missing movement type. ","") &amp; IF($I587="","Missing make. ","") &amp; IF($L587="","Missing vehicle class. ","") &amp; IF($M587="","Missing agreed value. ","") &amp; IF($N587="","Missing policy type. ","") &amp; IF($Q587="","Missing garaging state. ","") &amp; IF($R587="","Missing garaging ZIP. ","") &amp; IF($S587="","Missing cat zone. ","") &amp; IF($V587="","Missing valuation basis. ","") &amp; IF($W587="","Missing PD deductible. ","") &amp; IF($X587="","Missing liability limit. ","") &amp; IF($AB587="","Missing technical premium. ","") &amp; IF($AF587="","Missing surplus lines tax %. ",""))))</f>
      </c>
      <c r="AY587" s="44">
        <f>IF($M587="","",IF(ISNUMBER($M587),IF($M587&gt;=Header!$C$18,"YES — refer","No"),""))</f>
      </c>
      <c r="AZ587" s="44">
        <f>IF($AD587="","",IF(ISNUMBER($AD587),IF($AD587&lt;Header!$C$20,"BELOW MIN PREMIUM","OK"),""))</f>
      </c>
      <c r="BA587" s="32" t="inlineStr">
        <is>
          <t xml:space="preserve">Yes</t>
        </is>
      </c>
      <c r="BB587" s="32" t="inlineStr">
        <is>
          <t xml:space="preserve">Yes</t>
        </is>
      </c>
      <c r="BC587" s="30" t="inlineStr">
        <is>
          <t xml:space="preserve">Synthetic demo data</t>
        </is>
      </c>
      <c r="BE587" s="45">
        <f>IF(OR($A587="",$L587="",$H587=""),"",IF(AND(LEFT($L587,2)="06",$H587&gt;1945),"FAIL - pre-war class, year "&amp;$H587,IF(AND(LEFT($L587,2)="07",OR($H587&lt;1946,$H587&gt;1972)),"FAIL - 1946-72 class, year "&amp;$H587,IF(AND(LEFT($L587,2)="08",OR($H587&lt;1973,$H587&gt;1999)),"FAIL - 1973-99 class, year "&amp;$H587,IF(AND(LEFT($L587,2)="09",OR($H587&lt;2000,$H587&gt;2010)),"FAIL - 2000-10 class, year "&amp;$H587,"OK")))))</f>
      </c>
      <c r="BF587" s="45">
        <f>IF($AD587="","",IF(ROUND($AO587+$AP587+$AQ587-$AD587,2)=0,"OK","FAIL - out by "&amp;TEXT($AO587+$AP587+$AQ587-$AD587,"$0.00")))</f>
      </c>
    </row>
    <row r="588" spans="1:58" ht="18.75" customHeight="1" x14ac:dyDescent="0.25">
      <c r="A588" s="46" t="inlineStr">
        <is>
          <t xml:space="preserve">CANON-202606-009198</t>
        </is>
      </c>
      <c r="B588" s="46" t="inlineStr">
        <is>
          <t xml:space="preserve">Ingrid Castellanos</t>
        </is>
      </c>
      <c r="C588" s="47">
        <v>46190</v>
      </c>
      <c r="D588" s="48" t="inlineStr">
        <is>
          <t xml:space="preserve">Bound - within authority</t>
        </is>
      </c>
      <c r="E588" s="48" t="inlineStr">
        <is>
          <t xml:space="preserve">New business</t>
        </is>
      </c>
      <c r="F588" s="46" t="inlineStr">
        <is>
          <t xml:space="preserve">B1234EXOTIC26</t>
        </is>
      </c>
      <c r="G588" s="33">
        <f>IF($A588="","",IF($C588="","",YEAR($C588)))</f>
      </c>
      <c r="H588" s="49">
        <v>1969</v>
      </c>
      <c r="I588" s="46" t="inlineStr">
        <is>
          <t xml:space="preserve">Maserati</t>
        </is>
      </c>
      <c r="J588" s="46" t="inlineStr">
        <is>
          <t xml:space="preserve">GranTurismo</t>
        </is>
      </c>
      <c r="K588" s="46" t="inlineStr">
        <is>
          <t xml:space="preserve">LBY4Y7B5TKEBLCAM4</t>
        </is>
      </c>
      <c r="L588" s="48" t="inlineStr">
        <is>
          <t xml:space="preserve">02 - Sports / GT</t>
        </is>
      </c>
      <c r="M588" s="50">
        <v>1925000</v>
      </c>
      <c r="N588" s="48" t="inlineStr">
        <is>
          <t xml:space="preserve">Personal</t>
        </is>
      </c>
      <c r="O588" s="46" t="inlineStr">
        <is>
          <t xml:space="preserve">Personal - regular use</t>
        </is>
      </c>
      <c r="P588" s="46" t="inlineStr">
        <is>
          <t xml:space="preserve">Under 1,000</t>
        </is>
      </c>
      <c r="Q588" s="46" t="inlineStr">
        <is>
          <t xml:space="preserve">Hawaii</t>
        </is>
      </c>
      <c r="R588" s="46" t="inlineStr">
        <is>
          <t xml:space="preserve">96813</t>
        </is>
      </c>
      <c r="S588" s="48" t="inlineStr">
        <is>
          <t xml:space="preserve">Earthquake - high (CA, Cascadia, New Madrid)</t>
        </is>
      </c>
      <c r="T588" s="36">
        <f>IF($A588="","",IF($S588="","",IFERROR(INDEX('[1]natural catastrophe'!$D$6:$D$17,MATCH($S588,'[1]natural catastrophe'!$B$6:$B$17,0)),"?")))</f>
      </c>
      <c r="U588" s="46" t="inlineStr">
        <is>
          <t xml:space="preserve">$5,000</t>
        </is>
      </c>
      <c r="V588" s="48" t="inlineStr">
        <is>
          <t xml:space="preserve">Agreed Value</t>
        </is>
      </c>
      <c r="W588" s="46" t="inlineStr">
        <is>
          <t xml:space="preserve">$1,000</t>
        </is>
      </c>
      <c r="X588" s="48" t="inlineStr">
        <is>
          <t xml:space="preserve">$1,000,000 CSL</t>
        </is>
      </c>
      <c r="Y588" s="46"/>
      <c r="Z588" s="46"/>
      <c r="AA588" s="48" t="inlineStr">
        <is>
          <t xml:space="preserve">Surplus Lines</t>
        </is>
      </c>
      <c r="AB588" s="50">
        <v>19861.35</v>
      </c>
      <c r="AC588" s="51">
        <v>0</v>
      </c>
      <c r="AD588" s="38">
        <f>IF(ISNUMBER($AB588),$AB588*(1+N($AC588)),"")</f>
      </c>
      <c r="AE588" s="50">
        <v>350</v>
      </c>
      <c r="AF588" s="50">
        <v>250</v>
      </c>
      <c r="AG588" s="51"/>
      <c r="AH588" s="39">
        <f>IF(ISNUMBER($AD588),($AD588+$AE588+$AF588)*$AG588,"")</f>
      </c>
      <c r="AI588" s="50"/>
      <c r="AJ588" s="38">
        <f>IF(ISNUMBER($AD588),SUM($AD588:$AH588),"")</f>
      </c>
      <c r="AK588" s="40">
        <f>IF(AND(ISNUMBER($AB588),ISNUMBER($AD588)),IF($AB588&gt;0,$AD588/$AB588,""),"")</f>
      </c>
      <c r="AL588" s="48" t="inlineStr">
        <is>
          <t xml:space="preserve">At technical</t>
        </is>
      </c>
      <c r="AM588" s="41">
        <f>IF(ISNUMBER($AD588),Header!$I$3,"")</f>
      </c>
      <c r="AN588" s="39">
        <f>IF(ISNUMBER($AD588),$AO588+$AP588,"")</f>
      </c>
      <c r="AO588" s="39">
        <f>IF(ISNUMBER($AD588),ROUND($AD588*Header!$K$3,2),"")</f>
      </c>
      <c r="AP588" s="39">
        <f>IF(ISNUMBER($AD588),ROUND($AD588*Header!$M$3,2),"")</f>
      </c>
      <c r="AQ588" s="38">
        <f>IF(ISNUMBER($AD588),ROUND($AD588,2)-$AO588-$AP588,"")</f>
      </c>
      <c r="AR588" s="39">
        <f>IF(ISNUMBER($AD588),IF(Header!$D$34="","?",$AD588*Header!$D$34),"")</f>
      </c>
      <c r="AS588" s="39">
        <f>IF(ISNUMBER($AB588),IF(Header!$D$34="","?",$AB588*Header!$D$34),"")</f>
      </c>
      <c r="AT588" s="42">
        <f>IF(AND(ISNUMBER($AB588),$M588&gt;0),$AB588/$M588*100,"")</f>
      </c>
      <c r="AU588" s="42">
        <f>IF(AND(ISNUMBER($AD588),$M588&gt;0),$AD588/$M588*100,"")</f>
      </c>
      <c r="AV588" s="40">
        <f>IF(AND(ISNUMBER($AB588),ISNUMBER($AD588),ABS($AB588)&gt;0),$AD588/$AB588,"")</f>
      </c>
      <c r="AW588" s="39">
        <f>IF(ISNUMBER($AD588),MAX(0,(1-0.55-Header!$O$3)*Header!$Q$3*$AQ588),"")</f>
      </c>
      <c r="AX588" s="43">
        <f>IF($A588="","",IF(TRIM(IF($A588="","Missing certificate ref. ","") &amp; IF($C588="","Missing effective date. ","") &amp; IF($D588="","Missing binding status. ","") &amp; IF($E588="","Missing movement type. ","") &amp; IF($I588="","Missing make. ","") &amp; IF($L588="","Missing vehicle class. ","") &amp; IF($M588="","Missing agreed value. ","") &amp; IF($N588="","Missing policy type. ","") &amp; IF($Q588="","Missing garaging state. ","") &amp; IF($R588="","Missing garaging ZIP. ","") &amp; IF($S588="","Missing cat zone. ","") &amp; IF($V588="","Missing valuation basis. ","") &amp; IF($W588="","Missing PD deductible. ","") &amp; IF($X588="","Missing liability limit. ","") &amp; IF($AB588="","Missing technical premium. ","") &amp; IF($AF588="","Missing surplus lines tax %. ",""))="","PASS","FAIL: "&amp;TRIM(IF($A588="","Missing certificate ref. ","") &amp; IF($C588="","Missing effective date. ","") &amp; IF($D588="","Missing binding status. ","") &amp; IF($E588="","Missing movement type. ","") &amp; IF($I588="","Missing make. ","") &amp; IF($L588="","Missing vehicle class. ","") &amp; IF($M588="","Missing agreed value. ","") &amp; IF($N588="","Missing policy type. ","") &amp; IF($Q588="","Missing garaging state. ","") &amp; IF($R588="","Missing garaging ZIP. ","") &amp; IF($S588="","Missing cat zone. ","") &amp; IF($V588="","Missing valuation basis. ","") &amp; IF($W588="","Missing PD deductible. ","") &amp; IF($X588="","Missing liability limit. ","") &amp; IF($AB588="","Missing technical premium. ","") &amp; IF($AF588="","Missing surplus lines tax %. ",""))))</f>
      </c>
      <c r="AY588" s="44">
        <f>IF($M588="","",IF(ISNUMBER($M588),IF($M588&gt;=Header!$C$18,"YES — refer","No"),""))</f>
      </c>
      <c r="AZ588" s="44">
        <f>IF($AD588="","",IF(ISNUMBER($AD588),IF($AD588&lt;Header!$C$20,"BELOW MIN PREMIUM","OK"),""))</f>
      </c>
      <c r="BA588" s="48" t="inlineStr">
        <is>
          <t xml:space="preserve">Yes</t>
        </is>
      </c>
      <c r="BB588" s="48" t="inlineStr">
        <is>
          <t xml:space="preserve">Yes</t>
        </is>
      </c>
      <c r="BC588" s="46" t="inlineStr">
        <is>
          <t xml:space="preserve">Synthetic demo data</t>
        </is>
      </c>
      <c r="BE588" s="45">
        <f>IF(OR($A588="",$L588="",$H588=""),"",IF(AND(LEFT($L588,2)="06",$H588&gt;1945),"FAIL - pre-war class, year "&amp;$H588,IF(AND(LEFT($L588,2)="07",OR($H588&lt;1946,$H588&gt;1972)),"FAIL - 1946-72 class, year "&amp;$H588,IF(AND(LEFT($L588,2)="08",OR($H588&lt;1973,$H588&gt;1999)),"FAIL - 1973-99 class, year "&amp;$H588,IF(AND(LEFT($L588,2)="09",OR($H588&lt;2000,$H588&gt;2010)),"FAIL - 2000-10 class, year "&amp;$H588,"OK")))))</f>
      </c>
      <c r="BF588" s="45">
        <f>IF($AD588="","",IF(ROUND($AO588+$AP588+$AQ588-$AD588,2)=0,"OK","FAIL - out by "&amp;TEXT($AO588+$AP588+$AQ588-$AD588,"$0.00")))</f>
      </c>
    </row>
    <row r="589" spans="1:58" ht="18.75" customHeight="1" x14ac:dyDescent="0.25">
      <c r="A589" s="30" t="inlineStr">
        <is>
          <t xml:space="preserve">CANON-202606-009199</t>
        </is>
      </c>
      <c r="B589" s="30" t="inlineStr">
        <is>
          <t xml:space="preserve">Delphine Underwood</t>
        </is>
      </c>
      <c r="C589" s="31">
        <v>46193</v>
      </c>
      <c r="D589" s="32" t="inlineStr">
        <is>
          <t xml:space="preserve">Bound - within authority</t>
        </is>
      </c>
      <c r="E589" s="32" t="inlineStr">
        <is>
          <t xml:space="preserve">New business</t>
        </is>
      </c>
      <c r="F589" s="30" t="inlineStr">
        <is>
          <t xml:space="preserve">B1234EXOTIC26</t>
        </is>
      </c>
      <c r="G589" s="33">
        <f>IF($A589="","",IF($C589="","",YEAR($C589)))</f>
      </c>
      <c r="H589" s="34">
        <v>1960</v>
      </c>
      <c r="I589" s="30" t="inlineStr">
        <is>
          <t xml:space="preserve">Mercedes-Benz</t>
        </is>
      </c>
      <c r="J589" s="30" t="inlineStr">
        <is>
          <t xml:space="preserve">AMG GT</t>
        </is>
      </c>
      <c r="K589" s="30" t="inlineStr">
        <is>
          <t xml:space="preserve">149DXU2LVAXGC5U5L</t>
        </is>
      </c>
      <c r="L589" s="32" t="inlineStr">
        <is>
          <t xml:space="preserve">02 - Sports / GT</t>
        </is>
      </c>
      <c r="M589" s="35">
        <v>225000</v>
      </c>
      <c r="N589" s="32" t="inlineStr">
        <is>
          <t xml:space="preserve">Personal</t>
        </is>
      </c>
      <c r="O589" s="30" t="inlineStr">
        <is>
          <t xml:space="preserve">Personal - regular use</t>
        </is>
      </c>
      <c r="P589" s="30" t="inlineStr">
        <is>
          <t xml:space="preserve">1,000 - 2,500</t>
        </is>
      </c>
      <c r="Q589" s="30" t="inlineStr">
        <is>
          <t xml:space="preserve">Massachusetts</t>
        </is>
      </c>
      <c r="R589" s="30" t="inlineStr">
        <is>
          <t xml:space="preserve">02108</t>
        </is>
      </c>
      <c r="S589" s="32" t="inlineStr">
        <is>
          <t xml:space="preserve">Tier 3 - Coastal wind (25-100 miles)</t>
        </is>
      </c>
      <c r="T589" s="36">
        <f>IF($A589="","",IF($S589="","",IFERROR(INDEX('[1]natural catastrophe'!$D$6:$D$17,MATCH($S589,'[1]natural catastrophe'!$B$6:$B$17,0)),"?")))</f>
      </c>
      <c r="U589" s="30" t="inlineStr">
        <is>
          <t xml:space="preserve">2% of agreed value, minimum $10,000</t>
        </is>
      </c>
      <c r="V589" s="32" t="inlineStr">
        <is>
          <t xml:space="preserve">Agreed Value</t>
        </is>
      </c>
      <c r="W589" s="30" t="inlineStr">
        <is>
          <t xml:space="preserve">$1,000</t>
        </is>
      </c>
      <c r="X589" s="32" t="inlineStr">
        <is>
          <t xml:space="preserve">$1,000,000 CSL</t>
        </is>
      </c>
      <c r="Y589" s="30"/>
      <c r="Z589" s="30"/>
      <c r="AA589" s="32" t="inlineStr">
        <is>
          <t xml:space="preserve">Surplus Lines</t>
        </is>
      </c>
      <c r="AB589" s="35">
        <v>3733.81</v>
      </c>
      <c r="AC589" s="37">
        <v>0</v>
      </c>
      <c r="AD589" s="38">
        <f>IF(ISNUMBER($AB589),$AB589*(1+N($AC589)),"")</f>
      </c>
      <c r="AE589" s="35">
        <v>350</v>
      </c>
      <c r="AF589" s="35">
        <v>0</v>
      </c>
      <c r="AG589" s="37"/>
      <c r="AH589" s="39">
        <f>IF(ISNUMBER($AD589),($AD589+$AE589+$AF589)*$AG589,"")</f>
      </c>
      <c r="AI589" s="35"/>
      <c r="AJ589" s="38">
        <f>IF(ISNUMBER($AD589),SUM($AD589:$AH589),"")</f>
      </c>
      <c r="AK589" s="40">
        <f>IF(AND(ISNUMBER($AB589),ISNUMBER($AD589)),IF($AB589&gt;0,$AD589/$AB589,""),"")</f>
      </c>
      <c r="AL589" s="32" t="inlineStr">
        <is>
          <t xml:space="preserve">At technical</t>
        </is>
      </c>
      <c r="AM589" s="41">
        <f>IF(ISNUMBER($AD589),Header!$I$3,"")</f>
      </c>
      <c r="AN589" s="39">
        <f>IF(ISNUMBER($AD589),$AO589+$AP589,"")</f>
      </c>
      <c r="AO589" s="39">
        <f>IF(ISNUMBER($AD589),ROUND($AD589*Header!$K$3,2),"")</f>
      </c>
      <c r="AP589" s="39">
        <f>IF(ISNUMBER($AD589),ROUND($AD589*Header!$M$3,2),"")</f>
      </c>
      <c r="AQ589" s="38">
        <f>IF(ISNUMBER($AD589),ROUND($AD589,2)-$AO589-$AP589,"")</f>
      </c>
      <c r="AR589" s="39">
        <f>IF(ISNUMBER($AD589),IF(Header!$D$34="","?",$AD589*Header!$D$34),"")</f>
      </c>
      <c r="AS589" s="39">
        <f>IF(ISNUMBER($AB589),IF(Header!$D$34="","?",$AB589*Header!$D$34),"")</f>
      </c>
      <c r="AT589" s="42">
        <f>IF(AND(ISNUMBER($AB589),$M589&gt;0),$AB589/$M589*100,"")</f>
      </c>
      <c r="AU589" s="42">
        <f>IF(AND(ISNUMBER($AD589),$M589&gt;0),$AD589/$M589*100,"")</f>
      </c>
      <c r="AV589" s="40">
        <f>IF(AND(ISNUMBER($AB589),ISNUMBER($AD589),ABS($AB589)&gt;0),$AD589/$AB589,"")</f>
      </c>
      <c r="AW589" s="39">
        <f>IF(ISNUMBER($AD589),MAX(0,(1-0.55-Header!$O$3)*Header!$Q$3*$AQ589),"")</f>
      </c>
      <c r="AX589" s="43">
        <f>IF($A589="","",IF(TRIM(IF($A589="","Missing certificate ref. ","") &amp; IF($C589="","Missing effective date. ","") &amp; IF($D589="","Missing binding status. ","") &amp; IF($E589="","Missing movement type. ","") &amp; IF($I589="","Missing make. ","") &amp; IF($L589="","Missing vehicle class. ","") &amp; IF($M589="","Missing agreed value. ","") &amp; IF($N589="","Missing policy type. ","") &amp; IF($Q589="","Missing garaging state. ","") &amp; IF($R589="","Missing garaging ZIP. ","") &amp; IF($S589="","Missing cat zone. ","") &amp; IF($V589="","Missing valuation basis. ","") &amp; IF($W589="","Missing PD deductible. ","") &amp; IF($X589="","Missing liability limit. ","") &amp; IF($AB589="","Missing technical premium. ","") &amp; IF($AF589="","Missing surplus lines tax %. ",""))="","PASS","FAIL: "&amp;TRIM(IF($A589="","Missing certificate ref. ","") &amp; IF($C589="","Missing effective date. ","") &amp; IF($D589="","Missing binding status. ","") &amp; IF($E589="","Missing movement type. ","") &amp; IF($I589="","Missing make. ","") &amp; IF($L589="","Missing vehicle class. ","") &amp; IF($M589="","Missing agreed value. ","") &amp; IF($N589="","Missing policy type. ","") &amp; IF($Q589="","Missing garaging state. ","") &amp; IF($R589="","Missing garaging ZIP. ","") &amp; IF($S589="","Missing cat zone. ","") &amp; IF($V589="","Missing valuation basis. ","") &amp; IF($W589="","Missing PD deductible. ","") &amp; IF($X589="","Missing liability limit. ","") &amp; IF($AB589="","Missing technical premium. ","") &amp; IF($AF589="","Missing surplus lines tax %. ",""))))</f>
      </c>
      <c r="AY589" s="44">
        <f>IF($M589="","",IF(ISNUMBER($M589),IF($M589&gt;=Header!$C$18,"YES — refer","No"),""))</f>
      </c>
      <c r="AZ589" s="44">
        <f>IF($AD589="","",IF(ISNUMBER($AD589),IF($AD589&lt;Header!$C$20,"BELOW MIN PREMIUM","OK"),""))</f>
      </c>
      <c r="BA589" s="32" t="inlineStr">
        <is>
          <t xml:space="preserve">Yes</t>
        </is>
      </c>
      <c r="BB589" s="32" t="inlineStr">
        <is>
          <t xml:space="preserve">Yes</t>
        </is>
      </c>
      <c r="BC589" s="30" t="inlineStr">
        <is>
          <t xml:space="preserve">Synthetic demo data</t>
        </is>
      </c>
      <c r="BE589" s="45">
        <f>IF(OR($A589="",$L589="",$H589=""),"",IF(AND(LEFT($L589,2)="06",$H589&gt;1945),"FAIL - pre-war class, year "&amp;$H589,IF(AND(LEFT($L589,2)="07",OR($H589&lt;1946,$H589&gt;1972)),"FAIL - 1946-72 class, year "&amp;$H589,IF(AND(LEFT($L589,2)="08",OR($H589&lt;1973,$H589&gt;1999)),"FAIL - 1973-99 class, year "&amp;$H589,IF(AND(LEFT($L589,2)="09",OR($H589&lt;2000,$H589&gt;2010)),"FAIL - 2000-10 class, year "&amp;$H589,"OK")))))</f>
      </c>
      <c r="BF589" s="45">
        <f>IF($AD589="","",IF(ROUND($AO589+$AP589+$AQ589-$AD589,2)=0,"OK","FAIL - out by "&amp;TEXT($AO589+$AP589+$AQ589-$AD589,"$0.00")))</f>
      </c>
    </row>
    <row r="590" spans="1:58" ht="18.75" customHeight="1" x14ac:dyDescent="0.25">
      <c r="A590" s="46" t="inlineStr">
        <is>
          <t xml:space="preserve">CANON-202606-009201</t>
        </is>
      </c>
      <c r="B590" s="46" t="inlineStr">
        <is>
          <t xml:space="preserve">Callum Harrington</t>
        </is>
      </c>
      <c r="C590" s="47">
        <v>46176</v>
      </c>
      <c r="D590" s="48" t="inlineStr">
        <is>
          <t xml:space="preserve">Bound - within authority</t>
        </is>
      </c>
      <c r="E590" s="48" t="inlineStr">
        <is>
          <t xml:space="preserve">New business</t>
        </is>
      </c>
      <c r="F590" s="46" t="inlineStr">
        <is>
          <t xml:space="preserve">B1234EXOTIC26</t>
        </is>
      </c>
      <c r="G590" s="33">
        <f>IF($A590="","",IF($C590="","",YEAR($C590)))</f>
      </c>
      <c r="H590" s="49">
        <v>1983</v>
      </c>
      <c r="I590" s="46" t="inlineStr">
        <is>
          <t xml:space="preserve">Bentley</t>
        </is>
      </c>
      <c r="J590" s="46" t="inlineStr">
        <is>
          <t xml:space="preserve">Continental GT</t>
        </is>
      </c>
      <c r="K590" s="46" t="inlineStr">
        <is>
          <t xml:space="preserve">16TJZJ30V6UX8UZ9T</t>
        </is>
      </c>
      <c r="L590" s="48" t="inlineStr">
        <is>
          <t xml:space="preserve">02 - Sports / GT</t>
        </is>
      </c>
      <c r="M590" s="50">
        <v>910000</v>
      </c>
      <c r="N590" s="48" t="inlineStr">
        <is>
          <t xml:space="preserve">Personal</t>
        </is>
      </c>
      <c r="O590" s="46" t="inlineStr">
        <is>
          <t xml:space="preserve">Personal - regular use</t>
        </is>
      </c>
      <c r="P590" s="46" t="inlineStr">
        <is>
          <t xml:space="preserve">Under 1,000</t>
        </is>
      </c>
      <c r="Q590" s="46" t="inlineStr">
        <is>
          <t xml:space="preserve">Pennsylvania</t>
        </is>
      </c>
      <c r="R590" s="46" t="inlineStr">
        <is>
          <t xml:space="preserve">19103</t>
        </is>
      </c>
      <c r="S590" s="48" t="inlineStr">
        <is>
          <t xml:space="preserve">Low hazard - inland benign</t>
        </is>
      </c>
      <c r="T590" s="36">
        <f>IF($A590="","",IF($S590="","",IFERROR(INDEX('[1]natural catastrophe'!$D$6:$D$17,MATCH($S590,'[1]natural catastrophe'!$B$6:$B$17,0)),"?")))</f>
      </c>
      <c r="U590" s="46" t="inlineStr">
        <is>
          <t xml:space="preserve">$5,000</t>
        </is>
      </c>
      <c r="V590" s="48" t="inlineStr">
        <is>
          <t xml:space="preserve">Agreed Value</t>
        </is>
      </c>
      <c r="W590" s="46" t="inlineStr">
        <is>
          <t xml:space="preserve">$1,000</t>
        </is>
      </c>
      <c r="X590" s="48" t="inlineStr">
        <is>
          <t xml:space="preserve">$1,000,000 CSL</t>
        </is>
      </c>
      <c r="Y590" s="46"/>
      <c r="Z590" s="46"/>
      <c r="AA590" s="48" t="inlineStr">
        <is>
          <t xml:space="preserve">Surplus Lines</t>
        </is>
      </c>
      <c r="AB590" s="50">
        <v>8535.46</v>
      </c>
      <c r="AC590" s="51">
        <v>0</v>
      </c>
      <c r="AD590" s="38">
        <f>IF(ISNUMBER($AB590),$AB590*(1+N($AC590)),"")</f>
      </c>
      <c r="AE590" s="50">
        <v>350</v>
      </c>
      <c r="AF590" s="50">
        <v>0</v>
      </c>
      <c r="AG590" s="51"/>
      <c r="AH590" s="39">
        <f>IF(ISNUMBER($AD590),($AD590+$AE590+$AF590)*$AG590,"")</f>
      </c>
      <c r="AI590" s="50"/>
      <c r="AJ590" s="38">
        <f>IF(ISNUMBER($AD590),SUM($AD590:$AH590),"")</f>
      </c>
      <c r="AK590" s="40">
        <f>IF(AND(ISNUMBER($AB590),ISNUMBER($AD590)),IF($AB590&gt;0,$AD590/$AB590,""),"")</f>
      </c>
      <c r="AL590" s="48" t="inlineStr">
        <is>
          <t xml:space="preserve">At technical</t>
        </is>
      </c>
      <c r="AM590" s="41">
        <f>IF(ISNUMBER($AD590),Header!$I$3,"")</f>
      </c>
      <c r="AN590" s="39">
        <f>IF(ISNUMBER($AD590),$AO590+$AP590,"")</f>
      </c>
      <c r="AO590" s="39">
        <f>IF(ISNUMBER($AD590),ROUND($AD590*Header!$K$3,2),"")</f>
      </c>
      <c r="AP590" s="39">
        <f>IF(ISNUMBER($AD590),ROUND($AD590*Header!$M$3,2),"")</f>
      </c>
      <c r="AQ590" s="38">
        <f>IF(ISNUMBER($AD590),ROUND($AD590,2)-$AO590-$AP590,"")</f>
      </c>
      <c r="AR590" s="39">
        <f>IF(ISNUMBER($AD590),IF(Header!$D$34="","?",$AD590*Header!$D$34),"")</f>
      </c>
      <c r="AS590" s="39">
        <f>IF(ISNUMBER($AB590),IF(Header!$D$34="","?",$AB590*Header!$D$34),"")</f>
      </c>
      <c r="AT590" s="42">
        <f>IF(AND(ISNUMBER($AB590),$M590&gt;0),$AB590/$M590*100,"")</f>
      </c>
      <c r="AU590" s="42">
        <f>IF(AND(ISNUMBER($AD590),$M590&gt;0),$AD590/$M590*100,"")</f>
      </c>
      <c r="AV590" s="40">
        <f>IF(AND(ISNUMBER($AB590),ISNUMBER($AD590),ABS($AB590)&gt;0),$AD590/$AB590,"")</f>
      </c>
      <c r="AW590" s="39">
        <f>IF(ISNUMBER($AD590),MAX(0,(1-0.55-Header!$O$3)*Header!$Q$3*$AQ590),"")</f>
      </c>
      <c r="AX590" s="43">
        <f>IF($A590="","",IF(TRIM(IF($A590="","Missing certificate ref. ","") &amp; IF($C590="","Missing effective date. ","") &amp; IF($D590="","Missing binding status. ","") &amp; IF($E590="","Missing movement type. ","") &amp; IF($I590="","Missing make. ","") &amp; IF($L590="","Missing vehicle class. ","") &amp; IF($M590="","Missing agreed value. ","") &amp; IF($N590="","Missing policy type. ","") &amp; IF($Q590="","Missing garaging state. ","") &amp; IF($R590="","Missing garaging ZIP. ","") &amp; IF($S590="","Missing cat zone. ","") &amp; IF($V590="","Missing valuation basis. ","") &amp; IF($W590="","Missing PD deductible. ","") &amp; IF($X590="","Missing liability limit. ","") &amp; IF($AB590="","Missing technical premium. ","") &amp; IF($AF590="","Missing surplus lines tax %. ",""))="","PASS","FAIL: "&amp;TRIM(IF($A590="","Missing certificate ref. ","") &amp; IF($C590="","Missing effective date. ","") &amp; IF($D590="","Missing binding status. ","") &amp; IF($E590="","Missing movement type. ","") &amp; IF($I590="","Missing make. ","") &amp; IF($L590="","Missing vehicle class. ","") &amp; IF($M590="","Missing agreed value. ","") &amp; IF($N590="","Missing policy type. ","") &amp; IF($Q590="","Missing garaging state. ","") &amp; IF($R590="","Missing garaging ZIP. ","") &amp; IF($S590="","Missing cat zone. ","") &amp; IF($V590="","Missing valuation basis. ","") &amp; IF($W590="","Missing PD deductible. ","") &amp; IF($X590="","Missing liability limit. ","") &amp; IF($AB590="","Missing technical premium. ","") &amp; IF($AF590="","Missing surplus lines tax %. ",""))))</f>
      </c>
      <c r="AY590" s="44">
        <f>IF($M590="","",IF(ISNUMBER($M590),IF($M590&gt;=Header!$C$18,"YES — refer","No"),""))</f>
      </c>
      <c r="AZ590" s="44">
        <f>IF($AD590="","",IF(ISNUMBER($AD590),IF($AD590&lt;Header!$C$20,"BELOW MIN PREMIUM","OK"),""))</f>
      </c>
      <c r="BA590" s="48" t="inlineStr">
        <is>
          <t xml:space="preserve">Yes</t>
        </is>
      </c>
      <c r="BB590" s="48" t="inlineStr">
        <is>
          <t xml:space="preserve">Yes</t>
        </is>
      </c>
      <c r="BC590" s="46" t="inlineStr">
        <is>
          <t xml:space="preserve">Synthetic demo data</t>
        </is>
      </c>
      <c r="BE590" s="45">
        <f>IF(OR($A590="",$L590="",$H590=""),"",IF(AND(LEFT($L590,2)="06",$H590&gt;1945),"FAIL - pre-war class, year "&amp;$H590,IF(AND(LEFT($L590,2)="07",OR($H590&lt;1946,$H590&gt;1972)),"FAIL - 1946-72 class, year "&amp;$H590,IF(AND(LEFT($L590,2)="08",OR($H590&lt;1973,$H590&gt;1999)),"FAIL - 1973-99 class, year "&amp;$H590,IF(AND(LEFT($L590,2)="09",OR($H590&lt;2000,$H590&gt;2010)),"FAIL - 2000-10 class, year "&amp;$H590,"OK")))))</f>
      </c>
      <c r="BF590" s="45">
        <f>IF($AD590="","",IF(ROUND($AO590+$AP590+$AQ590-$AD590,2)=0,"OK","FAIL - out by "&amp;TEXT($AO590+$AP590+$AQ590-$AD590,"$0.00")))</f>
      </c>
    </row>
    <row r="591" spans="1:58" ht="18.75" customHeight="1" x14ac:dyDescent="0.25">
      <c r="A591" s="30" t="inlineStr">
        <is>
          <t xml:space="preserve">CANON-202606-009202</t>
        </is>
      </c>
      <c r="B591" s="30" t="inlineStr">
        <is>
          <t xml:space="preserve">Ottilie Vandermeer</t>
        </is>
      </c>
      <c r="C591" s="31">
        <v>46198</v>
      </c>
      <c r="D591" s="32" t="inlineStr">
        <is>
          <t xml:space="preserve">Bound - within authority</t>
        </is>
      </c>
      <c r="E591" s="32" t="inlineStr">
        <is>
          <t xml:space="preserve">New business</t>
        </is>
      </c>
      <c r="F591" s="30" t="inlineStr">
        <is>
          <t xml:space="preserve">B1234EXOTIC26</t>
        </is>
      </c>
      <c r="G591" s="33">
        <f>IF($A591="","",IF($C591="","",YEAR($C591)))</f>
      </c>
      <c r="H591" s="34">
        <v>1986</v>
      </c>
      <c r="I591" s="30" t="inlineStr">
        <is>
          <t xml:space="preserve">BMW</t>
        </is>
      </c>
      <c r="J591" s="30" t="inlineStr">
        <is>
          <t xml:space="preserve">M8 Competition</t>
        </is>
      </c>
      <c r="K591" s="30" t="inlineStr">
        <is>
          <t xml:space="preserve">8X9TLM45YSPHA68GW</t>
        </is>
      </c>
      <c r="L591" s="32" t="inlineStr">
        <is>
          <t xml:space="preserve">02 - Sports / GT</t>
        </is>
      </c>
      <c r="M591" s="35">
        <v>980000</v>
      </c>
      <c r="N591" s="32" t="inlineStr">
        <is>
          <t xml:space="preserve">Personal</t>
        </is>
      </c>
      <c r="O591" s="30" t="inlineStr">
        <is>
          <t xml:space="preserve">Personal - regular use</t>
        </is>
      </c>
      <c r="P591" s="30" t="inlineStr">
        <is>
          <t xml:space="preserve">Under 1,000</t>
        </is>
      </c>
      <c r="Q591" s="30" t="inlineStr">
        <is>
          <t xml:space="preserve">New York</t>
        </is>
      </c>
      <c r="R591" s="30" t="inlineStr">
        <is>
          <t xml:space="preserve">10022</t>
        </is>
      </c>
      <c r="S591" s="32" t="inlineStr">
        <is>
          <t xml:space="preserve">Tier 3 - Coastal wind (25-100 miles)</t>
        </is>
      </c>
      <c r="T591" s="36">
        <f>IF($A591="","",IF($S591="","",IFERROR(INDEX('[1]natural catastrophe'!$D$6:$D$17,MATCH($S591,'[1]natural catastrophe'!$B$6:$B$17,0)),"?")))</f>
      </c>
      <c r="U591" s="30" t="inlineStr">
        <is>
          <t xml:space="preserve">2% of agreed value, minimum $10,000</t>
        </is>
      </c>
      <c r="V591" s="32" t="inlineStr">
        <is>
          <t xml:space="preserve">Agreed Value</t>
        </is>
      </c>
      <c r="W591" s="30" t="inlineStr">
        <is>
          <t xml:space="preserve">$1,000</t>
        </is>
      </c>
      <c r="X591" s="32" t="inlineStr">
        <is>
          <t xml:space="preserve">$1,000,000 CSL</t>
        </is>
      </c>
      <c r="Y591" s="30"/>
      <c r="Z591" s="30"/>
      <c r="AA591" s="32" t="inlineStr">
        <is>
          <t xml:space="preserve">Surplus Lines</t>
        </is>
      </c>
      <c r="AB591" s="35">
        <v>11765.8</v>
      </c>
      <c r="AC591" s="37">
        <v>0</v>
      </c>
      <c r="AD591" s="38">
        <f>IF(ISNUMBER($AB591),$AB591*(1+N($AC591)),"")</f>
      </c>
      <c r="AE591" s="35">
        <v>350</v>
      </c>
      <c r="AF591" s="35">
        <v>0</v>
      </c>
      <c r="AG591" s="37"/>
      <c r="AH591" s="39">
        <f>IF(ISNUMBER($AD591),($AD591+$AE591+$AF591)*$AG591,"")</f>
      </c>
      <c r="AI591" s="35"/>
      <c r="AJ591" s="38">
        <f>IF(ISNUMBER($AD591),SUM($AD591:$AH591),"")</f>
      </c>
      <c r="AK591" s="40">
        <f>IF(AND(ISNUMBER($AB591),ISNUMBER($AD591)),IF($AB591&gt;0,$AD591/$AB591,""),"")</f>
      </c>
      <c r="AL591" s="32" t="inlineStr">
        <is>
          <t xml:space="preserve">At technical</t>
        </is>
      </c>
      <c r="AM591" s="41">
        <f>IF(ISNUMBER($AD591),Header!$I$3,"")</f>
      </c>
      <c r="AN591" s="39">
        <f>IF(ISNUMBER($AD591),$AO591+$AP591,"")</f>
      </c>
      <c r="AO591" s="39">
        <f>IF(ISNUMBER($AD591),ROUND($AD591*Header!$K$3,2),"")</f>
      </c>
      <c r="AP591" s="39">
        <f>IF(ISNUMBER($AD591),ROUND($AD591*Header!$M$3,2),"")</f>
      </c>
      <c r="AQ591" s="38">
        <f>IF(ISNUMBER($AD591),ROUND($AD591,2)-$AO591-$AP591,"")</f>
      </c>
      <c r="AR591" s="39">
        <f>IF(ISNUMBER($AD591),IF(Header!$D$34="","?",$AD591*Header!$D$34),"")</f>
      </c>
      <c r="AS591" s="39">
        <f>IF(ISNUMBER($AB591),IF(Header!$D$34="","?",$AB591*Header!$D$34),"")</f>
      </c>
      <c r="AT591" s="42">
        <f>IF(AND(ISNUMBER($AB591),$M591&gt;0),$AB591/$M591*100,"")</f>
      </c>
      <c r="AU591" s="42">
        <f>IF(AND(ISNUMBER($AD591),$M591&gt;0),$AD591/$M591*100,"")</f>
      </c>
      <c r="AV591" s="40">
        <f>IF(AND(ISNUMBER($AB591),ISNUMBER($AD591),ABS($AB591)&gt;0),$AD591/$AB591,"")</f>
      </c>
      <c r="AW591" s="39">
        <f>IF(ISNUMBER($AD591),MAX(0,(1-0.55-Header!$O$3)*Header!$Q$3*$AQ591),"")</f>
      </c>
      <c r="AX591" s="43">
        <f>IF($A591="","",IF(TRIM(IF($A591="","Missing certificate ref. ","") &amp; IF($C591="","Missing effective date. ","") &amp; IF($D591="","Missing binding status. ","") &amp; IF($E591="","Missing movement type. ","") &amp; IF($I591="","Missing make. ","") &amp; IF($L591="","Missing vehicle class. ","") &amp; IF($M591="","Missing agreed value. ","") &amp; IF($N591="","Missing policy type. ","") &amp; IF($Q591="","Missing garaging state. ","") &amp; IF($R591="","Missing garaging ZIP. ","") &amp; IF($S591="","Missing cat zone. ","") &amp; IF($V591="","Missing valuation basis. ","") &amp; IF($W591="","Missing PD deductible. ","") &amp; IF($X591="","Missing liability limit. ","") &amp; IF($AB591="","Missing technical premium. ","") &amp; IF($AF591="","Missing surplus lines tax %. ",""))="","PASS","FAIL: "&amp;TRIM(IF($A591="","Missing certificate ref. ","") &amp; IF($C591="","Missing effective date. ","") &amp; IF($D591="","Missing binding status. ","") &amp; IF($E591="","Missing movement type. ","") &amp; IF($I591="","Missing make. ","") &amp; IF($L591="","Missing vehicle class. ","") &amp; IF($M591="","Missing agreed value. ","") &amp; IF($N591="","Missing policy type. ","") &amp; IF($Q591="","Missing garaging state. ","") &amp; IF($R591="","Missing garaging ZIP. ","") &amp; IF($S591="","Missing cat zone. ","") &amp; IF($V591="","Missing valuation basis. ","") &amp; IF($W591="","Missing PD deductible. ","") &amp; IF($X591="","Missing liability limit. ","") &amp; IF($AB591="","Missing technical premium. ","") &amp; IF($AF591="","Missing surplus lines tax %. ",""))))</f>
      </c>
      <c r="AY591" s="44">
        <f>IF($M591="","",IF(ISNUMBER($M591),IF($M591&gt;=Header!$C$18,"YES — refer","No"),""))</f>
      </c>
      <c r="AZ591" s="44">
        <f>IF($AD591="","",IF(ISNUMBER($AD591),IF($AD591&lt;Header!$C$20,"BELOW MIN PREMIUM","OK"),""))</f>
      </c>
      <c r="BA591" s="32" t="inlineStr">
        <is>
          <t xml:space="preserve">Yes</t>
        </is>
      </c>
      <c r="BB591" s="32" t="inlineStr">
        <is>
          <t xml:space="preserve">Yes</t>
        </is>
      </c>
      <c r="BC591" s="30" t="inlineStr">
        <is>
          <t xml:space="preserve">Synthetic demo data</t>
        </is>
      </c>
      <c r="BE591" s="45">
        <f>IF(OR($A591="",$L591="",$H591=""),"",IF(AND(LEFT($L591,2)="06",$H591&gt;1945),"FAIL - pre-war class, year "&amp;$H591,IF(AND(LEFT($L591,2)="07",OR($H591&lt;1946,$H591&gt;1972)),"FAIL - 1946-72 class, year "&amp;$H591,IF(AND(LEFT($L591,2)="08",OR($H591&lt;1973,$H591&gt;1999)),"FAIL - 1973-99 class, year "&amp;$H591,IF(AND(LEFT($L591,2)="09",OR($H591&lt;2000,$H591&gt;2010)),"FAIL - 2000-10 class, year "&amp;$H591,"OK")))))</f>
      </c>
      <c r="BF591" s="45">
        <f>IF($AD591="","",IF(ROUND($AO591+$AP591+$AQ591-$AD591,2)=0,"OK","FAIL - out by "&amp;TEXT($AO591+$AP591+$AQ591-$AD591,"$0.00")))</f>
      </c>
    </row>
    <row r="592" spans="1:58" ht="18.75" customHeight="1" x14ac:dyDescent="0.25">
      <c r="A592" s="46" t="inlineStr">
        <is>
          <t xml:space="preserve">CANON-202606-009203</t>
        </is>
      </c>
      <c r="B592" s="46" t="inlineStr">
        <is>
          <t xml:space="preserve">Priya Chattopadhyay</t>
        </is>
      </c>
      <c r="C592" s="47">
        <v>46201</v>
      </c>
      <c r="D592" s="48" t="inlineStr">
        <is>
          <t xml:space="preserve">Bound - within authority</t>
        </is>
      </c>
      <c r="E592" s="48" t="inlineStr">
        <is>
          <t xml:space="preserve">New business</t>
        </is>
      </c>
      <c r="F592" s="46" t="inlineStr">
        <is>
          <t xml:space="preserve">B1234EXOTIC26</t>
        </is>
      </c>
      <c r="G592" s="33">
        <f>IF($A592="","",IF($C592="","",YEAR($C592)))</f>
      </c>
      <c r="H592" s="49">
        <v>1961</v>
      </c>
      <c r="I592" s="46" t="inlineStr">
        <is>
          <t xml:space="preserve">Porsche</t>
        </is>
      </c>
      <c r="J592" s="46" t="inlineStr">
        <is>
          <t xml:space="preserve">911 Turbo S</t>
        </is>
      </c>
      <c r="K592" s="46" t="inlineStr">
        <is>
          <t xml:space="preserve">Z29H83GN7BDX5GG8B</t>
        </is>
      </c>
      <c r="L592" s="48" t="inlineStr">
        <is>
          <t xml:space="preserve">02 - Sports / GT</t>
        </is>
      </c>
      <c r="M592" s="50">
        <v>665000</v>
      </c>
      <c r="N592" s="48" t="inlineStr">
        <is>
          <t xml:space="preserve">Personal</t>
        </is>
      </c>
      <c r="O592" s="46" t="inlineStr">
        <is>
          <t xml:space="preserve">Personal - regular use</t>
        </is>
      </c>
      <c r="P592" s="46" t="inlineStr">
        <is>
          <t xml:space="preserve">Under 1,000</t>
        </is>
      </c>
      <c r="Q592" s="46" t="inlineStr">
        <is>
          <t xml:space="preserve">Ohio</t>
        </is>
      </c>
      <c r="R592" s="46" t="inlineStr">
        <is>
          <t xml:space="preserve">43215</t>
        </is>
      </c>
      <c r="S592" s="48" t="inlineStr">
        <is>
          <t xml:space="preserve">Severe convective - hail / tornado (moderate)</t>
        </is>
      </c>
      <c r="T592" s="36">
        <f>IF($A592="","",IF($S592="","",IFERROR(INDEX('[1]natural catastrophe'!$D$6:$D$17,MATCH($S592,'[1]natural catastrophe'!$B$6:$B$17,0)),"?")))</f>
      </c>
      <c r="U592" s="46" t="inlineStr">
        <is>
          <t xml:space="preserve">$5,000</t>
        </is>
      </c>
      <c r="V592" s="48" t="inlineStr">
        <is>
          <t xml:space="preserve">Agreed Value</t>
        </is>
      </c>
      <c r="W592" s="46" t="inlineStr">
        <is>
          <t xml:space="preserve">$1,000</t>
        </is>
      </c>
      <c r="X592" s="48" t="inlineStr">
        <is>
          <t xml:space="preserve">$1,000,000 CSL</t>
        </is>
      </c>
      <c r="Y592" s="46"/>
      <c r="Z592" s="46"/>
      <c r="AA592" s="48" t="inlineStr">
        <is>
          <t xml:space="preserve">Surplus Lines</t>
        </is>
      </c>
      <c r="AB592" s="50">
        <v>8670.06</v>
      </c>
      <c r="AC592" s="51">
        <v>0</v>
      </c>
      <c r="AD592" s="38">
        <f>IF(ISNUMBER($AB592),$AB592*(1+N($AC592)),"")</f>
      </c>
      <c r="AE592" s="50">
        <v>350</v>
      </c>
      <c r="AF592" s="50">
        <v>0</v>
      </c>
      <c r="AG592" s="51"/>
      <c r="AH592" s="39">
        <f>IF(ISNUMBER($AD592),($AD592+$AE592+$AF592)*$AG592,"")</f>
      </c>
      <c r="AI592" s="50"/>
      <c r="AJ592" s="38">
        <f>IF(ISNUMBER($AD592),SUM($AD592:$AH592),"")</f>
      </c>
      <c r="AK592" s="40">
        <f>IF(AND(ISNUMBER($AB592),ISNUMBER($AD592)),IF($AB592&gt;0,$AD592/$AB592,""),"")</f>
      </c>
      <c r="AL592" s="48" t="inlineStr">
        <is>
          <t xml:space="preserve">At technical</t>
        </is>
      </c>
      <c r="AM592" s="41">
        <f>IF(ISNUMBER($AD592),Header!$I$3,"")</f>
      </c>
      <c r="AN592" s="39">
        <f>IF(ISNUMBER($AD592),$AO592+$AP592,"")</f>
      </c>
      <c r="AO592" s="39">
        <f>IF(ISNUMBER($AD592),ROUND($AD592*Header!$K$3,2),"")</f>
      </c>
      <c r="AP592" s="39">
        <f>IF(ISNUMBER($AD592),ROUND($AD592*Header!$M$3,2),"")</f>
      </c>
      <c r="AQ592" s="38">
        <f>IF(ISNUMBER($AD592),ROUND($AD592,2)-$AO592-$AP592,"")</f>
      </c>
      <c r="AR592" s="39">
        <f>IF(ISNUMBER($AD592),IF(Header!$D$34="","?",$AD592*Header!$D$34),"")</f>
      </c>
      <c r="AS592" s="39">
        <f>IF(ISNUMBER($AB592),IF(Header!$D$34="","?",$AB592*Header!$D$34),"")</f>
      </c>
      <c r="AT592" s="42">
        <f>IF(AND(ISNUMBER($AB592),$M592&gt;0),$AB592/$M592*100,"")</f>
      </c>
      <c r="AU592" s="42">
        <f>IF(AND(ISNUMBER($AD592),$M592&gt;0),$AD592/$M592*100,"")</f>
      </c>
      <c r="AV592" s="40">
        <f>IF(AND(ISNUMBER($AB592),ISNUMBER($AD592),ABS($AB592)&gt;0),$AD592/$AB592,"")</f>
      </c>
      <c r="AW592" s="39">
        <f>IF(ISNUMBER($AD592),MAX(0,(1-0.55-Header!$O$3)*Header!$Q$3*$AQ592),"")</f>
      </c>
      <c r="AX592" s="43">
        <f>IF($A592="","",IF(TRIM(IF($A592="","Missing certificate ref. ","") &amp; IF($C592="","Missing effective date. ","") &amp; IF($D592="","Missing binding status. ","") &amp; IF($E592="","Missing movement type. ","") &amp; IF($I592="","Missing make. ","") &amp; IF($L592="","Missing vehicle class. ","") &amp; IF($M592="","Missing agreed value. ","") &amp; IF($N592="","Missing policy type. ","") &amp; IF($Q592="","Missing garaging state. ","") &amp; IF($R592="","Missing garaging ZIP. ","") &amp; IF($S592="","Missing cat zone. ","") &amp; IF($V592="","Missing valuation basis. ","") &amp; IF($W592="","Missing PD deductible. ","") &amp; IF($X592="","Missing liability limit. ","") &amp; IF($AB592="","Missing technical premium. ","") &amp; IF($AF592="","Missing surplus lines tax %. ",""))="","PASS","FAIL: "&amp;TRIM(IF($A592="","Missing certificate ref. ","") &amp; IF($C592="","Missing effective date. ","") &amp; IF($D592="","Missing binding status. ","") &amp; IF($E592="","Missing movement type. ","") &amp; IF($I592="","Missing make. ","") &amp; IF($L592="","Missing vehicle class. ","") &amp; IF($M592="","Missing agreed value. ","") &amp; IF($N592="","Missing policy type. ","") &amp; IF($Q592="","Missing garaging state. ","") &amp; IF($R592="","Missing garaging ZIP. ","") &amp; IF($S592="","Missing cat zone. ","") &amp; IF($V592="","Missing valuation basis. ","") &amp; IF($W592="","Missing PD deductible. ","") &amp; IF($X592="","Missing liability limit. ","") &amp; IF($AB592="","Missing technical premium. ","") &amp; IF($AF592="","Missing surplus lines tax %. ",""))))</f>
      </c>
      <c r="AY592" s="44">
        <f>IF($M592="","",IF(ISNUMBER($M592),IF($M592&gt;=Header!$C$18,"YES — refer","No"),""))</f>
      </c>
      <c r="AZ592" s="44">
        <f>IF($AD592="","",IF(ISNUMBER($AD592),IF($AD592&lt;Header!$C$20,"BELOW MIN PREMIUM","OK"),""))</f>
      </c>
      <c r="BA592" s="48" t="inlineStr">
        <is>
          <t xml:space="preserve">Yes</t>
        </is>
      </c>
      <c r="BB592" s="48" t="inlineStr">
        <is>
          <t xml:space="preserve">Yes</t>
        </is>
      </c>
      <c r="BC592" s="46" t="inlineStr">
        <is>
          <t xml:space="preserve">Synthetic demo data</t>
        </is>
      </c>
      <c r="BE592" s="45">
        <f>IF(OR($A592="",$L592="",$H592=""),"",IF(AND(LEFT($L592,2)="06",$H592&gt;1945),"FAIL - pre-war class, year "&amp;$H592,IF(AND(LEFT($L592,2)="07",OR($H592&lt;1946,$H592&gt;1972)),"FAIL - 1946-72 class, year "&amp;$H592,IF(AND(LEFT($L592,2)="08",OR($H592&lt;1973,$H592&gt;1999)),"FAIL - 1973-99 class, year "&amp;$H592,IF(AND(LEFT($L592,2)="09",OR($H592&lt;2000,$H592&gt;2010)),"FAIL - 2000-10 class, year "&amp;$H592,"OK")))))</f>
      </c>
      <c r="BF592" s="45">
        <f>IF($AD592="","",IF(ROUND($AO592+$AP592+$AQ592-$AD592,2)=0,"OK","FAIL - out by "&amp;TEXT($AO592+$AP592+$AQ592-$AD592,"$0.00")))</f>
      </c>
    </row>
    <row r="593" spans="1:58" ht="18.75" customHeight="1" x14ac:dyDescent="0.25">
      <c r="A593" s="30" t="inlineStr">
        <is>
          <t xml:space="preserve">CANON-202606-009204</t>
        </is>
      </c>
      <c r="B593" s="30" t="inlineStr">
        <is>
          <t xml:space="preserve">Mireille Larsson</t>
        </is>
      </c>
      <c r="C593" s="31">
        <v>46201</v>
      </c>
      <c r="D593" s="32" t="inlineStr">
        <is>
          <t xml:space="preserve">Bound - within authority</t>
        </is>
      </c>
      <c r="E593" s="32" t="inlineStr">
        <is>
          <t xml:space="preserve">New business</t>
        </is>
      </c>
      <c r="F593" s="30" t="inlineStr">
        <is>
          <t xml:space="preserve">B1234EXOTIC26</t>
        </is>
      </c>
      <c r="G593" s="33">
        <f>IF($A593="","",IF($C593="","",YEAR($C593)))</f>
      </c>
      <c r="H593" s="34">
        <v>1972</v>
      </c>
      <c r="I593" s="30" t="inlineStr">
        <is>
          <t xml:space="preserve">Aston Martin</t>
        </is>
      </c>
      <c r="J593" s="30" t="inlineStr">
        <is>
          <t xml:space="preserve">DB12</t>
        </is>
      </c>
      <c r="K593" s="30" t="inlineStr">
        <is>
          <t xml:space="preserve">0RRZT2F9SPUK8YWBZ</t>
        </is>
      </c>
      <c r="L593" s="32" t="inlineStr">
        <is>
          <t xml:space="preserve">02 - Sports / GT</t>
        </is>
      </c>
      <c r="M593" s="35">
        <v>485000</v>
      </c>
      <c r="N593" s="32" t="inlineStr">
        <is>
          <t xml:space="preserve">Personal</t>
        </is>
      </c>
      <c r="O593" s="30" t="inlineStr">
        <is>
          <t xml:space="preserve">Personal - regular use</t>
        </is>
      </c>
      <c r="P593" s="30" t="inlineStr">
        <is>
          <t xml:space="preserve">Under 1,000</t>
        </is>
      </c>
      <c r="Q593" s="30" t="inlineStr">
        <is>
          <t xml:space="preserve">Hawaii</t>
        </is>
      </c>
      <c r="R593" s="30" t="inlineStr">
        <is>
          <t xml:space="preserve">96813</t>
        </is>
      </c>
      <c r="S593" s="32" t="inlineStr">
        <is>
          <t xml:space="preserve">Earthquake - high (CA, Cascadia, New Madrid)</t>
        </is>
      </c>
      <c r="T593" s="36">
        <f>IF($A593="","",IF($S593="","",IFERROR(INDEX('[1]natural catastrophe'!$D$6:$D$17,MATCH($S593,'[1]natural catastrophe'!$B$6:$B$17,0)),"?")))</f>
      </c>
      <c r="U593" s="30" t="inlineStr">
        <is>
          <t xml:space="preserve">$5,000</t>
        </is>
      </c>
      <c r="V593" s="32" t="inlineStr">
        <is>
          <t xml:space="preserve">Agreed Value</t>
        </is>
      </c>
      <c r="W593" s="30" t="inlineStr">
        <is>
          <t xml:space="preserve">$1,000</t>
        </is>
      </c>
      <c r="X593" s="32" t="inlineStr">
        <is>
          <t xml:space="preserve">$1,000,000 CSL</t>
        </is>
      </c>
      <c r="Y593" s="30"/>
      <c r="Z593" s="30"/>
      <c r="AA593" s="32" t="inlineStr">
        <is>
          <t xml:space="preserve">Surplus Lines</t>
        </is>
      </c>
      <c r="AB593" s="35">
        <v>6823.68</v>
      </c>
      <c r="AC593" s="37">
        <v>0</v>
      </c>
      <c r="AD593" s="38">
        <f>IF(ISNUMBER($AB593),$AB593*(1+N($AC593)),"")</f>
      </c>
      <c r="AE593" s="35">
        <v>350</v>
      </c>
      <c r="AF593" s="35">
        <v>0</v>
      </c>
      <c r="AG593" s="37"/>
      <c r="AH593" s="39">
        <f>IF(ISNUMBER($AD593),($AD593+$AE593+$AF593)*$AG593,"")</f>
      </c>
      <c r="AI593" s="35"/>
      <c r="AJ593" s="38">
        <f>IF(ISNUMBER($AD593),SUM($AD593:$AH593),"")</f>
      </c>
      <c r="AK593" s="40">
        <f>IF(AND(ISNUMBER($AB593),ISNUMBER($AD593)),IF($AB593&gt;0,$AD593/$AB593,""),"")</f>
      </c>
      <c r="AL593" s="32" t="inlineStr">
        <is>
          <t xml:space="preserve">At technical</t>
        </is>
      </c>
      <c r="AM593" s="41">
        <f>IF(ISNUMBER($AD593),Header!$I$3,"")</f>
      </c>
      <c r="AN593" s="39">
        <f>IF(ISNUMBER($AD593),$AO593+$AP593,"")</f>
      </c>
      <c r="AO593" s="39">
        <f>IF(ISNUMBER($AD593),ROUND($AD593*Header!$K$3,2),"")</f>
      </c>
      <c r="AP593" s="39">
        <f>IF(ISNUMBER($AD593),ROUND($AD593*Header!$M$3,2),"")</f>
      </c>
      <c r="AQ593" s="38">
        <f>IF(ISNUMBER($AD593),ROUND($AD593,2)-$AO593-$AP593,"")</f>
      </c>
      <c r="AR593" s="39">
        <f>IF(ISNUMBER($AD593),IF(Header!$D$34="","?",$AD593*Header!$D$34),"")</f>
      </c>
      <c r="AS593" s="39">
        <f>IF(ISNUMBER($AB593),IF(Header!$D$34="","?",$AB593*Header!$D$34),"")</f>
      </c>
      <c r="AT593" s="42">
        <f>IF(AND(ISNUMBER($AB593),$M593&gt;0),$AB593/$M593*100,"")</f>
      </c>
      <c r="AU593" s="42">
        <f>IF(AND(ISNUMBER($AD593),$M593&gt;0),$AD593/$M593*100,"")</f>
      </c>
      <c r="AV593" s="40">
        <f>IF(AND(ISNUMBER($AB593),ISNUMBER($AD593),ABS($AB593)&gt;0),$AD593/$AB593,"")</f>
      </c>
      <c r="AW593" s="39">
        <f>IF(ISNUMBER($AD593),MAX(0,(1-0.55-Header!$O$3)*Header!$Q$3*$AQ593),"")</f>
      </c>
      <c r="AX593" s="43">
        <f>IF($A593="","",IF(TRIM(IF($A593="","Missing certificate ref. ","") &amp; IF($C593="","Missing effective date. ","") &amp; IF($D593="","Missing binding status. ","") &amp; IF($E593="","Missing movement type. ","") &amp; IF($I593="","Missing make. ","") &amp; IF($L593="","Missing vehicle class. ","") &amp; IF($M593="","Missing agreed value. ","") &amp; IF($N593="","Missing policy type. ","") &amp; IF($Q593="","Missing garaging state. ","") &amp; IF($R593="","Missing garaging ZIP. ","") &amp; IF($S593="","Missing cat zone. ","") &amp; IF($V593="","Missing valuation basis. ","") &amp; IF($W593="","Missing PD deductible. ","") &amp; IF($X593="","Missing liability limit. ","") &amp; IF($AB593="","Missing technical premium. ","") &amp; IF($AF593="","Missing surplus lines tax %. ",""))="","PASS","FAIL: "&amp;TRIM(IF($A593="","Missing certificate ref. ","") &amp; IF($C593="","Missing effective date. ","") &amp; IF($D593="","Missing binding status. ","") &amp; IF($E593="","Missing movement type. ","") &amp; IF($I593="","Missing make. ","") &amp; IF($L593="","Missing vehicle class. ","") &amp; IF($M593="","Missing agreed value. ","") &amp; IF($N593="","Missing policy type. ","") &amp; IF($Q593="","Missing garaging state. ","") &amp; IF($R593="","Missing garaging ZIP. ","") &amp; IF($S593="","Missing cat zone. ","") &amp; IF($V593="","Missing valuation basis. ","") &amp; IF($W593="","Missing PD deductible. ","") &amp; IF($X593="","Missing liability limit. ","") &amp; IF($AB593="","Missing technical premium. ","") &amp; IF($AF593="","Missing surplus lines tax %. ",""))))</f>
      </c>
      <c r="AY593" s="44">
        <f>IF($M593="","",IF(ISNUMBER($M593),IF($M593&gt;=Header!$C$18,"YES — refer","No"),""))</f>
      </c>
      <c r="AZ593" s="44">
        <f>IF($AD593="","",IF(ISNUMBER($AD593),IF($AD593&lt;Header!$C$20,"BELOW MIN PREMIUM","OK"),""))</f>
      </c>
      <c r="BA593" s="32" t="inlineStr">
        <is>
          <t xml:space="preserve">Yes</t>
        </is>
      </c>
      <c r="BB593" s="32" t="inlineStr">
        <is>
          <t xml:space="preserve">Yes</t>
        </is>
      </c>
      <c r="BC593" s="30" t="inlineStr">
        <is>
          <t xml:space="preserve">Synthetic demo data</t>
        </is>
      </c>
      <c r="BE593" s="45">
        <f>IF(OR($A593="",$L593="",$H593=""),"",IF(AND(LEFT($L593,2)="06",$H593&gt;1945),"FAIL - pre-war class, year "&amp;$H593,IF(AND(LEFT($L593,2)="07",OR($H593&lt;1946,$H593&gt;1972)),"FAIL - 1946-72 class, year "&amp;$H593,IF(AND(LEFT($L593,2)="08",OR($H593&lt;1973,$H593&gt;1999)),"FAIL - 1973-99 class, year "&amp;$H593,IF(AND(LEFT($L593,2)="09",OR($H593&lt;2000,$H593&gt;2010)),"FAIL - 2000-10 class, year "&amp;$H593,"OK")))))</f>
      </c>
      <c r="BF593" s="45">
        <f>IF($AD593="","",IF(ROUND($AO593+$AP593+$AQ593-$AD593,2)=0,"OK","FAIL - out by "&amp;TEXT($AO593+$AP593+$AQ593-$AD593,"$0.00")))</f>
      </c>
    </row>
    <row r="594" spans="1:58" ht="18.75" customHeight="1" x14ac:dyDescent="0.25">
      <c r="A594" s="46" t="inlineStr">
        <is>
          <t xml:space="preserve">CANON-202606-009205</t>
        </is>
      </c>
      <c r="B594" s="46" t="inlineStr">
        <is>
          <t xml:space="preserve">Delphine Bellandi</t>
        </is>
      </c>
      <c r="C594" s="47">
        <v>46184</v>
      </c>
      <c r="D594" s="48" t="inlineStr">
        <is>
          <t xml:space="preserve">Bound - within authority</t>
        </is>
      </c>
      <c r="E594" s="48" t="inlineStr">
        <is>
          <t xml:space="preserve">New business</t>
        </is>
      </c>
      <c r="F594" s="46" t="inlineStr">
        <is>
          <t xml:space="preserve">B1234EXOTIC26</t>
        </is>
      </c>
      <c r="G594" s="33">
        <f>IF($A594="","",IF($C594="","",YEAR($C594)))</f>
      </c>
      <c r="H594" s="49">
        <v>1995</v>
      </c>
      <c r="I594" s="46" t="inlineStr">
        <is>
          <t xml:space="preserve">Mercedes-Benz</t>
        </is>
      </c>
      <c r="J594" s="46" t="inlineStr">
        <is>
          <t xml:space="preserve">AMG GT</t>
        </is>
      </c>
      <c r="K594" s="46" t="inlineStr">
        <is>
          <t xml:space="preserve">F5JM9GPDTEX7AZ2FY</t>
        </is>
      </c>
      <c r="L594" s="48" t="inlineStr">
        <is>
          <t xml:space="preserve">02 - Sports / GT</t>
        </is>
      </c>
      <c r="M594" s="50">
        <v>315000</v>
      </c>
      <c r="N594" s="48" t="inlineStr">
        <is>
          <t xml:space="preserve">Personal</t>
        </is>
      </c>
      <c r="O594" s="46" t="inlineStr">
        <is>
          <t xml:space="preserve">Personal - regular use</t>
        </is>
      </c>
      <c r="P594" s="46" t="inlineStr">
        <is>
          <t xml:space="preserve">2,500 - 5,000</t>
        </is>
      </c>
      <c r="Q594" s="46" t="inlineStr">
        <is>
          <t xml:space="preserve">South Dakota</t>
        </is>
      </c>
      <c r="R594" s="46" t="inlineStr">
        <is>
          <t xml:space="preserve">57501</t>
        </is>
      </c>
      <c r="S594" s="48" t="inlineStr">
        <is>
          <t xml:space="preserve">Severe convective - hail alley (high)</t>
        </is>
      </c>
      <c r="T594" s="36">
        <f>IF($A594="","",IF($S594="","",IFERROR(INDEX('[1]natural catastrophe'!$D$6:$D$17,MATCH($S594,'[1]natural catastrophe'!$B$6:$B$17,0)),"?")))</f>
      </c>
      <c r="U594" s="46" t="inlineStr">
        <is>
          <t xml:space="preserve">$5,000</t>
        </is>
      </c>
      <c r="V594" s="48" t="inlineStr">
        <is>
          <t xml:space="preserve">Agreed Value</t>
        </is>
      </c>
      <c r="W594" s="46" t="inlineStr">
        <is>
          <t xml:space="preserve">$1,000</t>
        </is>
      </c>
      <c r="X594" s="48" t="inlineStr">
        <is>
          <t xml:space="preserve">$1,000,000 CSL</t>
        </is>
      </c>
      <c r="Y594" s="46"/>
      <c r="Z594" s="46"/>
      <c r="AA594" s="48" t="inlineStr">
        <is>
          <t xml:space="preserve">Surplus Lines</t>
        </is>
      </c>
      <c r="AB594" s="50">
        <v>3784.14</v>
      </c>
      <c r="AC594" s="51">
        <v>0</v>
      </c>
      <c r="AD594" s="38">
        <f>IF(ISNUMBER($AB594),$AB594*(1+N($AC594)),"")</f>
      </c>
      <c r="AE594" s="50">
        <v>350</v>
      </c>
      <c r="AF594" s="50">
        <v>0</v>
      </c>
      <c r="AG594" s="51"/>
      <c r="AH594" s="39">
        <f>IF(ISNUMBER($AD594),($AD594+$AE594+$AF594)*$AG594,"")</f>
      </c>
      <c r="AI594" s="50"/>
      <c r="AJ594" s="38">
        <f>IF(ISNUMBER($AD594),SUM($AD594:$AH594),"")</f>
      </c>
      <c r="AK594" s="40">
        <f>IF(AND(ISNUMBER($AB594),ISNUMBER($AD594)),IF($AB594&gt;0,$AD594/$AB594,""),"")</f>
      </c>
      <c r="AL594" s="48" t="inlineStr">
        <is>
          <t xml:space="preserve">At technical</t>
        </is>
      </c>
      <c r="AM594" s="41">
        <f>IF(ISNUMBER($AD594),Header!$I$3,"")</f>
      </c>
      <c r="AN594" s="39">
        <f>IF(ISNUMBER($AD594),$AO594+$AP594,"")</f>
      </c>
      <c r="AO594" s="39">
        <f>IF(ISNUMBER($AD594),ROUND($AD594*Header!$K$3,2),"")</f>
      </c>
      <c r="AP594" s="39">
        <f>IF(ISNUMBER($AD594),ROUND($AD594*Header!$M$3,2),"")</f>
      </c>
      <c r="AQ594" s="38">
        <f>IF(ISNUMBER($AD594),ROUND($AD594,2)-$AO594-$AP594,"")</f>
      </c>
      <c r="AR594" s="39">
        <f>IF(ISNUMBER($AD594),IF(Header!$D$34="","?",$AD594*Header!$D$34),"")</f>
      </c>
      <c r="AS594" s="39">
        <f>IF(ISNUMBER($AB594),IF(Header!$D$34="","?",$AB594*Header!$D$34),"")</f>
      </c>
      <c r="AT594" s="42">
        <f>IF(AND(ISNUMBER($AB594),$M594&gt;0),$AB594/$M594*100,"")</f>
      </c>
      <c r="AU594" s="42">
        <f>IF(AND(ISNUMBER($AD594),$M594&gt;0),$AD594/$M594*100,"")</f>
      </c>
      <c r="AV594" s="40">
        <f>IF(AND(ISNUMBER($AB594),ISNUMBER($AD594),ABS($AB594)&gt;0),$AD594/$AB594,"")</f>
      </c>
      <c r="AW594" s="39">
        <f>IF(ISNUMBER($AD594),MAX(0,(1-0.55-Header!$O$3)*Header!$Q$3*$AQ594),"")</f>
      </c>
      <c r="AX594" s="43">
        <f>IF($A594="","",IF(TRIM(IF($A594="","Missing certificate ref. ","") &amp; IF($C594="","Missing effective date. ","") &amp; IF($D594="","Missing binding status. ","") &amp; IF($E594="","Missing movement type. ","") &amp; IF($I594="","Missing make. ","") &amp; IF($L594="","Missing vehicle class. ","") &amp; IF($M594="","Missing agreed value. ","") &amp; IF($N594="","Missing policy type. ","") &amp; IF($Q594="","Missing garaging state. ","") &amp; IF($R594="","Missing garaging ZIP. ","") &amp; IF($S594="","Missing cat zone. ","") &amp; IF($V594="","Missing valuation basis. ","") &amp; IF($W594="","Missing PD deductible. ","") &amp; IF($X594="","Missing liability limit. ","") &amp; IF($AB594="","Missing technical premium. ","") &amp; IF($AF594="","Missing surplus lines tax %. ",""))="","PASS","FAIL: "&amp;TRIM(IF($A594="","Missing certificate ref. ","") &amp; IF($C594="","Missing effective date. ","") &amp; IF($D594="","Missing binding status. ","") &amp; IF($E594="","Missing movement type. ","") &amp; IF($I594="","Missing make. ","") &amp; IF($L594="","Missing vehicle class. ","") &amp; IF($M594="","Missing agreed value. ","") &amp; IF($N594="","Missing policy type. ","") &amp; IF($Q594="","Missing garaging state. ","") &amp; IF($R594="","Missing garaging ZIP. ","") &amp; IF($S594="","Missing cat zone. ","") &amp; IF($V594="","Missing valuation basis. ","") &amp; IF($W594="","Missing PD deductible. ","") &amp; IF($X594="","Missing liability limit. ","") &amp; IF($AB594="","Missing technical premium. ","") &amp; IF($AF594="","Missing surplus lines tax %. ",""))))</f>
      </c>
      <c r="AY594" s="44">
        <f>IF($M594="","",IF(ISNUMBER($M594),IF($M594&gt;=Header!$C$18,"YES — refer","No"),""))</f>
      </c>
      <c r="AZ594" s="44">
        <f>IF($AD594="","",IF(ISNUMBER($AD594),IF($AD594&lt;Header!$C$20,"BELOW MIN PREMIUM","OK"),""))</f>
      </c>
      <c r="BA594" s="48" t="inlineStr">
        <is>
          <t xml:space="preserve">Yes</t>
        </is>
      </c>
      <c r="BB594" s="48" t="inlineStr">
        <is>
          <t xml:space="preserve">Yes</t>
        </is>
      </c>
      <c r="BC594" s="46" t="inlineStr">
        <is>
          <t xml:space="preserve">Synthetic demo data</t>
        </is>
      </c>
      <c r="BE594" s="45">
        <f>IF(OR($A594="",$L594="",$H594=""),"",IF(AND(LEFT($L594,2)="06",$H594&gt;1945),"FAIL - pre-war class, year "&amp;$H594,IF(AND(LEFT($L594,2)="07",OR($H594&lt;1946,$H594&gt;1972)),"FAIL - 1946-72 class, year "&amp;$H594,IF(AND(LEFT($L594,2)="08",OR($H594&lt;1973,$H594&gt;1999)),"FAIL - 1973-99 class, year "&amp;$H594,IF(AND(LEFT($L594,2)="09",OR($H594&lt;2000,$H594&gt;2010)),"FAIL - 2000-10 class, year "&amp;$H594,"OK")))))</f>
      </c>
      <c r="BF594" s="45">
        <f>IF($AD594="","",IF(ROUND($AO594+$AP594+$AQ594-$AD594,2)=0,"OK","FAIL - out by "&amp;TEXT($AO594+$AP594+$AQ594-$AD594,"$0.00")))</f>
      </c>
    </row>
    <row r="595" spans="1:58" ht="18.75" customHeight="1" x14ac:dyDescent="0.25">
      <c r="A595" s="30" t="inlineStr">
        <is>
          <t xml:space="preserve">CANON-202606-009208</t>
        </is>
      </c>
      <c r="B595" s="30" t="inlineStr">
        <is>
          <t xml:space="preserve">Mireille Blackwood</t>
        </is>
      </c>
      <c r="C595" s="31">
        <v>46203</v>
      </c>
      <c r="D595" s="32" t="inlineStr">
        <is>
          <t xml:space="preserve">Bound - within authority</t>
        </is>
      </c>
      <c r="E595" s="32" t="inlineStr">
        <is>
          <t xml:space="preserve">New business</t>
        </is>
      </c>
      <c r="F595" s="30" t="inlineStr">
        <is>
          <t xml:space="preserve">B1234EXOTIC26</t>
        </is>
      </c>
      <c r="G595" s="33">
        <f>IF($A595="","",IF($C595="","",YEAR($C595)))</f>
      </c>
      <c r="H595" s="34">
        <v>1974</v>
      </c>
      <c r="I595" s="30" t="inlineStr">
        <is>
          <t xml:space="preserve">Bentley</t>
        </is>
      </c>
      <c r="J595" s="30" t="inlineStr">
        <is>
          <t xml:space="preserve">Continental GT</t>
        </is>
      </c>
      <c r="K595" s="30" t="inlineStr">
        <is>
          <t xml:space="preserve">VG7745FC5WKDZPAJS</t>
        </is>
      </c>
      <c r="L595" s="32" t="inlineStr">
        <is>
          <t xml:space="preserve">02 - Sports / GT</t>
        </is>
      </c>
      <c r="M595" s="35">
        <v>665000</v>
      </c>
      <c r="N595" s="32" t="inlineStr">
        <is>
          <t xml:space="preserve">Personal</t>
        </is>
      </c>
      <c r="O595" s="30" t="inlineStr">
        <is>
          <t xml:space="preserve">Personal - regular use</t>
        </is>
      </c>
      <c r="P595" s="30" t="inlineStr">
        <is>
          <t xml:space="preserve">Under 1,000</t>
        </is>
      </c>
      <c r="Q595" s="30" t="inlineStr">
        <is>
          <t xml:space="preserve">Oregon</t>
        </is>
      </c>
      <c r="R595" s="30" t="inlineStr">
        <is>
          <t xml:space="preserve">97204</t>
        </is>
      </c>
      <c r="S595" s="32" t="inlineStr">
        <is>
          <t xml:space="preserve">Earthquake - high (CA, Cascadia, New Madrid)</t>
        </is>
      </c>
      <c r="T595" s="36">
        <f>IF($A595="","",IF($S595="","",IFERROR(INDEX('[1]natural catastrophe'!$D$6:$D$17,MATCH($S595,'[1]natural catastrophe'!$B$6:$B$17,0)),"?")))</f>
      </c>
      <c r="U595" s="30" t="inlineStr">
        <is>
          <t xml:space="preserve">$5,000</t>
        </is>
      </c>
      <c r="V595" s="32" t="inlineStr">
        <is>
          <t xml:space="preserve">Agreed Value</t>
        </is>
      </c>
      <c r="W595" s="30" t="inlineStr">
        <is>
          <t xml:space="preserve">$1,000</t>
        </is>
      </c>
      <c r="X595" s="32" t="inlineStr">
        <is>
          <t xml:space="preserve">$1,000,000 CSL</t>
        </is>
      </c>
      <c r="Y595" s="30"/>
      <c r="Z595" s="30"/>
      <c r="AA595" s="32" t="inlineStr">
        <is>
          <t xml:space="preserve">Surplus Lines</t>
        </is>
      </c>
      <c r="AB595" s="35">
        <v>7048.32</v>
      </c>
      <c r="AC595" s="37">
        <v>0</v>
      </c>
      <c r="AD595" s="38">
        <f>IF(ISNUMBER($AB595),$AB595*(1+N($AC595)),"")</f>
      </c>
      <c r="AE595" s="35">
        <v>350</v>
      </c>
      <c r="AF595" s="35">
        <v>0</v>
      </c>
      <c r="AG595" s="37"/>
      <c r="AH595" s="39">
        <f>IF(ISNUMBER($AD595),($AD595+$AE595+$AF595)*$AG595,"")</f>
      </c>
      <c r="AI595" s="35"/>
      <c r="AJ595" s="38">
        <f>IF(ISNUMBER($AD595),SUM($AD595:$AH595),"")</f>
      </c>
      <c r="AK595" s="40">
        <f>IF(AND(ISNUMBER($AB595),ISNUMBER($AD595)),IF($AB595&gt;0,$AD595/$AB595,""),"")</f>
      </c>
      <c r="AL595" s="32" t="inlineStr">
        <is>
          <t xml:space="preserve">At technical</t>
        </is>
      </c>
      <c r="AM595" s="41">
        <f>IF(ISNUMBER($AD595),Header!$I$3,"")</f>
      </c>
      <c r="AN595" s="39">
        <f>IF(ISNUMBER($AD595),$AO595+$AP595,"")</f>
      </c>
      <c r="AO595" s="39">
        <f>IF(ISNUMBER($AD595),ROUND($AD595*Header!$K$3,2),"")</f>
      </c>
      <c r="AP595" s="39">
        <f>IF(ISNUMBER($AD595),ROUND($AD595*Header!$M$3,2),"")</f>
      </c>
      <c r="AQ595" s="38">
        <f>IF(ISNUMBER($AD595),ROUND($AD595,2)-$AO595-$AP595,"")</f>
      </c>
      <c r="AR595" s="39">
        <f>IF(ISNUMBER($AD595),IF(Header!$D$34="","?",$AD595*Header!$D$34),"")</f>
      </c>
      <c r="AS595" s="39">
        <f>IF(ISNUMBER($AB595),IF(Header!$D$34="","?",$AB595*Header!$D$34),"")</f>
      </c>
      <c r="AT595" s="42">
        <f>IF(AND(ISNUMBER($AB595),$M595&gt;0),$AB595/$M595*100,"")</f>
      </c>
      <c r="AU595" s="42">
        <f>IF(AND(ISNUMBER($AD595),$M595&gt;0),$AD595/$M595*100,"")</f>
      </c>
      <c r="AV595" s="40">
        <f>IF(AND(ISNUMBER($AB595),ISNUMBER($AD595),ABS($AB595)&gt;0),$AD595/$AB595,"")</f>
      </c>
      <c r="AW595" s="39">
        <f>IF(ISNUMBER($AD595),MAX(0,(1-0.55-Header!$O$3)*Header!$Q$3*$AQ595),"")</f>
      </c>
      <c r="AX595" s="43">
        <f>IF($A595="","",IF(TRIM(IF($A595="","Missing certificate ref. ","") &amp; IF($C595="","Missing effective date. ","") &amp; IF($D595="","Missing binding status. ","") &amp; IF($E595="","Missing movement type. ","") &amp; IF($I595="","Missing make. ","") &amp; IF($L595="","Missing vehicle class. ","") &amp; IF($M595="","Missing agreed value. ","") &amp; IF($N595="","Missing policy type. ","") &amp; IF($Q595="","Missing garaging state. ","") &amp; IF($R595="","Missing garaging ZIP. ","") &amp; IF($S595="","Missing cat zone. ","") &amp; IF($V595="","Missing valuation basis. ","") &amp; IF($W595="","Missing PD deductible. ","") &amp; IF($X595="","Missing liability limit. ","") &amp; IF($AB595="","Missing technical premium. ","") &amp; IF($AF595="","Missing surplus lines tax %. ",""))="","PASS","FAIL: "&amp;TRIM(IF($A595="","Missing certificate ref. ","") &amp; IF($C595="","Missing effective date. ","") &amp; IF($D595="","Missing binding status. ","") &amp; IF($E595="","Missing movement type. ","") &amp; IF($I595="","Missing make. ","") &amp; IF($L595="","Missing vehicle class. ","") &amp; IF($M595="","Missing agreed value. ","") &amp; IF($N595="","Missing policy type. ","") &amp; IF($Q595="","Missing garaging state. ","") &amp; IF($R595="","Missing garaging ZIP. ","") &amp; IF($S595="","Missing cat zone. ","") &amp; IF($V595="","Missing valuation basis. ","") &amp; IF($W595="","Missing PD deductible. ","") &amp; IF($X595="","Missing liability limit. ","") &amp; IF($AB595="","Missing technical premium. ","") &amp; IF($AF595="","Missing surplus lines tax %. ",""))))</f>
      </c>
      <c r="AY595" s="44">
        <f>IF($M595="","",IF(ISNUMBER($M595),IF($M595&gt;=Header!$C$18,"YES — refer","No"),""))</f>
      </c>
      <c r="AZ595" s="44">
        <f>IF($AD595="","",IF(ISNUMBER($AD595),IF($AD595&lt;Header!$C$20,"BELOW MIN PREMIUM","OK"),""))</f>
      </c>
      <c r="BA595" s="32" t="inlineStr">
        <is>
          <t xml:space="preserve">Yes</t>
        </is>
      </c>
      <c r="BB595" s="32" t="inlineStr">
        <is>
          <t xml:space="preserve">Yes</t>
        </is>
      </c>
      <c r="BC595" s="30" t="inlineStr">
        <is>
          <t xml:space="preserve">Synthetic demo data</t>
        </is>
      </c>
      <c r="BE595" s="45">
        <f>IF(OR($A595="",$L595="",$H595=""),"",IF(AND(LEFT($L595,2)="06",$H595&gt;1945),"FAIL - pre-war class, year "&amp;$H595,IF(AND(LEFT($L595,2)="07",OR($H595&lt;1946,$H595&gt;1972)),"FAIL - 1946-72 class, year "&amp;$H595,IF(AND(LEFT($L595,2)="08",OR($H595&lt;1973,$H595&gt;1999)),"FAIL - 1973-99 class, year "&amp;$H595,IF(AND(LEFT($L595,2)="09",OR($H595&lt;2000,$H595&gt;2010)),"FAIL - 2000-10 class, year "&amp;$H595,"OK")))))</f>
      </c>
      <c r="BF595" s="45">
        <f>IF($AD595="","",IF(ROUND($AO595+$AP595+$AQ595-$AD595,2)=0,"OK","FAIL - out by "&amp;TEXT($AO595+$AP595+$AQ595-$AD595,"$0.00")))</f>
      </c>
    </row>
    <row r="596" spans="1:58" ht="18.75" customHeight="1" x14ac:dyDescent="0.25">
      <c r="A596" s="46" t="inlineStr">
        <is>
          <t xml:space="preserve">CANON-202606-009209</t>
        </is>
      </c>
      <c r="B596" s="46" t="inlineStr">
        <is>
          <t xml:space="preserve">Mireille Harrington</t>
        </is>
      </c>
      <c r="C596" s="47">
        <v>46200</v>
      </c>
      <c r="D596" s="48" t="inlineStr">
        <is>
          <t xml:space="preserve">Bound - within authority</t>
        </is>
      </c>
      <c r="E596" s="48" t="inlineStr">
        <is>
          <t xml:space="preserve">New business</t>
        </is>
      </c>
      <c r="F596" s="46" t="inlineStr">
        <is>
          <t xml:space="preserve">B1234EXOTIC26</t>
        </is>
      </c>
      <c r="G596" s="33">
        <f>IF($A596="","",IF($C596="","",YEAR($C596)))</f>
      </c>
      <c r="H596" s="49">
        <v>2006</v>
      </c>
      <c r="I596" s="46" t="inlineStr">
        <is>
          <t xml:space="preserve">Bentley</t>
        </is>
      </c>
      <c r="J596" s="46" t="inlineStr">
        <is>
          <t xml:space="preserve">Continental GT</t>
        </is>
      </c>
      <c r="K596" s="46" t="inlineStr">
        <is>
          <t xml:space="preserve">FAXG56JC47MEELF40</t>
        </is>
      </c>
      <c r="L596" s="48" t="inlineStr">
        <is>
          <t xml:space="preserve">02 - Sports / GT</t>
        </is>
      </c>
      <c r="M596" s="50">
        <v>855000</v>
      </c>
      <c r="N596" s="48" t="inlineStr">
        <is>
          <t xml:space="preserve">Personal</t>
        </is>
      </c>
      <c r="O596" s="46" t="inlineStr">
        <is>
          <t xml:space="preserve">Personal - regular use</t>
        </is>
      </c>
      <c r="P596" s="46" t="inlineStr">
        <is>
          <t xml:space="preserve">Under 1,000</t>
        </is>
      </c>
      <c r="Q596" s="46" t="inlineStr">
        <is>
          <t xml:space="preserve">Ohio</t>
        </is>
      </c>
      <c r="R596" s="46" t="inlineStr">
        <is>
          <t xml:space="preserve">43215</t>
        </is>
      </c>
      <c r="S596" s="48" t="inlineStr">
        <is>
          <t xml:space="preserve">Severe convective - hail / tornado (moderate)</t>
        </is>
      </c>
      <c r="T596" s="36">
        <f>IF($A596="","",IF($S596="","",IFERROR(INDEX('[1]natural catastrophe'!$D$6:$D$17,MATCH($S596,'[1]natural catastrophe'!$B$6:$B$17,0)),"?")))</f>
      </c>
      <c r="U596" s="46" t="inlineStr">
        <is>
          <t xml:space="preserve">$5,000</t>
        </is>
      </c>
      <c r="V596" s="48" t="inlineStr">
        <is>
          <t xml:space="preserve">Agreed Value</t>
        </is>
      </c>
      <c r="W596" s="46" t="inlineStr">
        <is>
          <t xml:space="preserve">$1,000</t>
        </is>
      </c>
      <c r="X596" s="48" t="inlineStr">
        <is>
          <t xml:space="preserve">$1,000,000 CSL</t>
        </is>
      </c>
      <c r="Y596" s="46"/>
      <c r="Z596" s="46"/>
      <c r="AA596" s="48" t="inlineStr">
        <is>
          <t xml:space="preserve">Surplus Lines</t>
        </is>
      </c>
      <c r="AB596" s="50">
        <v>11147.21</v>
      </c>
      <c r="AC596" s="51">
        <v>0</v>
      </c>
      <c r="AD596" s="38">
        <f>IF(ISNUMBER($AB596),$AB596*(1+N($AC596)),"")</f>
      </c>
      <c r="AE596" s="50">
        <v>350</v>
      </c>
      <c r="AF596" s="50">
        <v>0</v>
      </c>
      <c r="AG596" s="51"/>
      <c r="AH596" s="39">
        <f>IF(ISNUMBER($AD596),($AD596+$AE596+$AF596)*$AG596,"")</f>
      </c>
      <c r="AI596" s="50"/>
      <c r="AJ596" s="38">
        <f>IF(ISNUMBER($AD596),SUM($AD596:$AH596),"")</f>
      </c>
      <c r="AK596" s="40">
        <f>IF(AND(ISNUMBER($AB596),ISNUMBER($AD596)),IF($AB596&gt;0,$AD596/$AB596,""),"")</f>
      </c>
      <c r="AL596" s="48" t="inlineStr">
        <is>
          <t xml:space="preserve">At technical</t>
        </is>
      </c>
      <c r="AM596" s="41">
        <f>IF(ISNUMBER($AD596),Header!$I$3,"")</f>
      </c>
      <c r="AN596" s="39">
        <f>IF(ISNUMBER($AD596),$AO596+$AP596,"")</f>
      </c>
      <c r="AO596" s="39">
        <f>IF(ISNUMBER($AD596),ROUND($AD596*Header!$K$3,2),"")</f>
      </c>
      <c r="AP596" s="39">
        <f>IF(ISNUMBER($AD596),ROUND($AD596*Header!$M$3,2),"")</f>
      </c>
      <c r="AQ596" s="38">
        <f>IF(ISNUMBER($AD596),ROUND($AD596,2)-$AO596-$AP596,"")</f>
      </c>
      <c r="AR596" s="39">
        <f>IF(ISNUMBER($AD596),IF(Header!$D$34="","?",$AD596*Header!$D$34),"")</f>
      </c>
      <c r="AS596" s="39">
        <f>IF(ISNUMBER($AB596),IF(Header!$D$34="","?",$AB596*Header!$D$34),"")</f>
      </c>
      <c r="AT596" s="42">
        <f>IF(AND(ISNUMBER($AB596),$M596&gt;0),$AB596/$M596*100,"")</f>
      </c>
      <c r="AU596" s="42">
        <f>IF(AND(ISNUMBER($AD596),$M596&gt;0),$AD596/$M596*100,"")</f>
      </c>
      <c r="AV596" s="40">
        <f>IF(AND(ISNUMBER($AB596),ISNUMBER($AD596),ABS($AB596)&gt;0),$AD596/$AB596,"")</f>
      </c>
      <c r="AW596" s="39">
        <f>IF(ISNUMBER($AD596),MAX(0,(1-0.55-Header!$O$3)*Header!$Q$3*$AQ596),"")</f>
      </c>
      <c r="AX596" s="43">
        <f>IF($A596="","",IF(TRIM(IF($A596="","Missing certificate ref. ","") &amp; IF($C596="","Missing effective date. ","") &amp; IF($D596="","Missing binding status. ","") &amp; IF($E596="","Missing movement type. ","") &amp; IF($I596="","Missing make. ","") &amp; IF($L596="","Missing vehicle class. ","") &amp; IF($M596="","Missing agreed value. ","") &amp; IF($N596="","Missing policy type. ","") &amp; IF($Q596="","Missing garaging state. ","") &amp; IF($R596="","Missing garaging ZIP. ","") &amp; IF($S596="","Missing cat zone. ","") &amp; IF($V596="","Missing valuation basis. ","") &amp; IF($W596="","Missing PD deductible. ","") &amp; IF($X596="","Missing liability limit. ","") &amp; IF($AB596="","Missing technical premium. ","") &amp; IF($AF596="","Missing surplus lines tax %. ",""))="","PASS","FAIL: "&amp;TRIM(IF($A596="","Missing certificate ref. ","") &amp; IF($C596="","Missing effective date. ","") &amp; IF($D596="","Missing binding status. ","") &amp; IF($E596="","Missing movement type. ","") &amp; IF($I596="","Missing make. ","") &amp; IF($L596="","Missing vehicle class. ","") &amp; IF($M596="","Missing agreed value. ","") &amp; IF($N596="","Missing policy type. ","") &amp; IF($Q596="","Missing garaging state. ","") &amp; IF($R596="","Missing garaging ZIP. ","") &amp; IF($S596="","Missing cat zone. ","") &amp; IF($V596="","Missing valuation basis. ","") &amp; IF($W596="","Missing PD deductible. ","") &amp; IF($X596="","Missing liability limit. ","") &amp; IF($AB596="","Missing technical premium. ","") &amp; IF($AF596="","Missing surplus lines tax %. ",""))))</f>
      </c>
      <c r="AY596" s="44">
        <f>IF($M596="","",IF(ISNUMBER($M596),IF($M596&gt;=Header!$C$18,"YES — refer","No"),""))</f>
      </c>
      <c r="AZ596" s="44">
        <f>IF($AD596="","",IF(ISNUMBER($AD596),IF($AD596&lt;Header!$C$20,"BELOW MIN PREMIUM","OK"),""))</f>
      </c>
      <c r="BA596" s="48" t="inlineStr">
        <is>
          <t xml:space="preserve">Yes</t>
        </is>
      </c>
      <c r="BB596" s="48" t="inlineStr">
        <is>
          <t xml:space="preserve">Yes</t>
        </is>
      </c>
      <c r="BC596" s="46" t="inlineStr">
        <is>
          <t xml:space="preserve">Synthetic demo data</t>
        </is>
      </c>
      <c r="BE596" s="45">
        <f>IF(OR($A596="",$L596="",$H596=""),"",IF(AND(LEFT($L596,2)="06",$H596&gt;1945),"FAIL - pre-war class, year "&amp;$H596,IF(AND(LEFT($L596,2)="07",OR($H596&lt;1946,$H596&gt;1972)),"FAIL - 1946-72 class, year "&amp;$H596,IF(AND(LEFT($L596,2)="08",OR($H596&lt;1973,$H596&gt;1999)),"FAIL - 1973-99 class, year "&amp;$H596,IF(AND(LEFT($L596,2)="09",OR($H596&lt;2000,$H596&gt;2010)),"FAIL - 2000-10 class, year "&amp;$H596,"OK")))))</f>
      </c>
      <c r="BF596" s="45">
        <f>IF($AD596="","",IF(ROUND($AO596+$AP596+$AQ596-$AD596,2)=0,"OK","FAIL - out by "&amp;TEXT($AO596+$AP596+$AQ596-$AD596,"$0.00")))</f>
      </c>
    </row>
    <row r="597" spans="1:58" ht="18.75" customHeight="1" x14ac:dyDescent="0.25">
      <c r="A597" s="30" t="inlineStr">
        <is>
          <t xml:space="preserve">CANON-202606-009210</t>
        </is>
      </c>
      <c r="B597" s="30" t="inlineStr">
        <is>
          <t xml:space="preserve">Beatrix Nakashima</t>
        </is>
      </c>
      <c r="C597" s="31">
        <v>46202</v>
      </c>
      <c r="D597" s="32" t="inlineStr">
        <is>
          <t xml:space="preserve">Bound - within authority</t>
        </is>
      </c>
      <c r="E597" s="32" t="inlineStr">
        <is>
          <t xml:space="preserve">New business</t>
        </is>
      </c>
      <c r="F597" s="30" t="inlineStr">
        <is>
          <t xml:space="preserve">B1234EXOTIC26</t>
        </is>
      </c>
      <c r="G597" s="33">
        <f>IF($A597="","",IF($C597="","",YEAR($C597)))</f>
      </c>
      <c r="H597" s="34">
        <v>1955</v>
      </c>
      <c r="I597" s="30" t="inlineStr">
        <is>
          <t xml:space="preserve">Mercedes-Benz</t>
        </is>
      </c>
      <c r="J597" s="30" t="inlineStr">
        <is>
          <t xml:space="preserve">AMG GT</t>
        </is>
      </c>
      <c r="K597" s="30" t="inlineStr">
        <is>
          <t xml:space="preserve">WSXX1WBVCNC4S9PYC</t>
        </is>
      </c>
      <c r="L597" s="32" t="inlineStr">
        <is>
          <t xml:space="preserve">02 - Sports / GT</t>
        </is>
      </c>
      <c r="M597" s="35">
        <v>835000</v>
      </c>
      <c r="N597" s="32" t="inlineStr">
        <is>
          <t xml:space="preserve">Personal</t>
        </is>
      </c>
      <c r="O597" s="30" t="inlineStr">
        <is>
          <t xml:space="preserve">Personal - regular use</t>
        </is>
      </c>
      <c r="P597" s="30" t="inlineStr">
        <is>
          <t xml:space="preserve">1,000 - 2,500</t>
        </is>
      </c>
      <c r="Q597" s="30" t="inlineStr">
        <is>
          <t xml:space="preserve">Texas</t>
        </is>
      </c>
      <c r="R597" s="30" t="inlineStr">
        <is>
          <t xml:space="preserve">75201</t>
        </is>
      </c>
      <c r="S597" s="32" t="inlineStr">
        <is>
          <t xml:space="preserve">Tier 2 - Coastal wind (1-25 miles)</t>
        </is>
      </c>
      <c r="T597" s="36">
        <f>IF($A597="","",IF($S597="","",IFERROR(INDEX('[1]natural catastrophe'!$D$6:$D$17,MATCH($S597,'[1]natural catastrophe'!$B$6:$B$17,0)),"?")))</f>
      </c>
      <c r="U597" s="30" t="inlineStr">
        <is>
          <t xml:space="preserve">2% of agreed value, minimum $10,000</t>
        </is>
      </c>
      <c r="V597" s="32" t="inlineStr">
        <is>
          <t xml:space="preserve">Agreed Value</t>
        </is>
      </c>
      <c r="W597" s="30" t="inlineStr">
        <is>
          <t xml:space="preserve">$1,000</t>
        </is>
      </c>
      <c r="X597" s="32" t="inlineStr">
        <is>
          <t xml:space="preserve">$1,000,000 CSL</t>
        </is>
      </c>
      <c r="Y597" s="30"/>
      <c r="Z597" s="30"/>
      <c r="AA597" s="32" t="inlineStr">
        <is>
          <t xml:space="preserve">Surplus Lines</t>
        </is>
      </c>
      <c r="AB597" s="35">
        <v>9006.78</v>
      </c>
      <c r="AC597" s="37">
        <v>0</v>
      </c>
      <c r="AD597" s="38">
        <f>IF(ISNUMBER($AB597),$AB597*(1+N($AC597)),"")</f>
      </c>
      <c r="AE597" s="35">
        <v>350</v>
      </c>
      <c r="AF597" s="35">
        <v>0</v>
      </c>
      <c r="AG597" s="37"/>
      <c r="AH597" s="39">
        <f>IF(ISNUMBER($AD597),($AD597+$AE597+$AF597)*$AG597,"")</f>
      </c>
      <c r="AI597" s="35"/>
      <c r="AJ597" s="38">
        <f>IF(ISNUMBER($AD597),SUM($AD597:$AH597),"")</f>
      </c>
      <c r="AK597" s="40">
        <f>IF(AND(ISNUMBER($AB597),ISNUMBER($AD597)),IF($AB597&gt;0,$AD597/$AB597,""),"")</f>
      </c>
      <c r="AL597" s="32" t="inlineStr">
        <is>
          <t xml:space="preserve">At technical</t>
        </is>
      </c>
      <c r="AM597" s="41">
        <f>IF(ISNUMBER($AD597),Header!$I$3,"")</f>
      </c>
      <c r="AN597" s="39">
        <f>IF(ISNUMBER($AD597),$AO597+$AP597,"")</f>
      </c>
      <c r="AO597" s="39">
        <f>IF(ISNUMBER($AD597),ROUND($AD597*Header!$K$3,2),"")</f>
      </c>
      <c r="AP597" s="39">
        <f>IF(ISNUMBER($AD597),ROUND($AD597*Header!$M$3,2),"")</f>
      </c>
      <c r="AQ597" s="38">
        <f>IF(ISNUMBER($AD597),ROUND($AD597,2)-$AO597-$AP597,"")</f>
      </c>
      <c r="AR597" s="39">
        <f>IF(ISNUMBER($AD597),IF(Header!$D$34="","?",$AD597*Header!$D$34),"")</f>
      </c>
      <c r="AS597" s="39">
        <f>IF(ISNUMBER($AB597),IF(Header!$D$34="","?",$AB597*Header!$D$34),"")</f>
      </c>
      <c r="AT597" s="42">
        <f>IF(AND(ISNUMBER($AB597),$M597&gt;0),$AB597/$M597*100,"")</f>
      </c>
      <c r="AU597" s="42">
        <f>IF(AND(ISNUMBER($AD597),$M597&gt;0),$AD597/$M597*100,"")</f>
      </c>
      <c r="AV597" s="40">
        <f>IF(AND(ISNUMBER($AB597),ISNUMBER($AD597),ABS($AB597)&gt;0),$AD597/$AB597,"")</f>
      </c>
      <c r="AW597" s="39">
        <f>IF(ISNUMBER($AD597),MAX(0,(1-0.55-Header!$O$3)*Header!$Q$3*$AQ597),"")</f>
      </c>
      <c r="AX597" s="43">
        <f>IF($A597="","",IF(TRIM(IF($A597="","Missing certificate ref. ","") &amp; IF($C597="","Missing effective date. ","") &amp; IF($D597="","Missing binding status. ","") &amp; IF($E597="","Missing movement type. ","") &amp; IF($I597="","Missing make. ","") &amp; IF($L597="","Missing vehicle class. ","") &amp; IF($M597="","Missing agreed value. ","") &amp; IF($N597="","Missing policy type. ","") &amp; IF($Q597="","Missing garaging state. ","") &amp; IF($R597="","Missing garaging ZIP. ","") &amp; IF($S597="","Missing cat zone. ","") &amp; IF($V597="","Missing valuation basis. ","") &amp; IF($W597="","Missing PD deductible. ","") &amp; IF($X597="","Missing liability limit. ","") &amp; IF($AB597="","Missing technical premium. ","") &amp; IF($AF597="","Missing surplus lines tax %. ",""))="","PASS","FAIL: "&amp;TRIM(IF($A597="","Missing certificate ref. ","") &amp; IF($C597="","Missing effective date. ","") &amp; IF($D597="","Missing binding status. ","") &amp; IF($E597="","Missing movement type. ","") &amp; IF($I597="","Missing make. ","") &amp; IF($L597="","Missing vehicle class. ","") &amp; IF($M597="","Missing agreed value. ","") &amp; IF($N597="","Missing policy type. ","") &amp; IF($Q597="","Missing garaging state. ","") &amp; IF($R597="","Missing garaging ZIP. ","") &amp; IF($S597="","Missing cat zone. ","") &amp; IF($V597="","Missing valuation basis. ","") &amp; IF($W597="","Missing PD deductible. ","") &amp; IF($X597="","Missing liability limit. ","") &amp; IF($AB597="","Missing technical premium. ","") &amp; IF($AF597="","Missing surplus lines tax %. ",""))))</f>
      </c>
      <c r="AY597" s="44">
        <f>IF($M597="","",IF(ISNUMBER($M597),IF($M597&gt;=Header!$C$18,"YES — refer","No"),""))</f>
      </c>
      <c r="AZ597" s="44">
        <f>IF($AD597="","",IF(ISNUMBER($AD597),IF($AD597&lt;Header!$C$20,"BELOW MIN PREMIUM","OK"),""))</f>
      </c>
      <c r="BA597" s="32" t="inlineStr">
        <is>
          <t xml:space="preserve">Yes</t>
        </is>
      </c>
      <c r="BB597" s="32" t="inlineStr">
        <is>
          <t xml:space="preserve">Yes</t>
        </is>
      </c>
      <c r="BC597" s="30" t="inlineStr">
        <is>
          <t xml:space="preserve">Synthetic demo data</t>
        </is>
      </c>
      <c r="BE597" s="45">
        <f>IF(OR($A597="",$L597="",$H597=""),"",IF(AND(LEFT($L597,2)="06",$H597&gt;1945),"FAIL - pre-war class, year "&amp;$H597,IF(AND(LEFT($L597,2)="07",OR($H597&lt;1946,$H597&gt;1972)),"FAIL - 1946-72 class, year "&amp;$H597,IF(AND(LEFT($L597,2)="08",OR($H597&lt;1973,$H597&gt;1999)),"FAIL - 1973-99 class, year "&amp;$H597,IF(AND(LEFT($L597,2)="09",OR($H597&lt;2000,$H597&gt;2010)),"FAIL - 2000-10 class, year "&amp;$H597,"OK")))))</f>
      </c>
      <c r="BF597" s="45">
        <f>IF($AD597="","",IF(ROUND($AO597+$AP597+$AQ597-$AD597,2)=0,"OK","FAIL - out by "&amp;TEXT($AO597+$AP597+$AQ597-$AD597,"$0.00")))</f>
      </c>
    </row>
    <row r="598" spans="1:58" ht="18.75" customHeight="1" x14ac:dyDescent="0.25">
      <c r="A598" s="46" t="inlineStr">
        <is>
          <t xml:space="preserve">CANON-202606-009211</t>
        </is>
      </c>
      <c r="B598" s="46" t="inlineStr">
        <is>
          <t xml:space="preserve">Thaddeus Thistlewood</t>
        </is>
      </c>
      <c r="C598" s="47">
        <v>46188</v>
      </c>
      <c r="D598" s="48" t="inlineStr">
        <is>
          <t xml:space="preserve">Bound - within authority</t>
        </is>
      </c>
      <c r="E598" s="48" t="inlineStr">
        <is>
          <t xml:space="preserve">New business</t>
        </is>
      </c>
      <c r="F598" s="46" t="inlineStr">
        <is>
          <t xml:space="preserve">B1234EXOTIC26</t>
        </is>
      </c>
      <c r="G598" s="33">
        <f>IF($A598="","",IF($C598="","",YEAR($C598)))</f>
      </c>
      <c r="H598" s="49">
        <v>1999</v>
      </c>
      <c r="I598" s="46" t="inlineStr">
        <is>
          <t xml:space="preserve">Aston Martin</t>
        </is>
      </c>
      <c r="J598" s="46" t="inlineStr">
        <is>
          <t xml:space="preserve">DB5</t>
        </is>
      </c>
      <c r="K598" s="46" t="inlineStr">
        <is>
          <t xml:space="preserve">HWMESGS9V087DXMZV</t>
        </is>
      </c>
      <c r="L598" s="48" t="inlineStr">
        <is>
          <t xml:space="preserve">08 - Modern Classic (1973-1999)</t>
        </is>
      </c>
      <c r="M598" s="50">
        <v>555000</v>
      </c>
      <c r="N598" s="48" t="inlineStr">
        <is>
          <t xml:space="preserve">Personal</t>
        </is>
      </c>
      <c r="O598" s="46" t="inlineStr">
        <is>
          <t xml:space="preserve">Personal - regular use</t>
        </is>
      </c>
      <c r="P598" s="46" t="inlineStr">
        <is>
          <t xml:space="preserve">Under 1,000</t>
        </is>
      </c>
      <c r="Q598" s="46" t="inlineStr">
        <is>
          <t xml:space="preserve">New Jersey</t>
        </is>
      </c>
      <c r="R598" s="46" t="inlineStr">
        <is>
          <t xml:space="preserve">07102</t>
        </is>
      </c>
      <c r="S598" s="48" t="inlineStr">
        <is>
          <t xml:space="preserve">Tier 3 - Coastal wind (25-100 miles)</t>
        </is>
      </c>
      <c r="T598" s="36">
        <f>IF($A598="","",IF($S598="","",IFERROR(INDEX('[1]natural catastrophe'!$D$6:$D$17,MATCH($S598,'[1]natural catastrophe'!$B$6:$B$17,0)),"?")))</f>
      </c>
      <c r="U598" s="46" t="inlineStr">
        <is>
          <t xml:space="preserve">2% of agreed value, minimum $10,000</t>
        </is>
      </c>
      <c r="V598" s="48" t="inlineStr">
        <is>
          <t xml:space="preserve">Agreed Value</t>
        </is>
      </c>
      <c r="W598" s="46" t="inlineStr">
        <is>
          <t xml:space="preserve">$1,000</t>
        </is>
      </c>
      <c r="X598" s="48" t="inlineStr">
        <is>
          <t xml:space="preserve">$1,000,000 CSL</t>
        </is>
      </c>
      <c r="Y598" s="46"/>
      <c r="Z598" s="46"/>
      <c r="AA598" s="48" t="inlineStr">
        <is>
          <t xml:space="preserve">Surplus Lines</t>
        </is>
      </c>
      <c r="AB598" s="50">
        <v>3133.83</v>
      </c>
      <c r="AC598" s="51">
        <v>0</v>
      </c>
      <c r="AD598" s="38">
        <f>IF(ISNUMBER($AB598),$AB598*(1+N($AC598)),"")</f>
      </c>
      <c r="AE598" s="50">
        <v>350</v>
      </c>
      <c r="AF598" s="50">
        <v>0</v>
      </c>
      <c r="AG598" s="51"/>
      <c r="AH598" s="39">
        <f>IF(ISNUMBER($AD598),($AD598+$AE598+$AF598)*$AG598,"")</f>
      </c>
      <c r="AI598" s="50"/>
      <c r="AJ598" s="38">
        <f>IF(ISNUMBER($AD598),SUM($AD598:$AH598),"")</f>
      </c>
      <c r="AK598" s="40">
        <f>IF(AND(ISNUMBER($AB598),ISNUMBER($AD598)),IF($AB598&gt;0,$AD598/$AB598,""),"")</f>
      </c>
      <c r="AL598" s="48" t="inlineStr">
        <is>
          <t xml:space="preserve">At technical</t>
        </is>
      </c>
      <c r="AM598" s="41">
        <f>IF(ISNUMBER($AD598),Header!$I$3,"")</f>
      </c>
      <c r="AN598" s="39">
        <f>IF(ISNUMBER($AD598),$AO598+$AP598,"")</f>
      </c>
      <c r="AO598" s="39">
        <f>IF(ISNUMBER($AD598),ROUND($AD598*Header!$K$3,2),"")</f>
      </c>
      <c r="AP598" s="39">
        <f>IF(ISNUMBER($AD598),ROUND($AD598*Header!$M$3,2),"")</f>
      </c>
      <c r="AQ598" s="38">
        <f>IF(ISNUMBER($AD598),ROUND($AD598,2)-$AO598-$AP598,"")</f>
      </c>
      <c r="AR598" s="39">
        <f>IF(ISNUMBER($AD598),IF(Header!$D$34="","?",$AD598*Header!$D$34),"")</f>
      </c>
      <c r="AS598" s="39">
        <f>IF(ISNUMBER($AB598),IF(Header!$D$34="","?",$AB598*Header!$D$34),"")</f>
      </c>
      <c r="AT598" s="42">
        <f>IF(AND(ISNUMBER($AB598),$M598&gt;0),$AB598/$M598*100,"")</f>
      </c>
      <c r="AU598" s="42">
        <f>IF(AND(ISNUMBER($AD598),$M598&gt;0),$AD598/$M598*100,"")</f>
      </c>
      <c r="AV598" s="40">
        <f>IF(AND(ISNUMBER($AB598),ISNUMBER($AD598),ABS($AB598)&gt;0),$AD598/$AB598,"")</f>
      </c>
      <c r="AW598" s="39">
        <f>IF(ISNUMBER($AD598),MAX(0,(1-0.55-Header!$O$3)*Header!$Q$3*$AQ598),"")</f>
      </c>
      <c r="AX598" s="43">
        <f>IF($A598="","",IF(TRIM(IF($A598="","Missing certificate ref. ","") &amp; IF($C598="","Missing effective date. ","") &amp; IF($D598="","Missing binding status. ","") &amp; IF($E598="","Missing movement type. ","") &amp; IF($I598="","Missing make. ","") &amp; IF($L598="","Missing vehicle class. ","") &amp; IF($M598="","Missing agreed value. ","") &amp; IF($N598="","Missing policy type. ","") &amp; IF($Q598="","Missing garaging state. ","") &amp; IF($R598="","Missing garaging ZIP. ","") &amp; IF($S598="","Missing cat zone. ","") &amp; IF($V598="","Missing valuation basis. ","") &amp; IF($W598="","Missing PD deductible. ","") &amp; IF($X598="","Missing liability limit. ","") &amp; IF($AB598="","Missing technical premium. ","") &amp; IF($AF598="","Missing surplus lines tax %. ",""))="","PASS","FAIL: "&amp;TRIM(IF($A598="","Missing certificate ref. ","") &amp; IF($C598="","Missing effective date. ","") &amp; IF($D598="","Missing binding status. ","") &amp; IF($E598="","Missing movement type. ","") &amp; IF($I598="","Missing make. ","") &amp; IF($L598="","Missing vehicle class. ","") &amp; IF($M598="","Missing agreed value. ","") &amp; IF($N598="","Missing policy type. ","") &amp; IF($Q598="","Missing garaging state. ","") &amp; IF($R598="","Missing garaging ZIP. ","") &amp; IF($S598="","Missing cat zone. ","") &amp; IF($V598="","Missing valuation basis. ","") &amp; IF($W598="","Missing PD deductible. ","") &amp; IF($X598="","Missing liability limit. ","") &amp; IF($AB598="","Missing technical premium. ","") &amp; IF($AF598="","Missing surplus lines tax %. ",""))))</f>
      </c>
      <c r="AY598" s="44">
        <f>IF($M598="","",IF(ISNUMBER($M598),IF($M598&gt;=Header!$C$18,"YES — refer","No"),""))</f>
      </c>
      <c r="AZ598" s="44">
        <f>IF($AD598="","",IF(ISNUMBER($AD598),IF($AD598&lt;Header!$C$20,"BELOW MIN PREMIUM","OK"),""))</f>
      </c>
      <c r="BA598" s="48" t="inlineStr">
        <is>
          <t xml:space="preserve">Yes</t>
        </is>
      </c>
      <c r="BB598" s="48" t="inlineStr">
        <is>
          <t xml:space="preserve">Yes</t>
        </is>
      </c>
      <c r="BC598" s="46" t="inlineStr">
        <is>
          <t xml:space="preserve">Synthetic demo data</t>
        </is>
      </c>
      <c r="BE598" s="45">
        <f>IF(OR($A598="",$L598="",$H598=""),"",IF(AND(LEFT($L598,2)="06",$H598&gt;1945),"FAIL - pre-war class, year "&amp;$H598,IF(AND(LEFT($L598,2)="07",OR($H598&lt;1946,$H598&gt;1972)),"FAIL - 1946-72 class, year "&amp;$H598,IF(AND(LEFT($L598,2)="08",OR($H598&lt;1973,$H598&gt;1999)),"FAIL - 1973-99 class, year "&amp;$H598,IF(AND(LEFT($L598,2)="09",OR($H598&lt;2000,$H598&gt;2010)),"FAIL - 2000-10 class, year "&amp;$H598,"OK")))))</f>
      </c>
      <c r="BF598" s="45">
        <f>IF($AD598="","",IF(ROUND($AO598+$AP598+$AQ598-$AD598,2)=0,"OK","FAIL - out by "&amp;TEXT($AO598+$AP598+$AQ598-$AD598,"$0.00")))</f>
      </c>
    </row>
    <row r="599" spans="1:58" ht="18.75" customHeight="1" x14ac:dyDescent="0.25">
      <c r="A599" s="30" t="inlineStr">
        <is>
          <t xml:space="preserve">CANON-202606-009212</t>
        </is>
      </c>
      <c r="B599" s="30" t="inlineStr">
        <is>
          <t xml:space="preserve">Lorenzo Whitlock</t>
        </is>
      </c>
      <c r="C599" s="31">
        <v>46197</v>
      </c>
      <c r="D599" s="32" t="inlineStr">
        <is>
          <t xml:space="preserve">Bound - within authority</t>
        </is>
      </c>
      <c r="E599" s="32" t="inlineStr">
        <is>
          <t xml:space="preserve">New business</t>
        </is>
      </c>
      <c r="F599" s="30" t="inlineStr">
        <is>
          <t xml:space="preserve">B1234EXOTIC26</t>
        </is>
      </c>
      <c r="G599" s="33">
        <f>IF($A599="","",IF($C599="","",YEAR($C599)))</f>
      </c>
      <c r="H599" s="34">
        <v>2016</v>
      </c>
      <c r="I599" s="30" t="inlineStr">
        <is>
          <t xml:space="preserve">Maserati</t>
        </is>
      </c>
      <c r="J599" s="30" t="inlineStr">
        <is>
          <t xml:space="preserve">GranTurismo</t>
        </is>
      </c>
      <c r="K599" s="30" t="inlineStr">
        <is>
          <t xml:space="preserve">56VD4F30L9EGV8FRY</t>
        </is>
      </c>
      <c r="L599" s="32" t="inlineStr">
        <is>
          <t xml:space="preserve">02 - Sports / GT</t>
        </is>
      </c>
      <c r="M599" s="35">
        <v>410000</v>
      </c>
      <c r="N599" s="32" t="inlineStr">
        <is>
          <t xml:space="preserve">Personal</t>
        </is>
      </c>
      <c r="O599" s="30" t="inlineStr">
        <is>
          <t xml:space="preserve">Personal - regular use</t>
        </is>
      </c>
      <c r="P599" s="30" t="inlineStr">
        <is>
          <t xml:space="preserve">2,500 - 5,000</t>
        </is>
      </c>
      <c r="Q599" s="30" t="inlineStr">
        <is>
          <t xml:space="preserve">Nebraska</t>
        </is>
      </c>
      <c r="R599" s="30" t="inlineStr">
        <is>
          <t xml:space="preserve">68102</t>
        </is>
      </c>
      <c r="S599" s="32" t="inlineStr">
        <is>
          <t xml:space="preserve">Severe convective - hail alley (high)</t>
        </is>
      </c>
      <c r="T599" s="36">
        <f>IF($A599="","",IF($S599="","",IFERROR(INDEX('[1]natural catastrophe'!$D$6:$D$17,MATCH($S599,'[1]natural catastrophe'!$B$6:$B$17,0)),"?")))</f>
      </c>
      <c r="U599" s="30" t="inlineStr">
        <is>
          <t xml:space="preserve">$5,000</t>
        </is>
      </c>
      <c r="V599" s="32" t="inlineStr">
        <is>
          <t xml:space="preserve">Agreed Value</t>
        </is>
      </c>
      <c r="W599" s="30" t="inlineStr">
        <is>
          <t xml:space="preserve">$1,000</t>
        </is>
      </c>
      <c r="X599" s="32" t="inlineStr">
        <is>
          <t xml:space="preserve">$1,000,000 CSL</t>
        </is>
      </c>
      <c r="Y599" s="30"/>
      <c r="Z599" s="30"/>
      <c r="AA599" s="32" t="inlineStr">
        <is>
          <t xml:space="preserve">Surplus Lines</t>
        </is>
      </c>
      <c r="AB599" s="35">
        <v>5768.47</v>
      </c>
      <c r="AC599" s="37">
        <v>0</v>
      </c>
      <c r="AD599" s="38">
        <f>IF(ISNUMBER($AB599),$AB599*(1+N($AC599)),"")</f>
      </c>
      <c r="AE599" s="35">
        <v>350</v>
      </c>
      <c r="AF599" s="35">
        <v>0</v>
      </c>
      <c r="AG599" s="37"/>
      <c r="AH599" s="39">
        <f>IF(ISNUMBER($AD599),($AD599+$AE599+$AF599)*$AG599,"")</f>
      </c>
      <c r="AI599" s="35"/>
      <c r="AJ599" s="38">
        <f>IF(ISNUMBER($AD599),SUM($AD599:$AH599),"")</f>
      </c>
      <c r="AK599" s="40">
        <f>IF(AND(ISNUMBER($AB599),ISNUMBER($AD599)),IF($AB599&gt;0,$AD599/$AB599,""),"")</f>
      </c>
      <c r="AL599" s="32" t="inlineStr">
        <is>
          <t xml:space="preserve">At technical</t>
        </is>
      </c>
      <c r="AM599" s="41">
        <f>IF(ISNUMBER($AD599),Header!$I$3,"")</f>
      </c>
      <c r="AN599" s="39">
        <f>IF(ISNUMBER($AD599),$AO599+$AP599,"")</f>
      </c>
      <c r="AO599" s="39">
        <f>IF(ISNUMBER($AD599),ROUND($AD599*Header!$K$3,2),"")</f>
      </c>
      <c r="AP599" s="39">
        <f>IF(ISNUMBER($AD599),ROUND($AD599*Header!$M$3,2),"")</f>
      </c>
      <c r="AQ599" s="38">
        <f>IF(ISNUMBER($AD599),ROUND($AD599,2)-$AO599-$AP599,"")</f>
      </c>
      <c r="AR599" s="39">
        <f>IF(ISNUMBER($AD599),IF(Header!$D$34="","?",$AD599*Header!$D$34),"")</f>
      </c>
      <c r="AS599" s="39">
        <f>IF(ISNUMBER($AB599),IF(Header!$D$34="","?",$AB599*Header!$D$34),"")</f>
      </c>
      <c r="AT599" s="42">
        <f>IF(AND(ISNUMBER($AB599),$M599&gt;0),$AB599/$M599*100,"")</f>
      </c>
      <c r="AU599" s="42">
        <f>IF(AND(ISNUMBER($AD599),$M599&gt;0),$AD599/$M599*100,"")</f>
      </c>
      <c r="AV599" s="40">
        <f>IF(AND(ISNUMBER($AB599),ISNUMBER($AD599),ABS($AB599)&gt;0),$AD599/$AB599,"")</f>
      </c>
      <c r="AW599" s="39">
        <f>IF(ISNUMBER($AD599),MAX(0,(1-0.55-Header!$O$3)*Header!$Q$3*$AQ599),"")</f>
      </c>
      <c r="AX599" s="43">
        <f>IF($A599="","",IF(TRIM(IF($A599="","Missing certificate ref. ","") &amp; IF($C599="","Missing effective date. ","") &amp; IF($D599="","Missing binding status. ","") &amp; IF($E599="","Missing movement type. ","") &amp; IF($I599="","Missing make. ","") &amp; IF($L599="","Missing vehicle class. ","") &amp; IF($M599="","Missing agreed value. ","") &amp; IF($N599="","Missing policy type. ","") &amp; IF($Q599="","Missing garaging state. ","") &amp; IF($R599="","Missing garaging ZIP. ","") &amp; IF($S599="","Missing cat zone. ","") &amp; IF($V599="","Missing valuation basis. ","") &amp; IF($W599="","Missing PD deductible. ","") &amp; IF($X599="","Missing liability limit. ","") &amp; IF($AB599="","Missing technical premium. ","") &amp; IF($AF599="","Missing surplus lines tax %. ",""))="","PASS","FAIL: "&amp;TRIM(IF($A599="","Missing certificate ref. ","") &amp; IF($C599="","Missing effective date. ","") &amp; IF($D599="","Missing binding status. ","") &amp; IF($E599="","Missing movement type. ","") &amp; IF($I599="","Missing make. ","") &amp; IF($L599="","Missing vehicle class. ","") &amp; IF($M599="","Missing agreed value. ","") &amp; IF($N599="","Missing policy type. ","") &amp; IF($Q599="","Missing garaging state. ","") &amp; IF($R599="","Missing garaging ZIP. ","") &amp; IF($S599="","Missing cat zone. ","") &amp; IF($V599="","Missing valuation basis. ","") &amp; IF($W599="","Missing PD deductible. ","") &amp; IF($X599="","Missing liability limit. ","") &amp; IF($AB599="","Missing technical premium. ","") &amp; IF($AF599="","Missing surplus lines tax %. ",""))))</f>
      </c>
      <c r="AY599" s="44">
        <f>IF($M599="","",IF(ISNUMBER($M599),IF($M599&gt;=Header!$C$18,"YES — refer","No"),""))</f>
      </c>
      <c r="AZ599" s="44">
        <f>IF($AD599="","",IF(ISNUMBER($AD599),IF($AD599&lt;Header!$C$20,"BELOW MIN PREMIUM","OK"),""))</f>
      </c>
      <c r="BA599" s="32" t="inlineStr">
        <is>
          <t xml:space="preserve">Yes</t>
        </is>
      </c>
      <c r="BB599" s="32" t="inlineStr">
        <is>
          <t xml:space="preserve">Yes</t>
        </is>
      </c>
      <c r="BC599" s="30" t="inlineStr">
        <is>
          <t xml:space="preserve">Synthetic demo data</t>
        </is>
      </c>
      <c r="BE599" s="45">
        <f>IF(OR($A599="",$L599="",$H599=""),"",IF(AND(LEFT($L599,2)="06",$H599&gt;1945),"FAIL - pre-war class, year "&amp;$H599,IF(AND(LEFT($L599,2)="07",OR($H599&lt;1946,$H599&gt;1972)),"FAIL - 1946-72 class, year "&amp;$H599,IF(AND(LEFT($L599,2)="08",OR($H599&lt;1973,$H599&gt;1999)),"FAIL - 1973-99 class, year "&amp;$H599,IF(AND(LEFT($L599,2)="09",OR($H599&lt;2000,$H599&gt;2010)),"FAIL - 2000-10 class, year "&amp;$H599,"OK")))))</f>
      </c>
      <c r="BF599" s="45">
        <f>IF($AD599="","",IF(ROUND($AO599+$AP599+$AQ599-$AD599,2)=0,"OK","FAIL - out by "&amp;TEXT($AO599+$AP599+$AQ599-$AD599,"$0.00")))</f>
      </c>
    </row>
    <row r="600" spans="1:58" ht="18.75" customHeight="1" x14ac:dyDescent="0.25">
      <c r="A600" s="46" t="inlineStr">
        <is>
          <t xml:space="preserve">CANON-202606-009213</t>
        </is>
      </c>
      <c r="B600" s="46" t="inlineStr">
        <is>
          <t xml:space="preserve">Beatrix Bellandi</t>
        </is>
      </c>
      <c r="C600" s="47">
        <v>46179</v>
      </c>
      <c r="D600" s="48" t="inlineStr">
        <is>
          <t xml:space="preserve">Bound - within authority</t>
        </is>
      </c>
      <c r="E600" s="48" t="inlineStr">
        <is>
          <t xml:space="preserve">New business</t>
        </is>
      </c>
      <c r="F600" s="46" t="inlineStr">
        <is>
          <t xml:space="preserve">B1234EXOTIC26</t>
        </is>
      </c>
      <c r="G600" s="33">
        <f>IF($A600="","",IF($C600="","",YEAR($C600)))</f>
      </c>
      <c r="H600" s="49">
        <v>2022</v>
      </c>
      <c r="I600" s="46" t="inlineStr">
        <is>
          <t xml:space="preserve">Mercedes-Benz</t>
        </is>
      </c>
      <c r="J600" s="46" t="inlineStr">
        <is>
          <t xml:space="preserve">AMG GT</t>
        </is>
      </c>
      <c r="K600" s="46" t="inlineStr">
        <is>
          <t xml:space="preserve">JPNXYB6GYSRSJ5WG7</t>
        </is>
      </c>
      <c r="L600" s="48" t="inlineStr">
        <is>
          <t xml:space="preserve">02 - Sports / GT</t>
        </is>
      </c>
      <c r="M600" s="50">
        <v>1950000</v>
      </c>
      <c r="N600" s="48" t="inlineStr">
        <is>
          <t xml:space="preserve">Personal</t>
        </is>
      </c>
      <c r="O600" s="46" t="inlineStr">
        <is>
          <t xml:space="preserve">Personal - regular use</t>
        </is>
      </c>
      <c r="P600" s="46" t="inlineStr">
        <is>
          <t xml:space="preserve">Under 1,000</t>
        </is>
      </c>
      <c r="Q600" s="46" t="inlineStr">
        <is>
          <t xml:space="preserve">Michigan</t>
        </is>
      </c>
      <c r="R600" s="46" t="inlineStr">
        <is>
          <t xml:space="preserve">48226</t>
        </is>
      </c>
      <c r="S600" s="48" t="inlineStr">
        <is>
          <t xml:space="preserve">Severe convective - hail / tornado (moderate)</t>
        </is>
      </c>
      <c r="T600" s="36">
        <f>IF($A600="","",IF($S600="","",IFERROR(INDEX('[1]natural catastrophe'!$D$6:$D$17,MATCH($S600,'[1]natural catastrophe'!$B$6:$B$17,0)),"?")))</f>
      </c>
      <c r="U600" s="46" t="inlineStr">
        <is>
          <t xml:space="preserve">$5,000</t>
        </is>
      </c>
      <c r="V600" s="48" t="inlineStr">
        <is>
          <t xml:space="preserve">Agreed Value</t>
        </is>
      </c>
      <c r="W600" s="46" t="inlineStr">
        <is>
          <t xml:space="preserve">$1,000</t>
        </is>
      </c>
      <c r="X600" s="48" t="inlineStr">
        <is>
          <t xml:space="preserve">$1,000,000 CSL</t>
        </is>
      </c>
      <c r="Y600" s="46"/>
      <c r="Z600" s="46"/>
      <c r="AA600" s="48" t="inlineStr">
        <is>
          <t xml:space="preserve">Surplus Lines</t>
        </is>
      </c>
      <c r="AB600" s="50">
        <v>23988.39</v>
      </c>
      <c r="AC600" s="51">
        <v>0</v>
      </c>
      <c r="AD600" s="38">
        <f>IF(ISNUMBER($AB600),$AB600*(1+N($AC600)),"")</f>
      </c>
      <c r="AE600" s="50">
        <v>350</v>
      </c>
      <c r="AF600" s="50">
        <v>250</v>
      </c>
      <c r="AG600" s="51"/>
      <c r="AH600" s="39">
        <f>IF(ISNUMBER($AD600),($AD600+$AE600+$AF600)*$AG600,"")</f>
      </c>
      <c r="AI600" s="50"/>
      <c r="AJ600" s="38">
        <f>IF(ISNUMBER($AD600),SUM($AD600:$AH600),"")</f>
      </c>
      <c r="AK600" s="40">
        <f>IF(AND(ISNUMBER($AB600),ISNUMBER($AD600)),IF($AB600&gt;0,$AD600/$AB600,""),"")</f>
      </c>
      <c r="AL600" s="48" t="inlineStr">
        <is>
          <t xml:space="preserve">At technical</t>
        </is>
      </c>
      <c r="AM600" s="41">
        <f>IF(ISNUMBER($AD600),Header!$I$3,"")</f>
      </c>
      <c r="AN600" s="39">
        <f>IF(ISNUMBER($AD600),$AO600+$AP600,"")</f>
      </c>
      <c r="AO600" s="39">
        <f>IF(ISNUMBER($AD600),ROUND($AD600*Header!$K$3,2),"")</f>
      </c>
      <c r="AP600" s="39">
        <f>IF(ISNUMBER($AD600),ROUND($AD600*Header!$M$3,2),"")</f>
      </c>
      <c r="AQ600" s="38">
        <f>IF(ISNUMBER($AD600),ROUND($AD600,2)-$AO600-$AP600,"")</f>
      </c>
      <c r="AR600" s="39">
        <f>IF(ISNUMBER($AD600),IF(Header!$D$34="","?",$AD600*Header!$D$34),"")</f>
      </c>
      <c r="AS600" s="39">
        <f>IF(ISNUMBER($AB600),IF(Header!$D$34="","?",$AB600*Header!$D$34),"")</f>
      </c>
      <c r="AT600" s="42">
        <f>IF(AND(ISNUMBER($AB600),$M600&gt;0),$AB600/$M600*100,"")</f>
      </c>
      <c r="AU600" s="42">
        <f>IF(AND(ISNUMBER($AD600),$M600&gt;0),$AD600/$M600*100,"")</f>
      </c>
      <c r="AV600" s="40">
        <f>IF(AND(ISNUMBER($AB600),ISNUMBER($AD600),ABS($AB600)&gt;0),$AD600/$AB600,"")</f>
      </c>
      <c r="AW600" s="39">
        <f>IF(ISNUMBER($AD600),MAX(0,(1-0.55-Header!$O$3)*Header!$Q$3*$AQ600),"")</f>
      </c>
      <c r="AX600" s="43">
        <f>IF($A600="","",IF(TRIM(IF($A600="","Missing certificate ref. ","") &amp; IF($C600="","Missing effective date. ","") &amp; IF($D600="","Missing binding status. ","") &amp; IF($E600="","Missing movement type. ","") &amp; IF($I600="","Missing make. ","") &amp; IF($L600="","Missing vehicle class. ","") &amp; IF($M600="","Missing agreed value. ","") &amp; IF($N600="","Missing policy type. ","") &amp; IF($Q600="","Missing garaging state. ","") &amp; IF($R600="","Missing garaging ZIP. ","") &amp; IF($S600="","Missing cat zone. ","") &amp; IF($V600="","Missing valuation basis. ","") &amp; IF($W600="","Missing PD deductible. ","") &amp; IF($X600="","Missing liability limit. ","") &amp; IF($AB600="","Missing technical premium. ","") &amp; IF($AF600="","Missing surplus lines tax %. ",""))="","PASS","FAIL: "&amp;TRIM(IF($A600="","Missing certificate ref. ","") &amp; IF($C600="","Missing effective date. ","") &amp; IF($D600="","Missing binding status. ","") &amp; IF($E600="","Missing movement type. ","") &amp; IF($I600="","Missing make. ","") &amp; IF($L600="","Missing vehicle class. ","") &amp; IF($M600="","Missing agreed value. ","") &amp; IF($N600="","Missing policy type. ","") &amp; IF($Q600="","Missing garaging state. ","") &amp; IF($R600="","Missing garaging ZIP. ","") &amp; IF($S600="","Missing cat zone. ","") &amp; IF($V600="","Missing valuation basis. ","") &amp; IF($W600="","Missing PD deductible. ","") &amp; IF($X600="","Missing liability limit. ","") &amp; IF($AB600="","Missing technical premium. ","") &amp; IF($AF600="","Missing surplus lines tax %. ",""))))</f>
      </c>
      <c r="AY600" s="44">
        <f>IF($M600="","",IF(ISNUMBER($M600),IF($M600&gt;=Header!$C$18,"YES — refer","No"),""))</f>
      </c>
      <c r="AZ600" s="44">
        <f>IF($AD600="","",IF(ISNUMBER($AD600),IF($AD600&lt;Header!$C$20,"BELOW MIN PREMIUM","OK"),""))</f>
      </c>
      <c r="BA600" s="48" t="inlineStr">
        <is>
          <t xml:space="preserve">Yes</t>
        </is>
      </c>
      <c r="BB600" s="48" t="inlineStr">
        <is>
          <t xml:space="preserve">Yes</t>
        </is>
      </c>
      <c r="BC600" s="46" t="inlineStr">
        <is>
          <t xml:space="preserve">Synthetic demo data</t>
        </is>
      </c>
      <c r="BE600" s="45">
        <f>IF(OR($A600="",$L600="",$H600=""),"",IF(AND(LEFT($L600,2)="06",$H600&gt;1945),"FAIL - pre-war class, year "&amp;$H600,IF(AND(LEFT($L600,2)="07",OR($H600&lt;1946,$H600&gt;1972)),"FAIL - 1946-72 class, year "&amp;$H600,IF(AND(LEFT($L600,2)="08",OR($H600&lt;1973,$H600&gt;1999)),"FAIL - 1973-99 class, year "&amp;$H600,IF(AND(LEFT($L600,2)="09",OR($H600&lt;2000,$H600&gt;2010)),"FAIL - 2000-10 class, year "&amp;$H600,"OK")))))</f>
      </c>
      <c r="BF600" s="45">
        <f>IF($AD600="","",IF(ROUND($AO600+$AP600+$AQ600-$AD600,2)=0,"OK","FAIL - out by "&amp;TEXT($AO600+$AP600+$AQ600-$AD600,"$0.00")))</f>
      </c>
    </row>
    <row r="601" spans="1:58" ht="18.75" customHeight="1" x14ac:dyDescent="0.25">
      <c r="A601" s="30" t="inlineStr">
        <is>
          <t xml:space="preserve">CANON-202606-009215</t>
        </is>
      </c>
      <c r="B601" s="30" t="inlineStr">
        <is>
          <t xml:space="preserve">Ottilie Chattopadhyay</t>
        </is>
      </c>
      <c r="C601" s="31">
        <v>46191</v>
      </c>
      <c r="D601" s="32" t="inlineStr">
        <is>
          <t xml:space="preserve">Bound - within authority</t>
        </is>
      </c>
      <c r="E601" s="32" t="inlineStr">
        <is>
          <t xml:space="preserve">New business</t>
        </is>
      </c>
      <c r="F601" s="30" t="inlineStr">
        <is>
          <t xml:space="preserve">B1234EXOTIC26</t>
        </is>
      </c>
      <c r="G601" s="33">
        <f>IF($A601="","",IF($C601="","",YEAR($C601)))</f>
      </c>
      <c r="H601" s="34">
        <v>1969</v>
      </c>
      <c r="I601" s="30" t="inlineStr">
        <is>
          <t xml:space="preserve">Ferrari</t>
        </is>
      </c>
      <c r="J601" s="30" t="inlineStr">
        <is>
          <t xml:space="preserve">296 GTB</t>
        </is>
      </c>
      <c r="K601" s="30" t="inlineStr">
        <is>
          <t xml:space="preserve">3CHBZU7WPT3RGSDGZ</t>
        </is>
      </c>
      <c r="L601" s="32" t="inlineStr">
        <is>
          <t xml:space="preserve">03 - Supercar</t>
        </is>
      </c>
      <c r="M601" s="35">
        <v>635000</v>
      </c>
      <c r="N601" s="32" t="inlineStr">
        <is>
          <t xml:space="preserve">Personal</t>
        </is>
      </c>
      <c r="O601" s="30" t="inlineStr">
        <is>
          <t xml:space="preserve">Personal - regular use</t>
        </is>
      </c>
      <c r="P601" s="30" t="inlineStr">
        <is>
          <t xml:space="preserve">2,500 - 5,000</t>
        </is>
      </c>
      <c r="Q601" s="30" t="inlineStr">
        <is>
          <t xml:space="preserve">Colorado</t>
        </is>
      </c>
      <c r="R601" s="30" t="inlineStr">
        <is>
          <t xml:space="preserve">80202</t>
        </is>
      </c>
      <c r="S601" s="32" t="inlineStr">
        <is>
          <t xml:space="preserve">Severe convective - hail alley (high)</t>
        </is>
      </c>
      <c r="T601" s="36">
        <f>IF($A601="","",IF($S601="","",IFERROR(INDEX('[1]natural catastrophe'!$D$6:$D$17,MATCH($S601,'[1]natural catastrophe'!$B$6:$B$17,0)),"?")))</f>
      </c>
      <c r="U601" s="30" t="inlineStr">
        <is>
          <t xml:space="preserve">$5,000</t>
        </is>
      </c>
      <c r="V601" s="32" t="inlineStr">
        <is>
          <t xml:space="preserve">Agreed Value</t>
        </is>
      </c>
      <c r="W601" s="30" t="inlineStr">
        <is>
          <t xml:space="preserve">$1,000</t>
        </is>
      </c>
      <c r="X601" s="32" t="inlineStr">
        <is>
          <t xml:space="preserve">$1,000,000 CSL</t>
        </is>
      </c>
      <c r="Y601" s="30"/>
      <c r="Z601" s="30"/>
      <c r="AA601" s="32" t="inlineStr">
        <is>
          <t xml:space="preserve">Surplus Lines</t>
        </is>
      </c>
      <c r="AB601" s="35">
        <v>9575.51</v>
      </c>
      <c r="AC601" s="37">
        <v>0</v>
      </c>
      <c r="AD601" s="38">
        <f>IF(ISNUMBER($AB601),$AB601*(1+N($AC601)),"")</f>
      </c>
      <c r="AE601" s="35">
        <v>350</v>
      </c>
      <c r="AF601" s="35">
        <v>0</v>
      </c>
      <c r="AG601" s="37"/>
      <c r="AH601" s="39">
        <f>IF(ISNUMBER($AD601),($AD601+$AE601+$AF601)*$AG601,"")</f>
      </c>
      <c r="AI601" s="35"/>
      <c r="AJ601" s="38">
        <f>IF(ISNUMBER($AD601),SUM($AD601:$AH601),"")</f>
      </c>
      <c r="AK601" s="40">
        <f>IF(AND(ISNUMBER($AB601),ISNUMBER($AD601)),IF($AB601&gt;0,$AD601/$AB601,""),"")</f>
      </c>
      <c r="AL601" s="32" t="inlineStr">
        <is>
          <t xml:space="preserve">At technical</t>
        </is>
      </c>
      <c r="AM601" s="41">
        <f>IF(ISNUMBER($AD601),Header!$I$3,"")</f>
      </c>
      <c r="AN601" s="39">
        <f>IF(ISNUMBER($AD601),$AO601+$AP601,"")</f>
      </c>
      <c r="AO601" s="39">
        <f>IF(ISNUMBER($AD601),ROUND($AD601*Header!$K$3,2),"")</f>
      </c>
      <c r="AP601" s="39">
        <f>IF(ISNUMBER($AD601),ROUND($AD601*Header!$M$3,2),"")</f>
      </c>
      <c r="AQ601" s="38">
        <f>IF(ISNUMBER($AD601),ROUND($AD601,2)-$AO601-$AP601,"")</f>
      </c>
      <c r="AR601" s="39">
        <f>IF(ISNUMBER($AD601),IF(Header!$D$34="","?",$AD601*Header!$D$34),"")</f>
      </c>
      <c r="AS601" s="39">
        <f>IF(ISNUMBER($AB601),IF(Header!$D$34="","?",$AB601*Header!$D$34),"")</f>
      </c>
      <c r="AT601" s="42">
        <f>IF(AND(ISNUMBER($AB601),$M601&gt;0),$AB601/$M601*100,"")</f>
      </c>
      <c r="AU601" s="42">
        <f>IF(AND(ISNUMBER($AD601),$M601&gt;0),$AD601/$M601*100,"")</f>
      </c>
      <c r="AV601" s="40">
        <f>IF(AND(ISNUMBER($AB601),ISNUMBER($AD601),ABS($AB601)&gt;0),$AD601/$AB601,"")</f>
      </c>
      <c r="AW601" s="39">
        <f>IF(ISNUMBER($AD601),MAX(0,(1-0.55-Header!$O$3)*Header!$Q$3*$AQ601),"")</f>
      </c>
      <c r="AX601" s="43">
        <f>IF($A601="","",IF(TRIM(IF($A601="","Missing certificate ref. ","") &amp; IF($C601="","Missing effective date. ","") &amp; IF($D601="","Missing binding status. ","") &amp; IF($E601="","Missing movement type. ","") &amp; IF($I601="","Missing make. ","") &amp; IF($L601="","Missing vehicle class. ","") &amp; IF($M601="","Missing agreed value. ","") &amp; IF($N601="","Missing policy type. ","") &amp; IF($Q601="","Missing garaging state. ","") &amp; IF($R601="","Missing garaging ZIP. ","") &amp; IF($S601="","Missing cat zone. ","") &amp; IF($V601="","Missing valuation basis. ","") &amp; IF($W601="","Missing PD deductible. ","") &amp; IF($X601="","Missing liability limit. ","") &amp; IF($AB601="","Missing technical premium. ","") &amp; IF($AF601="","Missing surplus lines tax %. ",""))="","PASS","FAIL: "&amp;TRIM(IF($A601="","Missing certificate ref. ","") &amp; IF($C601="","Missing effective date. ","") &amp; IF($D601="","Missing binding status. ","") &amp; IF($E601="","Missing movement type. ","") &amp; IF($I601="","Missing make. ","") &amp; IF($L601="","Missing vehicle class. ","") &amp; IF($M601="","Missing agreed value. ","") &amp; IF($N601="","Missing policy type. ","") &amp; IF($Q601="","Missing garaging state. ","") &amp; IF($R601="","Missing garaging ZIP. ","") &amp; IF($S601="","Missing cat zone. ","") &amp; IF($V601="","Missing valuation basis. ","") &amp; IF($W601="","Missing PD deductible. ","") &amp; IF($X601="","Missing liability limit. ","") &amp; IF($AB601="","Missing technical premium. ","") &amp; IF($AF601="","Missing surplus lines tax %. ",""))))</f>
      </c>
      <c r="AY601" s="44">
        <f>IF($M601="","",IF(ISNUMBER($M601),IF($M601&gt;=Header!$C$18,"YES — refer","No"),""))</f>
      </c>
      <c r="AZ601" s="44">
        <f>IF($AD601="","",IF(ISNUMBER($AD601),IF($AD601&lt;Header!$C$20,"BELOW MIN PREMIUM","OK"),""))</f>
      </c>
      <c r="BA601" s="32" t="inlineStr">
        <is>
          <t xml:space="preserve">Yes</t>
        </is>
      </c>
      <c r="BB601" s="32" t="inlineStr">
        <is>
          <t xml:space="preserve">Yes</t>
        </is>
      </c>
      <c r="BC601" s="30" t="inlineStr">
        <is>
          <t xml:space="preserve">Synthetic demo data</t>
        </is>
      </c>
      <c r="BE601" s="45">
        <f>IF(OR($A601="",$L601="",$H601=""),"",IF(AND(LEFT($L601,2)="06",$H601&gt;1945),"FAIL - pre-war class, year "&amp;$H601,IF(AND(LEFT($L601,2)="07",OR($H601&lt;1946,$H601&gt;1972)),"FAIL - 1946-72 class, year "&amp;$H601,IF(AND(LEFT($L601,2)="08",OR($H601&lt;1973,$H601&gt;1999)),"FAIL - 1973-99 class, year "&amp;$H601,IF(AND(LEFT($L601,2)="09",OR($H601&lt;2000,$H601&gt;2010)),"FAIL - 2000-10 class, year "&amp;$H601,"OK")))))</f>
      </c>
      <c r="BF601" s="45">
        <f>IF($AD601="","",IF(ROUND($AO601+$AP601+$AQ601-$AD601,2)=0,"OK","FAIL - out by "&amp;TEXT($AO601+$AP601+$AQ601-$AD601,"$0.00")))</f>
      </c>
    </row>
    <row r="602" spans="1:58" ht="18.75" customHeight="1" x14ac:dyDescent="0.25">
      <c r="A602" s="46" t="inlineStr">
        <is>
          <t xml:space="preserve">CANON-202606-009216</t>
        </is>
      </c>
      <c r="B602" s="46" t="inlineStr">
        <is>
          <t xml:space="preserve">Delphine Kingsford</t>
        </is>
      </c>
      <c r="C602" s="47">
        <v>46184</v>
      </c>
      <c r="D602" s="48" t="inlineStr">
        <is>
          <t xml:space="preserve">Bound - within authority</t>
        </is>
      </c>
      <c r="E602" s="48" t="inlineStr">
        <is>
          <t xml:space="preserve">New business</t>
        </is>
      </c>
      <c r="F602" s="46" t="inlineStr">
        <is>
          <t xml:space="preserve">B1234EXOTIC26</t>
        </is>
      </c>
      <c r="G602" s="33">
        <f>IF($A602="","",IF($C602="","",YEAR($C602)))</f>
      </c>
      <c r="H602" s="49">
        <v>1984</v>
      </c>
      <c r="I602" s="46" t="inlineStr">
        <is>
          <t xml:space="preserve">Maserati</t>
        </is>
      </c>
      <c r="J602" s="46" t="inlineStr">
        <is>
          <t xml:space="preserve">GranTurismo</t>
        </is>
      </c>
      <c r="K602" s="46" t="inlineStr">
        <is>
          <t xml:space="preserve">TM3YJC1LAZGCR9SJH</t>
        </is>
      </c>
      <c r="L602" s="48" t="inlineStr">
        <is>
          <t xml:space="preserve">02 - Sports / GT</t>
        </is>
      </c>
      <c r="M602" s="50">
        <v>295000</v>
      </c>
      <c r="N602" s="48" t="inlineStr">
        <is>
          <t xml:space="preserve">Personal</t>
        </is>
      </c>
      <c r="O602" s="46" t="inlineStr">
        <is>
          <t xml:space="preserve">Personal - regular use</t>
        </is>
      </c>
      <c r="P602" s="46" t="inlineStr">
        <is>
          <t xml:space="preserve">Under 1,000</t>
        </is>
      </c>
      <c r="Q602" s="46" t="inlineStr">
        <is>
          <t xml:space="preserve">Texas</t>
        </is>
      </c>
      <c r="R602" s="46" t="inlineStr">
        <is>
          <t xml:space="preserve">75201</t>
        </is>
      </c>
      <c r="S602" s="48" t="inlineStr">
        <is>
          <t xml:space="preserve">Tier 2 - Coastal wind (1-25 miles)</t>
        </is>
      </c>
      <c r="T602" s="36">
        <f>IF($A602="","",IF($S602="","",IFERROR(INDEX('[1]natural catastrophe'!$D$6:$D$17,MATCH($S602,'[1]natural catastrophe'!$B$6:$B$17,0)),"?")))</f>
      </c>
      <c r="U602" s="46" t="inlineStr">
        <is>
          <t xml:space="preserve">2% of agreed value, minimum $10,000</t>
        </is>
      </c>
      <c r="V602" s="48" t="inlineStr">
        <is>
          <t xml:space="preserve">Agreed Value</t>
        </is>
      </c>
      <c r="W602" s="46" t="inlineStr">
        <is>
          <t xml:space="preserve">$1,000</t>
        </is>
      </c>
      <c r="X602" s="48" t="inlineStr">
        <is>
          <t xml:space="preserve">$1,000,000 CSL</t>
        </is>
      </c>
      <c r="Y602" s="46"/>
      <c r="Z602" s="46"/>
      <c r="AA602" s="48" t="inlineStr">
        <is>
          <t xml:space="preserve">Surplus Lines</t>
        </is>
      </c>
      <c r="AB602" s="50">
        <v>3671.58</v>
      </c>
      <c r="AC602" s="51">
        <v>0</v>
      </c>
      <c r="AD602" s="38">
        <f>IF(ISNUMBER($AB602),$AB602*(1+N($AC602)),"")</f>
      </c>
      <c r="AE602" s="50">
        <v>350</v>
      </c>
      <c r="AF602" s="50">
        <v>0</v>
      </c>
      <c r="AG602" s="51"/>
      <c r="AH602" s="39">
        <f>IF(ISNUMBER($AD602),($AD602+$AE602+$AF602)*$AG602,"")</f>
      </c>
      <c r="AI602" s="50"/>
      <c r="AJ602" s="38">
        <f>IF(ISNUMBER($AD602),SUM($AD602:$AH602),"")</f>
      </c>
      <c r="AK602" s="40">
        <f>IF(AND(ISNUMBER($AB602),ISNUMBER($AD602)),IF($AB602&gt;0,$AD602/$AB602,""),"")</f>
      </c>
      <c r="AL602" s="48" t="inlineStr">
        <is>
          <t xml:space="preserve">At technical</t>
        </is>
      </c>
      <c r="AM602" s="41">
        <f>IF(ISNUMBER($AD602),Header!$I$3,"")</f>
      </c>
      <c r="AN602" s="39">
        <f>IF(ISNUMBER($AD602),$AO602+$AP602,"")</f>
      </c>
      <c r="AO602" s="39">
        <f>IF(ISNUMBER($AD602),ROUND($AD602*Header!$K$3,2),"")</f>
      </c>
      <c r="AP602" s="39">
        <f>IF(ISNUMBER($AD602),ROUND($AD602*Header!$M$3,2),"")</f>
      </c>
      <c r="AQ602" s="38">
        <f>IF(ISNUMBER($AD602),ROUND($AD602,2)-$AO602-$AP602,"")</f>
      </c>
      <c r="AR602" s="39">
        <f>IF(ISNUMBER($AD602),IF(Header!$D$34="","?",$AD602*Header!$D$34),"")</f>
      </c>
      <c r="AS602" s="39">
        <f>IF(ISNUMBER($AB602),IF(Header!$D$34="","?",$AB602*Header!$D$34),"")</f>
      </c>
      <c r="AT602" s="42">
        <f>IF(AND(ISNUMBER($AB602),$M602&gt;0),$AB602/$M602*100,"")</f>
      </c>
      <c r="AU602" s="42">
        <f>IF(AND(ISNUMBER($AD602),$M602&gt;0),$AD602/$M602*100,"")</f>
      </c>
      <c r="AV602" s="40">
        <f>IF(AND(ISNUMBER($AB602),ISNUMBER($AD602),ABS($AB602)&gt;0),$AD602/$AB602,"")</f>
      </c>
      <c r="AW602" s="39">
        <f>IF(ISNUMBER($AD602),MAX(0,(1-0.55-Header!$O$3)*Header!$Q$3*$AQ602),"")</f>
      </c>
      <c r="AX602" s="43">
        <f>IF($A602="","",IF(TRIM(IF($A602="","Missing certificate ref. ","") &amp; IF($C602="","Missing effective date. ","") &amp; IF($D602="","Missing binding status. ","") &amp; IF($E602="","Missing movement type. ","") &amp; IF($I602="","Missing make. ","") &amp; IF($L602="","Missing vehicle class. ","") &amp; IF($M602="","Missing agreed value. ","") &amp; IF($N602="","Missing policy type. ","") &amp; IF($Q602="","Missing garaging state. ","") &amp; IF($R602="","Missing garaging ZIP. ","") &amp; IF($S602="","Missing cat zone. ","") &amp; IF($V602="","Missing valuation basis. ","") &amp; IF($W602="","Missing PD deductible. ","") &amp; IF($X602="","Missing liability limit. ","") &amp; IF($AB602="","Missing technical premium. ","") &amp; IF($AF602="","Missing surplus lines tax %. ",""))="","PASS","FAIL: "&amp;TRIM(IF($A602="","Missing certificate ref. ","") &amp; IF($C602="","Missing effective date. ","") &amp; IF($D602="","Missing binding status. ","") &amp; IF($E602="","Missing movement type. ","") &amp; IF($I602="","Missing make. ","") &amp; IF($L602="","Missing vehicle class. ","") &amp; IF($M602="","Missing agreed value. ","") &amp; IF($N602="","Missing policy type. ","") &amp; IF($Q602="","Missing garaging state. ","") &amp; IF($R602="","Missing garaging ZIP. ","") &amp; IF($S602="","Missing cat zone. ","") &amp; IF($V602="","Missing valuation basis. ","") &amp; IF($W602="","Missing PD deductible. ","") &amp; IF($X602="","Missing liability limit. ","") &amp; IF($AB602="","Missing technical premium. ","") &amp; IF($AF602="","Missing surplus lines tax %. ",""))))</f>
      </c>
      <c r="AY602" s="44">
        <f>IF($M602="","",IF(ISNUMBER($M602),IF($M602&gt;=Header!$C$18,"YES — refer","No"),""))</f>
      </c>
      <c r="AZ602" s="44">
        <f>IF($AD602="","",IF(ISNUMBER($AD602),IF($AD602&lt;Header!$C$20,"BELOW MIN PREMIUM","OK"),""))</f>
      </c>
      <c r="BA602" s="48" t="inlineStr">
        <is>
          <t xml:space="preserve">Yes</t>
        </is>
      </c>
      <c r="BB602" s="48" t="inlineStr">
        <is>
          <t xml:space="preserve">Yes</t>
        </is>
      </c>
      <c r="BC602" s="46" t="inlineStr">
        <is>
          <t xml:space="preserve">Synthetic demo data</t>
        </is>
      </c>
      <c r="BE602" s="45">
        <f>IF(OR($A602="",$L602="",$H602=""),"",IF(AND(LEFT($L602,2)="06",$H602&gt;1945),"FAIL - pre-war class, year "&amp;$H602,IF(AND(LEFT($L602,2)="07",OR($H602&lt;1946,$H602&gt;1972)),"FAIL - 1946-72 class, year "&amp;$H602,IF(AND(LEFT($L602,2)="08",OR($H602&lt;1973,$H602&gt;1999)),"FAIL - 1973-99 class, year "&amp;$H602,IF(AND(LEFT($L602,2)="09",OR($H602&lt;2000,$H602&gt;2010)),"FAIL - 2000-10 class, year "&amp;$H602,"OK")))))</f>
      </c>
      <c r="BF602" s="45">
        <f>IF($AD602="","",IF(ROUND($AO602+$AP602+$AQ602-$AD602,2)=0,"OK","FAIL - out by "&amp;TEXT($AO602+$AP602+$AQ602-$AD602,"$0.00")))</f>
      </c>
    </row>
    <row r="603" spans="1:58" ht="18.75" customHeight="1" x14ac:dyDescent="0.25">
      <c r="A603" s="30" t="inlineStr">
        <is>
          <t xml:space="preserve">CANON-202606-009217</t>
        </is>
      </c>
      <c r="B603" s="30" t="inlineStr">
        <is>
          <t xml:space="preserve">Priya Underwood</t>
        </is>
      </c>
      <c r="C603" s="31">
        <v>46175</v>
      </c>
      <c r="D603" s="32" t="inlineStr">
        <is>
          <t xml:space="preserve">Bound - within authority</t>
        </is>
      </c>
      <c r="E603" s="32" t="inlineStr">
        <is>
          <t xml:space="preserve">New business</t>
        </is>
      </c>
      <c r="F603" s="30" t="inlineStr">
        <is>
          <t xml:space="preserve">B1234EXOTIC26</t>
        </is>
      </c>
      <c r="G603" s="33">
        <f>IF($A603="","",IF($C603="","",YEAR($C603)))</f>
      </c>
      <c r="H603" s="34">
        <v>1991</v>
      </c>
      <c r="I603" s="30" t="inlineStr">
        <is>
          <t xml:space="preserve">Lamborghini</t>
        </is>
      </c>
      <c r="J603" s="30" t="inlineStr">
        <is>
          <t xml:space="preserve">Huracan EVO</t>
        </is>
      </c>
      <c r="K603" s="30" t="inlineStr">
        <is>
          <t xml:space="preserve">6UJRY1HU2LJLWHJEJ</t>
        </is>
      </c>
      <c r="L603" s="32" t="inlineStr">
        <is>
          <t xml:space="preserve">03 - Supercar</t>
        </is>
      </c>
      <c r="M603" s="35">
        <v>635000</v>
      </c>
      <c r="N603" s="32" t="inlineStr">
        <is>
          <t xml:space="preserve">Personal</t>
        </is>
      </c>
      <c r="O603" s="30" t="inlineStr">
        <is>
          <t xml:space="preserve">Personal - regular use</t>
        </is>
      </c>
      <c r="P603" s="30" t="inlineStr">
        <is>
          <t xml:space="preserve">1,000 - 2,500</t>
        </is>
      </c>
      <c r="Q603" s="30" t="inlineStr">
        <is>
          <t xml:space="preserve">Texas</t>
        </is>
      </c>
      <c r="R603" s="30" t="inlineStr">
        <is>
          <t xml:space="preserve">75201</t>
        </is>
      </c>
      <c r="S603" s="32" t="inlineStr">
        <is>
          <t xml:space="preserve">Tier 2 - Coastal wind (1-25 miles)</t>
        </is>
      </c>
      <c r="T603" s="36">
        <f>IF($A603="","",IF($S603="","",IFERROR(INDEX('[1]natural catastrophe'!$D$6:$D$17,MATCH($S603,'[1]natural catastrophe'!$B$6:$B$17,0)),"?")))</f>
      </c>
      <c r="U603" s="30" t="inlineStr">
        <is>
          <t xml:space="preserve">2% of agreed value, minimum $10,000</t>
        </is>
      </c>
      <c r="V603" s="32" t="inlineStr">
        <is>
          <t xml:space="preserve">Agreed Value</t>
        </is>
      </c>
      <c r="W603" s="30" t="inlineStr">
        <is>
          <t xml:space="preserve">$1,000</t>
        </is>
      </c>
      <c r="X603" s="32" t="inlineStr">
        <is>
          <t xml:space="preserve">$1,000,000 CSL</t>
        </is>
      </c>
      <c r="Y603" s="30"/>
      <c r="Z603" s="30"/>
      <c r="AA603" s="32" t="inlineStr">
        <is>
          <t xml:space="preserve">Surplus Lines</t>
        </is>
      </c>
      <c r="AB603" s="35">
        <v>10010.77</v>
      </c>
      <c r="AC603" s="37">
        <v>0</v>
      </c>
      <c r="AD603" s="38">
        <f>IF(ISNUMBER($AB603),$AB603*(1+N($AC603)),"")</f>
      </c>
      <c r="AE603" s="35">
        <v>350</v>
      </c>
      <c r="AF603" s="35">
        <v>0</v>
      </c>
      <c r="AG603" s="37"/>
      <c r="AH603" s="39">
        <f>IF(ISNUMBER($AD603),($AD603+$AE603+$AF603)*$AG603,"")</f>
      </c>
      <c r="AI603" s="35"/>
      <c r="AJ603" s="38">
        <f>IF(ISNUMBER($AD603),SUM($AD603:$AH603),"")</f>
      </c>
      <c r="AK603" s="40">
        <f>IF(AND(ISNUMBER($AB603),ISNUMBER($AD603)),IF($AB603&gt;0,$AD603/$AB603,""),"")</f>
      </c>
      <c r="AL603" s="32" t="inlineStr">
        <is>
          <t xml:space="preserve">At technical</t>
        </is>
      </c>
      <c r="AM603" s="41">
        <f>IF(ISNUMBER($AD603),Header!$I$3,"")</f>
      </c>
      <c r="AN603" s="39">
        <f>IF(ISNUMBER($AD603),$AO603+$AP603,"")</f>
      </c>
      <c r="AO603" s="39">
        <f>IF(ISNUMBER($AD603),ROUND($AD603*Header!$K$3,2),"")</f>
      </c>
      <c r="AP603" s="39">
        <f>IF(ISNUMBER($AD603),ROUND($AD603*Header!$M$3,2),"")</f>
      </c>
      <c r="AQ603" s="38">
        <f>IF(ISNUMBER($AD603),ROUND($AD603,2)-$AO603-$AP603,"")</f>
      </c>
      <c r="AR603" s="39">
        <f>IF(ISNUMBER($AD603),IF(Header!$D$34="","?",$AD603*Header!$D$34),"")</f>
      </c>
      <c r="AS603" s="39">
        <f>IF(ISNUMBER($AB603),IF(Header!$D$34="","?",$AB603*Header!$D$34),"")</f>
      </c>
      <c r="AT603" s="42">
        <f>IF(AND(ISNUMBER($AB603),$M603&gt;0),$AB603/$M603*100,"")</f>
      </c>
      <c r="AU603" s="42">
        <f>IF(AND(ISNUMBER($AD603),$M603&gt;0),$AD603/$M603*100,"")</f>
      </c>
      <c r="AV603" s="40">
        <f>IF(AND(ISNUMBER($AB603),ISNUMBER($AD603),ABS($AB603)&gt;0),$AD603/$AB603,"")</f>
      </c>
      <c r="AW603" s="39">
        <f>IF(ISNUMBER($AD603),MAX(0,(1-0.55-Header!$O$3)*Header!$Q$3*$AQ603),"")</f>
      </c>
      <c r="AX603" s="43">
        <f>IF($A603="","",IF(TRIM(IF($A603="","Missing certificate ref. ","") &amp; IF($C603="","Missing effective date. ","") &amp; IF($D603="","Missing binding status. ","") &amp; IF($E603="","Missing movement type. ","") &amp; IF($I603="","Missing make. ","") &amp; IF($L603="","Missing vehicle class. ","") &amp; IF($M603="","Missing agreed value. ","") &amp; IF($N603="","Missing policy type. ","") &amp; IF($Q603="","Missing garaging state. ","") &amp; IF($R603="","Missing garaging ZIP. ","") &amp; IF($S603="","Missing cat zone. ","") &amp; IF($V603="","Missing valuation basis. ","") &amp; IF($W603="","Missing PD deductible. ","") &amp; IF($X603="","Missing liability limit. ","") &amp; IF($AB603="","Missing technical premium. ","") &amp; IF($AF603="","Missing surplus lines tax %. ",""))="","PASS","FAIL: "&amp;TRIM(IF($A603="","Missing certificate ref. ","") &amp; IF($C603="","Missing effective date. ","") &amp; IF($D603="","Missing binding status. ","") &amp; IF($E603="","Missing movement type. ","") &amp; IF($I603="","Missing make. ","") &amp; IF($L603="","Missing vehicle class. ","") &amp; IF($M603="","Missing agreed value. ","") &amp; IF($N603="","Missing policy type. ","") &amp; IF($Q603="","Missing garaging state. ","") &amp; IF($R603="","Missing garaging ZIP. ","") &amp; IF($S603="","Missing cat zone. ","") &amp; IF($V603="","Missing valuation basis. ","") &amp; IF($W603="","Missing PD deductible. ","") &amp; IF($X603="","Missing liability limit. ","") &amp; IF($AB603="","Missing technical premium. ","") &amp; IF($AF603="","Missing surplus lines tax %. ",""))))</f>
      </c>
      <c r="AY603" s="44">
        <f>IF($M603="","",IF(ISNUMBER($M603),IF($M603&gt;=Header!$C$18,"YES — refer","No"),""))</f>
      </c>
      <c r="AZ603" s="44">
        <f>IF($AD603="","",IF(ISNUMBER($AD603),IF($AD603&lt;Header!$C$20,"BELOW MIN PREMIUM","OK"),""))</f>
      </c>
      <c r="BA603" s="32" t="inlineStr">
        <is>
          <t xml:space="preserve">Yes</t>
        </is>
      </c>
      <c r="BB603" s="32" t="inlineStr">
        <is>
          <t xml:space="preserve">Yes</t>
        </is>
      </c>
      <c r="BC603" s="30" t="inlineStr">
        <is>
          <t xml:space="preserve">Synthetic demo data</t>
        </is>
      </c>
      <c r="BE603" s="45">
        <f>IF(OR($A603="",$L603="",$H603=""),"",IF(AND(LEFT($L603,2)="06",$H603&gt;1945),"FAIL - pre-war class, year "&amp;$H603,IF(AND(LEFT($L603,2)="07",OR($H603&lt;1946,$H603&gt;1972)),"FAIL - 1946-72 class, year "&amp;$H603,IF(AND(LEFT($L603,2)="08",OR($H603&lt;1973,$H603&gt;1999)),"FAIL - 1973-99 class, year "&amp;$H603,IF(AND(LEFT($L603,2)="09",OR($H603&lt;2000,$H603&gt;2010)),"FAIL - 2000-10 class, year "&amp;$H603,"OK")))))</f>
      </c>
      <c r="BF603" s="45">
        <f>IF($AD603="","",IF(ROUND($AO603+$AP603+$AQ603-$AD603,2)=0,"OK","FAIL - out by "&amp;TEXT($AO603+$AP603+$AQ603-$AD603,"$0.00")))</f>
      </c>
    </row>
    <row r="604" spans="1:58" ht="18.75" customHeight="1" x14ac:dyDescent="0.25">
      <c r="A604" s="46" t="inlineStr">
        <is>
          <t xml:space="preserve">CANON-202606-009218</t>
        </is>
      </c>
      <c r="B604" s="46" t="inlineStr">
        <is>
          <t xml:space="preserve">Priya Vandermeer</t>
        </is>
      </c>
      <c r="C604" s="47">
        <v>46200</v>
      </c>
      <c r="D604" s="48" t="inlineStr">
        <is>
          <t xml:space="preserve">Bound - within authority</t>
        </is>
      </c>
      <c r="E604" s="48" t="inlineStr">
        <is>
          <t xml:space="preserve">New business</t>
        </is>
      </c>
      <c r="F604" s="46" t="inlineStr">
        <is>
          <t xml:space="preserve">B1234EXOTIC26</t>
        </is>
      </c>
      <c r="G604" s="33">
        <f>IF($A604="","",IF($C604="","",YEAR($C604)))</f>
      </c>
      <c r="H604" s="49">
        <v>1962</v>
      </c>
      <c r="I604" s="46" t="inlineStr">
        <is>
          <t xml:space="preserve">Maserati</t>
        </is>
      </c>
      <c r="J604" s="46" t="inlineStr">
        <is>
          <t xml:space="preserve">GranTurismo</t>
        </is>
      </c>
      <c r="K604" s="46" t="inlineStr">
        <is>
          <t xml:space="preserve">TSPBYESZN8ZVJWFYV</t>
        </is>
      </c>
      <c r="L604" s="48" t="inlineStr">
        <is>
          <t xml:space="preserve">02 - Sports / GT</t>
        </is>
      </c>
      <c r="M604" s="50">
        <v>695000</v>
      </c>
      <c r="N604" s="48" t="inlineStr">
        <is>
          <t xml:space="preserve">Personal</t>
        </is>
      </c>
      <c r="O604" s="46" t="inlineStr">
        <is>
          <t xml:space="preserve">Personal - regular use</t>
        </is>
      </c>
      <c r="P604" s="46" t="inlineStr">
        <is>
          <t xml:space="preserve">Under 1,000</t>
        </is>
      </c>
      <c r="Q604" s="46" t="inlineStr">
        <is>
          <t xml:space="preserve">Washington</t>
        </is>
      </c>
      <c r="R604" s="46" t="inlineStr">
        <is>
          <t xml:space="preserve">98101</t>
        </is>
      </c>
      <c r="S604" s="48" t="inlineStr">
        <is>
          <t xml:space="preserve">Earthquake - high (CA, Cascadia, New Madrid)</t>
        </is>
      </c>
      <c r="T604" s="36">
        <f>IF($A604="","",IF($S604="","",IFERROR(INDEX('[1]natural catastrophe'!$D$6:$D$17,MATCH($S604,'[1]natural catastrophe'!$B$6:$B$17,0)),"?")))</f>
      </c>
      <c r="U604" s="46" t="inlineStr">
        <is>
          <t xml:space="preserve">$5,000</t>
        </is>
      </c>
      <c r="V604" s="48" t="inlineStr">
        <is>
          <t xml:space="preserve">Agreed Value</t>
        </is>
      </c>
      <c r="W604" s="46" t="inlineStr">
        <is>
          <t xml:space="preserve">$1,000</t>
        </is>
      </c>
      <c r="X604" s="48" t="inlineStr">
        <is>
          <t xml:space="preserve">$1,000,000 CSL</t>
        </is>
      </c>
      <c r="Y604" s="46"/>
      <c r="Z604" s="46"/>
      <c r="AA604" s="48" t="inlineStr">
        <is>
          <t xml:space="preserve">Surplus Lines</t>
        </is>
      </c>
      <c r="AB604" s="50">
        <v>6258.08</v>
      </c>
      <c r="AC604" s="51">
        <v>0</v>
      </c>
      <c r="AD604" s="38">
        <f>IF(ISNUMBER($AB604),$AB604*(1+N($AC604)),"")</f>
      </c>
      <c r="AE604" s="50">
        <v>350</v>
      </c>
      <c r="AF604" s="50">
        <v>0</v>
      </c>
      <c r="AG604" s="51"/>
      <c r="AH604" s="39">
        <f>IF(ISNUMBER($AD604),($AD604+$AE604+$AF604)*$AG604,"")</f>
      </c>
      <c r="AI604" s="50"/>
      <c r="AJ604" s="38">
        <f>IF(ISNUMBER($AD604),SUM($AD604:$AH604),"")</f>
      </c>
      <c r="AK604" s="40">
        <f>IF(AND(ISNUMBER($AB604),ISNUMBER($AD604)),IF($AB604&gt;0,$AD604/$AB604,""),"")</f>
      </c>
      <c r="AL604" s="48" t="inlineStr">
        <is>
          <t xml:space="preserve">At technical</t>
        </is>
      </c>
      <c r="AM604" s="41">
        <f>IF(ISNUMBER($AD604),Header!$I$3,"")</f>
      </c>
      <c r="AN604" s="39">
        <f>IF(ISNUMBER($AD604),$AO604+$AP604,"")</f>
      </c>
      <c r="AO604" s="39">
        <f>IF(ISNUMBER($AD604),ROUND($AD604*Header!$K$3,2),"")</f>
      </c>
      <c r="AP604" s="39">
        <f>IF(ISNUMBER($AD604),ROUND($AD604*Header!$M$3,2),"")</f>
      </c>
      <c r="AQ604" s="38">
        <f>IF(ISNUMBER($AD604),ROUND($AD604,2)-$AO604-$AP604,"")</f>
      </c>
      <c r="AR604" s="39">
        <f>IF(ISNUMBER($AD604),IF(Header!$D$34="","?",$AD604*Header!$D$34),"")</f>
      </c>
      <c r="AS604" s="39">
        <f>IF(ISNUMBER($AB604),IF(Header!$D$34="","?",$AB604*Header!$D$34),"")</f>
      </c>
      <c r="AT604" s="42">
        <f>IF(AND(ISNUMBER($AB604),$M604&gt;0),$AB604/$M604*100,"")</f>
      </c>
      <c r="AU604" s="42">
        <f>IF(AND(ISNUMBER($AD604),$M604&gt;0),$AD604/$M604*100,"")</f>
      </c>
      <c r="AV604" s="40">
        <f>IF(AND(ISNUMBER($AB604),ISNUMBER($AD604),ABS($AB604)&gt;0),$AD604/$AB604,"")</f>
      </c>
      <c r="AW604" s="39">
        <f>IF(ISNUMBER($AD604),MAX(0,(1-0.55-Header!$O$3)*Header!$Q$3*$AQ604),"")</f>
      </c>
      <c r="AX604" s="43">
        <f>IF($A604="","",IF(TRIM(IF($A604="","Missing certificate ref. ","") &amp; IF($C604="","Missing effective date. ","") &amp; IF($D604="","Missing binding status. ","") &amp; IF($E604="","Missing movement type. ","") &amp; IF($I604="","Missing make. ","") &amp; IF($L604="","Missing vehicle class. ","") &amp; IF($M604="","Missing agreed value. ","") &amp; IF($N604="","Missing policy type. ","") &amp; IF($Q604="","Missing garaging state. ","") &amp; IF($R604="","Missing garaging ZIP. ","") &amp; IF($S604="","Missing cat zone. ","") &amp; IF($V604="","Missing valuation basis. ","") &amp; IF($W604="","Missing PD deductible. ","") &amp; IF($X604="","Missing liability limit. ","") &amp; IF($AB604="","Missing technical premium. ","") &amp; IF($AF604="","Missing surplus lines tax %. ",""))="","PASS","FAIL: "&amp;TRIM(IF($A604="","Missing certificate ref. ","") &amp; IF($C604="","Missing effective date. ","") &amp; IF($D604="","Missing binding status. ","") &amp; IF($E604="","Missing movement type. ","") &amp; IF($I604="","Missing make. ","") &amp; IF($L604="","Missing vehicle class. ","") &amp; IF($M604="","Missing agreed value. ","") &amp; IF($N604="","Missing policy type. ","") &amp; IF($Q604="","Missing garaging state. ","") &amp; IF($R604="","Missing garaging ZIP. ","") &amp; IF($S604="","Missing cat zone. ","") &amp; IF($V604="","Missing valuation basis. ","") &amp; IF($W604="","Missing PD deductible. ","") &amp; IF($X604="","Missing liability limit. ","") &amp; IF($AB604="","Missing technical premium. ","") &amp; IF($AF604="","Missing surplus lines tax %. ",""))))</f>
      </c>
      <c r="AY604" s="44">
        <f>IF($M604="","",IF(ISNUMBER($M604),IF($M604&gt;=Header!$C$18,"YES — refer","No"),""))</f>
      </c>
      <c r="AZ604" s="44">
        <f>IF($AD604="","",IF(ISNUMBER($AD604),IF($AD604&lt;Header!$C$20,"BELOW MIN PREMIUM","OK"),""))</f>
      </c>
      <c r="BA604" s="48" t="inlineStr">
        <is>
          <t xml:space="preserve">Yes</t>
        </is>
      </c>
      <c r="BB604" s="48" t="inlineStr">
        <is>
          <t xml:space="preserve">Yes</t>
        </is>
      </c>
      <c r="BC604" s="46" t="inlineStr">
        <is>
          <t xml:space="preserve">Synthetic demo data</t>
        </is>
      </c>
      <c r="BE604" s="45">
        <f>IF(OR($A604="",$L604="",$H604=""),"",IF(AND(LEFT($L604,2)="06",$H604&gt;1945),"FAIL - pre-war class, year "&amp;$H604,IF(AND(LEFT($L604,2)="07",OR($H604&lt;1946,$H604&gt;1972)),"FAIL - 1946-72 class, year "&amp;$H604,IF(AND(LEFT($L604,2)="08",OR($H604&lt;1973,$H604&gt;1999)),"FAIL - 1973-99 class, year "&amp;$H604,IF(AND(LEFT($L604,2)="09",OR($H604&lt;2000,$H604&gt;2010)),"FAIL - 2000-10 class, year "&amp;$H604,"OK")))))</f>
      </c>
      <c r="BF604" s="45">
        <f>IF($AD604="","",IF(ROUND($AO604+$AP604+$AQ604-$AD604,2)=0,"OK","FAIL - out by "&amp;TEXT($AO604+$AP604+$AQ604-$AD604,"$0.00")))</f>
      </c>
    </row>
    <row r="605" spans="1:58" ht="18.75" customHeight="1" x14ac:dyDescent="0.25">
      <c r="A605" s="30" t="inlineStr">
        <is>
          <t xml:space="preserve">CANON-202606-009220</t>
        </is>
      </c>
      <c r="B605" s="30" t="inlineStr">
        <is>
          <t xml:space="preserve">Marisol Harrington</t>
        </is>
      </c>
      <c r="C605" s="31">
        <v>46181</v>
      </c>
      <c r="D605" s="32" t="inlineStr">
        <is>
          <t xml:space="preserve">Bound - within authority</t>
        </is>
      </c>
      <c r="E605" s="32" t="inlineStr">
        <is>
          <t xml:space="preserve">New business</t>
        </is>
      </c>
      <c r="F605" s="30" t="inlineStr">
        <is>
          <t xml:space="preserve">B1234EXOTIC26</t>
        </is>
      </c>
      <c r="G605" s="33">
        <f>IF($A605="","",IF($C605="","",YEAR($C605)))</f>
      </c>
      <c r="H605" s="34">
        <v>1956</v>
      </c>
      <c r="I605" s="30" t="inlineStr">
        <is>
          <t xml:space="preserve">Mercedes-Benz</t>
        </is>
      </c>
      <c r="J605" s="30" t="inlineStr">
        <is>
          <t xml:space="preserve">280SL Pagoda</t>
        </is>
      </c>
      <c r="K605" s="30" t="inlineStr">
        <is>
          <t xml:space="preserve">WS7DVCULPYPKRWA3G</t>
        </is>
      </c>
      <c r="L605" s="32" t="inlineStr">
        <is>
          <t xml:space="preserve">07 - Post-War Classic (1946-1972)</t>
        </is>
      </c>
      <c r="M605" s="35">
        <v>440000</v>
      </c>
      <c r="N605" s="32" t="inlineStr">
        <is>
          <t xml:space="preserve">Personal</t>
        </is>
      </c>
      <c r="O605" s="30" t="inlineStr">
        <is>
          <t xml:space="preserve">Personal - regular use</t>
        </is>
      </c>
      <c r="P605" s="30" t="inlineStr">
        <is>
          <t xml:space="preserve">1,000 - 2,500</t>
        </is>
      </c>
      <c r="Q605" s="30" t="inlineStr">
        <is>
          <t xml:space="preserve">New York</t>
        </is>
      </c>
      <c r="R605" s="30" t="inlineStr">
        <is>
          <t xml:space="preserve">10022</t>
        </is>
      </c>
      <c r="S605" s="32" t="inlineStr">
        <is>
          <t xml:space="preserve">Tier 3 - Coastal wind (25-100 miles)</t>
        </is>
      </c>
      <c r="T605" s="36">
        <f>IF($A605="","",IF($S605="","",IFERROR(INDEX('[1]natural catastrophe'!$D$6:$D$17,MATCH($S605,'[1]natural catastrophe'!$B$6:$B$17,0)),"?")))</f>
      </c>
      <c r="U605" s="30" t="inlineStr">
        <is>
          <t xml:space="preserve">2% of agreed value, minimum $10,000</t>
        </is>
      </c>
      <c r="V605" s="32" t="inlineStr">
        <is>
          <t xml:space="preserve">Agreed Value</t>
        </is>
      </c>
      <c r="W605" s="30" t="inlineStr">
        <is>
          <t xml:space="preserve">$1,000</t>
        </is>
      </c>
      <c r="X605" s="32" t="inlineStr">
        <is>
          <t xml:space="preserve">$1,000,000 CSL</t>
        </is>
      </c>
      <c r="Y605" s="30"/>
      <c r="Z605" s="30"/>
      <c r="AA605" s="32" t="inlineStr">
        <is>
          <t xml:space="preserve">Surplus Lines</t>
        </is>
      </c>
      <c r="AB605" s="35">
        <v>3901</v>
      </c>
      <c r="AC605" s="37">
        <v>0</v>
      </c>
      <c r="AD605" s="38">
        <f>IF(ISNUMBER($AB605),$AB605*(1+N($AC605)),"")</f>
      </c>
      <c r="AE605" s="35">
        <v>350</v>
      </c>
      <c r="AF605" s="35">
        <v>0</v>
      </c>
      <c r="AG605" s="37"/>
      <c r="AH605" s="39">
        <f>IF(ISNUMBER($AD605),($AD605+$AE605+$AF605)*$AG605,"")</f>
      </c>
      <c r="AI605" s="35"/>
      <c r="AJ605" s="38">
        <f>IF(ISNUMBER($AD605),SUM($AD605:$AH605),"")</f>
      </c>
      <c r="AK605" s="40">
        <f>IF(AND(ISNUMBER($AB605),ISNUMBER($AD605)),IF($AB605&gt;0,$AD605/$AB605,""),"")</f>
      </c>
      <c r="AL605" s="32" t="inlineStr">
        <is>
          <t xml:space="preserve">At technical</t>
        </is>
      </c>
      <c r="AM605" s="41">
        <f>IF(ISNUMBER($AD605),Header!$I$3,"")</f>
      </c>
      <c r="AN605" s="39">
        <f>IF(ISNUMBER($AD605),$AO605+$AP605,"")</f>
      </c>
      <c r="AO605" s="39">
        <f>IF(ISNUMBER($AD605),ROUND($AD605*Header!$K$3,2),"")</f>
      </c>
      <c r="AP605" s="39">
        <f>IF(ISNUMBER($AD605),ROUND($AD605*Header!$M$3,2),"")</f>
      </c>
      <c r="AQ605" s="38">
        <f>IF(ISNUMBER($AD605),ROUND($AD605,2)-$AO605-$AP605,"")</f>
      </c>
      <c r="AR605" s="39">
        <f>IF(ISNUMBER($AD605),IF(Header!$D$34="","?",$AD605*Header!$D$34),"")</f>
      </c>
      <c r="AS605" s="39">
        <f>IF(ISNUMBER($AB605),IF(Header!$D$34="","?",$AB605*Header!$D$34),"")</f>
      </c>
      <c r="AT605" s="42">
        <f>IF(AND(ISNUMBER($AB605),$M605&gt;0),$AB605/$M605*100,"")</f>
      </c>
      <c r="AU605" s="42">
        <f>IF(AND(ISNUMBER($AD605),$M605&gt;0),$AD605/$M605*100,"")</f>
      </c>
      <c r="AV605" s="40">
        <f>IF(AND(ISNUMBER($AB605),ISNUMBER($AD605),ABS($AB605)&gt;0),$AD605/$AB605,"")</f>
      </c>
      <c r="AW605" s="39">
        <f>IF(ISNUMBER($AD605),MAX(0,(1-0.55-Header!$O$3)*Header!$Q$3*$AQ605),"")</f>
      </c>
      <c r="AX605" s="43">
        <f>IF($A605="","",IF(TRIM(IF($A605="","Missing certificate ref. ","") &amp; IF($C605="","Missing effective date. ","") &amp; IF($D605="","Missing binding status. ","") &amp; IF($E605="","Missing movement type. ","") &amp; IF($I605="","Missing make. ","") &amp; IF($L605="","Missing vehicle class. ","") &amp; IF($M605="","Missing agreed value. ","") &amp; IF($N605="","Missing policy type. ","") &amp; IF($Q605="","Missing garaging state. ","") &amp; IF($R605="","Missing garaging ZIP. ","") &amp; IF($S605="","Missing cat zone. ","") &amp; IF($V605="","Missing valuation basis. ","") &amp; IF($W605="","Missing PD deductible. ","") &amp; IF($X605="","Missing liability limit. ","") &amp; IF($AB605="","Missing technical premium. ","") &amp; IF($AF605="","Missing surplus lines tax %. ",""))="","PASS","FAIL: "&amp;TRIM(IF($A605="","Missing certificate ref. ","") &amp; IF($C605="","Missing effective date. ","") &amp; IF($D605="","Missing binding status. ","") &amp; IF($E605="","Missing movement type. ","") &amp; IF($I605="","Missing make. ","") &amp; IF($L605="","Missing vehicle class. ","") &amp; IF($M605="","Missing agreed value. ","") &amp; IF($N605="","Missing policy type. ","") &amp; IF($Q605="","Missing garaging state. ","") &amp; IF($R605="","Missing garaging ZIP. ","") &amp; IF($S605="","Missing cat zone. ","") &amp; IF($V605="","Missing valuation basis. ","") &amp; IF($W605="","Missing PD deductible. ","") &amp; IF($X605="","Missing liability limit. ","") &amp; IF($AB605="","Missing technical premium. ","") &amp; IF($AF605="","Missing surplus lines tax %. ",""))))</f>
      </c>
      <c r="AY605" s="44">
        <f>IF($M605="","",IF(ISNUMBER($M605),IF($M605&gt;=Header!$C$18,"YES — refer","No"),""))</f>
      </c>
      <c r="AZ605" s="44">
        <f>IF($AD605="","",IF(ISNUMBER($AD605),IF($AD605&lt;Header!$C$20,"BELOW MIN PREMIUM","OK"),""))</f>
      </c>
      <c r="BA605" s="32" t="inlineStr">
        <is>
          <t xml:space="preserve">Yes</t>
        </is>
      </c>
      <c r="BB605" s="32" t="inlineStr">
        <is>
          <t xml:space="preserve">Yes</t>
        </is>
      </c>
      <c r="BC605" s="30" t="inlineStr">
        <is>
          <t xml:space="preserve">Synthetic demo data</t>
        </is>
      </c>
      <c r="BE605" s="45">
        <f>IF(OR($A605="",$L605="",$H605=""),"",IF(AND(LEFT($L605,2)="06",$H605&gt;1945),"FAIL - pre-war class, year "&amp;$H605,IF(AND(LEFT($L605,2)="07",OR($H605&lt;1946,$H605&gt;1972)),"FAIL - 1946-72 class, year "&amp;$H605,IF(AND(LEFT($L605,2)="08",OR($H605&lt;1973,$H605&gt;1999)),"FAIL - 1973-99 class, year "&amp;$H605,IF(AND(LEFT($L605,2)="09",OR($H605&lt;2000,$H605&gt;2010)),"FAIL - 2000-10 class, year "&amp;$H605,"OK")))))</f>
      </c>
      <c r="BF605" s="45">
        <f>IF($AD605="","",IF(ROUND($AO605+$AP605+$AQ605-$AD605,2)=0,"OK","FAIL - out by "&amp;TEXT($AO605+$AP605+$AQ605-$AD605,"$0.00")))</f>
      </c>
    </row>
    <row r="606" spans="1:58" ht="18.75" customHeight="1" x14ac:dyDescent="0.25">
      <c r="A606" s="46" t="inlineStr">
        <is>
          <t xml:space="preserve">CANON-202606-009221</t>
        </is>
      </c>
      <c r="B606" s="46" t="inlineStr">
        <is>
          <t xml:space="preserve">Fitzgerald Castellanos</t>
        </is>
      </c>
      <c r="C606" s="47">
        <v>46198</v>
      </c>
      <c r="D606" s="48" t="inlineStr">
        <is>
          <t xml:space="preserve">Bound - within authority</t>
        </is>
      </c>
      <c r="E606" s="48" t="inlineStr">
        <is>
          <t xml:space="preserve">New business</t>
        </is>
      </c>
      <c r="F606" s="46" t="inlineStr">
        <is>
          <t xml:space="preserve">B1234EXOTIC26</t>
        </is>
      </c>
      <c r="G606" s="33">
        <f>IF($A606="","",IF($C606="","",YEAR($C606)))</f>
      </c>
      <c r="H606" s="49">
        <v>1962</v>
      </c>
      <c r="I606" s="46" t="inlineStr">
        <is>
          <t xml:space="preserve">BMW</t>
        </is>
      </c>
      <c r="J606" s="46" t="inlineStr">
        <is>
          <t xml:space="preserve">M8 Competition</t>
        </is>
      </c>
      <c r="K606" s="46" t="inlineStr">
        <is>
          <t xml:space="preserve">1MVTZKBPRMU0C67FN</t>
        </is>
      </c>
      <c r="L606" s="48" t="inlineStr">
        <is>
          <t xml:space="preserve">02 - Sports / GT</t>
        </is>
      </c>
      <c r="M606" s="50">
        <v>470000</v>
      </c>
      <c r="N606" s="48" t="inlineStr">
        <is>
          <t xml:space="preserve">Personal</t>
        </is>
      </c>
      <c r="O606" s="46" t="inlineStr">
        <is>
          <t xml:space="preserve">Personal - regular use</t>
        </is>
      </c>
      <c r="P606" s="46" t="inlineStr">
        <is>
          <t xml:space="preserve">2,500 - 5,000</t>
        </is>
      </c>
      <c r="Q606" s="46" t="inlineStr">
        <is>
          <t xml:space="preserve">Rhode Island</t>
        </is>
      </c>
      <c r="R606" s="46" t="inlineStr">
        <is>
          <t xml:space="preserve">02903</t>
        </is>
      </c>
      <c r="S606" s="48" t="inlineStr">
        <is>
          <t xml:space="preserve">Tier 3 - Coastal wind (25-100 miles)</t>
        </is>
      </c>
      <c r="T606" s="36">
        <f>IF($A606="","",IF($S606="","",IFERROR(INDEX('[1]natural catastrophe'!$D$6:$D$17,MATCH($S606,'[1]natural catastrophe'!$B$6:$B$17,0)),"?")))</f>
      </c>
      <c r="U606" s="46" t="inlineStr">
        <is>
          <t xml:space="preserve">2% of agreed value, minimum $10,000</t>
        </is>
      </c>
      <c r="V606" s="48" t="inlineStr">
        <is>
          <t xml:space="preserve">Agreed Value</t>
        </is>
      </c>
      <c r="W606" s="46" t="inlineStr">
        <is>
          <t xml:space="preserve">$1,000</t>
        </is>
      </c>
      <c r="X606" s="48" t="inlineStr">
        <is>
          <t xml:space="preserve">$1,000,000 CSL</t>
        </is>
      </c>
      <c r="Y606" s="46"/>
      <c r="Z606" s="46"/>
      <c r="AA606" s="48" t="inlineStr">
        <is>
          <t xml:space="preserve">Surplus Lines</t>
        </is>
      </c>
      <c r="AB606" s="50">
        <v>6968.7</v>
      </c>
      <c r="AC606" s="51">
        <v>0</v>
      </c>
      <c r="AD606" s="38">
        <f>IF(ISNUMBER($AB606),$AB606*(1+N($AC606)),"")</f>
      </c>
      <c r="AE606" s="50">
        <v>350</v>
      </c>
      <c r="AF606" s="50">
        <v>0</v>
      </c>
      <c r="AG606" s="51"/>
      <c r="AH606" s="39">
        <f>IF(ISNUMBER($AD606),($AD606+$AE606+$AF606)*$AG606,"")</f>
      </c>
      <c r="AI606" s="50"/>
      <c r="AJ606" s="38">
        <f>IF(ISNUMBER($AD606),SUM($AD606:$AH606),"")</f>
      </c>
      <c r="AK606" s="40">
        <f>IF(AND(ISNUMBER($AB606),ISNUMBER($AD606)),IF($AB606&gt;0,$AD606/$AB606,""),"")</f>
      </c>
      <c r="AL606" s="48" t="inlineStr">
        <is>
          <t xml:space="preserve">At technical</t>
        </is>
      </c>
      <c r="AM606" s="41">
        <f>IF(ISNUMBER($AD606),Header!$I$3,"")</f>
      </c>
      <c r="AN606" s="39">
        <f>IF(ISNUMBER($AD606),$AO606+$AP606,"")</f>
      </c>
      <c r="AO606" s="39">
        <f>IF(ISNUMBER($AD606),ROUND($AD606*Header!$K$3,2),"")</f>
      </c>
      <c r="AP606" s="39">
        <f>IF(ISNUMBER($AD606),ROUND($AD606*Header!$M$3,2),"")</f>
      </c>
      <c r="AQ606" s="38">
        <f>IF(ISNUMBER($AD606),ROUND($AD606,2)-$AO606-$AP606,"")</f>
      </c>
      <c r="AR606" s="39">
        <f>IF(ISNUMBER($AD606),IF(Header!$D$34="","?",$AD606*Header!$D$34),"")</f>
      </c>
      <c r="AS606" s="39">
        <f>IF(ISNUMBER($AB606),IF(Header!$D$34="","?",$AB606*Header!$D$34),"")</f>
      </c>
      <c r="AT606" s="42">
        <f>IF(AND(ISNUMBER($AB606),$M606&gt;0),$AB606/$M606*100,"")</f>
      </c>
      <c r="AU606" s="42">
        <f>IF(AND(ISNUMBER($AD606),$M606&gt;0),$AD606/$M606*100,"")</f>
      </c>
      <c r="AV606" s="40">
        <f>IF(AND(ISNUMBER($AB606),ISNUMBER($AD606),ABS($AB606)&gt;0),$AD606/$AB606,"")</f>
      </c>
      <c r="AW606" s="39">
        <f>IF(ISNUMBER($AD606),MAX(0,(1-0.55-Header!$O$3)*Header!$Q$3*$AQ606),"")</f>
      </c>
      <c r="AX606" s="43">
        <f>IF($A606="","",IF(TRIM(IF($A606="","Missing certificate ref. ","") &amp; IF($C606="","Missing effective date. ","") &amp; IF($D606="","Missing binding status. ","") &amp; IF($E606="","Missing movement type. ","") &amp; IF($I606="","Missing make. ","") &amp; IF($L606="","Missing vehicle class. ","") &amp; IF($M606="","Missing agreed value. ","") &amp; IF($N606="","Missing policy type. ","") &amp; IF($Q606="","Missing garaging state. ","") &amp; IF($R606="","Missing garaging ZIP. ","") &amp; IF($S606="","Missing cat zone. ","") &amp; IF($V606="","Missing valuation basis. ","") &amp; IF($W606="","Missing PD deductible. ","") &amp; IF($X606="","Missing liability limit. ","") &amp; IF($AB606="","Missing technical premium. ","") &amp; IF($AF606="","Missing surplus lines tax %. ",""))="","PASS","FAIL: "&amp;TRIM(IF($A606="","Missing certificate ref. ","") &amp; IF($C606="","Missing effective date. ","") &amp; IF($D606="","Missing binding status. ","") &amp; IF($E606="","Missing movement type. ","") &amp; IF($I606="","Missing make. ","") &amp; IF($L606="","Missing vehicle class. ","") &amp; IF($M606="","Missing agreed value. ","") &amp; IF($N606="","Missing policy type. ","") &amp; IF($Q606="","Missing garaging state. ","") &amp; IF($R606="","Missing garaging ZIP. ","") &amp; IF($S606="","Missing cat zone. ","") &amp; IF($V606="","Missing valuation basis. ","") &amp; IF($W606="","Missing PD deductible. ","") &amp; IF($X606="","Missing liability limit. ","") &amp; IF($AB606="","Missing technical premium. ","") &amp; IF($AF606="","Missing surplus lines tax %. ",""))))</f>
      </c>
      <c r="AY606" s="44">
        <f>IF($M606="","",IF(ISNUMBER($M606),IF($M606&gt;=Header!$C$18,"YES — refer","No"),""))</f>
      </c>
      <c r="AZ606" s="44">
        <f>IF($AD606="","",IF(ISNUMBER($AD606),IF($AD606&lt;Header!$C$20,"BELOW MIN PREMIUM","OK"),""))</f>
      </c>
      <c r="BA606" s="48" t="inlineStr">
        <is>
          <t xml:space="preserve">Yes</t>
        </is>
      </c>
      <c r="BB606" s="48" t="inlineStr">
        <is>
          <t xml:space="preserve">Yes</t>
        </is>
      </c>
      <c r="BC606" s="46" t="inlineStr">
        <is>
          <t xml:space="preserve">Synthetic demo data</t>
        </is>
      </c>
      <c r="BE606" s="45">
        <f>IF(OR($A606="",$L606="",$H606=""),"",IF(AND(LEFT($L606,2)="06",$H606&gt;1945),"FAIL - pre-war class, year "&amp;$H606,IF(AND(LEFT($L606,2)="07",OR($H606&lt;1946,$H606&gt;1972)),"FAIL - 1946-72 class, year "&amp;$H606,IF(AND(LEFT($L606,2)="08",OR($H606&lt;1973,$H606&gt;1999)),"FAIL - 1973-99 class, year "&amp;$H606,IF(AND(LEFT($L606,2)="09",OR($H606&lt;2000,$H606&gt;2010)),"FAIL - 2000-10 class, year "&amp;$H606,"OK")))))</f>
      </c>
      <c r="BF606" s="45">
        <f>IF($AD606="","",IF(ROUND($AO606+$AP606+$AQ606-$AD606,2)=0,"OK","FAIL - out by "&amp;TEXT($AO606+$AP606+$AQ606-$AD606,"$0.00")))</f>
      </c>
    </row>
    <row r="607" spans="1:58" ht="18.75" customHeight="1" x14ac:dyDescent="0.25">
      <c r="A607" s="30" t="inlineStr">
        <is>
          <t xml:space="preserve">CANON-202606-009222</t>
        </is>
      </c>
      <c r="B607" s="30" t="inlineStr">
        <is>
          <t xml:space="preserve">Ottilie Whitlock</t>
        </is>
      </c>
      <c r="C607" s="31">
        <v>46195</v>
      </c>
      <c r="D607" s="32" t="inlineStr">
        <is>
          <t xml:space="preserve">Bound - within authority</t>
        </is>
      </c>
      <c r="E607" s="32" t="inlineStr">
        <is>
          <t xml:space="preserve">New business</t>
        </is>
      </c>
      <c r="F607" s="30" t="inlineStr">
        <is>
          <t xml:space="preserve">B1234EXOTIC26</t>
        </is>
      </c>
      <c r="G607" s="33">
        <f>IF($A607="","",IF($C607="","",YEAR($C607)))</f>
      </c>
      <c r="H607" s="34">
        <v>1970</v>
      </c>
      <c r="I607" s="30" t="inlineStr">
        <is>
          <t xml:space="preserve">Aston Martin</t>
        </is>
      </c>
      <c r="J607" s="30" t="inlineStr">
        <is>
          <t xml:space="preserve">DB12</t>
        </is>
      </c>
      <c r="K607" s="30" t="inlineStr">
        <is>
          <t xml:space="preserve">JMUSFB4DPXAT07NJ5</t>
        </is>
      </c>
      <c r="L607" s="32" t="inlineStr">
        <is>
          <t xml:space="preserve">02 - Sports / GT</t>
        </is>
      </c>
      <c r="M607" s="35">
        <v>320000</v>
      </c>
      <c r="N607" s="32" t="inlineStr">
        <is>
          <t xml:space="preserve">Personal</t>
        </is>
      </c>
      <c r="O607" s="30" t="inlineStr">
        <is>
          <t xml:space="preserve">Personal - regular use</t>
        </is>
      </c>
      <c r="P607" s="30" t="inlineStr">
        <is>
          <t xml:space="preserve">Under 1,000</t>
        </is>
      </c>
      <c r="Q607" s="30" t="inlineStr">
        <is>
          <t xml:space="preserve">Nevada</t>
        </is>
      </c>
      <c r="R607" s="30" t="inlineStr">
        <is>
          <t xml:space="preserve">89101</t>
        </is>
      </c>
      <c r="S607" s="32" t="inlineStr">
        <is>
          <t xml:space="preserve">Wildfire - WUI high hazard</t>
        </is>
      </c>
      <c r="T607" s="36">
        <f>IF($A607="","",IF($S607="","",IFERROR(INDEX('[1]natural catastrophe'!$D$6:$D$17,MATCH($S607,'[1]natural catastrophe'!$B$6:$B$17,0)),"?")))</f>
      </c>
      <c r="U607" s="30" t="inlineStr">
        <is>
          <t xml:space="preserve">$5,000</t>
        </is>
      </c>
      <c r="V607" s="32" t="inlineStr">
        <is>
          <t xml:space="preserve">Agreed Value</t>
        </is>
      </c>
      <c r="W607" s="30" t="inlineStr">
        <is>
          <t xml:space="preserve">$1,000</t>
        </is>
      </c>
      <c r="X607" s="32" t="inlineStr">
        <is>
          <t xml:space="preserve">$1,000,000 CSL</t>
        </is>
      </c>
      <c r="Y607" s="30"/>
      <c r="Z607" s="30"/>
      <c r="AA607" s="32" t="inlineStr">
        <is>
          <t xml:space="preserve">Surplus Lines</t>
        </is>
      </c>
      <c r="AB607" s="35">
        <v>4051.99</v>
      </c>
      <c r="AC607" s="37">
        <v>0</v>
      </c>
      <c r="AD607" s="38">
        <f>IF(ISNUMBER($AB607),$AB607*(1+N($AC607)),"")</f>
      </c>
      <c r="AE607" s="35">
        <v>350</v>
      </c>
      <c r="AF607" s="35">
        <v>0</v>
      </c>
      <c r="AG607" s="37"/>
      <c r="AH607" s="39">
        <f>IF(ISNUMBER($AD607),($AD607+$AE607+$AF607)*$AG607,"")</f>
      </c>
      <c r="AI607" s="35"/>
      <c r="AJ607" s="38">
        <f>IF(ISNUMBER($AD607),SUM($AD607:$AH607),"")</f>
      </c>
      <c r="AK607" s="40">
        <f>IF(AND(ISNUMBER($AB607),ISNUMBER($AD607)),IF($AB607&gt;0,$AD607/$AB607,""),"")</f>
      </c>
      <c r="AL607" s="32" t="inlineStr">
        <is>
          <t xml:space="preserve">At technical</t>
        </is>
      </c>
      <c r="AM607" s="41">
        <f>IF(ISNUMBER($AD607),Header!$I$3,"")</f>
      </c>
      <c r="AN607" s="39">
        <f>IF(ISNUMBER($AD607),$AO607+$AP607,"")</f>
      </c>
      <c r="AO607" s="39">
        <f>IF(ISNUMBER($AD607),ROUND($AD607*Header!$K$3,2),"")</f>
      </c>
      <c r="AP607" s="39">
        <f>IF(ISNUMBER($AD607),ROUND($AD607*Header!$M$3,2),"")</f>
      </c>
      <c r="AQ607" s="38">
        <f>IF(ISNUMBER($AD607),ROUND($AD607,2)-$AO607-$AP607,"")</f>
      </c>
      <c r="AR607" s="39">
        <f>IF(ISNUMBER($AD607),IF(Header!$D$34="","?",$AD607*Header!$D$34),"")</f>
      </c>
      <c r="AS607" s="39">
        <f>IF(ISNUMBER($AB607),IF(Header!$D$34="","?",$AB607*Header!$D$34),"")</f>
      </c>
      <c r="AT607" s="42">
        <f>IF(AND(ISNUMBER($AB607),$M607&gt;0),$AB607/$M607*100,"")</f>
      </c>
      <c r="AU607" s="42">
        <f>IF(AND(ISNUMBER($AD607),$M607&gt;0),$AD607/$M607*100,"")</f>
      </c>
      <c r="AV607" s="40">
        <f>IF(AND(ISNUMBER($AB607),ISNUMBER($AD607),ABS($AB607)&gt;0),$AD607/$AB607,"")</f>
      </c>
      <c r="AW607" s="39">
        <f>IF(ISNUMBER($AD607),MAX(0,(1-0.55-Header!$O$3)*Header!$Q$3*$AQ607),"")</f>
      </c>
      <c r="AX607" s="43">
        <f>IF($A607="","",IF(TRIM(IF($A607="","Missing certificate ref. ","") &amp; IF($C607="","Missing effective date. ","") &amp; IF($D607="","Missing binding status. ","") &amp; IF($E607="","Missing movement type. ","") &amp; IF($I607="","Missing make. ","") &amp; IF($L607="","Missing vehicle class. ","") &amp; IF($M607="","Missing agreed value. ","") &amp; IF($N607="","Missing policy type. ","") &amp; IF($Q607="","Missing garaging state. ","") &amp; IF($R607="","Missing garaging ZIP. ","") &amp; IF($S607="","Missing cat zone. ","") &amp; IF($V607="","Missing valuation basis. ","") &amp; IF($W607="","Missing PD deductible. ","") &amp; IF($X607="","Missing liability limit. ","") &amp; IF($AB607="","Missing technical premium. ","") &amp; IF($AF607="","Missing surplus lines tax %. ",""))="","PASS","FAIL: "&amp;TRIM(IF($A607="","Missing certificate ref. ","") &amp; IF($C607="","Missing effective date. ","") &amp; IF($D607="","Missing binding status. ","") &amp; IF($E607="","Missing movement type. ","") &amp; IF($I607="","Missing make. ","") &amp; IF($L607="","Missing vehicle class. ","") &amp; IF($M607="","Missing agreed value. ","") &amp; IF($N607="","Missing policy type. ","") &amp; IF($Q607="","Missing garaging state. ","") &amp; IF($R607="","Missing garaging ZIP. ","") &amp; IF($S607="","Missing cat zone. ","") &amp; IF($V607="","Missing valuation basis. ","") &amp; IF($W607="","Missing PD deductible. ","") &amp; IF($X607="","Missing liability limit. ","") &amp; IF($AB607="","Missing technical premium. ","") &amp; IF($AF607="","Missing surplus lines tax %. ",""))))</f>
      </c>
      <c r="AY607" s="44">
        <f>IF($M607="","",IF(ISNUMBER($M607),IF($M607&gt;=Header!$C$18,"YES — refer","No"),""))</f>
      </c>
      <c r="AZ607" s="44">
        <f>IF($AD607="","",IF(ISNUMBER($AD607),IF($AD607&lt;Header!$C$20,"BELOW MIN PREMIUM","OK"),""))</f>
      </c>
      <c r="BA607" s="32" t="inlineStr">
        <is>
          <t xml:space="preserve">Yes</t>
        </is>
      </c>
      <c r="BB607" s="32" t="inlineStr">
        <is>
          <t xml:space="preserve">Yes</t>
        </is>
      </c>
      <c r="BC607" s="30" t="inlineStr">
        <is>
          <t xml:space="preserve">Synthetic demo data</t>
        </is>
      </c>
      <c r="BE607" s="45">
        <f>IF(OR($A607="",$L607="",$H607=""),"",IF(AND(LEFT($L607,2)="06",$H607&gt;1945),"FAIL - pre-war class, year "&amp;$H607,IF(AND(LEFT($L607,2)="07",OR($H607&lt;1946,$H607&gt;1972)),"FAIL - 1946-72 class, year "&amp;$H607,IF(AND(LEFT($L607,2)="08",OR($H607&lt;1973,$H607&gt;1999)),"FAIL - 1973-99 class, year "&amp;$H607,IF(AND(LEFT($L607,2)="09",OR($H607&lt;2000,$H607&gt;2010)),"FAIL - 2000-10 class, year "&amp;$H607,"OK")))))</f>
      </c>
      <c r="BF607" s="45">
        <f>IF($AD607="","",IF(ROUND($AO607+$AP607+$AQ607-$AD607,2)=0,"OK","FAIL - out by "&amp;TEXT($AO607+$AP607+$AQ607-$AD607,"$0.00")))</f>
      </c>
    </row>
    <row r="608" spans="1:58" ht="18.75" customHeight="1" x14ac:dyDescent="0.25">
      <c r="A608" s="46" t="inlineStr">
        <is>
          <t xml:space="preserve">CANON-202606-009223</t>
        </is>
      </c>
      <c r="B608" s="46" t="inlineStr">
        <is>
          <t xml:space="preserve">Marisol Blackwood</t>
        </is>
      </c>
      <c r="C608" s="47">
        <v>46203</v>
      </c>
      <c r="D608" s="48" t="inlineStr">
        <is>
          <t xml:space="preserve">Bound - within authority</t>
        </is>
      </c>
      <c r="E608" s="48" t="inlineStr">
        <is>
          <t xml:space="preserve">New business</t>
        </is>
      </c>
      <c r="F608" s="46" t="inlineStr">
        <is>
          <t xml:space="preserve">B1234EXOTIC26</t>
        </is>
      </c>
      <c r="G608" s="33">
        <f>IF($A608="","",IF($C608="","",YEAR($C608)))</f>
      </c>
      <c r="H608" s="49">
        <v>1992</v>
      </c>
      <c r="I608" s="46" t="inlineStr">
        <is>
          <t xml:space="preserve">BMW</t>
        </is>
      </c>
      <c r="J608" s="46" t="inlineStr">
        <is>
          <t xml:space="preserve">M8 Competition</t>
        </is>
      </c>
      <c r="K608" s="46" t="inlineStr">
        <is>
          <t xml:space="preserve">NX24EVMEK6N488X87</t>
        </is>
      </c>
      <c r="L608" s="48" t="inlineStr">
        <is>
          <t xml:space="preserve">02 - Sports / GT</t>
        </is>
      </c>
      <c r="M608" s="50">
        <v>455000</v>
      </c>
      <c r="N608" s="48" t="inlineStr">
        <is>
          <t xml:space="preserve">Personal</t>
        </is>
      </c>
      <c r="O608" s="46" t="inlineStr">
        <is>
          <t xml:space="preserve">Personal - regular use</t>
        </is>
      </c>
      <c r="P608" s="46" t="inlineStr">
        <is>
          <t xml:space="preserve">Under 1,000</t>
        </is>
      </c>
      <c r="Q608" s="46" t="inlineStr">
        <is>
          <t xml:space="preserve">Massachusetts</t>
        </is>
      </c>
      <c r="R608" s="46" t="inlineStr">
        <is>
          <t xml:space="preserve">02108</t>
        </is>
      </c>
      <c r="S608" s="48" t="inlineStr">
        <is>
          <t xml:space="preserve">Tier 3 - Coastal wind (25-100 miles)</t>
        </is>
      </c>
      <c r="T608" s="36">
        <f>IF($A608="","",IF($S608="","",IFERROR(INDEX('[1]natural catastrophe'!$D$6:$D$17,MATCH($S608,'[1]natural catastrophe'!$B$6:$B$17,0)),"?")))</f>
      </c>
      <c r="U608" s="46" t="inlineStr">
        <is>
          <t xml:space="preserve">2% of agreed value, minimum $10,000</t>
        </is>
      </c>
      <c r="V608" s="48" t="inlineStr">
        <is>
          <t xml:space="preserve">Agreed Value</t>
        </is>
      </c>
      <c r="W608" s="46" t="inlineStr">
        <is>
          <t xml:space="preserve">$1,000</t>
        </is>
      </c>
      <c r="X608" s="48" t="inlineStr">
        <is>
          <t xml:space="preserve">$1,000,000 CSL</t>
        </is>
      </c>
      <c r="Y608" s="46"/>
      <c r="Z608" s="46"/>
      <c r="AA608" s="48" t="inlineStr">
        <is>
          <t xml:space="preserve">Surplus Lines</t>
        </is>
      </c>
      <c r="AB608" s="50">
        <v>6155.38</v>
      </c>
      <c r="AC608" s="51">
        <v>0</v>
      </c>
      <c r="AD608" s="38">
        <f>IF(ISNUMBER($AB608),$AB608*(1+N($AC608)),"")</f>
      </c>
      <c r="AE608" s="50">
        <v>350</v>
      </c>
      <c r="AF608" s="50">
        <v>0</v>
      </c>
      <c r="AG608" s="51"/>
      <c r="AH608" s="39">
        <f>IF(ISNUMBER($AD608),($AD608+$AE608+$AF608)*$AG608,"")</f>
      </c>
      <c r="AI608" s="50"/>
      <c r="AJ608" s="38">
        <f>IF(ISNUMBER($AD608),SUM($AD608:$AH608),"")</f>
      </c>
      <c r="AK608" s="40">
        <f>IF(AND(ISNUMBER($AB608),ISNUMBER($AD608)),IF($AB608&gt;0,$AD608/$AB608,""),"")</f>
      </c>
      <c r="AL608" s="48" t="inlineStr">
        <is>
          <t xml:space="preserve">At technical</t>
        </is>
      </c>
      <c r="AM608" s="41">
        <f>IF(ISNUMBER($AD608),Header!$I$3,"")</f>
      </c>
      <c r="AN608" s="39">
        <f>IF(ISNUMBER($AD608),$AO608+$AP608,"")</f>
      </c>
      <c r="AO608" s="39">
        <f>IF(ISNUMBER($AD608),ROUND($AD608*Header!$K$3,2),"")</f>
      </c>
      <c r="AP608" s="39">
        <f>IF(ISNUMBER($AD608),ROUND($AD608*Header!$M$3,2),"")</f>
      </c>
      <c r="AQ608" s="38">
        <f>IF(ISNUMBER($AD608),ROUND($AD608,2)-$AO608-$AP608,"")</f>
      </c>
      <c r="AR608" s="39">
        <f>IF(ISNUMBER($AD608),IF(Header!$D$34="","?",$AD608*Header!$D$34),"")</f>
      </c>
      <c r="AS608" s="39">
        <f>IF(ISNUMBER($AB608),IF(Header!$D$34="","?",$AB608*Header!$D$34),"")</f>
      </c>
      <c r="AT608" s="42">
        <f>IF(AND(ISNUMBER($AB608),$M608&gt;0),$AB608/$M608*100,"")</f>
      </c>
      <c r="AU608" s="42">
        <f>IF(AND(ISNUMBER($AD608),$M608&gt;0),$AD608/$M608*100,"")</f>
      </c>
      <c r="AV608" s="40">
        <f>IF(AND(ISNUMBER($AB608),ISNUMBER($AD608),ABS($AB608)&gt;0),$AD608/$AB608,"")</f>
      </c>
      <c r="AW608" s="39">
        <f>IF(ISNUMBER($AD608),MAX(0,(1-0.55-Header!$O$3)*Header!$Q$3*$AQ608),"")</f>
      </c>
      <c r="AX608" s="43">
        <f>IF($A608="","",IF(TRIM(IF($A608="","Missing certificate ref. ","") &amp; IF($C608="","Missing effective date. ","") &amp; IF($D608="","Missing binding status. ","") &amp; IF($E608="","Missing movement type. ","") &amp; IF($I608="","Missing make. ","") &amp; IF($L608="","Missing vehicle class. ","") &amp; IF($M608="","Missing agreed value. ","") &amp; IF($N608="","Missing policy type. ","") &amp; IF($Q608="","Missing garaging state. ","") &amp; IF($R608="","Missing garaging ZIP. ","") &amp; IF($S608="","Missing cat zone. ","") &amp; IF($V608="","Missing valuation basis. ","") &amp; IF($W608="","Missing PD deductible. ","") &amp; IF($X608="","Missing liability limit. ","") &amp; IF($AB608="","Missing technical premium. ","") &amp; IF($AF608="","Missing surplus lines tax %. ",""))="","PASS","FAIL: "&amp;TRIM(IF($A608="","Missing certificate ref. ","") &amp; IF($C608="","Missing effective date. ","") &amp; IF($D608="","Missing binding status. ","") &amp; IF($E608="","Missing movement type. ","") &amp; IF($I608="","Missing make. ","") &amp; IF($L608="","Missing vehicle class. ","") &amp; IF($M608="","Missing agreed value. ","") &amp; IF($N608="","Missing policy type. ","") &amp; IF($Q608="","Missing garaging state. ","") &amp; IF($R608="","Missing garaging ZIP. ","") &amp; IF($S608="","Missing cat zone. ","") &amp; IF($V608="","Missing valuation basis. ","") &amp; IF($W608="","Missing PD deductible. ","") &amp; IF($X608="","Missing liability limit. ","") &amp; IF($AB608="","Missing technical premium. ","") &amp; IF($AF608="","Missing surplus lines tax %. ",""))))</f>
      </c>
      <c r="AY608" s="44">
        <f>IF($M608="","",IF(ISNUMBER($M608),IF($M608&gt;=Header!$C$18,"YES — refer","No"),""))</f>
      </c>
      <c r="AZ608" s="44">
        <f>IF($AD608="","",IF(ISNUMBER($AD608),IF($AD608&lt;Header!$C$20,"BELOW MIN PREMIUM","OK"),""))</f>
      </c>
      <c r="BA608" s="48" t="inlineStr">
        <is>
          <t xml:space="preserve">Yes</t>
        </is>
      </c>
      <c r="BB608" s="48" t="inlineStr">
        <is>
          <t xml:space="preserve">Yes</t>
        </is>
      </c>
      <c r="BC608" s="46" t="inlineStr">
        <is>
          <t xml:space="preserve">Synthetic demo data</t>
        </is>
      </c>
      <c r="BE608" s="45">
        <f>IF(OR($A608="",$L608="",$H608=""),"",IF(AND(LEFT($L608,2)="06",$H608&gt;1945),"FAIL - pre-war class, year "&amp;$H608,IF(AND(LEFT($L608,2)="07",OR($H608&lt;1946,$H608&gt;1972)),"FAIL - 1946-72 class, year "&amp;$H608,IF(AND(LEFT($L608,2)="08",OR($H608&lt;1973,$H608&gt;1999)),"FAIL - 1973-99 class, year "&amp;$H608,IF(AND(LEFT($L608,2)="09",OR($H608&lt;2000,$H608&gt;2010)),"FAIL - 2000-10 class, year "&amp;$H608,"OK")))))</f>
      </c>
      <c r="BF608" s="45">
        <f>IF($AD608="","",IF(ROUND($AO608+$AP608+$AQ608-$AD608,2)=0,"OK","FAIL - out by "&amp;TEXT($AO608+$AP608+$AQ608-$AD608,"$0.00")))</f>
      </c>
    </row>
    <row r="609" spans="1:58" ht="18.75" customHeight="1" x14ac:dyDescent="0.25">
      <c r="A609" s="30" t="inlineStr">
        <is>
          <t xml:space="preserve">CANON-202606-009225</t>
        </is>
      </c>
      <c r="B609" s="30" t="inlineStr">
        <is>
          <t xml:space="preserve">Ramona Chattopadhyay</t>
        </is>
      </c>
      <c r="C609" s="31">
        <v>46181</v>
      </c>
      <c r="D609" s="32" t="inlineStr">
        <is>
          <t xml:space="preserve">Bound - within authority</t>
        </is>
      </c>
      <c r="E609" s="32" t="inlineStr">
        <is>
          <t xml:space="preserve">New business</t>
        </is>
      </c>
      <c r="F609" s="30" t="inlineStr">
        <is>
          <t xml:space="preserve">B1234EXOTIC26</t>
        </is>
      </c>
      <c r="G609" s="33">
        <f>IF($A609="","",IF($C609="","",YEAR($C609)))</f>
      </c>
      <c r="H609" s="34">
        <v>1993</v>
      </c>
      <c r="I609" s="30" t="inlineStr">
        <is>
          <t xml:space="preserve">Porsche</t>
        </is>
      </c>
      <c r="J609" s="30" t="inlineStr">
        <is>
          <t xml:space="preserve">911 Turbo S</t>
        </is>
      </c>
      <c r="K609" s="30" t="inlineStr">
        <is>
          <t xml:space="preserve">WSGH0VG66BCRR0ZF1</t>
        </is>
      </c>
      <c r="L609" s="32" t="inlineStr">
        <is>
          <t xml:space="preserve">02 - Sports / GT</t>
        </is>
      </c>
      <c r="M609" s="35">
        <v>1950000</v>
      </c>
      <c r="N609" s="32" t="inlineStr">
        <is>
          <t xml:space="preserve">Personal</t>
        </is>
      </c>
      <c r="O609" s="30" t="inlineStr">
        <is>
          <t xml:space="preserve">Personal - regular use</t>
        </is>
      </c>
      <c r="P609" s="30" t="inlineStr">
        <is>
          <t xml:space="preserve">Under 1,000</t>
        </is>
      </c>
      <c r="Q609" s="30" t="inlineStr">
        <is>
          <t xml:space="preserve">South Carolina</t>
        </is>
      </c>
      <c r="R609" s="30" t="inlineStr">
        <is>
          <t xml:space="preserve">29401</t>
        </is>
      </c>
      <c r="S609" s="32" t="inlineStr">
        <is>
          <t xml:space="preserve">Tier 2 - Coastal wind (1-25 miles)</t>
        </is>
      </c>
      <c r="T609" s="36">
        <f>IF($A609="","",IF($S609="","",IFERROR(INDEX('[1]natural catastrophe'!$D$6:$D$17,MATCH($S609,'[1]natural catastrophe'!$B$6:$B$17,0)),"?")))</f>
      </c>
      <c r="U609" s="30" t="inlineStr">
        <is>
          <t xml:space="preserve">2% of agreed value, minimum $10,000</t>
        </is>
      </c>
      <c r="V609" s="32" t="inlineStr">
        <is>
          <t xml:space="preserve">Agreed Value</t>
        </is>
      </c>
      <c r="W609" s="30" t="inlineStr">
        <is>
          <t xml:space="preserve">$1,000</t>
        </is>
      </c>
      <c r="X609" s="32" t="inlineStr">
        <is>
          <t xml:space="preserve">$1,000,000 CSL</t>
        </is>
      </c>
      <c r="Y609" s="30"/>
      <c r="Z609" s="30"/>
      <c r="AA609" s="32" t="inlineStr">
        <is>
          <t xml:space="preserve">Surplus Lines</t>
        </is>
      </c>
      <c r="AB609" s="35">
        <v>19190.71</v>
      </c>
      <c r="AC609" s="37">
        <v>0</v>
      </c>
      <c r="AD609" s="38">
        <f>IF(ISNUMBER($AB609),$AB609*(1+N($AC609)),"")</f>
      </c>
      <c r="AE609" s="35">
        <v>350</v>
      </c>
      <c r="AF609" s="35">
        <v>250</v>
      </c>
      <c r="AG609" s="37"/>
      <c r="AH609" s="39">
        <f>IF(ISNUMBER($AD609),($AD609+$AE609+$AF609)*$AG609,"")</f>
      </c>
      <c r="AI609" s="35"/>
      <c r="AJ609" s="38">
        <f>IF(ISNUMBER($AD609),SUM($AD609:$AH609),"")</f>
      </c>
      <c r="AK609" s="40">
        <f>IF(AND(ISNUMBER($AB609),ISNUMBER($AD609)),IF($AB609&gt;0,$AD609/$AB609,""),"")</f>
      </c>
      <c r="AL609" s="32" t="inlineStr">
        <is>
          <t xml:space="preserve">At technical</t>
        </is>
      </c>
      <c r="AM609" s="41">
        <f>IF(ISNUMBER($AD609),Header!$I$3,"")</f>
      </c>
      <c r="AN609" s="39">
        <f>IF(ISNUMBER($AD609),$AO609+$AP609,"")</f>
      </c>
      <c r="AO609" s="39">
        <f>IF(ISNUMBER($AD609),ROUND($AD609*Header!$K$3,2),"")</f>
      </c>
      <c r="AP609" s="39">
        <f>IF(ISNUMBER($AD609),ROUND($AD609*Header!$M$3,2),"")</f>
      </c>
      <c r="AQ609" s="38">
        <f>IF(ISNUMBER($AD609),ROUND($AD609,2)-$AO609-$AP609,"")</f>
      </c>
      <c r="AR609" s="39">
        <f>IF(ISNUMBER($AD609),IF(Header!$D$34="","?",$AD609*Header!$D$34),"")</f>
      </c>
      <c r="AS609" s="39">
        <f>IF(ISNUMBER($AB609),IF(Header!$D$34="","?",$AB609*Header!$D$34),"")</f>
      </c>
      <c r="AT609" s="42">
        <f>IF(AND(ISNUMBER($AB609),$M609&gt;0),$AB609/$M609*100,"")</f>
      </c>
      <c r="AU609" s="42">
        <f>IF(AND(ISNUMBER($AD609),$M609&gt;0),$AD609/$M609*100,"")</f>
      </c>
      <c r="AV609" s="40">
        <f>IF(AND(ISNUMBER($AB609),ISNUMBER($AD609),ABS($AB609)&gt;0),$AD609/$AB609,"")</f>
      </c>
      <c r="AW609" s="39">
        <f>IF(ISNUMBER($AD609),MAX(0,(1-0.55-Header!$O$3)*Header!$Q$3*$AQ609),"")</f>
      </c>
      <c r="AX609" s="43">
        <f>IF($A609="","",IF(TRIM(IF($A609="","Missing certificate ref. ","") &amp; IF($C609="","Missing effective date. ","") &amp; IF($D609="","Missing binding status. ","") &amp; IF($E609="","Missing movement type. ","") &amp; IF($I609="","Missing make. ","") &amp; IF($L609="","Missing vehicle class. ","") &amp; IF($M609="","Missing agreed value. ","") &amp; IF($N609="","Missing policy type. ","") &amp; IF($Q609="","Missing garaging state. ","") &amp; IF($R609="","Missing garaging ZIP. ","") &amp; IF($S609="","Missing cat zone. ","") &amp; IF($V609="","Missing valuation basis. ","") &amp; IF($W609="","Missing PD deductible. ","") &amp; IF($X609="","Missing liability limit. ","") &amp; IF($AB609="","Missing technical premium. ","") &amp; IF($AF609="","Missing surplus lines tax %. ",""))="","PASS","FAIL: "&amp;TRIM(IF($A609="","Missing certificate ref. ","") &amp; IF($C609="","Missing effective date. ","") &amp; IF($D609="","Missing binding status. ","") &amp; IF($E609="","Missing movement type. ","") &amp; IF($I609="","Missing make. ","") &amp; IF($L609="","Missing vehicle class. ","") &amp; IF($M609="","Missing agreed value. ","") &amp; IF($N609="","Missing policy type. ","") &amp; IF($Q609="","Missing garaging state. ","") &amp; IF($R609="","Missing garaging ZIP. ","") &amp; IF($S609="","Missing cat zone. ","") &amp; IF($V609="","Missing valuation basis. ","") &amp; IF($W609="","Missing PD deductible. ","") &amp; IF($X609="","Missing liability limit. ","") &amp; IF($AB609="","Missing technical premium. ","") &amp; IF($AF609="","Missing surplus lines tax %. ",""))))</f>
      </c>
      <c r="AY609" s="44">
        <f>IF($M609="","",IF(ISNUMBER($M609),IF($M609&gt;=Header!$C$18,"YES — refer","No"),""))</f>
      </c>
      <c r="AZ609" s="44">
        <f>IF($AD609="","",IF(ISNUMBER($AD609),IF($AD609&lt;Header!$C$20,"BELOW MIN PREMIUM","OK"),""))</f>
      </c>
      <c r="BA609" s="32" t="inlineStr">
        <is>
          <t xml:space="preserve">Yes</t>
        </is>
      </c>
      <c r="BB609" s="32" t="inlineStr">
        <is>
          <t xml:space="preserve">Yes</t>
        </is>
      </c>
      <c r="BC609" s="30" t="inlineStr">
        <is>
          <t xml:space="preserve">Synthetic demo data</t>
        </is>
      </c>
      <c r="BE609" s="45">
        <f>IF(OR($A609="",$L609="",$H609=""),"",IF(AND(LEFT($L609,2)="06",$H609&gt;1945),"FAIL - pre-war class, year "&amp;$H609,IF(AND(LEFT($L609,2)="07",OR($H609&lt;1946,$H609&gt;1972)),"FAIL - 1946-72 class, year "&amp;$H609,IF(AND(LEFT($L609,2)="08",OR($H609&lt;1973,$H609&gt;1999)),"FAIL - 1973-99 class, year "&amp;$H609,IF(AND(LEFT($L609,2)="09",OR($H609&lt;2000,$H609&gt;2010)),"FAIL - 2000-10 class, year "&amp;$H609,"OK")))))</f>
      </c>
      <c r="BF609" s="45">
        <f>IF($AD609="","",IF(ROUND($AO609+$AP609+$AQ609-$AD609,2)=0,"OK","FAIL - out by "&amp;TEXT($AO609+$AP609+$AQ609-$AD609,"$0.00")))</f>
      </c>
    </row>
    <row r="610" spans="1:58" ht="18.75" customHeight="1" x14ac:dyDescent="0.25">
      <c r="A610" s="46" t="inlineStr">
        <is>
          <t xml:space="preserve">CANON-202606-009226</t>
        </is>
      </c>
      <c r="B610" s="46" t="inlineStr">
        <is>
          <t xml:space="preserve">Fenwick Bellandi</t>
        </is>
      </c>
      <c r="C610" s="47">
        <v>46194</v>
      </c>
      <c r="D610" s="48" t="inlineStr">
        <is>
          <t xml:space="preserve">Bound - within authority</t>
        </is>
      </c>
      <c r="E610" s="48" t="inlineStr">
        <is>
          <t xml:space="preserve">New business</t>
        </is>
      </c>
      <c r="F610" s="46" t="inlineStr">
        <is>
          <t xml:space="preserve">B1234EXOTIC26</t>
        </is>
      </c>
      <c r="G610" s="33">
        <f>IF($A610="","",IF($C610="","",YEAR($C610)))</f>
      </c>
      <c r="H610" s="49">
        <v>1961</v>
      </c>
      <c r="I610" s="46" t="inlineStr">
        <is>
          <t xml:space="preserve">Aston Martin</t>
        </is>
      </c>
      <c r="J610" s="46" t="inlineStr">
        <is>
          <t xml:space="preserve">DB5</t>
        </is>
      </c>
      <c r="K610" s="46" t="inlineStr">
        <is>
          <t xml:space="preserve">43D21651ZD3MTBHEM</t>
        </is>
      </c>
      <c r="L610" s="48" t="inlineStr">
        <is>
          <t xml:space="preserve">07 - Post-War Classic (1946-1972)</t>
        </is>
      </c>
      <c r="M610" s="50">
        <v>1950000</v>
      </c>
      <c r="N610" s="48" t="inlineStr">
        <is>
          <t xml:space="preserve">Personal</t>
        </is>
      </c>
      <c r="O610" s="46" t="inlineStr">
        <is>
          <t xml:space="preserve">Personal - regular use</t>
        </is>
      </c>
      <c r="P610" s="46" t="inlineStr">
        <is>
          <t xml:space="preserve">2,500 - 5,000</t>
        </is>
      </c>
      <c r="Q610" s="46" t="inlineStr">
        <is>
          <t xml:space="preserve">Michigan</t>
        </is>
      </c>
      <c r="R610" s="46" t="inlineStr">
        <is>
          <t xml:space="preserve">48226</t>
        </is>
      </c>
      <c r="S610" s="48" t="inlineStr">
        <is>
          <t xml:space="preserve">Severe convective - hail / tornado (moderate)</t>
        </is>
      </c>
      <c r="T610" s="36">
        <f>IF($A610="","",IF($S610="","",IFERROR(INDEX('[1]natural catastrophe'!$D$6:$D$17,MATCH($S610,'[1]natural catastrophe'!$B$6:$B$17,0)),"?")))</f>
      </c>
      <c r="U610" s="46" t="inlineStr">
        <is>
          <t xml:space="preserve">$5,000</t>
        </is>
      </c>
      <c r="V610" s="48" t="inlineStr">
        <is>
          <t xml:space="preserve">Agreed Value</t>
        </is>
      </c>
      <c r="W610" s="46" t="inlineStr">
        <is>
          <t xml:space="preserve">$1,000</t>
        </is>
      </c>
      <c r="X610" s="48" t="inlineStr">
        <is>
          <t xml:space="preserve">$1,000,000 CSL</t>
        </is>
      </c>
      <c r="Y610" s="46"/>
      <c r="Z610" s="46"/>
      <c r="AA610" s="48" t="inlineStr">
        <is>
          <t xml:space="preserve">Surplus Lines</t>
        </is>
      </c>
      <c r="AB610" s="50">
        <v>16573.79</v>
      </c>
      <c r="AC610" s="51">
        <v>0</v>
      </c>
      <c r="AD610" s="38">
        <f>IF(ISNUMBER($AB610),$AB610*(1+N($AC610)),"")</f>
      </c>
      <c r="AE610" s="50">
        <v>350</v>
      </c>
      <c r="AF610" s="50">
        <v>250</v>
      </c>
      <c r="AG610" s="51"/>
      <c r="AH610" s="39">
        <f>IF(ISNUMBER($AD610),($AD610+$AE610+$AF610)*$AG610,"")</f>
      </c>
      <c r="AI610" s="50"/>
      <c r="AJ610" s="38">
        <f>IF(ISNUMBER($AD610),SUM($AD610:$AH610),"")</f>
      </c>
      <c r="AK610" s="40">
        <f>IF(AND(ISNUMBER($AB610),ISNUMBER($AD610)),IF($AB610&gt;0,$AD610/$AB610,""),"")</f>
      </c>
      <c r="AL610" s="48" t="inlineStr">
        <is>
          <t xml:space="preserve">At technical</t>
        </is>
      </c>
      <c r="AM610" s="41">
        <f>IF(ISNUMBER($AD610),Header!$I$3,"")</f>
      </c>
      <c r="AN610" s="39">
        <f>IF(ISNUMBER($AD610),$AO610+$AP610,"")</f>
      </c>
      <c r="AO610" s="39">
        <f>IF(ISNUMBER($AD610),ROUND($AD610*Header!$K$3,2),"")</f>
      </c>
      <c r="AP610" s="39">
        <f>IF(ISNUMBER($AD610),ROUND($AD610*Header!$M$3,2),"")</f>
      </c>
      <c r="AQ610" s="38">
        <f>IF(ISNUMBER($AD610),ROUND($AD610,2)-$AO610-$AP610,"")</f>
      </c>
      <c r="AR610" s="39">
        <f>IF(ISNUMBER($AD610),IF(Header!$D$34="","?",$AD610*Header!$D$34),"")</f>
      </c>
      <c r="AS610" s="39">
        <f>IF(ISNUMBER($AB610),IF(Header!$D$34="","?",$AB610*Header!$D$34),"")</f>
      </c>
      <c r="AT610" s="42">
        <f>IF(AND(ISNUMBER($AB610),$M610&gt;0),$AB610/$M610*100,"")</f>
      </c>
      <c r="AU610" s="42">
        <f>IF(AND(ISNUMBER($AD610),$M610&gt;0),$AD610/$M610*100,"")</f>
      </c>
      <c r="AV610" s="40">
        <f>IF(AND(ISNUMBER($AB610),ISNUMBER($AD610),ABS($AB610)&gt;0),$AD610/$AB610,"")</f>
      </c>
      <c r="AW610" s="39">
        <f>IF(ISNUMBER($AD610),MAX(0,(1-0.55-Header!$O$3)*Header!$Q$3*$AQ610),"")</f>
      </c>
      <c r="AX610" s="43">
        <f>IF($A610="","",IF(TRIM(IF($A610="","Missing certificate ref. ","") &amp; IF($C610="","Missing effective date. ","") &amp; IF($D610="","Missing binding status. ","") &amp; IF($E610="","Missing movement type. ","") &amp; IF($I610="","Missing make. ","") &amp; IF($L610="","Missing vehicle class. ","") &amp; IF($M610="","Missing agreed value. ","") &amp; IF($N610="","Missing policy type. ","") &amp; IF($Q610="","Missing garaging state. ","") &amp; IF($R610="","Missing garaging ZIP. ","") &amp; IF($S610="","Missing cat zone. ","") &amp; IF($V610="","Missing valuation basis. ","") &amp; IF($W610="","Missing PD deductible. ","") &amp; IF($X610="","Missing liability limit. ","") &amp; IF($AB610="","Missing technical premium. ","") &amp; IF($AF610="","Missing surplus lines tax %. ",""))="","PASS","FAIL: "&amp;TRIM(IF($A610="","Missing certificate ref. ","") &amp; IF($C610="","Missing effective date. ","") &amp; IF($D610="","Missing binding status. ","") &amp; IF($E610="","Missing movement type. ","") &amp; IF($I610="","Missing make. ","") &amp; IF($L610="","Missing vehicle class. ","") &amp; IF($M610="","Missing agreed value. ","") &amp; IF($N610="","Missing policy type. ","") &amp; IF($Q610="","Missing garaging state. ","") &amp; IF($R610="","Missing garaging ZIP. ","") &amp; IF($S610="","Missing cat zone. ","") &amp; IF($V610="","Missing valuation basis. ","") &amp; IF($W610="","Missing PD deductible. ","") &amp; IF($X610="","Missing liability limit. ","") &amp; IF($AB610="","Missing technical premium. ","") &amp; IF($AF610="","Missing surplus lines tax %. ",""))))</f>
      </c>
      <c r="AY610" s="44">
        <f>IF($M610="","",IF(ISNUMBER($M610),IF($M610&gt;=Header!$C$18,"YES — refer","No"),""))</f>
      </c>
      <c r="AZ610" s="44">
        <f>IF($AD610="","",IF(ISNUMBER($AD610),IF($AD610&lt;Header!$C$20,"BELOW MIN PREMIUM","OK"),""))</f>
      </c>
      <c r="BA610" s="48" t="inlineStr">
        <is>
          <t xml:space="preserve">Yes</t>
        </is>
      </c>
      <c r="BB610" s="48" t="inlineStr">
        <is>
          <t xml:space="preserve">Yes</t>
        </is>
      </c>
      <c r="BC610" s="46" t="inlineStr">
        <is>
          <t xml:space="preserve">Synthetic demo data</t>
        </is>
      </c>
      <c r="BE610" s="45">
        <f>IF(OR($A610="",$L610="",$H610=""),"",IF(AND(LEFT($L610,2)="06",$H610&gt;1945),"FAIL - pre-war class, year "&amp;$H610,IF(AND(LEFT($L610,2)="07",OR($H610&lt;1946,$H610&gt;1972)),"FAIL - 1946-72 class, year "&amp;$H610,IF(AND(LEFT($L610,2)="08",OR($H610&lt;1973,$H610&gt;1999)),"FAIL - 1973-99 class, year "&amp;$H610,IF(AND(LEFT($L610,2)="09",OR($H610&lt;2000,$H610&gt;2010)),"FAIL - 2000-10 class, year "&amp;$H610,"OK")))))</f>
      </c>
      <c r="BF610" s="45">
        <f>IF($AD610="","",IF(ROUND($AO610+$AP610+$AQ610-$AD610,2)=0,"OK","FAIL - out by "&amp;TEXT($AO610+$AP610+$AQ610-$AD610,"$0.00")))</f>
      </c>
    </row>
    <row r="611" spans="1:58" ht="18.75" customHeight="1" x14ac:dyDescent="0.25">
      <c r="A611" s="30" t="inlineStr">
        <is>
          <t xml:space="preserve">CANON-202606-009227</t>
        </is>
      </c>
      <c r="B611" s="30" t="inlineStr">
        <is>
          <t xml:space="preserve">Aurelio Delacroix</t>
        </is>
      </c>
      <c r="C611" s="31">
        <v>46175</v>
      </c>
      <c r="D611" s="32" t="inlineStr">
        <is>
          <t xml:space="preserve">Bound - within authority</t>
        </is>
      </c>
      <c r="E611" s="32" t="inlineStr">
        <is>
          <t xml:space="preserve">New business</t>
        </is>
      </c>
      <c r="F611" s="30" t="inlineStr">
        <is>
          <t xml:space="preserve">B1234EXOTIC26</t>
        </is>
      </c>
      <c r="G611" s="33">
        <f>IF($A611="","",IF($C611="","",YEAR($C611)))</f>
      </c>
      <c r="H611" s="34">
        <v>1965</v>
      </c>
      <c r="I611" s="30" t="inlineStr">
        <is>
          <t xml:space="preserve">Mercedes-Benz</t>
        </is>
      </c>
      <c r="J611" s="30" t="inlineStr">
        <is>
          <t xml:space="preserve">AMG GT</t>
        </is>
      </c>
      <c r="K611" s="30" t="inlineStr">
        <is>
          <t xml:space="preserve">RMXKKA8YDUNEGLSP8</t>
        </is>
      </c>
      <c r="L611" s="32" t="inlineStr">
        <is>
          <t xml:space="preserve">02 - Sports / GT</t>
        </is>
      </c>
      <c r="M611" s="35">
        <v>470000</v>
      </c>
      <c r="N611" s="32" t="inlineStr">
        <is>
          <t xml:space="preserve">Personal</t>
        </is>
      </c>
      <c r="O611" s="30" t="inlineStr">
        <is>
          <t xml:space="preserve">Personal - regular use</t>
        </is>
      </c>
      <c r="P611" s="30" t="inlineStr">
        <is>
          <t xml:space="preserve">2,500 - 5,000</t>
        </is>
      </c>
      <c r="Q611" s="30" t="inlineStr">
        <is>
          <t xml:space="preserve">Arizona</t>
        </is>
      </c>
      <c r="R611" s="30" t="inlineStr">
        <is>
          <t xml:space="preserve">85001</t>
        </is>
      </c>
      <c r="S611" s="32" t="inlineStr">
        <is>
          <t xml:space="preserve">Wildfire - WUI high hazard</t>
        </is>
      </c>
      <c r="T611" s="36">
        <f>IF($A611="","",IF($S611="","",IFERROR(INDEX('[1]natural catastrophe'!$D$6:$D$17,MATCH($S611,'[1]natural catastrophe'!$B$6:$B$17,0)),"?")))</f>
      </c>
      <c r="U611" s="30" t="inlineStr">
        <is>
          <t xml:space="preserve">$5,000</t>
        </is>
      </c>
      <c r="V611" s="32" t="inlineStr">
        <is>
          <t xml:space="preserve">Agreed Value</t>
        </is>
      </c>
      <c r="W611" s="30" t="inlineStr">
        <is>
          <t xml:space="preserve">$1,000</t>
        </is>
      </c>
      <c r="X611" s="32" t="inlineStr">
        <is>
          <t xml:space="preserve">$1,000,000 CSL</t>
        </is>
      </c>
      <c r="Y611" s="30"/>
      <c r="Z611" s="30"/>
      <c r="AA611" s="32" t="inlineStr">
        <is>
          <t xml:space="preserve">Surplus Lines</t>
        </is>
      </c>
      <c r="AB611" s="35">
        <v>5137.51</v>
      </c>
      <c r="AC611" s="37">
        <v>0</v>
      </c>
      <c r="AD611" s="38">
        <f>IF(ISNUMBER($AB611),$AB611*(1+N($AC611)),"")</f>
      </c>
      <c r="AE611" s="35">
        <v>350</v>
      </c>
      <c r="AF611" s="35">
        <v>0</v>
      </c>
      <c r="AG611" s="37"/>
      <c r="AH611" s="39">
        <f>IF(ISNUMBER($AD611),($AD611+$AE611+$AF611)*$AG611,"")</f>
      </c>
      <c r="AI611" s="35"/>
      <c r="AJ611" s="38">
        <f>IF(ISNUMBER($AD611),SUM($AD611:$AH611),"")</f>
      </c>
      <c r="AK611" s="40">
        <f>IF(AND(ISNUMBER($AB611),ISNUMBER($AD611)),IF($AB611&gt;0,$AD611/$AB611,""),"")</f>
      </c>
      <c r="AL611" s="32" t="inlineStr">
        <is>
          <t xml:space="preserve">At technical</t>
        </is>
      </c>
      <c r="AM611" s="41">
        <f>IF(ISNUMBER($AD611),Header!$I$3,"")</f>
      </c>
      <c r="AN611" s="39">
        <f>IF(ISNUMBER($AD611),$AO611+$AP611,"")</f>
      </c>
      <c r="AO611" s="39">
        <f>IF(ISNUMBER($AD611),ROUND($AD611*Header!$K$3,2),"")</f>
      </c>
      <c r="AP611" s="39">
        <f>IF(ISNUMBER($AD611),ROUND($AD611*Header!$M$3,2),"")</f>
      </c>
      <c r="AQ611" s="38">
        <f>IF(ISNUMBER($AD611),ROUND($AD611,2)-$AO611-$AP611,"")</f>
      </c>
      <c r="AR611" s="39">
        <f>IF(ISNUMBER($AD611),IF(Header!$D$34="","?",$AD611*Header!$D$34),"")</f>
      </c>
      <c r="AS611" s="39">
        <f>IF(ISNUMBER($AB611),IF(Header!$D$34="","?",$AB611*Header!$D$34),"")</f>
      </c>
      <c r="AT611" s="42">
        <f>IF(AND(ISNUMBER($AB611),$M611&gt;0),$AB611/$M611*100,"")</f>
      </c>
      <c r="AU611" s="42">
        <f>IF(AND(ISNUMBER($AD611),$M611&gt;0),$AD611/$M611*100,"")</f>
      </c>
      <c r="AV611" s="40">
        <f>IF(AND(ISNUMBER($AB611),ISNUMBER($AD611),ABS($AB611)&gt;0),$AD611/$AB611,"")</f>
      </c>
      <c r="AW611" s="39">
        <f>IF(ISNUMBER($AD611),MAX(0,(1-0.55-Header!$O$3)*Header!$Q$3*$AQ611),"")</f>
      </c>
      <c r="AX611" s="43">
        <f>IF($A611="","",IF(TRIM(IF($A611="","Missing certificate ref. ","") &amp; IF($C611="","Missing effective date. ","") &amp; IF($D611="","Missing binding status. ","") &amp; IF($E611="","Missing movement type. ","") &amp; IF($I611="","Missing make. ","") &amp; IF($L611="","Missing vehicle class. ","") &amp; IF($M611="","Missing agreed value. ","") &amp; IF($N611="","Missing policy type. ","") &amp; IF($Q611="","Missing garaging state. ","") &amp; IF($R611="","Missing garaging ZIP. ","") &amp; IF($S611="","Missing cat zone. ","") &amp; IF($V611="","Missing valuation basis. ","") &amp; IF($W611="","Missing PD deductible. ","") &amp; IF($X611="","Missing liability limit. ","") &amp; IF($AB611="","Missing technical premium. ","") &amp; IF($AF611="","Missing surplus lines tax %. ",""))="","PASS","FAIL: "&amp;TRIM(IF($A611="","Missing certificate ref. ","") &amp; IF($C611="","Missing effective date. ","") &amp; IF($D611="","Missing binding status. ","") &amp; IF($E611="","Missing movement type. ","") &amp; IF($I611="","Missing make. ","") &amp; IF($L611="","Missing vehicle class. ","") &amp; IF($M611="","Missing agreed value. ","") &amp; IF($N611="","Missing policy type. ","") &amp; IF($Q611="","Missing garaging state. ","") &amp; IF($R611="","Missing garaging ZIP. ","") &amp; IF($S611="","Missing cat zone. ","") &amp; IF($V611="","Missing valuation basis. ","") &amp; IF($W611="","Missing PD deductible. ","") &amp; IF($X611="","Missing liability limit. ","") &amp; IF($AB611="","Missing technical premium. ","") &amp; IF($AF611="","Missing surplus lines tax %. ",""))))</f>
      </c>
      <c r="AY611" s="44">
        <f>IF($M611="","",IF(ISNUMBER($M611),IF($M611&gt;=Header!$C$18,"YES — refer","No"),""))</f>
      </c>
      <c r="AZ611" s="44">
        <f>IF($AD611="","",IF(ISNUMBER($AD611),IF($AD611&lt;Header!$C$20,"BELOW MIN PREMIUM","OK"),""))</f>
      </c>
      <c r="BA611" s="32" t="inlineStr">
        <is>
          <t xml:space="preserve">Yes</t>
        </is>
      </c>
      <c r="BB611" s="32" t="inlineStr">
        <is>
          <t xml:space="preserve">Yes</t>
        </is>
      </c>
      <c r="BC611" s="30" t="inlineStr">
        <is>
          <t xml:space="preserve">Synthetic demo data</t>
        </is>
      </c>
      <c r="BE611" s="45">
        <f>IF(OR($A611="",$L611="",$H611=""),"",IF(AND(LEFT($L611,2)="06",$H611&gt;1945),"FAIL - pre-war class, year "&amp;$H611,IF(AND(LEFT($L611,2)="07",OR($H611&lt;1946,$H611&gt;1972)),"FAIL - 1946-72 class, year "&amp;$H611,IF(AND(LEFT($L611,2)="08",OR($H611&lt;1973,$H611&gt;1999)),"FAIL - 1973-99 class, year "&amp;$H611,IF(AND(LEFT($L611,2)="09",OR($H611&lt;2000,$H611&gt;2010)),"FAIL - 2000-10 class, year "&amp;$H611,"OK")))))</f>
      </c>
      <c r="BF611" s="45">
        <f>IF($AD611="","",IF(ROUND($AO611+$AP611+$AQ611-$AD611,2)=0,"OK","FAIL - out by "&amp;TEXT($AO611+$AP611+$AQ611-$AD611,"$0.00")))</f>
      </c>
    </row>
    <row r="612" spans="1:58" ht="18.75" customHeight="1" x14ac:dyDescent="0.25">
      <c r="A612" s="46" t="inlineStr">
        <is>
          <t xml:space="preserve">CANON-202606-009228</t>
        </is>
      </c>
      <c r="B612" s="46" t="inlineStr">
        <is>
          <t xml:space="preserve">Callum Merriweather</t>
        </is>
      </c>
      <c r="C612" s="47">
        <v>46186</v>
      </c>
      <c r="D612" s="48" t="inlineStr">
        <is>
          <t xml:space="preserve">Bound - within authority</t>
        </is>
      </c>
      <c r="E612" s="48" t="inlineStr">
        <is>
          <t xml:space="preserve">New business</t>
        </is>
      </c>
      <c r="F612" s="46" t="inlineStr">
        <is>
          <t xml:space="preserve">B1234EXOTIC26</t>
        </is>
      </c>
      <c r="G612" s="33">
        <f>IF($A612="","",IF($C612="","",YEAR($C612)))</f>
      </c>
      <c r="H612" s="49">
        <v>2011</v>
      </c>
      <c r="I612" s="46" t="inlineStr">
        <is>
          <t xml:space="preserve">Maserati</t>
        </is>
      </c>
      <c r="J612" s="46" t="inlineStr">
        <is>
          <t xml:space="preserve">GranTurismo</t>
        </is>
      </c>
      <c r="K612" s="46" t="inlineStr">
        <is>
          <t xml:space="preserve">F173P5NN419KR6TDA</t>
        </is>
      </c>
      <c r="L612" s="48" t="inlineStr">
        <is>
          <t xml:space="preserve">02 - Sports / GT</t>
        </is>
      </c>
      <c r="M612" s="50">
        <v>355000</v>
      </c>
      <c r="N612" s="48" t="inlineStr">
        <is>
          <t xml:space="preserve">Personal</t>
        </is>
      </c>
      <c r="O612" s="46" t="inlineStr">
        <is>
          <t xml:space="preserve">Personal - regular use</t>
        </is>
      </c>
      <c r="P612" s="46" t="inlineStr">
        <is>
          <t xml:space="preserve">2,500 - 5,000</t>
        </is>
      </c>
      <c r="Q612" s="46" t="inlineStr">
        <is>
          <t xml:space="preserve">New Hampshire</t>
        </is>
      </c>
      <c r="R612" s="46" t="inlineStr">
        <is>
          <t xml:space="preserve">03301</t>
        </is>
      </c>
      <c r="S612" s="48" t="inlineStr">
        <is>
          <t xml:space="preserve">Tier 3 - Coastal wind (25-100 miles)</t>
        </is>
      </c>
      <c r="T612" s="36">
        <f>IF($A612="","",IF($S612="","",IFERROR(INDEX('[1]natural catastrophe'!$D$6:$D$17,MATCH($S612,'[1]natural catastrophe'!$B$6:$B$17,0)),"?")))</f>
      </c>
      <c r="U612" s="46" t="inlineStr">
        <is>
          <t xml:space="preserve">2% of agreed value, minimum $10,000</t>
        </is>
      </c>
      <c r="V612" s="48" t="inlineStr">
        <is>
          <t xml:space="preserve">Agreed Value</t>
        </is>
      </c>
      <c r="W612" s="46" t="inlineStr">
        <is>
          <t xml:space="preserve">$1,000</t>
        </is>
      </c>
      <c r="X612" s="48" t="inlineStr">
        <is>
          <t xml:space="preserve">$1,000,000 CSL</t>
        </is>
      </c>
      <c r="Y612" s="46"/>
      <c r="Z612" s="46"/>
      <c r="AA612" s="48" t="inlineStr">
        <is>
          <t xml:space="preserve">Surplus Lines</t>
        </is>
      </c>
      <c r="AB612" s="50">
        <v>3995.72</v>
      </c>
      <c r="AC612" s="51">
        <v>0</v>
      </c>
      <c r="AD612" s="38">
        <f>IF(ISNUMBER($AB612),$AB612*(1+N($AC612)),"")</f>
      </c>
      <c r="AE612" s="50">
        <v>350</v>
      </c>
      <c r="AF612" s="50">
        <v>0</v>
      </c>
      <c r="AG612" s="51"/>
      <c r="AH612" s="39">
        <f>IF(ISNUMBER($AD612),($AD612+$AE612+$AF612)*$AG612,"")</f>
      </c>
      <c r="AI612" s="50"/>
      <c r="AJ612" s="38">
        <f>IF(ISNUMBER($AD612),SUM($AD612:$AH612),"")</f>
      </c>
      <c r="AK612" s="40">
        <f>IF(AND(ISNUMBER($AB612),ISNUMBER($AD612)),IF($AB612&gt;0,$AD612/$AB612,""),"")</f>
      </c>
      <c r="AL612" s="48" t="inlineStr">
        <is>
          <t xml:space="preserve">At technical</t>
        </is>
      </c>
      <c r="AM612" s="41">
        <f>IF(ISNUMBER($AD612),Header!$I$3,"")</f>
      </c>
      <c r="AN612" s="39">
        <f>IF(ISNUMBER($AD612),$AO612+$AP612,"")</f>
      </c>
      <c r="AO612" s="39">
        <f>IF(ISNUMBER($AD612),ROUND($AD612*Header!$K$3,2),"")</f>
      </c>
      <c r="AP612" s="39">
        <f>IF(ISNUMBER($AD612),ROUND($AD612*Header!$M$3,2),"")</f>
      </c>
      <c r="AQ612" s="38">
        <f>IF(ISNUMBER($AD612),ROUND($AD612,2)-$AO612-$AP612,"")</f>
      </c>
      <c r="AR612" s="39">
        <f>IF(ISNUMBER($AD612),IF(Header!$D$34="","?",$AD612*Header!$D$34),"")</f>
      </c>
      <c r="AS612" s="39">
        <f>IF(ISNUMBER($AB612),IF(Header!$D$34="","?",$AB612*Header!$D$34),"")</f>
      </c>
      <c r="AT612" s="42">
        <f>IF(AND(ISNUMBER($AB612),$M612&gt;0),$AB612/$M612*100,"")</f>
      </c>
      <c r="AU612" s="42">
        <f>IF(AND(ISNUMBER($AD612),$M612&gt;0),$AD612/$M612*100,"")</f>
      </c>
      <c r="AV612" s="40">
        <f>IF(AND(ISNUMBER($AB612),ISNUMBER($AD612),ABS($AB612)&gt;0),$AD612/$AB612,"")</f>
      </c>
      <c r="AW612" s="39">
        <f>IF(ISNUMBER($AD612),MAX(0,(1-0.55-Header!$O$3)*Header!$Q$3*$AQ612),"")</f>
      </c>
      <c r="AX612" s="43">
        <f>IF($A612="","",IF(TRIM(IF($A612="","Missing certificate ref. ","") &amp; IF($C612="","Missing effective date. ","") &amp; IF($D612="","Missing binding status. ","") &amp; IF($E612="","Missing movement type. ","") &amp; IF($I612="","Missing make. ","") &amp; IF($L612="","Missing vehicle class. ","") &amp; IF($M612="","Missing agreed value. ","") &amp; IF($N612="","Missing policy type. ","") &amp; IF($Q612="","Missing garaging state. ","") &amp; IF($R612="","Missing garaging ZIP. ","") &amp; IF($S612="","Missing cat zone. ","") &amp; IF($V612="","Missing valuation basis. ","") &amp; IF($W612="","Missing PD deductible. ","") &amp; IF($X612="","Missing liability limit. ","") &amp; IF($AB612="","Missing technical premium. ","") &amp; IF($AF612="","Missing surplus lines tax %. ",""))="","PASS","FAIL: "&amp;TRIM(IF($A612="","Missing certificate ref. ","") &amp; IF($C612="","Missing effective date. ","") &amp; IF($D612="","Missing binding status. ","") &amp; IF($E612="","Missing movement type. ","") &amp; IF($I612="","Missing make. ","") &amp; IF($L612="","Missing vehicle class. ","") &amp; IF($M612="","Missing agreed value. ","") &amp; IF($N612="","Missing policy type. ","") &amp; IF($Q612="","Missing garaging state. ","") &amp; IF($R612="","Missing garaging ZIP. ","") &amp; IF($S612="","Missing cat zone. ","") &amp; IF($V612="","Missing valuation basis. ","") &amp; IF($W612="","Missing PD deductible. ","") &amp; IF($X612="","Missing liability limit. ","") &amp; IF($AB612="","Missing technical premium. ","") &amp; IF($AF612="","Missing surplus lines tax %. ",""))))</f>
      </c>
      <c r="AY612" s="44">
        <f>IF($M612="","",IF(ISNUMBER($M612),IF($M612&gt;=Header!$C$18,"YES — refer","No"),""))</f>
      </c>
      <c r="AZ612" s="44">
        <f>IF($AD612="","",IF(ISNUMBER($AD612),IF($AD612&lt;Header!$C$20,"BELOW MIN PREMIUM","OK"),""))</f>
      </c>
      <c r="BA612" s="48" t="inlineStr">
        <is>
          <t xml:space="preserve">Yes</t>
        </is>
      </c>
      <c r="BB612" s="48" t="inlineStr">
        <is>
          <t xml:space="preserve">Yes</t>
        </is>
      </c>
      <c r="BC612" s="46" t="inlineStr">
        <is>
          <t xml:space="preserve">Synthetic demo data</t>
        </is>
      </c>
      <c r="BE612" s="45">
        <f>IF(OR($A612="",$L612="",$H612=""),"",IF(AND(LEFT($L612,2)="06",$H612&gt;1945),"FAIL - pre-war class, year "&amp;$H612,IF(AND(LEFT($L612,2)="07",OR($H612&lt;1946,$H612&gt;1972)),"FAIL - 1946-72 class, year "&amp;$H612,IF(AND(LEFT($L612,2)="08",OR($H612&lt;1973,$H612&gt;1999)),"FAIL - 1973-99 class, year "&amp;$H612,IF(AND(LEFT($L612,2)="09",OR($H612&lt;2000,$H612&gt;2010)),"FAIL - 2000-10 class, year "&amp;$H612,"OK")))))</f>
      </c>
      <c r="BF612" s="45">
        <f>IF($AD612="","",IF(ROUND($AO612+$AP612+$AQ612-$AD612,2)=0,"OK","FAIL - out by "&amp;TEXT($AO612+$AP612+$AQ612-$AD612,"$0.00")))</f>
      </c>
    </row>
    <row r="613" spans="1:58" ht="18.75" customHeight="1" x14ac:dyDescent="0.25">
      <c r="A613" s="30" t="inlineStr">
        <is>
          <t xml:space="preserve">CANON-202606-009232</t>
        </is>
      </c>
      <c r="B613" s="30" t="inlineStr">
        <is>
          <t xml:space="preserve">Saoirse Bellandi</t>
        </is>
      </c>
      <c r="C613" s="31">
        <v>46180</v>
      </c>
      <c r="D613" s="32" t="inlineStr">
        <is>
          <t xml:space="preserve">Bound - within authority</t>
        </is>
      </c>
      <c r="E613" s="32" t="inlineStr">
        <is>
          <t xml:space="preserve">New business</t>
        </is>
      </c>
      <c r="F613" s="30" t="inlineStr">
        <is>
          <t xml:space="preserve">B1234EXOTIC26</t>
        </is>
      </c>
      <c r="G613" s="33">
        <f>IF($A613="","",IF($C613="","",YEAR($C613)))</f>
      </c>
      <c r="H613" s="34">
        <v>2022</v>
      </c>
      <c r="I613" s="30" t="inlineStr">
        <is>
          <t xml:space="preserve">Jaguar</t>
        </is>
      </c>
      <c r="J613" s="30" t="inlineStr">
        <is>
          <t xml:space="preserve">E-Type Series 1</t>
        </is>
      </c>
      <c r="K613" s="30" t="inlineStr">
        <is>
          <t xml:space="preserve">H74UMPJ7FBVGF9W0C</t>
        </is>
      </c>
      <c r="L613" s="32" t="inlineStr">
        <is>
          <t xml:space="preserve">02 - Sports / GT</t>
        </is>
      </c>
      <c r="M613" s="35">
        <v>295000</v>
      </c>
      <c r="N613" s="32" t="inlineStr">
        <is>
          <t xml:space="preserve">Personal</t>
        </is>
      </c>
      <c r="O613" s="30" t="inlineStr">
        <is>
          <t xml:space="preserve">Personal - regular use</t>
        </is>
      </c>
      <c r="P613" s="30" t="inlineStr">
        <is>
          <t xml:space="preserve">2,500 - 5,000</t>
        </is>
      </c>
      <c r="Q613" s="30" t="inlineStr">
        <is>
          <t xml:space="preserve">Florida</t>
        </is>
      </c>
      <c r="R613" s="30" t="inlineStr">
        <is>
          <t xml:space="preserve">33139</t>
        </is>
      </c>
      <c r="S613" s="32" t="inlineStr">
        <is>
          <t xml:space="preserve">Tier 2 - Coastal wind (1-25 miles)</t>
        </is>
      </c>
      <c r="T613" s="36">
        <f>IF($A613="","",IF($S613="","",IFERROR(INDEX('[1]natural catastrophe'!$D$6:$D$17,MATCH($S613,'[1]natural catastrophe'!$B$6:$B$17,0)),"?")))</f>
      </c>
      <c r="U613" s="30" t="inlineStr">
        <is>
          <t xml:space="preserve">2% of agreed value, minimum $10,000</t>
        </is>
      </c>
      <c r="V613" s="32" t="inlineStr">
        <is>
          <t xml:space="preserve">Agreed Value</t>
        </is>
      </c>
      <c r="W613" s="30" t="inlineStr">
        <is>
          <t xml:space="preserve">$1,000</t>
        </is>
      </c>
      <c r="X613" s="32" t="inlineStr">
        <is>
          <t xml:space="preserve">$1,000,000 CSL</t>
        </is>
      </c>
      <c r="Y613" s="30"/>
      <c r="Z613" s="30"/>
      <c r="AA613" s="32" t="inlineStr">
        <is>
          <t xml:space="preserve">Surplus Lines</t>
        </is>
      </c>
      <c r="AB613" s="35">
        <v>2901.51</v>
      </c>
      <c r="AC613" s="37">
        <v>0</v>
      </c>
      <c r="AD613" s="38">
        <f>IF(ISNUMBER($AB613),$AB613*(1+N($AC613)),"")</f>
      </c>
      <c r="AE613" s="35">
        <v>350</v>
      </c>
      <c r="AF613" s="35">
        <v>0</v>
      </c>
      <c r="AG613" s="37"/>
      <c r="AH613" s="39">
        <f>IF(ISNUMBER($AD613),($AD613+$AE613+$AF613)*$AG613,"")</f>
      </c>
      <c r="AI613" s="35"/>
      <c r="AJ613" s="38">
        <f>IF(ISNUMBER($AD613),SUM($AD613:$AH613),"")</f>
      </c>
      <c r="AK613" s="40">
        <f>IF(AND(ISNUMBER($AB613),ISNUMBER($AD613)),IF($AB613&gt;0,$AD613/$AB613,""),"")</f>
      </c>
      <c r="AL613" s="32" t="inlineStr">
        <is>
          <t xml:space="preserve">At technical</t>
        </is>
      </c>
      <c r="AM613" s="41">
        <f>IF(ISNUMBER($AD613),Header!$I$3,"")</f>
      </c>
      <c r="AN613" s="39">
        <f>IF(ISNUMBER($AD613),$AO613+$AP613,"")</f>
      </c>
      <c r="AO613" s="39">
        <f>IF(ISNUMBER($AD613),ROUND($AD613*Header!$K$3,2),"")</f>
      </c>
      <c r="AP613" s="39">
        <f>IF(ISNUMBER($AD613),ROUND($AD613*Header!$M$3,2),"")</f>
      </c>
      <c r="AQ613" s="38">
        <f>IF(ISNUMBER($AD613),ROUND($AD613,2)-$AO613-$AP613,"")</f>
      </c>
      <c r="AR613" s="39">
        <f>IF(ISNUMBER($AD613),IF(Header!$D$34="","?",$AD613*Header!$D$34),"")</f>
      </c>
      <c r="AS613" s="39">
        <f>IF(ISNUMBER($AB613),IF(Header!$D$34="","?",$AB613*Header!$D$34),"")</f>
      </c>
      <c r="AT613" s="42">
        <f>IF(AND(ISNUMBER($AB613),$M613&gt;0),$AB613/$M613*100,"")</f>
      </c>
      <c r="AU613" s="42">
        <f>IF(AND(ISNUMBER($AD613),$M613&gt;0),$AD613/$M613*100,"")</f>
      </c>
      <c r="AV613" s="40">
        <f>IF(AND(ISNUMBER($AB613),ISNUMBER($AD613),ABS($AB613)&gt;0),$AD613/$AB613,"")</f>
      </c>
      <c r="AW613" s="39">
        <f>IF(ISNUMBER($AD613),MAX(0,(1-0.55-Header!$O$3)*Header!$Q$3*$AQ613),"")</f>
      </c>
      <c r="AX613" s="43">
        <f>IF($A613="","",IF(TRIM(IF($A613="","Missing certificate ref. ","") &amp; IF($C613="","Missing effective date. ","") &amp; IF($D613="","Missing binding status. ","") &amp; IF($E613="","Missing movement type. ","") &amp; IF($I613="","Missing make. ","") &amp; IF($L613="","Missing vehicle class. ","") &amp; IF($M613="","Missing agreed value. ","") &amp; IF($N613="","Missing policy type. ","") &amp; IF($Q613="","Missing garaging state. ","") &amp; IF($R613="","Missing garaging ZIP. ","") &amp; IF($S613="","Missing cat zone. ","") &amp; IF($V613="","Missing valuation basis. ","") &amp; IF($W613="","Missing PD deductible. ","") &amp; IF($X613="","Missing liability limit. ","") &amp; IF($AB613="","Missing technical premium. ","") &amp; IF($AF613="","Missing surplus lines tax %. ",""))="","PASS","FAIL: "&amp;TRIM(IF($A613="","Missing certificate ref. ","") &amp; IF($C613="","Missing effective date. ","") &amp; IF($D613="","Missing binding status. ","") &amp; IF($E613="","Missing movement type. ","") &amp; IF($I613="","Missing make. ","") &amp; IF($L613="","Missing vehicle class. ","") &amp; IF($M613="","Missing agreed value. ","") &amp; IF($N613="","Missing policy type. ","") &amp; IF($Q613="","Missing garaging state. ","") &amp; IF($R613="","Missing garaging ZIP. ","") &amp; IF($S613="","Missing cat zone. ","") &amp; IF($V613="","Missing valuation basis. ","") &amp; IF($W613="","Missing PD deductible. ","") &amp; IF($X613="","Missing liability limit. ","") &amp; IF($AB613="","Missing technical premium. ","") &amp; IF($AF613="","Missing surplus lines tax %. ",""))))</f>
      </c>
      <c r="AY613" s="44">
        <f>IF($M613="","",IF(ISNUMBER($M613),IF($M613&gt;=Header!$C$18,"YES — refer","No"),""))</f>
      </c>
      <c r="AZ613" s="44">
        <f>IF($AD613="","",IF(ISNUMBER($AD613),IF($AD613&lt;Header!$C$20,"BELOW MIN PREMIUM","OK"),""))</f>
      </c>
      <c r="BA613" s="32" t="inlineStr">
        <is>
          <t xml:space="preserve">Yes</t>
        </is>
      </c>
      <c r="BB613" s="32" t="inlineStr">
        <is>
          <t xml:space="preserve">Yes</t>
        </is>
      </c>
      <c r="BC613" s="30" t="inlineStr">
        <is>
          <t xml:space="preserve">Synthetic demo data</t>
        </is>
      </c>
      <c r="BE613" s="45">
        <f>IF(OR($A613="",$L613="",$H613=""),"",IF(AND(LEFT($L613,2)="06",$H613&gt;1945),"FAIL - pre-war class, year "&amp;$H613,IF(AND(LEFT($L613,2)="07",OR($H613&lt;1946,$H613&gt;1972)),"FAIL - 1946-72 class, year "&amp;$H613,IF(AND(LEFT($L613,2)="08",OR($H613&lt;1973,$H613&gt;1999)),"FAIL - 1973-99 class, year "&amp;$H613,IF(AND(LEFT($L613,2)="09",OR($H613&lt;2000,$H613&gt;2010)),"FAIL - 2000-10 class, year "&amp;$H613,"OK")))))</f>
      </c>
      <c r="BF613" s="45">
        <f>IF($AD613="","",IF(ROUND($AO613+$AP613+$AQ613-$AD613,2)=0,"OK","FAIL - out by "&amp;TEXT($AO613+$AP613+$AQ613-$AD613,"$0.00")))</f>
      </c>
    </row>
    <row r="614" spans="1:58" ht="18.75" customHeight="1" x14ac:dyDescent="0.25">
      <c r="A614" s="46" t="inlineStr">
        <is>
          <t xml:space="preserve">CANON-202606-009233</t>
        </is>
      </c>
      <c r="B614" s="46" t="inlineStr">
        <is>
          <t xml:space="preserve">Ramona Chattopadhyay</t>
        </is>
      </c>
      <c r="C614" s="47">
        <v>46203</v>
      </c>
      <c r="D614" s="48" t="inlineStr">
        <is>
          <t xml:space="preserve">Bound - within authority</t>
        </is>
      </c>
      <c r="E614" s="48" t="inlineStr">
        <is>
          <t xml:space="preserve">New business</t>
        </is>
      </c>
      <c r="F614" s="46" t="inlineStr">
        <is>
          <t xml:space="preserve">B1234EXOTIC26</t>
        </is>
      </c>
      <c r="G614" s="33">
        <f>IF($A614="","",IF($C614="","",YEAR($C614)))</f>
      </c>
      <c r="H614" s="49">
        <v>2009</v>
      </c>
      <c r="I614" s="46" t="inlineStr">
        <is>
          <t xml:space="preserve">Aston Martin</t>
        </is>
      </c>
      <c r="J614" s="46" t="inlineStr">
        <is>
          <t xml:space="preserve">DB12</t>
        </is>
      </c>
      <c r="K614" s="46" t="inlineStr">
        <is>
          <t xml:space="preserve">23U8FK5U7D87PZ0ZZ</t>
        </is>
      </c>
      <c r="L614" s="48" t="inlineStr">
        <is>
          <t xml:space="preserve">02 - Sports / GT</t>
        </is>
      </c>
      <c r="M614" s="50">
        <v>205000</v>
      </c>
      <c r="N614" s="48" t="inlineStr">
        <is>
          <t xml:space="preserve">Personal</t>
        </is>
      </c>
      <c r="O614" s="46" t="inlineStr">
        <is>
          <t xml:space="preserve">Personal - regular use</t>
        </is>
      </c>
      <c r="P614" s="46" t="inlineStr">
        <is>
          <t xml:space="preserve">1,000 - 2,500</t>
        </is>
      </c>
      <c r="Q614" s="46" t="inlineStr">
        <is>
          <t xml:space="preserve">Colorado</t>
        </is>
      </c>
      <c r="R614" s="46" t="inlineStr">
        <is>
          <t xml:space="preserve">80202</t>
        </is>
      </c>
      <c r="S614" s="48" t="inlineStr">
        <is>
          <t xml:space="preserve">Severe convective - hail alley (high)</t>
        </is>
      </c>
      <c r="T614" s="36">
        <f>IF($A614="","",IF($S614="","",IFERROR(INDEX('[1]natural catastrophe'!$D$6:$D$17,MATCH($S614,'[1]natural catastrophe'!$B$6:$B$17,0)),"?")))</f>
      </c>
      <c r="U614" s="46" t="inlineStr">
        <is>
          <t xml:space="preserve">$5,000</t>
        </is>
      </c>
      <c r="V614" s="48" t="inlineStr">
        <is>
          <t xml:space="preserve">Agreed Value</t>
        </is>
      </c>
      <c r="W614" s="46" t="inlineStr">
        <is>
          <t xml:space="preserve">$1,000</t>
        </is>
      </c>
      <c r="X614" s="48" t="inlineStr">
        <is>
          <t xml:space="preserve">$1,000,000 CSL</t>
        </is>
      </c>
      <c r="Y614" s="46"/>
      <c r="Z614" s="46"/>
      <c r="AA614" s="48" t="inlineStr">
        <is>
          <t xml:space="preserve">Surplus Lines</t>
        </is>
      </c>
      <c r="AB614" s="50">
        <v>2993.69</v>
      </c>
      <c r="AC614" s="51">
        <v>0</v>
      </c>
      <c r="AD614" s="38">
        <f>IF(ISNUMBER($AB614),$AB614*(1+N($AC614)),"")</f>
      </c>
      <c r="AE614" s="50">
        <v>350</v>
      </c>
      <c r="AF614" s="50">
        <v>0</v>
      </c>
      <c r="AG614" s="51"/>
      <c r="AH614" s="39">
        <f>IF(ISNUMBER($AD614),($AD614+$AE614+$AF614)*$AG614,"")</f>
      </c>
      <c r="AI614" s="50"/>
      <c r="AJ614" s="38">
        <f>IF(ISNUMBER($AD614),SUM($AD614:$AH614),"")</f>
      </c>
      <c r="AK614" s="40">
        <f>IF(AND(ISNUMBER($AB614),ISNUMBER($AD614)),IF($AB614&gt;0,$AD614/$AB614,""),"")</f>
      </c>
      <c r="AL614" s="48" t="inlineStr">
        <is>
          <t xml:space="preserve">At technical</t>
        </is>
      </c>
      <c r="AM614" s="41">
        <f>IF(ISNUMBER($AD614),Header!$I$3,"")</f>
      </c>
      <c r="AN614" s="39">
        <f>IF(ISNUMBER($AD614),$AO614+$AP614,"")</f>
      </c>
      <c r="AO614" s="39">
        <f>IF(ISNUMBER($AD614),ROUND($AD614*Header!$K$3,2),"")</f>
      </c>
      <c r="AP614" s="39">
        <f>IF(ISNUMBER($AD614),ROUND($AD614*Header!$M$3,2),"")</f>
      </c>
      <c r="AQ614" s="38">
        <f>IF(ISNUMBER($AD614),ROUND($AD614,2)-$AO614-$AP614,"")</f>
      </c>
      <c r="AR614" s="39">
        <f>IF(ISNUMBER($AD614),IF(Header!$D$34="","?",$AD614*Header!$D$34),"")</f>
      </c>
      <c r="AS614" s="39">
        <f>IF(ISNUMBER($AB614),IF(Header!$D$34="","?",$AB614*Header!$D$34),"")</f>
      </c>
      <c r="AT614" s="42">
        <f>IF(AND(ISNUMBER($AB614),$M614&gt;0),$AB614/$M614*100,"")</f>
      </c>
      <c r="AU614" s="42">
        <f>IF(AND(ISNUMBER($AD614),$M614&gt;0),$AD614/$M614*100,"")</f>
      </c>
      <c r="AV614" s="40">
        <f>IF(AND(ISNUMBER($AB614),ISNUMBER($AD614),ABS($AB614)&gt;0),$AD614/$AB614,"")</f>
      </c>
      <c r="AW614" s="39">
        <f>IF(ISNUMBER($AD614),MAX(0,(1-0.55-Header!$O$3)*Header!$Q$3*$AQ614),"")</f>
      </c>
      <c r="AX614" s="43">
        <f>IF($A614="","",IF(TRIM(IF($A614="","Missing certificate ref. ","") &amp; IF($C614="","Missing effective date. ","") &amp; IF($D614="","Missing binding status. ","") &amp; IF($E614="","Missing movement type. ","") &amp; IF($I614="","Missing make. ","") &amp; IF($L614="","Missing vehicle class. ","") &amp; IF($M614="","Missing agreed value. ","") &amp; IF($N614="","Missing policy type. ","") &amp; IF($Q614="","Missing garaging state. ","") &amp; IF($R614="","Missing garaging ZIP. ","") &amp; IF($S614="","Missing cat zone. ","") &amp; IF($V614="","Missing valuation basis. ","") &amp; IF($W614="","Missing PD deductible. ","") &amp; IF($X614="","Missing liability limit. ","") &amp; IF($AB614="","Missing technical premium. ","") &amp; IF($AF614="","Missing surplus lines tax %. ",""))="","PASS","FAIL: "&amp;TRIM(IF($A614="","Missing certificate ref. ","") &amp; IF($C614="","Missing effective date. ","") &amp; IF($D614="","Missing binding status. ","") &amp; IF($E614="","Missing movement type. ","") &amp; IF($I614="","Missing make. ","") &amp; IF($L614="","Missing vehicle class. ","") &amp; IF($M614="","Missing agreed value. ","") &amp; IF($N614="","Missing policy type. ","") &amp; IF($Q614="","Missing garaging state. ","") &amp; IF($R614="","Missing garaging ZIP. ","") &amp; IF($S614="","Missing cat zone. ","") &amp; IF($V614="","Missing valuation basis. ","") &amp; IF($W614="","Missing PD deductible. ","") &amp; IF($X614="","Missing liability limit. ","") &amp; IF($AB614="","Missing technical premium. ","") &amp; IF($AF614="","Missing surplus lines tax %. ",""))))</f>
      </c>
      <c r="AY614" s="44">
        <f>IF($M614="","",IF(ISNUMBER($M614),IF($M614&gt;=Header!$C$18,"YES — refer","No"),""))</f>
      </c>
      <c r="AZ614" s="44">
        <f>IF($AD614="","",IF(ISNUMBER($AD614),IF($AD614&lt;Header!$C$20,"BELOW MIN PREMIUM","OK"),""))</f>
      </c>
      <c r="BA614" s="48" t="inlineStr">
        <is>
          <t xml:space="preserve">Yes</t>
        </is>
      </c>
      <c r="BB614" s="48" t="inlineStr">
        <is>
          <t xml:space="preserve">Yes</t>
        </is>
      </c>
      <c r="BC614" s="46" t="inlineStr">
        <is>
          <t xml:space="preserve">Synthetic demo data</t>
        </is>
      </c>
      <c r="BE614" s="45">
        <f>IF(OR($A614="",$L614="",$H614=""),"",IF(AND(LEFT($L614,2)="06",$H614&gt;1945),"FAIL - pre-war class, year "&amp;$H614,IF(AND(LEFT($L614,2)="07",OR($H614&lt;1946,$H614&gt;1972)),"FAIL - 1946-72 class, year "&amp;$H614,IF(AND(LEFT($L614,2)="08",OR($H614&lt;1973,$H614&gt;1999)),"FAIL - 1973-99 class, year "&amp;$H614,IF(AND(LEFT($L614,2)="09",OR($H614&lt;2000,$H614&gt;2010)),"FAIL - 2000-10 class, year "&amp;$H614,"OK")))))</f>
      </c>
      <c r="BF614" s="45">
        <f>IF($AD614="","",IF(ROUND($AO614+$AP614+$AQ614-$AD614,2)=0,"OK","FAIL - out by "&amp;TEXT($AO614+$AP614+$AQ614-$AD614,"$0.00")))</f>
      </c>
    </row>
    <row r="615" spans="1:58" ht="18.75" customHeight="1" x14ac:dyDescent="0.25">
      <c r="A615" s="30" t="inlineStr">
        <is>
          <t xml:space="preserve">CANON-202606-009234</t>
        </is>
      </c>
      <c r="B615" s="30" t="inlineStr">
        <is>
          <t xml:space="preserve">Horace Thistlewood</t>
        </is>
      </c>
      <c r="C615" s="31">
        <v>46197</v>
      </c>
      <c r="D615" s="32" t="inlineStr">
        <is>
          <t xml:space="preserve">Bound - within authority</t>
        </is>
      </c>
      <c r="E615" s="32" t="inlineStr">
        <is>
          <t xml:space="preserve">New business</t>
        </is>
      </c>
      <c r="F615" s="30" t="inlineStr">
        <is>
          <t xml:space="preserve">B1234EXOTIC26</t>
        </is>
      </c>
      <c r="G615" s="33">
        <f>IF($A615="","",IF($C615="","",YEAR($C615)))</f>
      </c>
      <c r="H615" s="34">
        <v>2019</v>
      </c>
      <c r="I615" s="30" t="inlineStr">
        <is>
          <t xml:space="preserve">Bentley</t>
        </is>
      </c>
      <c r="J615" s="30" t="inlineStr">
        <is>
          <t xml:space="preserve">Continental GT</t>
        </is>
      </c>
      <c r="K615" s="30" t="inlineStr">
        <is>
          <t xml:space="preserve">P7FCY8DGYJ3Z9WX9M</t>
        </is>
      </c>
      <c r="L615" s="32" t="inlineStr">
        <is>
          <t xml:space="preserve">02 - Sports / GT</t>
        </is>
      </c>
      <c r="M615" s="35">
        <v>440000</v>
      </c>
      <c r="N615" s="32" t="inlineStr">
        <is>
          <t xml:space="preserve">Personal</t>
        </is>
      </c>
      <c r="O615" s="30" t="inlineStr">
        <is>
          <t xml:space="preserve">Personal - regular use</t>
        </is>
      </c>
      <c r="P615" s="30" t="inlineStr">
        <is>
          <t xml:space="preserve">Under 1,000</t>
        </is>
      </c>
      <c r="Q615" s="30" t="inlineStr">
        <is>
          <t xml:space="preserve">Arkansas</t>
        </is>
      </c>
      <c r="R615" s="30" t="inlineStr">
        <is>
          <t xml:space="preserve">72201</t>
        </is>
      </c>
      <c r="S615" s="32" t="inlineStr">
        <is>
          <t xml:space="preserve">Severe convective - hail / tornado (moderate)</t>
        </is>
      </c>
      <c r="T615" s="36">
        <f>IF($A615="","",IF($S615="","",IFERROR(INDEX('[1]natural catastrophe'!$D$6:$D$17,MATCH($S615,'[1]natural catastrophe'!$B$6:$B$17,0)),"?")))</f>
      </c>
      <c r="U615" s="30" t="inlineStr">
        <is>
          <t xml:space="preserve">$5,000</t>
        </is>
      </c>
      <c r="V615" s="32" t="inlineStr">
        <is>
          <t xml:space="preserve">Agreed Value</t>
        </is>
      </c>
      <c r="W615" s="30" t="inlineStr">
        <is>
          <t xml:space="preserve">$1,000</t>
        </is>
      </c>
      <c r="X615" s="32" t="inlineStr">
        <is>
          <t xml:space="preserve">$1,000,000 CSL</t>
        </is>
      </c>
      <c r="Y615" s="30"/>
      <c r="Z615" s="30"/>
      <c r="AA615" s="32" t="inlineStr">
        <is>
          <t xml:space="preserve">Surplus Lines</t>
        </is>
      </c>
      <c r="AB615" s="35">
        <v>6571.51</v>
      </c>
      <c r="AC615" s="37">
        <v>0</v>
      </c>
      <c r="AD615" s="38">
        <f>IF(ISNUMBER($AB615),$AB615*(1+N($AC615)),"")</f>
      </c>
      <c r="AE615" s="35">
        <v>350</v>
      </c>
      <c r="AF615" s="35">
        <v>0</v>
      </c>
      <c r="AG615" s="37"/>
      <c r="AH615" s="39">
        <f>IF(ISNUMBER($AD615),($AD615+$AE615+$AF615)*$AG615,"")</f>
      </c>
      <c r="AI615" s="35"/>
      <c r="AJ615" s="38">
        <f>IF(ISNUMBER($AD615),SUM($AD615:$AH615),"")</f>
      </c>
      <c r="AK615" s="40">
        <f>IF(AND(ISNUMBER($AB615),ISNUMBER($AD615)),IF($AB615&gt;0,$AD615/$AB615,""),"")</f>
      </c>
      <c r="AL615" s="32" t="inlineStr">
        <is>
          <t xml:space="preserve">At technical</t>
        </is>
      </c>
      <c r="AM615" s="41">
        <f>IF(ISNUMBER($AD615),Header!$I$3,"")</f>
      </c>
      <c r="AN615" s="39">
        <f>IF(ISNUMBER($AD615),$AO615+$AP615,"")</f>
      </c>
      <c r="AO615" s="39">
        <f>IF(ISNUMBER($AD615),ROUND($AD615*Header!$K$3,2),"")</f>
      </c>
      <c r="AP615" s="39">
        <f>IF(ISNUMBER($AD615),ROUND($AD615*Header!$M$3,2),"")</f>
      </c>
      <c r="AQ615" s="38">
        <f>IF(ISNUMBER($AD615),ROUND($AD615,2)-$AO615-$AP615,"")</f>
      </c>
      <c r="AR615" s="39">
        <f>IF(ISNUMBER($AD615),IF(Header!$D$34="","?",$AD615*Header!$D$34),"")</f>
      </c>
      <c r="AS615" s="39">
        <f>IF(ISNUMBER($AB615),IF(Header!$D$34="","?",$AB615*Header!$D$34),"")</f>
      </c>
      <c r="AT615" s="42">
        <f>IF(AND(ISNUMBER($AB615),$M615&gt;0),$AB615/$M615*100,"")</f>
      </c>
      <c r="AU615" s="42">
        <f>IF(AND(ISNUMBER($AD615),$M615&gt;0),$AD615/$M615*100,"")</f>
      </c>
      <c r="AV615" s="40">
        <f>IF(AND(ISNUMBER($AB615),ISNUMBER($AD615),ABS($AB615)&gt;0),$AD615/$AB615,"")</f>
      </c>
      <c r="AW615" s="39">
        <f>IF(ISNUMBER($AD615),MAX(0,(1-0.55-Header!$O$3)*Header!$Q$3*$AQ615),"")</f>
      </c>
      <c r="AX615" s="43">
        <f>IF($A615="","",IF(TRIM(IF($A615="","Missing certificate ref. ","") &amp; IF($C615="","Missing effective date. ","") &amp; IF($D615="","Missing binding status. ","") &amp; IF($E615="","Missing movement type. ","") &amp; IF($I615="","Missing make. ","") &amp; IF($L615="","Missing vehicle class. ","") &amp; IF($M615="","Missing agreed value. ","") &amp; IF($N615="","Missing policy type. ","") &amp; IF($Q615="","Missing garaging state. ","") &amp; IF($R615="","Missing garaging ZIP. ","") &amp; IF($S615="","Missing cat zone. ","") &amp; IF($V615="","Missing valuation basis. ","") &amp; IF($W615="","Missing PD deductible. ","") &amp; IF($X615="","Missing liability limit. ","") &amp; IF($AB615="","Missing technical premium. ","") &amp; IF($AF615="","Missing surplus lines tax %. ",""))="","PASS","FAIL: "&amp;TRIM(IF($A615="","Missing certificate ref. ","") &amp; IF($C615="","Missing effective date. ","") &amp; IF($D615="","Missing binding status. ","") &amp; IF($E615="","Missing movement type. ","") &amp; IF($I615="","Missing make. ","") &amp; IF($L615="","Missing vehicle class. ","") &amp; IF($M615="","Missing agreed value. ","") &amp; IF($N615="","Missing policy type. ","") &amp; IF($Q615="","Missing garaging state. ","") &amp; IF($R615="","Missing garaging ZIP. ","") &amp; IF($S615="","Missing cat zone. ","") &amp; IF($V615="","Missing valuation basis. ","") &amp; IF($W615="","Missing PD deductible. ","") &amp; IF($X615="","Missing liability limit. ","") &amp; IF($AB615="","Missing technical premium. ","") &amp; IF($AF615="","Missing surplus lines tax %. ",""))))</f>
      </c>
      <c r="AY615" s="44">
        <f>IF($M615="","",IF(ISNUMBER($M615),IF($M615&gt;=Header!$C$18,"YES — refer","No"),""))</f>
      </c>
      <c r="AZ615" s="44">
        <f>IF($AD615="","",IF(ISNUMBER($AD615),IF($AD615&lt;Header!$C$20,"BELOW MIN PREMIUM","OK"),""))</f>
      </c>
      <c r="BA615" s="32" t="inlineStr">
        <is>
          <t xml:space="preserve">Yes</t>
        </is>
      </c>
      <c r="BB615" s="32" t="inlineStr">
        <is>
          <t xml:space="preserve">Yes</t>
        </is>
      </c>
      <c r="BC615" s="30" t="inlineStr">
        <is>
          <t xml:space="preserve">Synthetic demo data</t>
        </is>
      </c>
      <c r="BE615" s="45">
        <f>IF(OR($A615="",$L615="",$H615=""),"",IF(AND(LEFT($L615,2)="06",$H615&gt;1945),"FAIL - pre-war class, year "&amp;$H615,IF(AND(LEFT($L615,2)="07",OR($H615&lt;1946,$H615&gt;1972)),"FAIL - 1946-72 class, year "&amp;$H615,IF(AND(LEFT($L615,2)="08",OR($H615&lt;1973,$H615&gt;1999)),"FAIL - 1973-99 class, year "&amp;$H615,IF(AND(LEFT($L615,2)="09",OR($H615&lt;2000,$H615&gt;2010)),"FAIL - 2000-10 class, year "&amp;$H615,"OK")))))</f>
      </c>
      <c r="BF615" s="45">
        <f>IF($AD615="","",IF(ROUND($AO615+$AP615+$AQ615-$AD615,2)=0,"OK","FAIL - out by "&amp;TEXT($AO615+$AP615+$AQ615-$AD615,"$0.00")))</f>
      </c>
    </row>
    <row r="616" spans="1:58" ht="18.75" customHeight="1" x14ac:dyDescent="0.25">
      <c r="A616" s="46" t="inlineStr">
        <is>
          <t xml:space="preserve">CANON-202606-009237</t>
        </is>
      </c>
      <c r="B616" s="46" t="inlineStr">
        <is>
          <t xml:space="preserve">Saoirse Okonkwo</t>
        </is>
      </c>
      <c r="C616" s="47">
        <v>46195</v>
      </c>
      <c r="D616" s="48" t="inlineStr">
        <is>
          <t xml:space="preserve">Bound - within authority</t>
        </is>
      </c>
      <c r="E616" s="48" t="inlineStr">
        <is>
          <t xml:space="preserve">New business</t>
        </is>
      </c>
      <c r="F616" s="46" t="inlineStr">
        <is>
          <t xml:space="preserve">B1234EXOTIC26</t>
        </is>
      </c>
      <c r="G616" s="33">
        <f>IF($A616="","",IF($C616="","",YEAR($C616)))</f>
      </c>
      <c r="H616" s="49">
        <v>1957</v>
      </c>
      <c r="I616" s="46" t="inlineStr">
        <is>
          <t xml:space="preserve">McLaren</t>
        </is>
      </c>
      <c r="J616" s="46" t="inlineStr">
        <is>
          <t xml:space="preserve">750S</t>
        </is>
      </c>
      <c r="K616" s="46" t="inlineStr">
        <is>
          <t xml:space="preserve">9T1L5ZYER5Y2YAXSV</t>
        </is>
      </c>
      <c r="L616" s="48" t="inlineStr">
        <is>
          <t xml:space="preserve">03 - Supercar</t>
        </is>
      </c>
      <c r="M616" s="50">
        <v>675000</v>
      </c>
      <c r="N616" s="48" t="inlineStr">
        <is>
          <t xml:space="preserve">Personal</t>
        </is>
      </c>
      <c r="O616" s="46" t="inlineStr">
        <is>
          <t xml:space="preserve">Personal - regular use</t>
        </is>
      </c>
      <c r="P616" s="46" t="inlineStr">
        <is>
          <t xml:space="preserve">1,000 - 2,500</t>
        </is>
      </c>
      <c r="Q616" s="46" t="inlineStr">
        <is>
          <t xml:space="preserve">Delaware</t>
        </is>
      </c>
      <c r="R616" s="46" t="inlineStr">
        <is>
          <t xml:space="preserve">19801</t>
        </is>
      </c>
      <c r="S616" s="48" t="inlineStr">
        <is>
          <t xml:space="preserve">Tier 3 - Coastal wind (25-100 miles)</t>
        </is>
      </c>
      <c r="T616" s="36">
        <f>IF($A616="","",IF($S616="","",IFERROR(INDEX('[1]natural catastrophe'!$D$6:$D$17,MATCH($S616,'[1]natural catastrophe'!$B$6:$B$17,0)),"?")))</f>
      </c>
      <c r="U616" s="46" t="inlineStr">
        <is>
          <t xml:space="preserve">2% of agreed value, minimum $10,000</t>
        </is>
      </c>
      <c r="V616" s="48" t="inlineStr">
        <is>
          <t xml:space="preserve">Agreed Value</t>
        </is>
      </c>
      <c r="W616" s="46" t="inlineStr">
        <is>
          <t xml:space="preserve">$1,000</t>
        </is>
      </c>
      <c r="X616" s="48" t="inlineStr">
        <is>
          <t xml:space="preserve">$1,000,000 CSL</t>
        </is>
      </c>
      <c r="Y616" s="46"/>
      <c r="Z616" s="46"/>
      <c r="AA616" s="48" t="inlineStr">
        <is>
          <t xml:space="preserve">Surplus Lines</t>
        </is>
      </c>
      <c r="AB616" s="50">
        <v>11566.7</v>
      </c>
      <c r="AC616" s="51">
        <v>0</v>
      </c>
      <c r="AD616" s="38">
        <f>IF(ISNUMBER($AB616),$AB616*(1+N($AC616)),"")</f>
      </c>
      <c r="AE616" s="50">
        <v>350</v>
      </c>
      <c r="AF616" s="50">
        <v>0</v>
      </c>
      <c r="AG616" s="51"/>
      <c r="AH616" s="39">
        <f>IF(ISNUMBER($AD616),($AD616+$AE616+$AF616)*$AG616,"")</f>
      </c>
      <c r="AI616" s="50"/>
      <c r="AJ616" s="38">
        <f>IF(ISNUMBER($AD616),SUM($AD616:$AH616),"")</f>
      </c>
      <c r="AK616" s="40">
        <f>IF(AND(ISNUMBER($AB616),ISNUMBER($AD616)),IF($AB616&gt;0,$AD616/$AB616,""),"")</f>
      </c>
      <c r="AL616" s="48" t="inlineStr">
        <is>
          <t xml:space="preserve">At technical</t>
        </is>
      </c>
      <c r="AM616" s="41">
        <f>IF(ISNUMBER($AD616),Header!$I$3,"")</f>
      </c>
      <c r="AN616" s="39">
        <f>IF(ISNUMBER($AD616),$AO616+$AP616,"")</f>
      </c>
      <c r="AO616" s="39">
        <f>IF(ISNUMBER($AD616),ROUND($AD616*Header!$K$3,2),"")</f>
      </c>
      <c r="AP616" s="39">
        <f>IF(ISNUMBER($AD616),ROUND($AD616*Header!$M$3,2),"")</f>
      </c>
      <c r="AQ616" s="38">
        <f>IF(ISNUMBER($AD616),ROUND($AD616,2)-$AO616-$AP616,"")</f>
      </c>
      <c r="AR616" s="39">
        <f>IF(ISNUMBER($AD616),IF(Header!$D$34="","?",$AD616*Header!$D$34),"")</f>
      </c>
      <c r="AS616" s="39">
        <f>IF(ISNUMBER($AB616),IF(Header!$D$34="","?",$AB616*Header!$D$34),"")</f>
      </c>
      <c r="AT616" s="42">
        <f>IF(AND(ISNUMBER($AB616),$M616&gt;0),$AB616/$M616*100,"")</f>
      </c>
      <c r="AU616" s="42">
        <f>IF(AND(ISNUMBER($AD616),$M616&gt;0),$AD616/$M616*100,"")</f>
      </c>
      <c r="AV616" s="40">
        <f>IF(AND(ISNUMBER($AB616),ISNUMBER($AD616),ABS($AB616)&gt;0),$AD616/$AB616,"")</f>
      </c>
      <c r="AW616" s="39">
        <f>IF(ISNUMBER($AD616),MAX(0,(1-0.55-Header!$O$3)*Header!$Q$3*$AQ616),"")</f>
      </c>
      <c r="AX616" s="43">
        <f>IF($A616="","",IF(TRIM(IF($A616="","Missing certificate ref. ","") &amp; IF($C616="","Missing effective date. ","") &amp; IF($D616="","Missing binding status. ","") &amp; IF($E616="","Missing movement type. ","") &amp; IF($I616="","Missing make. ","") &amp; IF($L616="","Missing vehicle class. ","") &amp; IF($M616="","Missing agreed value. ","") &amp; IF($N616="","Missing policy type. ","") &amp; IF($Q616="","Missing garaging state. ","") &amp; IF($R616="","Missing garaging ZIP. ","") &amp; IF($S616="","Missing cat zone. ","") &amp; IF($V616="","Missing valuation basis. ","") &amp; IF($W616="","Missing PD deductible. ","") &amp; IF($X616="","Missing liability limit. ","") &amp; IF($AB616="","Missing technical premium. ","") &amp; IF($AF616="","Missing surplus lines tax %. ",""))="","PASS","FAIL: "&amp;TRIM(IF($A616="","Missing certificate ref. ","") &amp; IF($C616="","Missing effective date. ","") &amp; IF($D616="","Missing binding status. ","") &amp; IF($E616="","Missing movement type. ","") &amp; IF($I616="","Missing make. ","") &amp; IF($L616="","Missing vehicle class. ","") &amp; IF($M616="","Missing agreed value. ","") &amp; IF($N616="","Missing policy type. ","") &amp; IF($Q616="","Missing garaging state. ","") &amp; IF($R616="","Missing garaging ZIP. ","") &amp; IF($S616="","Missing cat zone. ","") &amp; IF($V616="","Missing valuation basis. ","") &amp; IF($W616="","Missing PD deductible. ","") &amp; IF($X616="","Missing liability limit. ","") &amp; IF($AB616="","Missing technical premium. ","") &amp; IF($AF616="","Missing surplus lines tax %. ",""))))</f>
      </c>
      <c r="AY616" s="44">
        <f>IF($M616="","",IF(ISNUMBER($M616),IF($M616&gt;=Header!$C$18,"YES — refer","No"),""))</f>
      </c>
      <c r="AZ616" s="44">
        <f>IF($AD616="","",IF(ISNUMBER($AD616),IF($AD616&lt;Header!$C$20,"BELOW MIN PREMIUM","OK"),""))</f>
      </c>
      <c r="BA616" s="48" t="inlineStr">
        <is>
          <t xml:space="preserve">Yes</t>
        </is>
      </c>
      <c r="BB616" s="48" t="inlineStr">
        <is>
          <t xml:space="preserve">Yes</t>
        </is>
      </c>
      <c r="BC616" s="46" t="inlineStr">
        <is>
          <t xml:space="preserve">Synthetic demo data</t>
        </is>
      </c>
      <c r="BE616" s="45">
        <f>IF(OR($A616="",$L616="",$H616=""),"",IF(AND(LEFT($L616,2)="06",$H616&gt;1945),"FAIL - pre-war class, year "&amp;$H616,IF(AND(LEFT($L616,2)="07",OR($H616&lt;1946,$H616&gt;1972)),"FAIL - 1946-72 class, year "&amp;$H616,IF(AND(LEFT($L616,2)="08",OR($H616&lt;1973,$H616&gt;1999)),"FAIL - 1973-99 class, year "&amp;$H616,IF(AND(LEFT($L616,2)="09",OR($H616&lt;2000,$H616&gt;2010)),"FAIL - 2000-10 class, year "&amp;$H616,"OK")))))</f>
      </c>
      <c r="BF616" s="45">
        <f>IF($AD616="","",IF(ROUND($AO616+$AP616+$AQ616-$AD616,2)=0,"OK","FAIL - out by "&amp;TEXT($AO616+$AP616+$AQ616-$AD616,"$0.00")))</f>
      </c>
    </row>
    <row r="617" spans="1:58" ht="18.75" customHeight="1" x14ac:dyDescent="0.25">
      <c r="A617" s="30" t="inlineStr">
        <is>
          <t xml:space="preserve">CANON-202606-009239</t>
        </is>
      </c>
      <c r="B617" s="30" t="inlineStr">
        <is>
          <t xml:space="preserve">Marisol Pennington</t>
        </is>
      </c>
      <c r="C617" s="31">
        <v>46203</v>
      </c>
      <c r="D617" s="32" t="inlineStr">
        <is>
          <t xml:space="preserve">Bound - within authority</t>
        </is>
      </c>
      <c r="E617" s="32" t="inlineStr">
        <is>
          <t xml:space="preserve">New business</t>
        </is>
      </c>
      <c r="F617" s="30" t="inlineStr">
        <is>
          <t xml:space="preserve">B1234EXOTIC26</t>
        </is>
      </c>
      <c r="G617" s="33">
        <f>IF($A617="","",IF($C617="","",YEAR($C617)))</f>
      </c>
      <c r="H617" s="34">
        <v>2024</v>
      </c>
      <c r="I617" s="30" t="inlineStr">
        <is>
          <t xml:space="preserve">Ferrari</t>
        </is>
      </c>
      <c r="J617" s="30" t="inlineStr">
        <is>
          <t xml:space="preserve">296 GTB</t>
        </is>
      </c>
      <c r="K617" s="30" t="inlineStr">
        <is>
          <t xml:space="preserve">1RAGBHJ73ZM2KEJDB</t>
        </is>
      </c>
      <c r="L617" s="32" t="inlineStr">
        <is>
          <t xml:space="preserve">03 - Supercar</t>
        </is>
      </c>
      <c r="M617" s="35">
        <v>370000</v>
      </c>
      <c r="N617" s="32" t="inlineStr">
        <is>
          <t xml:space="preserve">Personal</t>
        </is>
      </c>
      <c r="O617" s="30" t="inlineStr">
        <is>
          <t xml:space="preserve">Personal - regular use</t>
        </is>
      </c>
      <c r="P617" s="30" t="inlineStr">
        <is>
          <t xml:space="preserve">Under 1,000</t>
        </is>
      </c>
      <c r="Q617" s="30" t="inlineStr">
        <is>
          <t xml:space="preserve">Washington</t>
        </is>
      </c>
      <c r="R617" s="30" t="inlineStr">
        <is>
          <t xml:space="preserve">98101</t>
        </is>
      </c>
      <c r="S617" s="32" t="inlineStr">
        <is>
          <t xml:space="preserve">Earthquake - high (CA, Cascadia, New Madrid)</t>
        </is>
      </c>
      <c r="T617" s="36">
        <f>IF($A617="","",IF($S617="","",IFERROR(INDEX('[1]natural catastrophe'!$D$6:$D$17,MATCH($S617,'[1]natural catastrophe'!$B$6:$B$17,0)),"?")))</f>
      </c>
      <c r="U617" s="30" t="inlineStr">
        <is>
          <t xml:space="preserve">$5,000</t>
        </is>
      </c>
      <c r="V617" s="32" t="inlineStr">
        <is>
          <t xml:space="preserve">Agreed Value</t>
        </is>
      </c>
      <c r="W617" s="30" t="inlineStr">
        <is>
          <t xml:space="preserve">$1,000</t>
        </is>
      </c>
      <c r="X617" s="32" t="inlineStr">
        <is>
          <t xml:space="preserve">$1,000,000 CSL</t>
        </is>
      </c>
      <c r="Y617" s="30"/>
      <c r="Z617" s="30"/>
      <c r="AA617" s="32" t="inlineStr">
        <is>
          <t xml:space="preserve">Surplus Lines</t>
        </is>
      </c>
      <c r="AB617" s="35">
        <v>5894.44</v>
      </c>
      <c r="AC617" s="37">
        <v>0</v>
      </c>
      <c r="AD617" s="38">
        <f>IF(ISNUMBER($AB617),$AB617*(1+N($AC617)),"")</f>
      </c>
      <c r="AE617" s="35">
        <v>350</v>
      </c>
      <c r="AF617" s="35">
        <v>0</v>
      </c>
      <c r="AG617" s="37"/>
      <c r="AH617" s="39">
        <f>IF(ISNUMBER($AD617),($AD617+$AE617+$AF617)*$AG617,"")</f>
      </c>
      <c r="AI617" s="35"/>
      <c r="AJ617" s="38">
        <f>IF(ISNUMBER($AD617),SUM($AD617:$AH617),"")</f>
      </c>
      <c r="AK617" s="40">
        <f>IF(AND(ISNUMBER($AB617),ISNUMBER($AD617)),IF($AB617&gt;0,$AD617/$AB617,""),"")</f>
      </c>
      <c r="AL617" s="32" t="inlineStr">
        <is>
          <t xml:space="preserve">At technical</t>
        </is>
      </c>
      <c r="AM617" s="41">
        <f>IF(ISNUMBER($AD617),Header!$I$3,"")</f>
      </c>
      <c r="AN617" s="39">
        <f>IF(ISNUMBER($AD617),$AO617+$AP617,"")</f>
      </c>
      <c r="AO617" s="39">
        <f>IF(ISNUMBER($AD617),ROUND($AD617*Header!$K$3,2),"")</f>
      </c>
      <c r="AP617" s="39">
        <f>IF(ISNUMBER($AD617),ROUND($AD617*Header!$M$3,2),"")</f>
      </c>
      <c r="AQ617" s="38">
        <f>IF(ISNUMBER($AD617),ROUND($AD617,2)-$AO617-$AP617,"")</f>
      </c>
      <c r="AR617" s="39">
        <f>IF(ISNUMBER($AD617),IF(Header!$D$34="","?",$AD617*Header!$D$34),"")</f>
      </c>
      <c r="AS617" s="39">
        <f>IF(ISNUMBER($AB617),IF(Header!$D$34="","?",$AB617*Header!$D$34),"")</f>
      </c>
      <c r="AT617" s="42">
        <f>IF(AND(ISNUMBER($AB617),$M617&gt;0),$AB617/$M617*100,"")</f>
      </c>
      <c r="AU617" s="42">
        <f>IF(AND(ISNUMBER($AD617),$M617&gt;0),$AD617/$M617*100,"")</f>
      </c>
      <c r="AV617" s="40">
        <f>IF(AND(ISNUMBER($AB617),ISNUMBER($AD617),ABS($AB617)&gt;0),$AD617/$AB617,"")</f>
      </c>
      <c r="AW617" s="39">
        <f>IF(ISNUMBER($AD617),MAX(0,(1-0.55-Header!$O$3)*Header!$Q$3*$AQ617),"")</f>
      </c>
      <c r="AX617" s="43">
        <f>IF($A617="","",IF(TRIM(IF($A617="","Missing certificate ref. ","") &amp; IF($C617="","Missing effective date. ","") &amp; IF($D617="","Missing binding status. ","") &amp; IF($E617="","Missing movement type. ","") &amp; IF($I617="","Missing make. ","") &amp; IF($L617="","Missing vehicle class. ","") &amp; IF($M617="","Missing agreed value. ","") &amp; IF($N617="","Missing policy type. ","") &amp; IF($Q617="","Missing garaging state. ","") &amp; IF($R617="","Missing garaging ZIP. ","") &amp; IF($S617="","Missing cat zone. ","") &amp; IF($V617="","Missing valuation basis. ","") &amp; IF($W617="","Missing PD deductible. ","") &amp; IF($X617="","Missing liability limit. ","") &amp; IF($AB617="","Missing technical premium. ","") &amp; IF($AF617="","Missing surplus lines tax %. ",""))="","PASS","FAIL: "&amp;TRIM(IF($A617="","Missing certificate ref. ","") &amp; IF($C617="","Missing effective date. ","") &amp; IF($D617="","Missing binding status. ","") &amp; IF($E617="","Missing movement type. ","") &amp; IF($I617="","Missing make. ","") &amp; IF($L617="","Missing vehicle class. ","") &amp; IF($M617="","Missing agreed value. ","") &amp; IF($N617="","Missing policy type. ","") &amp; IF($Q617="","Missing garaging state. ","") &amp; IF($R617="","Missing garaging ZIP. ","") &amp; IF($S617="","Missing cat zone. ","") &amp; IF($V617="","Missing valuation basis. ","") &amp; IF($W617="","Missing PD deductible. ","") &amp; IF($X617="","Missing liability limit. ","") &amp; IF($AB617="","Missing technical premium. ","") &amp; IF($AF617="","Missing surplus lines tax %. ",""))))</f>
      </c>
      <c r="AY617" s="44">
        <f>IF($M617="","",IF(ISNUMBER($M617),IF($M617&gt;=Header!$C$18,"YES — refer","No"),""))</f>
      </c>
      <c r="AZ617" s="44">
        <f>IF($AD617="","",IF(ISNUMBER($AD617),IF($AD617&lt;Header!$C$20,"BELOW MIN PREMIUM","OK"),""))</f>
      </c>
      <c r="BA617" s="32" t="inlineStr">
        <is>
          <t xml:space="preserve">Yes</t>
        </is>
      </c>
      <c r="BB617" s="32" t="inlineStr">
        <is>
          <t xml:space="preserve">Yes</t>
        </is>
      </c>
      <c r="BC617" s="30" t="inlineStr">
        <is>
          <t xml:space="preserve">Synthetic demo data</t>
        </is>
      </c>
      <c r="BE617" s="45">
        <f>IF(OR($A617="",$L617="",$H617=""),"",IF(AND(LEFT($L617,2)="06",$H617&gt;1945),"FAIL - pre-war class, year "&amp;$H617,IF(AND(LEFT($L617,2)="07",OR($H617&lt;1946,$H617&gt;1972)),"FAIL - 1946-72 class, year "&amp;$H617,IF(AND(LEFT($L617,2)="08",OR($H617&lt;1973,$H617&gt;1999)),"FAIL - 1973-99 class, year "&amp;$H617,IF(AND(LEFT($L617,2)="09",OR($H617&lt;2000,$H617&gt;2010)),"FAIL - 2000-10 class, year "&amp;$H617,"OK")))))</f>
      </c>
      <c r="BF617" s="45">
        <f>IF($AD617="","",IF(ROUND($AO617+$AP617+$AQ617-$AD617,2)=0,"OK","FAIL - out by "&amp;TEXT($AO617+$AP617+$AQ617-$AD617,"$0.00")))</f>
      </c>
    </row>
    <row r="618" spans="1:58" ht="18.75" customHeight="1" x14ac:dyDescent="0.25">
      <c r="A618" s="46" t="inlineStr">
        <is>
          <t xml:space="preserve">CANON-202606-009243</t>
        </is>
      </c>
      <c r="B618" s="46" t="inlineStr">
        <is>
          <t xml:space="preserve">Fenwick Okonkwo</t>
        </is>
      </c>
      <c r="C618" s="47">
        <v>46198</v>
      </c>
      <c r="D618" s="48" t="inlineStr">
        <is>
          <t xml:space="preserve">Bound - within authority</t>
        </is>
      </c>
      <c r="E618" s="48" t="inlineStr">
        <is>
          <t xml:space="preserve">New business</t>
        </is>
      </c>
      <c r="F618" s="46" t="inlineStr">
        <is>
          <t xml:space="preserve">B1234EXOTIC26</t>
        </is>
      </c>
      <c r="G618" s="33">
        <f>IF($A618="","",IF($C618="","",YEAR($C618)))</f>
      </c>
      <c r="H618" s="49">
        <v>1977</v>
      </c>
      <c r="I618" s="46" t="inlineStr">
        <is>
          <t xml:space="preserve">Ferrari</t>
        </is>
      </c>
      <c r="J618" s="46" t="inlineStr">
        <is>
          <t xml:space="preserve">SF90 Stradale</t>
        </is>
      </c>
      <c r="K618" s="46" t="inlineStr">
        <is>
          <t xml:space="preserve">A2TR01Y1R1HTX23SC</t>
        </is>
      </c>
      <c r="L618" s="48" t="inlineStr">
        <is>
          <t xml:space="preserve">03 - Supercar</t>
        </is>
      </c>
      <c r="M618" s="50">
        <v>880000</v>
      </c>
      <c r="N618" s="48" t="inlineStr">
        <is>
          <t xml:space="preserve">Personal</t>
        </is>
      </c>
      <c r="O618" s="46" t="inlineStr">
        <is>
          <t xml:space="preserve">Personal - regular use</t>
        </is>
      </c>
      <c r="P618" s="46" t="inlineStr">
        <is>
          <t xml:space="preserve">Under 1,000</t>
        </is>
      </c>
      <c r="Q618" s="46" t="inlineStr">
        <is>
          <t xml:space="preserve">Florida</t>
        </is>
      </c>
      <c r="R618" s="46" t="inlineStr">
        <is>
          <t xml:space="preserve">33139</t>
        </is>
      </c>
      <c r="S618" s="48" t="inlineStr">
        <is>
          <t xml:space="preserve">Tier 2 - Coastal wind (1-25 miles)</t>
        </is>
      </c>
      <c r="T618" s="36">
        <f>IF($A618="","",IF($S618="","",IFERROR(INDEX('[1]natural catastrophe'!$D$6:$D$17,MATCH($S618,'[1]natural catastrophe'!$B$6:$B$17,0)),"?")))</f>
      </c>
      <c r="U618" s="46" t="inlineStr">
        <is>
          <t xml:space="preserve">2% of agreed value, minimum $10,000</t>
        </is>
      </c>
      <c r="V618" s="48" t="inlineStr">
        <is>
          <t xml:space="preserve">Agreed Value</t>
        </is>
      </c>
      <c r="W618" s="46" t="inlineStr">
        <is>
          <t xml:space="preserve">$1,000</t>
        </is>
      </c>
      <c r="X618" s="48" t="inlineStr">
        <is>
          <t xml:space="preserve">$1,000,000 CSL</t>
        </is>
      </c>
      <c r="Y618" s="46"/>
      <c r="Z618" s="46"/>
      <c r="AA618" s="48" t="inlineStr">
        <is>
          <t xml:space="preserve">Surplus Lines</t>
        </is>
      </c>
      <c r="AB618" s="50">
        <v>17130.37</v>
      </c>
      <c r="AC618" s="51">
        <v>0</v>
      </c>
      <c r="AD618" s="38">
        <f>IF(ISNUMBER($AB618),$AB618*(1+N($AC618)),"")</f>
      </c>
      <c r="AE618" s="50">
        <v>350</v>
      </c>
      <c r="AF618" s="50">
        <v>0</v>
      </c>
      <c r="AG618" s="51"/>
      <c r="AH618" s="39">
        <f>IF(ISNUMBER($AD618),($AD618+$AE618+$AF618)*$AG618,"")</f>
      </c>
      <c r="AI618" s="50"/>
      <c r="AJ618" s="38">
        <f>IF(ISNUMBER($AD618),SUM($AD618:$AH618),"")</f>
      </c>
      <c r="AK618" s="40">
        <f>IF(AND(ISNUMBER($AB618),ISNUMBER($AD618)),IF($AB618&gt;0,$AD618/$AB618,""),"")</f>
      </c>
      <c r="AL618" s="48" t="inlineStr">
        <is>
          <t xml:space="preserve">At technical</t>
        </is>
      </c>
      <c r="AM618" s="41">
        <f>IF(ISNUMBER($AD618),Header!$I$3,"")</f>
      </c>
      <c r="AN618" s="39">
        <f>IF(ISNUMBER($AD618),$AO618+$AP618,"")</f>
      </c>
      <c r="AO618" s="39">
        <f>IF(ISNUMBER($AD618),ROUND($AD618*Header!$K$3,2),"")</f>
      </c>
      <c r="AP618" s="39">
        <f>IF(ISNUMBER($AD618),ROUND($AD618*Header!$M$3,2),"")</f>
      </c>
      <c r="AQ618" s="38">
        <f>IF(ISNUMBER($AD618),ROUND($AD618,2)-$AO618-$AP618,"")</f>
      </c>
      <c r="AR618" s="39">
        <f>IF(ISNUMBER($AD618),IF(Header!$D$34="","?",$AD618*Header!$D$34),"")</f>
      </c>
      <c r="AS618" s="39">
        <f>IF(ISNUMBER($AB618),IF(Header!$D$34="","?",$AB618*Header!$D$34),"")</f>
      </c>
      <c r="AT618" s="42">
        <f>IF(AND(ISNUMBER($AB618),$M618&gt;0),$AB618/$M618*100,"")</f>
      </c>
      <c r="AU618" s="42">
        <f>IF(AND(ISNUMBER($AD618),$M618&gt;0),$AD618/$M618*100,"")</f>
      </c>
      <c r="AV618" s="40">
        <f>IF(AND(ISNUMBER($AB618),ISNUMBER($AD618),ABS($AB618)&gt;0),$AD618/$AB618,"")</f>
      </c>
      <c r="AW618" s="39">
        <f>IF(ISNUMBER($AD618),MAX(0,(1-0.55-Header!$O$3)*Header!$Q$3*$AQ618),"")</f>
      </c>
      <c r="AX618" s="43">
        <f>IF($A618="","",IF(TRIM(IF($A618="","Missing certificate ref. ","") &amp; IF($C618="","Missing effective date. ","") &amp; IF($D618="","Missing binding status. ","") &amp; IF($E618="","Missing movement type. ","") &amp; IF($I618="","Missing make. ","") &amp; IF($L618="","Missing vehicle class. ","") &amp; IF($M618="","Missing agreed value. ","") &amp; IF($N618="","Missing policy type. ","") &amp; IF($Q618="","Missing garaging state. ","") &amp; IF($R618="","Missing garaging ZIP. ","") &amp; IF($S618="","Missing cat zone. ","") &amp; IF($V618="","Missing valuation basis. ","") &amp; IF($W618="","Missing PD deductible. ","") &amp; IF($X618="","Missing liability limit. ","") &amp; IF($AB618="","Missing technical premium. ","") &amp; IF($AF618="","Missing surplus lines tax %. ",""))="","PASS","FAIL: "&amp;TRIM(IF($A618="","Missing certificate ref. ","") &amp; IF($C618="","Missing effective date. ","") &amp; IF($D618="","Missing binding status. ","") &amp; IF($E618="","Missing movement type. ","") &amp; IF($I618="","Missing make. ","") &amp; IF($L618="","Missing vehicle class. ","") &amp; IF($M618="","Missing agreed value. ","") &amp; IF($N618="","Missing policy type. ","") &amp; IF($Q618="","Missing garaging state. ","") &amp; IF($R618="","Missing garaging ZIP. ","") &amp; IF($S618="","Missing cat zone. ","") &amp; IF($V618="","Missing valuation basis. ","") &amp; IF($W618="","Missing PD deductible. ","") &amp; IF($X618="","Missing liability limit. ","") &amp; IF($AB618="","Missing technical premium. ","") &amp; IF($AF618="","Missing surplus lines tax %. ",""))))</f>
      </c>
      <c r="AY618" s="44">
        <f>IF($M618="","",IF(ISNUMBER($M618),IF($M618&gt;=Header!$C$18,"YES — refer","No"),""))</f>
      </c>
      <c r="AZ618" s="44">
        <f>IF($AD618="","",IF(ISNUMBER($AD618),IF($AD618&lt;Header!$C$20,"BELOW MIN PREMIUM","OK"),""))</f>
      </c>
      <c r="BA618" s="48" t="inlineStr">
        <is>
          <t xml:space="preserve">Yes</t>
        </is>
      </c>
      <c r="BB618" s="48" t="inlineStr">
        <is>
          <t xml:space="preserve">Yes</t>
        </is>
      </c>
      <c r="BC618" s="46" t="inlineStr">
        <is>
          <t xml:space="preserve">Synthetic demo data</t>
        </is>
      </c>
      <c r="BE618" s="45">
        <f>IF(OR($A618="",$L618="",$H618=""),"",IF(AND(LEFT($L618,2)="06",$H618&gt;1945),"FAIL - pre-war class, year "&amp;$H618,IF(AND(LEFT($L618,2)="07",OR($H618&lt;1946,$H618&gt;1972)),"FAIL - 1946-72 class, year "&amp;$H618,IF(AND(LEFT($L618,2)="08",OR($H618&lt;1973,$H618&gt;1999)),"FAIL - 1973-99 class, year "&amp;$H618,IF(AND(LEFT($L618,2)="09",OR($H618&lt;2000,$H618&gt;2010)),"FAIL - 2000-10 class, year "&amp;$H618,"OK")))))</f>
      </c>
      <c r="BF618" s="45">
        <f>IF($AD618="","",IF(ROUND($AO618+$AP618+$AQ618-$AD618,2)=0,"OK","FAIL - out by "&amp;TEXT($AO618+$AP618+$AQ618-$AD618,"$0.00")))</f>
      </c>
    </row>
    <row r="619" spans="1:58" ht="18.75" customHeight="1" x14ac:dyDescent="0.25">
      <c r="A619" s="30" t="inlineStr">
        <is>
          <t xml:space="preserve">CANON-202606-009244</t>
        </is>
      </c>
      <c r="B619" s="30" t="inlineStr">
        <is>
          <t xml:space="preserve">Delphine Ashcombe</t>
        </is>
      </c>
      <c r="C619" s="31">
        <v>46191</v>
      </c>
      <c r="D619" s="32" t="inlineStr">
        <is>
          <t xml:space="preserve">Bound - within authority</t>
        </is>
      </c>
      <c r="E619" s="32" t="inlineStr">
        <is>
          <t xml:space="preserve">New business</t>
        </is>
      </c>
      <c r="F619" s="30" t="inlineStr">
        <is>
          <t xml:space="preserve">B1234EXOTIC26</t>
        </is>
      </c>
      <c r="G619" s="33">
        <f>IF($A619="","",IF($C619="","",YEAR($C619)))</f>
      </c>
      <c r="H619" s="34">
        <v>2014</v>
      </c>
      <c r="I619" s="30" t="inlineStr">
        <is>
          <t xml:space="preserve">Mercedes-Benz</t>
        </is>
      </c>
      <c r="J619" s="30" t="inlineStr">
        <is>
          <t xml:space="preserve">AMG GT</t>
        </is>
      </c>
      <c r="K619" s="30" t="inlineStr">
        <is>
          <t xml:space="preserve">NG0KMVFWVPD1ASBV1</t>
        </is>
      </c>
      <c r="L619" s="32" t="inlineStr">
        <is>
          <t xml:space="preserve">02 - Sports / GT</t>
        </is>
      </c>
      <c r="M619" s="35">
        <v>235000</v>
      </c>
      <c r="N619" s="32" t="inlineStr">
        <is>
          <t xml:space="preserve">Personal</t>
        </is>
      </c>
      <c r="O619" s="30" t="inlineStr">
        <is>
          <t xml:space="preserve">Personal - regular use</t>
        </is>
      </c>
      <c r="P619" s="30" t="inlineStr">
        <is>
          <t xml:space="preserve">2,500 - 5,000</t>
        </is>
      </c>
      <c r="Q619" s="30" t="inlineStr">
        <is>
          <t xml:space="preserve">New Mexico</t>
        </is>
      </c>
      <c r="R619" s="30" t="inlineStr">
        <is>
          <t xml:space="preserve">87501</t>
        </is>
      </c>
      <c r="S619" s="32" t="inlineStr">
        <is>
          <t xml:space="preserve">Wildfire - WUI high hazard</t>
        </is>
      </c>
      <c r="T619" s="36">
        <f>IF($A619="","",IF($S619="","",IFERROR(INDEX('[1]natural catastrophe'!$D$6:$D$17,MATCH($S619,'[1]natural catastrophe'!$B$6:$B$17,0)),"?")))</f>
      </c>
      <c r="U619" s="30" t="inlineStr">
        <is>
          <t xml:space="preserve">$5,000</t>
        </is>
      </c>
      <c r="V619" s="32" t="inlineStr">
        <is>
          <t xml:space="preserve">Agreed Value</t>
        </is>
      </c>
      <c r="W619" s="30" t="inlineStr">
        <is>
          <t xml:space="preserve">$1,000</t>
        </is>
      </c>
      <c r="X619" s="32" t="inlineStr">
        <is>
          <t xml:space="preserve">$1,000,000 CSL</t>
        </is>
      </c>
      <c r="Y619" s="30"/>
      <c r="Z619" s="30"/>
      <c r="AA619" s="32" t="inlineStr">
        <is>
          <t xml:space="preserve">Surplus Lines</t>
        </is>
      </c>
      <c r="AB619" s="35">
        <v>3993.35</v>
      </c>
      <c r="AC619" s="37">
        <v>0</v>
      </c>
      <c r="AD619" s="38">
        <f>IF(ISNUMBER($AB619),$AB619*(1+N($AC619)),"")</f>
      </c>
      <c r="AE619" s="35">
        <v>350</v>
      </c>
      <c r="AF619" s="35">
        <v>0</v>
      </c>
      <c r="AG619" s="37"/>
      <c r="AH619" s="39">
        <f>IF(ISNUMBER($AD619),($AD619+$AE619+$AF619)*$AG619,"")</f>
      </c>
      <c r="AI619" s="35"/>
      <c r="AJ619" s="38">
        <f>IF(ISNUMBER($AD619),SUM($AD619:$AH619),"")</f>
      </c>
      <c r="AK619" s="40">
        <f>IF(AND(ISNUMBER($AB619),ISNUMBER($AD619)),IF($AB619&gt;0,$AD619/$AB619,""),"")</f>
      </c>
      <c r="AL619" s="32" t="inlineStr">
        <is>
          <t xml:space="preserve">At technical</t>
        </is>
      </c>
      <c r="AM619" s="41">
        <f>IF(ISNUMBER($AD619),Header!$I$3,"")</f>
      </c>
      <c r="AN619" s="39">
        <f>IF(ISNUMBER($AD619),$AO619+$AP619,"")</f>
      </c>
      <c r="AO619" s="39">
        <f>IF(ISNUMBER($AD619),ROUND($AD619*Header!$K$3,2),"")</f>
      </c>
      <c r="AP619" s="39">
        <f>IF(ISNUMBER($AD619),ROUND($AD619*Header!$M$3,2),"")</f>
      </c>
      <c r="AQ619" s="38">
        <f>IF(ISNUMBER($AD619),ROUND($AD619,2)-$AO619-$AP619,"")</f>
      </c>
      <c r="AR619" s="39">
        <f>IF(ISNUMBER($AD619),IF(Header!$D$34="","?",$AD619*Header!$D$34),"")</f>
      </c>
      <c r="AS619" s="39">
        <f>IF(ISNUMBER($AB619),IF(Header!$D$34="","?",$AB619*Header!$D$34),"")</f>
      </c>
      <c r="AT619" s="42">
        <f>IF(AND(ISNUMBER($AB619),$M619&gt;0),$AB619/$M619*100,"")</f>
      </c>
      <c r="AU619" s="42">
        <f>IF(AND(ISNUMBER($AD619),$M619&gt;0),$AD619/$M619*100,"")</f>
      </c>
      <c r="AV619" s="40">
        <f>IF(AND(ISNUMBER($AB619),ISNUMBER($AD619),ABS($AB619)&gt;0),$AD619/$AB619,"")</f>
      </c>
      <c r="AW619" s="39">
        <f>IF(ISNUMBER($AD619),MAX(0,(1-0.55-Header!$O$3)*Header!$Q$3*$AQ619),"")</f>
      </c>
      <c r="AX619" s="43">
        <f>IF($A619="","",IF(TRIM(IF($A619="","Missing certificate ref. ","") &amp; IF($C619="","Missing effective date. ","") &amp; IF($D619="","Missing binding status. ","") &amp; IF($E619="","Missing movement type. ","") &amp; IF($I619="","Missing make. ","") &amp; IF($L619="","Missing vehicle class. ","") &amp; IF($M619="","Missing agreed value. ","") &amp; IF($N619="","Missing policy type. ","") &amp; IF($Q619="","Missing garaging state. ","") &amp; IF($R619="","Missing garaging ZIP. ","") &amp; IF($S619="","Missing cat zone. ","") &amp; IF($V619="","Missing valuation basis. ","") &amp; IF($W619="","Missing PD deductible. ","") &amp; IF($X619="","Missing liability limit. ","") &amp; IF($AB619="","Missing technical premium. ","") &amp; IF($AF619="","Missing surplus lines tax %. ",""))="","PASS","FAIL: "&amp;TRIM(IF($A619="","Missing certificate ref. ","") &amp; IF($C619="","Missing effective date. ","") &amp; IF($D619="","Missing binding status. ","") &amp; IF($E619="","Missing movement type. ","") &amp; IF($I619="","Missing make. ","") &amp; IF($L619="","Missing vehicle class. ","") &amp; IF($M619="","Missing agreed value. ","") &amp; IF($N619="","Missing policy type. ","") &amp; IF($Q619="","Missing garaging state. ","") &amp; IF($R619="","Missing garaging ZIP. ","") &amp; IF($S619="","Missing cat zone. ","") &amp; IF($V619="","Missing valuation basis. ","") &amp; IF($W619="","Missing PD deductible. ","") &amp; IF($X619="","Missing liability limit. ","") &amp; IF($AB619="","Missing technical premium. ","") &amp; IF($AF619="","Missing surplus lines tax %. ",""))))</f>
      </c>
      <c r="AY619" s="44">
        <f>IF($M619="","",IF(ISNUMBER($M619),IF($M619&gt;=Header!$C$18,"YES — refer","No"),""))</f>
      </c>
      <c r="AZ619" s="44">
        <f>IF($AD619="","",IF(ISNUMBER($AD619),IF($AD619&lt;Header!$C$20,"BELOW MIN PREMIUM","OK"),""))</f>
      </c>
      <c r="BA619" s="32" t="inlineStr">
        <is>
          <t xml:space="preserve">Yes</t>
        </is>
      </c>
      <c r="BB619" s="32" t="inlineStr">
        <is>
          <t xml:space="preserve">Yes</t>
        </is>
      </c>
      <c r="BC619" s="30" t="inlineStr">
        <is>
          <t xml:space="preserve">Synthetic demo data</t>
        </is>
      </c>
      <c r="BE619" s="45">
        <f>IF(OR($A619="",$L619="",$H619=""),"",IF(AND(LEFT($L619,2)="06",$H619&gt;1945),"FAIL - pre-war class, year "&amp;$H619,IF(AND(LEFT($L619,2)="07",OR($H619&lt;1946,$H619&gt;1972)),"FAIL - 1946-72 class, year "&amp;$H619,IF(AND(LEFT($L619,2)="08",OR($H619&lt;1973,$H619&gt;1999)),"FAIL - 1973-99 class, year "&amp;$H619,IF(AND(LEFT($L619,2)="09",OR($H619&lt;2000,$H619&gt;2010)),"FAIL - 2000-10 class, year "&amp;$H619,"OK")))))</f>
      </c>
      <c r="BF619" s="45">
        <f>IF($AD619="","",IF(ROUND($AO619+$AP619+$AQ619-$AD619,2)=0,"OK","FAIL - out by "&amp;TEXT($AO619+$AP619+$AQ619-$AD619,"$0.00")))</f>
      </c>
    </row>
    <row r="620" spans="1:58" ht="18.75" customHeight="1" x14ac:dyDescent="0.25">
      <c r="A620" s="46" t="inlineStr">
        <is>
          <t xml:space="preserve">CANON-202606-009245</t>
        </is>
      </c>
      <c r="B620" s="46" t="inlineStr">
        <is>
          <t xml:space="preserve">Fenwick Delacroix</t>
        </is>
      </c>
      <c r="C620" s="47">
        <v>46200</v>
      </c>
      <c r="D620" s="48" t="inlineStr">
        <is>
          <t xml:space="preserve">Bound - within authority</t>
        </is>
      </c>
      <c r="E620" s="48" t="inlineStr">
        <is>
          <t xml:space="preserve">New business</t>
        </is>
      </c>
      <c r="F620" s="46" t="inlineStr">
        <is>
          <t xml:space="preserve">B1234EXOTIC26</t>
        </is>
      </c>
      <c r="G620" s="33">
        <f>IF($A620="","",IF($C620="","",YEAR($C620)))</f>
      </c>
      <c r="H620" s="49">
        <v>2015</v>
      </c>
      <c r="I620" s="46" t="inlineStr">
        <is>
          <t xml:space="preserve">Mercedes-Benz</t>
        </is>
      </c>
      <c r="J620" s="46" t="inlineStr">
        <is>
          <t xml:space="preserve">AMG GT</t>
        </is>
      </c>
      <c r="K620" s="46" t="inlineStr">
        <is>
          <t xml:space="preserve">L6UBRSZ8RTCJYTKF7</t>
        </is>
      </c>
      <c r="L620" s="48" t="inlineStr">
        <is>
          <t xml:space="preserve">02 - Sports / GT</t>
        </is>
      </c>
      <c r="M620" s="50">
        <v>310000</v>
      </c>
      <c r="N620" s="48" t="inlineStr">
        <is>
          <t xml:space="preserve">Personal</t>
        </is>
      </c>
      <c r="O620" s="46" t="inlineStr">
        <is>
          <t xml:space="preserve">Personal - regular use</t>
        </is>
      </c>
      <c r="P620" s="46" t="inlineStr">
        <is>
          <t xml:space="preserve">1,000 - 2,500</t>
        </is>
      </c>
      <c r="Q620" s="46" t="inlineStr">
        <is>
          <t xml:space="preserve">California</t>
        </is>
      </c>
      <c r="R620" s="46" t="inlineStr">
        <is>
          <t xml:space="preserve">90012</t>
        </is>
      </c>
      <c r="S620" s="48" t="inlineStr">
        <is>
          <t xml:space="preserve">Earthquake - high (CA, Cascadia, New Madrid)</t>
        </is>
      </c>
      <c r="T620" s="36">
        <f>IF($A620="","",IF($S620="","",IFERROR(INDEX('[1]natural catastrophe'!$D$6:$D$17,MATCH($S620,'[1]natural catastrophe'!$B$6:$B$17,0)),"?")))</f>
      </c>
      <c r="U620" s="46" t="inlineStr">
        <is>
          <t xml:space="preserve">$5,000</t>
        </is>
      </c>
      <c r="V620" s="48" t="inlineStr">
        <is>
          <t xml:space="preserve">Agreed Value</t>
        </is>
      </c>
      <c r="W620" s="46" t="inlineStr">
        <is>
          <t xml:space="preserve">$1,000</t>
        </is>
      </c>
      <c r="X620" s="48" t="inlineStr">
        <is>
          <t xml:space="preserve">$1,000,000 CSL</t>
        </is>
      </c>
      <c r="Y620" s="46"/>
      <c r="Z620" s="46"/>
      <c r="AA620" s="48" t="inlineStr">
        <is>
          <t xml:space="preserve">Surplus Lines</t>
        </is>
      </c>
      <c r="AB620" s="50">
        <v>4529.28</v>
      </c>
      <c r="AC620" s="51">
        <v>0</v>
      </c>
      <c r="AD620" s="38">
        <f>IF(ISNUMBER($AB620),$AB620*(1+N($AC620)),"")</f>
      </c>
      <c r="AE620" s="50">
        <v>350</v>
      </c>
      <c r="AF620" s="50">
        <v>0</v>
      </c>
      <c r="AG620" s="51"/>
      <c r="AH620" s="39">
        <f>IF(ISNUMBER($AD620),($AD620+$AE620+$AF620)*$AG620,"")</f>
      </c>
      <c r="AI620" s="50"/>
      <c r="AJ620" s="38">
        <f>IF(ISNUMBER($AD620),SUM($AD620:$AH620),"")</f>
      </c>
      <c r="AK620" s="40">
        <f>IF(AND(ISNUMBER($AB620),ISNUMBER($AD620)),IF($AB620&gt;0,$AD620/$AB620,""),"")</f>
      </c>
      <c r="AL620" s="48" t="inlineStr">
        <is>
          <t xml:space="preserve">At technical</t>
        </is>
      </c>
      <c r="AM620" s="41">
        <f>IF(ISNUMBER($AD620),Header!$I$3,"")</f>
      </c>
      <c r="AN620" s="39">
        <f>IF(ISNUMBER($AD620),$AO620+$AP620,"")</f>
      </c>
      <c r="AO620" s="39">
        <f>IF(ISNUMBER($AD620),ROUND($AD620*Header!$K$3,2),"")</f>
      </c>
      <c r="AP620" s="39">
        <f>IF(ISNUMBER($AD620),ROUND($AD620*Header!$M$3,2),"")</f>
      </c>
      <c r="AQ620" s="38">
        <f>IF(ISNUMBER($AD620),ROUND($AD620,2)-$AO620-$AP620,"")</f>
      </c>
      <c r="AR620" s="39">
        <f>IF(ISNUMBER($AD620),IF(Header!$D$34="","?",$AD620*Header!$D$34),"")</f>
      </c>
      <c r="AS620" s="39">
        <f>IF(ISNUMBER($AB620),IF(Header!$D$34="","?",$AB620*Header!$D$34),"")</f>
      </c>
      <c r="AT620" s="42">
        <f>IF(AND(ISNUMBER($AB620),$M620&gt;0),$AB620/$M620*100,"")</f>
      </c>
      <c r="AU620" s="42">
        <f>IF(AND(ISNUMBER($AD620),$M620&gt;0),$AD620/$M620*100,"")</f>
      </c>
      <c r="AV620" s="40">
        <f>IF(AND(ISNUMBER($AB620),ISNUMBER($AD620),ABS($AB620)&gt;0),$AD620/$AB620,"")</f>
      </c>
      <c r="AW620" s="39">
        <f>IF(ISNUMBER($AD620),MAX(0,(1-0.55-Header!$O$3)*Header!$Q$3*$AQ620),"")</f>
      </c>
      <c r="AX620" s="43">
        <f>IF($A620="","",IF(TRIM(IF($A620="","Missing certificate ref. ","") &amp; IF($C620="","Missing effective date. ","") &amp; IF($D620="","Missing binding status. ","") &amp; IF($E620="","Missing movement type. ","") &amp; IF($I620="","Missing make. ","") &amp; IF($L620="","Missing vehicle class. ","") &amp; IF($M620="","Missing agreed value. ","") &amp; IF($N620="","Missing policy type. ","") &amp; IF($Q620="","Missing garaging state. ","") &amp; IF($R620="","Missing garaging ZIP. ","") &amp; IF($S620="","Missing cat zone. ","") &amp; IF($V620="","Missing valuation basis. ","") &amp; IF($W620="","Missing PD deductible. ","") &amp; IF($X620="","Missing liability limit. ","") &amp; IF($AB620="","Missing technical premium. ","") &amp; IF($AF620="","Missing surplus lines tax %. ",""))="","PASS","FAIL: "&amp;TRIM(IF($A620="","Missing certificate ref. ","") &amp; IF($C620="","Missing effective date. ","") &amp; IF($D620="","Missing binding status. ","") &amp; IF($E620="","Missing movement type. ","") &amp; IF($I620="","Missing make. ","") &amp; IF($L620="","Missing vehicle class. ","") &amp; IF($M620="","Missing agreed value. ","") &amp; IF($N620="","Missing policy type. ","") &amp; IF($Q620="","Missing garaging state. ","") &amp; IF($R620="","Missing garaging ZIP. ","") &amp; IF($S620="","Missing cat zone. ","") &amp; IF($V620="","Missing valuation basis. ","") &amp; IF($W620="","Missing PD deductible. ","") &amp; IF($X620="","Missing liability limit. ","") &amp; IF($AB620="","Missing technical premium. ","") &amp; IF($AF620="","Missing surplus lines tax %. ",""))))</f>
      </c>
      <c r="AY620" s="44">
        <f>IF($M620="","",IF(ISNUMBER($M620),IF($M620&gt;=Header!$C$18,"YES — refer","No"),""))</f>
      </c>
      <c r="AZ620" s="44">
        <f>IF($AD620="","",IF(ISNUMBER($AD620),IF($AD620&lt;Header!$C$20,"BELOW MIN PREMIUM","OK"),""))</f>
      </c>
      <c r="BA620" s="48" t="inlineStr">
        <is>
          <t xml:space="preserve">Yes</t>
        </is>
      </c>
      <c r="BB620" s="48" t="inlineStr">
        <is>
          <t xml:space="preserve">Yes</t>
        </is>
      </c>
      <c r="BC620" s="46" t="inlineStr">
        <is>
          <t xml:space="preserve">Synthetic demo data</t>
        </is>
      </c>
      <c r="BE620" s="45">
        <f>IF(OR($A620="",$L620="",$H620=""),"",IF(AND(LEFT($L620,2)="06",$H620&gt;1945),"FAIL - pre-war class, year "&amp;$H620,IF(AND(LEFT($L620,2)="07",OR($H620&lt;1946,$H620&gt;1972)),"FAIL - 1946-72 class, year "&amp;$H620,IF(AND(LEFT($L620,2)="08",OR($H620&lt;1973,$H620&gt;1999)),"FAIL - 1973-99 class, year "&amp;$H620,IF(AND(LEFT($L620,2)="09",OR($H620&lt;2000,$H620&gt;2010)),"FAIL - 2000-10 class, year "&amp;$H620,"OK")))))</f>
      </c>
      <c r="BF620" s="45">
        <f>IF($AD620="","",IF(ROUND($AO620+$AP620+$AQ620-$AD620,2)=0,"OK","FAIL - out by "&amp;TEXT($AO620+$AP620+$AQ620-$AD620,"$0.00")))</f>
      </c>
    </row>
    <row r="621" spans="1:58" ht="18.75" customHeight="1" x14ac:dyDescent="0.25">
      <c r="A621" s="30" t="inlineStr">
        <is>
          <t xml:space="preserve">CANON-202606-009247</t>
        </is>
      </c>
      <c r="B621" s="30" t="inlineStr">
        <is>
          <t xml:space="preserve">Callum Kingsford</t>
        </is>
      </c>
      <c r="C621" s="31">
        <v>46187</v>
      </c>
      <c r="D621" s="32" t="inlineStr">
        <is>
          <t xml:space="preserve">Bound - within authority</t>
        </is>
      </c>
      <c r="E621" s="32" t="inlineStr">
        <is>
          <t xml:space="preserve">New business</t>
        </is>
      </c>
      <c r="F621" s="30" t="inlineStr">
        <is>
          <t xml:space="preserve">B1234EXOTIC26</t>
        </is>
      </c>
      <c r="G621" s="33">
        <f>IF($A621="","",IF($C621="","",YEAR($C621)))</f>
      </c>
      <c r="H621" s="34">
        <v>1967</v>
      </c>
      <c r="I621" s="30" t="inlineStr">
        <is>
          <t xml:space="preserve">Bentley</t>
        </is>
      </c>
      <c r="J621" s="30" t="inlineStr">
        <is>
          <t xml:space="preserve">Continental GT</t>
        </is>
      </c>
      <c r="K621" s="30" t="inlineStr">
        <is>
          <t xml:space="preserve">VZF2PZXUYRZXEMVYR</t>
        </is>
      </c>
      <c r="L621" s="32" t="inlineStr">
        <is>
          <t xml:space="preserve">02 - Sports / GT</t>
        </is>
      </c>
      <c r="M621" s="35">
        <v>560000</v>
      </c>
      <c r="N621" s="32" t="inlineStr">
        <is>
          <t xml:space="preserve">Personal</t>
        </is>
      </c>
      <c r="O621" s="30" t="inlineStr">
        <is>
          <t xml:space="preserve">Personal - regular use</t>
        </is>
      </c>
      <c r="P621" s="30" t="inlineStr">
        <is>
          <t xml:space="preserve">2,500 - 5,000</t>
        </is>
      </c>
      <c r="Q621" s="30" t="inlineStr">
        <is>
          <t xml:space="preserve">Florida</t>
        </is>
      </c>
      <c r="R621" s="30" t="inlineStr">
        <is>
          <t xml:space="preserve">33139</t>
        </is>
      </c>
      <c r="S621" s="32" t="inlineStr">
        <is>
          <t xml:space="preserve">Tier 2 - Coastal wind (1-25 miles)</t>
        </is>
      </c>
      <c r="T621" s="36">
        <f>IF($A621="","",IF($S621="","",IFERROR(INDEX('[1]natural catastrophe'!$D$6:$D$17,MATCH($S621,'[1]natural catastrophe'!$B$6:$B$17,0)),"?")))</f>
      </c>
      <c r="U621" s="30" t="inlineStr">
        <is>
          <t xml:space="preserve">2% of agreed value, minimum $10,000</t>
        </is>
      </c>
      <c r="V621" s="32" t="inlineStr">
        <is>
          <t xml:space="preserve">Agreed Value</t>
        </is>
      </c>
      <c r="W621" s="30" t="inlineStr">
        <is>
          <t xml:space="preserve">$1,000</t>
        </is>
      </c>
      <c r="X621" s="32" t="inlineStr">
        <is>
          <t xml:space="preserve">$1,000,000 CSL</t>
        </is>
      </c>
      <c r="Y621" s="30"/>
      <c r="Z621" s="30"/>
      <c r="AA621" s="32" t="inlineStr">
        <is>
          <t xml:space="preserve">Surplus Lines</t>
        </is>
      </c>
      <c r="AB621" s="35">
        <v>7458.67</v>
      </c>
      <c r="AC621" s="37">
        <v>0</v>
      </c>
      <c r="AD621" s="38">
        <f>IF(ISNUMBER($AB621),$AB621*(1+N($AC621)),"")</f>
      </c>
      <c r="AE621" s="35">
        <v>350</v>
      </c>
      <c r="AF621" s="35">
        <v>0</v>
      </c>
      <c r="AG621" s="37"/>
      <c r="AH621" s="39">
        <f>IF(ISNUMBER($AD621),($AD621+$AE621+$AF621)*$AG621,"")</f>
      </c>
      <c r="AI621" s="35"/>
      <c r="AJ621" s="38">
        <f>IF(ISNUMBER($AD621),SUM($AD621:$AH621),"")</f>
      </c>
      <c r="AK621" s="40">
        <f>IF(AND(ISNUMBER($AB621),ISNUMBER($AD621)),IF($AB621&gt;0,$AD621/$AB621,""),"")</f>
      </c>
      <c r="AL621" s="32" t="inlineStr">
        <is>
          <t xml:space="preserve">At technical</t>
        </is>
      </c>
      <c r="AM621" s="41">
        <f>IF(ISNUMBER($AD621),Header!$I$3,"")</f>
      </c>
      <c r="AN621" s="39">
        <f>IF(ISNUMBER($AD621),$AO621+$AP621,"")</f>
      </c>
      <c r="AO621" s="39">
        <f>IF(ISNUMBER($AD621),ROUND($AD621*Header!$K$3,2),"")</f>
      </c>
      <c r="AP621" s="39">
        <f>IF(ISNUMBER($AD621),ROUND($AD621*Header!$M$3,2),"")</f>
      </c>
      <c r="AQ621" s="38">
        <f>IF(ISNUMBER($AD621),ROUND($AD621,2)-$AO621-$AP621,"")</f>
      </c>
      <c r="AR621" s="39">
        <f>IF(ISNUMBER($AD621),IF(Header!$D$34="","?",$AD621*Header!$D$34),"")</f>
      </c>
      <c r="AS621" s="39">
        <f>IF(ISNUMBER($AB621),IF(Header!$D$34="","?",$AB621*Header!$D$34),"")</f>
      </c>
      <c r="AT621" s="42">
        <f>IF(AND(ISNUMBER($AB621),$M621&gt;0),$AB621/$M621*100,"")</f>
      </c>
      <c r="AU621" s="42">
        <f>IF(AND(ISNUMBER($AD621),$M621&gt;0),$AD621/$M621*100,"")</f>
      </c>
      <c r="AV621" s="40">
        <f>IF(AND(ISNUMBER($AB621),ISNUMBER($AD621),ABS($AB621)&gt;0),$AD621/$AB621,"")</f>
      </c>
      <c r="AW621" s="39">
        <f>IF(ISNUMBER($AD621),MAX(0,(1-0.55-Header!$O$3)*Header!$Q$3*$AQ621),"")</f>
      </c>
      <c r="AX621" s="43">
        <f>IF($A621="","",IF(TRIM(IF($A621="","Missing certificate ref. ","") &amp; IF($C621="","Missing effective date. ","") &amp; IF($D621="","Missing binding status. ","") &amp; IF($E621="","Missing movement type. ","") &amp; IF($I621="","Missing make. ","") &amp; IF($L621="","Missing vehicle class. ","") &amp; IF($M621="","Missing agreed value. ","") &amp; IF($N621="","Missing policy type. ","") &amp; IF($Q621="","Missing garaging state. ","") &amp; IF($R621="","Missing garaging ZIP. ","") &amp; IF($S621="","Missing cat zone. ","") &amp; IF($V621="","Missing valuation basis. ","") &amp; IF($W621="","Missing PD deductible. ","") &amp; IF($X621="","Missing liability limit. ","") &amp; IF($AB621="","Missing technical premium. ","") &amp; IF($AF621="","Missing surplus lines tax %. ",""))="","PASS","FAIL: "&amp;TRIM(IF($A621="","Missing certificate ref. ","") &amp; IF($C621="","Missing effective date. ","") &amp; IF($D621="","Missing binding status. ","") &amp; IF($E621="","Missing movement type. ","") &amp; IF($I621="","Missing make. ","") &amp; IF($L621="","Missing vehicle class. ","") &amp; IF($M621="","Missing agreed value. ","") &amp; IF($N621="","Missing policy type. ","") &amp; IF($Q621="","Missing garaging state. ","") &amp; IF($R621="","Missing garaging ZIP. ","") &amp; IF($S621="","Missing cat zone. ","") &amp; IF($V621="","Missing valuation basis. ","") &amp; IF($W621="","Missing PD deductible. ","") &amp; IF($X621="","Missing liability limit. ","") &amp; IF($AB621="","Missing technical premium. ","") &amp; IF($AF621="","Missing surplus lines tax %. ",""))))</f>
      </c>
      <c r="AY621" s="44">
        <f>IF($M621="","",IF(ISNUMBER($M621),IF($M621&gt;=Header!$C$18,"YES — refer","No"),""))</f>
      </c>
      <c r="AZ621" s="44">
        <f>IF($AD621="","",IF(ISNUMBER($AD621),IF($AD621&lt;Header!$C$20,"BELOW MIN PREMIUM","OK"),""))</f>
      </c>
      <c r="BA621" s="32" t="inlineStr">
        <is>
          <t xml:space="preserve">Yes</t>
        </is>
      </c>
      <c r="BB621" s="32" t="inlineStr">
        <is>
          <t xml:space="preserve">Yes</t>
        </is>
      </c>
      <c r="BC621" s="30" t="inlineStr">
        <is>
          <t xml:space="preserve">Synthetic demo data</t>
        </is>
      </c>
      <c r="BE621" s="45">
        <f>IF(OR($A621="",$L621="",$H621=""),"",IF(AND(LEFT($L621,2)="06",$H621&gt;1945),"FAIL - pre-war class, year "&amp;$H621,IF(AND(LEFT($L621,2)="07",OR($H621&lt;1946,$H621&gt;1972)),"FAIL - 1946-72 class, year "&amp;$H621,IF(AND(LEFT($L621,2)="08",OR($H621&lt;1973,$H621&gt;1999)),"FAIL - 1973-99 class, year "&amp;$H621,IF(AND(LEFT($L621,2)="09",OR($H621&lt;2000,$H621&gt;2010)),"FAIL - 2000-10 class, year "&amp;$H621,"OK")))))</f>
      </c>
      <c r="BF621" s="45">
        <f>IF($AD621="","",IF(ROUND($AO621+$AP621+$AQ621-$AD621,2)=0,"OK","FAIL - out by "&amp;TEXT($AO621+$AP621+$AQ621-$AD621,"$0.00")))</f>
      </c>
    </row>
    <row r="622" spans="1:58" ht="18.75" customHeight="1" x14ac:dyDescent="0.25">
      <c r="A622" s="46" t="inlineStr">
        <is>
          <t xml:space="preserve">CANON-202606-009248</t>
        </is>
      </c>
      <c r="B622" s="46" t="inlineStr">
        <is>
          <t xml:space="preserve">Lorenzo Harrington</t>
        </is>
      </c>
      <c r="C622" s="47">
        <v>46191</v>
      </c>
      <c r="D622" s="48" t="inlineStr">
        <is>
          <t xml:space="preserve">Bound - within authority</t>
        </is>
      </c>
      <c r="E622" s="48" t="inlineStr">
        <is>
          <t xml:space="preserve">New business</t>
        </is>
      </c>
      <c r="F622" s="46" t="inlineStr">
        <is>
          <t xml:space="preserve">B1234EXOTIC26</t>
        </is>
      </c>
      <c r="G622" s="33">
        <f>IF($A622="","",IF($C622="","",YEAR($C622)))</f>
      </c>
      <c r="H622" s="49">
        <v>1955</v>
      </c>
      <c r="I622" s="46" t="inlineStr">
        <is>
          <t xml:space="preserve">Ferrari</t>
        </is>
      </c>
      <c r="J622" s="46" t="inlineStr">
        <is>
          <t xml:space="preserve">296 GTB</t>
        </is>
      </c>
      <c r="K622" s="46" t="inlineStr">
        <is>
          <t xml:space="preserve">GYJMBV3YA3H1FFCJN</t>
        </is>
      </c>
      <c r="L622" s="48" t="inlineStr">
        <is>
          <t xml:space="preserve">03 - Supercar</t>
        </is>
      </c>
      <c r="M622" s="50">
        <v>670000</v>
      </c>
      <c r="N622" s="48" t="inlineStr">
        <is>
          <t xml:space="preserve">Personal</t>
        </is>
      </c>
      <c r="O622" s="46" t="inlineStr">
        <is>
          <t xml:space="preserve">Personal - regular use</t>
        </is>
      </c>
      <c r="P622" s="46" t="inlineStr">
        <is>
          <t xml:space="preserve">1,000 - 2,500</t>
        </is>
      </c>
      <c r="Q622" s="46" t="inlineStr">
        <is>
          <t xml:space="preserve">Texas</t>
        </is>
      </c>
      <c r="R622" s="46" t="inlineStr">
        <is>
          <t xml:space="preserve">75201</t>
        </is>
      </c>
      <c r="S622" s="48" t="inlineStr">
        <is>
          <t xml:space="preserve">Tier 2 - Coastal wind (1-25 miles)</t>
        </is>
      </c>
      <c r="T622" s="36">
        <f>IF($A622="","",IF($S622="","",IFERROR(INDEX('[1]natural catastrophe'!$D$6:$D$17,MATCH($S622,'[1]natural catastrophe'!$B$6:$B$17,0)),"?")))</f>
      </c>
      <c r="U622" s="46" t="inlineStr">
        <is>
          <t xml:space="preserve">2% of agreed value, minimum $10,000</t>
        </is>
      </c>
      <c r="V622" s="48" t="inlineStr">
        <is>
          <t xml:space="preserve">Agreed Value</t>
        </is>
      </c>
      <c r="W622" s="46" t="inlineStr">
        <is>
          <t xml:space="preserve">$1,000</t>
        </is>
      </c>
      <c r="X622" s="48" t="inlineStr">
        <is>
          <t xml:space="preserve">$1,000,000 CSL</t>
        </is>
      </c>
      <c r="Y622" s="46"/>
      <c r="Z622" s="46"/>
      <c r="AA622" s="48" t="inlineStr">
        <is>
          <t xml:space="preserve">Surplus Lines</t>
        </is>
      </c>
      <c r="AB622" s="50">
        <v>10562.54</v>
      </c>
      <c r="AC622" s="51">
        <v>0</v>
      </c>
      <c r="AD622" s="38">
        <f>IF(ISNUMBER($AB622),$AB622*(1+N($AC622)),"")</f>
      </c>
      <c r="AE622" s="50">
        <v>350</v>
      </c>
      <c r="AF622" s="50">
        <v>0</v>
      </c>
      <c r="AG622" s="51"/>
      <c r="AH622" s="39">
        <f>IF(ISNUMBER($AD622),($AD622+$AE622+$AF622)*$AG622,"")</f>
      </c>
      <c r="AI622" s="50"/>
      <c r="AJ622" s="38">
        <f>IF(ISNUMBER($AD622),SUM($AD622:$AH622),"")</f>
      </c>
      <c r="AK622" s="40">
        <f>IF(AND(ISNUMBER($AB622),ISNUMBER($AD622)),IF($AB622&gt;0,$AD622/$AB622,""),"")</f>
      </c>
      <c r="AL622" s="48" t="inlineStr">
        <is>
          <t xml:space="preserve">At technical</t>
        </is>
      </c>
      <c r="AM622" s="41">
        <f>IF(ISNUMBER($AD622),Header!$I$3,"")</f>
      </c>
      <c r="AN622" s="39">
        <f>IF(ISNUMBER($AD622),$AO622+$AP622,"")</f>
      </c>
      <c r="AO622" s="39">
        <f>IF(ISNUMBER($AD622),ROUND($AD622*Header!$K$3,2),"")</f>
      </c>
      <c r="AP622" s="39">
        <f>IF(ISNUMBER($AD622),ROUND($AD622*Header!$M$3,2),"")</f>
      </c>
      <c r="AQ622" s="38">
        <f>IF(ISNUMBER($AD622),ROUND($AD622,2)-$AO622-$AP622,"")</f>
      </c>
      <c r="AR622" s="39">
        <f>IF(ISNUMBER($AD622),IF(Header!$D$34="","?",$AD622*Header!$D$34),"")</f>
      </c>
      <c r="AS622" s="39">
        <f>IF(ISNUMBER($AB622),IF(Header!$D$34="","?",$AB622*Header!$D$34),"")</f>
      </c>
      <c r="AT622" s="42">
        <f>IF(AND(ISNUMBER($AB622),$M622&gt;0),$AB622/$M622*100,"")</f>
      </c>
      <c r="AU622" s="42">
        <f>IF(AND(ISNUMBER($AD622),$M622&gt;0),$AD622/$M622*100,"")</f>
      </c>
      <c r="AV622" s="40">
        <f>IF(AND(ISNUMBER($AB622),ISNUMBER($AD622),ABS($AB622)&gt;0),$AD622/$AB622,"")</f>
      </c>
      <c r="AW622" s="39">
        <f>IF(ISNUMBER($AD622),MAX(0,(1-0.55-Header!$O$3)*Header!$Q$3*$AQ622),"")</f>
      </c>
      <c r="AX622" s="43">
        <f>IF($A622="","",IF(TRIM(IF($A622="","Missing certificate ref. ","") &amp; IF($C622="","Missing effective date. ","") &amp; IF($D622="","Missing binding status. ","") &amp; IF($E622="","Missing movement type. ","") &amp; IF($I622="","Missing make. ","") &amp; IF($L622="","Missing vehicle class. ","") &amp; IF($M622="","Missing agreed value. ","") &amp; IF($N622="","Missing policy type. ","") &amp; IF($Q622="","Missing garaging state. ","") &amp; IF($R622="","Missing garaging ZIP. ","") &amp; IF($S622="","Missing cat zone. ","") &amp; IF($V622="","Missing valuation basis. ","") &amp; IF($W622="","Missing PD deductible. ","") &amp; IF($X622="","Missing liability limit. ","") &amp; IF($AB622="","Missing technical premium. ","") &amp; IF($AF622="","Missing surplus lines tax %. ",""))="","PASS","FAIL: "&amp;TRIM(IF($A622="","Missing certificate ref. ","") &amp; IF($C622="","Missing effective date. ","") &amp; IF($D622="","Missing binding status. ","") &amp; IF($E622="","Missing movement type. ","") &amp; IF($I622="","Missing make. ","") &amp; IF($L622="","Missing vehicle class. ","") &amp; IF($M622="","Missing agreed value. ","") &amp; IF($N622="","Missing policy type. ","") &amp; IF($Q622="","Missing garaging state. ","") &amp; IF($R622="","Missing garaging ZIP. ","") &amp; IF($S622="","Missing cat zone. ","") &amp; IF($V622="","Missing valuation basis. ","") &amp; IF($W622="","Missing PD deductible. ","") &amp; IF($X622="","Missing liability limit. ","") &amp; IF($AB622="","Missing technical premium. ","") &amp; IF($AF622="","Missing surplus lines tax %. ",""))))</f>
      </c>
      <c r="AY622" s="44">
        <f>IF($M622="","",IF(ISNUMBER($M622),IF($M622&gt;=Header!$C$18,"YES — refer","No"),""))</f>
      </c>
      <c r="AZ622" s="44">
        <f>IF($AD622="","",IF(ISNUMBER($AD622),IF($AD622&lt;Header!$C$20,"BELOW MIN PREMIUM","OK"),""))</f>
      </c>
      <c r="BA622" s="48" t="inlineStr">
        <is>
          <t xml:space="preserve">Yes</t>
        </is>
      </c>
      <c r="BB622" s="48" t="inlineStr">
        <is>
          <t xml:space="preserve">Yes</t>
        </is>
      </c>
      <c r="BC622" s="46" t="inlineStr">
        <is>
          <t xml:space="preserve">Synthetic demo data</t>
        </is>
      </c>
      <c r="BE622" s="45">
        <f>IF(OR($A622="",$L622="",$H622=""),"",IF(AND(LEFT($L622,2)="06",$H622&gt;1945),"FAIL - pre-war class, year "&amp;$H622,IF(AND(LEFT($L622,2)="07",OR($H622&lt;1946,$H622&gt;1972)),"FAIL - 1946-72 class, year "&amp;$H622,IF(AND(LEFT($L622,2)="08",OR($H622&lt;1973,$H622&gt;1999)),"FAIL - 1973-99 class, year "&amp;$H622,IF(AND(LEFT($L622,2)="09",OR($H622&lt;2000,$H622&gt;2010)),"FAIL - 2000-10 class, year "&amp;$H622,"OK")))))</f>
      </c>
      <c r="BF622" s="45">
        <f>IF($AD622="","",IF(ROUND($AO622+$AP622+$AQ622-$AD622,2)=0,"OK","FAIL - out by "&amp;TEXT($AO622+$AP622+$AQ622-$AD622,"$0.00")))</f>
      </c>
    </row>
    <row r="623" spans="1:58" ht="18.75" customHeight="1" x14ac:dyDescent="0.25">
      <c r="A623" s="30" t="inlineStr">
        <is>
          <t xml:space="preserve">CANON-202606-009249</t>
        </is>
      </c>
      <c r="B623" s="30" t="inlineStr">
        <is>
          <t xml:space="preserve">Ramona Montoya</t>
        </is>
      </c>
      <c r="C623" s="31">
        <v>46181</v>
      </c>
      <c r="D623" s="32" t="inlineStr">
        <is>
          <t xml:space="preserve">Bound - within authority</t>
        </is>
      </c>
      <c r="E623" s="32" t="inlineStr">
        <is>
          <t xml:space="preserve">New business</t>
        </is>
      </c>
      <c r="F623" s="30" t="inlineStr">
        <is>
          <t xml:space="preserve">B1234EXOTIC26</t>
        </is>
      </c>
      <c r="G623" s="33">
        <f>IF($A623="","",IF($C623="","",YEAR($C623)))</f>
      </c>
      <c r="H623" s="34">
        <v>2023</v>
      </c>
      <c r="I623" s="30" t="inlineStr">
        <is>
          <t xml:space="preserve">Bentley</t>
        </is>
      </c>
      <c r="J623" s="30" t="inlineStr">
        <is>
          <t xml:space="preserve">Continental GT</t>
        </is>
      </c>
      <c r="K623" s="30" t="inlineStr">
        <is>
          <t xml:space="preserve">PFRHEKGD74PZ4WLBD</t>
        </is>
      </c>
      <c r="L623" s="32" t="inlineStr">
        <is>
          <t xml:space="preserve">02 - Sports / GT</t>
        </is>
      </c>
      <c r="M623" s="35">
        <v>220000</v>
      </c>
      <c r="N623" s="32" t="inlineStr">
        <is>
          <t xml:space="preserve">Personal</t>
        </is>
      </c>
      <c r="O623" s="30" t="inlineStr">
        <is>
          <t xml:space="preserve">Personal - regular use</t>
        </is>
      </c>
      <c r="P623" s="30" t="inlineStr">
        <is>
          <t xml:space="preserve">Under 1,000</t>
        </is>
      </c>
      <c r="Q623" s="30" t="inlineStr">
        <is>
          <t xml:space="preserve">Florida</t>
        </is>
      </c>
      <c r="R623" s="30" t="inlineStr">
        <is>
          <t xml:space="preserve">33139</t>
        </is>
      </c>
      <c r="S623" s="32" t="inlineStr">
        <is>
          <t xml:space="preserve">Tier 2 - Coastal wind (1-25 miles)</t>
        </is>
      </c>
      <c r="T623" s="36">
        <f>IF($A623="","",IF($S623="","",IFERROR(INDEX('[1]natural catastrophe'!$D$6:$D$17,MATCH($S623,'[1]natural catastrophe'!$B$6:$B$17,0)),"?")))</f>
      </c>
      <c r="U623" s="30" t="inlineStr">
        <is>
          <t xml:space="preserve">2% of agreed value, minimum $10,000</t>
        </is>
      </c>
      <c r="V623" s="32" t="inlineStr">
        <is>
          <t xml:space="preserve">Agreed Value</t>
        </is>
      </c>
      <c r="W623" s="30" t="inlineStr">
        <is>
          <t xml:space="preserve">$1,000</t>
        </is>
      </c>
      <c r="X623" s="32" t="inlineStr">
        <is>
          <t xml:space="preserve">$1,000,000 CSL</t>
        </is>
      </c>
      <c r="Y623" s="30"/>
      <c r="Z623" s="30"/>
      <c r="AA623" s="32" t="inlineStr">
        <is>
          <t xml:space="preserve">Surplus Lines</t>
        </is>
      </c>
      <c r="AB623" s="35">
        <v>4147.35</v>
      </c>
      <c r="AC623" s="37">
        <v>0</v>
      </c>
      <c r="AD623" s="38">
        <f>IF(ISNUMBER($AB623),$AB623*(1+N($AC623)),"")</f>
      </c>
      <c r="AE623" s="35">
        <v>350</v>
      </c>
      <c r="AF623" s="35">
        <v>0</v>
      </c>
      <c r="AG623" s="37"/>
      <c r="AH623" s="39">
        <f>IF(ISNUMBER($AD623),($AD623+$AE623+$AF623)*$AG623,"")</f>
      </c>
      <c r="AI623" s="35"/>
      <c r="AJ623" s="38">
        <f>IF(ISNUMBER($AD623),SUM($AD623:$AH623),"")</f>
      </c>
      <c r="AK623" s="40">
        <f>IF(AND(ISNUMBER($AB623),ISNUMBER($AD623)),IF($AB623&gt;0,$AD623/$AB623,""),"")</f>
      </c>
      <c r="AL623" s="32" t="inlineStr">
        <is>
          <t xml:space="preserve">At technical</t>
        </is>
      </c>
      <c r="AM623" s="41">
        <f>IF(ISNUMBER($AD623),Header!$I$3,"")</f>
      </c>
      <c r="AN623" s="39">
        <f>IF(ISNUMBER($AD623),$AO623+$AP623,"")</f>
      </c>
      <c r="AO623" s="39">
        <f>IF(ISNUMBER($AD623),ROUND($AD623*Header!$K$3,2),"")</f>
      </c>
      <c r="AP623" s="39">
        <f>IF(ISNUMBER($AD623),ROUND($AD623*Header!$M$3,2),"")</f>
      </c>
      <c r="AQ623" s="38">
        <f>IF(ISNUMBER($AD623),ROUND($AD623,2)-$AO623-$AP623,"")</f>
      </c>
      <c r="AR623" s="39">
        <f>IF(ISNUMBER($AD623),IF(Header!$D$34="","?",$AD623*Header!$D$34),"")</f>
      </c>
      <c r="AS623" s="39">
        <f>IF(ISNUMBER($AB623),IF(Header!$D$34="","?",$AB623*Header!$D$34),"")</f>
      </c>
      <c r="AT623" s="42">
        <f>IF(AND(ISNUMBER($AB623),$M623&gt;0),$AB623/$M623*100,"")</f>
      </c>
      <c r="AU623" s="42">
        <f>IF(AND(ISNUMBER($AD623),$M623&gt;0),$AD623/$M623*100,"")</f>
      </c>
      <c r="AV623" s="40">
        <f>IF(AND(ISNUMBER($AB623),ISNUMBER($AD623),ABS($AB623)&gt;0),$AD623/$AB623,"")</f>
      </c>
      <c r="AW623" s="39">
        <f>IF(ISNUMBER($AD623),MAX(0,(1-0.55-Header!$O$3)*Header!$Q$3*$AQ623),"")</f>
      </c>
      <c r="AX623" s="43">
        <f>IF($A623="","",IF(TRIM(IF($A623="","Missing certificate ref. ","") &amp; IF($C623="","Missing effective date. ","") &amp; IF($D623="","Missing binding status. ","") &amp; IF($E623="","Missing movement type. ","") &amp; IF($I623="","Missing make. ","") &amp; IF($L623="","Missing vehicle class. ","") &amp; IF($M623="","Missing agreed value. ","") &amp; IF($N623="","Missing policy type. ","") &amp; IF($Q623="","Missing garaging state. ","") &amp; IF($R623="","Missing garaging ZIP. ","") &amp; IF($S623="","Missing cat zone. ","") &amp; IF($V623="","Missing valuation basis. ","") &amp; IF($W623="","Missing PD deductible. ","") &amp; IF($X623="","Missing liability limit. ","") &amp; IF($AB623="","Missing technical premium. ","") &amp; IF($AF623="","Missing surplus lines tax %. ",""))="","PASS","FAIL: "&amp;TRIM(IF($A623="","Missing certificate ref. ","") &amp; IF($C623="","Missing effective date. ","") &amp; IF($D623="","Missing binding status. ","") &amp; IF($E623="","Missing movement type. ","") &amp; IF($I623="","Missing make. ","") &amp; IF($L623="","Missing vehicle class. ","") &amp; IF($M623="","Missing agreed value. ","") &amp; IF($N623="","Missing policy type. ","") &amp; IF($Q623="","Missing garaging state. ","") &amp; IF($R623="","Missing garaging ZIP. ","") &amp; IF($S623="","Missing cat zone. ","") &amp; IF($V623="","Missing valuation basis. ","") &amp; IF($W623="","Missing PD deductible. ","") &amp; IF($X623="","Missing liability limit. ","") &amp; IF($AB623="","Missing technical premium. ","") &amp; IF($AF623="","Missing surplus lines tax %. ",""))))</f>
      </c>
      <c r="AY623" s="44">
        <f>IF($M623="","",IF(ISNUMBER($M623),IF($M623&gt;=Header!$C$18,"YES — refer","No"),""))</f>
      </c>
      <c r="AZ623" s="44">
        <f>IF($AD623="","",IF(ISNUMBER($AD623),IF($AD623&lt;Header!$C$20,"BELOW MIN PREMIUM","OK"),""))</f>
      </c>
      <c r="BA623" s="32" t="inlineStr">
        <is>
          <t xml:space="preserve">Yes</t>
        </is>
      </c>
      <c r="BB623" s="32" t="inlineStr">
        <is>
          <t xml:space="preserve">Yes</t>
        </is>
      </c>
      <c r="BC623" s="30" t="inlineStr">
        <is>
          <t xml:space="preserve">Synthetic demo data</t>
        </is>
      </c>
      <c r="BE623" s="45">
        <f>IF(OR($A623="",$L623="",$H623=""),"",IF(AND(LEFT($L623,2)="06",$H623&gt;1945),"FAIL - pre-war class, year "&amp;$H623,IF(AND(LEFT($L623,2)="07",OR($H623&lt;1946,$H623&gt;1972)),"FAIL - 1946-72 class, year "&amp;$H623,IF(AND(LEFT($L623,2)="08",OR($H623&lt;1973,$H623&gt;1999)),"FAIL - 1973-99 class, year "&amp;$H623,IF(AND(LEFT($L623,2)="09",OR($H623&lt;2000,$H623&gt;2010)),"FAIL - 2000-10 class, year "&amp;$H623,"OK")))))</f>
      </c>
      <c r="BF623" s="45">
        <f>IF($AD623="","",IF(ROUND($AO623+$AP623+$AQ623-$AD623,2)=0,"OK","FAIL - out by "&amp;TEXT($AO623+$AP623+$AQ623-$AD623,"$0.00")))</f>
      </c>
    </row>
    <row r="624" spans="1:58" ht="18.75" customHeight="1" x14ac:dyDescent="0.25">
      <c r="A624" s="46" t="inlineStr">
        <is>
          <t xml:space="preserve">CANON-202606-009250</t>
        </is>
      </c>
      <c r="B624" s="46" t="inlineStr">
        <is>
          <t xml:space="preserve">Delphine Merriweather</t>
        </is>
      </c>
      <c r="C624" s="47">
        <v>46176</v>
      </c>
      <c r="D624" s="48" t="inlineStr">
        <is>
          <t xml:space="preserve">Bound - within authority</t>
        </is>
      </c>
      <c r="E624" s="48" t="inlineStr">
        <is>
          <t xml:space="preserve">New business</t>
        </is>
      </c>
      <c r="F624" s="46" t="inlineStr">
        <is>
          <t xml:space="preserve">B1234EXOTIC26</t>
        </is>
      </c>
      <c r="G624" s="33">
        <f>IF($A624="","",IF($C624="","",YEAR($C624)))</f>
      </c>
      <c r="H624" s="49">
        <v>1963</v>
      </c>
      <c r="I624" s="46" t="inlineStr">
        <is>
          <t xml:space="preserve">Maserati</t>
        </is>
      </c>
      <c r="J624" s="46" t="inlineStr">
        <is>
          <t xml:space="preserve">GranTurismo</t>
        </is>
      </c>
      <c r="K624" s="46" t="inlineStr">
        <is>
          <t xml:space="preserve">U813CC5CL68DEXN27</t>
        </is>
      </c>
      <c r="L624" s="48" t="inlineStr">
        <is>
          <t xml:space="preserve">02 - Sports / GT</t>
        </is>
      </c>
      <c r="M624" s="50">
        <v>635000</v>
      </c>
      <c r="N624" s="48" t="inlineStr">
        <is>
          <t xml:space="preserve">Personal</t>
        </is>
      </c>
      <c r="O624" s="46" t="inlineStr">
        <is>
          <t xml:space="preserve">Personal - regular use</t>
        </is>
      </c>
      <c r="P624" s="46" t="inlineStr">
        <is>
          <t xml:space="preserve">1,000 - 2,500</t>
        </is>
      </c>
      <c r="Q624" s="46" t="inlineStr">
        <is>
          <t xml:space="preserve">Massachusetts</t>
        </is>
      </c>
      <c r="R624" s="46" t="inlineStr">
        <is>
          <t xml:space="preserve">02108</t>
        </is>
      </c>
      <c r="S624" s="48" t="inlineStr">
        <is>
          <t xml:space="preserve">Tier 3 - Coastal wind (25-100 miles)</t>
        </is>
      </c>
      <c r="T624" s="36">
        <f>IF($A624="","",IF($S624="","",IFERROR(INDEX('[1]natural catastrophe'!$D$6:$D$17,MATCH($S624,'[1]natural catastrophe'!$B$6:$B$17,0)),"?")))</f>
      </c>
      <c r="U624" s="46" t="inlineStr">
        <is>
          <t xml:space="preserve">2% of agreed value, minimum $10,000</t>
        </is>
      </c>
      <c r="V624" s="48" t="inlineStr">
        <is>
          <t xml:space="preserve">Agreed Value</t>
        </is>
      </c>
      <c r="W624" s="46" t="inlineStr">
        <is>
          <t xml:space="preserve">$1,000</t>
        </is>
      </c>
      <c r="X624" s="48" t="inlineStr">
        <is>
          <t xml:space="preserve">$1,000,000 CSL</t>
        </is>
      </c>
      <c r="Y624" s="46"/>
      <c r="Z624" s="46"/>
      <c r="AA624" s="48" t="inlineStr">
        <is>
          <t xml:space="preserve">Surplus Lines</t>
        </is>
      </c>
      <c r="AB624" s="50">
        <v>7445.08</v>
      </c>
      <c r="AC624" s="51">
        <v>0</v>
      </c>
      <c r="AD624" s="38">
        <f>IF(ISNUMBER($AB624),$AB624*(1+N($AC624)),"")</f>
      </c>
      <c r="AE624" s="50">
        <v>350</v>
      </c>
      <c r="AF624" s="50">
        <v>0</v>
      </c>
      <c r="AG624" s="51"/>
      <c r="AH624" s="39">
        <f>IF(ISNUMBER($AD624),($AD624+$AE624+$AF624)*$AG624,"")</f>
      </c>
      <c r="AI624" s="50"/>
      <c r="AJ624" s="38">
        <f>IF(ISNUMBER($AD624),SUM($AD624:$AH624),"")</f>
      </c>
      <c r="AK624" s="40">
        <f>IF(AND(ISNUMBER($AB624),ISNUMBER($AD624)),IF($AB624&gt;0,$AD624/$AB624,""),"")</f>
      </c>
      <c r="AL624" s="48" t="inlineStr">
        <is>
          <t xml:space="preserve">At technical</t>
        </is>
      </c>
      <c r="AM624" s="41">
        <f>IF(ISNUMBER($AD624),Header!$I$3,"")</f>
      </c>
      <c r="AN624" s="39">
        <f>IF(ISNUMBER($AD624),$AO624+$AP624,"")</f>
      </c>
      <c r="AO624" s="39">
        <f>IF(ISNUMBER($AD624),ROUND($AD624*Header!$K$3,2),"")</f>
      </c>
      <c r="AP624" s="39">
        <f>IF(ISNUMBER($AD624),ROUND($AD624*Header!$M$3,2),"")</f>
      </c>
      <c r="AQ624" s="38">
        <f>IF(ISNUMBER($AD624),ROUND($AD624,2)-$AO624-$AP624,"")</f>
      </c>
      <c r="AR624" s="39">
        <f>IF(ISNUMBER($AD624),IF(Header!$D$34="","?",$AD624*Header!$D$34),"")</f>
      </c>
      <c r="AS624" s="39">
        <f>IF(ISNUMBER($AB624),IF(Header!$D$34="","?",$AB624*Header!$D$34),"")</f>
      </c>
      <c r="AT624" s="42">
        <f>IF(AND(ISNUMBER($AB624),$M624&gt;0),$AB624/$M624*100,"")</f>
      </c>
      <c r="AU624" s="42">
        <f>IF(AND(ISNUMBER($AD624),$M624&gt;0),$AD624/$M624*100,"")</f>
      </c>
      <c r="AV624" s="40">
        <f>IF(AND(ISNUMBER($AB624),ISNUMBER($AD624),ABS($AB624)&gt;0),$AD624/$AB624,"")</f>
      </c>
      <c r="AW624" s="39">
        <f>IF(ISNUMBER($AD624),MAX(0,(1-0.55-Header!$O$3)*Header!$Q$3*$AQ624),"")</f>
      </c>
      <c r="AX624" s="43">
        <f>IF($A624="","",IF(TRIM(IF($A624="","Missing certificate ref. ","") &amp; IF($C624="","Missing effective date. ","") &amp; IF($D624="","Missing binding status. ","") &amp; IF($E624="","Missing movement type. ","") &amp; IF($I624="","Missing make. ","") &amp; IF($L624="","Missing vehicle class. ","") &amp; IF($M624="","Missing agreed value. ","") &amp; IF($N624="","Missing policy type. ","") &amp; IF($Q624="","Missing garaging state. ","") &amp; IF($R624="","Missing garaging ZIP. ","") &amp; IF($S624="","Missing cat zone. ","") &amp; IF($V624="","Missing valuation basis. ","") &amp; IF($W624="","Missing PD deductible. ","") &amp; IF($X624="","Missing liability limit. ","") &amp; IF($AB624="","Missing technical premium. ","") &amp; IF($AF624="","Missing surplus lines tax %. ",""))="","PASS","FAIL: "&amp;TRIM(IF($A624="","Missing certificate ref. ","") &amp; IF($C624="","Missing effective date. ","") &amp; IF($D624="","Missing binding status. ","") &amp; IF($E624="","Missing movement type. ","") &amp; IF($I624="","Missing make. ","") &amp; IF($L624="","Missing vehicle class. ","") &amp; IF($M624="","Missing agreed value. ","") &amp; IF($N624="","Missing policy type. ","") &amp; IF($Q624="","Missing garaging state. ","") &amp; IF($R624="","Missing garaging ZIP. ","") &amp; IF($S624="","Missing cat zone. ","") &amp; IF($V624="","Missing valuation basis. ","") &amp; IF($W624="","Missing PD deductible. ","") &amp; IF($X624="","Missing liability limit. ","") &amp; IF($AB624="","Missing technical premium. ","") &amp; IF($AF624="","Missing surplus lines tax %. ",""))))</f>
      </c>
      <c r="AY624" s="44">
        <f>IF($M624="","",IF(ISNUMBER($M624),IF($M624&gt;=Header!$C$18,"YES — refer","No"),""))</f>
      </c>
      <c r="AZ624" s="44">
        <f>IF($AD624="","",IF(ISNUMBER($AD624),IF($AD624&lt;Header!$C$20,"BELOW MIN PREMIUM","OK"),""))</f>
      </c>
      <c r="BA624" s="48" t="inlineStr">
        <is>
          <t xml:space="preserve">Yes</t>
        </is>
      </c>
      <c r="BB624" s="48" t="inlineStr">
        <is>
          <t xml:space="preserve">Yes</t>
        </is>
      </c>
      <c r="BC624" s="46" t="inlineStr">
        <is>
          <t xml:space="preserve">Synthetic demo data</t>
        </is>
      </c>
      <c r="BE624" s="45">
        <f>IF(OR($A624="",$L624="",$H624=""),"",IF(AND(LEFT($L624,2)="06",$H624&gt;1945),"FAIL - pre-war class, year "&amp;$H624,IF(AND(LEFT($L624,2)="07",OR($H624&lt;1946,$H624&gt;1972)),"FAIL - 1946-72 class, year "&amp;$H624,IF(AND(LEFT($L624,2)="08",OR($H624&lt;1973,$H624&gt;1999)),"FAIL - 1973-99 class, year "&amp;$H624,IF(AND(LEFT($L624,2)="09",OR($H624&lt;2000,$H624&gt;2010)),"FAIL - 2000-10 class, year "&amp;$H624,"OK")))))</f>
      </c>
      <c r="BF624" s="45">
        <f>IF($AD624="","",IF(ROUND($AO624+$AP624+$AQ624-$AD624,2)=0,"OK","FAIL - out by "&amp;TEXT($AO624+$AP624+$AQ624-$AD624,"$0.00")))</f>
      </c>
    </row>
    <row r="625" spans="1:58" ht="18.75" customHeight="1" x14ac:dyDescent="0.25">
      <c r="A625" s="30" t="inlineStr">
        <is>
          <t xml:space="preserve">CANON-202606-009251</t>
        </is>
      </c>
      <c r="B625" s="30" t="inlineStr">
        <is>
          <t xml:space="preserve">Horace Fairweather</t>
        </is>
      </c>
      <c r="C625" s="31">
        <v>46198</v>
      </c>
      <c r="D625" s="32" t="inlineStr">
        <is>
          <t xml:space="preserve">Bound - within authority</t>
        </is>
      </c>
      <c r="E625" s="32" t="inlineStr">
        <is>
          <t xml:space="preserve">New business</t>
        </is>
      </c>
      <c r="F625" s="30" t="inlineStr">
        <is>
          <t xml:space="preserve">B1234EXOTIC26</t>
        </is>
      </c>
      <c r="G625" s="33">
        <f>IF($A625="","",IF($C625="","",YEAR($C625)))</f>
      </c>
      <c r="H625" s="34">
        <v>1972</v>
      </c>
      <c r="I625" s="30" t="inlineStr">
        <is>
          <t xml:space="preserve">BMW</t>
        </is>
      </c>
      <c r="J625" s="30" t="inlineStr">
        <is>
          <t xml:space="preserve">M8 Competition</t>
        </is>
      </c>
      <c r="K625" s="30" t="inlineStr">
        <is>
          <t xml:space="preserve">29LPWRJ83G7ZMT9Y8</t>
        </is>
      </c>
      <c r="L625" s="32" t="inlineStr">
        <is>
          <t xml:space="preserve">02 - Sports / GT</t>
        </is>
      </c>
      <c r="M625" s="35">
        <v>480000</v>
      </c>
      <c r="N625" s="32" t="inlineStr">
        <is>
          <t xml:space="preserve">Personal</t>
        </is>
      </c>
      <c r="O625" s="30" t="inlineStr">
        <is>
          <t xml:space="preserve">Personal - regular use</t>
        </is>
      </c>
      <c r="P625" s="30" t="inlineStr">
        <is>
          <t xml:space="preserve">Under 1,000</t>
        </is>
      </c>
      <c r="Q625" s="30" t="inlineStr">
        <is>
          <t xml:space="preserve">New Hampshire</t>
        </is>
      </c>
      <c r="R625" s="30" t="inlineStr">
        <is>
          <t xml:space="preserve">03301</t>
        </is>
      </c>
      <c r="S625" s="32" t="inlineStr">
        <is>
          <t xml:space="preserve">Tier 3 - Coastal wind (25-100 miles)</t>
        </is>
      </c>
      <c r="T625" s="36">
        <f>IF($A625="","",IF($S625="","",IFERROR(INDEX('[1]natural catastrophe'!$D$6:$D$17,MATCH($S625,'[1]natural catastrophe'!$B$6:$B$17,0)),"?")))</f>
      </c>
      <c r="U625" s="30" t="inlineStr">
        <is>
          <t xml:space="preserve">2% of agreed value, minimum $10,000</t>
        </is>
      </c>
      <c r="V625" s="32" t="inlineStr">
        <is>
          <t xml:space="preserve">Agreed Value</t>
        </is>
      </c>
      <c r="W625" s="30" t="inlineStr">
        <is>
          <t xml:space="preserve">$1,000</t>
        </is>
      </c>
      <c r="X625" s="32" t="inlineStr">
        <is>
          <t xml:space="preserve">$1,000,000 CSL</t>
        </is>
      </c>
      <c r="Y625" s="30"/>
      <c r="Z625" s="30"/>
      <c r="AA625" s="32" t="inlineStr">
        <is>
          <t xml:space="preserve">Surplus Lines</t>
        </is>
      </c>
      <c r="AB625" s="35">
        <v>5402.66</v>
      </c>
      <c r="AC625" s="37">
        <v>0</v>
      </c>
      <c r="AD625" s="38">
        <f>IF(ISNUMBER($AB625),$AB625*(1+N($AC625)),"")</f>
      </c>
      <c r="AE625" s="35">
        <v>350</v>
      </c>
      <c r="AF625" s="35">
        <v>0</v>
      </c>
      <c r="AG625" s="37"/>
      <c r="AH625" s="39">
        <f>IF(ISNUMBER($AD625),($AD625+$AE625+$AF625)*$AG625,"")</f>
      </c>
      <c r="AI625" s="35"/>
      <c r="AJ625" s="38">
        <f>IF(ISNUMBER($AD625),SUM($AD625:$AH625),"")</f>
      </c>
      <c r="AK625" s="40">
        <f>IF(AND(ISNUMBER($AB625),ISNUMBER($AD625)),IF($AB625&gt;0,$AD625/$AB625,""),"")</f>
      </c>
      <c r="AL625" s="32" t="inlineStr">
        <is>
          <t xml:space="preserve">At technical</t>
        </is>
      </c>
      <c r="AM625" s="41">
        <f>IF(ISNUMBER($AD625),Header!$I$3,"")</f>
      </c>
      <c r="AN625" s="39">
        <f>IF(ISNUMBER($AD625),$AO625+$AP625,"")</f>
      </c>
      <c r="AO625" s="39">
        <f>IF(ISNUMBER($AD625),ROUND($AD625*Header!$K$3,2),"")</f>
      </c>
      <c r="AP625" s="39">
        <f>IF(ISNUMBER($AD625),ROUND($AD625*Header!$M$3,2),"")</f>
      </c>
      <c r="AQ625" s="38">
        <f>IF(ISNUMBER($AD625),ROUND($AD625,2)-$AO625-$AP625,"")</f>
      </c>
      <c r="AR625" s="39">
        <f>IF(ISNUMBER($AD625),IF(Header!$D$34="","?",$AD625*Header!$D$34),"")</f>
      </c>
      <c r="AS625" s="39">
        <f>IF(ISNUMBER($AB625),IF(Header!$D$34="","?",$AB625*Header!$D$34),"")</f>
      </c>
      <c r="AT625" s="42">
        <f>IF(AND(ISNUMBER($AB625),$M625&gt;0),$AB625/$M625*100,"")</f>
      </c>
      <c r="AU625" s="42">
        <f>IF(AND(ISNUMBER($AD625),$M625&gt;0),$AD625/$M625*100,"")</f>
      </c>
      <c r="AV625" s="40">
        <f>IF(AND(ISNUMBER($AB625),ISNUMBER($AD625),ABS($AB625)&gt;0),$AD625/$AB625,"")</f>
      </c>
      <c r="AW625" s="39">
        <f>IF(ISNUMBER($AD625),MAX(0,(1-0.55-Header!$O$3)*Header!$Q$3*$AQ625),"")</f>
      </c>
      <c r="AX625" s="43">
        <f>IF($A625="","",IF(TRIM(IF($A625="","Missing certificate ref. ","") &amp; IF($C625="","Missing effective date. ","") &amp; IF($D625="","Missing binding status. ","") &amp; IF($E625="","Missing movement type. ","") &amp; IF($I625="","Missing make. ","") &amp; IF($L625="","Missing vehicle class. ","") &amp; IF($M625="","Missing agreed value. ","") &amp; IF($N625="","Missing policy type. ","") &amp; IF($Q625="","Missing garaging state. ","") &amp; IF($R625="","Missing garaging ZIP. ","") &amp; IF($S625="","Missing cat zone. ","") &amp; IF($V625="","Missing valuation basis. ","") &amp; IF($W625="","Missing PD deductible. ","") &amp; IF($X625="","Missing liability limit. ","") &amp; IF($AB625="","Missing technical premium. ","") &amp; IF($AF625="","Missing surplus lines tax %. ",""))="","PASS","FAIL: "&amp;TRIM(IF($A625="","Missing certificate ref. ","") &amp; IF($C625="","Missing effective date. ","") &amp; IF($D625="","Missing binding status. ","") &amp; IF($E625="","Missing movement type. ","") &amp; IF($I625="","Missing make. ","") &amp; IF($L625="","Missing vehicle class. ","") &amp; IF($M625="","Missing agreed value. ","") &amp; IF($N625="","Missing policy type. ","") &amp; IF($Q625="","Missing garaging state. ","") &amp; IF($R625="","Missing garaging ZIP. ","") &amp; IF($S625="","Missing cat zone. ","") &amp; IF($V625="","Missing valuation basis. ","") &amp; IF($W625="","Missing PD deductible. ","") &amp; IF($X625="","Missing liability limit. ","") &amp; IF($AB625="","Missing technical premium. ","") &amp; IF($AF625="","Missing surplus lines tax %. ",""))))</f>
      </c>
      <c r="AY625" s="44">
        <f>IF($M625="","",IF(ISNUMBER($M625),IF($M625&gt;=Header!$C$18,"YES — refer","No"),""))</f>
      </c>
      <c r="AZ625" s="44">
        <f>IF($AD625="","",IF(ISNUMBER($AD625),IF($AD625&lt;Header!$C$20,"BELOW MIN PREMIUM","OK"),""))</f>
      </c>
      <c r="BA625" s="32" t="inlineStr">
        <is>
          <t xml:space="preserve">Yes</t>
        </is>
      </c>
      <c r="BB625" s="32" t="inlineStr">
        <is>
          <t xml:space="preserve">Yes</t>
        </is>
      </c>
      <c r="BC625" s="30" t="inlineStr">
        <is>
          <t xml:space="preserve">Synthetic demo data</t>
        </is>
      </c>
      <c r="BE625" s="45">
        <f>IF(OR($A625="",$L625="",$H625=""),"",IF(AND(LEFT($L625,2)="06",$H625&gt;1945),"FAIL - pre-war class, year "&amp;$H625,IF(AND(LEFT($L625,2)="07",OR($H625&lt;1946,$H625&gt;1972)),"FAIL - 1946-72 class, year "&amp;$H625,IF(AND(LEFT($L625,2)="08",OR($H625&lt;1973,$H625&gt;1999)),"FAIL - 1973-99 class, year "&amp;$H625,IF(AND(LEFT($L625,2)="09",OR($H625&lt;2000,$H625&gt;2010)),"FAIL - 2000-10 class, year "&amp;$H625,"OK")))))</f>
      </c>
      <c r="BF625" s="45">
        <f>IF($AD625="","",IF(ROUND($AO625+$AP625+$AQ625-$AD625,2)=0,"OK","FAIL - out by "&amp;TEXT($AO625+$AP625+$AQ625-$AD625,"$0.00")))</f>
      </c>
    </row>
    <row r="626" spans="1:58" ht="18.75" customHeight="1" x14ac:dyDescent="0.25">
      <c r="A626" s="46" t="inlineStr">
        <is>
          <t xml:space="preserve">CANON-202606-009252</t>
        </is>
      </c>
      <c r="B626" s="46" t="inlineStr">
        <is>
          <t xml:space="preserve">Ramona Fairweather</t>
        </is>
      </c>
      <c r="C626" s="47">
        <v>46182</v>
      </c>
      <c r="D626" s="48" t="inlineStr">
        <is>
          <t xml:space="preserve">Bound - within authority</t>
        </is>
      </c>
      <c r="E626" s="48" t="inlineStr">
        <is>
          <t xml:space="preserve">New business</t>
        </is>
      </c>
      <c r="F626" s="46" t="inlineStr">
        <is>
          <t xml:space="preserve">B1234EXOTIC26</t>
        </is>
      </c>
      <c r="G626" s="33">
        <f>IF($A626="","",IF($C626="","",YEAR($C626)))</f>
      </c>
      <c r="H626" s="49">
        <v>2023</v>
      </c>
      <c r="I626" s="46" t="inlineStr">
        <is>
          <t xml:space="preserve">Aston Martin</t>
        </is>
      </c>
      <c r="J626" s="46" t="inlineStr">
        <is>
          <t xml:space="preserve">DB12</t>
        </is>
      </c>
      <c r="K626" s="46" t="inlineStr">
        <is>
          <t xml:space="preserve">WG7JY9X08A5CFUGYA</t>
        </is>
      </c>
      <c r="L626" s="48" t="inlineStr">
        <is>
          <t xml:space="preserve">02 - Sports / GT</t>
        </is>
      </c>
      <c r="M626" s="50">
        <v>265000</v>
      </c>
      <c r="N626" s="48" t="inlineStr">
        <is>
          <t xml:space="preserve">Personal</t>
        </is>
      </c>
      <c r="O626" s="46" t="inlineStr">
        <is>
          <t xml:space="preserve">Personal - regular use</t>
        </is>
      </c>
      <c r="P626" s="46" t="inlineStr">
        <is>
          <t xml:space="preserve">Under 1,000</t>
        </is>
      </c>
      <c r="Q626" s="46" t="inlineStr">
        <is>
          <t xml:space="preserve">Florida</t>
        </is>
      </c>
      <c r="R626" s="46" t="inlineStr">
        <is>
          <t xml:space="preserve">33139</t>
        </is>
      </c>
      <c r="S626" s="48" t="inlineStr">
        <is>
          <t xml:space="preserve">Tier 2 - Coastal wind (1-25 miles)</t>
        </is>
      </c>
      <c r="T626" s="36">
        <f>IF($A626="","",IF($S626="","",IFERROR(INDEX('[1]natural catastrophe'!$D$6:$D$17,MATCH($S626,'[1]natural catastrophe'!$B$6:$B$17,0)),"?")))</f>
      </c>
      <c r="U626" s="46" t="inlineStr">
        <is>
          <t xml:space="preserve">2% of agreed value, minimum $10,000</t>
        </is>
      </c>
      <c r="V626" s="48" t="inlineStr">
        <is>
          <t xml:space="preserve">Agreed Value</t>
        </is>
      </c>
      <c r="W626" s="46" t="inlineStr">
        <is>
          <t xml:space="preserve">$1,000</t>
        </is>
      </c>
      <c r="X626" s="48" t="inlineStr">
        <is>
          <t xml:space="preserve">$1,000,000 CSL</t>
        </is>
      </c>
      <c r="Y626" s="46"/>
      <c r="Z626" s="46"/>
      <c r="AA626" s="48" t="inlineStr">
        <is>
          <t xml:space="preserve">Surplus Lines</t>
        </is>
      </c>
      <c r="AB626" s="50">
        <v>4072.56</v>
      </c>
      <c r="AC626" s="51">
        <v>0</v>
      </c>
      <c r="AD626" s="38">
        <f>IF(ISNUMBER($AB626),$AB626*(1+N($AC626)),"")</f>
      </c>
      <c r="AE626" s="50">
        <v>350</v>
      </c>
      <c r="AF626" s="50">
        <v>0</v>
      </c>
      <c r="AG626" s="51"/>
      <c r="AH626" s="39">
        <f>IF(ISNUMBER($AD626),($AD626+$AE626+$AF626)*$AG626,"")</f>
      </c>
      <c r="AI626" s="50"/>
      <c r="AJ626" s="38">
        <f>IF(ISNUMBER($AD626),SUM($AD626:$AH626),"")</f>
      </c>
      <c r="AK626" s="40">
        <f>IF(AND(ISNUMBER($AB626),ISNUMBER($AD626)),IF($AB626&gt;0,$AD626/$AB626,""),"")</f>
      </c>
      <c r="AL626" s="48" t="inlineStr">
        <is>
          <t xml:space="preserve">At technical</t>
        </is>
      </c>
      <c r="AM626" s="41">
        <f>IF(ISNUMBER($AD626),Header!$I$3,"")</f>
      </c>
      <c r="AN626" s="39">
        <f>IF(ISNUMBER($AD626),$AO626+$AP626,"")</f>
      </c>
      <c r="AO626" s="39">
        <f>IF(ISNUMBER($AD626),ROUND($AD626*Header!$K$3,2),"")</f>
      </c>
      <c r="AP626" s="39">
        <f>IF(ISNUMBER($AD626),ROUND($AD626*Header!$M$3,2),"")</f>
      </c>
      <c r="AQ626" s="38">
        <f>IF(ISNUMBER($AD626),ROUND($AD626,2)-$AO626-$AP626,"")</f>
      </c>
      <c r="AR626" s="39">
        <f>IF(ISNUMBER($AD626),IF(Header!$D$34="","?",$AD626*Header!$D$34),"")</f>
      </c>
      <c r="AS626" s="39">
        <f>IF(ISNUMBER($AB626),IF(Header!$D$34="","?",$AB626*Header!$D$34),"")</f>
      </c>
      <c r="AT626" s="42">
        <f>IF(AND(ISNUMBER($AB626),$M626&gt;0),$AB626/$M626*100,"")</f>
      </c>
      <c r="AU626" s="42">
        <f>IF(AND(ISNUMBER($AD626),$M626&gt;0),$AD626/$M626*100,"")</f>
      </c>
      <c r="AV626" s="40">
        <f>IF(AND(ISNUMBER($AB626),ISNUMBER($AD626),ABS($AB626)&gt;0),$AD626/$AB626,"")</f>
      </c>
      <c r="AW626" s="39">
        <f>IF(ISNUMBER($AD626),MAX(0,(1-0.55-Header!$O$3)*Header!$Q$3*$AQ626),"")</f>
      </c>
      <c r="AX626" s="43">
        <f>IF($A626="","",IF(TRIM(IF($A626="","Missing certificate ref. ","") &amp; IF($C626="","Missing effective date. ","") &amp; IF($D626="","Missing binding status. ","") &amp; IF($E626="","Missing movement type. ","") &amp; IF($I626="","Missing make. ","") &amp; IF($L626="","Missing vehicle class. ","") &amp; IF($M626="","Missing agreed value. ","") &amp; IF($N626="","Missing policy type. ","") &amp; IF($Q626="","Missing garaging state. ","") &amp; IF($R626="","Missing garaging ZIP. ","") &amp; IF($S626="","Missing cat zone. ","") &amp; IF($V626="","Missing valuation basis. ","") &amp; IF($W626="","Missing PD deductible. ","") &amp; IF($X626="","Missing liability limit. ","") &amp; IF($AB626="","Missing technical premium. ","") &amp; IF($AF626="","Missing surplus lines tax %. ",""))="","PASS","FAIL: "&amp;TRIM(IF($A626="","Missing certificate ref. ","") &amp; IF($C626="","Missing effective date. ","") &amp; IF($D626="","Missing binding status. ","") &amp; IF($E626="","Missing movement type. ","") &amp; IF($I626="","Missing make. ","") &amp; IF($L626="","Missing vehicle class. ","") &amp; IF($M626="","Missing agreed value. ","") &amp; IF($N626="","Missing policy type. ","") &amp; IF($Q626="","Missing garaging state. ","") &amp; IF($R626="","Missing garaging ZIP. ","") &amp; IF($S626="","Missing cat zone. ","") &amp; IF($V626="","Missing valuation basis. ","") &amp; IF($W626="","Missing PD deductible. ","") &amp; IF($X626="","Missing liability limit. ","") &amp; IF($AB626="","Missing technical premium. ","") &amp; IF($AF626="","Missing surplus lines tax %. ",""))))</f>
      </c>
      <c r="AY626" s="44">
        <f>IF($M626="","",IF(ISNUMBER($M626),IF($M626&gt;=Header!$C$18,"YES — refer","No"),""))</f>
      </c>
      <c r="AZ626" s="44">
        <f>IF($AD626="","",IF(ISNUMBER($AD626),IF($AD626&lt;Header!$C$20,"BELOW MIN PREMIUM","OK"),""))</f>
      </c>
      <c r="BA626" s="48" t="inlineStr">
        <is>
          <t xml:space="preserve">Yes</t>
        </is>
      </c>
      <c r="BB626" s="48" t="inlineStr">
        <is>
          <t xml:space="preserve">Yes</t>
        </is>
      </c>
      <c r="BC626" s="46" t="inlineStr">
        <is>
          <t xml:space="preserve">Synthetic demo data</t>
        </is>
      </c>
      <c r="BE626" s="45">
        <f>IF(OR($A626="",$L626="",$H626=""),"",IF(AND(LEFT($L626,2)="06",$H626&gt;1945),"FAIL - pre-war class, year "&amp;$H626,IF(AND(LEFT($L626,2)="07",OR($H626&lt;1946,$H626&gt;1972)),"FAIL - 1946-72 class, year "&amp;$H626,IF(AND(LEFT($L626,2)="08",OR($H626&lt;1973,$H626&gt;1999)),"FAIL - 1973-99 class, year "&amp;$H626,IF(AND(LEFT($L626,2)="09",OR($H626&lt;2000,$H626&gt;2010)),"FAIL - 2000-10 class, year "&amp;$H626,"OK")))))</f>
      </c>
      <c r="BF626" s="45">
        <f>IF($AD626="","",IF(ROUND($AO626+$AP626+$AQ626-$AD626,2)=0,"OK","FAIL - out by "&amp;TEXT($AO626+$AP626+$AQ626-$AD626,"$0.00")))</f>
      </c>
    </row>
    <row r="627" spans="1:58" ht="18.75" customHeight="1" x14ac:dyDescent="0.25">
      <c r="A627" s="30" t="inlineStr">
        <is>
          <t xml:space="preserve">CANON-202606-009255</t>
        </is>
      </c>
      <c r="B627" s="30" t="inlineStr">
        <is>
          <t xml:space="preserve">Ottilie Farkas</t>
        </is>
      </c>
      <c r="C627" s="31">
        <v>46184</v>
      </c>
      <c r="D627" s="32" t="inlineStr">
        <is>
          <t xml:space="preserve">Bound - within authority</t>
        </is>
      </c>
      <c r="E627" s="32" t="inlineStr">
        <is>
          <t xml:space="preserve">New business</t>
        </is>
      </c>
      <c r="F627" s="30" t="inlineStr">
        <is>
          <t xml:space="preserve">B1234EXOTIC26</t>
        </is>
      </c>
      <c r="G627" s="33">
        <f>IF($A627="","",IF($C627="","",YEAR($C627)))</f>
      </c>
      <c r="H627" s="34">
        <v>1983</v>
      </c>
      <c r="I627" s="30" t="inlineStr">
        <is>
          <t xml:space="preserve">BMW</t>
        </is>
      </c>
      <c r="J627" s="30" t="inlineStr">
        <is>
          <t xml:space="preserve">M8 Competition</t>
        </is>
      </c>
      <c r="K627" s="30" t="inlineStr">
        <is>
          <t xml:space="preserve">XD3SD34C5LTXMH0BM</t>
        </is>
      </c>
      <c r="L627" s="32" t="inlineStr">
        <is>
          <t xml:space="preserve">02 - Sports / GT</t>
        </is>
      </c>
      <c r="M627" s="35">
        <v>1275000</v>
      </c>
      <c r="N627" s="32" t="inlineStr">
        <is>
          <t xml:space="preserve">Personal</t>
        </is>
      </c>
      <c r="O627" s="30" t="inlineStr">
        <is>
          <t xml:space="preserve">Personal - regular use</t>
        </is>
      </c>
      <c r="P627" s="30" t="inlineStr">
        <is>
          <t xml:space="preserve">1,000 - 2,500</t>
        </is>
      </c>
      <c r="Q627" s="30" t="inlineStr">
        <is>
          <t xml:space="preserve">Nebraska</t>
        </is>
      </c>
      <c r="R627" s="30" t="inlineStr">
        <is>
          <t xml:space="preserve">68102</t>
        </is>
      </c>
      <c r="S627" s="32" t="inlineStr">
        <is>
          <t xml:space="preserve">Severe convective - hail alley (high)</t>
        </is>
      </c>
      <c r="T627" s="36">
        <f>IF($A627="","",IF($S627="","",IFERROR(INDEX('[1]natural catastrophe'!$D$6:$D$17,MATCH($S627,'[1]natural catastrophe'!$B$6:$B$17,0)),"?")))</f>
      </c>
      <c r="U627" s="30" t="inlineStr">
        <is>
          <t xml:space="preserve">$5,000</t>
        </is>
      </c>
      <c r="V627" s="32" t="inlineStr">
        <is>
          <t xml:space="preserve">Agreed Value</t>
        </is>
      </c>
      <c r="W627" s="30" t="inlineStr">
        <is>
          <t xml:space="preserve">$1,000</t>
        </is>
      </c>
      <c r="X627" s="32" t="inlineStr">
        <is>
          <t xml:space="preserve">$1,000,000 CSL</t>
        </is>
      </c>
      <c r="Y627" s="30"/>
      <c r="Z627" s="30"/>
      <c r="AA627" s="32" t="inlineStr">
        <is>
          <t xml:space="preserve">Surplus Lines</t>
        </is>
      </c>
      <c r="AB627" s="35">
        <v>13154.92</v>
      </c>
      <c r="AC627" s="37">
        <v>0</v>
      </c>
      <c r="AD627" s="38">
        <f>IF(ISNUMBER($AB627),$AB627*(1+N($AC627)),"")</f>
      </c>
      <c r="AE627" s="35">
        <v>350</v>
      </c>
      <c r="AF627" s="35">
        <v>250</v>
      </c>
      <c r="AG627" s="37"/>
      <c r="AH627" s="39">
        <f>IF(ISNUMBER($AD627),($AD627+$AE627+$AF627)*$AG627,"")</f>
      </c>
      <c r="AI627" s="35"/>
      <c r="AJ627" s="38">
        <f>IF(ISNUMBER($AD627),SUM($AD627:$AH627),"")</f>
      </c>
      <c r="AK627" s="40">
        <f>IF(AND(ISNUMBER($AB627),ISNUMBER($AD627)),IF($AB627&gt;0,$AD627/$AB627,""),"")</f>
      </c>
      <c r="AL627" s="32" t="inlineStr">
        <is>
          <t xml:space="preserve">At technical</t>
        </is>
      </c>
      <c r="AM627" s="41">
        <f>IF(ISNUMBER($AD627),Header!$I$3,"")</f>
      </c>
      <c r="AN627" s="39">
        <f>IF(ISNUMBER($AD627),$AO627+$AP627,"")</f>
      </c>
      <c r="AO627" s="39">
        <f>IF(ISNUMBER($AD627),ROUND($AD627*Header!$K$3,2),"")</f>
      </c>
      <c r="AP627" s="39">
        <f>IF(ISNUMBER($AD627),ROUND($AD627*Header!$M$3,2),"")</f>
      </c>
      <c r="AQ627" s="38">
        <f>IF(ISNUMBER($AD627),ROUND($AD627,2)-$AO627-$AP627,"")</f>
      </c>
      <c r="AR627" s="39">
        <f>IF(ISNUMBER($AD627),IF(Header!$D$34="","?",$AD627*Header!$D$34),"")</f>
      </c>
      <c r="AS627" s="39">
        <f>IF(ISNUMBER($AB627),IF(Header!$D$34="","?",$AB627*Header!$D$34),"")</f>
      </c>
      <c r="AT627" s="42">
        <f>IF(AND(ISNUMBER($AB627),$M627&gt;0),$AB627/$M627*100,"")</f>
      </c>
      <c r="AU627" s="42">
        <f>IF(AND(ISNUMBER($AD627),$M627&gt;0),$AD627/$M627*100,"")</f>
      </c>
      <c r="AV627" s="40">
        <f>IF(AND(ISNUMBER($AB627),ISNUMBER($AD627),ABS($AB627)&gt;0),$AD627/$AB627,"")</f>
      </c>
      <c r="AW627" s="39">
        <f>IF(ISNUMBER($AD627),MAX(0,(1-0.55-Header!$O$3)*Header!$Q$3*$AQ627),"")</f>
      </c>
      <c r="AX627" s="43">
        <f>IF($A627="","",IF(TRIM(IF($A627="","Missing certificate ref. ","") &amp; IF($C627="","Missing effective date. ","") &amp; IF($D627="","Missing binding status. ","") &amp; IF($E627="","Missing movement type. ","") &amp; IF($I627="","Missing make. ","") &amp; IF($L627="","Missing vehicle class. ","") &amp; IF($M627="","Missing agreed value. ","") &amp; IF($N627="","Missing policy type. ","") &amp; IF($Q627="","Missing garaging state. ","") &amp; IF($R627="","Missing garaging ZIP. ","") &amp; IF($S627="","Missing cat zone. ","") &amp; IF($V627="","Missing valuation basis. ","") &amp; IF($W627="","Missing PD deductible. ","") &amp; IF($X627="","Missing liability limit. ","") &amp; IF($AB627="","Missing technical premium. ","") &amp; IF($AF627="","Missing surplus lines tax %. ",""))="","PASS","FAIL: "&amp;TRIM(IF($A627="","Missing certificate ref. ","") &amp; IF($C627="","Missing effective date. ","") &amp; IF($D627="","Missing binding status. ","") &amp; IF($E627="","Missing movement type. ","") &amp; IF($I627="","Missing make. ","") &amp; IF($L627="","Missing vehicle class. ","") &amp; IF($M627="","Missing agreed value. ","") &amp; IF($N627="","Missing policy type. ","") &amp; IF($Q627="","Missing garaging state. ","") &amp; IF($R627="","Missing garaging ZIP. ","") &amp; IF($S627="","Missing cat zone. ","") &amp; IF($V627="","Missing valuation basis. ","") &amp; IF($W627="","Missing PD deductible. ","") &amp; IF($X627="","Missing liability limit. ","") &amp; IF($AB627="","Missing technical premium. ","") &amp; IF($AF627="","Missing surplus lines tax %. ",""))))</f>
      </c>
      <c r="AY627" s="44">
        <f>IF($M627="","",IF(ISNUMBER($M627),IF($M627&gt;=Header!$C$18,"YES — refer","No"),""))</f>
      </c>
      <c r="AZ627" s="44">
        <f>IF($AD627="","",IF(ISNUMBER($AD627),IF($AD627&lt;Header!$C$20,"BELOW MIN PREMIUM","OK"),""))</f>
      </c>
      <c r="BA627" s="32" t="inlineStr">
        <is>
          <t xml:space="preserve">Yes</t>
        </is>
      </c>
      <c r="BB627" s="32" t="inlineStr">
        <is>
          <t xml:space="preserve">Yes</t>
        </is>
      </c>
      <c r="BC627" s="30" t="inlineStr">
        <is>
          <t xml:space="preserve">Synthetic demo data</t>
        </is>
      </c>
      <c r="BE627" s="45">
        <f>IF(OR($A627="",$L627="",$H627=""),"",IF(AND(LEFT($L627,2)="06",$H627&gt;1945),"FAIL - pre-war class, year "&amp;$H627,IF(AND(LEFT($L627,2)="07",OR($H627&lt;1946,$H627&gt;1972)),"FAIL - 1946-72 class, year "&amp;$H627,IF(AND(LEFT($L627,2)="08",OR($H627&lt;1973,$H627&gt;1999)),"FAIL - 1973-99 class, year "&amp;$H627,IF(AND(LEFT($L627,2)="09",OR($H627&lt;2000,$H627&gt;2010)),"FAIL - 2000-10 class, year "&amp;$H627,"OK")))))</f>
      </c>
      <c r="BF627" s="45">
        <f>IF($AD627="","",IF(ROUND($AO627+$AP627+$AQ627-$AD627,2)=0,"OK","FAIL - out by "&amp;TEXT($AO627+$AP627+$AQ627-$AD627,"$0.00")))</f>
      </c>
    </row>
    <row r="628" spans="1:58" ht="18.75" customHeight="1" x14ac:dyDescent="0.25">
      <c r="A628" s="46" t="inlineStr">
        <is>
          <t xml:space="preserve">CANON-202606-009257</t>
        </is>
      </c>
      <c r="B628" s="46" t="inlineStr">
        <is>
          <t xml:space="preserve">Delphine Vandermeer</t>
        </is>
      </c>
      <c r="C628" s="47">
        <v>46192</v>
      </c>
      <c r="D628" s="48" t="inlineStr">
        <is>
          <t xml:space="preserve">Bound - within authority</t>
        </is>
      </c>
      <c r="E628" s="48" t="inlineStr">
        <is>
          <t xml:space="preserve">New business</t>
        </is>
      </c>
      <c r="F628" s="46" t="inlineStr">
        <is>
          <t xml:space="preserve">B1234EXOTIC26</t>
        </is>
      </c>
      <c r="G628" s="33">
        <f>IF($A628="","",IF($C628="","",YEAR($C628)))</f>
      </c>
      <c r="H628" s="49">
        <v>2017</v>
      </c>
      <c r="I628" s="46" t="inlineStr">
        <is>
          <t xml:space="preserve">Porsche</t>
        </is>
      </c>
      <c r="J628" s="46" t="inlineStr">
        <is>
          <t xml:space="preserve">911 Turbo S</t>
        </is>
      </c>
      <c r="K628" s="46" t="inlineStr">
        <is>
          <t xml:space="preserve">JMUHC0TDGNZDM7J7N</t>
        </is>
      </c>
      <c r="L628" s="48" t="inlineStr">
        <is>
          <t xml:space="preserve">02 - Sports / GT</t>
        </is>
      </c>
      <c r="M628" s="50">
        <v>430000</v>
      </c>
      <c r="N628" s="48" t="inlineStr">
        <is>
          <t xml:space="preserve">Personal</t>
        </is>
      </c>
      <c r="O628" s="46" t="inlineStr">
        <is>
          <t xml:space="preserve">Personal - regular use</t>
        </is>
      </c>
      <c r="P628" s="46" t="inlineStr">
        <is>
          <t xml:space="preserve">2,500 - 5,000</t>
        </is>
      </c>
      <c r="Q628" s="46" t="inlineStr">
        <is>
          <t xml:space="preserve">West Virginia</t>
        </is>
      </c>
      <c r="R628" s="46" t="inlineStr">
        <is>
          <t xml:space="preserve">25301</t>
        </is>
      </c>
      <c r="S628" s="48" t="inlineStr">
        <is>
          <t xml:space="preserve">Low hazard - inland benign</t>
        </is>
      </c>
      <c r="T628" s="36">
        <f>IF($A628="","",IF($S628="","",IFERROR(INDEX('[1]natural catastrophe'!$D$6:$D$17,MATCH($S628,'[1]natural catastrophe'!$B$6:$B$17,0)),"?")))</f>
      </c>
      <c r="U628" s="46" t="inlineStr">
        <is>
          <t xml:space="preserve">$5,000</t>
        </is>
      </c>
      <c r="V628" s="48" t="inlineStr">
        <is>
          <t xml:space="preserve">Agreed Value</t>
        </is>
      </c>
      <c r="W628" s="46" t="inlineStr">
        <is>
          <t xml:space="preserve">$1,000</t>
        </is>
      </c>
      <c r="X628" s="48" t="inlineStr">
        <is>
          <t xml:space="preserve">$1,000,000 CSL</t>
        </is>
      </c>
      <c r="Y628" s="46"/>
      <c r="Z628" s="46"/>
      <c r="AA628" s="48" t="inlineStr">
        <is>
          <t xml:space="preserve">Surplus Lines</t>
        </is>
      </c>
      <c r="AB628" s="50">
        <v>6189.47</v>
      </c>
      <c r="AC628" s="51">
        <v>0</v>
      </c>
      <c r="AD628" s="38">
        <f>IF(ISNUMBER($AB628),$AB628*(1+N($AC628)),"")</f>
      </c>
      <c r="AE628" s="50">
        <v>350</v>
      </c>
      <c r="AF628" s="50">
        <v>0</v>
      </c>
      <c r="AG628" s="51"/>
      <c r="AH628" s="39">
        <f>IF(ISNUMBER($AD628),($AD628+$AE628+$AF628)*$AG628,"")</f>
      </c>
      <c r="AI628" s="50"/>
      <c r="AJ628" s="38">
        <f>IF(ISNUMBER($AD628),SUM($AD628:$AH628),"")</f>
      </c>
      <c r="AK628" s="40">
        <f>IF(AND(ISNUMBER($AB628),ISNUMBER($AD628)),IF($AB628&gt;0,$AD628/$AB628,""),"")</f>
      </c>
      <c r="AL628" s="48" t="inlineStr">
        <is>
          <t xml:space="preserve">At technical</t>
        </is>
      </c>
      <c r="AM628" s="41">
        <f>IF(ISNUMBER($AD628),Header!$I$3,"")</f>
      </c>
      <c r="AN628" s="39">
        <f>IF(ISNUMBER($AD628),$AO628+$AP628,"")</f>
      </c>
      <c r="AO628" s="39">
        <f>IF(ISNUMBER($AD628),ROUND($AD628*Header!$K$3,2),"")</f>
      </c>
      <c r="AP628" s="39">
        <f>IF(ISNUMBER($AD628),ROUND($AD628*Header!$M$3,2),"")</f>
      </c>
      <c r="AQ628" s="38">
        <f>IF(ISNUMBER($AD628),ROUND($AD628,2)-$AO628-$AP628,"")</f>
      </c>
      <c r="AR628" s="39">
        <f>IF(ISNUMBER($AD628),IF(Header!$D$34="","?",$AD628*Header!$D$34),"")</f>
      </c>
      <c r="AS628" s="39">
        <f>IF(ISNUMBER($AB628),IF(Header!$D$34="","?",$AB628*Header!$D$34),"")</f>
      </c>
      <c r="AT628" s="42">
        <f>IF(AND(ISNUMBER($AB628),$M628&gt;0),$AB628/$M628*100,"")</f>
      </c>
      <c r="AU628" s="42">
        <f>IF(AND(ISNUMBER($AD628),$M628&gt;0),$AD628/$M628*100,"")</f>
      </c>
      <c r="AV628" s="40">
        <f>IF(AND(ISNUMBER($AB628),ISNUMBER($AD628),ABS($AB628)&gt;0),$AD628/$AB628,"")</f>
      </c>
      <c r="AW628" s="39">
        <f>IF(ISNUMBER($AD628),MAX(0,(1-0.55-Header!$O$3)*Header!$Q$3*$AQ628),"")</f>
      </c>
      <c r="AX628" s="43">
        <f>IF($A628="","",IF(TRIM(IF($A628="","Missing certificate ref. ","") &amp; IF($C628="","Missing effective date. ","") &amp; IF($D628="","Missing binding status. ","") &amp; IF($E628="","Missing movement type. ","") &amp; IF($I628="","Missing make. ","") &amp; IF($L628="","Missing vehicle class. ","") &amp; IF($M628="","Missing agreed value. ","") &amp; IF($N628="","Missing policy type. ","") &amp; IF($Q628="","Missing garaging state. ","") &amp; IF($R628="","Missing garaging ZIP. ","") &amp; IF($S628="","Missing cat zone. ","") &amp; IF($V628="","Missing valuation basis. ","") &amp; IF($W628="","Missing PD deductible. ","") &amp; IF($X628="","Missing liability limit. ","") &amp; IF($AB628="","Missing technical premium. ","") &amp; IF($AF628="","Missing surplus lines tax %. ",""))="","PASS","FAIL: "&amp;TRIM(IF($A628="","Missing certificate ref. ","") &amp; IF($C628="","Missing effective date. ","") &amp; IF($D628="","Missing binding status. ","") &amp; IF($E628="","Missing movement type. ","") &amp; IF($I628="","Missing make. ","") &amp; IF($L628="","Missing vehicle class. ","") &amp; IF($M628="","Missing agreed value. ","") &amp; IF($N628="","Missing policy type. ","") &amp; IF($Q628="","Missing garaging state. ","") &amp; IF($R628="","Missing garaging ZIP. ","") &amp; IF($S628="","Missing cat zone. ","") &amp; IF($V628="","Missing valuation basis. ","") &amp; IF($W628="","Missing PD deductible. ","") &amp; IF($X628="","Missing liability limit. ","") &amp; IF($AB628="","Missing technical premium. ","") &amp; IF($AF628="","Missing surplus lines tax %. ",""))))</f>
      </c>
      <c r="AY628" s="44">
        <f>IF($M628="","",IF(ISNUMBER($M628),IF($M628&gt;=Header!$C$18,"YES — refer","No"),""))</f>
      </c>
      <c r="AZ628" s="44">
        <f>IF($AD628="","",IF(ISNUMBER($AD628),IF($AD628&lt;Header!$C$20,"BELOW MIN PREMIUM","OK"),""))</f>
      </c>
      <c r="BA628" s="48" t="inlineStr">
        <is>
          <t xml:space="preserve">Yes</t>
        </is>
      </c>
      <c r="BB628" s="48" t="inlineStr">
        <is>
          <t xml:space="preserve">Yes</t>
        </is>
      </c>
      <c r="BC628" s="46" t="inlineStr">
        <is>
          <t xml:space="preserve">Synthetic demo data</t>
        </is>
      </c>
      <c r="BE628" s="45">
        <f>IF(OR($A628="",$L628="",$H628=""),"",IF(AND(LEFT($L628,2)="06",$H628&gt;1945),"FAIL - pre-war class, year "&amp;$H628,IF(AND(LEFT($L628,2)="07",OR($H628&lt;1946,$H628&gt;1972)),"FAIL - 1946-72 class, year "&amp;$H628,IF(AND(LEFT($L628,2)="08",OR($H628&lt;1973,$H628&gt;1999)),"FAIL - 1973-99 class, year "&amp;$H628,IF(AND(LEFT($L628,2)="09",OR($H628&lt;2000,$H628&gt;2010)),"FAIL - 2000-10 class, year "&amp;$H628,"OK")))))</f>
      </c>
      <c r="BF628" s="45">
        <f>IF($AD628="","",IF(ROUND($AO628+$AP628+$AQ628-$AD628,2)=0,"OK","FAIL - out by "&amp;TEXT($AO628+$AP628+$AQ628-$AD628,"$0.00")))</f>
      </c>
    </row>
    <row r="629" spans="1:58" ht="18.75" customHeight="1" x14ac:dyDescent="0.25">
      <c r="A629" s="30" t="inlineStr">
        <is>
          <t xml:space="preserve">CANON-202606-009258</t>
        </is>
      </c>
      <c r="B629" s="30" t="inlineStr">
        <is>
          <t xml:space="preserve">Thaddeus Vandermeer</t>
        </is>
      </c>
      <c r="C629" s="31">
        <v>46176</v>
      </c>
      <c r="D629" s="32" t="inlineStr">
        <is>
          <t xml:space="preserve">Bound - within authority</t>
        </is>
      </c>
      <c r="E629" s="32" t="inlineStr">
        <is>
          <t xml:space="preserve">New business</t>
        </is>
      </c>
      <c r="F629" s="30" t="inlineStr">
        <is>
          <t xml:space="preserve">B1234EXOTIC26</t>
        </is>
      </c>
      <c r="G629" s="33">
        <f>IF($A629="","",IF($C629="","",YEAR($C629)))</f>
      </c>
      <c r="H629" s="34">
        <v>1991</v>
      </c>
      <c r="I629" s="30" t="inlineStr">
        <is>
          <t xml:space="preserve">Mercedes-Benz</t>
        </is>
      </c>
      <c r="J629" s="30" t="inlineStr">
        <is>
          <t xml:space="preserve">AMG GT</t>
        </is>
      </c>
      <c r="K629" s="30" t="inlineStr">
        <is>
          <t xml:space="preserve">CVJ01CEWSTP7G90KR</t>
        </is>
      </c>
      <c r="L629" s="32" t="inlineStr">
        <is>
          <t xml:space="preserve">02 - Sports / GT</t>
        </is>
      </c>
      <c r="M629" s="35">
        <v>330000</v>
      </c>
      <c r="N629" s="32" t="inlineStr">
        <is>
          <t xml:space="preserve">Personal</t>
        </is>
      </c>
      <c r="O629" s="30" t="inlineStr">
        <is>
          <t xml:space="preserve">Personal - regular use</t>
        </is>
      </c>
      <c r="P629" s="30" t="inlineStr">
        <is>
          <t xml:space="preserve">Under 1,000</t>
        </is>
      </c>
      <c r="Q629" s="30" t="inlineStr">
        <is>
          <t xml:space="preserve">New York</t>
        </is>
      </c>
      <c r="R629" s="30" t="inlineStr">
        <is>
          <t xml:space="preserve">10022</t>
        </is>
      </c>
      <c r="S629" s="32" t="inlineStr">
        <is>
          <t xml:space="preserve">Tier 3 - Coastal wind (25-100 miles)</t>
        </is>
      </c>
      <c r="T629" s="36">
        <f>IF($A629="","",IF($S629="","",IFERROR(INDEX('[1]natural catastrophe'!$D$6:$D$17,MATCH($S629,'[1]natural catastrophe'!$B$6:$B$17,0)),"?")))</f>
      </c>
      <c r="U629" s="30" t="inlineStr">
        <is>
          <t xml:space="preserve">2% of agreed value, minimum $10,000</t>
        </is>
      </c>
      <c r="V629" s="32" t="inlineStr">
        <is>
          <t xml:space="preserve">Agreed Value</t>
        </is>
      </c>
      <c r="W629" s="30" t="inlineStr">
        <is>
          <t xml:space="preserve">$1,000</t>
        </is>
      </c>
      <c r="X629" s="32" t="inlineStr">
        <is>
          <t xml:space="preserve">$1,000,000 CSL</t>
        </is>
      </c>
      <c r="Y629" s="30"/>
      <c r="Z629" s="30"/>
      <c r="AA629" s="32" t="inlineStr">
        <is>
          <t xml:space="preserve">Surplus Lines</t>
        </is>
      </c>
      <c r="AB629" s="35">
        <v>4571.48</v>
      </c>
      <c r="AC629" s="37">
        <v>0</v>
      </c>
      <c r="AD629" s="38">
        <f>IF(ISNUMBER($AB629),$AB629*(1+N($AC629)),"")</f>
      </c>
      <c r="AE629" s="35">
        <v>350</v>
      </c>
      <c r="AF629" s="35">
        <v>0</v>
      </c>
      <c r="AG629" s="37"/>
      <c r="AH629" s="39">
        <f>IF(ISNUMBER($AD629),($AD629+$AE629+$AF629)*$AG629,"")</f>
      </c>
      <c r="AI629" s="35"/>
      <c r="AJ629" s="38">
        <f>IF(ISNUMBER($AD629),SUM($AD629:$AH629),"")</f>
      </c>
      <c r="AK629" s="40">
        <f>IF(AND(ISNUMBER($AB629),ISNUMBER($AD629)),IF($AB629&gt;0,$AD629/$AB629,""),"")</f>
      </c>
      <c r="AL629" s="32" t="inlineStr">
        <is>
          <t xml:space="preserve">At technical</t>
        </is>
      </c>
      <c r="AM629" s="41">
        <f>IF(ISNUMBER($AD629),Header!$I$3,"")</f>
      </c>
      <c r="AN629" s="39">
        <f>IF(ISNUMBER($AD629),$AO629+$AP629,"")</f>
      </c>
      <c r="AO629" s="39">
        <f>IF(ISNUMBER($AD629),ROUND($AD629*Header!$K$3,2),"")</f>
      </c>
      <c r="AP629" s="39">
        <f>IF(ISNUMBER($AD629),ROUND($AD629*Header!$M$3,2),"")</f>
      </c>
      <c r="AQ629" s="38">
        <f>IF(ISNUMBER($AD629),ROUND($AD629,2)-$AO629-$AP629,"")</f>
      </c>
      <c r="AR629" s="39">
        <f>IF(ISNUMBER($AD629),IF(Header!$D$34="","?",$AD629*Header!$D$34),"")</f>
      </c>
      <c r="AS629" s="39">
        <f>IF(ISNUMBER($AB629),IF(Header!$D$34="","?",$AB629*Header!$D$34),"")</f>
      </c>
      <c r="AT629" s="42">
        <f>IF(AND(ISNUMBER($AB629),$M629&gt;0),$AB629/$M629*100,"")</f>
      </c>
      <c r="AU629" s="42">
        <f>IF(AND(ISNUMBER($AD629),$M629&gt;0),$AD629/$M629*100,"")</f>
      </c>
      <c r="AV629" s="40">
        <f>IF(AND(ISNUMBER($AB629),ISNUMBER($AD629),ABS($AB629)&gt;0),$AD629/$AB629,"")</f>
      </c>
      <c r="AW629" s="39">
        <f>IF(ISNUMBER($AD629),MAX(0,(1-0.55-Header!$O$3)*Header!$Q$3*$AQ629),"")</f>
      </c>
      <c r="AX629" s="43">
        <f>IF($A629="","",IF(TRIM(IF($A629="","Missing certificate ref. ","") &amp; IF($C629="","Missing effective date. ","") &amp; IF($D629="","Missing binding status. ","") &amp; IF($E629="","Missing movement type. ","") &amp; IF($I629="","Missing make. ","") &amp; IF($L629="","Missing vehicle class. ","") &amp; IF($M629="","Missing agreed value. ","") &amp; IF($N629="","Missing policy type. ","") &amp; IF($Q629="","Missing garaging state. ","") &amp; IF($R629="","Missing garaging ZIP. ","") &amp; IF($S629="","Missing cat zone. ","") &amp; IF($V629="","Missing valuation basis. ","") &amp; IF($W629="","Missing PD deductible. ","") &amp; IF($X629="","Missing liability limit. ","") &amp; IF($AB629="","Missing technical premium. ","") &amp; IF($AF629="","Missing surplus lines tax %. ",""))="","PASS","FAIL: "&amp;TRIM(IF($A629="","Missing certificate ref. ","") &amp; IF($C629="","Missing effective date. ","") &amp; IF($D629="","Missing binding status. ","") &amp; IF($E629="","Missing movement type. ","") &amp; IF($I629="","Missing make. ","") &amp; IF($L629="","Missing vehicle class. ","") &amp; IF($M629="","Missing agreed value. ","") &amp; IF($N629="","Missing policy type. ","") &amp; IF($Q629="","Missing garaging state. ","") &amp; IF($R629="","Missing garaging ZIP. ","") &amp; IF($S629="","Missing cat zone. ","") &amp; IF($V629="","Missing valuation basis. ","") &amp; IF($W629="","Missing PD deductible. ","") &amp; IF($X629="","Missing liability limit. ","") &amp; IF($AB629="","Missing technical premium. ","") &amp; IF($AF629="","Missing surplus lines tax %. ",""))))</f>
      </c>
      <c r="AY629" s="44">
        <f>IF($M629="","",IF(ISNUMBER($M629),IF($M629&gt;=Header!$C$18,"YES — refer","No"),""))</f>
      </c>
      <c r="AZ629" s="44">
        <f>IF($AD629="","",IF(ISNUMBER($AD629),IF($AD629&lt;Header!$C$20,"BELOW MIN PREMIUM","OK"),""))</f>
      </c>
      <c r="BA629" s="32" t="inlineStr">
        <is>
          <t xml:space="preserve">Yes</t>
        </is>
      </c>
      <c r="BB629" s="32" t="inlineStr">
        <is>
          <t xml:space="preserve">Yes</t>
        </is>
      </c>
      <c r="BC629" s="30" t="inlineStr">
        <is>
          <t xml:space="preserve">Synthetic demo data</t>
        </is>
      </c>
      <c r="BE629" s="45">
        <f>IF(OR($A629="",$L629="",$H629=""),"",IF(AND(LEFT($L629,2)="06",$H629&gt;1945),"FAIL - pre-war class, year "&amp;$H629,IF(AND(LEFT($L629,2)="07",OR($H629&lt;1946,$H629&gt;1972)),"FAIL - 1946-72 class, year "&amp;$H629,IF(AND(LEFT($L629,2)="08",OR($H629&lt;1973,$H629&gt;1999)),"FAIL - 1973-99 class, year "&amp;$H629,IF(AND(LEFT($L629,2)="09",OR($H629&lt;2000,$H629&gt;2010)),"FAIL - 2000-10 class, year "&amp;$H629,"OK")))))</f>
      </c>
      <c r="BF629" s="45">
        <f>IF($AD629="","",IF(ROUND($AO629+$AP629+$AQ629-$AD629,2)=0,"OK","FAIL - out by "&amp;TEXT($AO629+$AP629+$AQ629-$AD629,"$0.00")))</f>
      </c>
    </row>
    <row r="630" spans="1:58" ht="18.75" customHeight="1" x14ac:dyDescent="0.25">
      <c r="A630" s="46" t="inlineStr">
        <is>
          <t xml:space="preserve">CANON-202606-009260</t>
        </is>
      </c>
      <c r="B630" s="46" t="inlineStr">
        <is>
          <t xml:space="preserve">Ramona Underwood</t>
        </is>
      </c>
      <c r="C630" s="47">
        <v>46188</v>
      </c>
      <c r="D630" s="48" t="inlineStr">
        <is>
          <t xml:space="preserve">Bound - within authority</t>
        </is>
      </c>
      <c r="E630" s="48" t="inlineStr">
        <is>
          <t xml:space="preserve">New business</t>
        </is>
      </c>
      <c r="F630" s="46" t="inlineStr">
        <is>
          <t xml:space="preserve">B1234EXOTIC26</t>
        </is>
      </c>
      <c r="G630" s="33">
        <f>IF($A630="","",IF($C630="","",YEAR($C630)))</f>
      </c>
      <c r="H630" s="49">
        <v>1955</v>
      </c>
      <c r="I630" s="46" t="inlineStr">
        <is>
          <t xml:space="preserve">Maserati</t>
        </is>
      </c>
      <c r="J630" s="46" t="inlineStr">
        <is>
          <t xml:space="preserve">GranTurismo</t>
        </is>
      </c>
      <c r="K630" s="46" t="inlineStr">
        <is>
          <t xml:space="preserve">AJK10TJDFVRLCYHGW</t>
        </is>
      </c>
      <c r="L630" s="48" t="inlineStr">
        <is>
          <t xml:space="preserve">02 - Sports / GT</t>
        </is>
      </c>
      <c r="M630" s="50">
        <v>630000</v>
      </c>
      <c r="N630" s="48" t="inlineStr">
        <is>
          <t xml:space="preserve">Personal</t>
        </is>
      </c>
      <c r="O630" s="46" t="inlineStr">
        <is>
          <t xml:space="preserve">Personal - regular use</t>
        </is>
      </c>
      <c r="P630" s="46" t="inlineStr">
        <is>
          <t xml:space="preserve">Under 1,000</t>
        </is>
      </c>
      <c r="Q630" s="46" t="inlineStr">
        <is>
          <t xml:space="preserve">Texas</t>
        </is>
      </c>
      <c r="R630" s="46" t="inlineStr">
        <is>
          <t xml:space="preserve">75201</t>
        </is>
      </c>
      <c r="S630" s="48" t="inlineStr">
        <is>
          <t xml:space="preserve">Tier 2 - Coastal wind (1-25 miles)</t>
        </is>
      </c>
      <c r="T630" s="36">
        <f>IF($A630="","",IF($S630="","",IFERROR(INDEX('[1]natural catastrophe'!$D$6:$D$17,MATCH($S630,'[1]natural catastrophe'!$B$6:$B$17,0)),"?")))</f>
      </c>
      <c r="U630" s="46" t="inlineStr">
        <is>
          <t xml:space="preserve">2% of agreed value, minimum $10,000</t>
        </is>
      </c>
      <c r="V630" s="48" t="inlineStr">
        <is>
          <t xml:space="preserve">Agreed Value</t>
        </is>
      </c>
      <c r="W630" s="46" t="inlineStr">
        <is>
          <t xml:space="preserve">$1,000</t>
        </is>
      </c>
      <c r="X630" s="48" t="inlineStr">
        <is>
          <t xml:space="preserve">$1,000,000 CSL</t>
        </is>
      </c>
      <c r="Y630" s="46"/>
      <c r="Z630" s="46"/>
      <c r="AA630" s="48" t="inlineStr">
        <is>
          <t xml:space="preserve">Surplus Lines</t>
        </is>
      </c>
      <c r="AB630" s="50">
        <v>6795.54</v>
      </c>
      <c r="AC630" s="51">
        <v>0</v>
      </c>
      <c r="AD630" s="38">
        <f>IF(ISNUMBER($AB630),$AB630*(1+N($AC630)),"")</f>
      </c>
      <c r="AE630" s="50">
        <v>350</v>
      </c>
      <c r="AF630" s="50">
        <v>0</v>
      </c>
      <c r="AG630" s="51"/>
      <c r="AH630" s="39">
        <f>IF(ISNUMBER($AD630),($AD630+$AE630+$AF630)*$AG630,"")</f>
      </c>
      <c r="AI630" s="50"/>
      <c r="AJ630" s="38">
        <f>IF(ISNUMBER($AD630),SUM($AD630:$AH630),"")</f>
      </c>
      <c r="AK630" s="40">
        <f>IF(AND(ISNUMBER($AB630),ISNUMBER($AD630)),IF($AB630&gt;0,$AD630/$AB630,""),"")</f>
      </c>
      <c r="AL630" s="48" t="inlineStr">
        <is>
          <t xml:space="preserve">At technical</t>
        </is>
      </c>
      <c r="AM630" s="41">
        <f>IF(ISNUMBER($AD630),Header!$I$3,"")</f>
      </c>
      <c r="AN630" s="39">
        <f>IF(ISNUMBER($AD630),$AO630+$AP630,"")</f>
      </c>
      <c r="AO630" s="39">
        <f>IF(ISNUMBER($AD630),ROUND($AD630*Header!$K$3,2),"")</f>
      </c>
      <c r="AP630" s="39">
        <f>IF(ISNUMBER($AD630),ROUND($AD630*Header!$M$3,2),"")</f>
      </c>
      <c r="AQ630" s="38">
        <f>IF(ISNUMBER($AD630),ROUND($AD630,2)-$AO630-$AP630,"")</f>
      </c>
      <c r="AR630" s="39">
        <f>IF(ISNUMBER($AD630),IF(Header!$D$34="","?",$AD630*Header!$D$34),"")</f>
      </c>
      <c r="AS630" s="39">
        <f>IF(ISNUMBER($AB630),IF(Header!$D$34="","?",$AB630*Header!$D$34),"")</f>
      </c>
      <c r="AT630" s="42">
        <f>IF(AND(ISNUMBER($AB630),$M630&gt;0),$AB630/$M630*100,"")</f>
      </c>
      <c r="AU630" s="42">
        <f>IF(AND(ISNUMBER($AD630),$M630&gt;0),$AD630/$M630*100,"")</f>
      </c>
      <c r="AV630" s="40">
        <f>IF(AND(ISNUMBER($AB630),ISNUMBER($AD630),ABS($AB630)&gt;0),$AD630/$AB630,"")</f>
      </c>
      <c r="AW630" s="39">
        <f>IF(ISNUMBER($AD630),MAX(0,(1-0.55-Header!$O$3)*Header!$Q$3*$AQ630),"")</f>
      </c>
      <c r="AX630" s="43">
        <f>IF($A630="","",IF(TRIM(IF($A630="","Missing certificate ref. ","") &amp; IF($C630="","Missing effective date. ","") &amp; IF($D630="","Missing binding status. ","") &amp; IF($E630="","Missing movement type. ","") &amp; IF($I630="","Missing make. ","") &amp; IF($L630="","Missing vehicle class. ","") &amp; IF($M630="","Missing agreed value. ","") &amp; IF($N630="","Missing policy type. ","") &amp; IF($Q630="","Missing garaging state. ","") &amp; IF($R630="","Missing garaging ZIP. ","") &amp; IF($S630="","Missing cat zone. ","") &amp; IF($V630="","Missing valuation basis. ","") &amp; IF($W630="","Missing PD deductible. ","") &amp; IF($X630="","Missing liability limit. ","") &amp; IF($AB630="","Missing technical premium. ","") &amp; IF($AF630="","Missing surplus lines tax %. ",""))="","PASS","FAIL: "&amp;TRIM(IF($A630="","Missing certificate ref. ","") &amp; IF($C630="","Missing effective date. ","") &amp; IF($D630="","Missing binding status. ","") &amp; IF($E630="","Missing movement type. ","") &amp; IF($I630="","Missing make. ","") &amp; IF($L630="","Missing vehicle class. ","") &amp; IF($M630="","Missing agreed value. ","") &amp; IF($N630="","Missing policy type. ","") &amp; IF($Q630="","Missing garaging state. ","") &amp; IF($R630="","Missing garaging ZIP. ","") &amp; IF($S630="","Missing cat zone. ","") &amp; IF($V630="","Missing valuation basis. ","") &amp; IF($W630="","Missing PD deductible. ","") &amp; IF($X630="","Missing liability limit. ","") &amp; IF($AB630="","Missing technical premium. ","") &amp; IF($AF630="","Missing surplus lines tax %. ",""))))</f>
      </c>
      <c r="AY630" s="44">
        <f>IF($M630="","",IF(ISNUMBER($M630),IF($M630&gt;=Header!$C$18,"YES — refer","No"),""))</f>
      </c>
      <c r="AZ630" s="44">
        <f>IF($AD630="","",IF(ISNUMBER($AD630),IF($AD630&lt;Header!$C$20,"BELOW MIN PREMIUM","OK"),""))</f>
      </c>
      <c r="BA630" s="48" t="inlineStr">
        <is>
          <t xml:space="preserve">Yes</t>
        </is>
      </c>
      <c r="BB630" s="48" t="inlineStr">
        <is>
          <t xml:space="preserve">Yes</t>
        </is>
      </c>
      <c r="BC630" s="46" t="inlineStr">
        <is>
          <t xml:space="preserve">Synthetic demo data</t>
        </is>
      </c>
      <c r="BE630" s="45">
        <f>IF(OR($A630="",$L630="",$H630=""),"",IF(AND(LEFT($L630,2)="06",$H630&gt;1945),"FAIL - pre-war class, year "&amp;$H630,IF(AND(LEFT($L630,2)="07",OR($H630&lt;1946,$H630&gt;1972)),"FAIL - 1946-72 class, year "&amp;$H630,IF(AND(LEFT($L630,2)="08",OR($H630&lt;1973,$H630&gt;1999)),"FAIL - 1973-99 class, year "&amp;$H630,IF(AND(LEFT($L630,2)="09",OR($H630&lt;2000,$H630&gt;2010)),"FAIL - 2000-10 class, year "&amp;$H630,"OK")))))</f>
      </c>
      <c r="BF630" s="45">
        <f>IF($AD630="","",IF(ROUND($AO630+$AP630+$AQ630-$AD630,2)=0,"OK","FAIL - out by "&amp;TEXT($AO630+$AP630+$AQ630-$AD630,"$0.00")))</f>
      </c>
    </row>
    <row r="631" spans="1:58" ht="18.75" customHeight="1" x14ac:dyDescent="0.25">
      <c r="A631" s="30" t="inlineStr">
        <is>
          <t xml:space="preserve">CANON-202606-009262</t>
        </is>
      </c>
      <c r="B631" s="30" t="inlineStr">
        <is>
          <t xml:space="preserve">Aurelio Blackwood</t>
        </is>
      </c>
      <c r="C631" s="31">
        <v>46186</v>
      </c>
      <c r="D631" s="32" t="inlineStr">
        <is>
          <t xml:space="preserve">Bound - within authority</t>
        </is>
      </c>
      <c r="E631" s="32" t="inlineStr">
        <is>
          <t xml:space="preserve">New business</t>
        </is>
      </c>
      <c r="F631" s="30" t="inlineStr">
        <is>
          <t xml:space="preserve">B1234EXOTIC26</t>
        </is>
      </c>
      <c r="G631" s="33">
        <f>IF($A631="","",IF($C631="","",YEAR($C631)))</f>
      </c>
      <c r="H631" s="34">
        <v>1974</v>
      </c>
      <c r="I631" s="30" t="inlineStr">
        <is>
          <t xml:space="preserve">Maserati</t>
        </is>
      </c>
      <c r="J631" s="30" t="inlineStr">
        <is>
          <t xml:space="preserve">GranTurismo</t>
        </is>
      </c>
      <c r="K631" s="30" t="inlineStr">
        <is>
          <t xml:space="preserve">B8LLYLS1UB0D66DLL</t>
        </is>
      </c>
      <c r="L631" s="32" t="inlineStr">
        <is>
          <t xml:space="preserve">02 - Sports / GT</t>
        </is>
      </c>
      <c r="M631" s="35">
        <v>610000</v>
      </c>
      <c r="N631" s="32" t="inlineStr">
        <is>
          <t xml:space="preserve">Personal</t>
        </is>
      </c>
      <c r="O631" s="30" t="inlineStr">
        <is>
          <t xml:space="preserve">Personal - regular use</t>
        </is>
      </c>
      <c r="P631" s="30" t="inlineStr">
        <is>
          <t xml:space="preserve">Under 1,000</t>
        </is>
      </c>
      <c r="Q631" s="30" t="inlineStr">
        <is>
          <t xml:space="preserve">North Carolina</t>
        </is>
      </c>
      <c r="R631" s="30" t="inlineStr">
        <is>
          <t xml:space="preserve">28202</t>
        </is>
      </c>
      <c r="S631" s="32" t="inlineStr">
        <is>
          <t xml:space="preserve">Tier 2 - Coastal wind (1-25 miles)</t>
        </is>
      </c>
      <c r="T631" s="36">
        <f>IF($A631="","",IF($S631="","",IFERROR(INDEX('[1]natural catastrophe'!$D$6:$D$17,MATCH($S631,'[1]natural catastrophe'!$B$6:$B$17,0)),"?")))</f>
      </c>
      <c r="U631" s="30" t="inlineStr">
        <is>
          <t xml:space="preserve">2% of agreed value, minimum $10,000</t>
        </is>
      </c>
      <c r="V631" s="32" t="inlineStr">
        <is>
          <t xml:space="preserve">Agreed Value</t>
        </is>
      </c>
      <c r="W631" s="30" t="inlineStr">
        <is>
          <t xml:space="preserve">$1,000</t>
        </is>
      </c>
      <c r="X631" s="32" t="inlineStr">
        <is>
          <t xml:space="preserve">$1,000,000 CSL</t>
        </is>
      </c>
      <c r="Y631" s="30"/>
      <c r="Z631" s="30"/>
      <c r="AA631" s="32" t="inlineStr">
        <is>
          <t xml:space="preserve">Surplus Lines</t>
        </is>
      </c>
      <c r="AB631" s="35">
        <v>6579.8</v>
      </c>
      <c r="AC631" s="37">
        <v>0</v>
      </c>
      <c r="AD631" s="38">
        <f>IF(ISNUMBER($AB631),$AB631*(1+N($AC631)),"")</f>
      </c>
      <c r="AE631" s="35">
        <v>350</v>
      </c>
      <c r="AF631" s="35">
        <v>0</v>
      </c>
      <c r="AG631" s="37"/>
      <c r="AH631" s="39">
        <f>IF(ISNUMBER($AD631),($AD631+$AE631+$AF631)*$AG631,"")</f>
      </c>
      <c r="AI631" s="35"/>
      <c r="AJ631" s="38">
        <f>IF(ISNUMBER($AD631),SUM($AD631:$AH631),"")</f>
      </c>
      <c r="AK631" s="40">
        <f>IF(AND(ISNUMBER($AB631),ISNUMBER($AD631)),IF($AB631&gt;0,$AD631/$AB631,""),"")</f>
      </c>
      <c r="AL631" s="32" t="inlineStr">
        <is>
          <t xml:space="preserve">At technical</t>
        </is>
      </c>
      <c r="AM631" s="41">
        <f>IF(ISNUMBER($AD631),Header!$I$3,"")</f>
      </c>
      <c r="AN631" s="39">
        <f>IF(ISNUMBER($AD631),$AO631+$AP631,"")</f>
      </c>
      <c r="AO631" s="39">
        <f>IF(ISNUMBER($AD631),ROUND($AD631*Header!$K$3,2),"")</f>
      </c>
      <c r="AP631" s="39">
        <f>IF(ISNUMBER($AD631),ROUND($AD631*Header!$M$3,2),"")</f>
      </c>
      <c r="AQ631" s="38">
        <f>IF(ISNUMBER($AD631),ROUND($AD631,2)-$AO631-$AP631,"")</f>
      </c>
      <c r="AR631" s="39">
        <f>IF(ISNUMBER($AD631),IF(Header!$D$34="","?",$AD631*Header!$D$34),"")</f>
      </c>
      <c r="AS631" s="39">
        <f>IF(ISNUMBER($AB631),IF(Header!$D$34="","?",$AB631*Header!$D$34),"")</f>
      </c>
      <c r="AT631" s="42">
        <f>IF(AND(ISNUMBER($AB631),$M631&gt;0),$AB631/$M631*100,"")</f>
      </c>
      <c r="AU631" s="42">
        <f>IF(AND(ISNUMBER($AD631),$M631&gt;0),$AD631/$M631*100,"")</f>
      </c>
      <c r="AV631" s="40">
        <f>IF(AND(ISNUMBER($AB631),ISNUMBER($AD631),ABS($AB631)&gt;0),$AD631/$AB631,"")</f>
      </c>
      <c r="AW631" s="39">
        <f>IF(ISNUMBER($AD631),MAX(0,(1-0.55-Header!$O$3)*Header!$Q$3*$AQ631),"")</f>
      </c>
      <c r="AX631" s="43">
        <f>IF($A631="","",IF(TRIM(IF($A631="","Missing certificate ref. ","") &amp; IF($C631="","Missing effective date. ","") &amp; IF($D631="","Missing binding status. ","") &amp; IF($E631="","Missing movement type. ","") &amp; IF($I631="","Missing make. ","") &amp; IF($L631="","Missing vehicle class. ","") &amp; IF($M631="","Missing agreed value. ","") &amp; IF($N631="","Missing policy type. ","") &amp; IF($Q631="","Missing garaging state. ","") &amp; IF($R631="","Missing garaging ZIP. ","") &amp; IF($S631="","Missing cat zone. ","") &amp; IF($V631="","Missing valuation basis. ","") &amp; IF($W631="","Missing PD deductible. ","") &amp; IF($X631="","Missing liability limit. ","") &amp; IF($AB631="","Missing technical premium. ","") &amp; IF($AF631="","Missing surplus lines tax %. ",""))="","PASS","FAIL: "&amp;TRIM(IF($A631="","Missing certificate ref. ","") &amp; IF($C631="","Missing effective date. ","") &amp; IF($D631="","Missing binding status. ","") &amp; IF($E631="","Missing movement type. ","") &amp; IF($I631="","Missing make. ","") &amp; IF($L631="","Missing vehicle class. ","") &amp; IF($M631="","Missing agreed value. ","") &amp; IF($N631="","Missing policy type. ","") &amp; IF($Q631="","Missing garaging state. ","") &amp; IF($R631="","Missing garaging ZIP. ","") &amp; IF($S631="","Missing cat zone. ","") &amp; IF($V631="","Missing valuation basis. ","") &amp; IF($W631="","Missing PD deductible. ","") &amp; IF($X631="","Missing liability limit. ","") &amp; IF($AB631="","Missing technical premium. ","") &amp; IF($AF631="","Missing surplus lines tax %. ",""))))</f>
      </c>
      <c r="AY631" s="44">
        <f>IF($M631="","",IF(ISNUMBER($M631),IF($M631&gt;=Header!$C$18,"YES — refer","No"),""))</f>
      </c>
      <c r="AZ631" s="44">
        <f>IF($AD631="","",IF(ISNUMBER($AD631),IF($AD631&lt;Header!$C$20,"BELOW MIN PREMIUM","OK"),""))</f>
      </c>
      <c r="BA631" s="32" t="inlineStr">
        <is>
          <t xml:space="preserve">Yes</t>
        </is>
      </c>
      <c r="BB631" s="32" t="inlineStr">
        <is>
          <t xml:space="preserve">Yes</t>
        </is>
      </c>
      <c r="BC631" s="30" t="inlineStr">
        <is>
          <t xml:space="preserve">Synthetic demo data</t>
        </is>
      </c>
      <c r="BE631" s="45">
        <f>IF(OR($A631="",$L631="",$H631=""),"",IF(AND(LEFT($L631,2)="06",$H631&gt;1945),"FAIL - pre-war class, year "&amp;$H631,IF(AND(LEFT($L631,2)="07",OR($H631&lt;1946,$H631&gt;1972)),"FAIL - 1946-72 class, year "&amp;$H631,IF(AND(LEFT($L631,2)="08",OR($H631&lt;1973,$H631&gt;1999)),"FAIL - 1973-99 class, year "&amp;$H631,IF(AND(LEFT($L631,2)="09",OR($H631&lt;2000,$H631&gt;2010)),"FAIL - 2000-10 class, year "&amp;$H631,"OK")))))</f>
      </c>
      <c r="BF631" s="45">
        <f>IF($AD631="","",IF(ROUND($AO631+$AP631+$AQ631-$AD631,2)=0,"OK","FAIL - out by "&amp;TEXT($AO631+$AP631+$AQ631-$AD631,"$0.00")))</f>
      </c>
    </row>
    <row r="632" spans="1:58" ht="18.75" customHeight="1" x14ac:dyDescent="0.25">
      <c r="A632" s="46" t="inlineStr">
        <is>
          <t xml:space="preserve">CANON-202606-009263</t>
        </is>
      </c>
      <c r="B632" s="46" t="inlineStr">
        <is>
          <t xml:space="preserve">Anouk Larsson</t>
        </is>
      </c>
      <c r="C632" s="47">
        <v>46182</v>
      </c>
      <c r="D632" s="48" t="inlineStr">
        <is>
          <t xml:space="preserve">Bound - within authority</t>
        </is>
      </c>
      <c r="E632" s="48" t="inlineStr">
        <is>
          <t xml:space="preserve">New business</t>
        </is>
      </c>
      <c r="F632" s="46" t="inlineStr">
        <is>
          <t xml:space="preserve">B1234EXOTIC26</t>
        </is>
      </c>
      <c r="G632" s="33">
        <f>IF($A632="","",IF($C632="","",YEAR($C632)))</f>
      </c>
      <c r="H632" s="49">
        <v>1989</v>
      </c>
      <c r="I632" s="46" t="inlineStr">
        <is>
          <t xml:space="preserve">BMW</t>
        </is>
      </c>
      <c r="J632" s="46" t="inlineStr">
        <is>
          <t xml:space="preserve">M8 Competition</t>
        </is>
      </c>
      <c r="K632" s="46" t="inlineStr">
        <is>
          <t xml:space="preserve">XJC36KU6E52ADS6X6</t>
        </is>
      </c>
      <c r="L632" s="48" t="inlineStr">
        <is>
          <t xml:space="preserve">02 - Sports / GT</t>
        </is>
      </c>
      <c r="M632" s="50">
        <v>250000</v>
      </c>
      <c r="N632" s="48" t="inlineStr">
        <is>
          <t xml:space="preserve">Personal</t>
        </is>
      </c>
      <c r="O632" s="46" t="inlineStr">
        <is>
          <t xml:space="preserve">Personal - regular use</t>
        </is>
      </c>
      <c r="P632" s="46" t="inlineStr">
        <is>
          <t xml:space="preserve">Under 1,000</t>
        </is>
      </c>
      <c r="Q632" s="46" t="inlineStr">
        <is>
          <t xml:space="preserve">North Carolina</t>
        </is>
      </c>
      <c r="R632" s="46" t="inlineStr">
        <is>
          <t xml:space="preserve">28202</t>
        </is>
      </c>
      <c r="S632" s="48" t="inlineStr">
        <is>
          <t xml:space="preserve">Tier 2 - Coastal wind (1-25 miles)</t>
        </is>
      </c>
      <c r="T632" s="36">
        <f>IF($A632="","",IF($S632="","",IFERROR(INDEX('[1]natural catastrophe'!$D$6:$D$17,MATCH($S632,'[1]natural catastrophe'!$B$6:$B$17,0)),"?")))</f>
      </c>
      <c r="U632" s="46" t="inlineStr">
        <is>
          <t xml:space="preserve">2% of agreed value, minimum $10,000</t>
        </is>
      </c>
      <c r="V632" s="48" t="inlineStr">
        <is>
          <t xml:space="preserve">Agreed Value</t>
        </is>
      </c>
      <c r="W632" s="46" t="inlineStr">
        <is>
          <t xml:space="preserve">$1,000</t>
        </is>
      </c>
      <c r="X632" s="48" t="inlineStr">
        <is>
          <t xml:space="preserve">$1,000,000 CSL</t>
        </is>
      </c>
      <c r="Y632" s="46"/>
      <c r="Z632" s="46"/>
      <c r="AA632" s="48" t="inlineStr">
        <is>
          <t xml:space="preserve">Surplus Lines</t>
        </is>
      </c>
      <c r="AB632" s="50">
        <v>3111.51</v>
      </c>
      <c r="AC632" s="51">
        <v>0</v>
      </c>
      <c r="AD632" s="38">
        <f>IF(ISNUMBER($AB632),$AB632*(1+N($AC632)),"")</f>
      </c>
      <c r="AE632" s="50">
        <v>350</v>
      </c>
      <c r="AF632" s="50">
        <v>0</v>
      </c>
      <c r="AG632" s="51"/>
      <c r="AH632" s="39">
        <f>IF(ISNUMBER($AD632),($AD632+$AE632+$AF632)*$AG632,"")</f>
      </c>
      <c r="AI632" s="50"/>
      <c r="AJ632" s="38">
        <f>IF(ISNUMBER($AD632),SUM($AD632:$AH632),"")</f>
      </c>
      <c r="AK632" s="40">
        <f>IF(AND(ISNUMBER($AB632),ISNUMBER($AD632)),IF($AB632&gt;0,$AD632/$AB632,""),"")</f>
      </c>
      <c r="AL632" s="48" t="inlineStr">
        <is>
          <t xml:space="preserve">At technical</t>
        </is>
      </c>
      <c r="AM632" s="41">
        <f>IF(ISNUMBER($AD632),Header!$I$3,"")</f>
      </c>
      <c r="AN632" s="39">
        <f>IF(ISNUMBER($AD632),$AO632+$AP632,"")</f>
      </c>
      <c r="AO632" s="39">
        <f>IF(ISNUMBER($AD632),ROUND($AD632*Header!$K$3,2),"")</f>
      </c>
      <c r="AP632" s="39">
        <f>IF(ISNUMBER($AD632),ROUND($AD632*Header!$M$3,2),"")</f>
      </c>
      <c r="AQ632" s="38">
        <f>IF(ISNUMBER($AD632),ROUND($AD632,2)-$AO632-$AP632,"")</f>
      </c>
      <c r="AR632" s="39">
        <f>IF(ISNUMBER($AD632),IF(Header!$D$34="","?",$AD632*Header!$D$34),"")</f>
      </c>
      <c r="AS632" s="39">
        <f>IF(ISNUMBER($AB632),IF(Header!$D$34="","?",$AB632*Header!$D$34),"")</f>
      </c>
      <c r="AT632" s="42">
        <f>IF(AND(ISNUMBER($AB632),$M632&gt;0),$AB632/$M632*100,"")</f>
      </c>
      <c r="AU632" s="42">
        <f>IF(AND(ISNUMBER($AD632),$M632&gt;0),$AD632/$M632*100,"")</f>
      </c>
      <c r="AV632" s="40">
        <f>IF(AND(ISNUMBER($AB632),ISNUMBER($AD632),ABS($AB632)&gt;0),$AD632/$AB632,"")</f>
      </c>
      <c r="AW632" s="39">
        <f>IF(ISNUMBER($AD632),MAX(0,(1-0.55-Header!$O$3)*Header!$Q$3*$AQ632),"")</f>
      </c>
      <c r="AX632" s="43">
        <f>IF($A632="","",IF(TRIM(IF($A632="","Missing certificate ref. ","") &amp; IF($C632="","Missing effective date. ","") &amp; IF($D632="","Missing binding status. ","") &amp; IF($E632="","Missing movement type. ","") &amp; IF($I632="","Missing make. ","") &amp; IF($L632="","Missing vehicle class. ","") &amp; IF($M632="","Missing agreed value. ","") &amp; IF($N632="","Missing policy type. ","") &amp; IF($Q632="","Missing garaging state. ","") &amp; IF($R632="","Missing garaging ZIP. ","") &amp; IF($S632="","Missing cat zone. ","") &amp; IF($V632="","Missing valuation basis. ","") &amp; IF($W632="","Missing PD deductible. ","") &amp; IF($X632="","Missing liability limit. ","") &amp; IF($AB632="","Missing technical premium. ","") &amp; IF($AF632="","Missing surplus lines tax %. ",""))="","PASS","FAIL: "&amp;TRIM(IF($A632="","Missing certificate ref. ","") &amp; IF($C632="","Missing effective date. ","") &amp; IF($D632="","Missing binding status. ","") &amp; IF($E632="","Missing movement type. ","") &amp; IF($I632="","Missing make. ","") &amp; IF($L632="","Missing vehicle class. ","") &amp; IF($M632="","Missing agreed value. ","") &amp; IF($N632="","Missing policy type. ","") &amp; IF($Q632="","Missing garaging state. ","") &amp; IF($R632="","Missing garaging ZIP. ","") &amp; IF($S632="","Missing cat zone. ","") &amp; IF($V632="","Missing valuation basis. ","") &amp; IF($W632="","Missing PD deductible. ","") &amp; IF($X632="","Missing liability limit. ","") &amp; IF($AB632="","Missing technical premium. ","") &amp; IF($AF632="","Missing surplus lines tax %. ",""))))</f>
      </c>
      <c r="AY632" s="44">
        <f>IF($M632="","",IF(ISNUMBER($M632),IF($M632&gt;=Header!$C$18,"YES — refer","No"),""))</f>
      </c>
      <c r="AZ632" s="44">
        <f>IF($AD632="","",IF(ISNUMBER($AD632),IF($AD632&lt;Header!$C$20,"BELOW MIN PREMIUM","OK"),""))</f>
      </c>
      <c r="BA632" s="48" t="inlineStr">
        <is>
          <t xml:space="preserve">Yes</t>
        </is>
      </c>
      <c r="BB632" s="48" t="inlineStr">
        <is>
          <t xml:space="preserve">Yes</t>
        </is>
      </c>
      <c r="BC632" s="46" t="inlineStr">
        <is>
          <t xml:space="preserve">Synthetic demo data</t>
        </is>
      </c>
      <c r="BE632" s="45">
        <f>IF(OR($A632="",$L632="",$H632=""),"",IF(AND(LEFT($L632,2)="06",$H632&gt;1945),"FAIL - pre-war class, year "&amp;$H632,IF(AND(LEFT($L632,2)="07",OR($H632&lt;1946,$H632&gt;1972)),"FAIL - 1946-72 class, year "&amp;$H632,IF(AND(LEFT($L632,2)="08",OR($H632&lt;1973,$H632&gt;1999)),"FAIL - 1973-99 class, year "&amp;$H632,IF(AND(LEFT($L632,2)="09",OR($H632&lt;2000,$H632&gt;2010)),"FAIL - 2000-10 class, year "&amp;$H632,"OK")))))</f>
      </c>
      <c r="BF632" s="45">
        <f>IF($AD632="","",IF(ROUND($AO632+$AP632+$AQ632-$AD632,2)=0,"OK","FAIL - out by "&amp;TEXT($AO632+$AP632+$AQ632-$AD632,"$0.00")))</f>
      </c>
    </row>
    <row r="633" spans="1:58" ht="18.75" customHeight="1" x14ac:dyDescent="0.25">
      <c r="A633" s="30" t="inlineStr">
        <is>
          <t xml:space="preserve">CANON-202606-009264</t>
        </is>
      </c>
      <c r="B633" s="30" t="inlineStr">
        <is>
          <t xml:space="preserve">Anouk Blackwood</t>
        </is>
      </c>
      <c r="C633" s="31">
        <v>46196</v>
      </c>
      <c r="D633" s="32" t="inlineStr">
        <is>
          <t xml:space="preserve">Bound - within authority</t>
        </is>
      </c>
      <c r="E633" s="32" t="inlineStr">
        <is>
          <t xml:space="preserve">New business</t>
        </is>
      </c>
      <c r="F633" s="30" t="inlineStr">
        <is>
          <t xml:space="preserve">B1234EXOTIC26</t>
        </is>
      </c>
      <c r="G633" s="33">
        <f>IF($A633="","",IF($C633="","",YEAR($C633)))</f>
      </c>
      <c r="H633" s="34">
        <v>2001</v>
      </c>
      <c r="I633" s="30" t="inlineStr">
        <is>
          <t xml:space="preserve">Maserati</t>
        </is>
      </c>
      <c r="J633" s="30" t="inlineStr">
        <is>
          <t xml:space="preserve">GranTurismo</t>
        </is>
      </c>
      <c r="K633" s="30" t="inlineStr">
        <is>
          <t xml:space="preserve">ZHWXHNX7XTZR63HDX</t>
        </is>
      </c>
      <c r="L633" s="32" t="inlineStr">
        <is>
          <t xml:space="preserve">02 - Sports / GT</t>
        </is>
      </c>
      <c r="M633" s="35">
        <v>755000</v>
      </c>
      <c r="N633" s="32" t="inlineStr">
        <is>
          <t xml:space="preserve">Personal</t>
        </is>
      </c>
      <c r="O633" s="30" t="inlineStr">
        <is>
          <t xml:space="preserve">Personal - regular use</t>
        </is>
      </c>
      <c r="P633" s="30" t="inlineStr">
        <is>
          <t xml:space="preserve">1,000 - 2,500</t>
        </is>
      </c>
      <c r="Q633" s="30" t="inlineStr">
        <is>
          <t xml:space="preserve">Pennsylvania</t>
        </is>
      </c>
      <c r="R633" s="30" t="inlineStr">
        <is>
          <t xml:space="preserve">19103</t>
        </is>
      </c>
      <c r="S633" s="32" t="inlineStr">
        <is>
          <t xml:space="preserve">Low hazard - inland benign</t>
        </is>
      </c>
      <c r="T633" s="36">
        <f>IF($A633="","",IF($S633="","",IFERROR(INDEX('[1]natural catastrophe'!$D$6:$D$17,MATCH($S633,'[1]natural catastrophe'!$B$6:$B$17,0)),"?")))</f>
      </c>
      <c r="U633" s="30" t="inlineStr">
        <is>
          <t xml:space="preserve">$5,000</t>
        </is>
      </c>
      <c r="V633" s="32" t="inlineStr">
        <is>
          <t xml:space="preserve">Agreed Value</t>
        </is>
      </c>
      <c r="W633" s="30" t="inlineStr">
        <is>
          <t xml:space="preserve">$1,000</t>
        </is>
      </c>
      <c r="X633" s="32" t="inlineStr">
        <is>
          <t xml:space="preserve">$1,000,000 CSL</t>
        </is>
      </c>
      <c r="Y633" s="30"/>
      <c r="Z633" s="30"/>
      <c r="AA633" s="32" t="inlineStr">
        <is>
          <t xml:space="preserve">Surplus Lines</t>
        </is>
      </c>
      <c r="AB633" s="35">
        <v>7081.61</v>
      </c>
      <c r="AC633" s="37">
        <v>0</v>
      </c>
      <c r="AD633" s="38">
        <f>IF(ISNUMBER($AB633),$AB633*(1+N($AC633)),"")</f>
      </c>
      <c r="AE633" s="35">
        <v>350</v>
      </c>
      <c r="AF633" s="35">
        <v>0</v>
      </c>
      <c r="AG633" s="37"/>
      <c r="AH633" s="39">
        <f>IF(ISNUMBER($AD633),($AD633+$AE633+$AF633)*$AG633,"")</f>
      </c>
      <c r="AI633" s="35"/>
      <c r="AJ633" s="38">
        <f>IF(ISNUMBER($AD633),SUM($AD633:$AH633),"")</f>
      </c>
      <c r="AK633" s="40">
        <f>IF(AND(ISNUMBER($AB633),ISNUMBER($AD633)),IF($AB633&gt;0,$AD633/$AB633,""),"")</f>
      </c>
      <c r="AL633" s="32" t="inlineStr">
        <is>
          <t xml:space="preserve">At technical</t>
        </is>
      </c>
      <c r="AM633" s="41">
        <f>IF(ISNUMBER($AD633),Header!$I$3,"")</f>
      </c>
      <c r="AN633" s="39">
        <f>IF(ISNUMBER($AD633),$AO633+$AP633,"")</f>
      </c>
      <c r="AO633" s="39">
        <f>IF(ISNUMBER($AD633),ROUND($AD633*Header!$K$3,2),"")</f>
      </c>
      <c r="AP633" s="39">
        <f>IF(ISNUMBER($AD633),ROUND($AD633*Header!$M$3,2),"")</f>
      </c>
      <c r="AQ633" s="38">
        <f>IF(ISNUMBER($AD633),ROUND($AD633,2)-$AO633-$AP633,"")</f>
      </c>
      <c r="AR633" s="39">
        <f>IF(ISNUMBER($AD633),IF(Header!$D$34="","?",$AD633*Header!$D$34),"")</f>
      </c>
      <c r="AS633" s="39">
        <f>IF(ISNUMBER($AB633),IF(Header!$D$34="","?",$AB633*Header!$D$34),"")</f>
      </c>
      <c r="AT633" s="42">
        <f>IF(AND(ISNUMBER($AB633),$M633&gt;0),$AB633/$M633*100,"")</f>
      </c>
      <c r="AU633" s="42">
        <f>IF(AND(ISNUMBER($AD633),$M633&gt;0),$AD633/$M633*100,"")</f>
      </c>
      <c r="AV633" s="40">
        <f>IF(AND(ISNUMBER($AB633),ISNUMBER($AD633),ABS($AB633)&gt;0),$AD633/$AB633,"")</f>
      </c>
      <c r="AW633" s="39">
        <f>IF(ISNUMBER($AD633),MAX(0,(1-0.55-Header!$O$3)*Header!$Q$3*$AQ633),"")</f>
      </c>
      <c r="AX633" s="43">
        <f>IF($A633="","",IF(TRIM(IF($A633="","Missing certificate ref. ","") &amp; IF($C633="","Missing effective date. ","") &amp; IF($D633="","Missing binding status. ","") &amp; IF($E633="","Missing movement type. ","") &amp; IF($I633="","Missing make. ","") &amp; IF($L633="","Missing vehicle class. ","") &amp; IF($M633="","Missing agreed value. ","") &amp; IF($N633="","Missing policy type. ","") &amp; IF($Q633="","Missing garaging state. ","") &amp; IF($R633="","Missing garaging ZIP. ","") &amp; IF($S633="","Missing cat zone. ","") &amp; IF($V633="","Missing valuation basis. ","") &amp; IF($W633="","Missing PD deductible. ","") &amp; IF($X633="","Missing liability limit. ","") &amp; IF($AB633="","Missing technical premium. ","") &amp; IF($AF633="","Missing surplus lines tax %. ",""))="","PASS","FAIL: "&amp;TRIM(IF($A633="","Missing certificate ref. ","") &amp; IF($C633="","Missing effective date. ","") &amp; IF($D633="","Missing binding status. ","") &amp; IF($E633="","Missing movement type. ","") &amp; IF($I633="","Missing make. ","") &amp; IF($L633="","Missing vehicle class. ","") &amp; IF($M633="","Missing agreed value. ","") &amp; IF($N633="","Missing policy type. ","") &amp; IF($Q633="","Missing garaging state. ","") &amp; IF($R633="","Missing garaging ZIP. ","") &amp; IF($S633="","Missing cat zone. ","") &amp; IF($V633="","Missing valuation basis. ","") &amp; IF($W633="","Missing PD deductible. ","") &amp; IF($X633="","Missing liability limit. ","") &amp; IF($AB633="","Missing technical premium. ","") &amp; IF($AF633="","Missing surplus lines tax %. ",""))))</f>
      </c>
      <c r="AY633" s="44">
        <f>IF($M633="","",IF(ISNUMBER($M633),IF($M633&gt;=Header!$C$18,"YES — refer","No"),""))</f>
      </c>
      <c r="AZ633" s="44">
        <f>IF($AD633="","",IF(ISNUMBER($AD633),IF($AD633&lt;Header!$C$20,"BELOW MIN PREMIUM","OK"),""))</f>
      </c>
      <c r="BA633" s="32" t="inlineStr">
        <is>
          <t xml:space="preserve">Yes</t>
        </is>
      </c>
      <c r="BB633" s="32" t="inlineStr">
        <is>
          <t xml:space="preserve">Yes</t>
        </is>
      </c>
      <c r="BC633" s="30" t="inlineStr">
        <is>
          <t xml:space="preserve">Synthetic demo data</t>
        </is>
      </c>
      <c r="BE633" s="45">
        <f>IF(OR($A633="",$L633="",$H633=""),"",IF(AND(LEFT($L633,2)="06",$H633&gt;1945),"FAIL - pre-war class, year "&amp;$H633,IF(AND(LEFT($L633,2)="07",OR($H633&lt;1946,$H633&gt;1972)),"FAIL - 1946-72 class, year "&amp;$H633,IF(AND(LEFT($L633,2)="08",OR($H633&lt;1973,$H633&gt;1999)),"FAIL - 1973-99 class, year "&amp;$H633,IF(AND(LEFT($L633,2)="09",OR($H633&lt;2000,$H633&gt;2010)),"FAIL - 2000-10 class, year "&amp;$H633,"OK")))))</f>
      </c>
      <c r="BF633" s="45">
        <f>IF($AD633="","",IF(ROUND($AO633+$AP633+$AQ633-$AD633,2)=0,"OK","FAIL - out by "&amp;TEXT($AO633+$AP633+$AQ633-$AD633,"$0.00")))</f>
      </c>
    </row>
    <row r="634" spans="1:58" ht="18.75" customHeight="1" x14ac:dyDescent="0.25">
      <c r="A634" s="46" t="inlineStr">
        <is>
          <t xml:space="preserve">CANON-202606-009266</t>
        </is>
      </c>
      <c r="B634" s="46" t="inlineStr">
        <is>
          <t xml:space="preserve">Ramona Larsson</t>
        </is>
      </c>
      <c r="C634" s="47">
        <v>46187</v>
      </c>
      <c r="D634" s="48" t="inlineStr">
        <is>
          <t xml:space="preserve">Bound - within authority</t>
        </is>
      </c>
      <c r="E634" s="48" t="inlineStr">
        <is>
          <t xml:space="preserve">New business</t>
        </is>
      </c>
      <c r="F634" s="46" t="inlineStr">
        <is>
          <t xml:space="preserve">B1234EXOTIC26</t>
        </is>
      </c>
      <c r="G634" s="33">
        <f>IF($A634="","",IF($C634="","",YEAR($C634)))</f>
      </c>
      <c r="H634" s="49">
        <v>2002</v>
      </c>
      <c r="I634" s="46" t="inlineStr">
        <is>
          <t xml:space="preserve">Bentley</t>
        </is>
      </c>
      <c r="J634" s="46" t="inlineStr">
        <is>
          <t xml:space="preserve">Continental GT</t>
        </is>
      </c>
      <c r="K634" s="46" t="inlineStr">
        <is>
          <t xml:space="preserve">L3KWGYEGXC0S61P4T</t>
        </is>
      </c>
      <c r="L634" s="48" t="inlineStr">
        <is>
          <t xml:space="preserve">02 - Sports / GT</t>
        </is>
      </c>
      <c r="M634" s="50">
        <v>230000</v>
      </c>
      <c r="N634" s="48" t="inlineStr">
        <is>
          <t xml:space="preserve">Personal</t>
        </is>
      </c>
      <c r="O634" s="46" t="inlineStr">
        <is>
          <t xml:space="preserve">Personal - regular use</t>
        </is>
      </c>
      <c r="P634" s="46" t="inlineStr">
        <is>
          <t xml:space="preserve">2,500 - 5,000</t>
        </is>
      </c>
      <c r="Q634" s="46" t="inlineStr">
        <is>
          <t xml:space="preserve">North Dakota</t>
        </is>
      </c>
      <c r="R634" s="46" t="inlineStr">
        <is>
          <t xml:space="preserve">58501</t>
        </is>
      </c>
      <c r="S634" s="48" t="inlineStr">
        <is>
          <t xml:space="preserve">Severe convective - hail alley (high)</t>
        </is>
      </c>
      <c r="T634" s="36">
        <f>IF($A634="","",IF($S634="","",IFERROR(INDEX('[1]natural catastrophe'!$D$6:$D$17,MATCH($S634,'[1]natural catastrophe'!$B$6:$B$17,0)),"?")))</f>
      </c>
      <c r="U634" s="46" t="inlineStr">
        <is>
          <t xml:space="preserve">$5,000</t>
        </is>
      </c>
      <c r="V634" s="48" t="inlineStr">
        <is>
          <t xml:space="preserve">Agreed Value</t>
        </is>
      </c>
      <c r="W634" s="46" t="inlineStr">
        <is>
          <t xml:space="preserve">$1,000</t>
        </is>
      </c>
      <c r="X634" s="48" t="inlineStr">
        <is>
          <t xml:space="preserve">$1,000,000 CSL</t>
        </is>
      </c>
      <c r="Y634" s="46"/>
      <c r="Z634" s="46"/>
      <c r="AA634" s="48" t="inlineStr">
        <is>
          <t xml:space="preserve">Surplus Lines</t>
        </is>
      </c>
      <c r="AB634" s="50">
        <v>3114.5</v>
      </c>
      <c r="AC634" s="51">
        <v>0</v>
      </c>
      <c r="AD634" s="38">
        <f>IF(ISNUMBER($AB634),$AB634*(1+N($AC634)),"")</f>
      </c>
      <c r="AE634" s="50">
        <v>350</v>
      </c>
      <c r="AF634" s="50">
        <v>0</v>
      </c>
      <c r="AG634" s="51"/>
      <c r="AH634" s="39">
        <f>IF(ISNUMBER($AD634),($AD634+$AE634+$AF634)*$AG634,"")</f>
      </c>
      <c r="AI634" s="50"/>
      <c r="AJ634" s="38">
        <f>IF(ISNUMBER($AD634),SUM($AD634:$AH634),"")</f>
      </c>
      <c r="AK634" s="40">
        <f>IF(AND(ISNUMBER($AB634),ISNUMBER($AD634)),IF($AB634&gt;0,$AD634/$AB634,""),"")</f>
      </c>
      <c r="AL634" s="48" t="inlineStr">
        <is>
          <t xml:space="preserve">At technical</t>
        </is>
      </c>
      <c r="AM634" s="41">
        <f>IF(ISNUMBER($AD634),Header!$I$3,"")</f>
      </c>
      <c r="AN634" s="39">
        <f>IF(ISNUMBER($AD634),$AO634+$AP634,"")</f>
      </c>
      <c r="AO634" s="39">
        <f>IF(ISNUMBER($AD634),ROUND($AD634*Header!$K$3,2),"")</f>
      </c>
      <c r="AP634" s="39">
        <f>IF(ISNUMBER($AD634),ROUND($AD634*Header!$M$3,2),"")</f>
      </c>
      <c r="AQ634" s="38">
        <f>IF(ISNUMBER($AD634),ROUND($AD634,2)-$AO634-$AP634,"")</f>
      </c>
      <c r="AR634" s="39">
        <f>IF(ISNUMBER($AD634),IF(Header!$D$34="","?",$AD634*Header!$D$34),"")</f>
      </c>
      <c r="AS634" s="39">
        <f>IF(ISNUMBER($AB634),IF(Header!$D$34="","?",$AB634*Header!$D$34),"")</f>
      </c>
      <c r="AT634" s="42">
        <f>IF(AND(ISNUMBER($AB634),$M634&gt;0),$AB634/$M634*100,"")</f>
      </c>
      <c r="AU634" s="42">
        <f>IF(AND(ISNUMBER($AD634),$M634&gt;0),$AD634/$M634*100,"")</f>
      </c>
      <c r="AV634" s="40">
        <f>IF(AND(ISNUMBER($AB634),ISNUMBER($AD634),ABS($AB634)&gt;0),$AD634/$AB634,"")</f>
      </c>
      <c r="AW634" s="39">
        <f>IF(ISNUMBER($AD634),MAX(0,(1-0.55-Header!$O$3)*Header!$Q$3*$AQ634),"")</f>
      </c>
      <c r="AX634" s="43">
        <f>IF($A634="","",IF(TRIM(IF($A634="","Missing certificate ref. ","") &amp; IF($C634="","Missing effective date. ","") &amp; IF($D634="","Missing binding status. ","") &amp; IF($E634="","Missing movement type. ","") &amp; IF($I634="","Missing make. ","") &amp; IF($L634="","Missing vehicle class. ","") &amp; IF($M634="","Missing agreed value. ","") &amp; IF($N634="","Missing policy type. ","") &amp; IF($Q634="","Missing garaging state. ","") &amp; IF($R634="","Missing garaging ZIP. ","") &amp; IF($S634="","Missing cat zone. ","") &amp; IF($V634="","Missing valuation basis. ","") &amp; IF($W634="","Missing PD deductible. ","") &amp; IF($X634="","Missing liability limit. ","") &amp; IF($AB634="","Missing technical premium. ","") &amp; IF($AF634="","Missing surplus lines tax %. ",""))="","PASS","FAIL: "&amp;TRIM(IF($A634="","Missing certificate ref. ","") &amp; IF($C634="","Missing effective date. ","") &amp; IF($D634="","Missing binding status. ","") &amp; IF($E634="","Missing movement type. ","") &amp; IF($I634="","Missing make. ","") &amp; IF($L634="","Missing vehicle class. ","") &amp; IF($M634="","Missing agreed value. ","") &amp; IF($N634="","Missing policy type. ","") &amp; IF($Q634="","Missing garaging state. ","") &amp; IF($R634="","Missing garaging ZIP. ","") &amp; IF($S634="","Missing cat zone. ","") &amp; IF($V634="","Missing valuation basis. ","") &amp; IF($W634="","Missing PD deductible. ","") &amp; IF($X634="","Missing liability limit. ","") &amp; IF($AB634="","Missing technical premium. ","") &amp; IF($AF634="","Missing surplus lines tax %. ",""))))</f>
      </c>
      <c r="AY634" s="44">
        <f>IF($M634="","",IF(ISNUMBER($M634),IF($M634&gt;=Header!$C$18,"YES — refer","No"),""))</f>
      </c>
      <c r="AZ634" s="44">
        <f>IF($AD634="","",IF(ISNUMBER($AD634),IF($AD634&lt;Header!$C$20,"BELOW MIN PREMIUM","OK"),""))</f>
      </c>
      <c r="BA634" s="48" t="inlineStr">
        <is>
          <t xml:space="preserve">Yes</t>
        </is>
      </c>
      <c r="BB634" s="48" t="inlineStr">
        <is>
          <t xml:space="preserve">Yes</t>
        </is>
      </c>
      <c r="BC634" s="46" t="inlineStr">
        <is>
          <t xml:space="preserve">Synthetic demo data</t>
        </is>
      </c>
      <c r="BE634" s="45">
        <f>IF(OR($A634="",$L634="",$H634=""),"",IF(AND(LEFT($L634,2)="06",$H634&gt;1945),"FAIL - pre-war class, year "&amp;$H634,IF(AND(LEFT($L634,2)="07",OR($H634&lt;1946,$H634&gt;1972)),"FAIL - 1946-72 class, year "&amp;$H634,IF(AND(LEFT($L634,2)="08",OR($H634&lt;1973,$H634&gt;1999)),"FAIL - 1973-99 class, year "&amp;$H634,IF(AND(LEFT($L634,2)="09",OR($H634&lt;2000,$H634&gt;2010)),"FAIL - 2000-10 class, year "&amp;$H634,"OK")))))</f>
      </c>
      <c r="BF634" s="45">
        <f>IF($AD634="","",IF(ROUND($AO634+$AP634+$AQ634-$AD634,2)=0,"OK","FAIL - out by "&amp;TEXT($AO634+$AP634+$AQ634-$AD634,"$0.00")))</f>
      </c>
    </row>
    <row r="635" spans="1:58" ht="18.75" customHeight="1" x14ac:dyDescent="0.25">
      <c r="A635" s="30" t="inlineStr">
        <is>
          <t xml:space="preserve">CANON-202606-009267</t>
        </is>
      </c>
      <c r="B635" s="30" t="inlineStr">
        <is>
          <t xml:space="preserve">Priya Farkas</t>
        </is>
      </c>
      <c r="C635" s="31">
        <v>46182</v>
      </c>
      <c r="D635" s="32" t="inlineStr">
        <is>
          <t xml:space="preserve">Bound - within authority</t>
        </is>
      </c>
      <c r="E635" s="32" t="inlineStr">
        <is>
          <t xml:space="preserve">New business</t>
        </is>
      </c>
      <c r="F635" s="30" t="inlineStr">
        <is>
          <t xml:space="preserve">B1234EXOTIC26</t>
        </is>
      </c>
      <c r="G635" s="33">
        <f>IF($A635="","",IF($C635="","",YEAR($C635)))</f>
      </c>
      <c r="H635" s="34">
        <v>1960</v>
      </c>
      <c r="I635" s="30" t="inlineStr">
        <is>
          <t xml:space="preserve">Mercedes-Benz</t>
        </is>
      </c>
      <c r="J635" s="30" t="inlineStr">
        <is>
          <t xml:space="preserve">AMG GT</t>
        </is>
      </c>
      <c r="K635" s="30" t="inlineStr">
        <is>
          <t xml:space="preserve">GWHEEZM5B9A1BPU2U</t>
        </is>
      </c>
      <c r="L635" s="32" t="inlineStr">
        <is>
          <t xml:space="preserve">02 - Sports / GT</t>
        </is>
      </c>
      <c r="M635" s="35">
        <v>575000</v>
      </c>
      <c r="N635" s="32" t="inlineStr">
        <is>
          <t xml:space="preserve">Personal</t>
        </is>
      </c>
      <c r="O635" s="30" t="inlineStr">
        <is>
          <t xml:space="preserve">Personal - regular use</t>
        </is>
      </c>
      <c r="P635" s="30" t="inlineStr">
        <is>
          <t xml:space="preserve">2,500 - 5,000</t>
        </is>
      </c>
      <c r="Q635" s="30" t="inlineStr">
        <is>
          <t xml:space="preserve">Rhode Island</t>
        </is>
      </c>
      <c r="R635" s="30" t="inlineStr">
        <is>
          <t xml:space="preserve">02903</t>
        </is>
      </c>
      <c r="S635" s="32" t="inlineStr">
        <is>
          <t xml:space="preserve">Tier 3 - Coastal wind (25-100 miles)</t>
        </is>
      </c>
      <c r="T635" s="36">
        <f>IF($A635="","",IF($S635="","",IFERROR(INDEX('[1]natural catastrophe'!$D$6:$D$17,MATCH($S635,'[1]natural catastrophe'!$B$6:$B$17,0)),"?")))</f>
      </c>
      <c r="U635" s="30" t="inlineStr">
        <is>
          <t xml:space="preserve">2% of agreed value, minimum $10,000</t>
        </is>
      </c>
      <c r="V635" s="32" t="inlineStr">
        <is>
          <t xml:space="preserve">Agreed Value</t>
        </is>
      </c>
      <c r="W635" s="30" t="inlineStr">
        <is>
          <t xml:space="preserve">$1,000</t>
        </is>
      </c>
      <c r="X635" s="32" t="inlineStr">
        <is>
          <t xml:space="preserve">$1,000,000 CSL</t>
        </is>
      </c>
      <c r="Y635" s="30"/>
      <c r="Z635" s="30"/>
      <c r="AA635" s="32" t="inlineStr">
        <is>
          <t xml:space="preserve">Surplus Lines</t>
        </is>
      </c>
      <c r="AB635" s="35">
        <v>7388.79</v>
      </c>
      <c r="AC635" s="37">
        <v>0</v>
      </c>
      <c r="AD635" s="38">
        <f>IF(ISNUMBER($AB635),$AB635*(1+N($AC635)),"")</f>
      </c>
      <c r="AE635" s="35">
        <v>350</v>
      </c>
      <c r="AF635" s="35">
        <v>0</v>
      </c>
      <c r="AG635" s="37"/>
      <c r="AH635" s="39">
        <f>IF(ISNUMBER($AD635),($AD635+$AE635+$AF635)*$AG635,"")</f>
      </c>
      <c r="AI635" s="35"/>
      <c r="AJ635" s="38">
        <f>IF(ISNUMBER($AD635),SUM($AD635:$AH635),"")</f>
      </c>
      <c r="AK635" s="40">
        <f>IF(AND(ISNUMBER($AB635),ISNUMBER($AD635)),IF($AB635&gt;0,$AD635/$AB635,""),"")</f>
      </c>
      <c r="AL635" s="32" t="inlineStr">
        <is>
          <t xml:space="preserve">At technical</t>
        </is>
      </c>
      <c r="AM635" s="41">
        <f>IF(ISNUMBER($AD635),Header!$I$3,"")</f>
      </c>
      <c r="AN635" s="39">
        <f>IF(ISNUMBER($AD635),$AO635+$AP635,"")</f>
      </c>
      <c r="AO635" s="39">
        <f>IF(ISNUMBER($AD635),ROUND($AD635*Header!$K$3,2),"")</f>
      </c>
      <c r="AP635" s="39">
        <f>IF(ISNUMBER($AD635),ROUND($AD635*Header!$M$3,2),"")</f>
      </c>
      <c r="AQ635" s="38">
        <f>IF(ISNUMBER($AD635),ROUND($AD635,2)-$AO635-$AP635,"")</f>
      </c>
      <c r="AR635" s="39">
        <f>IF(ISNUMBER($AD635),IF(Header!$D$34="","?",$AD635*Header!$D$34),"")</f>
      </c>
      <c r="AS635" s="39">
        <f>IF(ISNUMBER($AB635),IF(Header!$D$34="","?",$AB635*Header!$D$34),"")</f>
      </c>
      <c r="AT635" s="42">
        <f>IF(AND(ISNUMBER($AB635),$M635&gt;0),$AB635/$M635*100,"")</f>
      </c>
      <c r="AU635" s="42">
        <f>IF(AND(ISNUMBER($AD635),$M635&gt;0),$AD635/$M635*100,"")</f>
      </c>
      <c r="AV635" s="40">
        <f>IF(AND(ISNUMBER($AB635),ISNUMBER($AD635),ABS($AB635)&gt;0),$AD635/$AB635,"")</f>
      </c>
      <c r="AW635" s="39">
        <f>IF(ISNUMBER($AD635),MAX(0,(1-0.55-Header!$O$3)*Header!$Q$3*$AQ635),"")</f>
      </c>
      <c r="AX635" s="43">
        <f>IF($A635="","",IF(TRIM(IF($A635="","Missing certificate ref. ","") &amp; IF($C635="","Missing effective date. ","") &amp; IF($D635="","Missing binding status. ","") &amp; IF($E635="","Missing movement type. ","") &amp; IF($I635="","Missing make. ","") &amp; IF($L635="","Missing vehicle class. ","") &amp; IF($M635="","Missing agreed value. ","") &amp; IF($N635="","Missing policy type. ","") &amp; IF($Q635="","Missing garaging state. ","") &amp; IF($R635="","Missing garaging ZIP. ","") &amp; IF($S635="","Missing cat zone. ","") &amp; IF($V635="","Missing valuation basis. ","") &amp; IF($W635="","Missing PD deductible. ","") &amp; IF($X635="","Missing liability limit. ","") &amp; IF($AB635="","Missing technical premium. ","") &amp; IF($AF635="","Missing surplus lines tax %. ",""))="","PASS","FAIL: "&amp;TRIM(IF($A635="","Missing certificate ref. ","") &amp; IF($C635="","Missing effective date. ","") &amp; IF($D635="","Missing binding status. ","") &amp; IF($E635="","Missing movement type. ","") &amp; IF($I635="","Missing make. ","") &amp; IF($L635="","Missing vehicle class. ","") &amp; IF($M635="","Missing agreed value. ","") &amp; IF($N635="","Missing policy type. ","") &amp; IF($Q635="","Missing garaging state. ","") &amp; IF($R635="","Missing garaging ZIP. ","") &amp; IF($S635="","Missing cat zone. ","") &amp; IF($V635="","Missing valuation basis. ","") &amp; IF($W635="","Missing PD deductible. ","") &amp; IF($X635="","Missing liability limit. ","") &amp; IF($AB635="","Missing technical premium. ","") &amp; IF($AF635="","Missing surplus lines tax %. ",""))))</f>
      </c>
      <c r="AY635" s="44">
        <f>IF($M635="","",IF(ISNUMBER($M635),IF($M635&gt;=Header!$C$18,"YES — refer","No"),""))</f>
      </c>
      <c r="AZ635" s="44">
        <f>IF($AD635="","",IF(ISNUMBER($AD635),IF($AD635&lt;Header!$C$20,"BELOW MIN PREMIUM","OK"),""))</f>
      </c>
      <c r="BA635" s="32" t="inlineStr">
        <is>
          <t xml:space="preserve">Yes</t>
        </is>
      </c>
      <c r="BB635" s="32" t="inlineStr">
        <is>
          <t xml:space="preserve">Yes</t>
        </is>
      </c>
      <c r="BC635" s="30" t="inlineStr">
        <is>
          <t xml:space="preserve">Synthetic demo data</t>
        </is>
      </c>
      <c r="BE635" s="45">
        <f>IF(OR($A635="",$L635="",$H635=""),"",IF(AND(LEFT($L635,2)="06",$H635&gt;1945),"FAIL - pre-war class, year "&amp;$H635,IF(AND(LEFT($L635,2)="07",OR($H635&lt;1946,$H635&gt;1972)),"FAIL - 1946-72 class, year "&amp;$H635,IF(AND(LEFT($L635,2)="08",OR($H635&lt;1973,$H635&gt;1999)),"FAIL - 1973-99 class, year "&amp;$H635,IF(AND(LEFT($L635,2)="09",OR($H635&lt;2000,$H635&gt;2010)),"FAIL - 2000-10 class, year "&amp;$H635,"OK")))))</f>
      </c>
      <c r="BF635" s="45">
        <f>IF($AD635="","",IF(ROUND($AO635+$AP635+$AQ635-$AD635,2)=0,"OK","FAIL - out by "&amp;TEXT($AO635+$AP635+$AQ635-$AD635,"$0.00")))</f>
      </c>
    </row>
    <row r="636" spans="1:58" ht="18.75" customHeight="1" x14ac:dyDescent="0.25">
      <c r="A636" s="46" t="inlineStr">
        <is>
          <t xml:space="preserve">CANON-202606-009270</t>
        </is>
      </c>
      <c r="B636" s="46" t="inlineStr">
        <is>
          <t xml:space="preserve">Mireille Fairweather</t>
        </is>
      </c>
      <c r="C636" s="47">
        <v>46195</v>
      </c>
      <c r="D636" s="48" t="inlineStr">
        <is>
          <t xml:space="preserve">Bound - within authority</t>
        </is>
      </c>
      <c r="E636" s="48" t="inlineStr">
        <is>
          <t xml:space="preserve">New business</t>
        </is>
      </c>
      <c r="F636" s="46" t="inlineStr">
        <is>
          <t xml:space="preserve">B1234EXOTIC26</t>
        </is>
      </c>
      <c r="G636" s="33">
        <f>IF($A636="","",IF($C636="","",YEAR($C636)))</f>
      </c>
      <c r="H636" s="49">
        <v>1981</v>
      </c>
      <c r="I636" s="46" t="inlineStr">
        <is>
          <t xml:space="preserve">BMW</t>
        </is>
      </c>
      <c r="J636" s="46" t="inlineStr">
        <is>
          <t xml:space="preserve">M8 Competition</t>
        </is>
      </c>
      <c r="K636" s="46" t="inlineStr">
        <is>
          <t xml:space="preserve">UJUGGG3BBMZCHG5YM</t>
        </is>
      </c>
      <c r="L636" s="48" t="inlineStr">
        <is>
          <t xml:space="preserve">02 - Sports / GT</t>
        </is>
      </c>
      <c r="M636" s="50">
        <v>235000</v>
      </c>
      <c r="N636" s="48" t="inlineStr">
        <is>
          <t xml:space="preserve">Personal</t>
        </is>
      </c>
      <c r="O636" s="46" t="inlineStr">
        <is>
          <t xml:space="preserve">Personal - regular use</t>
        </is>
      </c>
      <c r="P636" s="46" t="inlineStr">
        <is>
          <t xml:space="preserve">1,000 - 2,500</t>
        </is>
      </c>
      <c r="Q636" s="46" t="inlineStr">
        <is>
          <t xml:space="preserve">Michigan</t>
        </is>
      </c>
      <c r="R636" s="46" t="inlineStr">
        <is>
          <t xml:space="preserve">48226</t>
        </is>
      </c>
      <c r="S636" s="48" t="inlineStr">
        <is>
          <t xml:space="preserve">Severe convective - hail / tornado (moderate)</t>
        </is>
      </c>
      <c r="T636" s="36">
        <f>IF($A636="","",IF($S636="","",IFERROR(INDEX('[1]natural catastrophe'!$D$6:$D$17,MATCH($S636,'[1]natural catastrophe'!$B$6:$B$17,0)),"?")))</f>
      </c>
      <c r="U636" s="46" t="inlineStr">
        <is>
          <t xml:space="preserve">$5,000</t>
        </is>
      </c>
      <c r="V636" s="48" t="inlineStr">
        <is>
          <t xml:space="preserve">Agreed Value</t>
        </is>
      </c>
      <c r="W636" s="46" t="inlineStr">
        <is>
          <t xml:space="preserve">$1,000</t>
        </is>
      </c>
      <c r="X636" s="48" t="inlineStr">
        <is>
          <t xml:space="preserve">$1,000,000 CSL</t>
        </is>
      </c>
      <c r="Y636" s="46"/>
      <c r="Z636" s="46"/>
      <c r="AA636" s="48" t="inlineStr">
        <is>
          <t xml:space="preserve">Surplus Lines</t>
        </is>
      </c>
      <c r="AB636" s="50">
        <v>4835.7</v>
      </c>
      <c r="AC636" s="51">
        <v>0</v>
      </c>
      <c r="AD636" s="38">
        <f>IF(ISNUMBER($AB636),$AB636*(1+N($AC636)),"")</f>
      </c>
      <c r="AE636" s="50">
        <v>350</v>
      </c>
      <c r="AF636" s="50">
        <v>0</v>
      </c>
      <c r="AG636" s="51"/>
      <c r="AH636" s="39">
        <f>IF(ISNUMBER($AD636),($AD636+$AE636+$AF636)*$AG636,"")</f>
      </c>
      <c r="AI636" s="50"/>
      <c r="AJ636" s="38">
        <f>IF(ISNUMBER($AD636),SUM($AD636:$AH636),"")</f>
      </c>
      <c r="AK636" s="40">
        <f>IF(AND(ISNUMBER($AB636),ISNUMBER($AD636)),IF($AB636&gt;0,$AD636/$AB636,""),"")</f>
      </c>
      <c r="AL636" s="48" t="inlineStr">
        <is>
          <t xml:space="preserve">At technical</t>
        </is>
      </c>
      <c r="AM636" s="41">
        <f>IF(ISNUMBER($AD636),Header!$I$3,"")</f>
      </c>
      <c r="AN636" s="39">
        <f>IF(ISNUMBER($AD636),$AO636+$AP636,"")</f>
      </c>
      <c r="AO636" s="39">
        <f>IF(ISNUMBER($AD636),ROUND($AD636*Header!$K$3,2),"")</f>
      </c>
      <c r="AP636" s="39">
        <f>IF(ISNUMBER($AD636),ROUND($AD636*Header!$M$3,2),"")</f>
      </c>
      <c r="AQ636" s="38">
        <f>IF(ISNUMBER($AD636),ROUND($AD636,2)-$AO636-$AP636,"")</f>
      </c>
      <c r="AR636" s="39">
        <f>IF(ISNUMBER($AD636),IF(Header!$D$34="","?",$AD636*Header!$D$34),"")</f>
      </c>
      <c r="AS636" s="39">
        <f>IF(ISNUMBER($AB636),IF(Header!$D$34="","?",$AB636*Header!$D$34),"")</f>
      </c>
      <c r="AT636" s="42">
        <f>IF(AND(ISNUMBER($AB636),$M636&gt;0),$AB636/$M636*100,"")</f>
      </c>
      <c r="AU636" s="42">
        <f>IF(AND(ISNUMBER($AD636),$M636&gt;0),$AD636/$M636*100,"")</f>
      </c>
      <c r="AV636" s="40">
        <f>IF(AND(ISNUMBER($AB636),ISNUMBER($AD636),ABS($AB636)&gt;0),$AD636/$AB636,"")</f>
      </c>
      <c r="AW636" s="39">
        <f>IF(ISNUMBER($AD636),MAX(0,(1-0.55-Header!$O$3)*Header!$Q$3*$AQ636),"")</f>
      </c>
      <c r="AX636" s="43">
        <f>IF($A636="","",IF(TRIM(IF($A636="","Missing certificate ref. ","") &amp; IF($C636="","Missing effective date. ","") &amp; IF($D636="","Missing binding status. ","") &amp; IF($E636="","Missing movement type. ","") &amp; IF($I636="","Missing make. ","") &amp; IF($L636="","Missing vehicle class. ","") &amp; IF($M636="","Missing agreed value. ","") &amp; IF($N636="","Missing policy type. ","") &amp; IF($Q636="","Missing garaging state. ","") &amp; IF($R636="","Missing garaging ZIP. ","") &amp; IF($S636="","Missing cat zone. ","") &amp; IF($V636="","Missing valuation basis. ","") &amp; IF($W636="","Missing PD deductible. ","") &amp; IF($X636="","Missing liability limit. ","") &amp; IF($AB636="","Missing technical premium. ","") &amp; IF($AF636="","Missing surplus lines tax %. ",""))="","PASS","FAIL: "&amp;TRIM(IF($A636="","Missing certificate ref. ","") &amp; IF($C636="","Missing effective date. ","") &amp; IF($D636="","Missing binding status. ","") &amp; IF($E636="","Missing movement type. ","") &amp; IF($I636="","Missing make. ","") &amp; IF($L636="","Missing vehicle class. ","") &amp; IF($M636="","Missing agreed value. ","") &amp; IF($N636="","Missing policy type. ","") &amp; IF($Q636="","Missing garaging state. ","") &amp; IF($R636="","Missing garaging ZIP. ","") &amp; IF($S636="","Missing cat zone. ","") &amp; IF($V636="","Missing valuation basis. ","") &amp; IF($W636="","Missing PD deductible. ","") &amp; IF($X636="","Missing liability limit. ","") &amp; IF($AB636="","Missing technical premium. ","") &amp; IF($AF636="","Missing surplus lines tax %. ",""))))</f>
      </c>
      <c r="AY636" s="44">
        <f>IF($M636="","",IF(ISNUMBER($M636),IF($M636&gt;=Header!$C$18,"YES — refer","No"),""))</f>
      </c>
      <c r="AZ636" s="44">
        <f>IF($AD636="","",IF(ISNUMBER($AD636),IF($AD636&lt;Header!$C$20,"BELOW MIN PREMIUM","OK"),""))</f>
      </c>
      <c r="BA636" s="48" t="inlineStr">
        <is>
          <t xml:space="preserve">Yes</t>
        </is>
      </c>
      <c r="BB636" s="48" t="inlineStr">
        <is>
          <t xml:space="preserve">Yes</t>
        </is>
      </c>
      <c r="BC636" s="46" t="inlineStr">
        <is>
          <t xml:space="preserve">Synthetic demo data</t>
        </is>
      </c>
      <c r="BE636" s="45">
        <f>IF(OR($A636="",$L636="",$H636=""),"",IF(AND(LEFT($L636,2)="06",$H636&gt;1945),"FAIL - pre-war class, year "&amp;$H636,IF(AND(LEFT($L636,2)="07",OR($H636&lt;1946,$H636&gt;1972)),"FAIL - 1946-72 class, year "&amp;$H636,IF(AND(LEFT($L636,2)="08",OR($H636&lt;1973,$H636&gt;1999)),"FAIL - 1973-99 class, year "&amp;$H636,IF(AND(LEFT($L636,2)="09",OR($H636&lt;2000,$H636&gt;2010)),"FAIL - 2000-10 class, year "&amp;$H636,"OK")))))</f>
      </c>
      <c r="BF636" s="45">
        <f>IF($AD636="","",IF(ROUND($AO636+$AP636+$AQ636-$AD636,2)=0,"OK","FAIL - out by "&amp;TEXT($AO636+$AP636+$AQ636-$AD636,"$0.00")))</f>
      </c>
    </row>
    <row r="637" spans="1:58" ht="18.75" customHeight="1" x14ac:dyDescent="0.25">
      <c r="A637" s="30" t="inlineStr">
        <is>
          <t xml:space="preserve">CANON-202606-009271</t>
        </is>
      </c>
      <c r="B637" s="30" t="inlineStr">
        <is>
          <t xml:space="preserve">Desmond Underwood</t>
        </is>
      </c>
      <c r="C637" s="31">
        <v>46179</v>
      </c>
      <c r="D637" s="32" t="inlineStr">
        <is>
          <t xml:space="preserve">Bound - within authority</t>
        </is>
      </c>
      <c r="E637" s="32" t="inlineStr">
        <is>
          <t xml:space="preserve">New business</t>
        </is>
      </c>
      <c r="F637" s="30" t="inlineStr">
        <is>
          <t xml:space="preserve">B1234EXOTIC26</t>
        </is>
      </c>
      <c r="G637" s="33">
        <f>IF($A637="","",IF($C637="","",YEAR($C637)))</f>
      </c>
      <c r="H637" s="34">
        <v>1964</v>
      </c>
      <c r="I637" s="30" t="inlineStr">
        <is>
          <t xml:space="preserve">Porsche</t>
        </is>
      </c>
      <c r="J637" s="30" t="inlineStr">
        <is>
          <t xml:space="preserve">911 Turbo S</t>
        </is>
      </c>
      <c r="K637" s="30" t="inlineStr">
        <is>
          <t xml:space="preserve">APY6Z34NFFXF1A0C8</t>
        </is>
      </c>
      <c r="L637" s="32" t="inlineStr">
        <is>
          <t xml:space="preserve">02 - Sports / GT</t>
        </is>
      </c>
      <c r="M637" s="35">
        <v>880000</v>
      </c>
      <c r="N637" s="32" t="inlineStr">
        <is>
          <t xml:space="preserve">Personal</t>
        </is>
      </c>
      <c r="O637" s="30" t="inlineStr">
        <is>
          <t xml:space="preserve">Personal - regular use</t>
        </is>
      </c>
      <c r="P637" s="30" t="inlineStr">
        <is>
          <t xml:space="preserve">2,500 - 5,000</t>
        </is>
      </c>
      <c r="Q637" s="30" t="inlineStr">
        <is>
          <t xml:space="preserve">Hawaii</t>
        </is>
      </c>
      <c r="R637" s="30" t="inlineStr">
        <is>
          <t xml:space="preserve">96813</t>
        </is>
      </c>
      <c r="S637" s="32" t="inlineStr">
        <is>
          <t xml:space="preserve">Earthquake - high (CA, Cascadia, New Madrid)</t>
        </is>
      </c>
      <c r="T637" s="36">
        <f>IF($A637="","",IF($S637="","",IFERROR(INDEX('[1]natural catastrophe'!$D$6:$D$17,MATCH($S637,'[1]natural catastrophe'!$B$6:$B$17,0)),"?")))</f>
      </c>
      <c r="U637" s="30" t="inlineStr">
        <is>
          <t xml:space="preserve">$5,000</t>
        </is>
      </c>
      <c r="V637" s="32" t="inlineStr">
        <is>
          <t xml:space="preserve">Agreed Value</t>
        </is>
      </c>
      <c r="W637" s="30" t="inlineStr">
        <is>
          <t xml:space="preserve">$1,000</t>
        </is>
      </c>
      <c r="X637" s="32" t="inlineStr">
        <is>
          <t xml:space="preserve">$1,000,000 CSL</t>
        </is>
      </c>
      <c r="Y637" s="30"/>
      <c r="Z637" s="30"/>
      <c r="AA637" s="32" t="inlineStr">
        <is>
          <t xml:space="preserve">Surplus Lines</t>
        </is>
      </c>
      <c r="AB637" s="35">
        <v>10730.29</v>
      </c>
      <c r="AC637" s="37">
        <v>0</v>
      </c>
      <c r="AD637" s="38">
        <f>IF(ISNUMBER($AB637),$AB637*(1+N($AC637)),"")</f>
      </c>
      <c r="AE637" s="35">
        <v>350</v>
      </c>
      <c r="AF637" s="35">
        <v>0</v>
      </c>
      <c r="AG637" s="37"/>
      <c r="AH637" s="39">
        <f>IF(ISNUMBER($AD637),($AD637+$AE637+$AF637)*$AG637,"")</f>
      </c>
      <c r="AI637" s="35"/>
      <c r="AJ637" s="38">
        <f>IF(ISNUMBER($AD637),SUM($AD637:$AH637),"")</f>
      </c>
      <c r="AK637" s="40">
        <f>IF(AND(ISNUMBER($AB637),ISNUMBER($AD637)),IF($AB637&gt;0,$AD637/$AB637,""),"")</f>
      </c>
      <c r="AL637" s="32" t="inlineStr">
        <is>
          <t xml:space="preserve">At technical</t>
        </is>
      </c>
      <c r="AM637" s="41">
        <f>IF(ISNUMBER($AD637),Header!$I$3,"")</f>
      </c>
      <c r="AN637" s="39">
        <f>IF(ISNUMBER($AD637),$AO637+$AP637,"")</f>
      </c>
      <c r="AO637" s="39">
        <f>IF(ISNUMBER($AD637),ROUND($AD637*Header!$K$3,2),"")</f>
      </c>
      <c r="AP637" s="39">
        <f>IF(ISNUMBER($AD637),ROUND($AD637*Header!$M$3,2),"")</f>
      </c>
      <c r="AQ637" s="38">
        <f>IF(ISNUMBER($AD637),ROUND($AD637,2)-$AO637-$AP637,"")</f>
      </c>
      <c r="AR637" s="39">
        <f>IF(ISNUMBER($AD637),IF(Header!$D$34="","?",$AD637*Header!$D$34),"")</f>
      </c>
      <c r="AS637" s="39">
        <f>IF(ISNUMBER($AB637),IF(Header!$D$34="","?",$AB637*Header!$D$34),"")</f>
      </c>
      <c r="AT637" s="42">
        <f>IF(AND(ISNUMBER($AB637),$M637&gt;0),$AB637/$M637*100,"")</f>
      </c>
      <c r="AU637" s="42">
        <f>IF(AND(ISNUMBER($AD637),$M637&gt;0),$AD637/$M637*100,"")</f>
      </c>
      <c r="AV637" s="40">
        <f>IF(AND(ISNUMBER($AB637),ISNUMBER($AD637),ABS($AB637)&gt;0),$AD637/$AB637,"")</f>
      </c>
      <c r="AW637" s="39">
        <f>IF(ISNUMBER($AD637),MAX(0,(1-0.55-Header!$O$3)*Header!$Q$3*$AQ637),"")</f>
      </c>
      <c r="AX637" s="43">
        <f>IF($A637="","",IF(TRIM(IF($A637="","Missing certificate ref. ","") &amp; IF($C637="","Missing effective date. ","") &amp; IF($D637="","Missing binding status. ","") &amp; IF($E637="","Missing movement type. ","") &amp; IF($I637="","Missing make. ","") &amp; IF($L637="","Missing vehicle class. ","") &amp; IF($M637="","Missing agreed value. ","") &amp; IF($N637="","Missing policy type. ","") &amp; IF($Q637="","Missing garaging state. ","") &amp; IF($R637="","Missing garaging ZIP. ","") &amp; IF($S637="","Missing cat zone. ","") &amp; IF($V637="","Missing valuation basis. ","") &amp; IF($W637="","Missing PD deductible. ","") &amp; IF($X637="","Missing liability limit. ","") &amp; IF($AB637="","Missing technical premium. ","") &amp; IF($AF637="","Missing surplus lines tax %. ",""))="","PASS","FAIL: "&amp;TRIM(IF($A637="","Missing certificate ref. ","") &amp; IF($C637="","Missing effective date. ","") &amp; IF($D637="","Missing binding status. ","") &amp; IF($E637="","Missing movement type. ","") &amp; IF($I637="","Missing make. ","") &amp; IF($L637="","Missing vehicle class. ","") &amp; IF($M637="","Missing agreed value. ","") &amp; IF($N637="","Missing policy type. ","") &amp; IF($Q637="","Missing garaging state. ","") &amp; IF($R637="","Missing garaging ZIP. ","") &amp; IF($S637="","Missing cat zone. ","") &amp; IF($V637="","Missing valuation basis. ","") &amp; IF($W637="","Missing PD deductible. ","") &amp; IF($X637="","Missing liability limit. ","") &amp; IF($AB637="","Missing technical premium. ","") &amp; IF($AF637="","Missing surplus lines tax %. ",""))))</f>
      </c>
      <c r="AY637" s="44">
        <f>IF($M637="","",IF(ISNUMBER($M637),IF($M637&gt;=Header!$C$18,"YES — refer","No"),""))</f>
      </c>
      <c r="AZ637" s="44">
        <f>IF($AD637="","",IF(ISNUMBER($AD637),IF($AD637&lt;Header!$C$20,"BELOW MIN PREMIUM","OK"),""))</f>
      </c>
      <c r="BA637" s="32" t="inlineStr">
        <is>
          <t xml:space="preserve">Yes</t>
        </is>
      </c>
      <c r="BB637" s="32" t="inlineStr">
        <is>
          <t xml:space="preserve">Yes</t>
        </is>
      </c>
      <c r="BC637" s="30" t="inlineStr">
        <is>
          <t xml:space="preserve">Synthetic demo data</t>
        </is>
      </c>
      <c r="BE637" s="45">
        <f>IF(OR($A637="",$L637="",$H637=""),"",IF(AND(LEFT($L637,2)="06",$H637&gt;1945),"FAIL - pre-war class, year "&amp;$H637,IF(AND(LEFT($L637,2)="07",OR($H637&lt;1946,$H637&gt;1972)),"FAIL - 1946-72 class, year "&amp;$H637,IF(AND(LEFT($L637,2)="08",OR($H637&lt;1973,$H637&gt;1999)),"FAIL - 1973-99 class, year "&amp;$H637,IF(AND(LEFT($L637,2)="09",OR($H637&lt;2000,$H637&gt;2010)),"FAIL - 2000-10 class, year "&amp;$H637,"OK")))))</f>
      </c>
      <c r="BF637" s="45">
        <f>IF($AD637="","",IF(ROUND($AO637+$AP637+$AQ637-$AD637,2)=0,"OK","FAIL - out by "&amp;TEXT($AO637+$AP637+$AQ637-$AD637,"$0.00")))</f>
      </c>
    </row>
    <row r="638" spans="1:58" ht="18.75" customHeight="1" x14ac:dyDescent="0.25">
      <c r="A638" s="46" t="inlineStr">
        <is>
          <t xml:space="preserve">CANON-202606-009272</t>
        </is>
      </c>
      <c r="B638" s="46" t="inlineStr">
        <is>
          <t xml:space="preserve">Ingrid Montoya</t>
        </is>
      </c>
      <c r="C638" s="47">
        <v>46176</v>
      </c>
      <c r="D638" s="48" t="inlineStr">
        <is>
          <t xml:space="preserve">Bound - within authority</t>
        </is>
      </c>
      <c r="E638" s="48" t="inlineStr">
        <is>
          <t xml:space="preserve">New business</t>
        </is>
      </c>
      <c r="F638" s="46" t="inlineStr">
        <is>
          <t xml:space="preserve">B1234EXOTIC26</t>
        </is>
      </c>
      <c r="G638" s="33">
        <f>IF($A638="","",IF($C638="","",YEAR($C638)))</f>
      </c>
      <c r="H638" s="49">
        <v>2016</v>
      </c>
      <c r="I638" s="46" t="inlineStr">
        <is>
          <t xml:space="preserve">Bentley</t>
        </is>
      </c>
      <c r="J638" s="46" t="inlineStr">
        <is>
          <t xml:space="preserve">Continental GT</t>
        </is>
      </c>
      <c r="K638" s="46" t="inlineStr">
        <is>
          <t xml:space="preserve">GFDPGY7FZBRP7AVDE</t>
        </is>
      </c>
      <c r="L638" s="48" t="inlineStr">
        <is>
          <t xml:space="preserve">02 - Sports / GT</t>
        </is>
      </c>
      <c r="M638" s="50">
        <v>600000</v>
      </c>
      <c r="N638" s="48" t="inlineStr">
        <is>
          <t xml:space="preserve">Personal</t>
        </is>
      </c>
      <c r="O638" s="46" t="inlineStr">
        <is>
          <t xml:space="preserve">Personal - regular use</t>
        </is>
      </c>
      <c r="P638" s="46" t="inlineStr">
        <is>
          <t xml:space="preserve">Under 1,000</t>
        </is>
      </c>
      <c r="Q638" s="46" t="inlineStr">
        <is>
          <t xml:space="preserve">Kentucky</t>
        </is>
      </c>
      <c r="R638" s="46" t="inlineStr">
        <is>
          <t xml:space="preserve">40202</t>
        </is>
      </c>
      <c r="S638" s="48" t="inlineStr">
        <is>
          <t xml:space="preserve">Severe convective - hail / tornado (moderate)</t>
        </is>
      </c>
      <c r="T638" s="36">
        <f>IF($A638="","",IF($S638="","",IFERROR(INDEX('[1]natural catastrophe'!$D$6:$D$17,MATCH($S638,'[1]natural catastrophe'!$B$6:$B$17,0)),"?")))</f>
      </c>
      <c r="U638" s="46" t="inlineStr">
        <is>
          <t xml:space="preserve">$5,000</t>
        </is>
      </c>
      <c r="V638" s="48" t="inlineStr">
        <is>
          <t xml:space="preserve">Agreed Value</t>
        </is>
      </c>
      <c r="W638" s="46" t="inlineStr">
        <is>
          <t xml:space="preserve">$1,000</t>
        </is>
      </c>
      <c r="X638" s="48" t="inlineStr">
        <is>
          <t xml:space="preserve">$1,000,000 CSL</t>
        </is>
      </c>
      <c r="Y638" s="46"/>
      <c r="Z638" s="46"/>
      <c r="AA638" s="48" t="inlineStr">
        <is>
          <t xml:space="preserve">Surplus Lines</t>
        </is>
      </c>
      <c r="AB638" s="50">
        <v>7541.22</v>
      </c>
      <c r="AC638" s="51">
        <v>0</v>
      </c>
      <c r="AD638" s="38">
        <f>IF(ISNUMBER($AB638),$AB638*(1+N($AC638)),"")</f>
      </c>
      <c r="AE638" s="50">
        <v>350</v>
      </c>
      <c r="AF638" s="50">
        <v>0</v>
      </c>
      <c r="AG638" s="51"/>
      <c r="AH638" s="39">
        <f>IF(ISNUMBER($AD638),($AD638+$AE638+$AF638)*$AG638,"")</f>
      </c>
      <c r="AI638" s="50"/>
      <c r="AJ638" s="38">
        <f>IF(ISNUMBER($AD638),SUM($AD638:$AH638),"")</f>
      </c>
      <c r="AK638" s="40">
        <f>IF(AND(ISNUMBER($AB638),ISNUMBER($AD638)),IF($AB638&gt;0,$AD638/$AB638,""),"")</f>
      </c>
      <c r="AL638" s="48" t="inlineStr">
        <is>
          <t xml:space="preserve">At technical</t>
        </is>
      </c>
      <c r="AM638" s="41">
        <f>IF(ISNUMBER($AD638),Header!$I$3,"")</f>
      </c>
      <c r="AN638" s="39">
        <f>IF(ISNUMBER($AD638),$AO638+$AP638,"")</f>
      </c>
      <c r="AO638" s="39">
        <f>IF(ISNUMBER($AD638),ROUND($AD638*Header!$K$3,2),"")</f>
      </c>
      <c r="AP638" s="39">
        <f>IF(ISNUMBER($AD638),ROUND($AD638*Header!$M$3,2),"")</f>
      </c>
      <c r="AQ638" s="38">
        <f>IF(ISNUMBER($AD638),ROUND($AD638,2)-$AO638-$AP638,"")</f>
      </c>
      <c r="AR638" s="39">
        <f>IF(ISNUMBER($AD638),IF(Header!$D$34="","?",$AD638*Header!$D$34),"")</f>
      </c>
      <c r="AS638" s="39">
        <f>IF(ISNUMBER($AB638),IF(Header!$D$34="","?",$AB638*Header!$D$34),"")</f>
      </c>
      <c r="AT638" s="42">
        <f>IF(AND(ISNUMBER($AB638),$M638&gt;0),$AB638/$M638*100,"")</f>
      </c>
      <c r="AU638" s="42">
        <f>IF(AND(ISNUMBER($AD638),$M638&gt;0),$AD638/$M638*100,"")</f>
      </c>
      <c r="AV638" s="40">
        <f>IF(AND(ISNUMBER($AB638),ISNUMBER($AD638),ABS($AB638)&gt;0),$AD638/$AB638,"")</f>
      </c>
      <c r="AW638" s="39">
        <f>IF(ISNUMBER($AD638),MAX(0,(1-0.55-Header!$O$3)*Header!$Q$3*$AQ638),"")</f>
      </c>
      <c r="AX638" s="43">
        <f>IF($A638="","",IF(TRIM(IF($A638="","Missing certificate ref. ","") &amp; IF($C638="","Missing effective date. ","") &amp; IF($D638="","Missing binding status. ","") &amp; IF($E638="","Missing movement type. ","") &amp; IF($I638="","Missing make. ","") &amp; IF($L638="","Missing vehicle class. ","") &amp; IF($M638="","Missing agreed value. ","") &amp; IF($N638="","Missing policy type. ","") &amp; IF($Q638="","Missing garaging state. ","") &amp; IF($R638="","Missing garaging ZIP. ","") &amp; IF($S638="","Missing cat zone. ","") &amp; IF($V638="","Missing valuation basis. ","") &amp; IF($W638="","Missing PD deductible. ","") &amp; IF($X638="","Missing liability limit. ","") &amp; IF($AB638="","Missing technical premium. ","") &amp; IF($AF638="","Missing surplus lines tax %. ",""))="","PASS","FAIL: "&amp;TRIM(IF($A638="","Missing certificate ref. ","") &amp; IF($C638="","Missing effective date. ","") &amp; IF($D638="","Missing binding status. ","") &amp; IF($E638="","Missing movement type. ","") &amp; IF($I638="","Missing make. ","") &amp; IF($L638="","Missing vehicle class. ","") &amp; IF($M638="","Missing agreed value. ","") &amp; IF($N638="","Missing policy type. ","") &amp; IF($Q638="","Missing garaging state. ","") &amp; IF($R638="","Missing garaging ZIP. ","") &amp; IF($S638="","Missing cat zone. ","") &amp; IF($V638="","Missing valuation basis. ","") &amp; IF($W638="","Missing PD deductible. ","") &amp; IF($X638="","Missing liability limit. ","") &amp; IF($AB638="","Missing technical premium. ","") &amp; IF($AF638="","Missing surplus lines tax %. ",""))))</f>
      </c>
      <c r="AY638" s="44">
        <f>IF($M638="","",IF(ISNUMBER($M638),IF($M638&gt;=Header!$C$18,"YES — refer","No"),""))</f>
      </c>
      <c r="AZ638" s="44">
        <f>IF($AD638="","",IF(ISNUMBER($AD638),IF($AD638&lt;Header!$C$20,"BELOW MIN PREMIUM","OK"),""))</f>
      </c>
      <c r="BA638" s="48" t="inlineStr">
        <is>
          <t xml:space="preserve">Yes</t>
        </is>
      </c>
      <c r="BB638" s="48" t="inlineStr">
        <is>
          <t xml:space="preserve">Yes</t>
        </is>
      </c>
      <c r="BC638" s="46" t="inlineStr">
        <is>
          <t xml:space="preserve">Synthetic demo data</t>
        </is>
      </c>
      <c r="BE638" s="45">
        <f>IF(OR($A638="",$L638="",$H638=""),"",IF(AND(LEFT($L638,2)="06",$H638&gt;1945),"FAIL - pre-war class, year "&amp;$H638,IF(AND(LEFT($L638,2)="07",OR($H638&lt;1946,$H638&gt;1972)),"FAIL - 1946-72 class, year "&amp;$H638,IF(AND(LEFT($L638,2)="08",OR($H638&lt;1973,$H638&gt;1999)),"FAIL - 1973-99 class, year "&amp;$H638,IF(AND(LEFT($L638,2)="09",OR($H638&lt;2000,$H638&gt;2010)),"FAIL - 2000-10 class, year "&amp;$H638,"OK")))))</f>
      </c>
      <c r="BF638" s="45">
        <f>IF($AD638="","",IF(ROUND($AO638+$AP638+$AQ638-$AD638,2)=0,"OK","FAIL - out by "&amp;TEXT($AO638+$AP638+$AQ638-$AD638,"$0.00")))</f>
      </c>
    </row>
    <row r="639" spans="1:58" ht="18.75" customHeight="1" x14ac:dyDescent="0.25">
      <c r="A639" s="30" t="inlineStr">
        <is>
          <t xml:space="preserve">CANON-202606-009273</t>
        </is>
      </c>
      <c r="B639" s="30" t="inlineStr">
        <is>
          <t xml:space="preserve">Leopold Blackwood</t>
        </is>
      </c>
      <c r="C639" s="31">
        <v>46194</v>
      </c>
      <c r="D639" s="32" t="inlineStr">
        <is>
          <t xml:space="preserve">Bound - within authority</t>
        </is>
      </c>
      <c r="E639" s="32" t="inlineStr">
        <is>
          <t xml:space="preserve">New business</t>
        </is>
      </c>
      <c r="F639" s="30" t="inlineStr">
        <is>
          <t xml:space="preserve">B1234EXOTIC26</t>
        </is>
      </c>
      <c r="G639" s="33">
        <f>IF($A639="","",IF($C639="","",YEAR($C639)))</f>
      </c>
      <c r="H639" s="34">
        <v>1993</v>
      </c>
      <c r="I639" s="30" t="inlineStr">
        <is>
          <t xml:space="preserve">BMW</t>
        </is>
      </c>
      <c r="J639" s="30" t="inlineStr">
        <is>
          <t xml:space="preserve">M8 Competition</t>
        </is>
      </c>
      <c r="K639" s="30" t="inlineStr">
        <is>
          <t xml:space="preserve">Z7M0SLK1AE3VZ4W41</t>
        </is>
      </c>
      <c r="L639" s="32" t="inlineStr">
        <is>
          <t xml:space="preserve">02 - Sports / GT</t>
        </is>
      </c>
      <c r="M639" s="35">
        <v>365000</v>
      </c>
      <c r="N639" s="32" t="inlineStr">
        <is>
          <t xml:space="preserve">Personal</t>
        </is>
      </c>
      <c r="O639" s="30" t="inlineStr">
        <is>
          <t xml:space="preserve">Personal - regular use</t>
        </is>
      </c>
      <c r="P639" s="30" t="inlineStr">
        <is>
          <t xml:space="preserve">1,000 - 2,500</t>
        </is>
      </c>
      <c r="Q639" s="30" t="inlineStr">
        <is>
          <t xml:space="preserve">Ohio</t>
        </is>
      </c>
      <c r="R639" s="30" t="inlineStr">
        <is>
          <t xml:space="preserve">43215</t>
        </is>
      </c>
      <c r="S639" s="32" t="inlineStr">
        <is>
          <t xml:space="preserve">Severe convective - hail / tornado (moderate)</t>
        </is>
      </c>
      <c r="T639" s="36">
        <f>IF($A639="","",IF($S639="","",IFERROR(INDEX('[1]natural catastrophe'!$D$6:$D$17,MATCH($S639,'[1]natural catastrophe'!$B$6:$B$17,0)),"?")))</f>
      </c>
      <c r="U639" s="30" t="inlineStr">
        <is>
          <t xml:space="preserve">$5,000</t>
        </is>
      </c>
      <c r="V639" s="32" t="inlineStr">
        <is>
          <t xml:space="preserve">Agreed Value</t>
        </is>
      </c>
      <c r="W639" s="30" t="inlineStr">
        <is>
          <t xml:space="preserve">$1,000</t>
        </is>
      </c>
      <c r="X639" s="32" t="inlineStr">
        <is>
          <t xml:space="preserve">$1,000,000 CSL</t>
        </is>
      </c>
      <c r="Y639" s="30"/>
      <c r="Z639" s="30"/>
      <c r="AA639" s="32" t="inlineStr">
        <is>
          <t xml:space="preserve">Surplus Lines</t>
        </is>
      </c>
      <c r="AB639" s="35">
        <v>5490.87</v>
      </c>
      <c r="AC639" s="37">
        <v>0</v>
      </c>
      <c r="AD639" s="38">
        <f>IF(ISNUMBER($AB639),$AB639*(1+N($AC639)),"")</f>
      </c>
      <c r="AE639" s="35">
        <v>350</v>
      </c>
      <c r="AF639" s="35">
        <v>0</v>
      </c>
      <c r="AG639" s="37"/>
      <c r="AH639" s="39">
        <f>IF(ISNUMBER($AD639),($AD639+$AE639+$AF639)*$AG639,"")</f>
      </c>
      <c r="AI639" s="35"/>
      <c r="AJ639" s="38">
        <f>IF(ISNUMBER($AD639),SUM($AD639:$AH639),"")</f>
      </c>
      <c r="AK639" s="40">
        <f>IF(AND(ISNUMBER($AB639),ISNUMBER($AD639)),IF($AB639&gt;0,$AD639/$AB639,""),"")</f>
      </c>
      <c r="AL639" s="32" t="inlineStr">
        <is>
          <t xml:space="preserve">At technical</t>
        </is>
      </c>
      <c r="AM639" s="41">
        <f>IF(ISNUMBER($AD639),Header!$I$3,"")</f>
      </c>
      <c r="AN639" s="39">
        <f>IF(ISNUMBER($AD639),$AO639+$AP639,"")</f>
      </c>
      <c r="AO639" s="39">
        <f>IF(ISNUMBER($AD639),ROUND($AD639*Header!$K$3,2),"")</f>
      </c>
      <c r="AP639" s="39">
        <f>IF(ISNUMBER($AD639),ROUND($AD639*Header!$M$3,2),"")</f>
      </c>
      <c r="AQ639" s="38">
        <f>IF(ISNUMBER($AD639),ROUND($AD639,2)-$AO639-$AP639,"")</f>
      </c>
      <c r="AR639" s="39">
        <f>IF(ISNUMBER($AD639),IF(Header!$D$34="","?",$AD639*Header!$D$34),"")</f>
      </c>
      <c r="AS639" s="39">
        <f>IF(ISNUMBER($AB639),IF(Header!$D$34="","?",$AB639*Header!$D$34),"")</f>
      </c>
      <c r="AT639" s="42">
        <f>IF(AND(ISNUMBER($AB639),$M639&gt;0),$AB639/$M639*100,"")</f>
      </c>
      <c r="AU639" s="42">
        <f>IF(AND(ISNUMBER($AD639),$M639&gt;0),$AD639/$M639*100,"")</f>
      </c>
      <c r="AV639" s="40">
        <f>IF(AND(ISNUMBER($AB639),ISNUMBER($AD639),ABS($AB639)&gt;0),$AD639/$AB639,"")</f>
      </c>
      <c r="AW639" s="39">
        <f>IF(ISNUMBER($AD639),MAX(0,(1-0.55-Header!$O$3)*Header!$Q$3*$AQ639),"")</f>
      </c>
      <c r="AX639" s="43">
        <f>IF($A639="","",IF(TRIM(IF($A639="","Missing certificate ref. ","") &amp; IF($C639="","Missing effective date. ","") &amp; IF($D639="","Missing binding status. ","") &amp; IF($E639="","Missing movement type. ","") &amp; IF($I639="","Missing make. ","") &amp; IF($L639="","Missing vehicle class. ","") &amp; IF($M639="","Missing agreed value. ","") &amp; IF($N639="","Missing policy type. ","") &amp; IF($Q639="","Missing garaging state. ","") &amp; IF($R639="","Missing garaging ZIP. ","") &amp; IF($S639="","Missing cat zone. ","") &amp; IF($V639="","Missing valuation basis. ","") &amp; IF($W639="","Missing PD deductible. ","") &amp; IF($X639="","Missing liability limit. ","") &amp; IF($AB639="","Missing technical premium. ","") &amp; IF($AF639="","Missing surplus lines tax %. ",""))="","PASS","FAIL: "&amp;TRIM(IF($A639="","Missing certificate ref. ","") &amp; IF($C639="","Missing effective date. ","") &amp; IF($D639="","Missing binding status. ","") &amp; IF($E639="","Missing movement type. ","") &amp; IF($I639="","Missing make. ","") &amp; IF($L639="","Missing vehicle class. ","") &amp; IF($M639="","Missing agreed value. ","") &amp; IF($N639="","Missing policy type. ","") &amp; IF($Q639="","Missing garaging state. ","") &amp; IF($R639="","Missing garaging ZIP. ","") &amp; IF($S639="","Missing cat zone. ","") &amp; IF($V639="","Missing valuation basis. ","") &amp; IF($W639="","Missing PD deductible. ","") &amp; IF($X639="","Missing liability limit. ","") &amp; IF($AB639="","Missing technical premium. ","") &amp; IF($AF639="","Missing surplus lines tax %. ",""))))</f>
      </c>
      <c r="AY639" s="44">
        <f>IF($M639="","",IF(ISNUMBER($M639),IF($M639&gt;=Header!$C$18,"YES — refer","No"),""))</f>
      </c>
      <c r="AZ639" s="44">
        <f>IF($AD639="","",IF(ISNUMBER($AD639),IF($AD639&lt;Header!$C$20,"BELOW MIN PREMIUM","OK"),""))</f>
      </c>
      <c r="BA639" s="32" t="inlineStr">
        <is>
          <t xml:space="preserve">Yes</t>
        </is>
      </c>
      <c r="BB639" s="32" t="inlineStr">
        <is>
          <t xml:space="preserve">Yes</t>
        </is>
      </c>
      <c r="BC639" s="30" t="inlineStr">
        <is>
          <t xml:space="preserve">Synthetic demo data</t>
        </is>
      </c>
      <c r="BE639" s="45">
        <f>IF(OR($A639="",$L639="",$H639=""),"",IF(AND(LEFT($L639,2)="06",$H639&gt;1945),"FAIL - pre-war class, year "&amp;$H639,IF(AND(LEFT($L639,2)="07",OR($H639&lt;1946,$H639&gt;1972)),"FAIL - 1946-72 class, year "&amp;$H639,IF(AND(LEFT($L639,2)="08",OR($H639&lt;1973,$H639&gt;1999)),"FAIL - 1973-99 class, year "&amp;$H639,IF(AND(LEFT($L639,2)="09",OR($H639&lt;2000,$H639&gt;2010)),"FAIL - 2000-10 class, year "&amp;$H639,"OK")))))</f>
      </c>
      <c r="BF639" s="45">
        <f>IF($AD639="","",IF(ROUND($AO639+$AP639+$AQ639-$AD639,2)=0,"OK","FAIL - out by "&amp;TEXT($AO639+$AP639+$AQ639-$AD639,"$0.00")))</f>
      </c>
    </row>
    <row r="640" spans="1:58" ht="18.75" customHeight="1" x14ac:dyDescent="0.25">
      <c r="A640" s="46" t="inlineStr">
        <is>
          <t xml:space="preserve">CANON-202606-009274</t>
        </is>
      </c>
      <c r="B640" s="46" t="inlineStr">
        <is>
          <t xml:space="preserve">Saoirse Underwood</t>
        </is>
      </c>
      <c r="C640" s="47">
        <v>46203</v>
      </c>
      <c r="D640" s="48" t="inlineStr">
        <is>
          <t xml:space="preserve">Bound - within authority</t>
        </is>
      </c>
      <c r="E640" s="48" t="inlineStr">
        <is>
          <t xml:space="preserve">New business</t>
        </is>
      </c>
      <c r="F640" s="46" t="inlineStr">
        <is>
          <t xml:space="preserve">B1234EXOTIC26</t>
        </is>
      </c>
      <c r="G640" s="33">
        <f>IF($A640="","",IF($C640="","",YEAR($C640)))</f>
      </c>
      <c r="H640" s="49">
        <v>1982</v>
      </c>
      <c r="I640" s="46" t="inlineStr">
        <is>
          <t xml:space="preserve">Maserati</t>
        </is>
      </c>
      <c r="J640" s="46" t="inlineStr">
        <is>
          <t xml:space="preserve">GranTurismo</t>
        </is>
      </c>
      <c r="K640" s="46" t="inlineStr">
        <is>
          <t xml:space="preserve">JR0NXY1XBBPZ9NEPW</t>
        </is>
      </c>
      <c r="L640" s="48" t="inlineStr">
        <is>
          <t xml:space="preserve">02 - Sports / GT</t>
        </is>
      </c>
      <c r="M640" s="50">
        <v>555000</v>
      </c>
      <c r="N640" s="48" t="inlineStr">
        <is>
          <t xml:space="preserve">Personal</t>
        </is>
      </c>
      <c r="O640" s="46" t="inlineStr">
        <is>
          <t xml:space="preserve">Personal - regular use</t>
        </is>
      </c>
      <c r="P640" s="46" t="inlineStr">
        <is>
          <t xml:space="preserve">1,000 - 2,500</t>
        </is>
      </c>
      <c r="Q640" s="46" t="inlineStr">
        <is>
          <t xml:space="preserve">Georgia</t>
        </is>
      </c>
      <c r="R640" s="46" t="inlineStr">
        <is>
          <t xml:space="preserve">30303</t>
        </is>
      </c>
      <c r="S640" s="48" t="inlineStr">
        <is>
          <t xml:space="preserve">Tier 2 - Coastal wind (1-25 miles)</t>
        </is>
      </c>
      <c r="T640" s="36">
        <f>IF($A640="","",IF($S640="","",IFERROR(INDEX('[1]natural catastrophe'!$D$6:$D$17,MATCH($S640,'[1]natural catastrophe'!$B$6:$B$17,0)),"?")))</f>
      </c>
      <c r="U640" s="46" t="inlineStr">
        <is>
          <t xml:space="preserve">2% of agreed value, minimum $10,000</t>
        </is>
      </c>
      <c r="V640" s="48" t="inlineStr">
        <is>
          <t xml:space="preserve">Agreed Value</t>
        </is>
      </c>
      <c r="W640" s="46" t="inlineStr">
        <is>
          <t xml:space="preserve">$1,000</t>
        </is>
      </c>
      <c r="X640" s="48" t="inlineStr">
        <is>
          <t xml:space="preserve">$1,000,000 CSL</t>
        </is>
      </c>
      <c r="Y640" s="46"/>
      <c r="Z640" s="46"/>
      <c r="AA640" s="48" t="inlineStr">
        <is>
          <t xml:space="preserve">Surplus Lines</t>
        </is>
      </c>
      <c r="AB640" s="50">
        <v>5830.38</v>
      </c>
      <c r="AC640" s="51">
        <v>0</v>
      </c>
      <c r="AD640" s="38">
        <f>IF(ISNUMBER($AB640),$AB640*(1+N($AC640)),"")</f>
      </c>
      <c r="AE640" s="50">
        <v>350</v>
      </c>
      <c r="AF640" s="50">
        <v>0</v>
      </c>
      <c r="AG640" s="51"/>
      <c r="AH640" s="39">
        <f>IF(ISNUMBER($AD640),($AD640+$AE640+$AF640)*$AG640,"")</f>
      </c>
      <c r="AI640" s="50"/>
      <c r="AJ640" s="38">
        <f>IF(ISNUMBER($AD640),SUM($AD640:$AH640),"")</f>
      </c>
      <c r="AK640" s="40">
        <f>IF(AND(ISNUMBER($AB640),ISNUMBER($AD640)),IF($AB640&gt;0,$AD640/$AB640,""),"")</f>
      </c>
      <c r="AL640" s="48" t="inlineStr">
        <is>
          <t xml:space="preserve">At technical</t>
        </is>
      </c>
      <c r="AM640" s="41">
        <f>IF(ISNUMBER($AD640),Header!$I$3,"")</f>
      </c>
      <c r="AN640" s="39">
        <f>IF(ISNUMBER($AD640),$AO640+$AP640,"")</f>
      </c>
      <c r="AO640" s="39">
        <f>IF(ISNUMBER($AD640),ROUND($AD640*Header!$K$3,2),"")</f>
      </c>
      <c r="AP640" s="39">
        <f>IF(ISNUMBER($AD640),ROUND($AD640*Header!$M$3,2),"")</f>
      </c>
      <c r="AQ640" s="38">
        <f>IF(ISNUMBER($AD640),ROUND($AD640,2)-$AO640-$AP640,"")</f>
      </c>
      <c r="AR640" s="39">
        <f>IF(ISNUMBER($AD640),IF(Header!$D$34="","?",$AD640*Header!$D$34),"")</f>
      </c>
      <c r="AS640" s="39">
        <f>IF(ISNUMBER($AB640),IF(Header!$D$34="","?",$AB640*Header!$D$34),"")</f>
      </c>
      <c r="AT640" s="42">
        <f>IF(AND(ISNUMBER($AB640),$M640&gt;0),$AB640/$M640*100,"")</f>
      </c>
      <c r="AU640" s="42">
        <f>IF(AND(ISNUMBER($AD640),$M640&gt;0),$AD640/$M640*100,"")</f>
      </c>
      <c r="AV640" s="40">
        <f>IF(AND(ISNUMBER($AB640),ISNUMBER($AD640),ABS($AB640)&gt;0),$AD640/$AB640,"")</f>
      </c>
      <c r="AW640" s="39">
        <f>IF(ISNUMBER($AD640),MAX(0,(1-0.55-Header!$O$3)*Header!$Q$3*$AQ640),"")</f>
      </c>
      <c r="AX640" s="43">
        <f>IF($A640="","",IF(TRIM(IF($A640="","Missing certificate ref. ","") &amp; IF($C640="","Missing effective date. ","") &amp; IF($D640="","Missing binding status. ","") &amp; IF($E640="","Missing movement type. ","") &amp; IF($I640="","Missing make. ","") &amp; IF($L640="","Missing vehicle class. ","") &amp; IF($M640="","Missing agreed value. ","") &amp; IF($N640="","Missing policy type. ","") &amp; IF($Q640="","Missing garaging state. ","") &amp; IF($R640="","Missing garaging ZIP. ","") &amp; IF($S640="","Missing cat zone. ","") &amp; IF($V640="","Missing valuation basis. ","") &amp; IF($W640="","Missing PD deductible. ","") &amp; IF($X640="","Missing liability limit. ","") &amp; IF($AB640="","Missing technical premium. ","") &amp; IF($AF640="","Missing surplus lines tax %. ",""))="","PASS","FAIL: "&amp;TRIM(IF($A640="","Missing certificate ref. ","") &amp; IF($C640="","Missing effective date. ","") &amp; IF($D640="","Missing binding status. ","") &amp; IF($E640="","Missing movement type. ","") &amp; IF($I640="","Missing make. ","") &amp; IF($L640="","Missing vehicle class. ","") &amp; IF($M640="","Missing agreed value. ","") &amp; IF($N640="","Missing policy type. ","") &amp; IF($Q640="","Missing garaging state. ","") &amp; IF($R640="","Missing garaging ZIP. ","") &amp; IF($S640="","Missing cat zone. ","") &amp; IF($V640="","Missing valuation basis. ","") &amp; IF($W640="","Missing PD deductible. ","") &amp; IF($X640="","Missing liability limit. ","") &amp; IF($AB640="","Missing technical premium. ","") &amp; IF($AF640="","Missing surplus lines tax %. ",""))))</f>
      </c>
      <c r="AY640" s="44">
        <f>IF($M640="","",IF(ISNUMBER($M640),IF($M640&gt;=Header!$C$18,"YES — refer","No"),""))</f>
      </c>
      <c r="AZ640" s="44">
        <f>IF($AD640="","",IF(ISNUMBER($AD640),IF($AD640&lt;Header!$C$20,"BELOW MIN PREMIUM","OK"),""))</f>
      </c>
      <c r="BA640" s="48" t="inlineStr">
        <is>
          <t xml:space="preserve">Yes</t>
        </is>
      </c>
      <c r="BB640" s="48" t="inlineStr">
        <is>
          <t xml:space="preserve">Yes</t>
        </is>
      </c>
      <c r="BC640" s="46" t="inlineStr">
        <is>
          <t xml:space="preserve">Synthetic demo data</t>
        </is>
      </c>
      <c r="BE640" s="45">
        <f>IF(OR($A640="",$L640="",$H640=""),"",IF(AND(LEFT($L640,2)="06",$H640&gt;1945),"FAIL - pre-war class, year "&amp;$H640,IF(AND(LEFT($L640,2)="07",OR($H640&lt;1946,$H640&gt;1972)),"FAIL - 1946-72 class, year "&amp;$H640,IF(AND(LEFT($L640,2)="08",OR($H640&lt;1973,$H640&gt;1999)),"FAIL - 1973-99 class, year "&amp;$H640,IF(AND(LEFT($L640,2)="09",OR($H640&lt;2000,$H640&gt;2010)),"FAIL - 2000-10 class, year "&amp;$H640,"OK")))))</f>
      </c>
      <c r="BF640" s="45">
        <f>IF($AD640="","",IF(ROUND($AO640+$AP640+$AQ640-$AD640,2)=0,"OK","FAIL - out by "&amp;TEXT($AO640+$AP640+$AQ640-$AD640,"$0.00")))</f>
      </c>
    </row>
    <row r="641" spans="1:58" ht="18.75" customHeight="1" x14ac:dyDescent="0.25">
      <c r="A641" s="30" t="inlineStr">
        <is>
          <t xml:space="preserve">CANON-202606-009275</t>
        </is>
      </c>
      <c r="B641" s="30" t="inlineStr">
        <is>
          <t xml:space="preserve">Thaddeus Delacroix</t>
        </is>
      </c>
      <c r="C641" s="31">
        <v>46200</v>
      </c>
      <c r="D641" s="32" t="inlineStr">
        <is>
          <t xml:space="preserve">Bound - within authority</t>
        </is>
      </c>
      <c r="E641" s="32" t="inlineStr">
        <is>
          <t xml:space="preserve">New business</t>
        </is>
      </c>
      <c r="F641" s="30" t="inlineStr">
        <is>
          <t xml:space="preserve">B1234EXOTIC26</t>
        </is>
      </c>
      <c r="G641" s="33">
        <f>IF($A641="","",IF($C641="","",YEAR($C641)))</f>
      </c>
      <c r="H641" s="34">
        <v>1958</v>
      </c>
      <c r="I641" s="30" t="inlineStr">
        <is>
          <t xml:space="preserve">Ferrari</t>
        </is>
      </c>
      <c r="J641" s="30" t="inlineStr">
        <is>
          <t xml:space="preserve">SF90 Stradale</t>
        </is>
      </c>
      <c r="K641" s="30" t="inlineStr">
        <is>
          <t xml:space="preserve">D4LJBR5Y3LJE3UR6C</t>
        </is>
      </c>
      <c r="L641" s="32" t="inlineStr">
        <is>
          <t xml:space="preserve">03 - Supercar</t>
        </is>
      </c>
      <c r="M641" s="35">
        <v>520000</v>
      </c>
      <c r="N641" s="32" t="inlineStr">
        <is>
          <t xml:space="preserve">Personal</t>
        </is>
      </c>
      <c r="O641" s="30" t="inlineStr">
        <is>
          <t xml:space="preserve">Personal - regular use</t>
        </is>
      </c>
      <c r="P641" s="30" t="inlineStr">
        <is>
          <t xml:space="preserve">2,500 - 5,000</t>
        </is>
      </c>
      <c r="Q641" s="30" t="inlineStr">
        <is>
          <t xml:space="preserve">Rhode Island</t>
        </is>
      </c>
      <c r="R641" s="30" t="inlineStr">
        <is>
          <t xml:space="preserve">02903</t>
        </is>
      </c>
      <c r="S641" s="32" t="inlineStr">
        <is>
          <t xml:space="preserve">Tier 3 - Coastal wind (25-100 miles)</t>
        </is>
      </c>
      <c r="T641" s="36">
        <f>IF($A641="","",IF($S641="","",IFERROR(INDEX('[1]natural catastrophe'!$D$6:$D$17,MATCH($S641,'[1]natural catastrophe'!$B$6:$B$17,0)),"?")))</f>
      </c>
      <c r="U641" s="30" t="inlineStr">
        <is>
          <t xml:space="preserve">2% of agreed value, minimum $10,000</t>
        </is>
      </c>
      <c r="V641" s="32" t="inlineStr">
        <is>
          <t xml:space="preserve">Agreed Value</t>
        </is>
      </c>
      <c r="W641" s="30" t="inlineStr">
        <is>
          <t xml:space="preserve">$1,000</t>
        </is>
      </c>
      <c r="X641" s="32" t="inlineStr">
        <is>
          <t xml:space="preserve">$1,000,000 CSL</t>
        </is>
      </c>
      <c r="Y641" s="30"/>
      <c r="Z641" s="30"/>
      <c r="AA641" s="32" t="inlineStr">
        <is>
          <t xml:space="preserve">Surplus Lines</t>
        </is>
      </c>
      <c r="AB641" s="35">
        <v>9766.06</v>
      </c>
      <c r="AC641" s="37">
        <v>0</v>
      </c>
      <c r="AD641" s="38">
        <f>IF(ISNUMBER($AB641),$AB641*(1+N($AC641)),"")</f>
      </c>
      <c r="AE641" s="35">
        <v>350</v>
      </c>
      <c r="AF641" s="35">
        <v>0</v>
      </c>
      <c r="AG641" s="37"/>
      <c r="AH641" s="39">
        <f>IF(ISNUMBER($AD641),($AD641+$AE641+$AF641)*$AG641,"")</f>
      </c>
      <c r="AI641" s="35"/>
      <c r="AJ641" s="38">
        <f>IF(ISNUMBER($AD641),SUM($AD641:$AH641),"")</f>
      </c>
      <c r="AK641" s="40">
        <f>IF(AND(ISNUMBER($AB641),ISNUMBER($AD641)),IF($AB641&gt;0,$AD641/$AB641,""),"")</f>
      </c>
      <c r="AL641" s="32" t="inlineStr">
        <is>
          <t xml:space="preserve">At technical</t>
        </is>
      </c>
      <c r="AM641" s="41">
        <f>IF(ISNUMBER($AD641),Header!$I$3,"")</f>
      </c>
      <c r="AN641" s="39">
        <f>IF(ISNUMBER($AD641),$AO641+$AP641,"")</f>
      </c>
      <c r="AO641" s="39">
        <f>IF(ISNUMBER($AD641),ROUND($AD641*Header!$K$3,2),"")</f>
      </c>
      <c r="AP641" s="39">
        <f>IF(ISNUMBER($AD641),ROUND($AD641*Header!$M$3,2),"")</f>
      </c>
      <c r="AQ641" s="38">
        <f>IF(ISNUMBER($AD641),ROUND($AD641,2)-$AO641-$AP641,"")</f>
      </c>
      <c r="AR641" s="39">
        <f>IF(ISNUMBER($AD641),IF(Header!$D$34="","?",$AD641*Header!$D$34),"")</f>
      </c>
      <c r="AS641" s="39">
        <f>IF(ISNUMBER($AB641),IF(Header!$D$34="","?",$AB641*Header!$D$34),"")</f>
      </c>
      <c r="AT641" s="42">
        <f>IF(AND(ISNUMBER($AB641),$M641&gt;0),$AB641/$M641*100,"")</f>
      </c>
      <c r="AU641" s="42">
        <f>IF(AND(ISNUMBER($AD641),$M641&gt;0),$AD641/$M641*100,"")</f>
      </c>
      <c r="AV641" s="40">
        <f>IF(AND(ISNUMBER($AB641),ISNUMBER($AD641),ABS($AB641)&gt;0),$AD641/$AB641,"")</f>
      </c>
      <c r="AW641" s="39">
        <f>IF(ISNUMBER($AD641),MAX(0,(1-0.55-Header!$O$3)*Header!$Q$3*$AQ641),"")</f>
      </c>
      <c r="AX641" s="43">
        <f>IF($A641="","",IF(TRIM(IF($A641="","Missing certificate ref. ","") &amp; IF($C641="","Missing effective date. ","") &amp; IF($D641="","Missing binding status. ","") &amp; IF($E641="","Missing movement type. ","") &amp; IF($I641="","Missing make. ","") &amp; IF($L641="","Missing vehicle class. ","") &amp; IF($M641="","Missing agreed value. ","") &amp; IF($N641="","Missing policy type. ","") &amp; IF($Q641="","Missing garaging state. ","") &amp; IF($R641="","Missing garaging ZIP. ","") &amp; IF($S641="","Missing cat zone. ","") &amp; IF($V641="","Missing valuation basis. ","") &amp; IF($W641="","Missing PD deductible. ","") &amp; IF($X641="","Missing liability limit. ","") &amp; IF($AB641="","Missing technical premium. ","") &amp; IF($AF641="","Missing surplus lines tax %. ",""))="","PASS","FAIL: "&amp;TRIM(IF($A641="","Missing certificate ref. ","") &amp; IF($C641="","Missing effective date. ","") &amp; IF($D641="","Missing binding status. ","") &amp; IF($E641="","Missing movement type. ","") &amp; IF($I641="","Missing make. ","") &amp; IF($L641="","Missing vehicle class. ","") &amp; IF($M641="","Missing agreed value. ","") &amp; IF($N641="","Missing policy type. ","") &amp; IF($Q641="","Missing garaging state. ","") &amp; IF($R641="","Missing garaging ZIP. ","") &amp; IF($S641="","Missing cat zone. ","") &amp; IF($V641="","Missing valuation basis. ","") &amp; IF($W641="","Missing PD deductible. ","") &amp; IF($X641="","Missing liability limit. ","") &amp; IF($AB641="","Missing technical premium. ","") &amp; IF($AF641="","Missing surplus lines tax %. ",""))))</f>
      </c>
      <c r="AY641" s="44">
        <f>IF($M641="","",IF(ISNUMBER($M641),IF($M641&gt;=Header!$C$18,"YES — refer","No"),""))</f>
      </c>
      <c r="AZ641" s="44">
        <f>IF($AD641="","",IF(ISNUMBER($AD641),IF($AD641&lt;Header!$C$20,"BELOW MIN PREMIUM","OK"),""))</f>
      </c>
      <c r="BA641" s="32" t="inlineStr">
        <is>
          <t xml:space="preserve">Yes</t>
        </is>
      </c>
      <c r="BB641" s="32" t="inlineStr">
        <is>
          <t xml:space="preserve">Yes</t>
        </is>
      </c>
      <c r="BC641" s="30" t="inlineStr">
        <is>
          <t xml:space="preserve">Synthetic demo data</t>
        </is>
      </c>
      <c r="BE641" s="45">
        <f>IF(OR($A641="",$L641="",$H641=""),"",IF(AND(LEFT($L641,2)="06",$H641&gt;1945),"FAIL - pre-war class, year "&amp;$H641,IF(AND(LEFT($L641,2)="07",OR($H641&lt;1946,$H641&gt;1972)),"FAIL - 1946-72 class, year "&amp;$H641,IF(AND(LEFT($L641,2)="08",OR($H641&lt;1973,$H641&gt;1999)),"FAIL - 1973-99 class, year "&amp;$H641,IF(AND(LEFT($L641,2)="09",OR($H641&lt;2000,$H641&gt;2010)),"FAIL - 2000-10 class, year "&amp;$H641,"OK")))))</f>
      </c>
      <c r="BF641" s="45">
        <f>IF($AD641="","",IF(ROUND($AO641+$AP641+$AQ641-$AD641,2)=0,"OK","FAIL - out by "&amp;TEXT($AO641+$AP641+$AQ641-$AD641,"$0.00")))</f>
      </c>
    </row>
    <row r="642" spans="1:58" ht="18.75" customHeight="1" x14ac:dyDescent="0.25">
      <c r="A642" s="46" t="inlineStr">
        <is>
          <t xml:space="preserve">CANON-202606-009276</t>
        </is>
      </c>
      <c r="B642" s="46" t="inlineStr">
        <is>
          <t xml:space="preserve">Horace Fairweather</t>
        </is>
      </c>
      <c r="C642" s="47">
        <v>46175</v>
      </c>
      <c r="D642" s="48" t="inlineStr">
        <is>
          <t xml:space="preserve">Bound - within authority</t>
        </is>
      </c>
      <c r="E642" s="48" t="inlineStr">
        <is>
          <t xml:space="preserve">New business</t>
        </is>
      </c>
      <c r="F642" s="46" t="inlineStr">
        <is>
          <t xml:space="preserve">B1234EXOTIC26</t>
        </is>
      </c>
      <c r="G642" s="33">
        <f>IF($A642="","",IF($C642="","",YEAR($C642)))</f>
      </c>
      <c r="H642" s="49">
        <v>2015</v>
      </c>
      <c r="I642" s="46" t="inlineStr">
        <is>
          <t xml:space="preserve">Jaguar</t>
        </is>
      </c>
      <c r="J642" s="46" t="inlineStr">
        <is>
          <t xml:space="preserve">E-Type Series 1</t>
        </is>
      </c>
      <c r="K642" s="46" t="inlineStr">
        <is>
          <t xml:space="preserve">BHSCHPHFL9FCDXDBC</t>
        </is>
      </c>
      <c r="L642" s="48" t="inlineStr">
        <is>
          <t xml:space="preserve">02 - Sports / GT</t>
        </is>
      </c>
      <c r="M642" s="50">
        <v>290000</v>
      </c>
      <c r="N642" s="48" t="inlineStr">
        <is>
          <t xml:space="preserve">Personal</t>
        </is>
      </c>
      <c r="O642" s="46" t="inlineStr">
        <is>
          <t xml:space="preserve">Personal - regular use</t>
        </is>
      </c>
      <c r="P642" s="46" t="inlineStr">
        <is>
          <t xml:space="preserve">1,000 - 2,500</t>
        </is>
      </c>
      <c r="Q642" s="46" t="inlineStr">
        <is>
          <t xml:space="preserve">Maine</t>
        </is>
      </c>
      <c r="R642" s="46" t="inlineStr">
        <is>
          <t xml:space="preserve">04101</t>
        </is>
      </c>
      <c r="S642" s="48" t="inlineStr">
        <is>
          <t xml:space="preserve">Tier 3 - Coastal wind (25-100 miles)</t>
        </is>
      </c>
      <c r="T642" s="36">
        <f>IF($A642="","",IF($S642="","",IFERROR(INDEX('[1]natural catastrophe'!$D$6:$D$17,MATCH($S642,'[1]natural catastrophe'!$B$6:$B$17,0)),"?")))</f>
      </c>
      <c r="U642" s="46" t="inlineStr">
        <is>
          <t xml:space="preserve">2% of agreed value, minimum $10,000</t>
        </is>
      </c>
      <c r="V642" s="48" t="inlineStr">
        <is>
          <t xml:space="preserve">Agreed Value</t>
        </is>
      </c>
      <c r="W642" s="46" t="inlineStr">
        <is>
          <t xml:space="preserve">$1,000</t>
        </is>
      </c>
      <c r="X642" s="48" t="inlineStr">
        <is>
          <t xml:space="preserve">$1,000,000 CSL</t>
        </is>
      </c>
      <c r="Y642" s="46"/>
      <c r="Z642" s="46"/>
      <c r="AA642" s="48" t="inlineStr">
        <is>
          <t xml:space="preserve">Surplus Lines</t>
        </is>
      </c>
      <c r="AB642" s="50">
        <v>2169.38</v>
      </c>
      <c r="AC642" s="51">
        <v>0</v>
      </c>
      <c r="AD642" s="38">
        <f>IF(ISNUMBER($AB642),$AB642*(1+N($AC642)),"")</f>
      </c>
      <c r="AE642" s="50">
        <v>350</v>
      </c>
      <c r="AF642" s="50">
        <v>0</v>
      </c>
      <c r="AG642" s="51"/>
      <c r="AH642" s="39">
        <f>IF(ISNUMBER($AD642),($AD642+$AE642+$AF642)*$AG642,"")</f>
      </c>
      <c r="AI642" s="50"/>
      <c r="AJ642" s="38">
        <f>IF(ISNUMBER($AD642),SUM($AD642:$AH642),"")</f>
      </c>
      <c r="AK642" s="40">
        <f>IF(AND(ISNUMBER($AB642),ISNUMBER($AD642)),IF($AB642&gt;0,$AD642/$AB642,""),"")</f>
      </c>
      <c r="AL642" s="48" t="inlineStr">
        <is>
          <t xml:space="preserve">At technical</t>
        </is>
      </c>
      <c r="AM642" s="41">
        <f>IF(ISNUMBER($AD642),Header!$I$3,"")</f>
      </c>
      <c r="AN642" s="39">
        <f>IF(ISNUMBER($AD642),$AO642+$AP642,"")</f>
      </c>
      <c r="AO642" s="39">
        <f>IF(ISNUMBER($AD642),ROUND($AD642*Header!$K$3,2),"")</f>
      </c>
      <c r="AP642" s="39">
        <f>IF(ISNUMBER($AD642),ROUND($AD642*Header!$M$3,2),"")</f>
      </c>
      <c r="AQ642" s="38">
        <f>IF(ISNUMBER($AD642),ROUND($AD642,2)-$AO642-$AP642,"")</f>
      </c>
      <c r="AR642" s="39">
        <f>IF(ISNUMBER($AD642),IF(Header!$D$34="","?",$AD642*Header!$D$34),"")</f>
      </c>
      <c r="AS642" s="39">
        <f>IF(ISNUMBER($AB642),IF(Header!$D$34="","?",$AB642*Header!$D$34),"")</f>
      </c>
      <c r="AT642" s="42">
        <f>IF(AND(ISNUMBER($AB642),$M642&gt;0),$AB642/$M642*100,"")</f>
      </c>
      <c r="AU642" s="42">
        <f>IF(AND(ISNUMBER($AD642),$M642&gt;0),$AD642/$M642*100,"")</f>
      </c>
      <c r="AV642" s="40">
        <f>IF(AND(ISNUMBER($AB642),ISNUMBER($AD642),ABS($AB642)&gt;0),$AD642/$AB642,"")</f>
      </c>
      <c r="AW642" s="39">
        <f>IF(ISNUMBER($AD642),MAX(0,(1-0.55-Header!$O$3)*Header!$Q$3*$AQ642),"")</f>
      </c>
      <c r="AX642" s="43">
        <f>IF($A642="","",IF(TRIM(IF($A642="","Missing certificate ref. ","") &amp; IF($C642="","Missing effective date. ","") &amp; IF($D642="","Missing binding status. ","") &amp; IF($E642="","Missing movement type. ","") &amp; IF($I642="","Missing make. ","") &amp; IF($L642="","Missing vehicle class. ","") &amp; IF($M642="","Missing agreed value. ","") &amp; IF($N642="","Missing policy type. ","") &amp; IF($Q642="","Missing garaging state. ","") &amp; IF($R642="","Missing garaging ZIP. ","") &amp; IF($S642="","Missing cat zone. ","") &amp; IF($V642="","Missing valuation basis. ","") &amp; IF($W642="","Missing PD deductible. ","") &amp; IF($X642="","Missing liability limit. ","") &amp; IF($AB642="","Missing technical premium. ","") &amp; IF($AF642="","Missing surplus lines tax %. ",""))="","PASS","FAIL: "&amp;TRIM(IF($A642="","Missing certificate ref. ","") &amp; IF($C642="","Missing effective date. ","") &amp; IF($D642="","Missing binding status. ","") &amp; IF($E642="","Missing movement type. ","") &amp; IF($I642="","Missing make. ","") &amp; IF($L642="","Missing vehicle class. ","") &amp; IF($M642="","Missing agreed value. ","") &amp; IF($N642="","Missing policy type. ","") &amp; IF($Q642="","Missing garaging state. ","") &amp; IF($R642="","Missing garaging ZIP. ","") &amp; IF($S642="","Missing cat zone. ","") &amp; IF($V642="","Missing valuation basis. ","") &amp; IF($W642="","Missing PD deductible. ","") &amp; IF($X642="","Missing liability limit. ","") &amp; IF($AB642="","Missing technical premium. ","") &amp; IF($AF642="","Missing surplus lines tax %. ",""))))</f>
      </c>
      <c r="AY642" s="44">
        <f>IF($M642="","",IF(ISNUMBER($M642),IF($M642&gt;=Header!$C$18,"YES — refer","No"),""))</f>
      </c>
      <c r="AZ642" s="44">
        <f>IF($AD642="","",IF(ISNUMBER($AD642),IF($AD642&lt;Header!$C$20,"BELOW MIN PREMIUM","OK"),""))</f>
      </c>
      <c r="BA642" s="48" t="inlineStr">
        <is>
          <t xml:space="preserve">Yes</t>
        </is>
      </c>
      <c r="BB642" s="48" t="inlineStr">
        <is>
          <t xml:space="preserve">Yes</t>
        </is>
      </c>
      <c r="BC642" s="46" t="inlineStr">
        <is>
          <t xml:space="preserve">Synthetic demo data</t>
        </is>
      </c>
      <c r="BE642" s="45">
        <f>IF(OR($A642="",$L642="",$H642=""),"",IF(AND(LEFT($L642,2)="06",$H642&gt;1945),"FAIL - pre-war class, year "&amp;$H642,IF(AND(LEFT($L642,2)="07",OR($H642&lt;1946,$H642&gt;1972)),"FAIL - 1946-72 class, year "&amp;$H642,IF(AND(LEFT($L642,2)="08",OR($H642&lt;1973,$H642&gt;1999)),"FAIL - 1973-99 class, year "&amp;$H642,IF(AND(LEFT($L642,2)="09",OR($H642&lt;2000,$H642&gt;2010)),"FAIL - 2000-10 class, year "&amp;$H642,"OK")))))</f>
      </c>
      <c r="BF642" s="45">
        <f>IF($AD642="","",IF(ROUND($AO642+$AP642+$AQ642-$AD642,2)=0,"OK","FAIL - out by "&amp;TEXT($AO642+$AP642+$AQ642-$AD642,"$0.00")))</f>
      </c>
    </row>
    <row r="643" spans="1:58" ht="18.75" customHeight="1" x14ac:dyDescent="0.25">
      <c r="A643" s="30" t="inlineStr">
        <is>
          <t xml:space="preserve">CANON-202606-009277</t>
        </is>
      </c>
      <c r="B643" s="30" t="inlineStr">
        <is>
          <t xml:space="preserve">Mireille Vandermeer</t>
        </is>
      </c>
      <c r="C643" s="31">
        <v>46183</v>
      </c>
      <c r="D643" s="32" t="inlineStr">
        <is>
          <t xml:space="preserve">Bound - within authority</t>
        </is>
      </c>
      <c r="E643" s="32" t="inlineStr">
        <is>
          <t xml:space="preserve">New business</t>
        </is>
      </c>
      <c r="F643" s="30" t="inlineStr">
        <is>
          <t xml:space="preserve">B1234EXOTIC26</t>
        </is>
      </c>
      <c r="G643" s="33">
        <f>IF($A643="","",IF($C643="","",YEAR($C643)))</f>
      </c>
      <c r="H643" s="34">
        <v>2009</v>
      </c>
      <c r="I643" s="30" t="inlineStr">
        <is>
          <t xml:space="preserve">Porsche</t>
        </is>
      </c>
      <c r="J643" s="30" t="inlineStr">
        <is>
          <t xml:space="preserve">911 Turbo S</t>
        </is>
      </c>
      <c r="K643" s="30" t="inlineStr">
        <is>
          <t xml:space="preserve">XF0YBLD13KBL812S0</t>
        </is>
      </c>
      <c r="L643" s="32" t="inlineStr">
        <is>
          <t xml:space="preserve">02 - Sports / GT</t>
        </is>
      </c>
      <c r="M643" s="35">
        <v>660000</v>
      </c>
      <c r="N643" s="32" t="inlineStr">
        <is>
          <t xml:space="preserve">Personal</t>
        </is>
      </c>
      <c r="O643" s="30" t="inlineStr">
        <is>
          <t xml:space="preserve">Personal - regular use</t>
        </is>
      </c>
      <c r="P643" s="30" t="inlineStr">
        <is>
          <t xml:space="preserve">Under 1,000</t>
        </is>
      </c>
      <c r="Q643" s="30" t="inlineStr">
        <is>
          <t xml:space="preserve">Tennessee</t>
        </is>
      </c>
      <c r="R643" s="30" t="inlineStr">
        <is>
          <t xml:space="preserve">37203</t>
        </is>
      </c>
      <c r="S643" s="32" t="inlineStr">
        <is>
          <t xml:space="preserve">Severe convective - hail / tornado (moderate)</t>
        </is>
      </c>
      <c r="T643" s="36">
        <f>IF($A643="","",IF($S643="","",IFERROR(INDEX('[1]natural catastrophe'!$D$6:$D$17,MATCH($S643,'[1]natural catastrophe'!$B$6:$B$17,0)),"?")))</f>
      </c>
      <c r="U643" s="30" t="inlineStr">
        <is>
          <t xml:space="preserve">$5,000</t>
        </is>
      </c>
      <c r="V643" s="32" t="inlineStr">
        <is>
          <t xml:space="preserve">Agreed Value</t>
        </is>
      </c>
      <c r="W643" s="30" t="inlineStr">
        <is>
          <t xml:space="preserve">$1,000</t>
        </is>
      </c>
      <c r="X643" s="32" t="inlineStr">
        <is>
          <t xml:space="preserve">$1,000,000 CSL</t>
        </is>
      </c>
      <c r="Y643" s="30"/>
      <c r="Z643" s="30"/>
      <c r="AA643" s="32" t="inlineStr">
        <is>
          <t xml:space="preserve">Surplus Lines</t>
        </is>
      </c>
      <c r="AB643" s="35">
        <v>6066.74</v>
      </c>
      <c r="AC643" s="37">
        <v>0</v>
      </c>
      <c r="AD643" s="38">
        <f>IF(ISNUMBER($AB643),$AB643*(1+N($AC643)),"")</f>
      </c>
      <c r="AE643" s="35">
        <v>350</v>
      </c>
      <c r="AF643" s="35">
        <v>0</v>
      </c>
      <c r="AG643" s="37"/>
      <c r="AH643" s="39">
        <f>IF(ISNUMBER($AD643),($AD643+$AE643+$AF643)*$AG643,"")</f>
      </c>
      <c r="AI643" s="35"/>
      <c r="AJ643" s="38">
        <f>IF(ISNUMBER($AD643),SUM($AD643:$AH643),"")</f>
      </c>
      <c r="AK643" s="40">
        <f>IF(AND(ISNUMBER($AB643),ISNUMBER($AD643)),IF($AB643&gt;0,$AD643/$AB643,""),"")</f>
      </c>
      <c r="AL643" s="32" t="inlineStr">
        <is>
          <t xml:space="preserve">At technical</t>
        </is>
      </c>
      <c r="AM643" s="41">
        <f>IF(ISNUMBER($AD643),Header!$I$3,"")</f>
      </c>
      <c r="AN643" s="39">
        <f>IF(ISNUMBER($AD643),$AO643+$AP643,"")</f>
      </c>
      <c r="AO643" s="39">
        <f>IF(ISNUMBER($AD643),ROUND($AD643*Header!$K$3,2),"")</f>
      </c>
      <c r="AP643" s="39">
        <f>IF(ISNUMBER($AD643),ROUND($AD643*Header!$M$3,2),"")</f>
      </c>
      <c r="AQ643" s="38">
        <f>IF(ISNUMBER($AD643),ROUND($AD643,2)-$AO643-$AP643,"")</f>
      </c>
      <c r="AR643" s="39">
        <f>IF(ISNUMBER($AD643),IF(Header!$D$34="","?",$AD643*Header!$D$34),"")</f>
      </c>
      <c r="AS643" s="39">
        <f>IF(ISNUMBER($AB643),IF(Header!$D$34="","?",$AB643*Header!$D$34),"")</f>
      </c>
      <c r="AT643" s="42">
        <f>IF(AND(ISNUMBER($AB643),$M643&gt;0),$AB643/$M643*100,"")</f>
      </c>
      <c r="AU643" s="42">
        <f>IF(AND(ISNUMBER($AD643),$M643&gt;0),$AD643/$M643*100,"")</f>
      </c>
      <c r="AV643" s="40">
        <f>IF(AND(ISNUMBER($AB643),ISNUMBER($AD643),ABS($AB643)&gt;0),$AD643/$AB643,"")</f>
      </c>
      <c r="AW643" s="39">
        <f>IF(ISNUMBER($AD643),MAX(0,(1-0.55-Header!$O$3)*Header!$Q$3*$AQ643),"")</f>
      </c>
      <c r="AX643" s="43">
        <f>IF($A643="","",IF(TRIM(IF($A643="","Missing certificate ref. ","") &amp; IF($C643="","Missing effective date. ","") &amp; IF($D643="","Missing binding status. ","") &amp; IF($E643="","Missing movement type. ","") &amp; IF($I643="","Missing make. ","") &amp; IF($L643="","Missing vehicle class. ","") &amp; IF($M643="","Missing agreed value. ","") &amp; IF($N643="","Missing policy type. ","") &amp; IF($Q643="","Missing garaging state. ","") &amp; IF($R643="","Missing garaging ZIP. ","") &amp; IF($S643="","Missing cat zone. ","") &amp; IF($V643="","Missing valuation basis. ","") &amp; IF($W643="","Missing PD deductible. ","") &amp; IF($X643="","Missing liability limit. ","") &amp; IF($AB643="","Missing technical premium. ","") &amp; IF($AF643="","Missing surplus lines tax %. ",""))="","PASS","FAIL: "&amp;TRIM(IF($A643="","Missing certificate ref. ","") &amp; IF($C643="","Missing effective date. ","") &amp; IF($D643="","Missing binding status. ","") &amp; IF($E643="","Missing movement type. ","") &amp; IF($I643="","Missing make. ","") &amp; IF($L643="","Missing vehicle class. ","") &amp; IF($M643="","Missing agreed value. ","") &amp; IF($N643="","Missing policy type. ","") &amp; IF($Q643="","Missing garaging state. ","") &amp; IF($R643="","Missing garaging ZIP. ","") &amp; IF($S643="","Missing cat zone. ","") &amp; IF($V643="","Missing valuation basis. ","") &amp; IF($W643="","Missing PD deductible. ","") &amp; IF($X643="","Missing liability limit. ","") &amp; IF($AB643="","Missing technical premium. ","") &amp; IF($AF643="","Missing surplus lines tax %. ",""))))</f>
      </c>
      <c r="AY643" s="44">
        <f>IF($M643="","",IF(ISNUMBER($M643),IF($M643&gt;=Header!$C$18,"YES — refer","No"),""))</f>
      </c>
      <c r="AZ643" s="44">
        <f>IF($AD643="","",IF(ISNUMBER($AD643),IF($AD643&lt;Header!$C$20,"BELOW MIN PREMIUM","OK"),""))</f>
      </c>
      <c r="BA643" s="32" t="inlineStr">
        <is>
          <t xml:space="preserve">Yes</t>
        </is>
      </c>
      <c r="BB643" s="32" t="inlineStr">
        <is>
          <t xml:space="preserve">Yes</t>
        </is>
      </c>
      <c r="BC643" s="30" t="inlineStr">
        <is>
          <t xml:space="preserve">Synthetic demo data</t>
        </is>
      </c>
      <c r="BE643" s="45">
        <f>IF(OR($A643="",$L643="",$H643=""),"",IF(AND(LEFT($L643,2)="06",$H643&gt;1945),"FAIL - pre-war class, year "&amp;$H643,IF(AND(LEFT($L643,2)="07",OR($H643&lt;1946,$H643&gt;1972)),"FAIL - 1946-72 class, year "&amp;$H643,IF(AND(LEFT($L643,2)="08",OR($H643&lt;1973,$H643&gt;1999)),"FAIL - 1973-99 class, year "&amp;$H643,IF(AND(LEFT($L643,2)="09",OR($H643&lt;2000,$H643&gt;2010)),"FAIL - 2000-10 class, year "&amp;$H643,"OK")))))</f>
      </c>
      <c r="BF643" s="45">
        <f>IF($AD643="","",IF(ROUND($AO643+$AP643+$AQ643-$AD643,2)=0,"OK","FAIL - out by "&amp;TEXT($AO643+$AP643+$AQ643-$AD643,"$0.00")))</f>
      </c>
    </row>
    <row r="644" spans="1:58" ht="18.75" customHeight="1" x14ac:dyDescent="0.25">
      <c r="A644" s="46" t="inlineStr">
        <is>
          <t xml:space="preserve">CANON-202606-009279</t>
        </is>
      </c>
      <c r="B644" s="46" t="inlineStr">
        <is>
          <t xml:space="preserve">Fitzgerald Rourke</t>
        </is>
      </c>
      <c r="C644" s="47">
        <v>46202</v>
      </c>
      <c r="D644" s="48" t="inlineStr">
        <is>
          <t xml:space="preserve">Bound - within authority</t>
        </is>
      </c>
      <c r="E644" s="48" t="inlineStr">
        <is>
          <t xml:space="preserve">New business</t>
        </is>
      </c>
      <c r="F644" s="46" t="inlineStr">
        <is>
          <t xml:space="preserve">B1234EXOTIC26</t>
        </is>
      </c>
      <c r="G644" s="33">
        <f>IF($A644="","",IF($C644="","",YEAR($C644)))</f>
      </c>
      <c r="H644" s="49">
        <v>1990</v>
      </c>
      <c r="I644" s="46" t="inlineStr">
        <is>
          <t xml:space="preserve">Maserati</t>
        </is>
      </c>
      <c r="J644" s="46" t="inlineStr">
        <is>
          <t xml:space="preserve">GranTurismo</t>
        </is>
      </c>
      <c r="K644" s="46" t="inlineStr">
        <is>
          <t xml:space="preserve">D0H41AH1A2N23Y2PN</t>
        </is>
      </c>
      <c r="L644" s="48" t="inlineStr">
        <is>
          <t xml:space="preserve">02 - Sports / GT</t>
        </is>
      </c>
      <c r="M644" s="50">
        <v>665000</v>
      </c>
      <c r="N644" s="48" t="inlineStr">
        <is>
          <t xml:space="preserve">Personal</t>
        </is>
      </c>
      <c r="O644" s="46" t="inlineStr">
        <is>
          <t xml:space="preserve">Personal - regular use</t>
        </is>
      </c>
      <c r="P644" s="46" t="inlineStr">
        <is>
          <t xml:space="preserve">Under 1,000</t>
        </is>
      </c>
      <c r="Q644" s="46" t="inlineStr">
        <is>
          <t xml:space="preserve">Arkansas</t>
        </is>
      </c>
      <c r="R644" s="46" t="inlineStr">
        <is>
          <t xml:space="preserve">72201</t>
        </is>
      </c>
      <c r="S644" s="48" t="inlineStr">
        <is>
          <t xml:space="preserve">Severe convective - hail / tornado (moderate)</t>
        </is>
      </c>
      <c r="T644" s="36">
        <f>IF($A644="","",IF($S644="","",IFERROR(INDEX('[1]natural catastrophe'!$D$6:$D$17,MATCH($S644,'[1]natural catastrophe'!$B$6:$B$17,0)),"?")))</f>
      </c>
      <c r="U644" s="46" t="inlineStr">
        <is>
          <t xml:space="preserve">$5,000</t>
        </is>
      </c>
      <c r="V644" s="48" t="inlineStr">
        <is>
          <t xml:space="preserve">Agreed Value</t>
        </is>
      </c>
      <c r="W644" s="46" t="inlineStr">
        <is>
          <t xml:space="preserve">$1,000</t>
        </is>
      </c>
      <c r="X644" s="48" t="inlineStr">
        <is>
          <t xml:space="preserve">$1,000,000 CSL</t>
        </is>
      </c>
      <c r="Y644" s="46"/>
      <c r="Z644" s="46"/>
      <c r="AA644" s="48" t="inlineStr">
        <is>
          <t xml:space="preserve">Surplus Lines</t>
        </is>
      </c>
      <c r="AB644" s="50">
        <v>8607.68</v>
      </c>
      <c r="AC644" s="51">
        <v>0</v>
      </c>
      <c r="AD644" s="38">
        <f>IF(ISNUMBER($AB644),$AB644*(1+N($AC644)),"")</f>
      </c>
      <c r="AE644" s="50">
        <v>350</v>
      </c>
      <c r="AF644" s="50">
        <v>0</v>
      </c>
      <c r="AG644" s="51"/>
      <c r="AH644" s="39">
        <f>IF(ISNUMBER($AD644),($AD644+$AE644+$AF644)*$AG644,"")</f>
      </c>
      <c r="AI644" s="50"/>
      <c r="AJ644" s="38">
        <f>IF(ISNUMBER($AD644),SUM($AD644:$AH644),"")</f>
      </c>
      <c r="AK644" s="40">
        <f>IF(AND(ISNUMBER($AB644),ISNUMBER($AD644)),IF($AB644&gt;0,$AD644/$AB644,""),"")</f>
      </c>
      <c r="AL644" s="48" t="inlineStr">
        <is>
          <t xml:space="preserve">At technical</t>
        </is>
      </c>
      <c r="AM644" s="41">
        <f>IF(ISNUMBER($AD644),Header!$I$3,"")</f>
      </c>
      <c r="AN644" s="39">
        <f>IF(ISNUMBER($AD644),$AO644+$AP644,"")</f>
      </c>
      <c r="AO644" s="39">
        <f>IF(ISNUMBER($AD644),ROUND($AD644*Header!$K$3,2),"")</f>
      </c>
      <c r="AP644" s="39">
        <f>IF(ISNUMBER($AD644),ROUND($AD644*Header!$M$3,2),"")</f>
      </c>
      <c r="AQ644" s="38">
        <f>IF(ISNUMBER($AD644),ROUND($AD644,2)-$AO644-$AP644,"")</f>
      </c>
      <c r="AR644" s="39">
        <f>IF(ISNUMBER($AD644),IF(Header!$D$34="","?",$AD644*Header!$D$34),"")</f>
      </c>
      <c r="AS644" s="39">
        <f>IF(ISNUMBER($AB644),IF(Header!$D$34="","?",$AB644*Header!$D$34),"")</f>
      </c>
      <c r="AT644" s="42">
        <f>IF(AND(ISNUMBER($AB644),$M644&gt;0),$AB644/$M644*100,"")</f>
      </c>
      <c r="AU644" s="42">
        <f>IF(AND(ISNUMBER($AD644),$M644&gt;0),$AD644/$M644*100,"")</f>
      </c>
      <c r="AV644" s="40">
        <f>IF(AND(ISNUMBER($AB644),ISNUMBER($AD644),ABS($AB644)&gt;0),$AD644/$AB644,"")</f>
      </c>
      <c r="AW644" s="39">
        <f>IF(ISNUMBER($AD644),MAX(0,(1-0.55-Header!$O$3)*Header!$Q$3*$AQ644),"")</f>
      </c>
      <c r="AX644" s="43">
        <f>IF($A644="","",IF(TRIM(IF($A644="","Missing certificate ref. ","") &amp; IF($C644="","Missing effective date. ","") &amp; IF($D644="","Missing binding status. ","") &amp; IF($E644="","Missing movement type. ","") &amp; IF($I644="","Missing make. ","") &amp; IF($L644="","Missing vehicle class. ","") &amp; IF($M644="","Missing agreed value. ","") &amp; IF($N644="","Missing policy type. ","") &amp; IF($Q644="","Missing garaging state. ","") &amp; IF($R644="","Missing garaging ZIP. ","") &amp; IF($S644="","Missing cat zone. ","") &amp; IF($V644="","Missing valuation basis. ","") &amp; IF($W644="","Missing PD deductible. ","") &amp; IF($X644="","Missing liability limit. ","") &amp; IF($AB644="","Missing technical premium. ","") &amp; IF($AF644="","Missing surplus lines tax %. ",""))="","PASS","FAIL: "&amp;TRIM(IF($A644="","Missing certificate ref. ","") &amp; IF($C644="","Missing effective date. ","") &amp; IF($D644="","Missing binding status. ","") &amp; IF($E644="","Missing movement type. ","") &amp; IF($I644="","Missing make. ","") &amp; IF($L644="","Missing vehicle class. ","") &amp; IF($M644="","Missing agreed value. ","") &amp; IF($N644="","Missing policy type. ","") &amp; IF($Q644="","Missing garaging state. ","") &amp; IF($R644="","Missing garaging ZIP. ","") &amp; IF($S644="","Missing cat zone. ","") &amp; IF($V644="","Missing valuation basis. ","") &amp; IF($W644="","Missing PD deductible. ","") &amp; IF($X644="","Missing liability limit. ","") &amp; IF($AB644="","Missing technical premium. ","") &amp; IF($AF644="","Missing surplus lines tax %. ",""))))</f>
      </c>
      <c r="AY644" s="44">
        <f>IF($M644="","",IF(ISNUMBER($M644),IF($M644&gt;=Header!$C$18,"YES — refer","No"),""))</f>
      </c>
      <c r="AZ644" s="44">
        <f>IF($AD644="","",IF(ISNUMBER($AD644),IF($AD644&lt;Header!$C$20,"BELOW MIN PREMIUM","OK"),""))</f>
      </c>
      <c r="BA644" s="48" t="inlineStr">
        <is>
          <t xml:space="preserve">Yes</t>
        </is>
      </c>
      <c r="BB644" s="48" t="inlineStr">
        <is>
          <t xml:space="preserve">Yes</t>
        </is>
      </c>
      <c r="BC644" s="46" t="inlineStr">
        <is>
          <t xml:space="preserve">Synthetic demo data</t>
        </is>
      </c>
      <c r="BE644" s="45">
        <f>IF(OR($A644="",$L644="",$H644=""),"",IF(AND(LEFT($L644,2)="06",$H644&gt;1945),"FAIL - pre-war class, year "&amp;$H644,IF(AND(LEFT($L644,2)="07",OR($H644&lt;1946,$H644&gt;1972)),"FAIL - 1946-72 class, year "&amp;$H644,IF(AND(LEFT($L644,2)="08",OR($H644&lt;1973,$H644&gt;1999)),"FAIL - 1973-99 class, year "&amp;$H644,IF(AND(LEFT($L644,2)="09",OR($H644&lt;2000,$H644&gt;2010)),"FAIL - 2000-10 class, year "&amp;$H644,"OK")))))</f>
      </c>
      <c r="BF644" s="45">
        <f>IF($AD644="","",IF(ROUND($AO644+$AP644+$AQ644-$AD644,2)=0,"OK","FAIL - out by "&amp;TEXT($AO644+$AP644+$AQ644-$AD644,"$0.00")))</f>
      </c>
    </row>
    <row r="645" spans="1:58" ht="18.75" customHeight="1" x14ac:dyDescent="0.25">
      <c r="A645" s="30" t="inlineStr">
        <is>
          <t xml:space="preserve">CANON-202606-009280</t>
        </is>
      </c>
      <c r="B645" s="30" t="inlineStr">
        <is>
          <t xml:space="preserve">Lorenzo Rourke</t>
        </is>
      </c>
      <c r="C645" s="31">
        <v>46181</v>
      </c>
      <c r="D645" s="32" t="inlineStr">
        <is>
          <t xml:space="preserve">Bound - within authority</t>
        </is>
      </c>
      <c r="E645" s="32" t="inlineStr">
        <is>
          <t xml:space="preserve">New business</t>
        </is>
      </c>
      <c r="F645" s="30" t="inlineStr">
        <is>
          <t xml:space="preserve">B1234EXOTIC26</t>
        </is>
      </c>
      <c r="G645" s="33">
        <f>IF($A645="","",IF($C645="","",YEAR($C645)))</f>
      </c>
      <c r="H645" s="34">
        <v>1986</v>
      </c>
      <c r="I645" s="30" t="inlineStr">
        <is>
          <t xml:space="preserve">Mercedes-Benz</t>
        </is>
      </c>
      <c r="J645" s="30" t="inlineStr">
        <is>
          <t xml:space="preserve">AMG GT</t>
        </is>
      </c>
      <c r="K645" s="30" t="inlineStr">
        <is>
          <t xml:space="preserve">HXM75KUWRL11ZCHLM</t>
        </is>
      </c>
      <c r="L645" s="32" t="inlineStr">
        <is>
          <t xml:space="preserve">02 - Sports / GT</t>
        </is>
      </c>
      <c r="M645" s="35">
        <v>245000</v>
      </c>
      <c r="N645" s="32" t="inlineStr">
        <is>
          <t xml:space="preserve">Personal</t>
        </is>
      </c>
      <c r="O645" s="30" t="inlineStr">
        <is>
          <t xml:space="preserve">Personal - regular use</t>
        </is>
      </c>
      <c r="P645" s="30" t="inlineStr">
        <is>
          <t xml:space="preserve">Under 1,000</t>
        </is>
      </c>
      <c r="Q645" s="30" t="inlineStr">
        <is>
          <t xml:space="preserve">Rhode Island</t>
        </is>
      </c>
      <c r="R645" s="30" t="inlineStr">
        <is>
          <t xml:space="preserve">02903</t>
        </is>
      </c>
      <c r="S645" s="32" t="inlineStr">
        <is>
          <t xml:space="preserve">Tier 3 - Coastal wind (25-100 miles)</t>
        </is>
      </c>
      <c r="T645" s="36">
        <f>IF($A645="","",IF($S645="","",IFERROR(INDEX('[1]natural catastrophe'!$D$6:$D$17,MATCH($S645,'[1]natural catastrophe'!$B$6:$B$17,0)),"?")))</f>
      </c>
      <c r="U645" s="30" t="inlineStr">
        <is>
          <t xml:space="preserve">2% of agreed value, minimum $10,000</t>
        </is>
      </c>
      <c r="V645" s="32" t="inlineStr">
        <is>
          <t xml:space="preserve">Agreed Value</t>
        </is>
      </c>
      <c r="W645" s="30" t="inlineStr">
        <is>
          <t xml:space="preserve">$1,000</t>
        </is>
      </c>
      <c r="X645" s="32" t="inlineStr">
        <is>
          <t xml:space="preserve">$1,000,000 CSL</t>
        </is>
      </c>
      <c r="Y645" s="30"/>
      <c r="Z645" s="30"/>
      <c r="AA645" s="32" t="inlineStr">
        <is>
          <t xml:space="preserve">Surplus Lines</t>
        </is>
      </c>
      <c r="AB645" s="35">
        <v>4456.02</v>
      </c>
      <c r="AC645" s="37">
        <v>0</v>
      </c>
      <c r="AD645" s="38">
        <f>IF(ISNUMBER($AB645),$AB645*(1+N($AC645)),"")</f>
      </c>
      <c r="AE645" s="35">
        <v>350</v>
      </c>
      <c r="AF645" s="35">
        <v>0</v>
      </c>
      <c r="AG645" s="37"/>
      <c r="AH645" s="39">
        <f>IF(ISNUMBER($AD645),($AD645+$AE645+$AF645)*$AG645,"")</f>
      </c>
      <c r="AI645" s="35"/>
      <c r="AJ645" s="38">
        <f>IF(ISNUMBER($AD645),SUM($AD645:$AH645),"")</f>
      </c>
      <c r="AK645" s="40">
        <f>IF(AND(ISNUMBER($AB645),ISNUMBER($AD645)),IF($AB645&gt;0,$AD645/$AB645,""),"")</f>
      </c>
      <c r="AL645" s="32" t="inlineStr">
        <is>
          <t xml:space="preserve">At technical</t>
        </is>
      </c>
      <c r="AM645" s="41">
        <f>IF(ISNUMBER($AD645),Header!$I$3,"")</f>
      </c>
      <c r="AN645" s="39">
        <f>IF(ISNUMBER($AD645),$AO645+$AP645,"")</f>
      </c>
      <c r="AO645" s="39">
        <f>IF(ISNUMBER($AD645),ROUND($AD645*Header!$K$3,2),"")</f>
      </c>
      <c r="AP645" s="39">
        <f>IF(ISNUMBER($AD645),ROUND($AD645*Header!$M$3,2),"")</f>
      </c>
      <c r="AQ645" s="38">
        <f>IF(ISNUMBER($AD645),ROUND($AD645,2)-$AO645-$AP645,"")</f>
      </c>
      <c r="AR645" s="39">
        <f>IF(ISNUMBER($AD645),IF(Header!$D$34="","?",$AD645*Header!$D$34),"")</f>
      </c>
      <c r="AS645" s="39">
        <f>IF(ISNUMBER($AB645),IF(Header!$D$34="","?",$AB645*Header!$D$34),"")</f>
      </c>
      <c r="AT645" s="42">
        <f>IF(AND(ISNUMBER($AB645),$M645&gt;0),$AB645/$M645*100,"")</f>
      </c>
      <c r="AU645" s="42">
        <f>IF(AND(ISNUMBER($AD645),$M645&gt;0),$AD645/$M645*100,"")</f>
      </c>
      <c r="AV645" s="40">
        <f>IF(AND(ISNUMBER($AB645),ISNUMBER($AD645),ABS($AB645)&gt;0),$AD645/$AB645,"")</f>
      </c>
      <c r="AW645" s="39">
        <f>IF(ISNUMBER($AD645),MAX(0,(1-0.55-Header!$O$3)*Header!$Q$3*$AQ645),"")</f>
      </c>
      <c r="AX645" s="43">
        <f>IF($A645="","",IF(TRIM(IF($A645="","Missing certificate ref. ","") &amp; IF($C645="","Missing effective date. ","") &amp; IF($D645="","Missing binding status. ","") &amp; IF($E645="","Missing movement type. ","") &amp; IF($I645="","Missing make. ","") &amp; IF($L645="","Missing vehicle class. ","") &amp; IF($M645="","Missing agreed value. ","") &amp; IF($N645="","Missing policy type. ","") &amp; IF($Q645="","Missing garaging state. ","") &amp; IF($R645="","Missing garaging ZIP. ","") &amp; IF($S645="","Missing cat zone. ","") &amp; IF($V645="","Missing valuation basis. ","") &amp; IF($W645="","Missing PD deductible. ","") &amp; IF($X645="","Missing liability limit. ","") &amp; IF($AB645="","Missing technical premium. ","") &amp; IF($AF645="","Missing surplus lines tax %. ",""))="","PASS","FAIL: "&amp;TRIM(IF($A645="","Missing certificate ref. ","") &amp; IF($C645="","Missing effective date. ","") &amp; IF($D645="","Missing binding status. ","") &amp; IF($E645="","Missing movement type. ","") &amp; IF($I645="","Missing make. ","") &amp; IF($L645="","Missing vehicle class. ","") &amp; IF($M645="","Missing agreed value. ","") &amp; IF($N645="","Missing policy type. ","") &amp; IF($Q645="","Missing garaging state. ","") &amp; IF($R645="","Missing garaging ZIP. ","") &amp; IF($S645="","Missing cat zone. ","") &amp; IF($V645="","Missing valuation basis. ","") &amp; IF($W645="","Missing PD deductible. ","") &amp; IF($X645="","Missing liability limit. ","") &amp; IF($AB645="","Missing technical premium. ","") &amp; IF($AF645="","Missing surplus lines tax %. ",""))))</f>
      </c>
      <c r="AY645" s="44">
        <f>IF($M645="","",IF(ISNUMBER($M645),IF($M645&gt;=Header!$C$18,"YES — refer","No"),""))</f>
      </c>
      <c r="AZ645" s="44">
        <f>IF($AD645="","",IF(ISNUMBER($AD645),IF($AD645&lt;Header!$C$20,"BELOW MIN PREMIUM","OK"),""))</f>
      </c>
      <c r="BA645" s="32" t="inlineStr">
        <is>
          <t xml:space="preserve">Yes</t>
        </is>
      </c>
      <c r="BB645" s="32" t="inlineStr">
        <is>
          <t xml:space="preserve">Yes</t>
        </is>
      </c>
      <c r="BC645" s="30" t="inlineStr">
        <is>
          <t xml:space="preserve">Synthetic demo data</t>
        </is>
      </c>
      <c r="BE645" s="45">
        <f>IF(OR($A645="",$L645="",$H645=""),"",IF(AND(LEFT($L645,2)="06",$H645&gt;1945),"FAIL - pre-war class, year "&amp;$H645,IF(AND(LEFT($L645,2)="07",OR($H645&lt;1946,$H645&gt;1972)),"FAIL - 1946-72 class, year "&amp;$H645,IF(AND(LEFT($L645,2)="08",OR($H645&lt;1973,$H645&gt;1999)),"FAIL - 1973-99 class, year "&amp;$H645,IF(AND(LEFT($L645,2)="09",OR($H645&lt;2000,$H645&gt;2010)),"FAIL - 2000-10 class, year "&amp;$H645,"OK")))))</f>
      </c>
      <c r="BF645" s="45">
        <f>IF($AD645="","",IF(ROUND($AO645+$AP645+$AQ645-$AD645,2)=0,"OK","FAIL - out by "&amp;TEXT($AO645+$AP645+$AQ645-$AD645,"$0.00")))</f>
      </c>
    </row>
    <row r="646" spans="1:58" ht="18.75" customHeight="1" x14ac:dyDescent="0.25">
      <c r="A646" s="46" t="inlineStr">
        <is>
          <t xml:space="preserve">CANON-202606-009282</t>
        </is>
      </c>
      <c r="B646" s="46" t="inlineStr">
        <is>
          <t xml:space="preserve">Fenwick Underwood</t>
        </is>
      </c>
      <c r="C646" s="47">
        <v>46191</v>
      </c>
      <c r="D646" s="48" t="inlineStr">
        <is>
          <t xml:space="preserve">Bound - within authority</t>
        </is>
      </c>
      <c r="E646" s="48" t="inlineStr">
        <is>
          <t xml:space="preserve">New business</t>
        </is>
      </c>
      <c r="F646" s="46" t="inlineStr">
        <is>
          <t xml:space="preserve">B1234EXOTIC26</t>
        </is>
      </c>
      <c r="G646" s="33">
        <f>IF($A646="","",IF($C646="","",YEAR($C646)))</f>
      </c>
      <c r="H646" s="49">
        <v>1997</v>
      </c>
      <c r="I646" s="46" t="inlineStr">
        <is>
          <t xml:space="preserve">McLaren</t>
        </is>
      </c>
      <c r="J646" s="46" t="inlineStr">
        <is>
          <t xml:space="preserve">750S</t>
        </is>
      </c>
      <c r="K646" s="46" t="inlineStr">
        <is>
          <t xml:space="preserve">VN4WFHNS7A6BECV6T</t>
        </is>
      </c>
      <c r="L646" s="48" t="inlineStr">
        <is>
          <t xml:space="preserve">03 - Supercar</t>
        </is>
      </c>
      <c r="M646" s="50">
        <v>1345000</v>
      </c>
      <c r="N646" s="48" t="inlineStr">
        <is>
          <t xml:space="preserve">Personal</t>
        </is>
      </c>
      <c r="O646" s="46" t="inlineStr">
        <is>
          <t xml:space="preserve">Personal - regular use</t>
        </is>
      </c>
      <c r="P646" s="46" t="inlineStr">
        <is>
          <t xml:space="preserve">1,000 - 2,500</t>
        </is>
      </c>
      <c r="Q646" s="46" t="inlineStr">
        <is>
          <t xml:space="preserve">South Carolina</t>
        </is>
      </c>
      <c r="R646" s="46" t="inlineStr">
        <is>
          <t xml:space="preserve">29401</t>
        </is>
      </c>
      <c r="S646" s="48" t="inlineStr">
        <is>
          <t xml:space="preserve">Tier 2 - Coastal wind (1-25 miles)</t>
        </is>
      </c>
      <c r="T646" s="36">
        <f>IF($A646="","",IF($S646="","",IFERROR(INDEX('[1]natural catastrophe'!$D$6:$D$17,MATCH($S646,'[1]natural catastrophe'!$B$6:$B$17,0)),"?")))</f>
      </c>
      <c r="U646" s="46" t="inlineStr">
        <is>
          <t xml:space="preserve">2% of agreed value, minimum $10,000</t>
        </is>
      </c>
      <c r="V646" s="48" t="inlineStr">
        <is>
          <t xml:space="preserve">Agreed Value</t>
        </is>
      </c>
      <c r="W646" s="46" t="inlineStr">
        <is>
          <t xml:space="preserve">$1,000</t>
        </is>
      </c>
      <c r="X646" s="48" t="inlineStr">
        <is>
          <t xml:space="preserve">$1,000,000 CSL</t>
        </is>
      </c>
      <c r="Y646" s="46"/>
      <c r="Z646" s="46"/>
      <c r="AA646" s="48" t="inlineStr">
        <is>
          <t xml:space="preserve">Surplus Lines</t>
        </is>
      </c>
      <c r="AB646" s="50">
        <v>19253.34</v>
      </c>
      <c r="AC646" s="51">
        <v>0</v>
      </c>
      <c r="AD646" s="38">
        <f>IF(ISNUMBER($AB646),$AB646*(1+N($AC646)),"")</f>
      </c>
      <c r="AE646" s="50">
        <v>350</v>
      </c>
      <c r="AF646" s="50">
        <v>250</v>
      </c>
      <c r="AG646" s="51"/>
      <c r="AH646" s="39">
        <f>IF(ISNUMBER($AD646),($AD646+$AE646+$AF646)*$AG646,"")</f>
      </c>
      <c r="AI646" s="50"/>
      <c r="AJ646" s="38">
        <f>IF(ISNUMBER($AD646),SUM($AD646:$AH646),"")</f>
      </c>
      <c r="AK646" s="40">
        <f>IF(AND(ISNUMBER($AB646),ISNUMBER($AD646)),IF($AB646&gt;0,$AD646/$AB646,""),"")</f>
      </c>
      <c r="AL646" s="48" t="inlineStr">
        <is>
          <t xml:space="preserve">At technical</t>
        </is>
      </c>
      <c r="AM646" s="41">
        <f>IF(ISNUMBER($AD646),Header!$I$3,"")</f>
      </c>
      <c r="AN646" s="39">
        <f>IF(ISNUMBER($AD646),$AO646+$AP646,"")</f>
      </c>
      <c r="AO646" s="39">
        <f>IF(ISNUMBER($AD646),ROUND($AD646*Header!$K$3,2),"")</f>
      </c>
      <c r="AP646" s="39">
        <f>IF(ISNUMBER($AD646),ROUND($AD646*Header!$M$3,2),"")</f>
      </c>
      <c r="AQ646" s="38">
        <f>IF(ISNUMBER($AD646),ROUND($AD646,2)-$AO646-$AP646,"")</f>
      </c>
      <c r="AR646" s="39">
        <f>IF(ISNUMBER($AD646),IF(Header!$D$34="","?",$AD646*Header!$D$34),"")</f>
      </c>
      <c r="AS646" s="39">
        <f>IF(ISNUMBER($AB646),IF(Header!$D$34="","?",$AB646*Header!$D$34),"")</f>
      </c>
      <c r="AT646" s="42">
        <f>IF(AND(ISNUMBER($AB646),$M646&gt;0),$AB646/$M646*100,"")</f>
      </c>
      <c r="AU646" s="42">
        <f>IF(AND(ISNUMBER($AD646),$M646&gt;0),$AD646/$M646*100,"")</f>
      </c>
      <c r="AV646" s="40">
        <f>IF(AND(ISNUMBER($AB646),ISNUMBER($AD646),ABS($AB646)&gt;0),$AD646/$AB646,"")</f>
      </c>
      <c r="AW646" s="39">
        <f>IF(ISNUMBER($AD646),MAX(0,(1-0.55-Header!$O$3)*Header!$Q$3*$AQ646),"")</f>
      </c>
      <c r="AX646" s="43">
        <f>IF($A646="","",IF(TRIM(IF($A646="","Missing certificate ref. ","") &amp; IF($C646="","Missing effective date. ","") &amp; IF($D646="","Missing binding status. ","") &amp; IF($E646="","Missing movement type. ","") &amp; IF($I646="","Missing make. ","") &amp; IF($L646="","Missing vehicle class. ","") &amp; IF($M646="","Missing agreed value. ","") &amp; IF($N646="","Missing policy type. ","") &amp; IF($Q646="","Missing garaging state. ","") &amp; IF($R646="","Missing garaging ZIP. ","") &amp; IF($S646="","Missing cat zone. ","") &amp; IF($V646="","Missing valuation basis. ","") &amp; IF($W646="","Missing PD deductible. ","") &amp; IF($X646="","Missing liability limit. ","") &amp; IF($AB646="","Missing technical premium. ","") &amp; IF($AF646="","Missing surplus lines tax %. ",""))="","PASS","FAIL: "&amp;TRIM(IF($A646="","Missing certificate ref. ","") &amp; IF($C646="","Missing effective date. ","") &amp; IF($D646="","Missing binding status. ","") &amp; IF($E646="","Missing movement type. ","") &amp; IF($I646="","Missing make. ","") &amp; IF($L646="","Missing vehicle class. ","") &amp; IF($M646="","Missing agreed value. ","") &amp; IF($N646="","Missing policy type. ","") &amp; IF($Q646="","Missing garaging state. ","") &amp; IF($R646="","Missing garaging ZIP. ","") &amp; IF($S646="","Missing cat zone. ","") &amp; IF($V646="","Missing valuation basis. ","") &amp; IF($W646="","Missing PD deductible. ","") &amp; IF($X646="","Missing liability limit. ","") &amp; IF($AB646="","Missing technical premium. ","") &amp; IF($AF646="","Missing surplus lines tax %. ",""))))</f>
      </c>
      <c r="AY646" s="44">
        <f>IF($M646="","",IF(ISNUMBER($M646),IF($M646&gt;=Header!$C$18,"YES — refer","No"),""))</f>
      </c>
      <c r="AZ646" s="44">
        <f>IF($AD646="","",IF(ISNUMBER($AD646),IF($AD646&lt;Header!$C$20,"BELOW MIN PREMIUM","OK"),""))</f>
      </c>
      <c r="BA646" s="48" t="inlineStr">
        <is>
          <t xml:space="preserve">Yes</t>
        </is>
      </c>
      <c r="BB646" s="48" t="inlineStr">
        <is>
          <t xml:space="preserve">Yes</t>
        </is>
      </c>
      <c r="BC646" s="46" t="inlineStr">
        <is>
          <t xml:space="preserve">Synthetic demo data</t>
        </is>
      </c>
      <c r="BE646" s="45">
        <f>IF(OR($A646="",$L646="",$H646=""),"",IF(AND(LEFT($L646,2)="06",$H646&gt;1945),"FAIL - pre-war class, year "&amp;$H646,IF(AND(LEFT($L646,2)="07",OR($H646&lt;1946,$H646&gt;1972)),"FAIL - 1946-72 class, year "&amp;$H646,IF(AND(LEFT($L646,2)="08",OR($H646&lt;1973,$H646&gt;1999)),"FAIL - 1973-99 class, year "&amp;$H646,IF(AND(LEFT($L646,2)="09",OR($H646&lt;2000,$H646&gt;2010)),"FAIL - 2000-10 class, year "&amp;$H646,"OK")))))</f>
      </c>
      <c r="BF646" s="45">
        <f>IF($AD646="","",IF(ROUND($AO646+$AP646+$AQ646-$AD646,2)=0,"OK","FAIL - out by "&amp;TEXT($AO646+$AP646+$AQ646-$AD646,"$0.00")))</f>
      </c>
    </row>
    <row r="647" spans="1:58" ht="18.75" customHeight="1" x14ac:dyDescent="0.25">
      <c r="A647" s="30" t="inlineStr">
        <is>
          <t xml:space="preserve">CANON-202606-009283</t>
        </is>
      </c>
      <c r="B647" s="30" t="inlineStr">
        <is>
          <t xml:space="preserve">Saoirse Pennington</t>
        </is>
      </c>
      <c r="C647" s="31">
        <v>46174</v>
      </c>
      <c r="D647" s="32" t="inlineStr">
        <is>
          <t xml:space="preserve">Bound - within authority</t>
        </is>
      </c>
      <c r="E647" s="32" t="inlineStr">
        <is>
          <t xml:space="preserve">New business</t>
        </is>
      </c>
      <c r="F647" s="30" t="inlineStr">
        <is>
          <t xml:space="preserve">B1234EXOTIC26</t>
        </is>
      </c>
      <c r="G647" s="33">
        <f>IF($A647="","",IF($C647="","",YEAR($C647)))</f>
      </c>
      <c r="H647" s="34">
        <v>2022</v>
      </c>
      <c r="I647" s="30" t="inlineStr">
        <is>
          <t xml:space="preserve">Bentley</t>
        </is>
      </c>
      <c r="J647" s="30" t="inlineStr">
        <is>
          <t xml:space="preserve">Continental GT</t>
        </is>
      </c>
      <c r="K647" s="30" t="inlineStr">
        <is>
          <t xml:space="preserve">GGBZTE8MHTSGTMCXB</t>
        </is>
      </c>
      <c r="L647" s="32" t="inlineStr">
        <is>
          <t xml:space="preserve">02 - Sports / GT</t>
        </is>
      </c>
      <c r="M647" s="35">
        <v>505000</v>
      </c>
      <c r="N647" s="32" t="inlineStr">
        <is>
          <t xml:space="preserve">Personal</t>
        </is>
      </c>
      <c r="O647" s="30" t="inlineStr">
        <is>
          <t xml:space="preserve">Personal - regular use</t>
        </is>
      </c>
      <c r="P647" s="30" t="inlineStr">
        <is>
          <t xml:space="preserve">2,500 - 5,000</t>
        </is>
      </c>
      <c r="Q647" s="30" t="inlineStr">
        <is>
          <t xml:space="preserve">Texas</t>
        </is>
      </c>
      <c r="R647" s="30" t="inlineStr">
        <is>
          <t xml:space="preserve">75201</t>
        </is>
      </c>
      <c r="S647" s="32" t="inlineStr">
        <is>
          <t xml:space="preserve">Tier 2 - Coastal wind (1-25 miles)</t>
        </is>
      </c>
      <c r="T647" s="36">
        <f>IF($A647="","",IF($S647="","",IFERROR(INDEX('[1]natural catastrophe'!$D$6:$D$17,MATCH($S647,'[1]natural catastrophe'!$B$6:$B$17,0)),"?")))</f>
      </c>
      <c r="U647" s="30" t="inlineStr">
        <is>
          <t xml:space="preserve">2% of agreed value, minimum $10,000</t>
        </is>
      </c>
      <c r="V647" s="32" t="inlineStr">
        <is>
          <t xml:space="preserve">Agreed Value</t>
        </is>
      </c>
      <c r="W647" s="30" t="inlineStr">
        <is>
          <t xml:space="preserve">$1,000</t>
        </is>
      </c>
      <c r="X647" s="32" t="inlineStr">
        <is>
          <t xml:space="preserve">$1,000,000 CSL</t>
        </is>
      </c>
      <c r="Y647" s="30"/>
      <c r="Z647" s="30"/>
      <c r="AA647" s="32" t="inlineStr">
        <is>
          <t xml:space="preserve">Surplus Lines</t>
        </is>
      </c>
      <c r="AB647" s="35">
        <v>5447.22</v>
      </c>
      <c r="AC647" s="37">
        <v>0</v>
      </c>
      <c r="AD647" s="38">
        <f>IF(ISNUMBER($AB647),$AB647*(1+N($AC647)),"")</f>
      </c>
      <c r="AE647" s="35">
        <v>350</v>
      </c>
      <c r="AF647" s="35">
        <v>0</v>
      </c>
      <c r="AG647" s="37"/>
      <c r="AH647" s="39">
        <f>IF(ISNUMBER($AD647),($AD647+$AE647+$AF647)*$AG647,"")</f>
      </c>
      <c r="AI647" s="35"/>
      <c r="AJ647" s="38">
        <f>IF(ISNUMBER($AD647),SUM($AD647:$AH647),"")</f>
      </c>
      <c r="AK647" s="40">
        <f>IF(AND(ISNUMBER($AB647),ISNUMBER($AD647)),IF($AB647&gt;0,$AD647/$AB647,""),"")</f>
      </c>
      <c r="AL647" s="32" t="inlineStr">
        <is>
          <t xml:space="preserve">At technical</t>
        </is>
      </c>
      <c r="AM647" s="41">
        <f>IF(ISNUMBER($AD647),Header!$I$3,"")</f>
      </c>
      <c r="AN647" s="39">
        <f>IF(ISNUMBER($AD647),$AO647+$AP647,"")</f>
      </c>
      <c r="AO647" s="39">
        <f>IF(ISNUMBER($AD647),ROUND($AD647*Header!$K$3,2),"")</f>
      </c>
      <c r="AP647" s="39">
        <f>IF(ISNUMBER($AD647),ROUND($AD647*Header!$M$3,2),"")</f>
      </c>
      <c r="AQ647" s="38">
        <f>IF(ISNUMBER($AD647),ROUND($AD647,2)-$AO647-$AP647,"")</f>
      </c>
      <c r="AR647" s="39">
        <f>IF(ISNUMBER($AD647),IF(Header!$D$34="","?",$AD647*Header!$D$34),"")</f>
      </c>
      <c r="AS647" s="39">
        <f>IF(ISNUMBER($AB647),IF(Header!$D$34="","?",$AB647*Header!$D$34),"")</f>
      </c>
      <c r="AT647" s="42">
        <f>IF(AND(ISNUMBER($AB647),$M647&gt;0),$AB647/$M647*100,"")</f>
      </c>
      <c r="AU647" s="42">
        <f>IF(AND(ISNUMBER($AD647),$M647&gt;0),$AD647/$M647*100,"")</f>
      </c>
      <c r="AV647" s="40">
        <f>IF(AND(ISNUMBER($AB647),ISNUMBER($AD647),ABS($AB647)&gt;0),$AD647/$AB647,"")</f>
      </c>
      <c r="AW647" s="39">
        <f>IF(ISNUMBER($AD647),MAX(0,(1-0.55-Header!$O$3)*Header!$Q$3*$AQ647),"")</f>
      </c>
      <c r="AX647" s="43">
        <f>IF($A647="","",IF(TRIM(IF($A647="","Missing certificate ref. ","") &amp; IF($C647="","Missing effective date. ","") &amp; IF($D647="","Missing binding status. ","") &amp; IF($E647="","Missing movement type. ","") &amp; IF($I647="","Missing make. ","") &amp; IF($L647="","Missing vehicle class. ","") &amp; IF($M647="","Missing agreed value. ","") &amp; IF($N647="","Missing policy type. ","") &amp; IF($Q647="","Missing garaging state. ","") &amp; IF($R647="","Missing garaging ZIP. ","") &amp; IF($S647="","Missing cat zone. ","") &amp; IF($V647="","Missing valuation basis. ","") &amp; IF($W647="","Missing PD deductible. ","") &amp; IF($X647="","Missing liability limit. ","") &amp; IF($AB647="","Missing technical premium. ","") &amp; IF($AF647="","Missing surplus lines tax %. ",""))="","PASS","FAIL: "&amp;TRIM(IF($A647="","Missing certificate ref. ","") &amp; IF($C647="","Missing effective date. ","") &amp; IF($D647="","Missing binding status. ","") &amp; IF($E647="","Missing movement type. ","") &amp; IF($I647="","Missing make. ","") &amp; IF($L647="","Missing vehicle class. ","") &amp; IF($M647="","Missing agreed value. ","") &amp; IF($N647="","Missing policy type. ","") &amp; IF($Q647="","Missing garaging state. ","") &amp; IF($R647="","Missing garaging ZIP. ","") &amp; IF($S647="","Missing cat zone. ","") &amp; IF($V647="","Missing valuation basis. ","") &amp; IF($W647="","Missing PD deductible. ","") &amp; IF($X647="","Missing liability limit. ","") &amp; IF($AB647="","Missing technical premium. ","") &amp; IF($AF647="","Missing surplus lines tax %. ",""))))</f>
      </c>
      <c r="AY647" s="44">
        <f>IF($M647="","",IF(ISNUMBER($M647),IF($M647&gt;=Header!$C$18,"YES — refer","No"),""))</f>
      </c>
      <c r="AZ647" s="44">
        <f>IF($AD647="","",IF(ISNUMBER($AD647),IF($AD647&lt;Header!$C$20,"BELOW MIN PREMIUM","OK"),""))</f>
      </c>
      <c r="BA647" s="32" t="inlineStr">
        <is>
          <t xml:space="preserve">Yes</t>
        </is>
      </c>
      <c r="BB647" s="32" t="inlineStr">
        <is>
          <t xml:space="preserve">Yes</t>
        </is>
      </c>
      <c r="BC647" s="30" t="inlineStr">
        <is>
          <t xml:space="preserve">Synthetic demo data</t>
        </is>
      </c>
      <c r="BE647" s="45">
        <f>IF(OR($A647="",$L647="",$H647=""),"",IF(AND(LEFT($L647,2)="06",$H647&gt;1945),"FAIL - pre-war class, year "&amp;$H647,IF(AND(LEFT($L647,2)="07",OR($H647&lt;1946,$H647&gt;1972)),"FAIL - 1946-72 class, year "&amp;$H647,IF(AND(LEFT($L647,2)="08",OR($H647&lt;1973,$H647&gt;1999)),"FAIL - 1973-99 class, year "&amp;$H647,IF(AND(LEFT($L647,2)="09",OR($H647&lt;2000,$H647&gt;2010)),"FAIL - 2000-10 class, year "&amp;$H647,"OK")))))</f>
      </c>
      <c r="BF647" s="45">
        <f>IF($AD647="","",IF(ROUND($AO647+$AP647+$AQ647-$AD647,2)=0,"OK","FAIL - out by "&amp;TEXT($AO647+$AP647+$AQ647-$AD647,"$0.00")))</f>
      </c>
    </row>
    <row r="648" spans="1:58" ht="18.75" customHeight="1" x14ac:dyDescent="0.25">
      <c r="A648" s="46" t="inlineStr">
        <is>
          <t xml:space="preserve">CANON-202606-009286</t>
        </is>
      </c>
      <c r="B648" s="46" t="inlineStr">
        <is>
          <t xml:space="preserve">Fitzgerald Vandermeer</t>
        </is>
      </c>
      <c r="C648" s="47">
        <v>46203</v>
      </c>
      <c r="D648" s="48" t="inlineStr">
        <is>
          <t xml:space="preserve">Bound - within authority</t>
        </is>
      </c>
      <c r="E648" s="48" t="inlineStr">
        <is>
          <t xml:space="preserve">New business</t>
        </is>
      </c>
      <c r="F648" s="46" t="inlineStr">
        <is>
          <t xml:space="preserve">B1234EXOTIC26</t>
        </is>
      </c>
      <c r="G648" s="33">
        <f>IF($A648="","",IF($C648="","",YEAR($C648)))</f>
      </c>
      <c r="H648" s="49">
        <v>2014</v>
      </c>
      <c r="I648" s="46" t="inlineStr">
        <is>
          <t xml:space="preserve">Aston Martin</t>
        </is>
      </c>
      <c r="J648" s="46" t="inlineStr">
        <is>
          <t xml:space="preserve">DB5</t>
        </is>
      </c>
      <c r="K648" s="46" t="inlineStr">
        <is>
          <t xml:space="preserve">375CTYTYBSNFZ8W7J</t>
        </is>
      </c>
      <c r="L648" s="48" t="inlineStr">
        <is>
          <t xml:space="preserve">02 - Sports / GT</t>
        </is>
      </c>
      <c r="M648" s="50">
        <v>320000</v>
      </c>
      <c r="N648" s="48" t="inlineStr">
        <is>
          <t xml:space="preserve">Personal</t>
        </is>
      </c>
      <c r="O648" s="46" t="inlineStr">
        <is>
          <t xml:space="preserve">Personal - regular use</t>
        </is>
      </c>
      <c r="P648" s="46" t="inlineStr">
        <is>
          <t xml:space="preserve">Under 1,000</t>
        </is>
      </c>
      <c r="Q648" s="46" t="inlineStr">
        <is>
          <t xml:space="preserve">Texas</t>
        </is>
      </c>
      <c r="R648" s="46" t="inlineStr">
        <is>
          <t xml:space="preserve">75201</t>
        </is>
      </c>
      <c r="S648" s="48" t="inlineStr">
        <is>
          <t xml:space="preserve">Tier 2 - Coastal wind (1-25 miles)</t>
        </is>
      </c>
      <c r="T648" s="36">
        <f>IF($A648="","",IF($S648="","",IFERROR(INDEX('[1]natural catastrophe'!$D$6:$D$17,MATCH($S648,'[1]natural catastrophe'!$B$6:$B$17,0)),"?")))</f>
      </c>
      <c r="U648" s="46" t="inlineStr">
        <is>
          <t xml:space="preserve">2% of agreed value, minimum $10,000</t>
        </is>
      </c>
      <c r="V648" s="48" t="inlineStr">
        <is>
          <t xml:space="preserve">Agreed Value</t>
        </is>
      </c>
      <c r="W648" s="46" t="inlineStr">
        <is>
          <t xml:space="preserve">$1,000</t>
        </is>
      </c>
      <c r="X648" s="48" t="inlineStr">
        <is>
          <t xml:space="preserve">$1,000,000 CSL</t>
        </is>
      </c>
      <c r="Y648" s="46"/>
      <c r="Z648" s="46"/>
      <c r="AA648" s="48" t="inlineStr">
        <is>
          <t xml:space="preserve">Surplus Lines</t>
        </is>
      </c>
      <c r="AB648" s="50">
        <v>2548.95</v>
      </c>
      <c r="AC648" s="51">
        <v>0</v>
      </c>
      <c r="AD648" s="38">
        <f>IF(ISNUMBER($AB648),$AB648*(1+N($AC648)),"")</f>
      </c>
      <c r="AE648" s="50">
        <v>350</v>
      </c>
      <c r="AF648" s="50">
        <v>0</v>
      </c>
      <c r="AG648" s="51"/>
      <c r="AH648" s="39">
        <f>IF(ISNUMBER($AD648),($AD648+$AE648+$AF648)*$AG648,"")</f>
      </c>
      <c r="AI648" s="50"/>
      <c r="AJ648" s="38">
        <f>IF(ISNUMBER($AD648),SUM($AD648:$AH648),"")</f>
      </c>
      <c r="AK648" s="40">
        <f>IF(AND(ISNUMBER($AB648),ISNUMBER($AD648)),IF($AB648&gt;0,$AD648/$AB648,""),"")</f>
      </c>
      <c r="AL648" s="48" t="inlineStr">
        <is>
          <t xml:space="preserve">At technical</t>
        </is>
      </c>
      <c r="AM648" s="41">
        <f>IF(ISNUMBER($AD648),Header!$I$3,"")</f>
      </c>
      <c r="AN648" s="39">
        <f>IF(ISNUMBER($AD648),$AO648+$AP648,"")</f>
      </c>
      <c r="AO648" s="39">
        <f>IF(ISNUMBER($AD648),ROUND($AD648*Header!$K$3,2),"")</f>
      </c>
      <c r="AP648" s="39">
        <f>IF(ISNUMBER($AD648),ROUND($AD648*Header!$M$3,2),"")</f>
      </c>
      <c r="AQ648" s="38">
        <f>IF(ISNUMBER($AD648),ROUND($AD648,2)-$AO648-$AP648,"")</f>
      </c>
      <c r="AR648" s="39">
        <f>IF(ISNUMBER($AD648),IF(Header!$D$34="","?",$AD648*Header!$D$34),"")</f>
      </c>
      <c r="AS648" s="39">
        <f>IF(ISNUMBER($AB648),IF(Header!$D$34="","?",$AB648*Header!$D$34),"")</f>
      </c>
      <c r="AT648" s="42">
        <f>IF(AND(ISNUMBER($AB648),$M648&gt;0),$AB648/$M648*100,"")</f>
      </c>
      <c r="AU648" s="42">
        <f>IF(AND(ISNUMBER($AD648),$M648&gt;0),$AD648/$M648*100,"")</f>
      </c>
      <c r="AV648" s="40">
        <f>IF(AND(ISNUMBER($AB648),ISNUMBER($AD648),ABS($AB648)&gt;0),$AD648/$AB648,"")</f>
      </c>
      <c r="AW648" s="39">
        <f>IF(ISNUMBER($AD648),MAX(0,(1-0.55-Header!$O$3)*Header!$Q$3*$AQ648),"")</f>
      </c>
      <c r="AX648" s="43">
        <f>IF($A648="","",IF(TRIM(IF($A648="","Missing certificate ref. ","") &amp; IF($C648="","Missing effective date. ","") &amp; IF($D648="","Missing binding status. ","") &amp; IF($E648="","Missing movement type. ","") &amp; IF($I648="","Missing make. ","") &amp; IF($L648="","Missing vehicle class. ","") &amp; IF($M648="","Missing agreed value. ","") &amp; IF($N648="","Missing policy type. ","") &amp; IF($Q648="","Missing garaging state. ","") &amp; IF($R648="","Missing garaging ZIP. ","") &amp; IF($S648="","Missing cat zone. ","") &amp; IF($V648="","Missing valuation basis. ","") &amp; IF($W648="","Missing PD deductible. ","") &amp; IF($X648="","Missing liability limit. ","") &amp; IF($AB648="","Missing technical premium. ","") &amp; IF($AF648="","Missing surplus lines tax %. ",""))="","PASS","FAIL: "&amp;TRIM(IF($A648="","Missing certificate ref. ","") &amp; IF($C648="","Missing effective date. ","") &amp; IF($D648="","Missing binding status. ","") &amp; IF($E648="","Missing movement type. ","") &amp; IF($I648="","Missing make. ","") &amp; IF($L648="","Missing vehicle class. ","") &amp; IF($M648="","Missing agreed value. ","") &amp; IF($N648="","Missing policy type. ","") &amp; IF($Q648="","Missing garaging state. ","") &amp; IF($R648="","Missing garaging ZIP. ","") &amp; IF($S648="","Missing cat zone. ","") &amp; IF($V648="","Missing valuation basis. ","") &amp; IF($W648="","Missing PD deductible. ","") &amp; IF($X648="","Missing liability limit. ","") &amp; IF($AB648="","Missing technical premium. ","") &amp; IF($AF648="","Missing surplus lines tax %. ",""))))</f>
      </c>
      <c r="AY648" s="44">
        <f>IF($M648="","",IF(ISNUMBER($M648),IF($M648&gt;=Header!$C$18,"YES — refer","No"),""))</f>
      </c>
      <c r="AZ648" s="44">
        <f>IF($AD648="","",IF(ISNUMBER($AD648),IF($AD648&lt;Header!$C$20,"BELOW MIN PREMIUM","OK"),""))</f>
      </c>
      <c r="BA648" s="48" t="inlineStr">
        <is>
          <t xml:space="preserve">Yes</t>
        </is>
      </c>
      <c r="BB648" s="48" t="inlineStr">
        <is>
          <t xml:space="preserve">Yes</t>
        </is>
      </c>
      <c r="BC648" s="46" t="inlineStr">
        <is>
          <t xml:space="preserve">Synthetic demo data</t>
        </is>
      </c>
      <c r="BE648" s="45">
        <f>IF(OR($A648="",$L648="",$H648=""),"",IF(AND(LEFT($L648,2)="06",$H648&gt;1945),"FAIL - pre-war class, year "&amp;$H648,IF(AND(LEFT($L648,2)="07",OR($H648&lt;1946,$H648&gt;1972)),"FAIL - 1946-72 class, year "&amp;$H648,IF(AND(LEFT($L648,2)="08",OR($H648&lt;1973,$H648&gt;1999)),"FAIL - 1973-99 class, year "&amp;$H648,IF(AND(LEFT($L648,2)="09",OR($H648&lt;2000,$H648&gt;2010)),"FAIL - 2000-10 class, year "&amp;$H648,"OK")))))</f>
      </c>
      <c r="BF648" s="45">
        <f>IF($AD648="","",IF(ROUND($AO648+$AP648+$AQ648-$AD648,2)=0,"OK","FAIL - out by "&amp;TEXT($AO648+$AP648+$AQ648-$AD648,"$0.00")))</f>
      </c>
    </row>
    <row r="649" spans="1:58" ht="18.75" customHeight="1" x14ac:dyDescent="0.25">
      <c r="A649" s="30" t="inlineStr">
        <is>
          <t xml:space="preserve">CANON-202606-009287</t>
        </is>
      </c>
      <c r="B649" s="30" t="inlineStr">
        <is>
          <t xml:space="preserve">Delphine Merriweather</t>
        </is>
      </c>
      <c r="C649" s="31">
        <v>46203</v>
      </c>
      <c r="D649" s="32" t="inlineStr">
        <is>
          <t xml:space="preserve">Bound - within authority</t>
        </is>
      </c>
      <c r="E649" s="32" t="inlineStr">
        <is>
          <t xml:space="preserve">New business</t>
        </is>
      </c>
      <c r="F649" s="30" t="inlineStr">
        <is>
          <t xml:space="preserve">B1234EXOTIC26</t>
        </is>
      </c>
      <c r="G649" s="33">
        <f>IF($A649="","",IF($C649="","",YEAR($C649)))</f>
      </c>
      <c r="H649" s="34">
        <v>2022</v>
      </c>
      <c r="I649" s="30" t="inlineStr">
        <is>
          <t xml:space="preserve">Maserati</t>
        </is>
      </c>
      <c r="J649" s="30" t="inlineStr">
        <is>
          <t xml:space="preserve">GranTurismo</t>
        </is>
      </c>
      <c r="K649" s="30" t="inlineStr">
        <is>
          <t xml:space="preserve">4383RBLPMHFP0L13B</t>
        </is>
      </c>
      <c r="L649" s="32" t="inlineStr">
        <is>
          <t xml:space="preserve">02 - Sports / GT</t>
        </is>
      </c>
      <c r="M649" s="35">
        <v>410000</v>
      </c>
      <c r="N649" s="32" t="inlineStr">
        <is>
          <t xml:space="preserve">Personal</t>
        </is>
      </c>
      <c r="O649" s="30" t="inlineStr">
        <is>
          <t xml:space="preserve">Personal - regular use</t>
        </is>
      </c>
      <c r="P649" s="30" t="inlineStr">
        <is>
          <t xml:space="preserve">Under 1,000</t>
        </is>
      </c>
      <c r="Q649" s="30" t="inlineStr">
        <is>
          <t xml:space="preserve">Missouri</t>
        </is>
      </c>
      <c r="R649" s="30" t="inlineStr">
        <is>
          <t xml:space="preserve">63101</t>
        </is>
      </c>
      <c r="S649" s="32" t="inlineStr">
        <is>
          <t xml:space="preserve">Severe convective - hail / tornado (moderate)</t>
        </is>
      </c>
      <c r="T649" s="36">
        <f>IF($A649="","",IF($S649="","",IFERROR(INDEX('[1]natural catastrophe'!$D$6:$D$17,MATCH($S649,'[1]natural catastrophe'!$B$6:$B$17,0)),"?")))</f>
      </c>
      <c r="U649" s="30" t="inlineStr">
        <is>
          <t xml:space="preserve">$5,000</t>
        </is>
      </c>
      <c r="V649" s="32" t="inlineStr">
        <is>
          <t xml:space="preserve">Agreed Value</t>
        </is>
      </c>
      <c r="W649" s="30" t="inlineStr">
        <is>
          <t xml:space="preserve">$1,000</t>
        </is>
      </c>
      <c r="X649" s="32" t="inlineStr">
        <is>
          <t xml:space="preserve">$1,000,000 CSL</t>
        </is>
      </c>
      <c r="Y649" s="30"/>
      <c r="Z649" s="30"/>
      <c r="AA649" s="32" t="inlineStr">
        <is>
          <t xml:space="preserve">Surplus Lines</t>
        </is>
      </c>
      <c r="AB649" s="35">
        <v>4703.52</v>
      </c>
      <c r="AC649" s="37">
        <v>0</v>
      </c>
      <c r="AD649" s="38">
        <f>IF(ISNUMBER($AB649),$AB649*(1+N($AC649)),"")</f>
      </c>
      <c r="AE649" s="35">
        <v>350</v>
      </c>
      <c r="AF649" s="35">
        <v>0</v>
      </c>
      <c r="AG649" s="37"/>
      <c r="AH649" s="39">
        <f>IF(ISNUMBER($AD649),($AD649+$AE649+$AF649)*$AG649,"")</f>
      </c>
      <c r="AI649" s="35"/>
      <c r="AJ649" s="38">
        <f>IF(ISNUMBER($AD649),SUM($AD649:$AH649),"")</f>
      </c>
      <c r="AK649" s="40">
        <f>IF(AND(ISNUMBER($AB649),ISNUMBER($AD649)),IF($AB649&gt;0,$AD649/$AB649,""),"")</f>
      </c>
      <c r="AL649" s="32" t="inlineStr">
        <is>
          <t xml:space="preserve">At technical</t>
        </is>
      </c>
      <c r="AM649" s="41">
        <f>IF(ISNUMBER($AD649),Header!$I$3,"")</f>
      </c>
      <c r="AN649" s="39">
        <f>IF(ISNUMBER($AD649),$AO649+$AP649,"")</f>
      </c>
      <c r="AO649" s="39">
        <f>IF(ISNUMBER($AD649),ROUND($AD649*Header!$K$3,2),"")</f>
      </c>
      <c r="AP649" s="39">
        <f>IF(ISNUMBER($AD649),ROUND($AD649*Header!$M$3,2),"")</f>
      </c>
      <c r="AQ649" s="38">
        <f>IF(ISNUMBER($AD649),ROUND($AD649,2)-$AO649-$AP649,"")</f>
      </c>
      <c r="AR649" s="39">
        <f>IF(ISNUMBER($AD649),IF(Header!$D$34="","?",$AD649*Header!$D$34),"")</f>
      </c>
      <c r="AS649" s="39">
        <f>IF(ISNUMBER($AB649),IF(Header!$D$34="","?",$AB649*Header!$D$34),"")</f>
      </c>
      <c r="AT649" s="42">
        <f>IF(AND(ISNUMBER($AB649),$M649&gt;0),$AB649/$M649*100,"")</f>
      </c>
      <c r="AU649" s="42">
        <f>IF(AND(ISNUMBER($AD649),$M649&gt;0),$AD649/$M649*100,"")</f>
      </c>
      <c r="AV649" s="40">
        <f>IF(AND(ISNUMBER($AB649),ISNUMBER($AD649),ABS($AB649)&gt;0),$AD649/$AB649,"")</f>
      </c>
      <c r="AW649" s="39">
        <f>IF(ISNUMBER($AD649),MAX(0,(1-0.55-Header!$O$3)*Header!$Q$3*$AQ649),"")</f>
      </c>
      <c r="AX649" s="43">
        <f>IF($A649="","",IF(TRIM(IF($A649="","Missing certificate ref. ","") &amp; IF($C649="","Missing effective date. ","") &amp; IF($D649="","Missing binding status. ","") &amp; IF($E649="","Missing movement type. ","") &amp; IF($I649="","Missing make. ","") &amp; IF($L649="","Missing vehicle class. ","") &amp; IF($M649="","Missing agreed value. ","") &amp; IF($N649="","Missing policy type. ","") &amp; IF($Q649="","Missing garaging state. ","") &amp; IF($R649="","Missing garaging ZIP. ","") &amp; IF($S649="","Missing cat zone. ","") &amp; IF($V649="","Missing valuation basis. ","") &amp; IF($W649="","Missing PD deductible. ","") &amp; IF($X649="","Missing liability limit. ","") &amp; IF($AB649="","Missing technical premium. ","") &amp; IF($AF649="","Missing surplus lines tax %. ",""))="","PASS","FAIL: "&amp;TRIM(IF($A649="","Missing certificate ref. ","") &amp; IF($C649="","Missing effective date. ","") &amp; IF($D649="","Missing binding status. ","") &amp; IF($E649="","Missing movement type. ","") &amp; IF($I649="","Missing make. ","") &amp; IF($L649="","Missing vehicle class. ","") &amp; IF($M649="","Missing agreed value. ","") &amp; IF($N649="","Missing policy type. ","") &amp; IF($Q649="","Missing garaging state. ","") &amp; IF($R649="","Missing garaging ZIP. ","") &amp; IF($S649="","Missing cat zone. ","") &amp; IF($V649="","Missing valuation basis. ","") &amp; IF($W649="","Missing PD deductible. ","") &amp; IF($X649="","Missing liability limit. ","") &amp; IF($AB649="","Missing technical premium. ","") &amp; IF($AF649="","Missing surplus lines tax %. ",""))))</f>
      </c>
      <c r="AY649" s="44">
        <f>IF($M649="","",IF(ISNUMBER($M649),IF($M649&gt;=Header!$C$18,"YES — refer","No"),""))</f>
      </c>
      <c r="AZ649" s="44">
        <f>IF($AD649="","",IF(ISNUMBER($AD649),IF($AD649&lt;Header!$C$20,"BELOW MIN PREMIUM","OK"),""))</f>
      </c>
      <c r="BA649" s="32" t="inlineStr">
        <is>
          <t xml:space="preserve">Yes</t>
        </is>
      </c>
      <c r="BB649" s="32" t="inlineStr">
        <is>
          <t xml:space="preserve">Yes</t>
        </is>
      </c>
      <c r="BC649" s="30" t="inlineStr">
        <is>
          <t xml:space="preserve">Synthetic demo data</t>
        </is>
      </c>
      <c r="BE649" s="45">
        <f>IF(OR($A649="",$L649="",$H649=""),"",IF(AND(LEFT($L649,2)="06",$H649&gt;1945),"FAIL - pre-war class, year "&amp;$H649,IF(AND(LEFT($L649,2)="07",OR($H649&lt;1946,$H649&gt;1972)),"FAIL - 1946-72 class, year "&amp;$H649,IF(AND(LEFT($L649,2)="08",OR($H649&lt;1973,$H649&gt;1999)),"FAIL - 1973-99 class, year "&amp;$H649,IF(AND(LEFT($L649,2)="09",OR($H649&lt;2000,$H649&gt;2010)),"FAIL - 2000-10 class, year "&amp;$H649,"OK")))))</f>
      </c>
      <c r="BF649" s="45">
        <f>IF($AD649="","",IF(ROUND($AO649+$AP649+$AQ649-$AD649,2)=0,"OK","FAIL - out by "&amp;TEXT($AO649+$AP649+$AQ649-$AD649,"$0.00")))</f>
      </c>
    </row>
    <row r="650" spans="1:58" ht="18.75" customHeight="1" x14ac:dyDescent="0.25">
      <c r="A650" s="46" t="inlineStr">
        <is>
          <t xml:space="preserve">CANON-202606-009289</t>
        </is>
      </c>
      <c r="B650" s="46" t="inlineStr">
        <is>
          <t xml:space="preserve">Ingrid Nakashima</t>
        </is>
      </c>
      <c r="C650" s="47">
        <v>46194</v>
      </c>
      <c r="D650" s="48" t="inlineStr">
        <is>
          <t xml:space="preserve">Bound - within authority</t>
        </is>
      </c>
      <c r="E650" s="48" t="inlineStr">
        <is>
          <t xml:space="preserve">New business</t>
        </is>
      </c>
      <c r="F650" s="46" t="inlineStr">
        <is>
          <t xml:space="preserve">B1234EXOTIC26</t>
        </is>
      </c>
      <c r="G650" s="33">
        <f>IF($A650="","",IF($C650="","",YEAR($C650)))</f>
      </c>
      <c r="H650" s="49">
        <v>2001</v>
      </c>
      <c r="I650" s="46" t="inlineStr">
        <is>
          <t xml:space="preserve">Bentley</t>
        </is>
      </c>
      <c r="J650" s="46" t="inlineStr">
        <is>
          <t xml:space="preserve">Continental GT</t>
        </is>
      </c>
      <c r="K650" s="46" t="inlineStr">
        <is>
          <t xml:space="preserve">FFM4C2GXSNPY1MP8H</t>
        </is>
      </c>
      <c r="L650" s="48" t="inlineStr">
        <is>
          <t xml:space="preserve">02 - Sports / GT</t>
        </is>
      </c>
      <c r="M650" s="50">
        <v>230000</v>
      </c>
      <c r="N650" s="48" t="inlineStr">
        <is>
          <t xml:space="preserve">Personal</t>
        </is>
      </c>
      <c r="O650" s="46" t="inlineStr">
        <is>
          <t xml:space="preserve">Personal - regular use</t>
        </is>
      </c>
      <c r="P650" s="46" t="inlineStr">
        <is>
          <t xml:space="preserve">2,500 - 5,000</t>
        </is>
      </c>
      <c r="Q650" s="46" t="inlineStr">
        <is>
          <t xml:space="preserve">Virginia</t>
        </is>
      </c>
      <c r="R650" s="46" t="inlineStr">
        <is>
          <t xml:space="preserve">23219</t>
        </is>
      </c>
      <c r="S650" s="48" t="inlineStr">
        <is>
          <t xml:space="preserve">Tier 3 - Coastal wind (25-100 miles)</t>
        </is>
      </c>
      <c r="T650" s="36">
        <f>IF($A650="","",IF($S650="","",IFERROR(INDEX('[1]natural catastrophe'!$D$6:$D$17,MATCH($S650,'[1]natural catastrophe'!$B$6:$B$17,0)),"?")))</f>
      </c>
      <c r="U650" s="46" t="inlineStr">
        <is>
          <t xml:space="preserve">2% of agreed value, minimum $10,000</t>
        </is>
      </c>
      <c r="V650" s="48" t="inlineStr">
        <is>
          <t xml:space="preserve">Agreed Value</t>
        </is>
      </c>
      <c r="W650" s="46" t="inlineStr">
        <is>
          <t xml:space="preserve">$1,000</t>
        </is>
      </c>
      <c r="X650" s="48" t="inlineStr">
        <is>
          <t xml:space="preserve">$1,000,000 CSL</t>
        </is>
      </c>
      <c r="Y650" s="46"/>
      <c r="Z650" s="46"/>
      <c r="AA650" s="48" t="inlineStr">
        <is>
          <t xml:space="preserve">Surplus Lines</t>
        </is>
      </c>
      <c r="AB650" s="50">
        <v>3328.23</v>
      </c>
      <c r="AC650" s="51">
        <v>0</v>
      </c>
      <c r="AD650" s="38">
        <f>IF(ISNUMBER($AB650),$AB650*(1+N($AC650)),"")</f>
      </c>
      <c r="AE650" s="50">
        <v>350</v>
      </c>
      <c r="AF650" s="50">
        <v>0</v>
      </c>
      <c r="AG650" s="51"/>
      <c r="AH650" s="39">
        <f>IF(ISNUMBER($AD650),($AD650+$AE650+$AF650)*$AG650,"")</f>
      </c>
      <c r="AI650" s="50"/>
      <c r="AJ650" s="38">
        <f>IF(ISNUMBER($AD650),SUM($AD650:$AH650),"")</f>
      </c>
      <c r="AK650" s="40">
        <f>IF(AND(ISNUMBER($AB650),ISNUMBER($AD650)),IF($AB650&gt;0,$AD650/$AB650,""),"")</f>
      </c>
      <c r="AL650" s="48" t="inlineStr">
        <is>
          <t xml:space="preserve">At technical</t>
        </is>
      </c>
      <c r="AM650" s="41">
        <f>IF(ISNUMBER($AD650),Header!$I$3,"")</f>
      </c>
      <c r="AN650" s="39">
        <f>IF(ISNUMBER($AD650),$AO650+$AP650,"")</f>
      </c>
      <c r="AO650" s="39">
        <f>IF(ISNUMBER($AD650),ROUND($AD650*Header!$K$3,2),"")</f>
      </c>
      <c r="AP650" s="39">
        <f>IF(ISNUMBER($AD650),ROUND($AD650*Header!$M$3,2),"")</f>
      </c>
      <c r="AQ650" s="38">
        <f>IF(ISNUMBER($AD650),ROUND($AD650,2)-$AO650-$AP650,"")</f>
      </c>
      <c r="AR650" s="39">
        <f>IF(ISNUMBER($AD650),IF(Header!$D$34="","?",$AD650*Header!$D$34),"")</f>
      </c>
      <c r="AS650" s="39">
        <f>IF(ISNUMBER($AB650),IF(Header!$D$34="","?",$AB650*Header!$D$34),"")</f>
      </c>
      <c r="AT650" s="42">
        <f>IF(AND(ISNUMBER($AB650),$M650&gt;0),$AB650/$M650*100,"")</f>
      </c>
      <c r="AU650" s="42">
        <f>IF(AND(ISNUMBER($AD650),$M650&gt;0),$AD650/$M650*100,"")</f>
      </c>
      <c r="AV650" s="40">
        <f>IF(AND(ISNUMBER($AB650),ISNUMBER($AD650),ABS($AB650)&gt;0),$AD650/$AB650,"")</f>
      </c>
      <c r="AW650" s="39">
        <f>IF(ISNUMBER($AD650),MAX(0,(1-0.55-Header!$O$3)*Header!$Q$3*$AQ650),"")</f>
      </c>
      <c r="AX650" s="43">
        <f>IF($A650="","",IF(TRIM(IF($A650="","Missing certificate ref. ","") &amp; IF($C650="","Missing effective date. ","") &amp; IF($D650="","Missing binding status. ","") &amp; IF($E650="","Missing movement type. ","") &amp; IF($I650="","Missing make. ","") &amp; IF($L650="","Missing vehicle class. ","") &amp; IF($M650="","Missing agreed value. ","") &amp; IF($N650="","Missing policy type. ","") &amp; IF($Q650="","Missing garaging state. ","") &amp; IF($R650="","Missing garaging ZIP. ","") &amp; IF($S650="","Missing cat zone. ","") &amp; IF($V650="","Missing valuation basis. ","") &amp; IF($W650="","Missing PD deductible. ","") &amp; IF($X650="","Missing liability limit. ","") &amp; IF($AB650="","Missing technical premium. ","") &amp; IF($AF650="","Missing surplus lines tax %. ",""))="","PASS","FAIL: "&amp;TRIM(IF($A650="","Missing certificate ref. ","") &amp; IF($C650="","Missing effective date. ","") &amp; IF($D650="","Missing binding status. ","") &amp; IF($E650="","Missing movement type. ","") &amp; IF($I650="","Missing make. ","") &amp; IF($L650="","Missing vehicle class. ","") &amp; IF($M650="","Missing agreed value. ","") &amp; IF($N650="","Missing policy type. ","") &amp; IF($Q650="","Missing garaging state. ","") &amp; IF($R650="","Missing garaging ZIP. ","") &amp; IF($S650="","Missing cat zone. ","") &amp; IF($V650="","Missing valuation basis. ","") &amp; IF($W650="","Missing PD deductible. ","") &amp; IF($X650="","Missing liability limit. ","") &amp; IF($AB650="","Missing technical premium. ","") &amp; IF($AF650="","Missing surplus lines tax %. ",""))))</f>
      </c>
      <c r="AY650" s="44">
        <f>IF($M650="","",IF(ISNUMBER($M650),IF($M650&gt;=Header!$C$18,"YES — refer","No"),""))</f>
      </c>
      <c r="AZ650" s="44">
        <f>IF($AD650="","",IF(ISNUMBER($AD650),IF($AD650&lt;Header!$C$20,"BELOW MIN PREMIUM","OK"),""))</f>
      </c>
      <c r="BA650" s="48" t="inlineStr">
        <is>
          <t xml:space="preserve">Yes</t>
        </is>
      </c>
      <c r="BB650" s="48" t="inlineStr">
        <is>
          <t xml:space="preserve">Yes</t>
        </is>
      </c>
      <c r="BC650" s="46" t="inlineStr">
        <is>
          <t xml:space="preserve">Synthetic demo data</t>
        </is>
      </c>
      <c r="BE650" s="45">
        <f>IF(OR($A650="",$L650="",$H650=""),"",IF(AND(LEFT($L650,2)="06",$H650&gt;1945),"FAIL - pre-war class, year "&amp;$H650,IF(AND(LEFT($L650,2)="07",OR($H650&lt;1946,$H650&gt;1972)),"FAIL - 1946-72 class, year "&amp;$H650,IF(AND(LEFT($L650,2)="08",OR($H650&lt;1973,$H650&gt;1999)),"FAIL - 1973-99 class, year "&amp;$H650,IF(AND(LEFT($L650,2)="09",OR($H650&lt;2000,$H650&gt;2010)),"FAIL - 2000-10 class, year "&amp;$H650,"OK")))))</f>
      </c>
      <c r="BF650" s="45">
        <f>IF($AD650="","",IF(ROUND($AO650+$AP650+$AQ650-$AD650,2)=0,"OK","FAIL - out by "&amp;TEXT($AO650+$AP650+$AQ650-$AD650,"$0.00")))</f>
      </c>
    </row>
    <row r="651" spans="1:58" ht="18.75" customHeight="1" x14ac:dyDescent="0.25">
      <c r="A651" s="30" t="inlineStr">
        <is>
          <t xml:space="preserve">CANON-202606-009290</t>
        </is>
      </c>
      <c r="B651" s="30" t="inlineStr">
        <is>
          <t xml:space="preserve">Fenwick Ashcombe</t>
        </is>
      </c>
      <c r="C651" s="31">
        <v>46180</v>
      </c>
      <c r="D651" s="32" t="inlineStr">
        <is>
          <t xml:space="preserve">Bound - within authority</t>
        </is>
      </c>
      <c r="E651" s="32" t="inlineStr">
        <is>
          <t xml:space="preserve">New business</t>
        </is>
      </c>
      <c r="F651" s="30" t="inlineStr">
        <is>
          <t xml:space="preserve">B1234EXOTIC26</t>
        </is>
      </c>
      <c r="G651" s="33">
        <f>IF($A651="","",IF($C651="","",YEAR($C651)))</f>
      </c>
      <c r="H651" s="34">
        <v>1970</v>
      </c>
      <c r="I651" s="30" t="inlineStr">
        <is>
          <t xml:space="preserve">Bentley</t>
        </is>
      </c>
      <c r="J651" s="30" t="inlineStr">
        <is>
          <t xml:space="preserve">Continental GT</t>
        </is>
      </c>
      <c r="K651" s="30" t="inlineStr">
        <is>
          <t xml:space="preserve">1CNMK31PEB3JABEVJ</t>
        </is>
      </c>
      <c r="L651" s="32" t="inlineStr">
        <is>
          <t xml:space="preserve">02 - Sports / GT</t>
        </is>
      </c>
      <c r="M651" s="35">
        <v>440000</v>
      </c>
      <c r="N651" s="32" t="inlineStr">
        <is>
          <t xml:space="preserve">Personal</t>
        </is>
      </c>
      <c r="O651" s="30" t="inlineStr">
        <is>
          <t xml:space="preserve">Personal - regular use</t>
        </is>
      </c>
      <c r="P651" s="30" t="inlineStr">
        <is>
          <t xml:space="preserve">2,500 - 5,000</t>
        </is>
      </c>
      <c r="Q651" s="30" t="inlineStr">
        <is>
          <t xml:space="preserve">Texas</t>
        </is>
      </c>
      <c r="R651" s="30" t="inlineStr">
        <is>
          <t xml:space="preserve">75201</t>
        </is>
      </c>
      <c r="S651" s="32" t="inlineStr">
        <is>
          <t xml:space="preserve">Tier 2 - Coastal wind (1-25 miles)</t>
        </is>
      </c>
      <c r="T651" s="36">
        <f>IF($A651="","",IF($S651="","",IFERROR(INDEX('[1]natural catastrophe'!$D$6:$D$17,MATCH($S651,'[1]natural catastrophe'!$B$6:$B$17,0)),"?")))</f>
      </c>
      <c r="U651" s="30" t="inlineStr">
        <is>
          <t xml:space="preserve">2% of agreed value, minimum $10,000</t>
        </is>
      </c>
      <c r="V651" s="32" t="inlineStr">
        <is>
          <t xml:space="preserve">Agreed Value</t>
        </is>
      </c>
      <c r="W651" s="30" t="inlineStr">
        <is>
          <t xml:space="preserve">$1,000</t>
        </is>
      </c>
      <c r="X651" s="32" t="inlineStr">
        <is>
          <t xml:space="preserve">$1,000,000 CSL</t>
        </is>
      </c>
      <c r="Y651" s="30"/>
      <c r="Z651" s="30"/>
      <c r="AA651" s="32" t="inlineStr">
        <is>
          <t xml:space="preserve">Surplus Lines</t>
        </is>
      </c>
      <c r="AB651" s="35">
        <v>5476.26</v>
      </c>
      <c r="AC651" s="37">
        <v>0</v>
      </c>
      <c r="AD651" s="38">
        <f>IF(ISNUMBER($AB651),$AB651*(1+N($AC651)),"")</f>
      </c>
      <c r="AE651" s="35">
        <v>350</v>
      </c>
      <c r="AF651" s="35">
        <v>0</v>
      </c>
      <c r="AG651" s="37"/>
      <c r="AH651" s="39">
        <f>IF(ISNUMBER($AD651),($AD651+$AE651+$AF651)*$AG651,"")</f>
      </c>
      <c r="AI651" s="35"/>
      <c r="AJ651" s="38">
        <f>IF(ISNUMBER($AD651),SUM($AD651:$AH651),"")</f>
      </c>
      <c r="AK651" s="40">
        <f>IF(AND(ISNUMBER($AB651),ISNUMBER($AD651)),IF($AB651&gt;0,$AD651/$AB651,""),"")</f>
      </c>
      <c r="AL651" s="32" t="inlineStr">
        <is>
          <t xml:space="preserve">At technical</t>
        </is>
      </c>
      <c r="AM651" s="41">
        <f>IF(ISNUMBER($AD651),Header!$I$3,"")</f>
      </c>
      <c r="AN651" s="39">
        <f>IF(ISNUMBER($AD651),$AO651+$AP651,"")</f>
      </c>
      <c r="AO651" s="39">
        <f>IF(ISNUMBER($AD651),ROUND($AD651*Header!$K$3,2),"")</f>
      </c>
      <c r="AP651" s="39">
        <f>IF(ISNUMBER($AD651),ROUND($AD651*Header!$M$3,2),"")</f>
      </c>
      <c r="AQ651" s="38">
        <f>IF(ISNUMBER($AD651),ROUND($AD651,2)-$AO651-$AP651,"")</f>
      </c>
      <c r="AR651" s="39">
        <f>IF(ISNUMBER($AD651),IF(Header!$D$34="","?",$AD651*Header!$D$34),"")</f>
      </c>
      <c r="AS651" s="39">
        <f>IF(ISNUMBER($AB651),IF(Header!$D$34="","?",$AB651*Header!$D$34),"")</f>
      </c>
      <c r="AT651" s="42">
        <f>IF(AND(ISNUMBER($AB651),$M651&gt;0),$AB651/$M651*100,"")</f>
      </c>
      <c r="AU651" s="42">
        <f>IF(AND(ISNUMBER($AD651),$M651&gt;0),$AD651/$M651*100,"")</f>
      </c>
      <c r="AV651" s="40">
        <f>IF(AND(ISNUMBER($AB651),ISNUMBER($AD651),ABS($AB651)&gt;0),$AD651/$AB651,"")</f>
      </c>
      <c r="AW651" s="39">
        <f>IF(ISNUMBER($AD651),MAX(0,(1-0.55-Header!$O$3)*Header!$Q$3*$AQ651),"")</f>
      </c>
      <c r="AX651" s="43">
        <f>IF($A651="","",IF(TRIM(IF($A651="","Missing certificate ref. ","") &amp; IF($C651="","Missing effective date. ","") &amp; IF($D651="","Missing binding status. ","") &amp; IF($E651="","Missing movement type. ","") &amp; IF($I651="","Missing make. ","") &amp; IF($L651="","Missing vehicle class. ","") &amp; IF($M651="","Missing agreed value. ","") &amp; IF($N651="","Missing policy type. ","") &amp; IF($Q651="","Missing garaging state. ","") &amp; IF($R651="","Missing garaging ZIP. ","") &amp; IF($S651="","Missing cat zone. ","") &amp; IF($V651="","Missing valuation basis. ","") &amp; IF($W651="","Missing PD deductible. ","") &amp; IF($X651="","Missing liability limit. ","") &amp; IF($AB651="","Missing technical premium. ","") &amp; IF($AF651="","Missing surplus lines tax %. ",""))="","PASS","FAIL: "&amp;TRIM(IF($A651="","Missing certificate ref. ","") &amp; IF($C651="","Missing effective date. ","") &amp; IF($D651="","Missing binding status. ","") &amp; IF($E651="","Missing movement type. ","") &amp; IF($I651="","Missing make. ","") &amp; IF($L651="","Missing vehicle class. ","") &amp; IF($M651="","Missing agreed value. ","") &amp; IF($N651="","Missing policy type. ","") &amp; IF($Q651="","Missing garaging state. ","") &amp; IF($R651="","Missing garaging ZIP. ","") &amp; IF($S651="","Missing cat zone. ","") &amp; IF($V651="","Missing valuation basis. ","") &amp; IF($W651="","Missing PD deductible. ","") &amp; IF($X651="","Missing liability limit. ","") &amp; IF($AB651="","Missing technical premium. ","") &amp; IF($AF651="","Missing surplus lines tax %. ",""))))</f>
      </c>
      <c r="AY651" s="44">
        <f>IF($M651="","",IF(ISNUMBER($M651),IF($M651&gt;=Header!$C$18,"YES — refer","No"),""))</f>
      </c>
      <c r="AZ651" s="44">
        <f>IF($AD651="","",IF(ISNUMBER($AD651),IF($AD651&lt;Header!$C$20,"BELOW MIN PREMIUM","OK"),""))</f>
      </c>
      <c r="BA651" s="32" t="inlineStr">
        <is>
          <t xml:space="preserve">Yes</t>
        </is>
      </c>
      <c r="BB651" s="32" t="inlineStr">
        <is>
          <t xml:space="preserve">Yes</t>
        </is>
      </c>
      <c r="BC651" s="30" t="inlineStr">
        <is>
          <t xml:space="preserve">Synthetic demo data</t>
        </is>
      </c>
      <c r="BE651" s="45">
        <f>IF(OR($A651="",$L651="",$H651=""),"",IF(AND(LEFT($L651,2)="06",$H651&gt;1945),"FAIL - pre-war class, year "&amp;$H651,IF(AND(LEFT($L651,2)="07",OR($H651&lt;1946,$H651&gt;1972)),"FAIL - 1946-72 class, year "&amp;$H651,IF(AND(LEFT($L651,2)="08",OR($H651&lt;1973,$H651&gt;1999)),"FAIL - 1973-99 class, year "&amp;$H651,IF(AND(LEFT($L651,2)="09",OR($H651&lt;2000,$H651&gt;2010)),"FAIL - 2000-10 class, year "&amp;$H651,"OK")))))</f>
      </c>
      <c r="BF651" s="45">
        <f>IF($AD651="","",IF(ROUND($AO651+$AP651+$AQ651-$AD651,2)=0,"OK","FAIL - out by "&amp;TEXT($AO651+$AP651+$AQ651-$AD651,"$0.00")))</f>
      </c>
    </row>
    <row r="652" spans="1:58" ht="18.75" customHeight="1" x14ac:dyDescent="0.25">
      <c r="A652" s="46" t="inlineStr">
        <is>
          <t xml:space="preserve">CANON-202606-009292</t>
        </is>
      </c>
      <c r="B652" s="46" t="inlineStr">
        <is>
          <t xml:space="preserve">Wilhelmina Whitlock</t>
        </is>
      </c>
      <c r="C652" s="47">
        <v>46193</v>
      </c>
      <c r="D652" s="48" t="inlineStr">
        <is>
          <t xml:space="preserve">Bound - within authority</t>
        </is>
      </c>
      <c r="E652" s="48" t="inlineStr">
        <is>
          <t xml:space="preserve">New business</t>
        </is>
      </c>
      <c r="F652" s="46" t="inlineStr">
        <is>
          <t xml:space="preserve">B1234EXOTIC26</t>
        </is>
      </c>
      <c r="G652" s="33">
        <f>IF($A652="","",IF($C652="","",YEAR($C652)))</f>
      </c>
      <c r="H652" s="49">
        <v>1961</v>
      </c>
      <c r="I652" s="46" t="inlineStr">
        <is>
          <t xml:space="preserve">Aston Martin</t>
        </is>
      </c>
      <c r="J652" s="46" t="inlineStr">
        <is>
          <t xml:space="preserve">DB12</t>
        </is>
      </c>
      <c r="K652" s="46" t="inlineStr">
        <is>
          <t xml:space="preserve">H7K5KH8EFE1W1YDHP</t>
        </is>
      </c>
      <c r="L652" s="48" t="inlineStr">
        <is>
          <t xml:space="preserve">02 - Sports / GT</t>
        </is>
      </c>
      <c r="M652" s="50">
        <v>360000</v>
      </c>
      <c r="N652" s="48" t="inlineStr">
        <is>
          <t xml:space="preserve">Personal</t>
        </is>
      </c>
      <c r="O652" s="46" t="inlineStr">
        <is>
          <t xml:space="preserve">Personal - regular use</t>
        </is>
      </c>
      <c r="P652" s="46" t="inlineStr">
        <is>
          <t xml:space="preserve">Under 1,000</t>
        </is>
      </c>
      <c r="Q652" s="46" t="inlineStr">
        <is>
          <t xml:space="preserve">Michigan</t>
        </is>
      </c>
      <c r="R652" s="46" t="inlineStr">
        <is>
          <t xml:space="preserve">48226</t>
        </is>
      </c>
      <c r="S652" s="48" t="inlineStr">
        <is>
          <t xml:space="preserve">Severe convective - hail / tornado (moderate)</t>
        </is>
      </c>
      <c r="T652" s="36">
        <f>IF($A652="","",IF($S652="","",IFERROR(INDEX('[1]natural catastrophe'!$D$6:$D$17,MATCH($S652,'[1]natural catastrophe'!$B$6:$B$17,0)),"?")))</f>
      </c>
      <c r="U652" s="46" t="inlineStr">
        <is>
          <t xml:space="preserve">$5,000</t>
        </is>
      </c>
      <c r="V652" s="48" t="inlineStr">
        <is>
          <t xml:space="preserve">Agreed Value</t>
        </is>
      </c>
      <c r="W652" s="46" t="inlineStr">
        <is>
          <t xml:space="preserve">$1,000</t>
        </is>
      </c>
      <c r="X652" s="48" t="inlineStr">
        <is>
          <t xml:space="preserve">$1,000,000 CSL</t>
        </is>
      </c>
      <c r="Y652" s="46"/>
      <c r="Z652" s="46"/>
      <c r="AA652" s="48" t="inlineStr">
        <is>
          <t xml:space="preserve">Surplus Lines</t>
        </is>
      </c>
      <c r="AB652" s="50">
        <v>6039.04</v>
      </c>
      <c r="AC652" s="51">
        <v>0</v>
      </c>
      <c r="AD652" s="38">
        <f>IF(ISNUMBER($AB652),$AB652*(1+N($AC652)),"")</f>
      </c>
      <c r="AE652" s="50">
        <v>350</v>
      </c>
      <c r="AF652" s="50">
        <v>0</v>
      </c>
      <c r="AG652" s="51"/>
      <c r="AH652" s="39">
        <f>IF(ISNUMBER($AD652),($AD652+$AE652+$AF652)*$AG652,"")</f>
      </c>
      <c r="AI652" s="50"/>
      <c r="AJ652" s="38">
        <f>IF(ISNUMBER($AD652),SUM($AD652:$AH652),"")</f>
      </c>
      <c r="AK652" s="40">
        <f>IF(AND(ISNUMBER($AB652),ISNUMBER($AD652)),IF($AB652&gt;0,$AD652/$AB652,""),"")</f>
      </c>
      <c r="AL652" s="48" t="inlineStr">
        <is>
          <t xml:space="preserve">At technical</t>
        </is>
      </c>
      <c r="AM652" s="41">
        <f>IF(ISNUMBER($AD652),Header!$I$3,"")</f>
      </c>
      <c r="AN652" s="39">
        <f>IF(ISNUMBER($AD652),$AO652+$AP652,"")</f>
      </c>
      <c r="AO652" s="39">
        <f>IF(ISNUMBER($AD652),ROUND($AD652*Header!$K$3,2),"")</f>
      </c>
      <c r="AP652" s="39">
        <f>IF(ISNUMBER($AD652),ROUND($AD652*Header!$M$3,2),"")</f>
      </c>
      <c r="AQ652" s="38">
        <f>IF(ISNUMBER($AD652),ROUND($AD652,2)-$AO652-$AP652,"")</f>
      </c>
      <c r="AR652" s="39">
        <f>IF(ISNUMBER($AD652),IF(Header!$D$34="","?",$AD652*Header!$D$34),"")</f>
      </c>
      <c r="AS652" s="39">
        <f>IF(ISNUMBER($AB652),IF(Header!$D$34="","?",$AB652*Header!$D$34),"")</f>
      </c>
      <c r="AT652" s="42">
        <f>IF(AND(ISNUMBER($AB652),$M652&gt;0),$AB652/$M652*100,"")</f>
      </c>
      <c r="AU652" s="42">
        <f>IF(AND(ISNUMBER($AD652),$M652&gt;0),$AD652/$M652*100,"")</f>
      </c>
      <c r="AV652" s="40">
        <f>IF(AND(ISNUMBER($AB652),ISNUMBER($AD652),ABS($AB652)&gt;0),$AD652/$AB652,"")</f>
      </c>
      <c r="AW652" s="39">
        <f>IF(ISNUMBER($AD652),MAX(0,(1-0.55-Header!$O$3)*Header!$Q$3*$AQ652),"")</f>
      </c>
      <c r="AX652" s="43">
        <f>IF($A652="","",IF(TRIM(IF($A652="","Missing certificate ref. ","") &amp; IF($C652="","Missing effective date. ","") &amp; IF($D652="","Missing binding status. ","") &amp; IF($E652="","Missing movement type. ","") &amp; IF($I652="","Missing make. ","") &amp; IF($L652="","Missing vehicle class. ","") &amp; IF($M652="","Missing agreed value. ","") &amp; IF($N652="","Missing policy type. ","") &amp; IF($Q652="","Missing garaging state. ","") &amp; IF($R652="","Missing garaging ZIP. ","") &amp; IF($S652="","Missing cat zone. ","") &amp; IF($V652="","Missing valuation basis. ","") &amp; IF($W652="","Missing PD deductible. ","") &amp; IF($X652="","Missing liability limit. ","") &amp; IF($AB652="","Missing technical premium. ","") &amp; IF($AF652="","Missing surplus lines tax %. ",""))="","PASS","FAIL: "&amp;TRIM(IF($A652="","Missing certificate ref. ","") &amp; IF($C652="","Missing effective date. ","") &amp; IF($D652="","Missing binding status. ","") &amp; IF($E652="","Missing movement type. ","") &amp; IF($I652="","Missing make. ","") &amp; IF($L652="","Missing vehicle class. ","") &amp; IF($M652="","Missing agreed value. ","") &amp; IF($N652="","Missing policy type. ","") &amp; IF($Q652="","Missing garaging state. ","") &amp; IF($R652="","Missing garaging ZIP. ","") &amp; IF($S652="","Missing cat zone. ","") &amp; IF($V652="","Missing valuation basis. ","") &amp; IF($W652="","Missing PD deductible. ","") &amp; IF($X652="","Missing liability limit. ","") &amp; IF($AB652="","Missing technical premium. ","") &amp; IF($AF652="","Missing surplus lines tax %. ",""))))</f>
      </c>
      <c r="AY652" s="44">
        <f>IF($M652="","",IF(ISNUMBER($M652),IF($M652&gt;=Header!$C$18,"YES — refer","No"),""))</f>
      </c>
      <c r="AZ652" s="44">
        <f>IF($AD652="","",IF(ISNUMBER($AD652),IF($AD652&lt;Header!$C$20,"BELOW MIN PREMIUM","OK"),""))</f>
      </c>
      <c r="BA652" s="48" t="inlineStr">
        <is>
          <t xml:space="preserve">Yes</t>
        </is>
      </c>
      <c r="BB652" s="48" t="inlineStr">
        <is>
          <t xml:space="preserve">Yes</t>
        </is>
      </c>
      <c r="BC652" s="46" t="inlineStr">
        <is>
          <t xml:space="preserve">Synthetic demo data</t>
        </is>
      </c>
      <c r="BE652" s="45">
        <f>IF(OR($A652="",$L652="",$H652=""),"",IF(AND(LEFT($L652,2)="06",$H652&gt;1945),"FAIL - pre-war class, year "&amp;$H652,IF(AND(LEFT($L652,2)="07",OR($H652&lt;1946,$H652&gt;1972)),"FAIL - 1946-72 class, year "&amp;$H652,IF(AND(LEFT($L652,2)="08",OR($H652&lt;1973,$H652&gt;1999)),"FAIL - 1973-99 class, year "&amp;$H652,IF(AND(LEFT($L652,2)="09",OR($H652&lt;2000,$H652&gt;2010)),"FAIL - 2000-10 class, year "&amp;$H652,"OK")))))</f>
      </c>
      <c r="BF652" s="45">
        <f>IF($AD652="","",IF(ROUND($AO652+$AP652+$AQ652-$AD652,2)=0,"OK","FAIL - out by "&amp;TEXT($AO652+$AP652+$AQ652-$AD652,"$0.00")))</f>
      </c>
    </row>
    <row r="653" spans="1:58" ht="18.75" customHeight="1" x14ac:dyDescent="0.25">
      <c r="A653" s="30" t="inlineStr">
        <is>
          <t xml:space="preserve">CANON-202606-009293</t>
        </is>
      </c>
      <c r="B653" s="30" t="inlineStr">
        <is>
          <t xml:space="preserve">Lorenzo Vandermeer</t>
        </is>
      </c>
      <c r="C653" s="31">
        <v>46203</v>
      </c>
      <c r="D653" s="32" t="inlineStr">
        <is>
          <t xml:space="preserve">Bound - within authority</t>
        </is>
      </c>
      <c r="E653" s="32" t="inlineStr">
        <is>
          <t xml:space="preserve">New business</t>
        </is>
      </c>
      <c r="F653" s="30" t="inlineStr">
        <is>
          <t xml:space="preserve">B1234EXOTIC26</t>
        </is>
      </c>
      <c r="G653" s="33">
        <f>IF($A653="","",IF($C653="","",YEAR($C653)))</f>
      </c>
      <c r="H653" s="34">
        <v>2023</v>
      </c>
      <c r="I653" s="30" t="inlineStr">
        <is>
          <t xml:space="preserve">Porsche</t>
        </is>
      </c>
      <c r="J653" s="30" t="inlineStr">
        <is>
          <t xml:space="preserve">911 Turbo S</t>
        </is>
      </c>
      <c r="K653" s="30" t="inlineStr">
        <is>
          <t xml:space="preserve">P1J79YDSNWLFG0C1L</t>
        </is>
      </c>
      <c r="L653" s="32" t="inlineStr">
        <is>
          <t xml:space="preserve">02 - Sports / GT</t>
        </is>
      </c>
      <c r="M653" s="35">
        <v>955000</v>
      </c>
      <c r="N653" s="32" t="inlineStr">
        <is>
          <t xml:space="preserve">Personal</t>
        </is>
      </c>
      <c r="O653" s="30" t="inlineStr">
        <is>
          <t xml:space="preserve">Personal - regular use</t>
        </is>
      </c>
      <c r="P653" s="30" t="inlineStr">
        <is>
          <t xml:space="preserve">2,500 - 5,000</t>
        </is>
      </c>
      <c r="Q653" s="30" t="inlineStr">
        <is>
          <t xml:space="preserve">Nebraska</t>
        </is>
      </c>
      <c r="R653" s="30" t="inlineStr">
        <is>
          <t xml:space="preserve">68102</t>
        </is>
      </c>
      <c r="S653" s="32" t="inlineStr">
        <is>
          <t xml:space="preserve">Severe convective - hail alley (high)</t>
        </is>
      </c>
      <c r="T653" s="36">
        <f>IF($A653="","",IF($S653="","",IFERROR(INDEX('[1]natural catastrophe'!$D$6:$D$17,MATCH($S653,'[1]natural catastrophe'!$B$6:$B$17,0)),"?")))</f>
      </c>
      <c r="U653" s="30" t="inlineStr">
        <is>
          <t xml:space="preserve">$5,000</t>
        </is>
      </c>
      <c r="V653" s="32" t="inlineStr">
        <is>
          <t xml:space="preserve">Agreed Value</t>
        </is>
      </c>
      <c r="W653" s="30" t="inlineStr">
        <is>
          <t xml:space="preserve">$1,000</t>
        </is>
      </c>
      <c r="X653" s="32" t="inlineStr">
        <is>
          <t xml:space="preserve">$1,000,000 CSL</t>
        </is>
      </c>
      <c r="Y653" s="30"/>
      <c r="Z653" s="30"/>
      <c r="AA653" s="32" t="inlineStr">
        <is>
          <t xml:space="preserve">Surplus Lines</t>
        </is>
      </c>
      <c r="AB653" s="35">
        <v>11644.8</v>
      </c>
      <c r="AC653" s="37">
        <v>0</v>
      </c>
      <c r="AD653" s="38">
        <f>IF(ISNUMBER($AB653),$AB653*(1+N($AC653)),"")</f>
      </c>
      <c r="AE653" s="35">
        <v>350</v>
      </c>
      <c r="AF653" s="35">
        <v>0</v>
      </c>
      <c r="AG653" s="37"/>
      <c r="AH653" s="39">
        <f>IF(ISNUMBER($AD653),($AD653+$AE653+$AF653)*$AG653,"")</f>
      </c>
      <c r="AI653" s="35"/>
      <c r="AJ653" s="38">
        <f>IF(ISNUMBER($AD653),SUM($AD653:$AH653),"")</f>
      </c>
      <c r="AK653" s="40">
        <f>IF(AND(ISNUMBER($AB653),ISNUMBER($AD653)),IF($AB653&gt;0,$AD653/$AB653,""),"")</f>
      </c>
      <c r="AL653" s="32" t="inlineStr">
        <is>
          <t xml:space="preserve">At technical</t>
        </is>
      </c>
      <c r="AM653" s="41">
        <f>IF(ISNUMBER($AD653),Header!$I$3,"")</f>
      </c>
      <c r="AN653" s="39">
        <f>IF(ISNUMBER($AD653),$AO653+$AP653,"")</f>
      </c>
      <c r="AO653" s="39">
        <f>IF(ISNUMBER($AD653),ROUND($AD653*Header!$K$3,2),"")</f>
      </c>
      <c r="AP653" s="39">
        <f>IF(ISNUMBER($AD653),ROUND($AD653*Header!$M$3,2),"")</f>
      </c>
      <c r="AQ653" s="38">
        <f>IF(ISNUMBER($AD653),ROUND($AD653,2)-$AO653-$AP653,"")</f>
      </c>
      <c r="AR653" s="39">
        <f>IF(ISNUMBER($AD653),IF(Header!$D$34="","?",$AD653*Header!$D$34),"")</f>
      </c>
      <c r="AS653" s="39">
        <f>IF(ISNUMBER($AB653),IF(Header!$D$34="","?",$AB653*Header!$D$34),"")</f>
      </c>
      <c r="AT653" s="42">
        <f>IF(AND(ISNUMBER($AB653),$M653&gt;0),$AB653/$M653*100,"")</f>
      </c>
      <c r="AU653" s="42">
        <f>IF(AND(ISNUMBER($AD653),$M653&gt;0),$AD653/$M653*100,"")</f>
      </c>
      <c r="AV653" s="40">
        <f>IF(AND(ISNUMBER($AB653),ISNUMBER($AD653),ABS($AB653)&gt;0),$AD653/$AB653,"")</f>
      </c>
      <c r="AW653" s="39">
        <f>IF(ISNUMBER($AD653),MAX(0,(1-0.55-Header!$O$3)*Header!$Q$3*$AQ653),"")</f>
      </c>
      <c r="AX653" s="43">
        <f>IF($A653="","",IF(TRIM(IF($A653="","Missing certificate ref. ","") &amp; IF($C653="","Missing effective date. ","") &amp; IF($D653="","Missing binding status. ","") &amp; IF($E653="","Missing movement type. ","") &amp; IF($I653="","Missing make. ","") &amp; IF($L653="","Missing vehicle class. ","") &amp; IF($M653="","Missing agreed value. ","") &amp; IF($N653="","Missing policy type. ","") &amp; IF($Q653="","Missing garaging state. ","") &amp; IF($R653="","Missing garaging ZIP. ","") &amp; IF($S653="","Missing cat zone. ","") &amp; IF($V653="","Missing valuation basis. ","") &amp; IF($W653="","Missing PD deductible. ","") &amp; IF($X653="","Missing liability limit. ","") &amp; IF($AB653="","Missing technical premium. ","") &amp; IF($AF653="","Missing surplus lines tax %. ",""))="","PASS","FAIL: "&amp;TRIM(IF($A653="","Missing certificate ref. ","") &amp; IF($C653="","Missing effective date. ","") &amp; IF($D653="","Missing binding status. ","") &amp; IF($E653="","Missing movement type. ","") &amp; IF($I653="","Missing make. ","") &amp; IF($L653="","Missing vehicle class. ","") &amp; IF($M653="","Missing agreed value. ","") &amp; IF($N653="","Missing policy type. ","") &amp; IF($Q653="","Missing garaging state. ","") &amp; IF($R653="","Missing garaging ZIP. ","") &amp; IF($S653="","Missing cat zone. ","") &amp; IF($V653="","Missing valuation basis. ","") &amp; IF($W653="","Missing PD deductible. ","") &amp; IF($X653="","Missing liability limit. ","") &amp; IF($AB653="","Missing technical premium. ","") &amp; IF($AF653="","Missing surplus lines tax %. ",""))))</f>
      </c>
      <c r="AY653" s="44">
        <f>IF($M653="","",IF(ISNUMBER($M653),IF($M653&gt;=Header!$C$18,"YES — refer","No"),""))</f>
      </c>
      <c r="AZ653" s="44">
        <f>IF($AD653="","",IF(ISNUMBER($AD653),IF($AD653&lt;Header!$C$20,"BELOW MIN PREMIUM","OK"),""))</f>
      </c>
      <c r="BA653" s="32" t="inlineStr">
        <is>
          <t xml:space="preserve">Yes</t>
        </is>
      </c>
      <c r="BB653" s="32" t="inlineStr">
        <is>
          <t xml:space="preserve">Yes</t>
        </is>
      </c>
      <c r="BC653" s="30" t="inlineStr">
        <is>
          <t xml:space="preserve">Synthetic demo data</t>
        </is>
      </c>
      <c r="BE653" s="45">
        <f>IF(OR($A653="",$L653="",$H653=""),"",IF(AND(LEFT($L653,2)="06",$H653&gt;1945),"FAIL - pre-war class, year "&amp;$H653,IF(AND(LEFT($L653,2)="07",OR($H653&lt;1946,$H653&gt;1972)),"FAIL - 1946-72 class, year "&amp;$H653,IF(AND(LEFT($L653,2)="08",OR($H653&lt;1973,$H653&gt;1999)),"FAIL - 1973-99 class, year "&amp;$H653,IF(AND(LEFT($L653,2)="09",OR($H653&lt;2000,$H653&gt;2010)),"FAIL - 2000-10 class, year "&amp;$H653,"OK")))))</f>
      </c>
      <c r="BF653" s="45">
        <f>IF($AD653="","",IF(ROUND($AO653+$AP653+$AQ653-$AD653,2)=0,"OK","FAIL - out by "&amp;TEXT($AO653+$AP653+$AQ653-$AD653,"$0.00")))</f>
      </c>
    </row>
    <row r="654" spans="1:58" ht="18.75" customHeight="1" x14ac:dyDescent="0.25">
      <c r="A654" s="46" t="inlineStr">
        <is>
          <t xml:space="preserve">CANON-202606-009294</t>
        </is>
      </c>
      <c r="B654" s="46" t="inlineStr">
        <is>
          <t xml:space="preserve">Ingrid Larsson</t>
        </is>
      </c>
      <c r="C654" s="47">
        <v>46179</v>
      </c>
      <c r="D654" s="48" t="inlineStr">
        <is>
          <t xml:space="preserve">Bound - within authority</t>
        </is>
      </c>
      <c r="E654" s="48" t="inlineStr">
        <is>
          <t xml:space="preserve">New business</t>
        </is>
      </c>
      <c r="F654" s="46" t="inlineStr">
        <is>
          <t xml:space="preserve">B1234EXOTIC26</t>
        </is>
      </c>
      <c r="G654" s="33">
        <f>IF($A654="","",IF($C654="","",YEAR($C654)))</f>
      </c>
      <c r="H654" s="49">
        <v>1989</v>
      </c>
      <c r="I654" s="46" t="inlineStr">
        <is>
          <t xml:space="preserve">BMW</t>
        </is>
      </c>
      <c r="J654" s="46" t="inlineStr">
        <is>
          <t xml:space="preserve">M8 Competition</t>
        </is>
      </c>
      <c r="K654" s="46" t="inlineStr">
        <is>
          <t xml:space="preserve">C7H1KA770NFH179H3</t>
        </is>
      </c>
      <c r="L654" s="48" t="inlineStr">
        <is>
          <t xml:space="preserve">02 - Sports / GT</t>
        </is>
      </c>
      <c r="M654" s="50">
        <v>1010000</v>
      </c>
      <c r="N654" s="48" t="inlineStr">
        <is>
          <t xml:space="preserve">Personal</t>
        </is>
      </c>
      <c r="O654" s="46" t="inlineStr">
        <is>
          <t xml:space="preserve">Personal - regular use</t>
        </is>
      </c>
      <c r="P654" s="46" t="inlineStr">
        <is>
          <t xml:space="preserve">1,000 - 2,500</t>
        </is>
      </c>
      <c r="Q654" s="46" t="inlineStr">
        <is>
          <t xml:space="preserve">Ohio</t>
        </is>
      </c>
      <c r="R654" s="46" t="inlineStr">
        <is>
          <t xml:space="preserve">43215</t>
        </is>
      </c>
      <c r="S654" s="48" t="inlineStr">
        <is>
          <t xml:space="preserve">Severe convective - hail / tornado (moderate)</t>
        </is>
      </c>
      <c r="T654" s="36">
        <f>IF($A654="","",IF($S654="","",IFERROR(INDEX('[1]natural catastrophe'!$D$6:$D$17,MATCH($S654,'[1]natural catastrophe'!$B$6:$B$17,0)),"?")))</f>
      </c>
      <c r="U654" s="46" t="inlineStr">
        <is>
          <t xml:space="preserve">$5,000</t>
        </is>
      </c>
      <c r="V654" s="48" t="inlineStr">
        <is>
          <t xml:space="preserve">Agreed Value</t>
        </is>
      </c>
      <c r="W654" s="46" t="inlineStr">
        <is>
          <t xml:space="preserve">$1,000</t>
        </is>
      </c>
      <c r="X654" s="48" t="inlineStr">
        <is>
          <t xml:space="preserve">$1,000,000 CSL</t>
        </is>
      </c>
      <c r="Y654" s="46"/>
      <c r="Z654" s="46"/>
      <c r="AA654" s="48" t="inlineStr">
        <is>
          <t xml:space="preserve">Surplus Lines</t>
        </is>
      </c>
      <c r="AB654" s="50">
        <v>11142.2</v>
      </c>
      <c r="AC654" s="51">
        <v>0</v>
      </c>
      <c r="AD654" s="38">
        <f>IF(ISNUMBER($AB654),$AB654*(1+N($AC654)),"")</f>
      </c>
      <c r="AE654" s="50">
        <v>350</v>
      </c>
      <c r="AF654" s="50">
        <v>250</v>
      </c>
      <c r="AG654" s="51"/>
      <c r="AH654" s="39">
        <f>IF(ISNUMBER($AD654),($AD654+$AE654+$AF654)*$AG654,"")</f>
      </c>
      <c r="AI654" s="50"/>
      <c r="AJ654" s="38">
        <f>IF(ISNUMBER($AD654),SUM($AD654:$AH654),"")</f>
      </c>
      <c r="AK654" s="40">
        <f>IF(AND(ISNUMBER($AB654),ISNUMBER($AD654)),IF($AB654&gt;0,$AD654/$AB654,""),"")</f>
      </c>
      <c r="AL654" s="48" t="inlineStr">
        <is>
          <t xml:space="preserve">At technical</t>
        </is>
      </c>
      <c r="AM654" s="41">
        <f>IF(ISNUMBER($AD654),Header!$I$3,"")</f>
      </c>
      <c r="AN654" s="39">
        <f>IF(ISNUMBER($AD654),$AO654+$AP654,"")</f>
      </c>
      <c r="AO654" s="39">
        <f>IF(ISNUMBER($AD654),ROUND($AD654*Header!$K$3,2),"")</f>
      </c>
      <c r="AP654" s="39">
        <f>IF(ISNUMBER($AD654),ROUND($AD654*Header!$M$3,2),"")</f>
      </c>
      <c r="AQ654" s="38">
        <f>IF(ISNUMBER($AD654),ROUND($AD654,2)-$AO654-$AP654,"")</f>
      </c>
      <c r="AR654" s="39">
        <f>IF(ISNUMBER($AD654),IF(Header!$D$34="","?",$AD654*Header!$D$34),"")</f>
      </c>
      <c r="AS654" s="39">
        <f>IF(ISNUMBER($AB654),IF(Header!$D$34="","?",$AB654*Header!$D$34),"")</f>
      </c>
      <c r="AT654" s="42">
        <f>IF(AND(ISNUMBER($AB654),$M654&gt;0),$AB654/$M654*100,"")</f>
      </c>
      <c r="AU654" s="42">
        <f>IF(AND(ISNUMBER($AD654),$M654&gt;0),$AD654/$M654*100,"")</f>
      </c>
      <c r="AV654" s="40">
        <f>IF(AND(ISNUMBER($AB654),ISNUMBER($AD654),ABS($AB654)&gt;0),$AD654/$AB654,"")</f>
      </c>
      <c r="AW654" s="39">
        <f>IF(ISNUMBER($AD654),MAX(0,(1-0.55-Header!$O$3)*Header!$Q$3*$AQ654),"")</f>
      </c>
      <c r="AX654" s="43">
        <f>IF($A654="","",IF(TRIM(IF($A654="","Missing certificate ref. ","") &amp; IF($C654="","Missing effective date. ","") &amp; IF($D654="","Missing binding status. ","") &amp; IF($E654="","Missing movement type. ","") &amp; IF($I654="","Missing make. ","") &amp; IF($L654="","Missing vehicle class. ","") &amp; IF($M654="","Missing agreed value. ","") &amp; IF($N654="","Missing policy type. ","") &amp; IF($Q654="","Missing garaging state. ","") &amp; IF($R654="","Missing garaging ZIP. ","") &amp; IF($S654="","Missing cat zone. ","") &amp; IF($V654="","Missing valuation basis. ","") &amp; IF($W654="","Missing PD deductible. ","") &amp; IF($X654="","Missing liability limit. ","") &amp; IF($AB654="","Missing technical premium. ","") &amp; IF($AF654="","Missing surplus lines tax %. ",""))="","PASS","FAIL: "&amp;TRIM(IF($A654="","Missing certificate ref. ","") &amp; IF($C654="","Missing effective date. ","") &amp; IF($D654="","Missing binding status. ","") &amp; IF($E654="","Missing movement type. ","") &amp; IF($I654="","Missing make. ","") &amp; IF($L654="","Missing vehicle class. ","") &amp; IF($M654="","Missing agreed value. ","") &amp; IF($N654="","Missing policy type. ","") &amp; IF($Q654="","Missing garaging state. ","") &amp; IF($R654="","Missing garaging ZIP. ","") &amp; IF($S654="","Missing cat zone. ","") &amp; IF($V654="","Missing valuation basis. ","") &amp; IF($W654="","Missing PD deductible. ","") &amp; IF($X654="","Missing liability limit. ","") &amp; IF($AB654="","Missing technical premium. ","") &amp; IF($AF654="","Missing surplus lines tax %. ",""))))</f>
      </c>
      <c r="AY654" s="44">
        <f>IF($M654="","",IF(ISNUMBER($M654),IF($M654&gt;=Header!$C$18,"YES — refer","No"),""))</f>
      </c>
      <c r="AZ654" s="44">
        <f>IF($AD654="","",IF(ISNUMBER($AD654),IF($AD654&lt;Header!$C$20,"BELOW MIN PREMIUM","OK"),""))</f>
      </c>
      <c r="BA654" s="48" t="inlineStr">
        <is>
          <t xml:space="preserve">Yes</t>
        </is>
      </c>
      <c r="BB654" s="48" t="inlineStr">
        <is>
          <t xml:space="preserve">Yes</t>
        </is>
      </c>
      <c r="BC654" s="46" t="inlineStr">
        <is>
          <t xml:space="preserve">Synthetic demo data</t>
        </is>
      </c>
      <c r="BE654" s="45">
        <f>IF(OR($A654="",$L654="",$H654=""),"",IF(AND(LEFT($L654,2)="06",$H654&gt;1945),"FAIL - pre-war class, year "&amp;$H654,IF(AND(LEFT($L654,2)="07",OR($H654&lt;1946,$H654&gt;1972)),"FAIL - 1946-72 class, year "&amp;$H654,IF(AND(LEFT($L654,2)="08",OR($H654&lt;1973,$H654&gt;1999)),"FAIL - 1973-99 class, year "&amp;$H654,IF(AND(LEFT($L654,2)="09",OR($H654&lt;2000,$H654&gt;2010)),"FAIL - 2000-10 class, year "&amp;$H654,"OK")))))</f>
      </c>
      <c r="BF654" s="45">
        <f>IF($AD654="","",IF(ROUND($AO654+$AP654+$AQ654-$AD654,2)=0,"OK","FAIL - out by "&amp;TEXT($AO654+$AP654+$AQ654-$AD654,"$0.00")))</f>
      </c>
    </row>
    <row r="655" spans="1:58" ht="18.75" customHeight="1" x14ac:dyDescent="0.25">
      <c r="A655" s="30" t="inlineStr">
        <is>
          <t xml:space="preserve">CANON-202606-009295</t>
        </is>
      </c>
      <c r="B655" s="30" t="inlineStr">
        <is>
          <t xml:space="preserve">Delphine Larsson</t>
        </is>
      </c>
      <c r="C655" s="31">
        <v>46201</v>
      </c>
      <c r="D655" s="32" t="inlineStr">
        <is>
          <t xml:space="preserve">Bound - within authority</t>
        </is>
      </c>
      <c r="E655" s="32" t="inlineStr">
        <is>
          <t xml:space="preserve">New business</t>
        </is>
      </c>
      <c r="F655" s="30" t="inlineStr">
        <is>
          <t xml:space="preserve">B1234EXOTIC26</t>
        </is>
      </c>
      <c r="G655" s="33">
        <f>IF($A655="","",IF($C655="","",YEAR($C655)))</f>
      </c>
      <c r="H655" s="34">
        <v>2011</v>
      </c>
      <c r="I655" s="30" t="inlineStr">
        <is>
          <t xml:space="preserve">Aston Martin</t>
        </is>
      </c>
      <c r="J655" s="30" t="inlineStr">
        <is>
          <t xml:space="preserve">DB12</t>
        </is>
      </c>
      <c r="K655" s="30" t="inlineStr">
        <is>
          <t xml:space="preserve">ULEDAGRJ7Z06TKET2</t>
        </is>
      </c>
      <c r="L655" s="32" t="inlineStr">
        <is>
          <t xml:space="preserve">02 - Sports / GT</t>
        </is>
      </c>
      <c r="M655" s="35">
        <v>270000</v>
      </c>
      <c r="N655" s="32" t="inlineStr">
        <is>
          <t xml:space="preserve">Personal</t>
        </is>
      </c>
      <c r="O655" s="30" t="inlineStr">
        <is>
          <t xml:space="preserve">Personal - regular use</t>
        </is>
      </c>
      <c r="P655" s="30" t="inlineStr">
        <is>
          <t xml:space="preserve">2,500 - 5,000</t>
        </is>
      </c>
      <c r="Q655" s="30" t="inlineStr">
        <is>
          <t xml:space="preserve">North Dakota</t>
        </is>
      </c>
      <c r="R655" s="30" t="inlineStr">
        <is>
          <t xml:space="preserve">58501</t>
        </is>
      </c>
      <c r="S655" s="32" t="inlineStr">
        <is>
          <t xml:space="preserve">Severe convective - hail alley (high)</t>
        </is>
      </c>
      <c r="T655" s="36">
        <f>IF($A655="","",IF($S655="","",IFERROR(INDEX('[1]natural catastrophe'!$D$6:$D$17,MATCH($S655,'[1]natural catastrophe'!$B$6:$B$17,0)),"?")))</f>
      </c>
      <c r="U655" s="30" t="inlineStr">
        <is>
          <t xml:space="preserve">$5,000</t>
        </is>
      </c>
      <c r="V655" s="32" t="inlineStr">
        <is>
          <t xml:space="preserve">Agreed Value</t>
        </is>
      </c>
      <c r="W655" s="30" t="inlineStr">
        <is>
          <t xml:space="preserve">$1,000</t>
        </is>
      </c>
      <c r="X655" s="32" t="inlineStr">
        <is>
          <t xml:space="preserve">$1,000,000 CSL</t>
        </is>
      </c>
      <c r="Y655" s="30"/>
      <c r="Z655" s="30"/>
      <c r="AA655" s="32" t="inlineStr">
        <is>
          <t xml:space="preserve">Surplus Lines</t>
        </is>
      </c>
      <c r="AB655" s="35">
        <v>2980.56</v>
      </c>
      <c r="AC655" s="37">
        <v>0</v>
      </c>
      <c r="AD655" s="38">
        <f>IF(ISNUMBER($AB655),$AB655*(1+N($AC655)),"")</f>
      </c>
      <c r="AE655" s="35">
        <v>350</v>
      </c>
      <c r="AF655" s="35">
        <v>0</v>
      </c>
      <c r="AG655" s="37"/>
      <c r="AH655" s="39">
        <f>IF(ISNUMBER($AD655),($AD655+$AE655+$AF655)*$AG655,"")</f>
      </c>
      <c r="AI655" s="35"/>
      <c r="AJ655" s="38">
        <f>IF(ISNUMBER($AD655),SUM($AD655:$AH655),"")</f>
      </c>
      <c r="AK655" s="40">
        <f>IF(AND(ISNUMBER($AB655),ISNUMBER($AD655)),IF($AB655&gt;0,$AD655/$AB655,""),"")</f>
      </c>
      <c r="AL655" s="32" t="inlineStr">
        <is>
          <t xml:space="preserve">At technical</t>
        </is>
      </c>
      <c r="AM655" s="41">
        <f>IF(ISNUMBER($AD655),Header!$I$3,"")</f>
      </c>
      <c r="AN655" s="39">
        <f>IF(ISNUMBER($AD655),$AO655+$AP655,"")</f>
      </c>
      <c r="AO655" s="39">
        <f>IF(ISNUMBER($AD655),ROUND($AD655*Header!$K$3,2),"")</f>
      </c>
      <c r="AP655" s="39">
        <f>IF(ISNUMBER($AD655),ROUND($AD655*Header!$M$3,2),"")</f>
      </c>
      <c r="AQ655" s="38">
        <f>IF(ISNUMBER($AD655),ROUND($AD655,2)-$AO655-$AP655,"")</f>
      </c>
      <c r="AR655" s="39">
        <f>IF(ISNUMBER($AD655),IF(Header!$D$34="","?",$AD655*Header!$D$34),"")</f>
      </c>
      <c r="AS655" s="39">
        <f>IF(ISNUMBER($AB655),IF(Header!$D$34="","?",$AB655*Header!$D$34),"")</f>
      </c>
      <c r="AT655" s="42">
        <f>IF(AND(ISNUMBER($AB655),$M655&gt;0),$AB655/$M655*100,"")</f>
      </c>
      <c r="AU655" s="42">
        <f>IF(AND(ISNUMBER($AD655),$M655&gt;0),$AD655/$M655*100,"")</f>
      </c>
      <c r="AV655" s="40">
        <f>IF(AND(ISNUMBER($AB655),ISNUMBER($AD655),ABS($AB655)&gt;0),$AD655/$AB655,"")</f>
      </c>
      <c r="AW655" s="39">
        <f>IF(ISNUMBER($AD655),MAX(0,(1-0.55-Header!$O$3)*Header!$Q$3*$AQ655),"")</f>
      </c>
      <c r="AX655" s="43">
        <f>IF($A655="","",IF(TRIM(IF($A655="","Missing certificate ref. ","") &amp; IF($C655="","Missing effective date. ","") &amp; IF($D655="","Missing binding status. ","") &amp; IF($E655="","Missing movement type. ","") &amp; IF($I655="","Missing make. ","") &amp; IF($L655="","Missing vehicle class. ","") &amp; IF($M655="","Missing agreed value. ","") &amp; IF($N655="","Missing policy type. ","") &amp; IF($Q655="","Missing garaging state. ","") &amp; IF($R655="","Missing garaging ZIP. ","") &amp; IF($S655="","Missing cat zone. ","") &amp; IF($V655="","Missing valuation basis. ","") &amp; IF($W655="","Missing PD deductible. ","") &amp; IF($X655="","Missing liability limit. ","") &amp; IF($AB655="","Missing technical premium. ","") &amp; IF($AF655="","Missing surplus lines tax %. ",""))="","PASS","FAIL: "&amp;TRIM(IF($A655="","Missing certificate ref. ","") &amp; IF($C655="","Missing effective date. ","") &amp; IF($D655="","Missing binding status. ","") &amp; IF($E655="","Missing movement type. ","") &amp; IF($I655="","Missing make. ","") &amp; IF($L655="","Missing vehicle class. ","") &amp; IF($M655="","Missing agreed value. ","") &amp; IF($N655="","Missing policy type. ","") &amp; IF($Q655="","Missing garaging state. ","") &amp; IF($R655="","Missing garaging ZIP. ","") &amp; IF($S655="","Missing cat zone. ","") &amp; IF($V655="","Missing valuation basis. ","") &amp; IF($W655="","Missing PD deductible. ","") &amp; IF($X655="","Missing liability limit. ","") &amp; IF($AB655="","Missing technical premium. ","") &amp; IF($AF655="","Missing surplus lines tax %. ",""))))</f>
      </c>
      <c r="AY655" s="44">
        <f>IF($M655="","",IF(ISNUMBER($M655),IF($M655&gt;=Header!$C$18,"YES — refer","No"),""))</f>
      </c>
      <c r="AZ655" s="44">
        <f>IF($AD655="","",IF(ISNUMBER($AD655),IF($AD655&lt;Header!$C$20,"BELOW MIN PREMIUM","OK"),""))</f>
      </c>
      <c r="BA655" s="32" t="inlineStr">
        <is>
          <t xml:space="preserve">Yes</t>
        </is>
      </c>
      <c r="BB655" s="32" t="inlineStr">
        <is>
          <t xml:space="preserve">Yes</t>
        </is>
      </c>
      <c r="BC655" s="30" t="inlineStr">
        <is>
          <t xml:space="preserve">Synthetic demo data</t>
        </is>
      </c>
      <c r="BE655" s="45">
        <f>IF(OR($A655="",$L655="",$H655=""),"",IF(AND(LEFT($L655,2)="06",$H655&gt;1945),"FAIL - pre-war class, year "&amp;$H655,IF(AND(LEFT($L655,2)="07",OR($H655&lt;1946,$H655&gt;1972)),"FAIL - 1946-72 class, year "&amp;$H655,IF(AND(LEFT($L655,2)="08",OR($H655&lt;1973,$H655&gt;1999)),"FAIL - 1973-99 class, year "&amp;$H655,IF(AND(LEFT($L655,2)="09",OR($H655&lt;2000,$H655&gt;2010)),"FAIL - 2000-10 class, year "&amp;$H655,"OK")))))</f>
      </c>
      <c r="BF655" s="45">
        <f>IF($AD655="","",IF(ROUND($AO655+$AP655+$AQ655-$AD655,2)=0,"OK","FAIL - out by "&amp;TEXT($AO655+$AP655+$AQ655-$AD655,"$0.00")))</f>
      </c>
    </row>
    <row r="656" spans="1:58" ht="18.75" customHeight="1" x14ac:dyDescent="0.25">
      <c r="A656" s="46" t="inlineStr">
        <is>
          <t xml:space="preserve">CANON-202606-009297</t>
        </is>
      </c>
      <c r="B656" s="46" t="inlineStr">
        <is>
          <t xml:space="preserve">Thaddeus Farkas</t>
        </is>
      </c>
      <c r="C656" s="47">
        <v>46201</v>
      </c>
      <c r="D656" s="48" t="inlineStr">
        <is>
          <t xml:space="preserve">Bound - within authority</t>
        </is>
      </c>
      <c r="E656" s="48" t="inlineStr">
        <is>
          <t xml:space="preserve">New business</t>
        </is>
      </c>
      <c r="F656" s="46" t="inlineStr">
        <is>
          <t xml:space="preserve">B1234EXOTIC26</t>
        </is>
      </c>
      <c r="G656" s="33">
        <f>IF($A656="","",IF($C656="","",YEAR($C656)))</f>
      </c>
      <c r="H656" s="49">
        <v>1996</v>
      </c>
      <c r="I656" s="46" t="inlineStr">
        <is>
          <t xml:space="preserve">Maserati</t>
        </is>
      </c>
      <c r="J656" s="46" t="inlineStr">
        <is>
          <t xml:space="preserve">GranTurismo</t>
        </is>
      </c>
      <c r="K656" s="46" t="inlineStr">
        <is>
          <t xml:space="preserve">MFA8TJ457S7K3ML3J</t>
        </is>
      </c>
      <c r="L656" s="48" t="inlineStr">
        <is>
          <t xml:space="preserve">02 - Sports / GT</t>
        </is>
      </c>
      <c r="M656" s="50">
        <v>845000</v>
      </c>
      <c r="N656" s="48" t="inlineStr">
        <is>
          <t xml:space="preserve">Personal</t>
        </is>
      </c>
      <c r="O656" s="46" t="inlineStr">
        <is>
          <t xml:space="preserve">Personal - regular use</t>
        </is>
      </c>
      <c r="P656" s="46" t="inlineStr">
        <is>
          <t xml:space="preserve">Under 1,000</t>
        </is>
      </c>
      <c r="Q656" s="46" t="inlineStr">
        <is>
          <t xml:space="preserve">North Carolina</t>
        </is>
      </c>
      <c r="R656" s="46" t="inlineStr">
        <is>
          <t xml:space="preserve">28202</t>
        </is>
      </c>
      <c r="S656" s="48" t="inlineStr">
        <is>
          <t xml:space="preserve">Tier 2 - Coastal wind (1-25 miles)</t>
        </is>
      </c>
      <c r="T656" s="36">
        <f>IF($A656="","",IF($S656="","",IFERROR(INDEX('[1]natural catastrophe'!$D$6:$D$17,MATCH($S656,'[1]natural catastrophe'!$B$6:$B$17,0)),"?")))</f>
      </c>
      <c r="U656" s="46" t="inlineStr">
        <is>
          <t xml:space="preserve">2% of agreed value, minimum $10,000</t>
        </is>
      </c>
      <c r="V656" s="48" t="inlineStr">
        <is>
          <t xml:space="preserve">Agreed Value</t>
        </is>
      </c>
      <c r="W656" s="46" t="inlineStr">
        <is>
          <t xml:space="preserve">$1,000</t>
        </is>
      </c>
      <c r="X656" s="48" t="inlineStr">
        <is>
          <t xml:space="preserve">$1,000,000 CSL</t>
        </is>
      </c>
      <c r="Y656" s="46"/>
      <c r="Z656" s="46"/>
      <c r="AA656" s="48" t="inlineStr">
        <is>
          <t xml:space="preserve">Surplus Lines</t>
        </is>
      </c>
      <c r="AB656" s="50">
        <v>9114.65</v>
      </c>
      <c r="AC656" s="51">
        <v>0</v>
      </c>
      <c r="AD656" s="38">
        <f>IF(ISNUMBER($AB656),$AB656*(1+N($AC656)),"")</f>
      </c>
      <c r="AE656" s="50">
        <v>350</v>
      </c>
      <c r="AF656" s="50">
        <v>0</v>
      </c>
      <c r="AG656" s="51"/>
      <c r="AH656" s="39">
        <f>IF(ISNUMBER($AD656),($AD656+$AE656+$AF656)*$AG656,"")</f>
      </c>
      <c r="AI656" s="50"/>
      <c r="AJ656" s="38">
        <f>IF(ISNUMBER($AD656),SUM($AD656:$AH656),"")</f>
      </c>
      <c r="AK656" s="40">
        <f>IF(AND(ISNUMBER($AB656),ISNUMBER($AD656)),IF($AB656&gt;0,$AD656/$AB656,""),"")</f>
      </c>
      <c r="AL656" s="48" t="inlineStr">
        <is>
          <t xml:space="preserve">At technical</t>
        </is>
      </c>
      <c r="AM656" s="41">
        <f>IF(ISNUMBER($AD656),Header!$I$3,"")</f>
      </c>
      <c r="AN656" s="39">
        <f>IF(ISNUMBER($AD656),$AO656+$AP656,"")</f>
      </c>
      <c r="AO656" s="39">
        <f>IF(ISNUMBER($AD656),ROUND($AD656*Header!$K$3,2),"")</f>
      </c>
      <c r="AP656" s="39">
        <f>IF(ISNUMBER($AD656),ROUND($AD656*Header!$M$3,2),"")</f>
      </c>
      <c r="AQ656" s="38">
        <f>IF(ISNUMBER($AD656),ROUND($AD656,2)-$AO656-$AP656,"")</f>
      </c>
      <c r="AR656" s="39">
        <f>IF(ISNUMBER($AD656),IF(Header!$D$34="","?",$AD656*Header!$D$34),"")</f>
      </c>
      <c r="AS656" s="39">
        <f>IF(ISNUMBER($AB656),IF(Header!$D$34="","?",$AB656*Header!$D$34),"")</f>
      </c>
      <c r="AT656" s="42">
        <f>IF(AND(ISNUMBER($AB656),$M656&gt;0),$AB656/$M656*100,"")</f>
      </c>
      <c r="AU656" s="42">
        <f>IF(AND(ISNUMBER($AD656),$M656&gt;0),$AD656/$M656*100,"")</f>
      </c>
      <c r="AV656" s="40">
        <f>IF(AND(ISNUMBER($AB656),ISNUMBER($AD656),ABS($AB656)&gt;0),$AD656/$AB656,"")</f>
      </c>
      <c r="AW656" s="39">
        <f>IF(ISNUMBER($AD656),MAX(0,(1-0.55-Header!$O$3)*Header!$Q$3*$AQ656),"")</f>
      </c>
      <c r="AX656" s="43">
        <f>IF($A656="","",IF(TRIM(IF($A656="","Missing certificate ref. ","") &amp; IF($C656="","Missing effective date. ","") &amp; IF($D656="","Missing binding status. ","") &amp; IF($E656="","Missing movement type. ","") &amp; IF($I656="","Missing make. ","") &amp; IF($L656="","Missing vehicle class. ","") &amp; IF($M656="","Missing agreed value. ","") &amp; IF($N656="","Missing policy type. ","") &amp; IF($Q656="","Missing garaging state. ","") &amp; IF($R656="","Missing garaging ZIP. ","") &amp; IF($S656="","Missing cat zone. ","") &amp; IF($V656="","Missing valuation basis. ","") &amp; IF($W656="","Missing PD deductible. ","") &amp; IF($X656="","Missing liability limit. ","") &amp; IF($AB656="","Missing technical premium. ","") &amp; IF($AF656="","Missing surplus lines tax %. ",""))="","PASS","FAIL: "&amp;TRIM(IF($A656="","Missing certificate ref. ","") &amp; IF($C656="","Missing effective date. ","") &amp; IF($D656="","Missing binding status. ","") &amp; IF($E656="","Missing movement type. ","") &amp; IF($I656="","Missing make. ","") &amp; IF($L656="","Missing vehicle class. ","") &amp; IF($M656="","Missing agreed value. ","") &amp; IF($N656="","Missing policy type. ","") &amp; IF($Q656="","Missing garaging state. ","") &amp; IF($R656="","Missing garaging ZIP. ","") &amp; IF($S656="","Missing cat zone. ","") &amp; IF($V656="","Missing valuation basis. ","") &amp; IF($W656="","Missing PD deductible. ","") &amp; IF($X656="","Missing liability limit. ","") &amp; IF($AB656="","Missing technical premium. ","") &amp; IF($AF656="","Missing surplus lines tax %. ",""))))</f>
      </c>
      <c r="AY656" s="44">
        <f>IF($M656="","",IF(ISNUMBER($M656),IF($M656&gt;=Header!$C$18,"YES — refer","No"),""))</f>
      </c>
      <c r="AZ656" s="44">
        <f>IF($AD656="","",IF(ISNUMBER($AD656),IF($AD656&lt;Header!$C$20,"BELOW MIN PREMIUM","OK"),""))</f>
      </c>
      <c r="BA656" s="48" t="inlineStr">
        <is>
          <t xml:space="preserve">Yes</t>
        </is>
      </c>
      <c r="BB656" s="48" t="inlineStr">
        <is>
          <t xml:space="preserve">Yes</t>
        </is>
      </c>
      <c r="BC656" s="46" t="inlineStr">
        <is>
          <t xml:space="preserve">Synthetic demo data</t>
        </is>
      </c>
      <c r="BE656" s="45">
        <f>IF(OR($A656="",$L656="",$H656=""),"",IF(AND(LEFT($L656,2)="06",$H656&gt;1945),"FAIL - pre-war class, year "&amp;$H656,IF(AND(LEFT($L656,2)="07",OR($H656&lt;1946,$H656&gt;1972)),"FAIL - 1946-72 class, year "&amp;$H656,IF(AND(LEFT($L656,2)="08",OR($H656&lt;1973,$H656&gt;1999)),"FAIL - 1973-99 class, year "&amp;$H656,IF(AND(LEFT($L656,2)="09",OR($H656&lt;2000,$H656&gt;2010)),"FAIL - 2000-10 class, year "&amp;$H656,"OK")))))</f>
      </c>
      <c r="BF656" s="45">
        <f>IF($AD656="","",IF(ROUND($AO656+$AP656+$AQ656-$AD656,2)=0,"OK","FAIL - out by "&amp;TEXT($AO656+$AP656+$AQ656-$AD656,"$0.00")))</f>
      </c>
    </row>
    <row r="657" spans="1:58" ht="18.75" customHeight="1" x14ac:dyDescent="0.25">
      <c r="A657" s="30" t="inlineStr">
        <is>
          <t xml:space="preserve">CANON-202606-009299</t>
        </is>
      </c>
      <c r="B657" s="30" t="inlineStr">
        <is>
          <t xml:space="preserve">Emiliano Delacroix</t>
        </is>
      </c>
      <c r="C657" s="31">
        <v>46184</v>
      </c>
      <c r="D657" s="32" t="inlineStr">
        <is>
          <t xml:space="preserve">Bound - within authority</t>
        </is>
      </c>
      <c r="E657" s="32" t="inlineStr">
        <is>
          <t xml:space="preserve">New business</t>
        </is>
      </c>
      <c r="F657" s="30" t="inlineStr">
        <is>
          <t xml:space="preserve">B1234EXOTIC26</t>
        </is>
      </c>
      <c r="G657" s="33">
        <f>IF($A657="","",IF($C657="","",YEAR($C657)))</f>
      </c>
      <c r="H657" s="34">
        <v>1971</v>
      </c>
      <c r="I657" s="30" t="inlineStr">
        <is>
          <t xml:space="preserve">Porsche</t>
        </is>
      </c>
      <c r="J657" s="30" t="inlineStr">
        <is>
          <t xml:space="preserve">911 Turbo S</t>
        </is>
      </c>
      <c r="K657" s="30" t="inlineStr">
        <is>
          <t xml:space="preserve">A6T8Y3KC94ALST1K1</t>
        </is>
      </c>
      <c r="L657" s="32" t="inlineStr">
        <is>
          <t xml:space="preserve">02 - Sports / GT</t>
        </is>
      </c>
      <c r="M657" s="35">
        <v>215000</v>
      </c>
      <c r="N657" s="32" t="inlineStr">
        <is>
          <t xml:space="preserve">Personal</t>
        </is>
      </c>
      <c r="O657" s="30" t="inlineStr">
        <is>
          <t xml:space="preserve">Personal - regular use</t>
        </is>
      </c>
      <c r="P657" s="30" t="inlineStr">
        <is>
          <t xml:space="preserve">2,500 - 5,000</t>
        </is>
      </c>
      <c r="Q657" s="30" t="inlineStr">
        <is>
          <t xml:space="preserve">Texas</t>
        </is>
      </c>
      <c r="R657" s="30" t="inlineStr">
        <is>
          <t xml:space="preserve">75201</t>
        </is>
      </c>
      <c r="S657" s="32" t="inlineStr">
        <is>
          <t xml:space="preserve">Tier 2 - Coastal wind (1-25 miles)</t>
        </is>
      </c>
      <c r="T657" s="36">
        <f>IF($A657="","",IF($S657="","",IFERROR(INDEX('[1]natural catastrophe'!$D$6:$D$17,MATCH($S657,'[1]natural catastrophe'!$B$6:$B$17,0)),"?")))</f>
      </c>
      <c r="U657" s="30" t="inlineStr">
        <is>
          <t xml:space="preserve">2% of agreed value, minimum $10,000</t>
        </is>
      </c>
      <c r="V657" s="32" t="inlineStr">
        <is>
          <t xml:space="preserve">Agreed Value</t>
        </is>
      </c>
      <c r="W657" s="30" t="inlineStr">
        <is>
          <t xml:space="preserve">$1,000</t>
        </is>
      </c>
      <c r="X657" s="32" t="inlineStr">
        <is>
          <t xml:space="preserve">$1,000,000 CSL</t>
        </is>
      </c>
      <c r="Y657" s="30"/>
      <c r="Z657" s="30"/>
      <c r="AA657" s="32" t="inlineStr">
        <is>
          <t xml:space="preserve">Surplus Lines</t>
        </is>
      </c>
      <c r="AB657" s="35">
        <v>3282.44</v>
      </c>
      <c r="AC657" s="37">
        <v>0</v>
      </c>
      <c r="AD657" s="38">
        <f>IF(ISNUMBER($AB657),$AB657*(1+N($AC657)),"")</f>
      </c>
      <c r="AE657" s="35">
        <v>350</v>
      </c>
      <c r="AF657" s="35">
        <v>0</v>
      </c>
      <c r="AG657" s="37"/>
      <c r="AH657" s="39">
        <f>IF(ISNUMBER($AD657),($AD657+$AE657+$AF657)*$AG657,"")</f>
      </c>
      <c r="AI657" s="35"/>
      <c r="AJ657" s="38">
        <f>IF(ISNUMBER($AD657),SUM($AD657:$AH657),"")</f>
      </c>
      <c r="AK657" s="40">
        <f>IF(AND(ISNUMBER($AB657),ISNUMBER($AD657)),IF($AB657&gt;0,$AD657/$AB657,""),"")</f>
      </c>
      <c r="AL657" s="32" t="inlineStr">
        <is>
          <t xml:space="preserve">At technical</t>
        </is>
      </c>
      <c r="AM657" s="41">
        <f>IF(ISNUMBER($AD657),Header!$I$3,"")</f>
      </c>
      <c r="AN657" s="39">
        <f>IF(ISNUMBER($AD657),$AO657+$AP657,"")</f>
      </c>
      <c r="AO657" s="39">
        <f>IF(ISNUMBER($AD657),ROUND($AD657*Header!$K$3,2),"")</f>
      </c>
      <c r="AP657" s="39">
        <f>IF(ISNUMBER($AD657),ROUND($AD657*Header!$M$3,2),"")</f>
      </c>
      <c r="AQ657" s="38">
        <f>IF(ISNUMBER($AD657),ROUND($AD657,2)-$AO657-$AP657,"")</f>
      </c>
      <c r="AR657" s="39">
        <f>IF(ISNUMBER($AD657),IF(Header!$D$34="","?",$AD657*Header!$D$34),"")</f>
      </c>
      <c r="AS657" s="39">
        <f>IF(ISNUMBER($AB657),IF(Header!$D$34="","?",$AB657*Header!$D$34),"")</f>
      </c>
      <c r="AT657" s="42">
        <f>IF(AND(ISNUMBER($AB657),$M657&gt;0),$AB657/$M657*100,"")</f>
      </c>
      <c r="AU657" s="42">
        <f>IF(AND(ISNUMBER($AD657),$M657&gt;0),$AD657/$M657*100,"")</f>
      </c>
      <c r="AV657" s="40">
        <f>IF(AND(ISNUMBER($AB657),ISNUMBER($AD657),ABS($AB657)&gt;0),$AD657/$AB657,"")</f>
      </c>
      <c r="AW657" s="39">
        <f>IF(ISNUMBER($AD657),MAX(0,(1-0.55-Header!$O$3)*Header!$Q$3*$AQ657),"")</f>
      </c>
      <c r="AX657" s="43">
        <f>IF($A657="","",IF(TRIM(IF($A657="","Missing certificate ref. ","") &amp; IF($C657="","Missing effective date. ","") &amp; IF($D657="","Missing binding status. ","") &amp; IF($E657="","Missing movement type. ","") &amp; IF($I657="","Missing make. ","") &amp; IF($L657="","Missing vehicle class. ","") &amp; IF($M657="","Missing agreed value. ","") &amp; IF($N657="","Missing policy type. ","") &amp; IF($Q657="","Missing garaging state. ","") &amp; IF($R657="","Missing garaging ZIP. ","") &amp; IF($S657="","Missing cat zone. ","") &amp; IF($V657="","Missing valuation basis. ","") &amp; IF($W657="","Missing PD deductible. ","") &amp; IF($X657="","Missing liability limit. ","") &amp; IF($AB657="","Missing technical premium. ","") &amp; IF($AF657="","Missing surplus lines tax %. ",""))="","PASS","FAIL: "&amp;TRIM(IF($A657="","Missing certificate ref. ","") &amp; IF($C657="","Missing effective date. ","") &amp; IF($D657="","Missing binding status. ","") &amp; IF($E657="","Missing movement type. ","") &amp; IF($I657="","Missing make. ","") &amp; IF($L657="","Missing vehicle class. ","") &amp; IF($M657="","Missing agreed value. ","") &amp; IF($N657="","Missing policy type. ","") &amp; IF($Q657="","Missing garaging state. ","") &amp; IF($R657="","Missing garaging ZIP. ","") &amp; IF($S657="","Missing cat zone. ","") &amp; IF($V657="","Missing valuation basis. ","") &amp; IF($W657="","Missing PD deductible. ","") &amp; IF($X657="","Missing liability limit. ","") &amp; IF($AB657="","Missing technical premium. ","") &amp; IF($AF657="","Missing surplus lines tax %. ",""))))</f>
      </c>
      <c r="AY657" s="44">
        <f>IF($M657="","",IF(ISNUMBER($M657),IF($M657&gt;=Header!$C$18,"YES — refer","No"),""))</f>
      </c>
      <c r="AZ657" s="44">
        <f>IF($AD657="","",IF(ISNUMBER($AD657),IF($AD657&lt;Header!$C$20,"BELOW MIN PREMIUM","OK"),""))</f>
      </c>
      <c r="BA657" s="32" t="inlineStr">
        <is>
          <t xml:space="preserve">Yes</t>
        </is>
      </c>
      <c r="BB657" s="32" t="inlineStr">
        <is>
          <t xml:space="preserve">Yes</t>
        </is>
      </c>
      <c r="BC657" s="30" t="inlineStr">
        <is>
          <t xml:space="preserve">Synthetic demo data</t>
        </is>
      </c>
      <c r="BE657" s="45">
        <f>IF(OR($A657="",$L657="",$H657=""),"",IF(AND(LEFT($L657,2)="06",$H657&gt;1945),"FAIL - pre-war class, year "&amp;$H657,IF(AND(LEFT($L657,2)="07",OR($H657&lt;1946,$H657&gt;1972)),"FAIL - 1946-72 class, year "&amp;$H657,IF(AND(LEFT($L657,2)="08",OR($H657&lt;1973,$H657&gt;1999)),"FAIL - 1973-99 class, year "&amp;$H657,IF(AND(LEFT($L657,2)="09",OR($H657&lt;2000,$H657&gt;2010)),"FAIL - 2000-10 class, year "&amp;$H657,"OK")))))</f>
      </c>
      <c r="BF657" s="45">
        <f>IF($AD657="","",IF(ROUND($AO657+$AP657+$AQ657-$AD657,2)=0,"OK","FAIL - out by "&amp;TEXT($AO657+$AP657+$AQ657-$AD657,"$0.00")))</f>
      </c>
    </row>
    <row r="658" spans="1:58" ht="18.75" customHeight="1" x14ac:dyDescent="0.25">
      <c r="A658" s="46" t="inlineStr">
        <is>
          <t xml:space="preserve">CANON-202606-009302</t>
        </is>
      </c>
      <c r="B658" s="46" t="inlineStr">
        <is>
          <t xml:space="preserve">Anouk Vasquez</t>
        </is>
      </c>
      <c r="C658" s="47">
        <v>46196</v>
      </c>
      <c r="D658" s="48" t="inlineStr">
        <is>
          <t xml:space="preserve">Bound - within authority</t>
        </is>
      </c>
      <c r="E658" s="48" t="inlineStr">
        <is>
          <t xml:space="preserve">New business</t>
        </is>
      </c>
      <c r="F658" s="46" t="inlineStr">
        <is>
          <t xml:space="preserve">B1234EXOTIC26</t>
        </is>
      </c>
      <c r="G658" s="33">
        <f>IF($A658="","",IF($C658="","",YEAR($C658)))</f>
      </c>
      <c r="H658" s="49">
        <v>2023</v>
      </c>
      <c r="I658" s="46" t="inlineStr">
        <is>
          <t xml:space="preserve">Porsche</t>
        </is>
      </c>
      <c r="J658" s="46" t="inlineStr">
        <is>
          <t xml:space="preserve">911 Turbo S</t>
        </is>
      </c>
      <c r="K658" s="46" t="inlineStr">
        <is>
          <t xml:space="preserve">X7RG584EDX54KT98F</t>
        </is>
      </c>
      <c r="L658" s="48" t="inlineStr">
        <is>
          <t xml:space="preserve">02 - Sports / GT</t>
        </is>
      </c>
      <c r="M658" s="50">
        <v>360000</v>
      </c>
      <c r="N658" s="48" t="inlineStr">
        <is>
          <t xml:space="preserve">Personal</t>
        </is>
      </c>
      <c r="O658" s="46" t="inlineStr">
        <is>
          <t xml:space="preserve">Personal - regular use</t>
        </is>
      </c>
      <c r="P658" s="46" t="inlineStr">
        <is>
          <t xml:space="preserve">2,500 - 5,000</t>
        </is>
      </c>
      <c r="Q658" s="46" t="inlineStr">
        <is>
          <t xml:space="preserve">New Jersey</t>
        </is>
      </c>
      <c r="R658" s="46" t="inlineStr">
        <is>
          <t xml:space="preserve">07102</t>
        </is>
      </c>
      <c r="S658" s="48" t="inlineStr">
        <is>
          <t xml:space="preserve">Tier 3 - Coastal wind (25-100 miles)</t>
        </is>
      </c>
      <c r="T658" s="36">
        <f>IF($A658="","",IF($S658="","",IFERROR(INDEX('[1]natural catastrophe'!$D$6:$D$17,MATCH($S658,'[1]natural catastrophe'!$B$6:$B$17,0)),"?")))</f>
      </c>
      <c r="U658" s="46" t="inlineStr">
        <is>
          <t xml:space="preserve">2% of agreed value, minimum $10,000</t>
        </is>
      </c>
      <c r="V658" s="48" t="inlineStr">
        <is>
          <t xml:space="preserve">Agreed Value</t>
        </is>
      </c>
      <c r="W658" s="46" t="inlineStr">
        <is>
          <t xml:space="preserve">$1,000</t>
        </is>
      </c>
      <c r="X658" s="48" t="inlineStr">
        <is>
          <t xml:space="preserve">$1,000,000 CSL</t>
        </is>
      </c>
      <c r="Y658" s="46"/>
      <c r="Z658" s="46"/>
      <c r="AA658" s="48" t="inlineStr">
        <is>
          <t xml:space="preserve">Surplus Lines</t>
        </is>
      </c>
      <c r="AB658" s="50">
        <v>3545.5</v>
      </c>
      <c r="AC658" s="51">
        <v>0</v>
      </c>
      <c r="AD658" s="38">
        <f>IF(ISNUMBER($AB658),$AB658*(1+N($AC658)),"")</f>
      </c>
      <c r="AE658" s="50">
        <v>350</v>
      </c>
      <c r="AF658" s="50">
        <v>0</v>
      </c>
      <c r="AG658" s="51"/>
      <c r="AH658" s="39">
        <f>IF(ISNUMBER($AD658),($AD658+$AE658+$AF658)*$AG658,"")</f>
      </c>
      <c r="AI658" s="50"/>
      <c r="AJ658" s="38">
        <f>IF(ISNUMBER($AD658),SUM($AD658:$AH658),"")</f>
      </c>
      <c r="AK658" s="40">
        <f>IF(AND(ISNUMBER($AB658),ISNUMBER($AD658)),IF($AB658&gt;0,$AD658/$AB658,""),"")</f>
      </c>
      <c r="AL658" s="48" t="inlineStr">
        <is>
          <t xml:space="preserve">At technical</t>
        </is>
      </c>
      <c r="AM658" s="41">
        <f>IF(ISNUMBER($AD658),Header!$I$3,"")</f>
      </c>
      <c r="AN658" s="39">
        <f>IF(ISNUMBER($AD658),$AO658+$AP658,"")</f>
      </c>
      <c r="AO658" s="39">
        <f>IF(ISNUMBER($AD658),ROUND($AD658*Header!$K$3,2),"")</f>
      </c>
      <c r="AP658" s="39">
        <f>IF(ISNUMBER($AD658),ROUND($AD658*Header!$M$3,2),"")</f>
      </c>
      <c r="AQ658" s="38">
        <f>IF(ISNUMBER($AD658),ROUND($AD658,2)-$AO658-$AP658,"")</f>
      </c>
      <c r="AR658" s="39">
        <f>IF(ISNUMBER($AD658),IF(Header!$D$34="","?",$AD658*Header!$D$34),"")</f>
      </c>
      <c r="AS658" s="39">
        <f>IF(ISNUMBER($AB658),IF(Header!$D$34="","?",$AB658*Header!$D$34),"")</f>
      </c>
      <c r="AT658" s="42">
        <f>IF(AND(ISNUMBER($AB658),$M658&gt;0),$AB658/$M658*100,"")</f>
      </c>
      <c r="AU658" s="42">
        <f>IF(AND(ISNUMBER($AD658),$M658&gt;0),$AD658/$M658*100,"")</f>
      </c>
      <c r="AV658" s="40">
        <f>IF(AND(ISNUMBER($AB658),ISNUMBER($AD658),ABS($AB658)&gt;0),$AD658/$AB658,"")</f>
      </c>
      <c r="AW658" s="39">
        <f>IF(ISNUMBER($AD658),MAX(0,(1-0.55-Header!$O$3)*Header!$Q$3*$AQ658),"")</f>
      </c>
      <c r="AX658" s="43">
        <f>IF($A658="","",IF(TRIM(IF($A658="","Missing certificate ref. ","") &amp; IF($C658="","Missing effective date. ","") &amp; IF($D658="","Missing binding status. ","") &amp; IF($E658="","Missing movement type. ","") &amp; IF($I658="","Missing make. ","") &amp; IF($L658="","Missing vehicle class. ","") &amp; IF($M658="","Missing agreed value. ","") &amp; IF($N658="","Missing policy type. ","") &amp; IF($Q658="","Missing garaging state. ","") &amp; IF($R658="","Missing garaging ZIP. ","") &amp; IF($S658="","Missing cat zone. ","") &amp; IF($V658="","Missing valuation basis. ","") &amp; IF($W658="","Missing PD deductible. ","") &amp; IF($X658="","Missing liability limit. ","") &amp; IF($AB658="","Missing technical premium. ","") &amp; IF($AF658="","Missing surplus lines tax %. ",""))="","PASS","FAIL: "&amp;TRIM(IF($A658="","Missing certificate ref. ","") &amp; IF($C658="","Missing effective date. ","") &amp; IF($D658="","Missing binding status. ","") &amp; IF($E658="","Missing movement type. ","") &amp; IF($I658="","Missing make. ","") &amp; IF($L658="","Missing vehicle class. ","") &amp; IF($M658="","Missing agreed value. ","") &amp; IF($N658="","Missing policy type. ","") &amp; IF($Q658="","Missing garaging state. ","") &amp; IF($R658="","Missing garaging ZIP. ","") &amp; IF($S658="","Missing cat zone. ","") &amp; IF($V658="","Missing valuation basis. ","") &amp; IF($W658="","Missing PD deductible. ","") &amp; IF($X658="","Missing liability limit. ","") &amp; IF($AB658="","Missing technical premium. ","") &amp; IF($AF658="","Missing surplus lines tax %. ",""))))</f>
      </c>
      <c r="AY658" s="44">
        <f>IF($M658="","",IF(ISNUMBER($M658),IF($M658&gt;=Header!$C$18,"YES — refer","No"),""))</f>
      </c>
      <c r="AZ658" s="44">
        <f>IF($AD658="","",IF(ISNUMBER($AD658),IF($AD658&lt;Header!$C$20,"BELOW MIN PREMIUM","OK"),""))</f>
      </c>
      <c r="BA658" s="48" t="inlineStr">
        <is>
          <t xml:space="preserve">Yes</t>
        </is>
      </c>
      <c r="BB658" s="48" t="inlineStr">
        <is>
          <t xml:space="preserve">Yes</t>
        </is>
      </c>
      <c r="BC658" s="46" t="inlineStr">
        <is>
          <t xml:space="preserve">Synthetic demo data</t>
        </is>
      </c>
      <c r="BE658" s="45">
        <f>IF(OR($A658="",$L658="",$H658=""),"",IF(AND(LEFT($L658,2)="06",$H658&gt;1945),"FAIL - pre-war class, year "&amp;$H658,IF(AND(LEFT($L658,2)="07",OR($H658&lt;1946,$H658&gt;1972)),"FAIL - 1946-72 class, year "&amp;$H658,IF(AND(LEFT($L658,2)="08",OR($H658&lt;1973,$H658&gt;1999)),"FAIL - 1973-99 class, year "&amp;$H658,IF(AND(LEFT($L658,2)="09",OR($H658&lt;2000,$H658&gt;2010)),"FAIL - 2000-10 class, year "&amp;$H658,"OK")))))</f>
      </c>
      <c r="BF658" s="45">
        <f>IF($AD658="","",IF(ROUND($AO658+$AP658+$AQ658-$AD658,2)=0,"OK","FAIL - out by "&amp;TEXT($AO658+$AP658+$AQ658-$AD658,"$0.00")))</f>
      </c>
    </row>
    <row r="659" spans="1:58" ht="18.75" customHeight="1" x14ac:dyDescent="0.25">
      <c r="A659" s="30" t="inlineStr">
        <is>
          <t xml:space="preserve">CANON-202606-009303</t>
        </is>
      </c>
      <c r="B659" s="30" t="inlineStr">
        <is>
          <t xml:space="preserve">Priya Underwood</t>
        </is>
      </c>
      <c r="C659" s="31">
        <v>46198</v>
      </c>
      <c r="D659" s="32" t="inlineStr">
        <is>
          <t xml:space="preserve">Bound - within authority</t>
        </is>
      </c>
      <c r="E659" s="32" t="inlineStr">
        <is>
          <t xml:space="preserve">New business</t>
        </is>
      </c>
      <c r="F659" s="30" t="inlineStr">
        <is>
          <t xml:space="preserve">B1234EXOTIC26</t>
        </is>
      </c>
      <c r="G659" s="33">
        <f>IF($A659="","",IF($C659="","",YEAR($C659)))</f>
      </c>
      <c r="H659" s="34">
        <v>1972</v>
      </c>
      <c r="I659" s="30" t="inlineStr">
        <is>
          <t xml:space="preserve">BMW</t>
        </is>
      </c>
      <c r="J659" s="30" t="inlineStr">
        <is>
          <t xml:space="preserve">M8 Competition</t>
        </is>
      </c>
      <c r="K659" s="30" t="inlineStr">
        <is>
          <t xml:space="preserve">RG5WPYN9RTDXB37J0</t>
        </is>
      </c>
      <c r="L659" s="32" t="inlineStr">
        <is>
          <t xml:space="preserve">02 - Sports / GT</t>
        </is>
      </c>
      <c r="M659" s="35">
        <v>355000</v>
      </c>
      <c r="N659" s="32" t="inlineStr">
        <is>
          <t xml:space="preserve">Personal</t>
        </is>
      </c>
      <c r="O659" s="30" t="inlineStr">
        <is>
          <t xml:space="preserve">Personal - regular use</t>
        </is>
      </c>
      <c r="P659" s="30" t="inlineStr">
        <is>
          <t xml:space="preserve">Under 1,000</t>
        </is>
      </c>
      <c r="Q659" s="30" t="inlineStr">
        <is>
          <t xml:space="preserve">Rhode Island</t>
        </is>
      </c>
      <c r="R659" s="30" t="inlineStr">
        <is>
          <t xml:space="preserve">02903</t>
        </is>
      </c>
      <c r="S659" s="32" t="inlineStr">
        <is>
          <t xml:space="preserve">Tier 3 - Coastal wind (25-100 miles)</t>
        </is>
      </c>
      <c r="T659" s="36">
        <f>IF($A659="","",IF($S659="","",IFERROR(INDEX('[1]natural catastrophe'!$D$6:$D$17,MATCH($S659,'[1]natural catastrophe'!$B$6:$B$17,0)),"?")))</f>
      </c>
      <c r="U659" s="30" t="inlineStr">
        <is>
          <t xml:space="preserve">2% of agreed value, minimum $10,000</t>
        </is>
      </c>
      <c r="V659" s="32" t="inlineStr">
        <is>
          <t xml:space="preserve">Agreed Value</t>
        </is>
      </c>
      <c r="W659" s="30" t="inlineStr">
        <is>
          <t xml:space="preserve">$1,000</t>
        </is>
      </c>
      <c r="X659" s="32" t="inlineStr">
        <is>
          <t xml:space="preserve">$1,000,000 CSL</t>
        </is>
      </c>
      <c r="Y659" s="30"/>
      <c r="Z659" s="30"/>
      <c r="AA659" s="32" t="inlineStr">
        <is>
          <t xml:space="preserve">Surplus Lines</t>
        </is>
      </c>
      <c r="AB659" s="35">
        <v>5263.59</v>
      </c>
      <c r="AC659" s="37">
        <v>0</v>
      </c>
      <c r="AD659" s="38">
        <f>IF(ISNUMBER($AB659),$AB659*(1+N($AC659)),"")</f>
      </c>
      <c r="AE659" s="35">
        <v>350</v>
      </c>
      <c r="AF659" s="35">
        <v>0</v>
      </c>
      <c r="AG659" s="37"/>
      <c r="AH659" s="39">
        <f>IF(ISNUMBER($AD659),($AD659+$AE659+$AF659)*$AG659,"")</f>
      </c>
      <c r="AI659" s="35"/>
      <c r="AJ659" s="38">
        <f>IF(ISNUMBER($AD659),SUM($AD659:$AH659),"")</f>
      </c>
      <c r="AK659" s="40">
        <f>IF(AND(ISNUMBER($AB659),ISNUMBER($AD659)),IF($AB659&gt;0,$AD659/$AB659,""),"")</f>
      </c>
      <c r="AL659" s="32" t="inlineStr">
        <is>
          <t xml:space="preserve">At technical</t>
        </is>
      </c>
      <c r="AM659" s="41">
        <f>IF(ISNUMBER($AD659),Header!$I$3,"")</f>
      </c>
      <c r="AN659" s="39">
        <f>IF(ISNUMBER($AD659),$AO659+$AP659,"")</f>
      </c>
      <c r="AO659" s="39">
        <f>IF(ISNUMBER($AD659),ROUND($AD659*Header!$K$3,2),"")</f>
      </c>
      <c r="AP659" s="39">
        <f>IF(ISNUMBER($AD659),ROUND($AD659*Header!$M$3,2),"")</f>
      </c>
      <c r="AQ659" s="38">
        <f>IF(ISNUMBER($AD659),ROUND($AD659,2)-$AO659-$AP659,"")</f>
      </c>
      <c r="AR659" s="39">
        <f>IF(ISNUMBER($AD659),IF(Header!$D$34="","?",$AD659*Header!$D$34),"")</f>
      </c>
      <c r="AS659" s="39">
        <f>IF(ISNUMBER($AB659),IF(Header!$D$34="","?",$AB659*Header!$D$34),"")</f>
      </c>
      <c r="AT659" s="42">
        <f>IF(AND(ISNUMBER($AB659),$M659&gt;0),$AB659/$M659*100,"")</f>
      </c>
      <c r="AU659" s="42">
        <f>IF(AND(ISNUMBER($AD659),$M659&gt;0),$AD659/$M659*100,"")</f>
      </c>
      <c r="AV659" s="40">
        <f>IF(AND(ISNUMBER($AB659),ISNUMBER($AD659),ABS($AB659)&gt;0),$AD659/$AB659,"")</f>
      </c>
      <c r="AW659" s="39">
        <f>IF(ISNUMBER($AD659),MAX(0,(1-0.55-Header!$O$3)*Header!$Q$3*$AQ659),"")</f>
      </c>
      <c r="AX659" s="43">
        <f>IF($A659="","",IF(TRIM(IF($A659="","Missing certificate ref. ","") &amp; IF($C659="","Missing effective date. ","") &amp; IF($D659="","Missing binding status. ","") &amp; IF($E659="","Missing movement type. ","") &amp; IF($I659="","Missing make. ","") &amp; IF($L659="","Missing vehicle class. ","") &amp; IF($M659="","Missing agreed value. ","") &amp; IF($N659="","Missing policy type. ","") &amp; IF($Q659="","Missing garaging state. ","") &amp; IF($R659="","Missing garaging ZIP. ","") &amp; IF($S659="","Missing cat zone. ","") &amp; IF($V659="","Missing valuation basis. ","") &amp; IF($W659="","Missing PD deductible. ","") &amp; IF($X659="","Missing liability limit. ","") &amp; IF($AB659="","Missing technical premium. ","") &amp; IF($AF659="","Missing surplus lines tax %. ",""))="","PASS","FAIL: "&amp;TRIM(IF($A659="","Missing certificate ref. ","") &amp; IF($C659="","Missing effective date. ","") &amp; IF($D659="","Missing binding status. ","") &amp; IF($E659="","Missing movement type. ","") &amp; IF($I659="","Missing make. ","") &amp; IF($L659="","Missing vehicle class. ","") &amp; IF($M659="","Missing agreed value. ","") &amp; IF($N659="","Missing policy type. ","") &amp; IF($Q659="","Missing garaging state. ","") &amp; IF($R659="","Missing garaging ZIP. ","") &amp; IF($S659="","Missing cat zone. ","") &amp; IF($V659="","Missing valuation basis. ","") &amp; IF($W659="","Missing PD deductible. ","") &amp; IF($X659="","Missing liability limit. ","") &amp; IF($AB659="","Missing technical premium. ","") &amp; IF($AF659="","Missing surplus lines tax %. ",""))))</f>
      </c>
      <c r="AY659" s="44">
        <f>IF($M659="","",IF(ISNUMBER($M659),IF($M659&gt;=Header!$C$18,"YES — refer","No"),""))</f>
      </c>
      <c r="AZ659" s="44">
        <f>IF($AD659="","",IF(ISNUMBER($AD659),IF($AD659&lt;Header!$C$20,"BELOW MIN PREMIUM","OK"),""))</f>
      </c>
      <c r="BA659" s="32" t="inlineStr">
        <is>
          <t xml:space="preserve">Yes</t>
        </is>
      </c>
      <c r="BB659" s="32" t="inlineStr">
        <is>
          <t xml:space="preserve">Yes</t>
        </is>
      </c>
      <c r="BC659" s="30" t="inlineStr">
        <is>
          <t xml:space="preserve">Synthetic demo data</t>
        </is>
      </c>
      <c r="BE659" s="45">
        <f>IF(OR($A659="",$L659="",$H659=""),"",IF(AND(LEFT($L659,2)="06",$H659&gt;1945),"FAIL - pre-war class, year "&amp;$H659,IF(AND(LEFT($L659,2)="07",OR($H659&lt;1946,$H659&gt;1972)),"FAIL - 1946-72 class, year "&amp;$H659,IF(AND(LEFT($L659,2)="08",OR($H659&lt;1973,$H659&gt;1999)),"FAIL - 1973-99 class, year "&amp;$H659,IF(AND(LEFT($L659,2)="09",OR($H659&lt;2000,$H659&gt;2010)),"FAIL - 2000-10 class, year "&amp;$H659,"OK")))))</f>
      </c>
      <c r="BF659" s="45">
        <f>IF($AD659="","",IF(ROUND($AO659+$AP659+$AQ659-$AD659,2)=0,"OK","FAIL - out by "&amp;TEXT($AO659+$AP659+$AQ659-$AD659,"$0.00")))</f>
      </c>
    </row>
    <row r="660" spans="1:58" ht="18.75" customHeight="1" x14ac:dyDescent="0.25">
      <c r="A660" s="46" t="inlineStr">
        <is>
          <t xml:space="preserve">CANON-202606-009304</t>
        </is>
      </c>
      <c r="B660" s="46" t="inlineStr">
        <is>
          <t xml:space="preserve">Ottilie Vasquez</t>
        </is>
      </c>
      <c r="C660" s="47">
        <v>46179</v>
      </c>
      <c r="D660" s="48" t="inlineStr">
        <is>
          <t xml:space="preserve">Bound - within authority</t>
        </is>
      </c>
      <c r="E660" s="48" t="inlineStr">
        <is>
          <t xml:space="preserve">New business</t>
        </is>
      </c>
      <c r="F660" s="46" t="inlineStr">
        <is>
          <t xml:space="preserve">B1234EXOTIC26</t>
        </is>
      </c>
      <c r="G660" s="33">
        <f>IF($A660="","",IF($C660="","",YEAR($C660)))</f>
      </c>
      <c r="H660" s="49">
        <v>1981</v>
      </c>
      <c r="I660" s="46" t="inlineStr">
        <is>
          <t xml:space="preserve">Porsche</t>
        </is>
      </c>
      <c r="J660" s="46" t="inlineStr">
        <is>
          <t xml:space="preserve">911 Turbo S</t>
        </is>
      </c>
      <c r="K660" s="46" t="inlineStr">
        <is>
          <t xml:space="preserve">P4XMMJYMCZKU9W6NA</t>
        </is>
      </c>
      <c r="L660" s="48" t="inlineStr">
        <is>
          <t xml:space="preserve">02 - Sports / GT</t>
        </is>
      </c>
      <c r="M660" s="50">
        <v>695000</v>
      </c>
      <c r="N660" s="48" t="inlineStr">
        <is>
          <t xml:space="preserve">Personal</t>
        </is>
      </c>
      <c r="O660" s="46" t="inlineStr">
        <is>
          <t xml:space="preserve">Personal - regular use</t>
        </is>
      </c>
      <c r="P660" s="46" t="inlineStr">
        <is>
          <t xml:space="preserve">1,000 - 2,500</t>
        </is>
      </c>
      <c r="Q660" s="46" t="inlineStr">
        <is>
          <t xml:space="preserve">Virginia</t>
        </is>
      </c>
      <c r="R660" s="46" t="inlineStr">
        <is>
          <t xml:space="preserve">23219</t>
        </is>
      </c>
      <c r="S660" s="48" t="inlineStr">
        <is>
          <t xml:space="preserve">Tier 3 - Coastal wind (25-100 miles)</t>
        </is>
      </c>
      <c r="T660" s="36">
        <f>IF($A660="","",IF($S660="","",IFERROR(INDEX('[1]natural catastrophe'!$D$6:$D$17,MATCH($S660,'[1]natural catastrophe'!$B$6:$B$17,0)),"?")))</f>
      </c>
      <c r="U660" s="46" t="inlineStr">
        <is>
          <t xml:space="preserve">2% of agreed value, minimum $10,000</t>
        </is>
      </c>
      <c r="V660" s="48" t="inlineStr">
        <is>
          <t xml:space="preserve">Agreed Value</t>
        </is>
      </c>
      <c r="W660" s="46" t="inlineStr">
        <is>
          <t xml:space="preserve">$1,000</t>
        </is>
      </c>
      <c r="X660" s="48" t="inlineStr">
        <is>
          <t xml:space="preserve">$1,000,000 CSL</t>
        </is>
      </c>
      <c r="Y660" s="46"/>
      <c r="Z660" s="46"/>
      <c r="AA660" s="48" t="inlineStr">
        <is>
          <t xml:space="preserve">Surplus Lines</t>
        </is>
      </c>
      <c r="AB660" s="50">
        <v>7105.54</v>
      </c>
      <c r="AC660" s="51">
        <v>0</v>
      </c>
      <c r="AD660" s="38">
        <f>IF(ISNUMBER($AB660),$AB660*(1+N($AC660)),"")</f>
      </c>
      <c r="AE660" s="50">
        <v>350</v>
      </c>
      <c r="AF660" s="50">
        <v>0</v>
      </c>
      <c r="AG660" s="51"/>
      <c r="AH660" s="39">
        <f>IF(ISNUMBER($AD660),($AD660+$AE660+$AF660)*$AG660,"")</f>
      </c>
      <c r="AI660" s="50"/>
      <c r="AJ660" s="38">
        <f>IF(ISNUMBER($AD660),SUM($AD660:$AH660),"")</f>
      </c>
      <c r="AK660" s="40">
        <f>IF(AND(ISNUMBER($AB660),ISNUMBER($AD660)),IF($AB660&gt;0,$AD660/$AB660,""),"")</f>
      </c>
      <c r="AL660" s="48" t="inlineStr">
        <is>
          <t xml:space="preserve">At technical</t>
        </is>
      </c>
      <c r="AM660" s="41">
        <f>IF(ISNUMBER($AD660),Header!$I$3,"")</f>
      </c>
      <c r="AN660" s="39">
        <f>IF(ISNUMBER($AD660),$AO660+$AP660,"")</f>
      </c>
      <c r="AO660" s="39">
        <f>IF(ISNUMBER($AD660),ROUND($AD660*Header!$K$3,2),"")</f>
      </c>
      <c r="AP660" s="39">
        <f>IF(ISNUMBER($AD660),ROUND($AD660*Header!$M$3,2),"")</f>
      </c>
      <c r="AQ660" s="38">
        <f>IF(ISNUMBER($AD660),ROUND($AD660,2)-$AO660-$AP660,"")</f>
      </c>
      <c r="AR660" s="39">
        <f>IF(ISNUMBER($AD660),IF(Header!$D$34="","?",$AD660*Header!$D$34),"")</f>
      </c>
      <c r="AS660" s="39">
        <f>IF(ISNUMBER($AB660),IF(Header!$D$34="","?",$AB660*Header!$D$34),"")</f>
      </c>
      <c r="AT660" s="42">
        <f>IF(AND(ISNUMBER($AB660),$M660&gt;0),$AB660/$M660*100,"")</f>
      </c>
      <c r="AU660" s="42">
        <f>IF(AND(ISNUMBER($AD660),$M660&gt;0),$AD660/$M660*100,"")</f>
      </c>
      <c r="AV660" s="40">
        <f>IF(AND(ISNUMBER($AB660),ISNUMBER($AD660),ABS($AB660)&gt;0),$AD660/$AB660,"")</f>
      </c>
      <c r="AW660" s="39">
        <f>IF(ISNUMBER($AD660),MAX(0,(1-0.55-Header!$O$3)*Header!$Q$3*$AQ660),"")</f>
      </c>
      <c r="AX660" s="43">
        <f>IF($A660="","",IF(TRIM(IF($A660="","Missing certificate ref. ","") &amp; IF($C660="","Missing effective date. ","") &amp; IF($D660="","Missing binding status. ","") &amp; IF($E660="","Missing movement type. ","") &amp; IF($I660="","Missing make. ","") &amp; IF($L660="","Missing vehicle class. ","") &amp; IF($M660="","Missing agreed value. ","") &amp; IF($N660="","Missing policy type. ","") &amp; IF($Q660="","Missing garaging state. ","") &amp; IF($R660="","Missing garaging ZIP. ","") &amp; IF($S660="","Missing cat zone. ","") &amp; IF($V660="","Missing valuation basis. ","") &amp; IF($W660="","Missing PD deductible. ","") &amp; IF($X660="","Missing liability limit. ","") &amp; IF($AB660="","Missing technical premium. ","") &amp; IF($AF660="","Missing surplus lines tax %. ",""))="","PASS","FAIL: "&amp;TRIM(IF($A660="","Missing certificate ref. ","") &amp; IF($C660="","Missing effective date. ","") &amp; IF($D660="","Missing binding status. ","") &amp; IF($E660="","Missing movement type. ","") &amp; IF($I660="","Missing make. ","") &amp; IF($L660="","Missing vehicle class. ","") &amp; IF($M660="","Missing agreed value. ","") &amp; IF($N660="","Missing policy type. ","") &amp; IF($Q660="","Missing garaging state. ","") &amp; IF($R660="","Missing garaging ZIP. ","") &amp; IF($S660="","Missing cat zone. ","") &amp; IF($V660="","Missing valuation basis. ","") &amp; IF($W660="","Missing PD deductible. ","") &amp; IF($X660="","Missing liability limit. ","") &amp; IF($AB660="","Missing technical premium. ","") &amp; IF($AF660="","Missing surplus lines tax %. ",""))))</f>
      </c>
      <c r="AY660" s="44">
        <f>IF($M660="","",IF(ISNUMBER($M660),IF($M660&gt;=Header!$C$18,"YES — refer","No"),""))</f>
      </c>
      <c r="AZ660" s="44">
        <f>IF($AD660="","",IF(ISNUMBER($AD660),IF($AD660&lt;Header!$C$20,"BELOW MIN PREMIUM","OK"),""))</f>
      </c>
      <c r="BA660" s="48" t="inlineStr">
        <is>
          <t xml:space="preserve">Yes</t>
        </is>
      </c>
      <c r="BB660" s="48" t="inlineStr">
        <is>
          <t xml:space="preserve">Yes</t>
        </is>
      </c>
      <c r="BC660" s="46" t="inlineStr">
        <is>
          <t xml:space="preserve">Synthetic demo data</t>
        </is>
      </c>
      <c r="BE660" s="45">
        <f>IF(OR($A660="",$L660="",$H660=""),"",IF(AND(LEFT($L660,2)="06",$H660&gt;1945),"FAIL - pre-war class, year "&amp;$H660,IF(AND(LEFT($L660,2)="07",OR($H660&lt;1946,$H660&gt;1972)),"FAIL - 1946-72 class, year "&amp;$H660,IF(AND(LEFT($L660,2)="08",OR($H660&lt;1973,$H660&gt;1999)),"FAIL - 1973-99 class, year "&amp;$H660,IF(AND(LEFT($L660,2)="09",OR($H660&lt;2000,$H660&gt;2010)),"FAIL - 2000-10 class, year "&amp;$H660,"OK")))))</f>
      </c>
      <c r="BF660" s="45">
        <f>IF($AD660="","",IF(ROUND($AO660+$AP660+$AQ660-$AD660,2)=0,"OK","FAIL - out by "&amp;TEXT($AO660+$AP660+$AQ660-$AD660,"$0.00")))</f>
      </c>
    </row>
    <row r="661" spans="1:58" ht="18.75" customHeight="1" x14ac:dyDescent="0.25">
      <c r="A661" s="30" t="inlineStr">
        <is>
          <t xml:space="preserve">CANON-202606-009305</t>
        </is>
      </c>
      <c r="B661" s="30" t="inlineStr">
        <is>
          <t xml:space="preserve">Everett Okonkwo</t>
        </is>
      </c>
      <c r="C661" s="31">
        <v>46193</v>
      </c>
      <c r="D661" s="32" t="inlineStr">
        <is>
          <t xml:space="preserve">Bound - within authority</t>
        </is>
      </c>
      <c r="E661" s="32" t="inlineStr">
        <is>
          <t xml:space="preserve">New business</t>
        </is>
      </c>
      <c r="F661" s="30" t="inlineStr">
        <is>
          <t xml:space="preserve">B1234EXOTIC26</t>
        </is>
      </c>
      <c r="G661" s="33">
        <f>IF($A661="","",IF($C661="","",YEAR($C661)))</f>
      </c>
      <c r="H661" s="34">
        <v>1965</v>
      </c>
      <c r="I661" s="30" t="inlineStr">
        <is>
          <t xml:space="preserve">BMW</t>
        </is>
      </c>
      <c r="J661" s="30" t="inlineStr">
        <is>
          <t xml:space="preserve">M8 Competition</t>
        </is>
      </c>
      <c r="K661" s="30" t="inlineStr">
        <is>
          <t xml:space="preserve">SJDBBMUJA52WM5SSJ</t>
        </is>
      </c>
      <c r="L661" s="32" t="inlineStr">
        <is>
          <t xml:space="preserve">02 - Sports / GT</t>
        </is>
      </c>
      <c r="M661" s="35">
        <v>760000</v>
      </c>
      <c r="N661" s="32" t="inlineStr">
        <is>
          <t xml:space="preserve">Personal</t>
        </is>
      </c>
      <c r="O661" s="30" t="inlineStr">
        <is>
          <t xml:space="preserve">Personal - regular use</t>
        </is>
      </c>
      <c r="P661" s="30" t="inlineStr">
        <is>
          <t xml:space="preserve">2,500 - 5,000</t>
        </is>
      </c>
      <c r="Q661" s="30" t="inlineStr">
        <is>
          <t xml:space="preserve">Arizona</t>
        </is>
      </c>
      <c r="R661" s="30" t="inlineStr">
        <is>
          <t xml:space="preserve">85001</t>
        </is>
      </c>
      <c r="S661" s="32" t="inlineStr">
        <is>
          <t xml:space="preserve">Wildfire - WUI high hazard</t>
        </is>
      </c>
      <c r="T661" s="36">
        <f>IF($A661="","",IF($S661="","",IFERROR(INDEX('[1]natural catastrophe'!$D$6:$D$17,MATCH($S661,'[1]natural catastrophe'!$B$6:$B$17,0)),"?")))</f>
      </c>
      <c r="U661" s="30" t="inlineStr">
        <is>
          <t xml:space="preserve">$5,000</t>
        </is>
      </c>
      <c r="V661" s="32" t="inlineStr">
        <is>
          <t xml:space="preserve">Agreed Value</t>
        </is>
      </c>
      <c r="W661" s="30" t="inlineStr">
        <is>
          <t xml:space="preserve">$1,000</t>
        </is>
      </c>
      <c r="X661" s="32" t="inlineStr">
        <is>
          <t xml:space="preserve">$1,000,000 CSL</t>
        </is>
      </c>
      <c r="Y661" s="30"/>
      <c r="Z661" s="30"/>
      <c r="AA661" s="32" t="inlineStr">
        <is>
          <t xml:space="preserve">Surplus Lines</t>
        </is>
      </c>
      <c r="AB661" s="35">
        <v>7199.8</v>
      </c>
      <c r="AC661" s="37">
        <v>0</v>
      </c>
      <c r="AD661" s="38">
        <f>IF(ISNUMBER($AB661),$AB661*(1+N($AC661)),"")</f>
      </c>
      <c r="AE661" s="35">
        <v>350</v>
      </c>
      <c r="AF661" s="35">
        <v>0</v>
      </c>
      <c r="AG661" s="37"/>
      <c r="AH661" s="39">
        <f>IF(ISNUMBER($AD661),($AD661+$AE661+$AF661)*$AG661,"")</f>
      </c>
      <c r="AI661" s="35"/>
      <c r="AJ661" s="38">
        <f>IF(ISNUMBER($AD661),SUM($AD661:$AH661),"")</f>
      </c>
      <c r="AK661" s="40">
        <f>IF(AND(ISNUMBER($AB661),ISNUMBER($AD661)),IF($AB661&gt;0,$AD661/$AB661,""),"")</f>
      </c>
      <c r="AL661" s="32" t="inlineStr">
        <is>
          <t xml:space="preserve">At technical</t>
        </is>
      </c>
      <c r="AM661" s="41">
        <f>IF(ISNUMBER($AD661),Header!$I$3,"")</f>
      </c>
      <c r="AN661" s="39">
        <f>IF(ISNUMBER($AD661),$AO661+$AP661,"")</f>
      </c>
      <c r="AO661" s="39">
        <f>IF(ISNUMBER($AD661),ROUND($AD661*Header!$K$3,2),"")</f>
      </c>
      <c r="AP661" s="39">
        <f>IF(ISNUMBER($AD661),ROUND($AD661*Header!$M$3,2),"")</f>
      </c>
      <c r="AQ661" s="38">
        <f>IF(ISNUMBER($AD661),ROUND($AD661,2)-$AO661-$AP661,"")</f>
      </c>
      <c r="AR661" s="39">
        <f>IF(ISNUMBER($AD661),IF(Header!$D$34="","?",$AD661*Header!$D$34),"")</f>
      </c>
      <c r="AS661" s="39">
        <f>IF(ISNUMBER($AB661),IF(Header!$D$34="","?",$AB661*Header!$D$34),"")</f>
      </c>
      <c r="AT661" s="42">
        <f>IF(AND(ISNUMBER($AB661),$M661&gt;0),$AB661/$M661*100,"")</f>
      </c>
      <c r="AU661" s="42">
        <f>IF(AND(ISNUMBER($AD661),$M661&gt;0),$AD661/$M661*100,"")</f>
      </c>
      <c r="AV661" s="40">
        <f>IF(AND(ISNUMBER($AB661),ISNUMBER($AD661),ABS($AB661)&gt;0),$AD661/$AB661,"")</f>
      </c>
      <c r="AW661" s="39">
        <f>IF(ISNUMBER($AD661),MAX(0,(1-0.55-Header!$O$3)*Header!$Q$3*$AQ661),"")</f>
      </c>
      <c r="AX661" s="43">
        <f>IF($A661="","",IF(TRIM(IF($A661="","Missing certificate ref. ","") &amp; IF($C661="","Missing effective date. ","") &amp; IF($D661="","Missing binding status. ","") &amp; IF($E661="","Missing movement type. ","") &amp; IF($I661="","Missing make. ","") &amp; IF($L661="","Missing vehicle class. ","") &amp; IF($M661="","Missing agreed value. ","") &amp; IF($N661="","Missing policy type. ","") &amp; IF($Q661="","Missing garaging state. ","") &amp; IF($R661="","Missing garaging ZIP. ","") &amp; IF($S661="","Missing cat zone. ","") &amp; IF($V661="","Missing valuation basis. ","") &amp; IF($W661="","Missing PD deductible. ","") &amp; IF($X661="","Missing liability limit. ","") &amp; IF($AB661="","Missing technical premium. ","") &amp; IF($AF661="","Missing surplus lines tax %. ",""))="","PASS","FAIL: "&amp;TRIM(IF($A661="","Missing certificate ref. ","") &amp; IF($C661="","Missing effective date. ","") &amp; IF($D661="","Missing binding status. ","") &amp; IF($E661="","Missing movement type. ","") &amp; IF($I661="","Missing make. ","") &amp; IF($L661="","Missing vehicle class. ","") &amp; IF($M661="","Missing agreed value. ","") &amp; IF($N661="","Missing policy type. ","") &amp; IF($Q661="","Missing garaging state. ","") &amp; IF($R661="","Missing garaging ZIP. ","") &amp; IF($S661="","Missing cat zone. ","") &amp; IF($V661="","Missing valuation basis. ","") &amp; IF($W661="","Missing PD deductible. ","") &amp; IF($X661="","Missing liability limit. ","") &amp; IF($AB661="","Missing technical premium. ","") &amp; IF($AF661="","Missing surplus lines tax %. ",""))))</f>
      </c>
      <c r="AY661" s="44">
        <f>IF($M661="","",IF(ISNUMBER($M661),IF($M661&gt;=Header!$C$18,"YES — refer","No"),""))</f>
      </c>
      <c r="AZ661" s="44">
        <f>IF($AD661="","",IF(ISNUMBER($AD661),IF($AD661&lt;Header!$C$20,"BELOW MIN PREMIUM","OK"),""))</f>
      </c>
      <c r="BA661" s="32" t="inlineStr">
        <is>
          <t xml:space="preserve">Yes</t>
        </is>
      </c>
      <c r="BB661" s="32" t="inlineStr">
        <is>
          <t xml:space="preserve">Yes</t>
        </is>
      </c>
      <c r="BC661" s="30" t="inlineStr">
        <is>
          <t xml:space="preserve">Synthetic demo data</t>
        </is>
      </c>
      <c r="BE661" s="45">
        <f>IF(OR($A661="",$L661="",$H661=""),"",IF(AND(LEFT($L661,2)="06",$H661&gt;1945),"FAIL - pre-war class, year "&amp;$H661,IF(AND(LEFT($L661,2)="07",OR($H661&lt;1946,$H661&gt;1972)),"FAIL - 1946-72 class, year "&amp;$H661,IF(AND(LEFT($L661,2)="08",OR($H661&lt;1973,$H661&gt;1999)),"FAIL - 1973-99 class, year "&amp;$H661,IF(AND(LEFT($L661,2)="09",OR($H661&lt;2000,$H661&gt;2010)),"FAIL - 2000-10 class, year "&amp;$H661,"OK")))))</f>
      </c>
      <c r="BF661" s="45">
        <f>IF($AD661="","",IF(ROUND($AO661+$AP661+$AQ661-$AD661,2)=0,"OK","FAIL - out by "&amp;TEXT($AO661+$AP661+$AQ661-$AD661,"$0.00")))</f>
      </c>
    </row>
    <row r="662" spans="1:58" ht="18.75" customHeight="1" x14ac:dyDescent="0.25">
      <c r="A662" s="46" t="inlineStr">
        <is>
          <t xml:space="preserve">CANON-202606-009306</t>
        </is>
      </c>
      <c r="B662" s="46" t="inlineStr">
        <is>
          <t xml:space="preserve">Callum Vandermeer</t>
        </is>
      </c>
      <c r="C662" s="47">
        <v>46175</v>
      </c>
      <c r="D662" s="48" t="inlineStr">
        <is>
          <t xml:space="preserve">Bound - within authority</t>
        </is>
      </c>
      <c r="E662" s="48" t="inlineStr">
        <is>
          <t xml:space="preserve">New business</t>
        </is>
      </c>
      <c r="F662" s="46" t="inlineStr">
        <is>
          <t xml:space="preserve">B1234EXOTIC26</t>
        </is>
      </c>
      <c r="G662" s="33">
        <f>IF($A662="","",IF($C662="","",YEAR($C662)))</f>
      </c>
      <c r="H662" s="49">
        <v>1982</v>
      </c>
      <c r="I662" s="46" t="inlineStr">
        <is>
          <t xml:space="preserve">Ferrari</t>
        </is>
      </c>
      <c r="J662" s="46" t="inlineStr">
        <is>
          <t xml:space="preserve">296 GTB</t>
        </is>
      </c>
      <c r="K662" s="46" t="inlineStr">
        <is>
          <t xml:space="preserve">2EPGACMJESTJPPGM9</t>
        </is>
      </c>
      <c r="L662" s="48" t="inlineStr">
        <is>
          <t xml:space="preserve">03 - Supercar</t>
        </is>
      </c>
      <c r="M662" s="50">
        <v>1950000</v>
      </c>
      <c r="N662" s="48" t="inlineStr">
        <is>
          <t xml:space="preserve">Personal</t>
        </is>
      </c>
      <c r="O662" s="46" t="inlineStr">
        <is>
          <t xml:space="preserve">Personal - regular use</t>
        </is>
      </c>
      <c r="P662" s="46" t="inlineStr">
        <is>
          <t xml:space="preserve">2,500 - 5,000</t>
        </is>
      </c>
      <c r="Q662" s="46" t="inlineStr">
        <is>
          <t xml:space="preserve">Alaska</t>
        </is>
      </c>
      <c r="R662" s="46" t="inlineStr">
        <is>
          <t xml:space="preserve">99501</t>
        </is>
      </c>
      <c r="S662" s="48" t="inlineStr">
        <is>
          <t xml:space="preserve">Earthquake - high (CA, Cascadia, New Madrid)</t>
        </is>
      </c>
      <c r="T662" s="36">
        <f>IF($A662="","",IF($S662="","",IFERROR(INDEX('[1]natural catastrophe'!$D$6:$D$17,MATCH($S662,'[1]natural catastrophe'!$B$6:$B$17,0)),"?")))</f>
      </c>
      <c r="U662" s="46" t="inlineStr">
        <is>
          <t xml:space="preserve">$5,000</t>
        </is>
      </c>
      <c r="V662" s="48" t="inlineStr">
        <is>
          <t xml:space="preserve">Agreed Value</t>
        </is>
      </c>
      <c r="W662" s="46" t="inlineStr">
        <is>
          <t xml:space="preserve">$1,000</t>
        </is>
      </c>
      <c r="X662" s="48" t="inlineStr">
        <is>
          <t xml:space="preserve">$1,000,000 CSL</t>
        </is>
      </c>
      <c r="Y662" s="46"/>
      <c r="Z662" s="46"/>
      <c r="AA662" s="48" t="inlineStr">
        <is>
          <t xml:space="preserve">Surplus Lines</t>
        </is>
      </c>
      <c r="AB662" s="50">
        <v>25662.65</v>
      </c>
      <c r="AC662" s="51">
        <v>0</v>
      </c>
      <c r="AD662" s="38">
        <f>IF(ISNUMBER($AB662),$AB662*(1+N($AC662)),"")</f>
      </c>
      <c r="AE662" s="50">
        <v>350</v>
      </c>
      <c r="AF662" s="50">
        <v>250</v>
      </c>
      <c r="AG662" s="51"/>
      <c r="AH662" s="39">
        <f>IF(ISNUMBER($AD662),($AD662+$AE662+$AF662)*$AG662,"")</f>
      </c>
      <c r="AI662" s="50"/>
      <c r="AJ662" s="38">
        <f>IF(ISNUMBER($AD662),SUM($AD662:$AH662),"")</f>
      </c>
      <c r="AK662" s="40">
        <f>IF(AND(ISNUMBER($AB662),ISNUMBER($AD662)),IF($AB662&gt;0,$AD662/$AB662,""),"")</f>
      </c>
      <c r="AL662" s="48" t="inlineStr">
        <is>
          <t xml:space="preserve">At technical</t>
        </is>
      </c>
      <c r="AM662" s="41">
        <f>IF(ISNUMBER($AD662),Header!$I$3,"")</f>
      </c>
      <c r="AN662" s="39">
        <f>IF(ISNUMBER($AD662),$AO662+$AP662,"")</f>
      </c>
      <c r="AO662" s="39">
        <f>IF(ISNUMBER($AD662),ROUND($AD662*Header!$K$3,2),"")</f>
      </c>
      <c r="AP662" s="39">
        <f>IF(ISNUMBER($AD662),ROUND($AD662*Header!$M$3,2),"")</f>
      </c>
      <c r="AQ662" s="38">
        <f>IF(ISNUMBER($AD662),ROUND($AD662,2)-$AO662-$AP662,"")</f>
      </c>
      <c r="AR662" s="39">
        <f>IF(ISNUMBER($AD662),IF(Header!$D$34="","?",$AD662*Header!$D$34),"")</f>
      </c>
      <c r="AS662" s="39">
        <f>IF(ISNUMBER($AB662),IF(Header!$D$34="","?",$AB662*Header!$D$34),"")</f>
      </c>
      <c r="AT662" s="42">
        <f>IF(AND(ISNUMBER($AB662),$M662&gt;0),$AB662/$M662*100,"")</f>
      </c>
      <c r="AU662" s="42">
        <f>IF(AND(ISNUMBER($AD662),$M662&gt;0),$AD662/$M662*100,"")</f>
      </c>
      <c r="AV662" s="40">
        <f>IF(AND(ISNUMBER($AB662),ISNUMBER($AD662),ABS($AB662)&gt;0),$AD662/$AB662,"")</f>
      </c>
      <c r="AW662" s="39">
        <f>IF(ISNUMBER($AD662),MAX(0,(1-0.55-Header!$O$3)*Header!$Q$3*$AQ662),"")</f>
      </c>
      <c r="AX662" s="43">
        <f>IF($A662="","",IF(TRIM(IF($A662="","Missing certificate ref. ","") &amp; IF($C662="","Missing effective date. ","") &amp; IF($D662="","Missing binding status. ","") &amp; IF($E662="","Missing movement type. ","") &amp; IF($I662="","Missing make. ","") &amp; IF($L662="","Missing vehicle class. ","") &amp; IF($M662="","Missing agreed value. ","") &amp; IF($N662="","Missing policy type. ","") &amp; IF($Q662="","Missing garaging state. ","") &amp; IF($R662="","Missing garaging ZIP. ","") &amp; IF($S662="","Missing cat zone. ","") &amp; IF($V662="","Missing valuation basis. ","") &amp; IF($W662="","Missing PD deductible. ","") &amp; IF($X662="","Missing liability limit. ","") &amp; IF($AB662="","Missing technical premium. ","") &amp; IF($AF662="","Missing surplus lines tax %. ",""))="","PASS","FAIL: "&amp;TRIM(IF($A662="","Missing certificate ref. ","") &amp; IF($C662="","Missing effective date. ","") &amp; IF($D662="","Missing binding status. ","") &amp; IF($E662="","Missing movement type. ","") &amp; IF($I662="","Missing make. ","") &amp; IF($L662="","Missing vehicle class. ","") &amp; IF($M662="","Missing agreed value. ","") &amp; IF($N662="","Missing policy type. ","") &amp; IF($Q662="","Missing garaging state. ","") &amp; IF($R662="","Missing garaging ZIP. ","") &amp; IF($S662="","Missing cat zone. ","") &amp; IF($V662="","Missing valuation basis. ","") &amp; IF($W662="","Missing PD deductible. ","") &amp; IF($X662="","Missing liability limit. ","") &amp; IF($AB662="","Missing technical premium. ","") &amp; IF($AF662="","Missing surplus lines tax %. ",""))))</f>
      </c>
      <c r="AY662" s="44">
        <f>IF($M662="","",IF(ISNUMBER($M662),IF($M662&gt;=Header!$C$18,"YES — refer","No"),""))</f>
      </c>
      <c r="AZ662" s="44">
        <f>IF($AD662="","",IF(ISNUMBER($AD662),IF($AD662&lt;Header!$C$20,"BELOW MIN PREMIUM","OK"),""))</f>
      </c>
      <c r="BA662" s="48" t="inlineStr">
        <is>
          <t xml:space="preserve">Yes</t>
        </is>
      </c>
      <c r="BB662" s="48" t="inlineStr">
        <is>
          <t xml:space="preserve">Yes</t>
        </is>
      </c>
      <c r="BC662" s="46" t="inlineStr">
        <is>
          <t xml:space="preserve">Synthetic demo data</t>
        </is>
      </c>
      <c r="BE662" s="45">
        <f>IF(OR($A662="",$L662="",$H662=""),"",IF(AND(LEFT($L662,2)="06",$H662&gt;1945),"FAIL - pre-war class, year "&amp;$H662,IF(AND(LEFT($L662,2)="07",OR($H662&lt;1946,$H662&gt;1972)),"FAIL - 1946-72 class, year "&amp;$H662,IF(AND(LEFT($L662,2)="08",OR($H662&lt;1973,$H662&gt;1999)),"FAIL - 1973-99 class, year "&amp;$H662,IF(AND(LEFT($L662,2)="09",OR($H662&lt;2000,$H662&gt;2010)),"FAIL - 2000-10 class, year "&amp;$H662,"OK")))))</f>
      </c>
      <c r="BF662" s="45">
        <f>IF($AD662="","",IF(ROUND($AO662+$AP662+$AQ662-$AD662,2)=0,"OK","FAIL - out by "&amp;TEXT($AO662+$AP662+$AQ662-$AD662,"$0.00")))</f>
      </c>
    </row>
    <row r="663" spans="1:58" ht="18.75" customHeight="1" x14ac:dyDescent="0.25">
      <c r="A663" s="30" t="inlineStr">
        <is>
          <t xml:space="preserve">CANON-202606-009307</t>
        </is>
      </c>
      <c r="B663" s="30" t="inlineStr">
        <is>
          <t xml:space="preserve">Delphine Chattopadhyay</t>
        </is>
      </c>
      <c r="C663" s="31">
        <v>46182</v>
      </c>
      <c r="D663" s="32" t="inlineStr">
        <is>
          <t xml:space="preserve">Bound - within authority</t>
        </is>
      </c>
      <c r="E663" s="32" t="inlineStr">
        <is>
          <t xml:space="preserve">New business</t>
        </is>
      </c>
      <c r="F663" s="30" t="inlineStr">
        <is>
          <t xml:space="preserve">B1234EXOTIC26</t>
        </is>
      </c>
      <c r="G663" s="33">
        <f>IF($A663="","",IF($C663="","",YEAR($C663)))</f>
      </c>
      <c r="H663" s="34">
        <v>2017</v>
      </c>
      <c r="I663" s="30" t="inlineStr">
        <is>
          <t xml:space="preserve">Mercedes-Benz</t>
        </is>
      </c>
      <c r="J663" s="30" t="inlineStr">
        <is>
          <t xml:space="preserve">280SL Pagoda</t>
        </is>
      </c>
      <c r="K663" s="30" t="inlineStr">
        <is>
          <t xml:space="preserve">JJFXSDMPNCKLXCW1M</t>
        </is>
      </c>
      <c r="L663" s="32" t="inlineStr">
        <is>
          <t xml:space="preserve">02 - Sports / GT</t>
        </is>
      </c>
      <c r="M663" s="35">
        <v>1245000</v>
      </c>
      <c r="N663" s="32" t="inlineStr">
        <is>
          <t xml:space="preserve">Personal</t>
        </is>
      </c>
      <c r="O663" s="30" t="inlineStr">
        <is>
          <t xml:space="preserve">Personal - regular use</t>
        </is>
      </c>
      <c r="P663" s="30" t="inlineStr">
        <is>
          <t xml:space="preserve">1,000 - 2,500</t>
        </is>
      </c>
      <c r="Q663" s="30" t="inlineStr">
        <is>
          <t xml:space="preserve">South Dakota</t>
        </is>
      </c>
      <c r="R663" s="30" t="inlineStr">
        <is>
          <t xml:space="preserve">57501</t>
        </is>
      </c>
      <c r="S663" s="32" t="inlineStr">
        <is>
          <t xml:space="preserve">Severe convective - hail alley (high)</t>
        </is>
      </c>
      <c r="T663" s="36">
        <f>IF($A663="","",IF($S663="","",IFERROR(INDEX('[1]natural catastrophe'!$D$6:$D$17,MATCH($S663,'[1]natural catastrophe'!$B$6:$B$17,0)),"?")))</f>
      </c>
      <c r="U663" s="30" t="inlineStr">
        <is>
          <t xml:space="preserve">$5,000</t>
        </is>
      </c>
      <c r="V663" s="32" t="inlineStr">
        <is>
          <t xml:space="preserve">Agreed Value</t>
        </is>
      </c>
      <c r="W663" s="30" t="inlineStr">
        <is>
          <t xml:space="preserve">$1,000</t>
        </is>
      </c>
      <c r="X663" s="32" t="inlineStr">
        <is>
          <t xml:space="preserve">$1,000,000 CSL</t>
        </is>
      </c>
      <c r="Y663" s="30"/>
      <c r="Z663" s="30"/>
      <c r="AA663" s="32" t="inlineStr">
        <is>
          <t xml:space="preserve">Surplus Lines</t>
        </is>
      </c>
      <c r="AB663" s="35">
        <v>7577.88</v>
      </c>
      <c r="AC663" s="37">
        <v>0</v>
      </c>
      <c r="AD663" s="38">
        <f>IF(ISNUMBER($AB663),$AB663*(1+N($AC663)),"")</f>
      </c>
      <c r="AE663" s="35">
        <v>350</v>
      </c>
      <c r="AF663" s="35">
        <v>250</v>
      </c>
      <c r="AG663" s="37"/>
      <c r="AH663" s="39">
        <f>IF(ISNUMBER($AD663),($AD663+$AE663+$AF663)*$AG663,"")</f>
      </c>
      <c r="AI663" s="35"/>
      <c r="AJ663" s="38">
        <f>IF(ISNUMBER($AD663),SUM($AD663:$AH663),"")</f>
      </c>
      <c r="AK663" s="40">
        <f>IF(AND(ISNUMBER($AB663),ISNUMBER($AD663)),IF($AB663&gt;0,$AD663/$AB663,""),"")</f>
      </c>
      <c r="AL663" s="32" t="inlineStr">
        <is>
          <t xml:space="preserve">At technical</t>
        </is>
      </c>
      <c r="AM663" s="41">
        <f>IF(ISNUMBER($AD663),Header!$I$3,"")</f>
      </c>
      <c r="AN663" s="39">
        <f>IF(ISNUMBER($AD663),$AO663+$AP663,"")</f>
      </c>
      <c r="AO663" s="39">
        <f>IF(ISNUMBER($AD663),ROUND($AD663*Header!$K$3,2),"")</f>
      </c>
      <c r="AP663" s="39">
        <f>IF(ISNUMBER($AD663),ROUND($AD663*Header!$M$3,2),"")</f>
      </c>
      <c r="AQ663" s="38">
        <f>IF(ISNUMBER($AD663),ROUND($AD663,2)-$AO663-$AP663,"")</f>
      </c>
      <c r="AR663" s="39">
        <f>IF(ISNUMBER($AD663),IF(Header!$D$34="","?",$AD663*Header!$D$34),"")</f>
      </c>
      <c r="AS663" s="39">
        <f>IF(ISNUMBER($AB663),IF(Header!$D$34="","?",$AB663*Header!$D$34),"")</f>
      </c>
      <c r="AT663" s="42">
        <f>IF(AND(ISNUMBER($AB663),$M663&gt;0),$AB663/$M663*100,"")</f>
      </c>
      <c r="AU663" s="42">
        <f>IF(AND(ISNUMBER($AD663),$M663&gt;0),$AD663/$M663*100,"")</f>
      </c>
      <c r="AV663" s="40">
        <f>IF(AND(ISNUMBER($AB663),ISNUMBER($AD663),ABS($AB663)&gt;0),$AD663/$AB663,"")</f>
      </c>
      <c r="AW663" s="39">
        <f>IF(ISNUMBER($AD663),MAX(0,(1-0.55-Header!$O$3)*Header!$Q$3*$AQ663),"")</f>
      </c>
      <c r="AX663" s="43">
        <f>IF($A663="","",IF(TRIM(IF($A663="","Missing certificate ref. ","") &amp; IF($C663="","Missing effective date. ","") &amp; IF($D663="","Missing binding status. ","") &amp; IF($E663="","Missing movement type. ","") &amp; IF($I663="","Missing make. ","") &amp; IF($L663="","Missing vehicle class. ","") &amp; IF($M663="","Missing agreed value. ","") &amp; IF($N663="","Missing policy type. ","") &amp; IF($Q663="","Missing garaging state. ","") &amp; IF($R663="","Missing garaging ZIP. ","") &amp; IF($S663="","Missing cat zone. ","") &amp; IF($V663="","Missing valuation basis. ","") &amp; IF($W663="","Missing PD deductible. ","") &amp; IF($X663="","Missing liability limit. ","") &amp; IF($AB663="","Missing technical premium. ","") &amp; IF($AF663="","Missing surplus lines tax %. ",""))="","PASS","FAIL: "&amp;TRIM(IF($A663="","Missing certificate ref. ","") &amp; IF($C663="","Missing effective date. ","") &amp; IF($D663="","Missing binding status. ","") &amp; IF($E663="","Missing movement type. ","") &amp; IF($I663="","Missing make. ","") &amp; IF($L663="","Missing vehicle class. ","") &amp; IF($M663="","Missing agreed value. ","") &amp; IF($N663="","Missing policy type. ","") &amp; IF($Q663="","Missing garaging state. ","") &amp; IF($R663="","Missing garaging ZIP. ","") &amp; IF($S663="","Missing cat zone. ","") &amp; IF($V663="","Missing valuation basis. ","") &amp; IF($W663="","Missing PD deductible. ","") &amp; IF($X663="","Missing liability limit. ","") &amp; IF($AB663="","Missing technical premium. ","") &amp; IF($AF663="","Missing surplus lines tax %. ",""))))</f>
      </c>
      <c r="AY663" s="44">
        <f>IF($M663="","",IF(ISNUMBER($M663),IF($M663&gt;=Header!$C$18,"YES — refer","No"),""))</f>
      </c>
      <c r="AZ663" s="44">
        <f>IF($AD663="","",IF(ISNUMBER($AD663),IF($AD663&lt;Header!$C$20,"BELOW MIN PREMIUM","OK"),""))</f>
      </c>
      <c r="BA663" s="32" t="inlineStr">
        <is>
          <t xml:space="preserve">Yes</t>
        </is>
      </c>
      <c r="BB663" s="32" t="inlineStr">
        <is>
          <t xml:space="preserve">Yes</t>
        </is>
      </c>
      <c r="BC663" s="30" t="inlineStr">
        <is>
          <t xml:space="preserve">Synthetic demo data</t>
        </is>
      </c>
      <c r="BE663" s="45">
        <f>IF(OR($A663="",$L663="",$H663=""),"",IF(AND(LEFT($L663,2)="06",$H663&gt;1945),"FAIL - pre-war class, year "&amp;$H663,IF(AND(LEFT($L663,2)="07",OR($H663&lt;1946,$H663&gt;1972)),"FAIL - 1946-72 class, year "&amp;$H663,IF(AND(LEFT($L663,2)="08",OR($H663&lt;1973,$H663&gt;1999)),"FAIL - 1973-99 class, year "&amp;$H663,IF(AND(LEFT($L663,2)="09",OR($H663&lt;2000,$H663&gt;2010)),"FAIL - 2000-10 class, year "&amp;$H663,"OK")))))</f>
      </c>
      <c r="BF663" s="45">
        <f>IF($AD663="","",IF(ROUND($AO663+$AP663+$AQ663-$AD663,2)=0,"OK","FAIL - out by "&amp;TEXT($AO663+$AP663+$AQ663-$AD663,"$0.00")))</f>
      </c>
    </row>
    <row r="664" spans="1:58" ht="18.75" customHeight="1" x14ac:dyDescent="0.25">
      <c r="A664" s="46" t="inlineStr">
        <is>
          <t xml:space="preserve">CANON-202606-009309</t>
        </is>
      </c>
      <c r="B664" s="46" t="inlineStr">
        <is>
          <t xml:space="preserve">Mireille Farkas</t>
        </is>
      </c>
      <c r="C664" s="47">
        <v>46201</v>
      </c>
      <c r="D664" s="48" t="inlineStr">
        <is>
          <t xml:space="preserve">Bound - within authority</t>
        </is>
      </c>
      <c r="E664" s="48" t="inlineStr">
        <is>
          <t xml:space="preserve">New business</t>
        </is>
      </c>
      <c r="F664" s="46" t="inlineStr">
        <is>
          <t xml:space="preserve">B1234EXOTIC26</t>
        </is>
      </c>
      <c r="G664" s="33">
        <f>IF($A664="","",IF($C664="","",YEAR($C664)))</f>
      </c>
      <c r="H664" s="49">
        <v>1997</v>
      </c>
      <c r="I664" s="46" t="inlineStr">
        <is>
          <t xml:space="preserve">Bentley</t>
        </is>
      </c>
      <c r="J664" s="46" t="inlineStr">
        <is>
          <t xml:space="preserve">Continental GT</t>
        </is>
      </c>
      <c r="K664" s="46" t="inlineStr">
        <is>
          <t xml:space="preserve">E3PM5R8JK5437XPHS</t>
        </is>
      </c>
      <c r="L664" s="48" t="inlineStr">
        <is>
          <t xml:space="preserve">02 - Sports / GT</t>
        </is>
      </c>
      <c r="M664" s="50">
        <v>460000</v>
      </c>
      <c r="N664" s="48" t="inlineStr">
        <is>
          <t xml:space="preserve">Personal</t>
        </is>
      </c>
      <c r="O664" s="46" t="inlineStr">
        <is>
          <t xml:space="preserve">Personal - regular use</t>
        </is>
      </c>
      <c r="P664" s="46" t="inlineStr">
        <is>
          <t xml:space="preserve">1,000 - 2,500</t>
        </is>
      </c>
      <c r="Q664" s="46" t="inlineStr">
        <is>
          <t xml:space="preserve">Rhode Island</t>
        </is>
      </c>
      <c r="R664" s="46" t="inlineStr">
        <is>
          <t xml:space="preserve">02903</t>
        </is>
      </c>
      <c r="S664" s="48" t="inlineStr">
        <is>
          <t xml:space="preserve">Tier 3 - Coastal wind (25-100 miles)</t>
        </is>
      </c>
      <c r="T664" s="36">
        <f>IF($A664="","",IF($S664="","",IFERROR(INDEX('[1]natural catastrophe'!$D$6:$D$17,MATCH($S664,'[1]natural catastrophe'!$B$6:$B$17,0)),"?")))</f>
      </c>
      <c r="U664" s="46" t="inlineStr">
        <is>
          <t xml:space="preserve">2% of agreed value, minimum $10,000</t>
        </is>
      </c>
      <c r="V664" s="48" t="inlineStr">
        <is>
          <t xml:space="preserve">Agreed Value</t>
        </is>
      </c>
      <c r="W664" s="46" t="inlineStr">
        <is>
          <t xml:space="preserve">$1,000</t>
        </is>
      </c>
      <c r="X664" s="48" t="inlineStr">
        <is>
          <t xml:space="preserve">$1,000,000 CSL</t>
        </is>
      </c>
      <c r="Y664" s="46"/>
      <c r="Z664" s="46"/>
      <c r="AA664" s="48" t="inlineStr">
        <is>
          <t xml:space="preserve">Surplus Lines</t>
        </is>
      </c>
      <c r="AB664" s="50">
        <v>6820.43</v>
      </c>
      <c r="AC664" s="51">
        <v>0</v>
      </c>
      <c r="AD664" s="38">
        <f>IF(ISNUMBER($AB664),$AB664*(1+N($AC664)),"")</f>
      </c>
      <c r="AE664" s="50">
        <v>350</v>
      </c>
      <c r="AF664" s="50">
        <v>0</v>
      </c>
      <c r="AG664" s="51"/>
      <c r="AH664" s="39">
        <f>IF(ISNUMBER($AD664),($AD664+$AE664+$AF664)*$AG664,"")</f>
      </c>
      <c r="AI664" s="50"/>
      <c r="AJ664" s="38">
        <f>IF(ISNUMBER($AD664),SUM($AD664:$AH664),"")</f>
      </c>
      <c r="AK664" s="40">
        <f>IF(AND(ISNUMBER($AB664),ISNUMBER($AD664)),IF($AB664&gt;0,$AD664/$AB664,""),"")</f>
      </c>
      <c r="AL664" s="48" t="inlineStr">
        <is>
          <t xml:space="preserve">At technical</t>
        </is>
      </c>
      <c r="AM664" s="41">
        <f>IF(ISNUMBER($AD664),Header!$I$3,"")</f>
      </c>
      <c r="AN664" s="39">
        <f>IF(ISNUMBER($AD664),$AO664+$AP664,"")</f>
      </c>
      <c r="AO664" s="39">
        <f>IF(ISNUMBER($AD664),ROUND($AD664*Header!$K$3,2),"")</f>
      </c>
      <c r="AP664" s="39">
        <f>IF(ISNUMBER($AD664),ROUND($AD664*Header!$M$3,2),"")</f>
      </c>
      <c r="AQ664" s="38">
        <f>IF(ISNUMBER($AD664),ROUND($AD664,2)-$AO664-$AP664,"")</f>
      </c>
      <c r="AR664" s="39">
        <f>IF(ISNUMBER($AD664),IF(Header!$D$34="","?",$AD664*Header!$D$34),"")</f>
      </c>
      <c r="AS664" s="39">
        <f>IF(ISNUMBER($AB664),IF(Header!$D$34="","?",$AB664*Header!$D$34),"")</f>
      </c>
      <c r="AT664" s="42">
        <f>IF(AND(ISNUMBER($AB664),$M664&gt;0),$AB664/$M664*100,"")</f>
      </c>
      <c r="AU664" s="42">
        <f>IF(AND(ISNUMBER($AD664),$M664&gt;0),$AD664/$M664*100,"")</f>
      </c>
      <c r="AV664" s="40">
        <f>IF(AND(ISNUMBER($AB664),ISNUMBER($AD664),ABS($AB664)&gt;0),$AD664/$AB664,"")</f>
      </c>
      <c r="AW664" s="39">
        <f>IF(ISNUMBER($AD664),MAX(0,(1-0.55-Header!$O$3)*Header!$Q$3*$AQ664),"")</f>
      </c>
      <c r="AX664" s="43">
        <f>IF($A664="","",IF(TRIM(IF($A664="","Missing certificate ref. ","") &amp; IF($C664="","Missing effective date. ","") &amp; IF($D664="","Missing binding status. ","") &amp; IF($E664="","Missing movement type. ","") &amp; IF($I664="","Missing make. ","") &amp; IF($L664="","Missing vehicle class. ","") &amp; IF($M664="","Missing agreed value. ","") &amp; IF($N664="","Missing policy type. ","") &amp; IF($Q664="","Missing garaging state. ","") &amp; IF($R664="","Missing garaging ZIP. ","") &amp; IF($S664="","Missing cat zone. ","") &amp; IF($V664="","Missing valuation basis. ","") &amp; IF($W664="","Missing PD deductible. ","") &amp; IF($X664="","Missing liability limit. ","") &amp; IF($AB664="","Missing technical premium. ","") &amp; IF($AF664="","Missing surplus lines tax %. ",""))="","PASS","FAIL: "&amp;TRIM(IF($A664="","Missing certificate ref. ","") &amp; IF($C664="","Missing effective date. ","") &amp; IF($D664="","Missing binding status. ","") &amp; IF($E664="","Missing movement type. ","") &amp; IF($I664="","Missing make. ","") &amp; IF($L664="","Missing vehicle class. ","") &amp; IF($M664="","Missing agreed value. ","") &amp; IF($N664="","Missing policy type. ","") &amp; IF($Q664="","Missing garaging state. ","") &amp; IF($R664="","Missing garaging ZIP. ","") &amp; IF($S664="","Missing cat zone. ","") &amp; IF($V664="","Missing valuation basis. ","") &amp; IF($W664="","Missing PD deductible. ","") &amp; IF($X664="","Missing liability limit. ","") &amp; IF($AB664="","Missing technical premium. ","") &amp; IF($AF664="","Missing surplus lines tax %. ",""))))</f>
      </c>
      <c r="AY664" s="44">
        <f>IF($M664="","",IF(ISNUMBER($M664),IF($M664&gt;=Header!$C$18,"YES — refer","No"),""))</f>
      </c>
      <c r="AZ664" s="44">
        <f>IF($AD664="","",IF(ISNUMBER($AD664),IF($AD664&lt;Header!$C$20,"BELOW MIN PREMIUM","OK"),""))</f>
      </c>
      <c r="BA664" s="48" t="inlineStr">
        <is>
          <t xml:space="preserve">Yes</t>
        </is>
      </c>
      <c r="BB664" s="48" t="inlineStr">
        <is>
          <t xml:space="preserve">Yes</t>
        </is>
      </c>
      <c r="BC664" s="46" t="inlineStr">
        <is>
          <t xml:space="preserve">Synthetic demo data</t>
        </is>
      </c>
      <c r="BE664" s="45">
        <f>IF(OR($A664="",$L664="",$H664=""),"",IF(AND(LEFT($L664,2)="06",$H664&gt;1945),"FAIL - pre-war class, year "&amp;$H664,IF(AND(LEFT($L664,2)="07",OR($H664&lt;1946,$H664&gt;1972)),"FAIL - 1946-72 class, year "&amp;$H664,IF(AND(LEFT($L664,2)="08",OR($H664&lt;1973,$H664&gt;1999)),"FAIL - 1973-99 class, year "&amp;$H664,IF(AND(LEFT($L664,2)="09",OR($H664&lt;2000,$H664&gt;2010)),"FAIL - 2000-10 class, year "&amp;$H664,"OK")))))</f>
      </c>
      <c r="BF664" s="45">
        <f>IF($AD664="","",IF(ROUND($AO664+$AP664+$AQ664-$AD664,2)=0,"OK","FAIL - out by "&amp;TEXT($AO664+$AP664+$AQ664-$AD664,"$0.00")))</f>
      </c>
    </row>
    <row r="665" spans="1:58" ht="18.75" customHeight="1" x14ac:dyDescent="0.25">
      <c r="A665" s="30" t="inlineStr">
        <is>
          <t xml:space="preserve">CANON-202606-009310</t>
        </is>
      </c>
      <c r="B665" s="30" t="inlineStr">
        <is>
          <t xml:space="preserve">Wilhelmina Vandermeer</t>
        </is>
      </c>
      <c r="C665" s="31">
        <v>46178</v>
      </c>
      <c r="D665" s="32" t="inlineStr">
        <is>
          <t xml:space="preserve">Bound - within authority</t>
        </is>
      </c>
      <c r="E665" s="32" t="inlineStr">
        <is>
          <t xml:space="preserve">New business</t>
        </is>
      </c>
      <c r="F665" s="30" t="inlineStr">
        <is>
          <t xml:space="preserve">B1234EXOTIC26</t>
        </is>
      </c>
      <c r="G665" s="33">
        <f>IF($A665="","",IF($C665="","",YEAR($C665)))</f>
      </c>
      <c r="H665" s="34">
        <v>1962</v>
      </c>
      <c r="I665" s="30" t="inlineStr">
        <is>
          <t xml:space="preserve">Ferrari</t>
        </is>
      </c>
      <c r="J665" s="30" t="inlineStr">
        <is>
          <t xml:space="preserve">275 GTB/4</t>
        </is>
      </c>
      <c r="K665" s="30" t="inlineStr">
        <is>
          <t xml:space="preserve">SNWZD0FZNTNB1M04R</t>
        </is>
      </c>
      <c r="L665" s="32" t="inlineStr">
        <is>
          <t xml:space="preserve">07 - Post-War Classic (1946-1972)</t>
        </is>
      </c>
      <c r="M665" s="35">
        <v>450000</v>
      </c>
      <c r="N665" s="32" t="inlineStr">
        <is>
          <t xml:space="preserve">Personal</t>
        </is>
      </c>
      <c r="O665" s="30" t="inlineStr">
        <is>
          <t xml:space="preserve">Personal - regular use</t>
        </is>
      </c>
      <c r="P665" s="30" t="inlineStr">
        <is>
          <t xml:space="preserve">Under 1,000</t>
        </is>
      </c>
      <c r="Q665" s="30" t="inlineStr">
        <is>
          <t xml:space="preserve">California</t>
        </is>
      </c>
      <c r="R665" s="30" t="inlineStr">
        <is>
          <t xml:space="preserve">90012</t>
        </is>
      </c>
      <c r="S665" s="32" t="inlineStr">
        <is>
          <t xml:space="preserve">Earthquake - high (CA, Cascadia, New Madrid)</t>
        </is>
      </c>
      <c r="T665" s="36">
        <f>IF($A665="","",IF($S665="","",IFERROR(INDEX('[1]natural catastrophe'!$D$6:$D$17,MATCH($S665,'[1]natural catastrophe'!$B$6:$B$17,0)),"?")))</f>
      </c>
      <c r="U665" s="30" t="inlineStr">
        <is>
          <t xml:space="preserve">$5,000</t>
        </is>
      </c>
      <c r="V665" s="32" t="inlineStr">
        <is>
          <t xml:space="preserve">Agreed Value</t>
        </is>
      </c>
      <c r="W665" s="30" t="inlineStr">
        <is>
          <t xml:space="preserve">$1,000</t>
        </is>
      </c>
      <c r="X665" s="32" t="inlineStr">
        <is>
          <t xml:space="preserve">$1,000,000 CSL</t>
        </is>
      </c>
      <c r="Y665" s="30"/>
      <c r="Z665" s="30"/>
      <c r="AA665" s="32" t="inlineStr">
        <is>
          <t xml:space="preserve">Surplus Lines</t>
        </is>
      </c>
      <c r="AB665" s="35">
        <v>4207.85</v>
      </c>
      <c r="AC665" s="37">
        <v>0</v>
      </c>
      <c r="AD665" s="38">
        <f>IF(ISNUMBER($AB665),$AB665*(1+N($AC665)),"")</f>
      </c>
      <c r="AE665" s="35">
        <v>350</v>
      </c>
      <c r="AF665" s="35">
        <v>0</v>
      </c>
      <c r="AG665" s="37"/>
      <c r="AH665" s="39">
        <f>IF(ISNUMBER($AD665),($AD665+$AE665+$AF665)*$AG665,"")</f>
      </c>
      <c r="AI665" s="35"/>
      <c r="AJ665" s="38">
        <f>IF(ISNUMBER($AD665),SUM($AD665:$AH665),"")</f>
      </c>
      <c r="AK665" s="40">
        <f>IF(AND(ISNUMBER($AB665),ISNUMBER($AD665)),IF($AB665&gt;0,$AD665/$AB665,""),"")</f>
      </c>
      <c r="AL665" s="32" t="inlineStr">
        <is>
          <t xml:space="preserve">At technical</t>
        </is>
      </c>
      <c r="AM665" s="41">
        <f>IF(ISNUMBER($AD665),Header!$I$3,"")</f>
      </c>
      <c r="AN665" s="39">
        <f>IF(ISNUMBER($AD665),$AO665+$AP665,"")</f>
      </c>
      <c r="AO665" s="39">
        <f>IF(ISNUMBER($AD665),ROUND($AD665*Header!$K$3,2),"")</f>
      </c>
      <c r="AP665" s="39">
        <f>IF(ISNUMBER($AD665),ROUND($AD665*Header!$M$3,2),"")</f>
      </c>
      <c r="AQ665" s="38">
        <f>IF(ISNUMBER($AD665),ROUND($AD665,2)-$AO665-$AP665,"")</f>
      </c>
      <c r="AR665" s="39">
        <f>IF(ISNUMBER($AD665),IF(Header!$D$34="","?",$AD665*Header!$D$34),"")</f>
      </c>
      <c r="AS665" s="39">
        <f>IF(ISNUMBER($AB665),IF(Header!$D$34="","?",$AB665*Header!$D$34),"")</f>
      </c>
      <c r="AT665" s="42">
        <f>IF(AND(ISNUMBER($AB665),$M665&gt;0),$AB665/$M665*100,"")</f>
      </c>
      <c r="AU665" s="42">
        <f>IF(AND(ISNUMBER($AD665),$M665&gt;0),$AD665/$M665*100,"")</f>
      </c>
      <c r="AV665" s="40">
        <f>IF(AND(ISNUMBER($AB665),ISNUMBER($AD665),ABS($AB665)&gt;0),$AD665/$AB665,"")</f>
      </c>
      <c r="AW665" s="39">
        <f>IF(ISNUMBER($AD665),MAX(0,(1-0.55-Header!$O$3)*Header!$Q$3*$AQ665),"")</f>
      </c>
      <c r="AX665" s="43">
        <f>IF($A665="","",IF(TRIM(IF($A665="","Missing certificate ref. ","") &amp; IF($C665="","Missing effective date. ","") &amp; IF($D665="","Missing binding status. ","") &amp; IF($E665="","Missing movement type. ","") &amp; IF($I665="","Missing make. ","") &amp; IF($L665="","Missing vehicle class. ","") &amp; IF($M665="","Missing agreed value. ","") &amp; IF($N665="","Missing policy type. ","") &amp; IF($Q665="","Missing garaging state. ","") &amp; IF($R665="","Missing garaging ZIP. ","") &amp; IF($S665="","Missing cat zone. ","") &amp; IF($V665="","Missing valuation basis. ","") &amp; IF($W665="","Missing PD deductible. ","") &amp; IF($X665="","Missing liability limit. ","") &amp; IF($AB665="","Missing technical premium. ","") &amp; IF($AF665="","Missing surplus lines tax %. ",""))="","PASS","FAIL: "&amp;TRIM(IF($A665="","Missing certificate ref. ","") &amp; IF($C665="","Missing effective date. ","") &amp; IF($D665="","Missing binding status. ","") &amp; IF($E665="","Missing movement type. ","") &amp; IF($I665="","Missing make. ","") &amp; IF($L665="","Missing vehicle class. ","") &amp; IF($M665="","Missing agreed value. ","") &amp; IF($N665="","Missing policy type. ","") &amp; IF($Q665="","Missing garaging state. ","") &amp; IF($R665="","Missing garaging ZIP. ","") &amp; IF($S665="","Missing cat zone. ","") &amp; IF($V665="","Missing valuation basis. ","") &amp; IF($W665="","Missing PD deductible. ","") &amp; IF($X665="","Missing liability limit. ","") &amp; IF($AB665="","Missing technical premium. ","") &amp; IF($AF665="","Missing surplus lines tax %. ",""))))</f>
      </c>
      <c r="AY665" s="44">
        <f>IF($M665="","",IF(ISNUMBER($M665),IF($M665&gt;=Header!$C$18,"YES — refer","No"),""))</f>
      </c>
      <c r="AZ665" s="44">
        <f>IF($AD665="","",IF(ISNUMBER($AD665),IF($AD665&lt;Header!$C$20,"BELOW MIN PREMIUM","OK"),""))</f>
      </c>
      <c r="BA665" s="32" t="inlineStr">
        <is>
          <t xml:space="preserve">Yes</t>
        </is>
      </c>
      <c r="BB665" s="32" t="inlineStr">
        <is>
          <t xml:space="preserve">Yes</t>
        </is>
      </c>
      <c r="BC665" s="30" t="inlineStr">
        <is>
          <t xml:space="preserve">Synthetic demo data</t>
        </is>
      </c>
      <c r="BE665" s="45">
        <f>IF(OR($A665="",$L665="",$H665=""),"",IF(AND(LEFT($L665,2)="06",$H665&gt;1945),"FAIL - pre-war class, year "&amp;$H665,IF(AND(LEFT($L665,2)="07",OR($H665&lt;1946,$H665&gt;1972)),"FAIL - 1946-72 class, year "&amp;$H665,IF(AND(LEFT($L665,2)="08",OR($H665&lt;1973,$H665&gt;1999)),"FAIL - 1973-99 class, year "&amp;$H665,IF(AND(LEFT($L665,2)="09",OR($H665&lt;2000,$H665&gt;2010)),"FAIL - 2000-10 class, year "&amp;$H665,"OK")))))</f>
      </c>
      <c r="BF665" s="45">
        <f>IF($AD665="","",IF(ROUND($AO665+$AP665+$AQ665-$AD665,2)=0,"OK","FAIL - out by "&amp;TEXT($AO665+$AP665+$AQ665-$AD665,"$0.00")))</f>
      </c>
    </row>
    <row r="666" spans="1:58" ht="18.75" customHeight="1" x14ac:dyDescent="0.25">
      <c r="A666" s="46" t="inlineStr">
        <is>
          <t xml:space="preserve">CANON-202606-009312</t>
        </is>
      </c>
      <c r="B666" s="46" t="inlineStr">
        <is>
          <t xml:space="preserve">Noor Rourke</t>
        </is>
      </c>
      <c r="C666" s="47">
        <v>46181</v>
      </c>
      <c r="D666" s="48" t="inlineStr">
        <is>
          <t xml:space="preserve">Bound - within authority</t>
        </is>
      </c>
      <c r="E666" s="48" t="inlineStr">
        <is>
          <t xml:space="preserve">New business</t>
        </is>
      </c>
      <c r="F666" s="46" t="inlineStr">
        <is>
          <t xml:space="preserve">B1234EXOTIC26</t>
        </is>
      </c>
      <c r="G666" s="33">
        <f>IF($A666="","",IF($C666="","",YEAR($C666)))</f>
      </c>
      <c r="H666" s="49">
        <v>1985</v>
      </c>
      <c r="I666" s="46" t="inlineStr">
        <is>
          <t xml:space="preserve">Bentley</t>
        </is>
      </c>
      <c r="J666" s="46" t="inlineStr">
        <is>
          <t xml:space="preserve">Continental GT</t>
        </is>
      </c>
      <c r="K666" s="46" t="inlineStr">
        <is>
          <t xml:space="preserve">XA62TDAYHBY6HW079</t>
        </is>
      </c>
      <c r="L666" s="48" t="inlineStr">
        <is>
          <t xml:space="preserve">02 - Sports / GT</t>
        </is>
      </c>
      <c r="M666" s="50">
        <v>245000</v>
      </c>
      <c r="N666" s="48" t="inlineStr">
        <is>
          <t xml:space="preserve">Personal</t>
        </is>
      </c>
      <c r="O666" s="46" t="inlineStr">
        <is>
          <t xml:space="preserve">Personal - regular use</t>
        </is>
      </c>
      <c r="P666" s="46" t="inlineStr">
        <is>
          <t xml:space="preserve">2,500 - 5,000</t>
        </is>
      </c>
      <c r="Q666" s="46" t="inlineStr">
        <is>
          <t xml:space="preserve">Wisconsin</t>
        </is>
      </c>
      <c r="R666" s="46" t="inlineStr">
        <is>
          <t xml:space="preserve">53202</t>
        </is>
      </c>
      <c r="S666" s="48" t="inlineStr">
        <is>
          <t xml:space="preserve">Severe convective - hail / tornado (moderate)</t>
        </is>
      </c>
      <c r="T666" s="36">
        <f>IF($A666="","",IF($S666="","",IFERROR(INDEX('[1]natural catastrophe'!$D$6:$D$17,MATCH($S666,'[1]natural catastrophe'!$B$6:$B$17,0)),"?")))</f>
      </c>
      <c r="U666" s="46" t="inlineStr">
        <is>
          <t xml:space="preserve">$5,000</t>
        </is>
      </c>
      <c r="V666" s="48" t="inlineStr">
        <is>
          <t xml:space="preserve">Agreed Value</t>
        </is>
      </c>
      <c r="W666" s="46" t="inlineStr">
        <is>
          <t xml:space="preserve">$1,000</t>
        </is>
      </c>
      <c r="X666" s="48" t="inlineStr">
        <is>
          <t xml:space="preserve">$1,000,000 CSL</t>
        </is>
      </c>
      <c r="Y666" s="46"/>
      <c r="Z666" s="46"/>
      <c r="AA666" s="48" t="inlineStr">
        <is>
          <t xml:space="preserve">Surplus Lines</t>
        </is>
      </c>
      <c r="AB666" s="50">
        <v>3903.08</v>
      </c>
      <c r="AC666" s="51">
        <v>0</v>
      </c>
      <c r="AD666" s="38">
        <f>IF(ISNUMBER($AB666),$AB666*(1+N($AC666)),"")</f>
      </c>
      <c r="AE666" s="50">
        <v>350</v>
      </c>
      <c r="AF666" s="50">
        <v>0</v>
      </c>
      <c r="AG666" s="51"/>
      <c r="AH666" s="39">
        <f>IF(ISNUMBER($AD666),($AD666+$AE666+$AF666)*$AG666,"")</f>
      </c>
      <c r="AI666" s="50"/>
      <c r="AJ666" s="38">
        <f>IF(ISNUMBER($AD666),SUM($AD666:$AH666),"")</f>
      </c>
      <c r="AK666" s="40">
        <f>IF(AND(ISNUMBER($AB666),ISNUMBER($AD666)),IF($AB666&gt;0,$AD666/$AB666,""),"")</f>
      </c>
      <c r="AL666" s="48" t="inlineStr">
        <is>
          <t xml:space="preserve">At technical</t>
        </is>
      </c>
      <c r="AM666" s="41">
        <f>IF(ISNUMBER($AD666),Header!$I$3,"")</f>
      </c>
      <c r="AN666" s="39">
        <f>IF(ISNUMBER($AD666),$AO666+$AP666,"")</f>
      </c>
      <c r="AO666" s="39">
        <f>IF(ISNUMBER($AD666),ROUND($AD666*Header!$K$3,2),"")</f>
      </c>
      <c r="AP666" s="39">
        <f>IF(ISNUMBER($AD666),ROUND($AD666*Header!$M$3,2),"")</f>
      </c>
      <c r="AQ666" s="38">
        <f>IF(ISNUMBER($AD666),ROUND($AD666,2)-$AO666-$AP666,"")</f>
      </c>
      <c r="AR666" s="39">
        <f>IF(ISNUMBER($AD666),IF(Header!$D$34="","?",$AD666*Header!$D$34),"")</f>
      </c>
      <c r="AS666" s="39">
        <f>IF(ISNUMBER($AB666),IF(Header!$D$34="","?",$AB666*Header!$D$34),"")</f>
      </c>
      <c r="AT666" s="42">
        <f>IF(AND(ISNUMBER($AB666),$M666&gt;0),$AB666/$M666*100,"")</f>
      </c>
      <c r="AU666" s="42">
        <f>IF(AND(ISNUMBER($AD666),$M666&gt;0),$AD666/$M666*100,"")</f>
      </c>
      <c r="AV666" s="40">
        <f>IF(AND(ISNUMBER($AB666),ISNUMBER($AD666),ABS($AB666)&gt;0),$AD666/$AB666,"")</f>
      </c>
      <c r="AW666" s="39">
        <f>IF(ISNUMBER($AD666),MAX(0,(1-0.55-Header!$O$3)*Header!$Q$3*$AQ666),"")</f>
      </c>
      <c r="AX666" s="43">
        <f>IF($A666="","",IF(TRIM(IF($A666="","Missing certificate ref. ","") &amp; IF($C666="","Missing effective date. ","") &amp; IF($D666="","Missing binding status. ","") &amp; IF($E666="","Missing movement type. ","") &amp; IF($I666="","Missing make. ","") &amp; IF($L666="","Missing vehicle class. ","") &amp; IF($M666="","Missing agreed value. ","") &amp; IF($N666="","Missing policy type. ","") &amp; IF($Q666="","Missing garaging state. ","") &amp; IF($R666="","Missing garaging ZIP. ","") &amp; IF($S666="","Missing cat zone. ","") &amp; IF($V666="","Missing valuation basis. ","") &amp; IF($W666="","Missing PD deductible. ","") &amp; IF($X666="","Missing liability limit. ","") &amp; IF($AB666="","Missing technical premium. ","") &amp; IF($AF666="","Missing surplus lines tax %. ",""))="","PASS","FAIL: "&amp;TRIM(IF($A666="","Missing certificate ref. ","") &amp; IF($C666="","Missing effective date. ","") &amp; IF($D666="","Missing binding status. ","") &amp; IF($E666="","Missing movement type. ","") &amp; IF($I666="","Missing make. ","") &amp; IF($L666="","Missing vehicle class. ","") &amp; IF($M666="","Missing agreed value. ","") &amp; IF($N666="","Missing policy type. ","") &amp; IF($Q666="","Missing garaging state. ","") &amp; IF($R666="","Missing garaging ZIP. ","") &amp; IF($S666="","Missing cat zone. ","") &amp; IF($V666="","Missing valuation basis. ","") &amp; IF($W666="","Missing PD deductible. ","") &amp; IF($X666="","Missing liability limit. ","") &amp; IF($AB666="","Missing technical premium. ","") &amp; IF($AF666="","Missing surplus lines tax %. ",""))))</f>
      </c>
      <c r="AY666" s="44">
        <f>IF($M666="","",IF(ISNUMBER($M666),IF($M666&gt;=Header!$C$18,"YES — refer","No"),""))</f>
      </c>
      <c r="AZ666" s="44">
        <f>IF($AD666="","",IF(ISNUMBER($AD666),IF($AD666&lt;Header!$C$20,"BELOW MIN PREMIUM","OK"),""))</f>
      </c>
      <c r="BA666" s="48" t="inlineStr">
        <is>
          <t xml:space="preserve">Yes</t>
        </is>
      </c>
      <c r="BB666" s="48" t="inlineStr">
        <is>
          <t xml:space="preserve">Yes</t>
        </is>
      </c>
      <c r="BC666" s="46" t="inlineStr">
        <is>
          <t xml:space="preserve">Synthetic demo data</t>
        </is>
      </c>
      <c r="BE666" s="45">
        <f>IF(OR($A666="",$L666="",$H666=""),"",IF(AND(LEFT($L666,2)="06",$H666&gt;1945),"FAIL - pre-war class, year "&amp;$H666,IF(AND(LEFT($L666,2)="07",OR($H666&lt;1946,$H666&gt;1972)),"FAIL - 1946-72 class, year "&amp;$H666,IF(AND(LEFT($L666,2)="08",OR($H666&lt;1973,$H666&gt;1999)),"FAIL - 1973-99 class, year "&amp;$H666,IF(AND(LEFT($L666,2)="09",OR($H666&lt;2000,$H666&gt;2010)),"FAIL - 2000-10 class, year "&amp;$H666,"OK")))))</f>
      </c>
      <c r="BF666" s="45">
        <f>IF($AD666="","",IF(ROUND($AO666+$AP666+$AQ666-$AD666,2)=0,"OK","FAIL - out by "&amp;TEXT($AO666+$AP666+$AQ666-$AD666,"$0.00")))</f>
      </c>
    </row>
    <row r="667" spans="1:58" ht="18.75" customHeight="1" x14ac:dyDescent="0.25">
      <c r="A667" s="30" t="inlineStr">
        <is>
          <t xml:space="preserve">CANON-202606-009313</t>
        </is>
      </c>
      <c r="B667" s="30" t="inlineStr">
        <is>
          <t xml:space="preserve">Mireille Fairweather</t>
        </is>
      </c>
      <c r="C667" s="31">
        <v>46191</v>
      </c>
      <c r="D667" s="32" t="inlineStr">
        <is>
          <t xml:space="preserve">Bound - within authority</t>
        </is>
      </c>
      <c r="E667" s="32" t="inlineStr">
        <is>
          <t xml:space="preserve">New business</t>
        </is>
      </c>
      <c r="F667" s="30" t="inlineStr">
        <is>
          <t xml:space="preserve">B1234EXOTIC26</t>
        </is>
      </c>
      <c r="G667" s="33">
        <f>IF($A667="","",IF($C667="","",YEAR($C667)))</f>
      </c>
      <c r="H667" s="34">
        <v>1971</v>
      </c>
      <c r="I667" s="30" t="inlineStr">
        <is>
          <t xml:space="preserve">Aston Martin</t>
        </is>
      </c>
      <c r="J667" s="30" t="inlineStr">
        <is>
          <t xml:space="preserve">DB5</t>
        </is>
      </c>
      <c r="K667" s="30" t="inlineStr">
        <is>
          <t xml:space="preserve">LKKABUL96KW8G5VRL</t>
        </is>
      </c>
      <c r="L667" s="32" t="inlineStr">
        <is>
          <t xml:space="preserve">07 - Post-War Classic (1946-1972)</t>
        </is>
      </c>
      <c r="M667" s="35">
        <v>995000</v>
      </c>
      <c r="N667" s="32" t="inlineStr">
        <is>
          <t xml:space="preserve">Personal</t>
        </is>
      </c>
      <c r="O667" s="30" t="inlineStr">
        <is>
          <t xml:space="preserve">Personal - regular use</t>
        </is>
      </c>
      <c r="P667" s="30" t="inlineStr">
        <is>
          <t xml:space="preserve">1,000 - 2,500</t>
        </is>
      </c>
      <c r="Q667" s="30" t="inlineStr">
        <is>
          <t xml:space="preserve">Washington</t>
        </is>
      </c>
      <c r="R667" s="30" t="inlineStr">
        <is>
          <t xml:space="preserve">98101</t>
        </is>
      </c>
      <c r="S667" s="32" t="inlineStr">
        <is>
          <t xml:space="preserve">Earthquake - high (CA, Cascadia, New Madrid)</t>
        </is>
      </c>
      <c r="T667" s="36">
        <f>IF($A667="","",IF($S667="","",IFERROR(INDEX('[1]natural catastrophe'!$D$6:$D$17,MATCH($S667,'[1]natural catastrophe'!$B$6:$B$17,0)),"?")))</f>
      </c>
      <c r="U667" s="30" t="inlineStr">
        <is>
          <t xml:space="preserve">$5,000</t>
        </is>
      </c>
      <c r="V667" s="32" t="inlineStr">
        <is>
          <t xml:space="preserve">Agreed Value</t>
        </is>
      </c>
      <c r="W667" s="30" t="inlineStr">
        <is>
          <t xml:space="preserve">$1,000</t>
        </is>
      </c>
      <c r="X667" s="32" t="inlineStr">
        <is>
          <t xml:space="preserve">$1,000,000 CSL</t>
        </is>
      </c>
      <c r="Y667" s="30"/>
      <c r="Z667" s="30"/>
      <c r="AA667" s="32" t="inlineStr">
        <is>
          <t xml:space="preserve">Surplus Lines</t>
        </is>
      </c>
      <c r="AB667" s="35">
        <v>5927</v>
      </c>
      <c r="AC667" s="37">
        <v>0</v>
      </c>
      <c r="AD667" s="38">
        <f>IF(ISNUMBER($AB667),$AB667*(1+N($AC667)),"")</f>
      </c>
      <c r="AE667" s="35">
        <v>350</v>
      </c>
      <c r="AF667" s="35">
        <v>0</v>
      </c>
      <c r="AG667" s="37"/>
      <c r="AH667" s="39">
        <f>IF(ISNUMBER($AD667),($AD667+$AE667+$AF667)*$AG667,"")</f>
      </c>
      <c r="AI667" s="35"/>
      <c r="AJ667" s="38">
        <f>IF(ISNUMBER($AD667),SUM($AD667:$AH667),"")</f>
      </c>
      <c r="AK667" s="40">
        <f>IF(AND(ISNUMBER($AB667),ISNUMBER($AD667)),IF($AB667&gt;0,$AD667/$AB667,""),"")</f>
      </c>
      <c r="AL667" s="32" t="inlineStr">
        <is>
          <t xml:space="preserve">At technical</t>
        </is>
      </c>
      <c r="AM667" s="41">
        <f>IF(ISNUMBER($AD667),Header!$I$3,"")</f>
      </c>
      <c r="AN667" s="39">
        <f>IF(ISNUMBER($AD667),$AO667+$AP667,"")</f>
      </c>
      <c r="AO667" s="39">
        <f>IF(ISNUMBER($AD667),ROUND($AD667*Header!$K$3,2),"")</f>
      </c>
      <c r="AP667" s="39">
        <f>IF(ISNUMBER($AD667),ROUND($AD667*Header!$M$3,2),"")</f>
      </c>
      <c r="AQ667" s="38">
        <f>IF(ISNUMBER($AD667),ROUND($AD667,2)-$AO667-$AP667,"")</f>
      </c>
      <c r="AR667" s="39">
        <f>IF(ISNUMBER($AD667),IF(Header!$D$34="","?",$AD667*Header!$D$34),"")</f>
      </c>
      <c r="AS667" s="39">
        <f>IF(ISNUMBER($AB667),IF(Header!$D$34="","?",$AB667*Header!$D$34),"")</f>
      </c>
      <c r="AT667" s="42">
        <f>IF(AND(ISNUMBER($AB667),$M667&gt;0),$AB667/$M667*100,"")</f>
      </c>
      <c r="AU667" s="42">
        <f>IF(AND(ISNUMBER($AD667),$M667&gt;0),$AD667/$M667*100,"")</f>
      </c>
      <c r="AV667" s="40">
        <f>IF(AND(ISNUMBER($AB667),ISNUMBER($AD667),ABS($AB667)&gt;0),$AD667/$AB667,"")</f>
      </c>
      <c r="AW667" s="39">
        <f>IF(ISNUMBER($AD667),MAX(0,(1-0.55-Header!$O$3)*Header!$Q$3*$AQ667),"")</f>
      </c>
      <c r="AX667" s="43">
        <f>IF($A667="","",IF(TRIM(IF($A667="","Missing certificate ref. ","") &amp; IF($C667="","Missing effective date. ","") &amp; IF($D667="","Missing binding status. ","") &amp; IF($E667="","Missing movement type. ","") &amp; IF($I667="","Missing make. ","") &amp; IF($L667="","Missing vehicle class. ","") &amp; IF($M667="","Missing agreed value. ","") &amp; IF($N667="","Missing policy type. ","") &amp; IF($Q667="","Missing garaging state. ","") &amp; IF($R667="","Missing garaging ZIP. ","") &amp; IF($S667="","Missing cat zone. ","") &amp; IF($V667="","Missing valuation basis. ","") &amp; IF($W667="","Missing PD deductible. ","") &amp; IF($X667="","Missing liability limit. ","") &amp; IF($AB667="","Missing technical premium. ","") &amp; IF($AF667="","Missing surplus lines tax %. ",""))="","PASS","FAIL: "&amp;TRIM(IF($A667="","Missing certificate ref. ","") &amp; IF($C667="","Missing effective date. ","") &amp; IF($D667="","Missing binding status. ","") &amp; IF($E667="","Missing movement type. ","") &amp; IF($I667="","Missing make. ","") &amp; IF($L667="","Missing vehicle class. ","") &amp; IF($M667="","Missing agreed value. ","") &amp; IF($N667="","Missing policy type. ","") &amp; IF($Q667="","Missing garaging state. ","") &amp; IF($R667="","Missing garaging ZIP. ","") &amp; IF($S667="","Missing cat zone. ","") &amp; IF($V667="","Missing valuation basis. ","") &amp; IF($W667="","Missing PD deductible. ","") &amp; IF($X667="","Missing liability limit. ","") &amp; IF($AB667="","Missing technical premium. ","") &amp; IF($AF667="","Missing surplus lines tax %. ",""))))</f>
      </c>
      <c r="AY667" s="44">
        <f>IF($M667="","",IF(ISNUMBER($M667),IF($M667&gt;=Header!$C$18,"YES — refer","No"),""))</f>
      </c>
      <c r="AZ667" s="44">
        <f>IF($AD667="","",IF(ISNUMBER($AD667),IF($AD667&lt;Header!$C$20,"BELOW MIN PREMIUM","OK"),""))</f>
      </c>
      <c r="BA667" s="32" t="inlineStr">
        <is>
          <t xml:space="preserve">Yes</t>
        </is>
      </c>
      <c r="BB667" s="32" t="inlineStr">
        <is>
          <t xml:space="preserve">Yes</t>
        </is>
      </c>
      <c r="BC667" s="30" t="inlineStr">
        <is>
          <t xml:space="preserve">Synthetic demo data</t>
        </is>
      </c>
      <c r="BE667" s="45">
        <f>IF(OR($A667="",$L667="",$H667=""),"",IF(AND(LEFT($L667,2)="06",$H667&gt;1945),"FAIL - pre-war class, year "&amp;$H667,IF(AND(LEFT($L667,2)="07",OR($H667&lt;1946,$H667&gt;1972)),"FAIL - 1946-72 class, year "&amp;$H667,IF(AND(LEFT($L667,2)="08",OR($H667&lt;1973,$H667&gt;1999)),"FAIL - 1973-99 class, year "&amp;$H667,IF(AND(LEFT($L667,2)="09",OR($H667&lt;2000,$H667&gt;2010)),"FAIL - 2000-10 class, year "&amp;$H667,"OK")))))</f>
      </c>
      <c r="BF667" s="45">
        <f>IF($AD667="","",IF(ROUND($AO667+$AP667+$AQ667-$AD667,2)=0,"OK","FAIL - out by "&amp;TEXT($AO667+$AP667+$AQ667-$AD667,"$0.00")))</f>
      </c>
    </row>
    <row r="668" spans="1:58" ht="18.75" customHeight="1" x14ac:dyDescent="0.25">
      <c r="A668" s="46" t="inlineStr">
        <is>
          <t xml:space="preserve">CANON-202606-009314</t>
        </is>
      </c>
      <c r="B668" s="46" t="inlineStr">
        <is>
          <t xml:space="preserve">Callum Okonkwo</t>
        </is>
      </c>
      <c r="C668" s="47">
        <v>46200</v>
      </c>
      <c r="D668" s="48" t="inlineStr">
        <is>
          <t xml:space="preserve">Bound - within authority</t>
        </is>
      </c>
      <c r="E668" s="48" t="inlineStr">
        <is>
          <t xml:space="preserve">New business</t>
        </is>
      </c>
      <c r="F668" s="46" t="inlineStr">
        <is>
          <t xml:space="preserve">B1234EXOTIC26</t>
        </is>
      </c>
      <c r="G668" s="33">
        <f>IF($A668="","",IF($C668="","",YEAR($C668)))</f>
      </c>
      <c r="H668" s="49">
        <v>2010</v>
      </c>
      <c r="I668" s="46" t="inlineStr">
        <is>
          <t xml:space="preserve">Aston Martin</t>
        </is>
      </c>
      <c r="J668" s="46" t="inlineStr">
        <is>
          <t xml:space="preserve">DB12</t>
        </is>
      </c>
      <c r="K668" s="46" t="inlineStr">
        <is>
          <t xml:space="preserve">HAJVBGY47MUN0535T</t>
        </is>
      </c>
      <c r="L668" s="48" t="inlineStr">
        <is>
          <t xml:space="preserve">02 - Sports / GT</t>
        </is>
      </c>
      <c r="M668" s="50">
        <v>285000</v>
      </c>
      <c r="N668" s="48" t="inlineStr">
        <is>
          <t xml:space="preserve">Personal</t>
        </is>
      </c>
      <c r="O668" s="46" t="inlineStr">
        <is>
          <t xml:space="preserve">Personal - regular use</t>
        </is>
      </c>
      <c r="P668" s="46" t="inlineStr">
        <is>
          <t xml:space="preserve">1,000 - 2,500</t>
        </is>
      </c>
      <c r="Q668" s="46" t="inlineStr">
        <is>
          <t xml:space="preserve">North Carolina</t>
        </is>
      </c>
      <c r="R668" s="46" t="inlineStr">
        <is>
          <t xml:space="preserve">28202</t>
        </is>
      </c>
      <c r="S668" s="48" t="inlineStr">
        <is>
          <t xml:space="preserve">Tier 2 - Coastal wind (1-25 miles)</t>
        </is>
      </c>
      <c r="T668" s="36">
        <f>IF($A668="","",IF($S668="","",IFERROR(INDEX('[1]natural catastrophe'!$D$6:$D$17,MATCH($S668,'[1]natural catastrophe'!$B$6:$B$17,0)),"?")))</f>
      </c>
      <c r="U668" s="46" t="inlineStr">
        <is>
          <t xml:space="preserve">2% of agreed value, minimum $10,000</t>
        </is>
      </c>
      <c r="V668" s="48" t="inlineStr">
        <is>
          <t xml:space="preserve">Agreed Value</t>
        </is>
      </c>
      <c r="W668" s="46" t="inlineStr">
        <is>
          <t xml:space="preserve">$1,000</t>
        </is>
      </c>
      <c r="X668" s="48" t="inlineStr">
        <is>
          <t xml:space="preserve">$1,000,000 CSL</t>
        </is>
      </c>
      <c r="Y668" s="46"/>
      <c r="Z668" s="46"/>
      <c r="AA668" s="48" t="inlineStr">
        <is>
          <t xml:space="preserve">Surplus Lines</t>
        </is>
      </c>
      <c r="AB668" s="50">
        <v>3547.12</v>
      </c>
      <c r="AC668" s="51">
        <v>0</v>
      </c>
      <c r="AD668" s="38">
        <f>IF(ISNUMBER($AB668),$AB668*(1+N($AC668)),"")</f>
      </c>
      <c r="AE668" s="50">
        <v>350</v>
      </c>
      <c r="AF668" s="50">
        <v>0</v>
      </c>
      <c r="AG668" s="51"/>
      <c r="AH668" s="39">
        <f>IF(ISNUMBER($AD668),($AD668+$AE668+$AF668)*$AG668,"")</f>
      </c>
      <c r="AI668" s="50"/>
      <c r="AJ668" s="38">
        <f>IF(ISNUMBER($AD668),SUM($AD668:$AH668),"")</f>
      </c>
      <c r="AK668" s="40">
        <f>IF(AND(ISNUMBER($AB668),ISNUMBER($AD668)),IF($AB668&gt;0,$AD668/$AB668,""),"")</f>
      </c>
      <c r="AL668" s="48" t="inlineStr">
        <is>
          <t xml:space="preserve">At technical</t>
        </is>
      </c>
      <c r="AM668" s="41">
        <f>IF(ISNUMBER($AD668),Header!$I$3,"")</f>
      </c>
      <c r="AN668" s="39">
        <f>IF(ISNUMBER($AD668),$AO668+$AP668,"")</f>
      </c>
      <c r="AO668" s="39">
        <f>IF(ISNUMBER($AD668),ROUND($AD668*Header!$K$3,2),"")</f>
      </c>
      <c r="AP668" s="39">
        <f>IF(ISNUMBER($AD668),ROUND($AD668*Header!$M$3,2),"")</f>
      </c>
      <c r="AQ668" s="38">
        <f>IF(ISNUMBER($AD668),ROUND($AD668,2)-$AO668-$AP668,"")</f>
      </c>
      <c r="AR668" s="39">
        <f>IF(ISNUMBER($AD668),IF(Header!$D$34="","?",$AD668*Header!$D$34),"")</f>
      </c>
      <c r="AS668" s="39">
        <f>IF(ISNUMBER($AB668),IF(Header!$D$34="","?",$AB668*Header!$D$34),"")</f>
      </c>
      <c r="AT668" s="42">
        <f>IF(AND(ISNUMBER($AB668),$M668&gt;0),$AB668/$M668*100,"")</f>
      </c>
      <c r="AU668" s="42">
        <f>IF(AND(ISNUMBER($AD668),$M668&gt;0),$AD668/$M668*100,"")</f>
      </c>
      <c r="AV668" s="40">
        <f>IF(AND(ISNUMBER($AB668),ISNUMBER($AD668),ABS($AB668)&gt;0),$AD668/$AB668,"")</f>
      </c>
      <c r="AW668" s="39">
        <f>IF(ISNUMBER($AD668),MAX(0,(1-0.55-Header!$O$3)*Header!$Q$3*$AQ668),"")</f>
      </c>
      <c r="AX668" s="43">
        <f>IF($A668="","",IF(TRIM(IF($A668="","Missing certificate ref. ","") &amp; IF($C668="","Missing effective date. ","") &amp; IF($D668="","Missing binding status. ","") &amp; IF($E668="","Missing movement type. ","") &amp; IF($I668="","Missing make. ","") &amp; IF($L668="","Missing vehicle class. ","") &amp; IF($M668="","Missing agreed value. ","") &amp; IF($N668="","Missing policy type. ","") &amp; IF($Q668="","Missing garaging state. ","") &amp; IF($R668="","Missing garaging ZIP. ","") &amp; IF($S668="","Missing cat zone. ","") &amp; IF($V668="","Missing valuation basis. ","") &amp; IF($W668="","Missing PD deductible. ","") &amp; IF($X668="","Missing liability limit. ","") &amp; IF($AB668="","Missing technical premium. ","") &amp; IF($AF668="","Missing surplus lines tax %. ",""))="","PASS","FAIL: "&amp;TRIM(IF($A668="","Missing certificate ref. ","") &amp; IF($C668="","Missing effective date. ","") &amp; IF($D668="","Missing binding status. ","") &amp; IF($E668="","Missing movement type. ","") &amp; IF($I668="","Missing make. ","") &amp; IF($L668="","Missing vehicle class. ","") &amp; IF($M668="","Missing agreed value. ","") &amp; IF($N668="","Missing policy type. ","") &amp; IF($Q668="","Missing garaging state. ","") &amp; IF($R668="","Missing garaging ZIP. ","") &amp; IF($S668="","Missing cat zone. ","") &amp; IF($V668="","Missing valuation basis. ","") &amp; IF($W668="","Missing PD deductible. ","") &amp; IF($X668="","Missing liability limit. ","") &amp; IF($AB668="","Missing technical premium. ","") &amp; IF($AF668="","Missing surplus lines tax %. ",""))))</f>
      </c>
      <c r="AY668" s="44">
        <f>IF($M668="","",IF(ISNUMBER($M668),IF($M668&gt;=Header!$C$18,"YES — refer","No"),""))</f>
      </c>
      <c r="AZ668" s="44">
        <f>IF($AD668="","",IF(ISNUMBER($AD668),IF($AD668&lt;Header!$C$20,"BELOW MIN PREMIUM","OK"),""))</f>
      </c>
      <c r="BA668" s="48" t="inlineStr">
        <is>
          <t xml:space="preserve">Yes</t>
        </is>
      </c>
      <c r="BB668" s="48" t="inlineStr">
        <is>
          <t xml:space="preserve">Yes</t>
        </is>
      </c>
      <c r="BC668" s="46" t="inlineStr">
        <is>
          <t xml:space="preserve">Synthetic demo data</t>
        </is>
      </c>
      <c r="BE668" s="45">
        <f>IF(OR($A668="",$L668="",$H668=""),"",IF(AND(LEFT($L668,2)="06",$H668&gt;1945),"FAIL - pre-war class, year "&amp;$H668,IF(AND(LEFT($L668,2)="07",OR($H668&lt;1946,$H668&gt;1972)),"FAIL - 1946-72 class, year "&amp;$H668,IF(AND(LEFT($L668,2)="08",OR($H668&lt;1973,$H668&gt;1999)),"FAIL - 1973-99 class, year "&amp;$H668,IF(AND(LEFT($L668,2)="09",OR($H668&lt;2000,$H668&gt;2010)),"FAIL - 2000-10 class, year "&amp;$H668,"OK")))))</f>
      </c>
      <c r="BF668" s="45">
        <f>IF($AD668="","",IF(ROUND($AO668+$AP668+$AQ668-$AD668,2)=0,"OK","FAIL - out by "&amp;TEXT($AO668+$AP668+$AQ668-$AD668,"$0.00")))</f>
      </c>
    </row>
    <row r="669" spans="1:58" ht="18.75" customHeight="1" x14ac:dyDescent="0.25">
      <c r="A669" s="30" t="inlineStr">
        <is>
          <t xml:space="preserve">CANON-202606-009316</t>
        </is>
      </c>
      <c r="B669" s="30" t="inlineStr">
        <is>
          <t xml:space="preserve">Ramona Harrington</t>
        </is>
      </c>
      <c r="C669" s="31">
        <v>46178</v>
      </c>
      <c r="D669" s="32" t="inlineStr">
        <is>
          <t xml:space="preserve">Bound - within authority</t>
        </is>
      </c>
      <c r="E669" s="32" t="inlineStr">
        <is>
          <t xml:space="preserve">New business</t>
        </is>
      </c>
      <c r="F669" s="30" t="inlineStr">
        <is>
          <t xml:space="preserve">B1234EXOTIC26</t>
        </is>
      </c>
      <c r="G669" s="33">
        <f>IF($A669="","",IF($C669="","",YEAR($C669)))</f>
      </c>
      <c r="H669" s="34">
        <v>2013</v>
      </c>
      <c r="I669" s="30" t="inlineStr">
        <is>
          <t xml:space="preserve">Mercedes-Benz</t>
        </is>
      </c>
      <c r="J669" s="30" t="inlineStr">
        <is>
          <t xml:space="preserve">AMG GT</t>
        </is>
      </c>
      <c r="K669" s="30" t="inlineStr">
        <is>
          <t xml:space="preserve">G542N9J8X34BJ5R7T</t>
        </is>
      </c>
      <c r="L669" s="32" t="inlineStr">
        <is>
          <t xml:space="preserve">02 - Sports / GT</t>
        </is>
      </c>
      <c r="M669" s="35">
        <v>520000</v>
      </c>
      <c r="N669" s="32" t="inlineStr">
        <is>
          <t xml:space="preserve">Personal</t>
        </is>
      </c>
      <c r="O669" s="30" t="inlineStr">
        <is>
          <t xml:space="preserve">Personal - regular use</t>
        </is>
      </c>
      <c r="P669" s="30" t="inlineStr">
        <is>
          <t xml:space="preserve">1,000 - 2,500</t>
        </is>
      </c>
      <c r="Q669" s="30" t="inlineStr">
        <is>
          <t xml:space="preserve">Nevada</t>
        </is>
      </c>
      <c r="R669" s="30" t="inlineStr">
        <is>
          <t xml:space="preserve">89101</t>
        </is>
      </c>
      <c r="S669" s="32" t="inlineStr">
        <is>
          <t xml:space="preserve">Wildfire - WUI high hazard</t>
        </is>
      </c>
      <c r="T669" s="36">
        <f>IF($A669="","",IF($S669="","",IFERROR(INDEX('[1]natural catastrophe'!$D$6:$D$17,MATCH($S669,'[1]natural catastrophe'!$B$6:$B$17,0)),"?")))</f>
      </c>
      <c r="U669" s="30" t="inlineStr">
        <is>
          <t xml:space="preserve">$5,000</t>
        </is>
      </c>
      <c r="V669" s="32" t="inlineStr">
        <is>
          <t xml:space="preserve">Agreed Value</t>
        </is>
      </c>
      <c r="W669" s="30" t="inlineStr">
        <is>
          <t xml:space="preserve">$1,000</t>
        </is>
      </c>
      <c r="X669" s="32" t="inlineStr">
        <is>
          <t xml:space="preserve">$1,000,000 CSL</t>
        </is>
      </c>
      <c r="Y669" s="30"/>
      <c r="Z669" s="30"/>
      <c r="AA669" s="32" t="inlineStr">
        <is>
          <t xml:space="preserve">Surplus Lines</t>
        </is>
      </c>
      <c r="AB669" s="35">
        <v>5706.56</v>
      </c>
      <c r="AC669" s="37">
        <v>0</v>
      </c>
      <c r="AD669" s="38">
        <f>IF(ISNUMBER($AB669),$AB669*(1+N($AC669)),"")</f>
      </c>
      <c r="AE669" s="35">
        <v>350</v>
      </c>
      <c r="AF669" s="35">
        <v>0</v>
      </c>
      <c r="AG669" s="37"/>
      <c r="AH669" s="39">
        <f>IF(ISNUMBER($AD669),($AD669+$AE669+$AF669)*$AG669,"")</f>
      </c>
      <c r="AI669" s="35"/>
      <c r="AJ669" s="38">
        <f>IF(ISNUMBER($AD669),SUM($AD669:$AH669),"")</f>
      </c>
      <c r="AK669" s="40">
        <f>IF(AND(ISNUMBER($AB669),ISNUMBER($AD669)),IF($AB669&gt;0,$AD669/$AB669,""),"")</f>
      </c>
      <c r="AL669" s="32" t="inlineStr">
        <is>
          <t xml:space="preserve">At technical</t>
        </is>
      </c>
      <c r="AM669" s="41">
        <f>IF(ISNUMBER($AD669),Header!$I$3,"")</f>
      </c>
      <c r="AN669" s="39">
        <f>IF(ISNUMBER($AD669),$AO669+$AP669,"")</f>
      </c>
      <c r="AO669" s="39">
        <f>IF(ISNUMBER($AD669),ROUND($AD669*Header!$K$3,2),"")</f>
      </c>
      <c r="AP669" s="39">
        <f>IF(ISNUMBER($AD669),ROUND($AD669*Header!$M$3,2),"")</f>
      </c>
      <c r="AQ669" s="38">
        <f>IF(ISNUMBER($AD669),ROUND($AD669,2)-$AO669-$AP669,"")</f>
      </c>
      <c r="AR669" s="39">
        <f>IF(ISNUMBER($AD669),IF(Header!$D$34="","?",$AD669*Header!$D$34),"")</f>
      </c>
      <c r="AS669" s="39">
        <f>IF(ISNUMBER($AB669),IF(Header!$D$34="","?",$AB669*Header!$D$34),"")</f>
      </c>
      <c r="AT669" s="42">
        <f>IF(AND(ISNUMBER($AB669),$M669&gt;0),$AB669/$M669*100,"")</f>
      </c>
      <c r="AU669" s="42">
        <f>IF(AND(ISNUMBER($AD669),$M669&gt;0),$AD669/$M669*100,"")</f>
      </c>
      <c r="AV669" s="40">
        <f>IF(AND(ISNUMBER($AB669),ISNUMBER($AD669),ABS($AB669)&gt;0),$AD669/$AB669,"")</f>
      </c>
      <c r="AW669" s="39">
        <f>IF(ISNUMBER($AD669),MAX(0,(1-0.55-Header!$O$3)*Header!$Q$3*$AQ669),"")</f>
      </c>
      <c r="AX669" s="43">
        <f>IF($A669="","",IF(TRIM(IF($A669="","Missing certificate ref. ","") &amp; IF($C669="","Missing effective date. ","") &amp; IF($D669="","Missing binding status. ","") &amp; IF($E669="","Missing movement type. ","") &amp; IF($I669="","Missing make. ","") &amp; IF($L669="","Missing vehicle class. ","") &amp; IF($M669="","Missing agreed value. ","") &amp; IF($N669="","Missing policy type. ","") &amp; IF($Q669="","Missing garaging state. ","") &amp; IF($R669="","Missing garaging ZIP. ","") &amp; IF($S669="","Missing cat zone. ","") &amp; IF($V669="","Missing valuation basis. ","") &amp; IF($W669="","Missing PD deductible. ","") &amp; IF($X669="","Missing liability limit. ","") &amp; IF($AB669="","Missing technical premium. ","") &amp; IF($AF669="","Missing surplus lines tax %. ",""))="","PASS","FAIL: "&amp;TRIM(IF($A669="","Missing certificate ref. ","") &amp; IF($C669="","Missing effective date. ","") &amp; IF($D669="","Missing binding status. ","") &amp; IF($E669="","Missing movement type. ","") &amp; IF($I669="","Missing make. ","") &amp; IF($L669="","Missing vehicle class. ","") &amp; IF($M669="","Missing agreed value. ","") &amp; IF($N669="","Missing policy type. ","") &amp; IF($Q669="","Missing garaging state. ","") &amp; IF($R669="","Missing garaging ZIP. ","") &amp; IF($S669="","Missing cat zone. ","") &amp; IF($V669="","Missing valuation basis. ","") &amp; IF($W669="","Missing PD deductible. ","") &amp; IF($X669="","Missing liability limit. ","") &amp; IF($AB669="","Missing technical premium. ","") &amp; IF($AF669="","Missing surplus lines tax %. ",""))))</f>
      </c>
      <c r="AY669" s="44">
        <f>IF($M669="","",IF(ISNUMBER($M669),IF($M669&gt;=Header!$C$18,"YES — refer","No"),""))</f>
      </c>
      <c r="AZ669" s="44">
        <f>IF($AD669="","",IF(ISNUMBER($AD669),IF($AD669&lt;Header!$C$20,"BELOW MIN PREMIUM","OK"),""))</f>
      </c>
      <c r="BA669" s="32" t="inlineStr">
        <is>
          <t xml:space="preserve">Yes</t>
        </is>
      </c>
      <c r="BB669" s="32" t="inlineStr">
        <is>
          <t xml:space="preserve">Yes</t>
        </is>
      </c>
      <c r="BC669" s="30" t="inlineStr">
        <is>
          <t xml:space="preserve">Synthetic demo data</t>
        </is>
      </c>
      <c r="BE669" s="45">
        <f>IF(OR($A669="",$L669="",$H669=""),"",IF(AND(LEFT($L669,2)="06",$H669&gt;1945),"FAIL - pre-war class, year "&amp;$H669,IF(AND(LEFT($L669,2)="07",OR($H669&lt;1946,$H669&gt;1972)),"FAIL - 1946-72 class, year "&amp;$H669,IF(AND(LEFT($L669,2)="08",OR($H669&lt;1973,$H669&gt;1999)),"FAIL - 1973-99 class, year "&amp;$H669,IF(AND(LEFT($L669,2)="09",OR($H669&lt;2000,$H669&gt;2010)),"FAIL - 2000-10 class, year "&amp;$H669,"OK")))))</f>
      </c>
      <c r="BF669" s="45">
        <f>IF($AD669="","",IF(ROUND($AO669+$AP669+$AQ669-$AD669,2)=0,"OK","FAIL - out by "&amp;TEXT($AO669+$AP669+$AQ669-$AD669,"$0.00")))</f>
      </c>
    </row>
    <row r="670" spans="1:58" ht="18.75" customHeight="1" x14ac:dyDescent="0.25">
      <c r="A670" s="46" t="inlineStr">
        <is>
          <t xml:space="preserve">CANON-202606-009318</t>
        </is>
      </c>
      <c r="B670" s="46" t="inlineStr">
        <is>
          <t xml:space="preserve">Sunniva Chattopadhyay</t>
        </is>
      </c>
      <c r="C670" s="47">
        <v>46200</v>
      </c>
      <c r="D670" s="48" t="inlineStr">
        <is>
          <t xml:space="preserve">Bound - within authority</t>
        </is>
      </c>
      <c r="E670" s="48" t="inlineStr">
        <is>
          <t xml:space="preserve">New business</t>
        </is>
      </c>
      <c r="F670" s="46" t="inlineStr">
        <is>
          <t xml:space="preserve">B1234EXOTIC26</t>
        </is>
      </c>
      <c r="G670" s="33">
        <f>IF($A670="","",IF($C670="","",YEAR($C670)))</f>
      </c>
      <c r="H670" s="49">
        <v>1991</v>
      </c>
      <c r="I670" s="46" t="inlineStr">
        <is>
          <t xml:space="preserve">Mercedes-Benz</t>
        </is>
      </c>
      <c r="J670" s="46" t="inlineStr">
        <is>
          <t xml:space="preserve">AMG GT</t>
        </is>
      </c>
      <c r="K670" s="46" t="inlineStr">
        <is>
          <t xml:space="preserve">H0P2442L5W96BHS8W</t>
        </is>
      </c>
      <c r="L670" s="48" t="inlineStr">
        <is>
          <t xml:space="preserve">02 - Sports / GT</t>
        </is>
      </c>
      <c r="M670" s="50">
        <v>560000</v>
      </c>
      <c r="N670" s="48" t="inlineStr">
        <is>
          <t xml:space="preserve">Personal</t>
        </is>
      </c>
      <c r="O670" s="46" t="inlineStr">
        <is>
          <t xml:space="preserve">Personal - regular use</t>
        </is>
      </c>
      <c r="P670" s="46" t="inlineStr">
        <is>
          <t xml:space="preserve">2,500 - 5,000</t>
        </is>
      </c>
      <c r="Q670" s="46" t="inlineStr">
        <is>
          <t xml:space="preserve">Utah</t>
        </is>
      </c>
      <c r="R670" s="46" t="inlineStr">
        <is>
          <t xml:space="preserve">84101</t>
        </is>
      </c>
      <c r="S670" s="48" t="inlineStr">
        <is>
          <t xml:space="preserve">Wildfire - WUI high hazard</t>
        </is>
      </c>
      <c r="T670" s="36">
        <f>IF($A670="","",IF($S670="","",IFERROR(INDEX('[1]natural catastrophe'!$D$6:$D$17,MATCH($S670,'[1]natural catastrophe'!$B$6:$B$17,0)),"?")))</f>
      </c>
      <c r="U670" s="46" t="inlineStr">
        <is>
          <t xml:space="preserve">$5,000</t>
        </is>
      </c>
      <c r="V670" s="48" t="inlineStr">
        <is>
          <t xml:space="preserve">Agreed Value</t>
        </is>
      </c>
      <c r="W670" s="46" t="inlineStr">
        <is>
          <t xml:space="preserve">$1,000</t>
        </is>
      </c>
      <c r="X670" s="48" t="inlineStr">
        <is>
          <t xml:space="preserve">$1,000,000 CSL</t>
        </is>
      </c>
      <c r="Y670" s="46"/>
      <c r="Z670" s="46"/>
      <c r="AA670" s="48" t="inlineStr">
        <is>
          <t xml:space="preserve">Surplus Lines</t>
        </is>
      </c>
      <c r="AB670" s="50">
        <v>7091</v>
      </c>
      <c r="AC670" s="51">
        <v>0</v>
      </c>
      <c r="AD670" s="38">
        <f>IF(ISNUMBER($AB670),$AB670*(1+N($AC670)),"")</f>
      </c>
      <c r="AE670" s="50">
        <v>350</v>
      </c>
      <c r="AF670" s="50">
        <v>0</v>
      </c>
      <c r="AG670" s="51"/>
      <c r="AH670" s="39">
        <f>IF(ISNUMBER($AD670),($AD670+$AE670+$AF670)*$AG670,"")</f>
      </c>
      <c r="AI670" s="50"/>
      <c r="AJ670" s="38">
        <f>IF(ISNUMBER($AD670),SUM($AD670:$AH670),"")</f>
      </c>
      <c r="AK670" s="40">
        <f>IF(AND(ISNUMBER($AB670),ISNUMBER($AD670)),IF($AB670&gt;0,$AD670/$AB670,""),"")</f>
      </c>
      <c r="AL670" s="48" t="inlineStr">
        <is>
          <t xml:space="preserve">At technical</t>
        </is>
      </c>
      <c r="AM670" s="41">
        <f>IF(ISNUMBER($AD670),Header!$I$3,"")</f>
      </c>
      <c r="AN670" s="39">
        <f>IF(ISNUMBER($AD670),$AO670+$AP670,"")</f>
      </c>
      <c r="AO670" s="39">
        <f>IF(ISNUMBER($AD670),ROUND($AD670*Header!$K$3,2),"")</f>
      </c>
      <c r="AP670" s="39">
        <f>IF(ISNUMBER($AD670),ROUND($AD670*Header!$M$3,2),"")</f>
      </c>
      <c r="AQ670" s="38">
        <f>IF(ISNUMBER($AD670),ROUND($AD670,2)-$AO670-$AP670,"")</f>
      </c>
      <c r="AR670" s="39">
        <f>IF(ISNUMBER($AD670),IF(Header!$D$34="","?",$AD670*Header!$D$34),"")</f>
      </c>
      <c r="AS670" s="39">
        <f>IF(ISNUMBER($AB670),IF(Header!$D$34="","?",$AB670*Header!$D$34),"")</f>
      </c>
      <c r="AT670" s="42">
        <f>IF(AND(ISNUMBER($AB670),$M670&gt;0),$AB670/$M670*100,"")</f>
      </c>
      <c r="AU670" s="42">
        <f>IF(AND(ISNUMBER($AD670),$M670&gt;0),$AD670/$M670*100,"")</f>
      </c>
      <c r="AV670" s="40">
        <f>IF(AND(ISNUMBER($AB670),ISNUMBER($AD670),ABS($AB670)&gt;0),$AD670/$AB670,"")</f>
      </c>
      <c r="AW670" s="39">
        <f>IF(ISNUMBER($AD670),MAX(0,(1-0.55-Header!$O$3)*Header!$Q$3*$AQ670),"")</f>
      </c>
      <c r="AX670" s="43">
        <f>IF($A670="","",IF(TRIM(IF($A670="","Missing certificate ref. ","") &amp; IF($C670="","Missing effective date. ","") &amp; IF($D670="","Missing binding status. ","") &amp; IF($E670="","Missing movement type. ","") &amp; IF($I670="","Missing make. ","") &amp; IF($L670="","Missing vehicle class. ","") &amp; IF($M670="","Missing agreed value. ","") &amp; IF($N670="","Missing policy type. ","") &amp; IF($Q670="","Missing garaging state. ","") &amp; IF($R670="","Missing garaging ZIP. ","") &amp; IF($S670="","Missing cat zone. ","") &amp; IF($V670="","Missing valuation basis. ","") &amp; IF($W670="","Missing PD deductible. ","") &amp; IF($X670="","Missing liability limit. ","") &amp; IF($AB670="","Missing technical premium. ","") &amp; IF($AF670="","Missing surplus lines tax %. ",""))="","PASS","FAIL: "&amp;TRIM(IF($A670="","Missing certificate ref. ","") &amp; IF($C670="","Missing effective date. ","") &amp; IF($D670="","Missing binding status. ","") &amp; IF($E670="","Missing movement type. ","") &amp; IF($I670="","Missing make. ","") &amp; IF($L670="","Missing vehicle class. ","") &amp; IF($M670="","Missing agreed value. ","") &amp; IF($N670="","Missing policy type. ","") &amp; IF($Q670="","Missing garaging state. ","") &amp; IF($R670="","Missing garaging ZIP. ","") &amp; IF($S670="","Missing cat zone. ","") &amp; IF($V670="","Missing valuation basis. ","") &amp; IF($W670="","Missing PD deductible. ","") &amp; IF($X670="","Missing liability limit. ","") &amp; IF($AB670="","Missing technical premium. ","") &amp; IF($AF670="","Missing surplus lines tax %. ",""))))</f>
      </c>
      <c r="AY670" s="44">
        <f>IF($M670="","",IF(ISNUMBER($M670),IF($M670&gt;=Header!$C$18,"YES — refer","No"),""))</f>
      </c>
      <c r="AZ670" s="44">
        <f>IF($AD670="","",IF(ISNUMBER($AD670),IF($AD670&lt;Header!$C$20,"BELOW MIN PREMIUM","OK"),""))</f>
      </c>
      <c r="BA670" s="48" t="inlineStr">
        <is>
          <t xml:space="preserve">Yes</t>
        </is>
      </c>
      <c r="BB670" s="48" t="inlineStr">
        <is>
          <t xml:space="preserve">Yes</t>
        </is>
      </c>
      <c r="BC670" s="46" t="inlineStr">
        <is>
          <t xml:space="preserve">Synthetic demo data</t>
        </is>
      </c>
      <c r="BE670" s="45">
        <f>IF(OR($A670="",$L670="",$H670=""),"",IF(AND(LEFT($L670,2)="06",$H670&gt;1945),"FAIL - pre-war class, year "&amp;$H670,IF(AND(LEFT($L670,2)="07",OR($H670&lt;1946,$H670&gt;1972)),"FAIL - 1946-72 class, year "&amp;$H670,IF(AND(LEFT($L670,2)="08",OR($H670&lt;1973,$H670&gt;1999)),"FAIL - 1973-99 class, year "&amp;$H670,IF(AND(LEFT($L670,2)="09",OR($H670&lt;2000,$H670&gt;2010)),"FAIL - 2000-10 class, year "&amp;$H670,"OK")))))</f>
      </c>
      <c r="BF670" s="45">
        <f>IF($AD670="","",IF(ROUND($AO670+$AP670+$AQ670-$AD670,2)=0,"OK","FAIL - out by "&amp;TEXT($AO670+$AP670+$AQ670-$AD670,"$0.00")))</f>
      </c>
    </row>
    <row r="671" spans="1:58" ht="18.75" customHeight="1" x14ac:dyDescent="0.25">
      <c r="A671" s="30" t="inlineStr">
        <is>
          <t xml:space="preserve">CANON-202606-009319</t>
        </is>
      </c>
      <c r="B671" s="30" t="inlineStr">
        <is>
          <t xml:space="preserve">Callum Larsson</t>
        </is>
      </c>
      <c r="C671" s="31">
        <v>46203</v>
      </c>
      <c r="D671" s="32" t="inlineStr">
        <is>
          <t xml:space="preserve">Bound - within authority</t>
        </is>
      </c>
      <c r="E671" s="32" t="inlineStr">
        <is>
          <t xml:space="preserve">New business</t>
        </is>
      </c>
      <c r="F671" s="30" t="inlineStr">
        <is>
          <t xml:space="preserve">B1234EXOTIC26</t>
        </is>
      </c>
      <c r="G671" s="33">
        <f>IF($A671="","",IF($C671="","",YEAR($C671)))</f>
      </c>
      <c r="H671" s="34">
        <v>1974</v>
      </c>
      <c r="I671" s="30" t="inlineStr">
        <is>
          <t xml:space="preserve">Maserati</t>
        </is>
      </c>
      <c r="J671" s="30" t="inlineStr">
        <is>
          <t xml:space="preserve">GranTurismo</t>
        </is>
      </c>
      <c r="K671" s="30" t="inlineStr">
        <is>
          <t xml:space="preserve">XB6KSS53GLFMJHW6Z</t>
        </is>
      </c>
      <c r="L671" s="32" t="inlineStr">
        <is>
          <t xml:space="preserve">02 - Sports / GT</t>
        </is>
      </c>
      <c r="M671" s="35">
        <v>390000</v>
      </c>
      <c r="N671" s="32" t="inlineStr">
        <is>
          <t xml:space="preserve">Personal</t>
        </is>
      </c>
      <c r="O671" s="30" t="inlineStr">
        <is>
          <t xml:space="preserve">Personal - regular use</t>
        </is>
      </c>
      <c r="P671" s="30" t="inlineStr">
        <is>
          <t xml:space="preserve">1,000 - 2,500</t>
        </is>
      </c>
      <c r="Q671" s="30" t="inlineStr">
        <is>
          <t xml:space="preserve">California</t>
        </is>
      </c>
      <c r="R671" s="30" t="inlineStr">
        <is>
          <t xml:space="preserve">90012</t>
        </is>
      </c>
      <c r="S671" s="32" t="inlineStr">
        <is>
          <t xml:space="preserve">Earthquake - high (CA, Cascadia, New Madrid)</t>
        </is>
      </c>
      <c r="T671" s="36">
        <f>IF($A671="","",IF($S671="","",IFERROR(INDEX('[1]natural catastrophe'!$D$6:$D$17,MATCH($S671,'[1]natural catastrophe'!$B$6:$B$17,0)),"?")))</f>
      </c>
      <c r="U671" s="30" t="inlineStr">
        <is>
          <t xml:space="preserve">$5,000</t>
        </is>
      </c>
      <c r="V671" s="32" t="inlineStr">
        <is>
          <t xml:space="preserve">Agreed Value</t>
        </is>
      </c>
      <c r="W671" s="30" t="inlineStr">
        <is>
          <t xml:space="preserve">$1,000</t>
        </is>
      </c>
      <c r="X671" s="32" t="inlineStr">
        <is>
          <t xml:space="preserve">$1,000,000 CSL</t>
        </is>
      </c>
      <c r="Y671" s="30"/>
      <c r="Z671" s="30"/>
      <c r="AA671" s="32" t="inlineStr">
        <is>
          <t xml:space="preserve">Surplus Lines</t>
        </is>
      </c>
      <c r="AB671" s="35">
        <v>5698.12</v>
      </c>
      <c r="AC671" s="37">
        <v>0</v>
      </c>
      <c r="AD671" s="38">
        <f>IF(ISNUMBER($AB671),$AB671*(1+N($AC671)),"")</f>
      </c>
      <c r="AE671" s="35">
        <v>350</v>
      </c>
      <c r="AF671" s="35">
        <v>0</v>
      </c>
      <c r="AG671" s="37"/>
      <c r="AH671" s="39">
        <f>IF(ISNUMBER($AD671),($AD671+$AE671+$AF671)*$AG671,"")</f>
      </c>
      <c r="AI671" s="35"/>
      <c r="AJ671" s="38">
        <f>IF(ISNUMBER($AD671),SUM($AD671:$AH671),"")</f>
      </c>
      <c r="AK671" s="40">
        <f>IF(AND(ISNUMBER($AB671),ISNUMBER($AD671)),IF($AB671&gt;0,$AD671/$AB671,""),"")</f>
      </c>
      <c r="AL671" s="32" t="inlineStr">
        <is>
          <t xml:space="preserve">At technical</t>
        </is>
      </c>
      <c r="AM671" s="41">
        <f>IF(ISNUMBER($AD671),Header!$I$3,"")</f>
      </c>
      <c r="AN671" s="39">
        <f>IF(ISNUMBER($AD671),$AO671+$AP671,"")</f>
      </c>
      <c r="AO671" s="39">
        <f>IF(ISNUMBER($AD671),ROUND($AD671*Header!$K$3,2),"")</f>
      </c>
      <c r="AP671" s="39">
        <f>IF(ISNUMBER($AD671),ROUND($AD671*Header!$M$3,2),"")</f>
      </c>
      <c r="AQ671" s="38">
        <f>IF(ISNUMBER($AD671),ROUND($AD671,2)-$AO671-$AP671,"")</f>
      </c>
      <c r="AR671" s="39">
        <f>IF(ISNUMBER($AD671),IF(Header!$D$34="","?",$AD671*Header!$D$34),"")</f>
      </c>
      <c r="AS671" s="39">
        <f>IF(ISNUMBER($AB671),IF(Header!$D$34="","?",$AB671*Header!$D$34),"")</f>
      </c>
      <c r="AT671" s="42">
        <f>IF(AND(ISNUMBER($AB671),$M671&gt;0),$AB671/$M671*100,"")</f>
      </c>
      <c r="AU671" s="42">
        <f>IF(AND(ISNUMBER($AD671),$M671&gt;0),$AD671/$M671*100,"")</f>
      </c>
      <c r="AV671" s="40">
        <f>IF(AND(ISNUMBER($AB671),ISNUMBER($AD671),ABS($AB671)&gt;0),$AD671/$AB671,"")</f>
      </c>
      <c r="AW671" s="39">
        <f>IF(ISNUMBER($AD671),MAX(0,(1-0.55-Header!$O$3)*Header!$Q$3*$AQ671),"")</f>
      </c>
      <c r="AX671" s="43">
        <f>IF($A671="","",IF(TRIM(IF($A671="","Missing certificate ref. ","") &amp; IF($C671="","Missing effective date. ","") &amp; IF($D671="","Missing binding status. ","") &amp; IF($E671="","Missing movement type. ","") &amp; IF($I671="","Missing make. ","") &amp; IF($L671="","Missing vehicle class. ","") &amp; IF($M671="","Missing agreed value. ","") &amp; IF($N671="","Missing policy type. ","") &amp; IF($Q671="","Missing garaging state. ","") &amp; IF($R671="","Missing garaging ZIP. ","") &amp; IF($S671="","Missing cat zone. ","") &amp; IF($V671="","Missing valuation basis. ","") &amp; IF($W671="","Missing PD deductible. ","") &amp; IF($X671="","Missing liability limit. ","") &amp; IF($AB671="","Missing technical premium. ","") &amp; IF($AF671="","Missing surplus lines tax %. ",""))="","PASS","FAIL: "&amp;TRIM(IF($A671="","Missing certificate ref. ","") &amp; IF($C671="","Missing effective date. ","") &amp; IF($D671="","Missing binding status. ","") &amp; IF($E671="","Missing movement type. ","") &amp; IF($I671="","Missing make. ","") &amp; IF($L671="","Missing vehicle class. ","") &amp; IF($M671="","Missing agreed value. ","") &amp; IF($N671="","Missing policy type. ","") &amp; IF($Q671="","Missing garaging state. ","") &amp; IF($R671="","Missing garaging ZIP. ","") &amp; IF($S671="","Missing cat zone. ","") &amp; IF($V671="","Missing valuation basis. ","") &amp; IF($W671="","Missing PD deductible. ","") &amp; IF($X671="","Missing liability limit. ","") &amp; IF($AB671="","Missing technical premium. ","") &amp; IF($AF671="","Missing surplus lines tax %. ",""))))</f>
      </c>
      <c r="AY671" s="44">
        <f>IF($M671="","",IF(ISNUMBER($M671),IF($M671&gt;=Header!$C$18,"YES — refer","No"),""))</f>
      </c>
      <c r="AZ671" s="44">
        <f>IF($AD671="","",IF(ISNUMBER($AD671),IF($AD671&lt;Header!$C$20,"BELOW MIN PREMIUM","OK"),""))</f>
      </c>
      <c r="BA671" s="32" t="inlineStr">
        <is>
          <t xml:space="preserve">Yes</t>
        </is>
      </c>
      <c r="BB671" s="32" t="inlineStr">
        <is>
          <t xml:space="preserve">Yes</t>
        </is>
      </c>
      <c r="BC671" s="30" t="inlineStr">
        <is>
          <t xml:space="preserve">Synthetic demo data</t>
        </is>
      </c>
      <c r="BE671" s="45">
        <f>IF(OR($A671="",$L671="",$H671=""),"",IF(AND(LEFT($L671,2)="06",$H671&gt;1945),"FAIL - pre-war class, year "&amp;$H671,IF(AND(LEFT($L671,2)="07",OR($H671&lt;1946,$H671&gt;1972)),"FAIL - 1946-72 class, year "&amp;$H671,IF(AND(LEFT($L671,2)="08",OR($H671&lt;1973,$H671&gt;1999)),"FAIL - 1973-99 class, year "&amp;$H671,IF(AND(LEFT($L671,2)="09",OR($H671&lt;2000,$H671&gt;2010)),"FAIL - 2000-10 class, year "&amp;$H671,"OK")))))</f>
      </c>
      <c r="BF671" s="45">
        <f>IF($AD671="","",IF(ROUND($AO671+$AP671+$AQ671-$AD671,2)=0,"OK","FAIL - out by "&amp;TEXT($AO671+$AP671+$AQ671-$AD671,"$0.00")))</f>
      </c>
    </row>
    <row r="672" spans="1:58" ht="18.75" customHeight="1" x14ac:dyDescent="0.25">
      <c r="A672" s="46" t="inlineStr">
        <is>
          <t xml:space="preserve">CANON-202606-009320</t>
        </is>
      </c>
      <c r="B672" s="46" t="inlineStr">
        <is>
          <t xml:space="preserve">Mireille Vasquez</t>
        </is>
      </c>
      <c r="C672" s="47">
        <v>46190</v>
      </c>
      <c r="D672" s="48" t="inlineStr">
        <is>
          <t xml:space="preserve">Bound - within authority</t>
        </is>
      </c>
      <c r="E672" s="48" t="inlineStr">
        <is>
          <t xml:space="preserve">New business</t>
        </is>
      </c>
      <c r="F672" s="46" t="inlineStr">
        <is>
          <t xml:space="preserve">B1234EXOTIC26</t>
        </is>
      </c>
      <c r="G672" s="33">
        <f>IF($A672="","",IF($C672="","",YEAR($C672)))</f>
      </c>
      <c r="H672" s="49">
        <v>1962</v>
      </c>
      <c r="I672" s="46" t="inlineStr">
        <is>
          <t xml:space="preserve">Bentley</t>
        </is>
      </c>
      <c r="J672" s="46" t="inlineStr">
        <is>
          <t xml:space="preserve">Continental GT</t>
        </is>
      </c>
      <c r="K672" s="46" t="inlineStr">
        <is>
          <t xml:space="preserve">H4AYVXELMM4F399VL</t>
        </is>
      </c>
      <c r="L672" s="48" t="inlineStr">
        <is>
          <t xml:space="preserve">02 - Sports / GT</t>
        </is>
      </c>
      <c r="M672" s="50">
        <v>1200000</v>
      </c>
      <c r="N672" s="48" t="inlineStr">
        <is>
          <t xml:space="preserve">Personal</t>
        </is>
      </c>
      <c r="O672" s="46" t="inlineStr">
        <is>
          <t xml:space="preserve">Personal - regular use</t>
        </is>
      </c>
      <c r="P672" s="46" t="inlineStr">
        <is>
          <t xml:space="preserve">1,000 - 2,500</t>
        </is>
      </c>
      <c r="Q672" s="46" t="inlineStr">
        <is>
          <t xml:space="preserve">South Carolina</t>
        </is>
      </c>
      <c r="R672" s="46" t="inlineStr">
        <is>
          <t xml:space="preserve">29401</t>
        </is>
      </c>
      <c r="S672" s="48" t="inlineStr">
        <is>
          <t xml:space="preserve">Tier 2 - Coastal wind (1-25 miles)</t>
        </is>
      </c>
      <c r="T672" s="36">
        <f>IF($A672="","",IF($S672="","",IFERROR(INDEX('[1]natural catastrophe'!$D$6:$D$17,MATCH($S672,'[1]natural catastrophe'!$B$6:$B$17,0)),"?")))</f>
      </c>
      <c r="U672" s="46" t="inlineStr">
        <is>
          <t xml:space="preserve">2% of agreed value, minimum $10,000</t>
        </is>
      </c>
      <c r="V672" s="48" t="inlineStr">
        <is>
          <t xml:space="preserve">Agreed Value</t>
        </is>
      </c>
      <c r="W672" s="46" t="inlineStr">
        <is>
          <t xml:space="preserve">$1,000</t>
        </is>
      </c>
      <c r="X672" s="48" t="inlineStr">
        <is>
          <t xml:space="preserve">$1,000,000 CSL</t>
        </is>
      </c>
      <c r="Y672" s="46"/>
      <c r="Z672" s="46"/>
      <c r="AA672" s="48" t="inlineStr">
        <is>
          <t xml:space="preserve">Surplus Lines</t>
        </is>
      </c>
      <c r="AB672" s="50">
        <v>11809.67</v>
      </c>
      <c r="AC672" s="51">
        <v>0</v>
      </c>
      <c r="AD672" s="38">
        <f>IF(ISNUMBER($AB672),$AB672*(1+N($AC672)),"")</f>
      </c>
      <c r="AE672" s="50">
        <v>350</v>
      </c>
      <c r="AF672" s="50">
        <v>250</v>
      </c>
      <c r="AG672" s="51"/>
      <c r="AH672" s="39">
        <f>IF(ISNUMBER($AD672),($AD672+$AE672+$AF672)*$AG672,"")</f>
      </c>
      <c r="AI672" s="50"/>
      <c r="AJ672" s="38">
        <f>IF(ISNUMBER($AD672),SUM($AD672:$AH672),"")</f>
      </c>
      <c r="AK672" s="40">
        <f>IF(AND(ISNUMBER($AB672),ISNUMBER($AD672)),IF($AB672&gt;0,$AD672/$AB672,""),"")</f>
      </c>
      <c r="AL672" s="48" t="inlineStr">
        <is>
          <t xml:space="preserve">At technical</t>
        </is>
      </c>
      <c r="AM672" s="41">
        <f>IF(ISNUMBER($AD672),Header!$I$3,"")</f>
      </c>
      <c r="AN672" s="39">
        <f>IF(ISNUMBER($AD672),$AO672+$AP672,"")</f>
      </c>
      <c r="AO672" s="39">
        <f>IF(ISNUMBER($AD672),ROUND($AD672*Header!$K$3,2),"")</f>
      </c>
      <c r="AP672" s="39">
        <f>IF(ISNUMBER($AD672),ROUND($AD672*Header!$M$3,2),"")</f>
      </c>
      <c r="AQ672" s="38">
        <f>IF(ISNUMBER($AD672),ROUND($AD672,2)-$AO672-$AP672,"")</f>
      </c>
      <c r="AR672" s="39">
        <f>IF(ISNUMBER($AD672),IF(Header!$D$34="","?",$AD672*Header!$D$34),"")</f>
      </c>
      <c r="AS672" s="39">
        <f>IF(ISNUMBER($AB672),IF(Header!$D$34="","?",$AB672*Header!$D$34),"")</f>
      </c>
      <c r="AT672" s="42">
        <f>IF(AND(ISNUMBER($AB672),$M672&gt;0),$AB672/$M672*100,"")</f>
      </c>
      <c r="AU672" s="42">
        <f>IF(AND(ISNUMBER($AD672),$M672&gt;0),$AD672/$M672*100,"")</f>
      </c>
      <c r="AV672" s="40">
        <f>IF(AND(ISNUMBER($AB672),ISNUMBER($AD672),ABS($AB672)&gt;0),$AD672/$AB672,"")</f>
      </c>
      <c r="AW672" s="39">
        <f>IF(ISNUMBER($AD672),MAX(0,(1-0.55-Header!$O$3)*Header!$Q$3*$AQ672),"")</f>
      </c>
      <c r="AX672" s="43">
        <f>IF($A672="","",IF(TRIM(IF($A672="","Missing certificate ref. ","") &amp; IF($C672="","Missing effective date. ","") &amp; IF($D672="","Missing binding status. ","") &amp; IF($E672="","Missing movement type. ","") &amp; IF($I672="","Missing make. ","") &amp; IF($L672="","Missing vehicle class. ","") &amp; IF($M672="","Missing agreed value. ","") &amp; IF($N672="","Missing policy type. ","") &amp; IF($Q672="","Missing garaging state. ","") &amp; IF($R672="","Missing garaging ZIP. ","") &amp; IF($S672="","Missing cat zone. ","") &amp; IF($V672="","Missing valuation basis. ","") &amp; IF($W672="","Missing PD deductible. ","") &amp; IF($X672="","Missing liability limit. ","") &amp; IF($AB672="","Missing technical premium. ","") &amp; IF($AF672="","Missing surplus lines tax %. ",""))="","PASS","FAIL: "&amp;TRIM(IF($A672="","Missing certificate ref. ","") &amp; IF($C672="","Missing effective date. ","") &amp; IF($D672="","Missing binding status. ","") &amp; IF($E672="","Missing movement type. ","") &amp; IF($I672="","Missing make. ","") &amp; IF($L672="","Missing vehicle class. ","") &amp; IF($M672="","Missing agreed value. ","") &amp; IF($N672="","Missing policy type. ","") &amp; IF($Q672="","Missing garaging state. ","") &amp; IF($R672="","Missing garaging ZIP. ","") &amp; IF($S672="","Missing cat zone. ","") &amp; IF($V672="","Missing valuation basis. ","") &amp; IF($W672="","Missing PD deductible. ","") &amp; IF($X672="","Missing liability limit. ","") &amp; IF($AB672="","Missing technical premium. ","") &amp; IF($AF672="","Missing surplus lines tax %. ",""))))</f>
      </c>
      <c r="AY672" s="44">
        <f>IF($M672="","",IF(ISNUMBER($M672),IF($M672&gt;=Header!$C$18,"YES — refer","No"),""))</f>
      </c>
      <c r="AZ672" s="44">
        <f>IF($AD672="","",IF(ISNUMBER($AD672),IF($AD672&lt;Header!$C$20,"BELOW MIN PREMIUM","OK"),""))</f>
      </c>
      <c r="BA672" s="48" t="inlineStr">
        <is>
          <t xml:space="preserve">Yes</t>
        </is>
      </c>
      <c r="BB672" s="48" t="inlineStr">
        <is>
          <t xml:space="preserve">Yes</t>
        </is>
      </c>
      <c r="BC672" s="46" t="inlineStr">
        <is>
          <t xml:space="preserve">Synthetic demo data</t>
        </is>
      </c>
      <c r="BE672" s="45">
        <f>IF(OR($A672="",$L672="",$H672=""),"",IF(AND(LEFT($L672,2)="06",$H672&gt;1945),"FAIL - pre-war class, year "&amp;$H672,IF(AND(LEFT($L672,2)="07",OR($H672&lt;1946,$H672&gt;1972)),"FAIL - 1946-72 class, year "&amp;$H672,IF(AND(LEFT($L672,2)="08",OR($H672&lt;1973,$H672&gt;1999)),"FAIL - 1973-99 class, year "&amp;$H672,IF(AND(LEFT($L672,2)="09",OR($H672&lt;2000,$H672&gt;2010)),"FAIL - 2000-10 class, year "&amp;$H672,"OK")))))</f>
      </c>
      <c r="BF672" s="45">
        <f>IF($AD672="","",IF(ROUND($AO672+$AP672+$AQ672-$AD672,2)=0,"OK","FAIL - out by "&amp;TEXT($AO672+$AP672+$AQ672-$AD672,"$0.00")))</f>
      </c>
    </row>
    <row r="673" spans="1:58" ht="18.75" customHeight="1" x14ac:dyDescent="0.25">
      <c r="A673" s="30" t="inlineStr">
        <is>
          <t xml:space="preserve">CANON-202606-009321</t>
        </is>
      </c>
      <c r="B673" s="30" t="inlineStr">
        <is>
          <t xml:space="preserve">Horace Whitlock</t>
        </is>
      </c>
      <c r="C673" s="31">
        <v>46179</v>
      </c>
      <c r="D673" s="32" t="inlineStr">
        <is>
          <t xml:space="preserve">Bound - within authority</t>
        </is>
      </c>
      <c r="E673" s="32" t="inlineStr">
        <is>
          <t xml:space="preserve">New business</t>
        </is>
      </c>
      <c r="F673" s="30" t="inlineStr">
        <is>
          <t xml:space="preserve">B1234EXOTIC26</t>
        </is>
      </c>
      <c r="G673" s="33">
        <f>IF($A673="","",IF($C673="","",YEAR($C673)))</f>
      </c>
      <c r="H673" s="34">
        <v>1956</v>
      </c>
      <c r="I673" s="30" t="inlineStr">
        <is>
          <t xml:space="preserve">Ferrari</t>
        </is>
      </c>
      <c r="J673" s="30" t="inlineStr">
        <is>
          <t xml:space="preserve">296 GTB</t>
        </is>
      </c>
      <c r="K673" s="30" t="inlineStr">
        <is>
          <t xml:space="preserve">KJZ09JK8KH8KS7T0W</t>
        </is>
      </c>
      <c r="L673" s="32" t="inlineStr">
        <is>
          <t xml:space="preserve">03 - Supercar</t>
        </is>
      </c>
      <c r="M673" s="35">
        <v>815000</v>
      </c>
      <c r="N673" s="32" t="inlineStr">
        <is>
          <t xml:space="preserve">Personal</t>
        </is>
      </c>
      <c r="O673" s="30" t="inlineStr">
        <is>
          <t xml:space="preserve">Personal - regular use</t>
        </is>
      </c>
      <c r="P673" s="30" t="inlineStr">
        <is>
          <t xml:space="preserve">1,000 - 2,500</t>
        </is>
      </c>
      <c r="Q673" s="30" t="inlineStr">
        <is>
          <t xml:space="preserve">Rhode Island</t>
        </is>
      </c>
      <c r="R673" s="30" t="inlineStr">
        <is>
          <t xml:space="preserve">02903</t>
        </is>
      </c>
      <c r="S673" s="32" t="inlineStr">
        <is>
          <t xml:space="preserve">Tier 3 - Coastal wind (25-100 miles)</t>
        </is>
      </c>
      <c r="T673" s="36">
        <f>IF($A673="","",IF($S673="","",IFERROR(INDEX('[1]natural catastrophe'!$D$6:$D$17,MATCH($S673,'[1]natural catastrophe'!$B$6:$B$17,0)),"?")))</f>
      </c>
      <c r="U673" s="30" t="inlineStr">
        <is>
          <t xml:space="preserve">2% of agreed value, minimum $10,000</t>
        </is>
      </c>
      <c r="V673" s="32" t="inlineStr">
        <is>
          <t xml:space="preserve">Agreed Value</t>
        </is>
      </c>
      <c r="W673" s="30" t="inlineStr">
        <is>
          <t xml:space="preserve">$1,000</t>
        </is>
      </c>
      <c r="X673" s="32" t="inlineStr">
        <is>
          <t xml:space="preserve">$1,000,000 CSL</t>
        </is>
      </c>
      <c r="Y673" s="30"/>
      <c r="Z673" s="30"/>
      <c r="AA673" s="32" t="inlineStr">
        <is>
          <t xml:space="preserve">Surplus Lines</t>
        </is>
      </c>
      <c r="AB673" s="35">
        <v>15306.42</v>
      </c>
      <c r="AC673" s="37">
        <v>0</v>
      </c>
      <c r="AD673" s="38">
        <f>IF(ISNUMBER($AB673),$AB673*(1+N($AC673)),"")</f>
      </c>
      <c r="AE673" s="35">
        <v>350</v>
      </c>
      <c r="AF673" s="35">
        <v>0</v>
      </c>
      <c r="AG673" s="37"/>
      <c r="AH673" s="39">
        <f>IF(ISNUMBER($AD673),($AD673+$AE673+$AF673)*$AG673,"")</f>
      </c>
      <c r="AI673" s="35"/>
      <c r="AJ673" s="38">
        <f>IF(ISNUMBER($AD673),SUM($AD673:$AH673),"")</f>
      </c>
      <c r="AK673" s="40">
        <f>IF(AND(ISNUMBER($AB673),ISNUMBER($AD673)),IF($AB673&gt;0,$AD673/$AB673,""),"")</f>
      </c>
      <c r="AL673" s="32" t="inlineStr">
        <is>
          <t xml:space="preserve">At technical</t>
        </is>
      </c>
      <c r="AM673" s="41">
        <f>IF(ISNUMBER($AD673),Header!$I$3,"")</f>
      </c>
      <c r="AN673" s="39">
        <f>IF(ISNUMBER($AD673),$AO673+$AP673,"")</f>
      </c>
      <c r="AO673" s="39">
        <f>IF(ISNUMBER($AD673),ROUND($AD673*Header!$K$3,2),"")</f>
      </c>
      <c r="AP673" s="39">
        <f>IF(ISNUMBER($AD673),ROUND($AD673*Header!$M$3,2),"")</f>
      </c>
      <c r="AQ673" s="38">
        <f>IF(ISNUMBER($AD673),ROUND($AD673,2)-$AO673-$AP673,"")</f>
      </c>
      <c r="AR673" s="39">
        <f>IF(ISNUMBER($AD673),IF(Header!$D$34="","?",$AD673*Header!$D$34),"")</f>
      </c>
      <c r="AS673" s="39">
        <f>IF(ISNUMBER($AB673),IF(Header!$D$34="","?",$AB673*Header!$D$34),"")</f>
      </c>
      <c r="AT673" s="42">
        <f>IF(AND(ISNUMBER($AB673),$M673&gt;0),$AB673/$M673*100,"")</f>
      </c>
      <c r="AU673" s="42">
        <f>IF(AND(ISNUMBER($AD673),$M673&gt;0),$AD673/$M673*100,"")</f>
      </c>
      <c r="AV673" s="40">
        <f>IF(AND(ISNUMBER($AB673),ISNUMBER($AD673),ABS($AB673)&gt;0),$AD673/$AB673,"")</f>
      </c>
      <c r="AW673" s="39">
        <f>IF(ISNUMBER($AD673),MAX(0,(1-0.55-Header!$O$3)*Header!$Q$3*$AQ673),"")</f>
      </c>
      <c r="AX673" s="43">
        <f>IF($A673="","",IF(TRIM(IF($A673="","Missing certificate ref. ","") &amp; IF($C673="","Missing effective date. ","") &amp; IF($D673="","Missing binding status. ","") &amp; IF($E673="","Missing movement type. ","") &amp; IF($I673="","Missing make. ","") &amp; IF($L673="","Missing vehicle class. ","") &amp; IF($M673="","Missing agreed value. ","") &amp; IF($N673="","Missing policy type. ","") &amp; IF($Q673="","Missing garaging state. ","") &amp; IF($R673="","Missing garaging ZIP. ","") &amp; IF($S673="","Missing cat zone. ","") &amp; IF($V673="","Missing valuation basis. ","") &amp; IF($W673="","Missing PD deductible. ","") &amp; IF($X673="","Missing liability limit. ","") &amp; IF($AB673="","Missing technical premium. ","") &amp; IF($AF673="","Missing surplus lines tax %. ",""))="","PASS","FAIL: "&amp;TRIM(IF($A673="","Missing certificate ref. ","") &amp; IF($C673="","Missing effective date. ","") &amp; IF($D673="","Missing binding status. ","") &amp; IF($E673="","Missing movement type. ","") &amp; IF($I673="","Missing make. ","") &amp; IF($L673="","Missing vehicle class. ","") &amp; IF($M673="","Missing agreed value. ","") &amp; IF($N673="","Missing policy type. ","") &amp; IF($Q673="","Missing garaging state. ","") &amp; IF($R673="","Missing garaging ZIP. ","") &amp; IF($S673="","Missing cat zone. ","") &amp; IF($V673="","Missing valuation basis. ","") &amp; IF($W673="","Missing PD deductible. ","") &amp; IF($X673="","Missing liability limit. ","") &amp; IF($AB673="","Missing technical premium. ","") &amp; IF($AF673="","Missing surplus lines tax %. ",""))))</f>
      </c>
      <c r="AY673" s="44">
        <f>IF($M673="","",IF(ISNUMBER($M673),IF($M673&gt;=Header!$C$18,"YES — refer","No"),""))</f>
      </c>
      <c r="AZ673" s="44">
        <f>IF($AD673="","",IF(ISNUMBER($AD673),IF($AD673&lt;Header!$C$20,"BELOW MIN PREMIUM","OK"),""))</f>
      </c>
      <c r="BA673" s="32" t="inlineStr">
        <is>
          <t xml:space="preserve">Yes</t>
        </is>
      </c>
      <c r="BB673" s="32" t="inlineStr">
        <is>
          <t xml:space="preserve">Yes</t>
        </is>
      </c>
      <c r="BC673" s="30" t="inlineStr">
        <is>
          <t xml:space="preserve">Synthetic demo data</t>
        </is>
      </c>
      <c r="BE673" s="45">
        <f>IF(OR($A673="",$L673="",$H673=""),"",IF(AND(LEFT($L673,2)="06",$H673&gt;1945),"FAIL - pre-war class, year "&amp;$H673,IF(AND(LEFT($L673,2)="07",OR($H673&lt;1946,$H673&gt;1972)),"FAIL - 1946-72 class, year "&amp;$H673,IF(AND(LEFT($L673,2)="08",OR($H673&lt;1973,$H673&gt;1999)),"FAIL - 1973-99 class, year "&amp;$H673,IF(AND(LEFT($L673,2)="09",OR($H673&lt;2000,$H673&gt;2010)),"FAIL - 2000-10 class, year "&amp;$H673,"OK")))))</f>
      </c>
      <c r="BF673" s="45">
        <f>IF($AD673="","",IF(ROUND($AO673+$AP673+$AQ673-$AD673,2)=0,"OK","FAIL - out by "&amp;TEXT($AO673+$AP673+$AQ673-$AD673,"$0.00")))</f>
      </c>
    </row>
    <row r="674" spans="1:58" ht="18.75" customHeight="1" x14ac:dyDescent="0.25">
      <c r="A674" s="46" t="inlineStr">
        <is>
          <t xml:space="preserve">CANON-202606-009322</t>
        </is>
      </c>
      <c r="B674" s="46" t="inlineStr">
        <is>
          <t xml:space="preserve">Marisol Fairweather</t>
        </is>
      </c>
      <c r="C674" s="47">
        <v>46178</v>
      </c>
      <c r="D674" s="48" t="inlineStr">
        <is>
          <t xml:space="preserve">Bound - within authority</t>
        </is>
      </c>
      <c r="E674" s="48" t="inlineStr">
        <is>
          <t xml:space="preserve">New business</t>
        </is>
      </c>
      <c r="F674" s="46" t="inlineStr">
        <is>
          <t xml:space="preserve">B1234EXOTIC26</t>
        </is>
      </c>
      <c r="G674" s="33">
        <f>IF($A674="","",IF($C674="","",YEAR($C674)))</f>
      </c>
      <c r="H674" s="49">
        <v>2005</v>
      </c>
      <c r="I674" s="46" t="inlineStr">
        <is>
          <t xml:space="preserve">Maserati</t>
        </is>
      </c>
      <c r="J674" s="46" t="inlineStr">
        <is>
          <t xml:space="preserve">GranTurismo</t>
        </is>
      </c>
      <c r="K674" s="46" t="inlineStr">
        <is>
          <t xml:space="preserve">BHF3FNGC7X45REZDG</t>
        </is>
      </c>
      <c r="L674" s="48" t="inlineStr">
        <is>
          <t xml:space="preserve">02 - Sports / GT</t>
        </is>
      </c>
      <c r="M674" s="50">
        <v>605000</v>
      </c>
      <c r="N674" s="48" t="inlineStr">
        <is>
          <t xml:space="preserve">Personal</t>
        </is>
      </c>
      <c r="O674" s="46" t="inlineStr">
        <is>
          <t xml:space="preserve">Personal - regular use</t>
        </is>
      </c>
      <c r="P674" s="46" t="inlineStr">
        <is>
          <t xml:space="preserve">Under 1,000</t>
        </is>
      </c>
      <c r="Q674" s="46" t="inlineStr">
        <is>
          <t xml:space="preserve">Indiana</t>
        </is>
      </c>
      <c r="R674" s="46" t="inlineStr">
        <is>
          <t xml:space="preserve">46204</t>
        </is>
      </c>
      <c r="S674" s="48" t="inlineStr">
        <is>
          <t xml:space="preserve">Severe convective - hail / tornado (moderate)</t>
        </is>
      </c>
      <c r="T674" s="36">
        <f>IF($A674="","",IF($S674="","",IFERROR(INDEX('[1]natural catastrophe'!$D$6:$D$17,MATCH($S674,'[1]natural catastrophe'!$B$6:$B$17,0)),"?")))</f>
      </c>
      <c r="U674" s="46" t="inlineStr">
        <is>
          <t xml:space="preserve">$5,000</t>
        </is>
      </c>
      <c r="V674" s="48" t="inlineStr">
        <is>
          <t xml:space="preserve">Agreed Value</t>
        </is>
      </c>
      <c r="W674" s="46" t="inlineStr">
        <is>
          <t xml:space="preserve">$1,000</t>
        </is>
      </c>
      <c r="X674" s="48" t="inlineStr">
        <is>
          <t xml:space="preserve">$1,000,000 CSL</t>
        </is>
      </c>
      <c r="Y674" s="46"/>
      <c r="Z674" s="46"/>
      <c r="AA674" s="48" t="inlineStr">
        <is>
          <t xml:space="preserve">Surplus Lines</t>
        </is>
      </c>
      <c r="AB674" s="50">
        <v>6979.85</v>
      </c>
      <c r="AC674" s="51">
        <v>0</v>
      </c>
      <c r="AD674" s="38">
        <f>IF(ISNUMBER($AB674),$AB674*(1+N($AC674)),"")</f>
      </c>
      <c r="AE674" s="50">
        <v>350</v>
      </c>
      <c r="AF674" s="50">
        <v>0</v>
      </c>
      <c r="AG674" s="51"/>
      <c r="AH674" s="39">
        <f>IF(ISNUMBER($AD674),($AD674+$AE674+$AF674)*$AG674,"")</f>
      </c>
      <c r="AI674" s="50"/>
      <c r="AJ674" s="38">
        <f>IF(ISNUMBER($AD674),SUM($AD674:$AH674),"")</f>
      </c>
      <c r="AK674" s="40">
        <f>IF(AND(ISNUMBER($AB674),ISNUMBER($AD674)),IF($AB674&gt;0,$AD674/$AB674,""),"")</f>
      </c>
      <c r="AL674" s="48" t="inlineStr">
        <is>
          <t xml:space="preserve">At technical</t>
        </is>
      </c>
      <c r="AM674" s="41">
        <f>IF(ISNUMBER($AD674),Header!$I$3,"")</f>
      </c>
      <c r="AN674" s="39">
        <f>IF(ISNUMBER($AD674),$AO674+$AP674,"")</f>
      </c>
      <c r="AO674" s="39">
        <f>IF(ISNUMBER($AD674),ROUND($AD674*Header!$K$3,2),"")</f>
      </c>
      <c r="AP674" s="39">
        <f>IF(ISNUMBER($AD674),ROUND($AD674*Header!$M$3,2),"")</f>
      </c>
      <c r="AQ674" s="38">
        <f>IF(ISNUMBER($AD674),ROUND($AD674,2)-$AO674-$AP674,"")</f>
      </c>
      <c r="AR674" s="39">
        <f>IF(ISNUMBER($AD674),IF(Header!$D$34="","?",$AD674*Header!$D$34),"")</f>
      </c>
      <c r="AS674" s="39">
        <f>IF(ISNUMBER($AB674),IF(Header!$D$34="","?",$AB674*Header!$D$34),"")</f>
      </c>
      <c r="AT674" s="42">
        <f>IF(AND(ISNUMBER($AB674),$M674&gt;0),$AB674/$M674*100,"")</f>
      </c>
      <c r="AU674" s="42">
        <f>IF(AND(ISNUMBER($AD674),$M674&gt;0),$AD674/$M674*100,"")</f>
      </c>
      <c r="AV674" s="40">
        <f>IF(AND(ISNUMBER($AB674),ISNUMBER($AD674),ABS($AB674)&gt;0),$AD674/$AB674,"")</f>
      </c>
      <c r="AW674" s="39">
        <f>IF(ISNUMBER($AD674),MAX(0,(1-0.55-Header!$O$3)*Header!$Q$3*$AQ674),"")</f>
      </c>
      <c r="AX674" s="43">
        <f>IF($A674="","",IF(TRIM(IF($A674="","Missing certificate ref. ","") &amp; IF($C674="","Missing effective date. ","") &amp; IF($D674="","Missing binding status. ","") &amp; IF($E674="","Missing movement type. ","") &amp; IF($I674="","Missing make. ","") &amp; IF($L674="","Missing vehicle class. ","") &amp; IF($M674="","Missing agreed value. ","") &amp; IF($N674="","Missing policy type. ","") &amp; IF($Q674="","Missing garaging state. ","") &amp; IF($R674="","Missing garaging ZIP. ","") &amp; IF($S674="","Missing cat zone. ","") &amp; IF($V674="","Missing valuation basis. ","") &amp; IF($W674="","Missing PD deductible. ","") &amp; IF($X674="","Missing liability limit. ","") &amp; IF($AB674="","Missing technical premium. ","") &amp; IF($AF674="","Missing surplus lines tax %. ",""))="","PASS","FAIL: "&amp;TRIM(IF($A674="","Missing certificate ref. ","") &amp; IF($C674="","Missing effective date. ","") &amp; IF($D674="","Missing binding status. ","") &amp; IF($E674="","Missing movement type. ","") &amp; IF($I674="","Missing make. ","") &amp; IF($L674="","Missing vehicle class. ","") &amp; IF($M674="","Missing agreed value. ","") &amp; IF($N674="","Missing policy type. ","") &amp; IF($Q674="","Missing garaging state. ","") &amp; IF($R674="","Missing garaging ZIP. ","") &amp; IF($S674="","Missing cat zone. ","") &amp; IF($V674="","Missing valuation basis. ","") &amp; IF($W674="","Missing PD deductible. ","") &amp; IF($X674="","Missing liability limit. ","") &amp; IF($AB674="","Missing technical premium. ","") &amp; IF($AF674="","Missing surplus lines tax %. ",""))))</f>
      </c>
      <c r="AY674" s="44">
        <f>IF($M674="","",IF(ISNUMBER($M674),IF($M674&gt;=Header!$C$18,"YES — refer","No"),""))</f>
      </c>
      <c r="AZ674" s="44">
        <f>IF($AD674="","",IF(ISNUMBER($AD674),IF($AD674&lt;Header!$C$20,"BELOW MIN PREMIUM","OK"),""))</f>
      </c>
      <c r="BA674" s="48" t="inlineStr">
        <is>
          <t xml:space="preserve">Yes</t>
        </is>
      </c>
      <c r="BB674" s="48" t="inlineStr">
        <is>
          <t xml:space="preserve">Yes</t>
        </is>
      </c>
      <c r="BC674" s="46" t="inlineStr">
        <is>
          <t xml:space="preserve">Synthetic demo data</t>
        </is>
      </c>
      <c r="BE674" s="45">
        <f>IF(OR($A674="",$L674="",$H674=""),"",IF(AND(LEFT($L674,2)="06",$H674&gt;1945),"FAIL - pre-war class, year "&amp;$H674,IF(AND(LEFT($L674,2)="07",OR($H674&lt;1946,$H674&gt;1972)),"FAIL - 1946-72 class, year "&amp;$H674,IF(AND(LEFT($L674,2)="08",OR($H674&lt;1973,$H674&gt;1999)),"FAIL - 1973-99 class, year "&amp;$H674,IF(AND(LEFT($L674,2)="09",OR($H674&lt;2000,$H674&gt;2010)),"FAIL - 2000-10 class, year "&amp;$H674,"OK")))))</f>
      </c>
      <c r="BF674" s="45">
        <f>IF($AD674="","",IF(ROUND($AO674+$AP674+$AQ674-$AD674,2)=0,"OK","FAIL - out by "&amp;TEXT($AO674+$AP674+$AQ674-$AD674,"$0.00")))</f>
      </c>
    </row>
    <row r="675" spans="1:58" ht="18.75" customHeight="1" x14ac:dyDescent="0.25">
      <c r="A675" s="30" t="inlineStr">
        <is>
          <t xml:space="preserve">CANON-202606-009323</t>
        </is>
      </c>
      <c r="B675" s="30" t="inlineStr">
        <is>
          <t xml:space="preserve">Aurelio Merriweather</t>
        </is>
      </c>
      <c r="C675" s="31">
        <v>46188</v>
      </c>
      <c r="D675" s="32" t="inlineStr">
        <is>
          <t xml:space="preserve">Bound - within authority</t>
        </is>
      </c>
      <c r="E675" s="32" t="inlineStr">
        <is>
          <t xml:space="preserve">New business</t>
        </is>
      </c>
      <c r="F675" s="30" t="inlineStr">
        <is>
          <t xml:space="preserve">B1234EXOTIC26</t>
        </is>
      </c>
      <c r="G675" s="33">
        <f>IF($A675="","",IF($C675="","",YEAR($C675)))</f>
      </c>
      <c r="H675" s="34">
        <v>2003</v>
      </c>
      <c r="I675" s="30" t="inlineStr">
        <is>
          <t xml:space="preserve">Porsche</t>
        </is>
      </c>
      <c r="J675" s="30" t="inlineStr">
        <is>
          <t xml:space="preserve">911 Turbo S</t>
        </is>
      </c>
      <c r="K675" s="30" t="inlineStr">
        <is>
          <t xml:space="preserve">DY9CD7FEJA09JL8C4</t>
        </is>
      </c>
      <c r="L675" s="32" t="inlineStr">
        <is>
          <t xml:space="preserve">02 - Sports / GT</t>
        </is>
      </c>
      <c r="M675" s="35">
        <v>1080000</v>
      </c>
      <c r="N675" s="32" t="inlineStr">
        <is>
          <t xml:space="preserve">Personal</t>
        </is>
      </c>
      <c r="O675" s="30" t="inlineStr">
        <is>
          <t xml:space="preserve">Personal - regular use</t>
        </is>
      </c>
      <c r="P675" s="30" t="inlineStr">
        <is>
          <t xml:space="preserve">1,000 - 2,500</t>
        </is>
      </c>
      <c r="Q675" s="30" t="inlineStr">
        <is>
          <t xml:space="preserve">Massachusetts</t>
        </is>
      </c>
      <c r="R675" s="30" t="inlineStr">
        <is>
          <t xml:space="preserve">02108</t>
        </is>
      </c>
      <c r="S675" s="32" t="inlineStr">
        <is>
          <t xml:space="preserve">Tier 3 - Coastal wind (25-100 miles)</t>
        </is>
      </c>
      <c r="T675" s="36">
        <f>IF($A675="","",IF($S675="","",IFERROR(INDEX('[1]natural catastrophe'!$D$6:$D$17,MATCH($S675,'[1]natural catastrophe'!$B$6:$B$17,0)),"?")))</f>
      </c>
      <c r="U675" s="30" t="inlineStr">
        <is>
          <t xml:space="preserve">2% of agreed value, minimum $10,000</t>
        </is>
      </c>
      <c r="V675" s="32" t="inlineStr">
        <is>
          <t xml:space="preserve">Agreed Value</t>
        </is>
      </c>
      <c r="W675" s="30" t="inlineStr">
        <is>
          <t xml:space="preserve">$1,000</t>
        </is>
      </c>
      <c r="X675" s="32" t="inlineStr">
        <is>
          <t xml:space="preserve">$1,000,000 CSL</t>
        </is>
      </c>
      <c r="Y675" s="30"/>
      <c r="Z675" s="30"/>
      <c r="AA675" s="32" t="inlineStr">
        <is>
          <t xml:space="preserve">Surplus Lines</t>
        </is>
      </c>
      <c r="AB675" s="35">
        <v>10714.41</v>
      </c>
      <c r="AC675" s="37">
        <v>0</v>
      </c>
      <c r="AD675" s="38">
        <f>IF(ISNUMBER($AB675),$AB675*(1+N($AC675)),"")</f>
      </c>
      <c r="AE675" s="35">
        <v>350</v>
      </c>
      <c r="AF675" s="35">
        <v>250</v>
      </c>
      <c r="AG675" s="37"/>
      <c r="AH675" s="39">
        <f>IF(ISNUMBER($AD675),($AD675+$AE675+$AF675)*$AG675,"")</f>
      </c>
      <c r="AI675" s="35"/>
      <c r="AJ675" s="38">
        <f>IF(ISNUMBER($AD675),SUM($AD675:$AH675),"")</f>
      </c>
      <c r="AK675" s="40">
        <f>IF(AND(ISNUMBER($AB675),ISNUMBER($AD675)),IF($AB675&gt;0,$AD675/$AB675,""),"")</f>
      </c>
      <c r="AL675" s="32" t="inlineStr">
        <is>
          <t xml:space="preserve">At technical</t>
        </is>
      </c>
      <c r="AM675" s="41">
        <f>IF(ISNUMBER($AD675),Header!$I$3,"")</f>
      </c>
      <c r="AN675" s="39">
        <f>IF(ISNUMBER($AD675),$AO675+$AP675,"")</f>
      </c>
      <c r="AO675" s="39">
        <f>IF(ISNUMBER($AD675),ROUND($AD675*Header!$K$3,2),"")</f>
      </c>
      <c r="AP675" s="39">
        <f>IF(ISNUMBER($AD675),ROUND($AD675*Header!$M$3,2),"")</f>
      </c>
      <c r="AQ675" s="38">
        <f>IF(ISNUMBER($AD675),ROUND($AD675,2)-$AO675-$AP675,"")</f>
      </c>
      <c r="AR675" s="39">
        <f>IF(ISNUMBER($AD675),IF(Header!$D$34="","?",$AD675*Header!$D$34),"")</f>
      </c>
      <c r="AS675" s="39">
        <f>IF(ISNUMBER($AB675),IF(Header!$D$34="","?",$AB675*Header!$D$34),"")</f>
      </c>
      <c r="AT675" s="42">
        <f>IF(AND(ISNUMBER($AB675),$M675&gt;0),$AB675/$M675*100,"")</f>
      </c>
      <c r="AU675" s="42">
        <f>IF(AND(ISNUMBER($AD675),$M675&gt;0),$AD675/$M675*100,"")</f>
      </c>
      <c r="AV675" s="40">
        <f>IF(AND(ISNUMBER($AB675),ISNUMBER($AD675),ABS($AB675)&gt;0),$AD675/$AB675,"")</f>
      </c>
      <c r="AW675" s="39">
        <f>IF(ISNUMBER($AD675),MAX(0,(1-0.55-Header!$O$3)*Header!$Q$3*$AQ675),"")</f>
      </c>
      <c r="AX675" s="43">
        <f>IF($A675="","",IF(TRIM(IF($A675="","Missing certificate ref. ","") &amp; IF($C675="","Missing effective date. ","") &amp; IF($D675="","Missing binding status. ","") &amp; IF($E675="","Missing movement type. ","") &amp; IF($I675="","Missing make. ","") &amp; IF($L675="","Missing vehicle class. ","") &amp; IF($M675="","Missing agreed value. ","") &amp; IF($N675="","Missing policy type. ","") &amp; IF($Q675="","Missing garaging state. ","") &amp; IF($R675="","Missing garaging ZIP. ","") &amp; IF($S675="","Missing cat zone. ","") &amp; IF($V675="","Missing valuation basis. ","") &amp; IF($W675="","Missing PD deductible. ","") &amp; IF($X675="","Missing liability limit. ","") &amp; IF($AB675="","Missing technical premium. ","") &amp; IF($AF675="","Missing surplus lines tax %. ",""))="","PASS","FAIL: "&amp;TRIM(IF($A675="","Missing certificate ref. ","") &amp; IF($C675="","Missing effective date. ","") &amp; IF($D675="","Missing binding status. ","") &amp; IF($E675="","Missing movement type. ","") &amp; IF($I675="","Missing make. ","") &amp; IF($L675="","Missing vehicle class. ","") &amp; IF($M675="","Missing agreed value. ","") &amp; IF($N675="","Missing policy type. ","") &amp; IF($Q675="","Missing garaging state. ","") &amp; IF($R675="","Missing garaging ZIP. ","") &amp; IF($S675="","Missing cat zone. ","") &amp; IF($V675="","Missing valuation basis. ","") &amp; IF($W675="","Missing PD deductible. ","") &amp; IF($X675="","Missing liability limit. ","") &amp; IF($AB675="","Missing technical premium. ","") &amp; IF($AF675="","Missing surplus lines tax %. ",""))))</f>
      </c>
      <c r="AY675" s="44">
        <f>IF($M675="","",IF(ISNUMBER($M675),IF($M675&gt;=Header!$C$18,"YES — refer","No"),""))</f>
      </c>
      <c r="AZ675" s="44">
        <f>IF($AD675="","",IF(ISNUMBER($AD675),IF($AD675&lt;Header!$C$20,"BELOW MIN PREMIUM","OK"),""))</f>
      </c>
      <c r="BA675" s="32" t="inlineStr">
        <is>
          <t xml:space="preserve">Yes</t>
        </is>
      </c>
      <c r="BB675" s="32" t="inlineStr">
        <is>
          <t xml:space="preserve">Yes</t>
        </is>
      </c>
      <c r="BC675" s="30" t="inlineStr">
        <is>
          <t xml:space="preserve">Synthetic demo data</t>
        </is>
      </c>
      <c r="BE675" s="45">
        <f>IF(OR($A675="",$L675="",$H675=""),"",IF(AND(LEFT($L675,2)="06",$H675&gt;1945),"FAIL - pre-war class, year "&amp;$H675,IF(AND(LEFT($L675,2)="07",OR($H675&lt;1946,$H675&gt;1972)),"FAIL - 1946-72 class, year "&amp;$H675,IF(AND(LEFT($L675,2)="08",OR($H675&lt;1973,$H675&gt;1999)),"FAIL - 1973-99 class, year "&amp;$H675,IF(AND(LEFT($L675,2)="09",OR($H675&lt;2000,$H675&gt;2010)),"FAIL - 2000-10 class, year "&amp;$H675,"OK")))))</f>
      </c>
      <c r="BF675" s="45">
        <f>IF($AD675="","",IF(ROUND($AO675+$AP675+$AQ675-$AD675,2)=0,"OK","FAIL - out by "&amp;TEXT($AO675+$AP675+$AQ675-$AD675,"$0.00")))</f>
      </c>
    </row>
    <row r="676" spans="1:58" ht="18.75" customHeight="1" x14ac:dyDescent="0.25">
      <c r="A676" s="46" t="inlineStr">
        <is>
          <t xml:space="preserve">CANON-202606-009325</t>
        </is>
      </c>
      <c r="B676" s="46" t="inlineStr">
        <is>
          <t xml:space="preserve">Delphine Vasquez</t>
        </is>
      </c>
      <c r="C676" s="47">
        <v>46203</v>
      </c>
      <c r="D676" s="48" t="inlineStr">
        <is>
          <t xml:space="preserve">Bound - within authority</t>
        </is>
      </c>
      <c r="E676" s="48" t="inlineStr">
        <is>
          <t xml:space="preserve">New business</t>
        </is>
      </c>
      <c r="F676" s="46" t="inlineStr">
        <is>
          <t xml:space="preserve">B1234EXOTIC26</t>
        </is>
      </c>
      <c r="G676" s="33">
        <f>IF($A676="","",IF($C676="","",YEAR($C676)))</f>
      </c>
      <c r="H676" s="49">
        <v>2019</v>
      </c>
      <c r="I676" s="46" t="inlineStr">
        <is>
          <t xml:space="preserve">Mercedes-Benz</t>
        </is>
      </c>
      <c r="J676" s="46" t="inlineStr">
        <is>
          <t xml:space="preserve">AMG GT</t>
        </is>
      </c>
      <c r="K676" s="46" t="inlineStr">
        <is>
          <t xml:space="preserve">9TWGHB3J5U1P4ZFRM</t>
        </is>
      </c>
      <c r="L676" s="48" t="inlineStr">
        <is>
          <t xml:space="preserve">02 - Sports / GT</t>
        </is>
      </c>
      <c r="M676" s="50">
        <v>325000</v>
      </c>
      <c r="N676" s="48" t="inlineStr">
        <is>
          <t xml:space="preserve">Personal</t>
        </is>
      </c>
      <c r="O676" s="46" t="inlineStr">
        <is>
          <t xml:space="preserve">Personal - regular use</t>
        </is>
      </c>
      <c r="P676" s="46" t="inlineStr">
        <is>
          <t xml:space="preserve">2,500 - 5,000</t>
        </is>
      </c>
      <c r="Q676" s="46" t="inlineStr">
        <is>
          <t xml:space="preserve">Washington</t>
        </is>
      </c>
      <c r="R676" s="46" t="inlineStr">
        <is>
          <t xml:space="preserve">98101</t>
        </is>
      </c>
      <c r="S676" s="48" t="inlineStr">
        <is>
          <t xml:space="preserve">Earthquake - high (CA, Cascadia, New Madrid)</t>
        </is>
      </c>
      <c r="T676" s="36">
        <f>IF($A676="","",IF($S676="","",IFERROR(INDEX('[1]natural catastrophe'!$D$6:$D$17,MATCH($S676,'[1]natural catastrophe'!$B$6:$B$17,0)),"?")))</f>
      </c>
      <c r="U676" s="46" t="inlineStr">
        <is>
          <t xml:space="preserve">$5,000</t>
        </is>
      </c>
      <c r="V676" s="48" t="inlineStr">
        <is>
          <t xml:space="preserve">Agreed Value</t>
        </is>
      </c>
      <c r="W676" s="46" t="inlineStr">
        <is>
          <t xml:space="preserve">$1,000</t>
        </is>
      </c>
      <c r="X676" s="48" t="inlineStr">
        <is>
          <t xml:space="preserve">$1,000,000 CSL</t>
        </is>
      </c>
      <c r="Y676" s="46"/>
      <c r="Z676" s="46"/>
      <c r="AA676" s="48" t="inlineStr">
        <is>
          <t xml:space="preserve">Surplus Lines</t>
        </is>
      </c>
      <c r="AB676" s="50">
        <v>3376.66</v>
      </c>
      <c r="AC676" s="51">
        <v>0</v>
      </c>
      <c r="AD676" s="38">
        <f>IF(ISNUMBER($AB676),$AB676*(1+N($AC676)),"")</f>
      </c>
      <c r="AE676" s="50">
        <v>350</v>
      </c>
      <c r="AF676" s="50">
        <v>0</v>
      </c>
      <c r="AG676" s="51"/>
      <c r="AH676" s="39">
        <f>IF(ISNUMBER($AD676),($AD676+$AE676+$AF676)*$AG676,"")</f>
      </c>
      <c r="AI676" s="50"/>
      <c r="AJ676" s="38">
        <f>IF(ISNUMBER($AD676),SUM($AD676:$AH676),"")</f>
      </c>
      <c r="AK676" s="40">
        <f>IF(AND(ISNUMBER($AB676),ISNUMBER($AD676)),IF($AB676&gt;0,$AD676/$AB676,""),"")</f>
      </c>
      <c r="AL676" s="48" t="inlineStr">
        <is>
          <t xml:space="preserve">At technical</t>
        </is>
      </c>
      <c r="AM676" s="41">
        <f>IF(ISNUMBER($AD676),Header!$I$3,"")</f>
      </c>
      <c r="AN676" s="39">
        <f>IF(ISNUMBER($AD676),$AO676+$AP676,"")</f>
      </c>
      <c r="AO676" s="39">
        <f>IF(ISNUMBER($AD676),ROUND($AD676*Header!$K$3,2),"")</f>
      </c>
      <c r="AP676" s="39">
        <f>IF(ISNUMBER($AD676),ROUND($AD676*Header!$M$3,2),"")</f>
      </c>
      <c r="AQ676" s="38">
        <f>IF(ISNUMBER($AD676),ROUND($AD676,2)-$AO676-$AP676,"")</f>
      </c>
      <c r="AR676" s="39">
        <f>IF(ISNUMBER($AD676),IF(Header!$D$34="","?",$AD676*Header!$D$34),"")</f>
      </c>
      <c r="AS676" s="39">
        <f>IF(ISNUMBER($AB676),IF(Header!$D$34="","?",$AB676*Header!$D$34),"")</f>
      </c>
      <c r="AT676" s="42">
        <f>IF(AND(ISNUMBER($AB676),$M676&gt;0),$AB676/$M676*100,"")</f>
      </c>
      <c r="AU676" s="42">
        <f>IF(AND(ISNUMBER($AD676),$M676&gt;0),$AD676/$M676*100,"")</f>
      </c>
      <c r="AV676" s="40">
        <f>IF(AND(ISNUMBER($AB676),ISNUMBER($AD676),ABS($AB676)&gt;0),$AD676/$AB676,"")</f>
      </c>
      <c r="AW676" s="39">
        <f>IF(ISNUMBER($AD676),MAX(0,(1-0.55-Header!$O$3)*Header!$Q$3*$AQ676),"")</f>
      </c>
      <c r="AX676" s="43">
        <f>IF($A676="","",IF(TRIM(IF($A676="","Missing certificate ref. ","") &amp; IF($C676="","Missing effective date. ","") &amp; IF($D676="","Missing binding status. ","") &amp; IF($E676="","Missing movement type. ","") &amp; IF($I676="","Missing make. ","") &amp; IF($L676="","Missing vehicle class. ","") &amp; IF($M676="","Missing agreed value. ","") &amp; IF($N676="","Missing policy type. ","") &amp; IF($Q676="","Missing garaging state. ","") &amp; IF($R676="","Missing garaging ZIP. ","") &amp; IF($S676="","Missing cat zone. ","") &amp; IF($V676="","Missing valuation basis. ","") &amp; IF($W676="","Missing PD deductible. ","") &amp; IF($X676="","Missing liability limit. ","") &amp; IF($AB676="","Missing technical premium. ","") &amp; IF($AF676="","Missing surplus lines tax %. ",""))="","PASS","FAIL: "&amp;TRIM(IF($A676="","Missing certificate ref. ","") &amp; IF($C676="","Missing effective date. ","") &amp; IF($D676="","Missing binding status. ","") &amp; IF($E676="","Missing movement type. ","") &amp; IF($I676="","Missing make. ","") &amp; IF($L676="","Missing vehicle class. ","") &amp; IF($M676="","Missing agreed value. ","") &amp; IF($N676="","Missing policy type. ","") &amp; IF($Q676="","Missing garaging state. ","") &amp; IF($R676="","Missing garaging ZIP. ","") &amp; IF($S676="","Missing cat zone. ","") &amp; IF($V676="","Missing valuation basis. ","") &amp; IF($W676="","Missing PD deductible. ","") &amp; IF($X676="","Missing liability limit. ","") &amp; IF($AB676="","Missing technical premium. ","") &amp; IF($AF676="","Missing surplus lines tax %. ",""))))</f>
      </c>
      <c r="AY676" s="44">
        <f>IF($M676="","",IF(ISNUMBER($M676),IF($M676&gt;=Header!$C$18,"YES — refer","No"),""))</f>
      </c>
      <c r="AZ676" s="44">
        <f>IF($AD676="","",IF(ISNUMBER($AD676),IF($AD676&lt;Header!$C$20,"BELOW MIN PREMIUM","OK"),""))</f>
      </c>
      <c r="BA676" s="48" t="inlineStr">
        <is>
          <t xml:space="preserve">Yes</t>
        </is>
      </c>
      <c r="BB676" s="48" t="inlineStr">
        <is>
          <t xml:space="preserve">Yes</t>
        </is>
      </c>
      <c r="BC676" s="46" t="inlineStr">
        <is>
          <t xml:space="preserve">Synthetic demo data</t>
        </is>
      </c>
      <c r="BE676" s="45">
        <f>IF(OR($A676="",$L676="",$H676=""),"",IF(AND(LEFT($L676,2)="06",$H676&gt;1945),"FAIL - pre-war class, year "&amp;$H676,IF(AND(LEFT($L676,2)="07",OR($H676&lt;1946,$H676&gt;1972)),"FAIL - 1946-72 class, year "&amp;$H676,IF(AND(LEFT($L676,2)="08",OR($H676&lt;1973,$H676&gt;1999)),"FAIL - 1973-99 class, year "&amp;$H676,IF(AND(LEFT($L676,2)="09",OR($H676&lt;2000,$H676&gt;2010)),"FAIL - 2000-10 class, year "&amp;$H676,"OK")))))</f>
      </c>
      <c r="BF676" s="45">
        <f>IF($AD676="","",IF(ROUND($AO676+$AP676+$AQ676-$AD676,2)=0,"OK","FAIL - out by "&amp;TEXT($AO676+$AP676+$AQ676-$AD676,"$0.00")))</f>
      </c>
    </row>
    <row r="677" spans="1:58" ht="18.75" customHeight="1" x14ac:dyDescent="0.25">
      <c r="A677" s="30" t="inlineStr">
        <is>
          <t xml:space="preserve">CANON-202606-009328</t>
        </is>
      </c>
      <c r="B677" s="30" t="inlineStr">
        <is>
          <t xml:space="preserve">Cassius Okonkwo</t>
        </is>
      </c>
      <c r="C677" s="31">
        <v>46181</v>
      </c>
      <c r="D677" s="32" t="inlineStr">
        <is>
          <t xml:space="preserve">Bound - within authority</t>
        </is>
      </c>
      <c r="E677" s="32" t="inlineStr">
        <is>
          <t xml:space="preserve">New business</t>
        </is>
      </c>
      <c r="F677" s="30" t="inlineStr">
        <is>
          <t xml:space="preserve">B1234EXOTIC26</t>
        </is>
      </c>
      <c r="G677" s="33">
        <f>IF($A677="","",IF($C677="","",YEAR($C677)))</f>
      </c>
      <c r="H677" s="34">
        <v>1959</v>
      </c>
      <c r="I677" s="30" t="inlineStr">
        <is>
          <t xml:space="preserve">BMW</t>
        </is>
      </c>
      <c r="J677" s="30" t="inlineStr">
        <is>
          <t xml:space="preserve">M8 Competition</t>
        </is>
      </c>
      <c r="K677" s="30" t="inlineStr">
        <is>
          <t xml:space="preserve">FBDHXLBCXS872F9Y1</t>
        </is>
      </c>
      <c r="L677" s="32" t="inlineStr">
        <is>
          <t xml:space="preserve">02 - Sports / GT</t>
        </is>
      </c>
      <c r="M677" s="35">
        <v>1225000</v>
      </c>
      <c r="N677" s="32" t="inlineStr">
        <is>
          <t xml:space="preserve">Personal</t>
        </is>
      </c>
      <c r="O677" s="30" t="inlineStr">
        <is>
          <t xml:space="preserve">Personal - regular use</t>
        </is>
      </c>
      <c r="P677" s="30" t="inlineStr">
        <is>
          <t xml:space="preserve">Under 1,000</t>
        </is>
      </c>
      <c r="Q677" s="30" t="inlineStr">
        <is>
          <t xml:space="preserve">Alabama</t>
        </is>
      </c>
      <c r="R677" s="30" t="inlineStr">
        <is>
          <t xml:space="preserve">35203</t>
        </is>
      </c>
      <c r="S677" s="32" t="inlineStr">
        <is>
          <t xml:space="preserve">Tier 2 - Coastal wind (1-25 miles)</t>
        </is>
      </c>
      <c r="T677" s="36">
        <f>IF($A677="","",IF($S677="","",IFERROR(INDEX('[1]natural catastrophe'!$D$6:$D$17,MATCH($S677,'[1]natural catastrophe'!$B$6:$B$17,0)),"?")))</f>
      </c>
      <c r="U677" s="30" t="inlineStr">
        <is>
          <t xml:space="preserve">2% of agreed value, minimum $10,000</t>
        </is>
      </c>
      <c r="V677" s="32" t="inlineStr">
        <is>
          <t xml:space="preserve">Agreed Value</t>
        </is>
      </c>
      <c r="W677" s="30" t="inlineStr">
        <is>
          <t xml:space="preserve">$1,000</t>
        </is>
      </c>
      <c r="X677" s="32" t="inlineStr">
        <is>
          <t xml:space="preserve">$1,000,000 CSL</t>
        </is>
      </c>
      <c r="Y677" s="30"/>
      <c r="Z677" s="30"/>
      <c r="AA677" s="32" t="inlineStr">
        <is>
          <t xml:space="preserve">Surplus Lines</t>
        </is>
      </c>
      <c r="AB677" s="35">
        <v>12347.37</v>
      </c>
      <c r="AC677" s="37">
        <v>0</v>
      </c>
      <c r="AD677" s="38">
        <f>IF(ISNUMBER($AB677),$AB677*(1+N($AC677)),"")</f>
      </c>
      <c r="AE677" s="35">
        <v>350</v>
      </c>
      <c r="AF677" s="35">
        <v>250</v>
      </c>
      <c r="AG677" s="37"/>
      <c r="AH677" s="39">
        <f>IF(ISNUMBER($AD677),($AD677+$AE677+$AF677)*$AG677,"")</f>
      </c>
      <c r="AI677" s="35"/>
      <c r="AJ677" s="38">
        <f>IF(ISNUMBER($AD677),SUM($AD677:$AH677),"")</f>
      </c>
      <c r="AK677" s="40">
        <f>IF(AND(ISNUMBER($AB677),ISNUMBER($AD677)),IF($AB677&gt;0,$AD677/$AB677,""),"")</f>
      </c>
      <c r="AL677" s="32" t="inlineStr">
        <is>
          <t xml:space="preserve">At technical</t>
        </is>
      </c>
      <c r="AM677" s="41">
        <f>IF(ISNUMBER($AD677),Header!$I$3,"")</f>
      </c>
      <c r="AN677" s="39">
        <f>IF(ISNUMBER($AD677),$AO677+$AP677,"")</f>
      </c>
      <c r="AO677" s="39">
        <f>IF(ISNUMBER($AD677),ROUND($AD677*Header!$K$3,2),"")</f>
      </c>
      <c r="AP677" s="39">
        <f>IF(ISNUMBER($AD677),ROUND($AD677*Header!$M$3,2),"")</f>
      </c>
      <c r="AQ677" s="38">
        <f>IF(ISNUMBER($AD677),ROUND($AD677,2)-$AO677-$AP677,"")</f>
      </c>
      <c r="AR677" s="39">
        <f>IF(ISNUMBER($AD677),IF(Header!$D$34="","?",$AD677*Header!$D$34),"")</f>
      </c>
      <c r="AS677" s="39">
        <f>IF(ISNUMBER($AB677),IF(Header!$D$34="","?",$AB677*Header!$D$34),"")</f>
      </c>
      <c r="AT677" s="42">
        <f>IF(AND(ISNUMBER($AB677),$M677&gt;0),$AB677/$M677*100,"")</f>
      </c>
      <c r="AU677" s="42">
        <f>IF(AND(ISNUMBER($AD677),$M677&gt;0),$AD677/$M677*100,"")</f>
      </c>
      <c r="AV677" s="40">
        <f>IF(AND(ISNUMBER($AB677),ISNUMBER($AD677),ABS($AB677)&gt;0),$AD677/$AB677,"")</f>
      </c>
      <c r="AW677" s="39">
        <f>IF(ISNUMBER($AD677),MAX(0,(1-0.55-Header!$O$3)*Header!$Q$3*$AQ677),"")</f>
      </c>
      <c r="AX677" s="43">
        <f>IF($A677="","",IF(TRIM(IF($A677="","Missing certificate ref. ","") &amp; IF($C677="","Missing effective date. ","") &amp; IF($D677="","Missing binding status. ","") &amp; IF($E677="","Missing movement type. ","") &amp; IF($I677="","Missing make. ","") &amp; IF($L677="","Missing vehicle class. ","") &amp; IF($M677="","Missing agreed value. ","") &amp; IF($N677="","Missing policy type. ","") &amp; IF($Q677="","Missing garaging state. ","") &amp; IF($R677="","Missing garaging ZIP. ","") &amp; IF($S677="","Missing cat zone. ","") &amp; IF($V677="","Missing valuation basis. ","") &amp; IF($W677="","Missing PD deductible. ","") &amp; IF($X677="","Missing liability limit. ","") &amp; IF($AB677="","Missing technical premium. ","") &amp; IF($AF677="","Missing surplus lines tax %. ",""))="","PASS","FAIL: "&amp;TRIM(IF($A677="","Missing certificate ref. ","") &amp; IF($C677="","Missing effective date. ","") &amp; IF($D677="","Missing binding status. ","") &amp; IF($E677="","Missing movement type. ","") &amp; IF($I677="","Missing make. ","") &amp; IF($L677="","Missing vehicle class. ","") &amp; IF($M677="","Missing agreed value. ","") &amp; IF($N677="","Missing policy type. ","") &amp; IF($Q677="","Missing garaging state. ","") &amp; IF($R677="","Missing garaging ZIP. ","") &amp; IF($S677="","Missing cat zone. ","") &amp; IF($V677="","Missing valuation basis. ","") &amp; IF($W677="","Missing PD deductible. ","") &amp; IF($X677="","Missing liability limit. ","") &amp; IF($AB677="","Missing technical premium. ","") &amp; IF($AF677="","Missing surplus lines tax %. ",""))))</f>
      </c>
      <c r="AY677" s="44">
        <f>IF($M677="","",IF(ISNUMBER($M677),IF($M677&gt;=Header!$C$18,"YES — refer","No"),""))</f>
      </c>
      <c r="AZ677" s="44">
        <f>IF($AD677="","",IF(ISNUMBER($AD677),IF($AD677&lt;Header!$C$20,"BELOW MIN PREMIUM","OK"),""))</f>
      </c>
      <c r="BA677" s="32" t="inlineStr">
        <is>
          <t xml:space="preserve">Yes</t>
        </is>
      </c>
      <c r="BB677" s="32" t="inlineStr">
        <is>
          <t xml:space="preserve">Yes</t>
        </is>
      </c>
      <c r="BC677" s="30" t="inlineStr">
        <is>
          <t xml:space="preserve">Synthetic demo data</t>
        </is>
      </c>
      <c r="BE677" s="45">
        <f>IF(OR($A677="",$L677="",$H677=""),"",IF(AND(LEFT($L677,2)="06",$H677&gt;1945),"FAIL - pre-war class, year "&amp;$H677,IF(AND(LEFT($L677,2)="07",OR($H677&lt;1946,$H677&gt;1972)),"FAIL - 1946-72 class, year "&amp;$H677,IF(AND(LEFT($L677,2)="08",OR($H677&lt;1973,$H677&gt;1999)),"FAIL - 1973-99 class, year "&amp;$H677,IF(AND(LEFT($L677,2)="09",OR($H677&lt;2000,$H677&gt;2010)),"FAIL - 2000-10 class, year "&amp;$H677,"OK")))))</f>
      </c>
      <c r="BF677" s="45">
        <f>IF($AD677="","",IF(ROUND($AO677+$AP677+$AQ677-$AD677,2)=0,"OK","FAIL - out by "&amp;TEXT($AO677+$AP677+$AQ677-$AD677,"$0.00")))</f>
      </c>
    </row>
    <row r="678" spans="1:58" ht="18.75" customHeight="1" x14ac:dyDescent="0.25">
      <c r="A678" s="46" t="inlineStr">
        <is>
          <t xml:space="preserve">CANON-202606-009329</t>
        </is>
      </c>
      <c r="B678" s="46" t="inlineStr">
        <is>
          <t xml:space="preserve">Aurelio Pennington</t>
        </is>
      </c>
      <c r="C678" s="47">
        <v>46177</v>
      </c>
      <c r="D678" s="48" t="inlineStr">
        <is>
          <t xml:space="preserve">Bound - within authority</t>
        </is>
      </c>
      <c r="E678" s="48" t="inlineStr">
        <is>
          <t xml:space="preserve">New business</t>
        </is>
      </c>
      <c r="F678" s="46" t="inlineStr">
        <is>
          <t xml:space="preserve">B1234EXOTIC26</t>
        </is>
      </c>
      <c r="G678" s="33">
        <f>IF($A678="","",IF($C678="","",YEAR($C678)))</f>
      </c>
      <c r="H678" s="49">
        <v>1996</v>
      </c>
      <c r="I678" s="46" t="inlineStr">
        <is>
          <t xml:space="preserve">Porsche</t>
        </is>
      </c>
      <c r="J678" s="46" t="inlineStr">
        <is>
          <t xml:space="preserve">911 Turbo S</t>
        </is>
      </c>
      <c r="K678" s="46" t="inlineStr">
        <is>
          <t xml:space="preserve">E6MPKVSGZBS7DS8PJ</t>
        </is>
      </c>
      <c r="L678" s="48" t="inlineStr">
        <is>
          <t xml:space="preserve">02 - Sports / GT</t>
        </is>
      </c>
      <c r="M678" s="50">
        <v>440000</v>
      </c>
      <c r="N678" s="48" t="inlineStr">
        <is>
          <t xml:space="preserve">Personal</t>
        </is>
      </c>
      <c r="O678" s="46" t="inlineStr">
        <is>
          <t xml:space="preserve">Personal - regular use</t>
        </is>
      </c>
      <c r="P678" s="46" t="inlineStr">
        <is>
          <t xml:space="preserve">Under 1,000</t>
        </is>
      </c>
      <c r="Q678" s="46" t="inlineStr">
        <is>
          <t xml:space="preserve">Texas</t>
        </is>
      </c>
      <c r="R678" s="46" t="inlineStr">
        <is>
          <t xml:space="preserve">75201</t>
        </is>
      </c>
      <c r="S678" s="48" t="inlineStr">
        <is>
          <t xml:space="preserve">Tier 2 - Coastal wind (1-25 miles)</t>
        </is>
      </c>
      <c r="T678" s="36">
        <f>IF($A678="","",IF($S678="","",IFERROR(INDEX('[1]natural catastrophe'!$D$6:$D$17,MATCH($S678,'[1]natural catastrophe'!$B$6:$B$17,0)),"?")))</f>
      </c>
      <c r="U678" s="46" t="inlineStr">
        <is>
          <t xml:space="preserve">2% of agreed value, minimum $10,000</t>
        </is>
      </c>
      <c r="V678" s="48" t="inlineStr">
        <is>
          <t xml:space="preserve">Agreed Value</t>
        </is>
      </c>
      <c r="W678" s="46" t="inlineStr">
        <is>
          <t xml:space="preserve">$1,000</t>
        </is>
      </c>
      <c r="X678" s="48" t="inlineStr">
        <is>
          <t xml:space="preserve">$1,000,000 CSL</t>
        </is>
      </c>
      <c r="Y678" s="46"/>
      <c r="Z678" s="46"/>
      <c r="AA678" s="48" t="inlineStr">
        <is>
          <t xml:space="preserve">Surplus Lines</t>
        </is>
      </c>
      <c r="AB678" s="50">
        <v>5476.26</v>
      </c>
      <c r="AC678" s="51">
        <v>0</v>
      </c>
      <c r="AD678" s="38">
        <f>IF(ISNUMBER($AB678),$AB678*(1+N($AC678)),"")</f>
      </c>
      <c r="AE678" s="50">
        <v>350</v>
      </c>
      <c r="AF678" s="50">
        <v>0</v>
      </c>
      <c r="AG678" s="51"/>
      <c r="AH678" s="39">
        <f>IF(ISNUMBER($AD678),($AD678+$AE678+$AF678)*$AG678,"")</f>
      </c>
      <c r="AI678" s="50"/>
      <c r="AJ678" s="38">
        <f>IF(ISNUMBER($AD678),SUM($AD678:$AH678),"")</f>
      </c>
      <c r="AK678" s="40">
        <f>IF(AND(ISNUMBER($AB678),ISNUMBER($AD678)),IF($AB678&gt;0,$AD678/$AB678,""),"")</f>
      </c>
      <c r="AL678" s="48" t="inlineStr">
        <is>
          <t xml:space="preserve">At technical</t>
        </is>
      </c>
      <c r="AM678" s="41">
        <f>IF(ISNUMBER($AD678),Header!$I$3,"")</f>
      </c>
      <c r="AN678" s="39">
        <f>IF(ISNUMBER($AD678),$AO678+$AP678,"")</f>
      </c>
      <c r="AO678" s="39">
        <f>IF(ISNUMBER($AD678),ROUND($AD678*Header!$K$3,2),"")</f>
      </c>
      <c r="AP678" s="39">
        <f>IF(ISNUMBER($AD678),ROUND($AD678*Header!$M$3,2),"")</f>
      </c>
      <c r="AQ678" s="38">
        <f>IF(ISNUMBER($AD678),ROUND($AD678,2)-$AO678-$AP678,"")</f>
      </c>
      <c r="AR678" s="39">
        <f>IF(ISNUMBER($AD678),IF(Header!$D$34="","?",$AD678*Header!$D$34),"")</f>
      </c>
      <c r="AS678" s="39">
        <f>IF(ISNUMBER($AB678),IF(Header!$D$34="","?",$AB678*Header!$D$34),"")</f>
      </c>
      <c r="AT678" s="42">
        <f>IF(AND(ISNUMBER($AB678),$M678&gt;0),$AB678/$M678*100,"")</f>
      </c>
      <c r="AU678" s="42">
        <f>IF(AND(ISNUMBER($AD678),$M678&gt;0),$AD678/$M678*100,"")</f>
      </c>
      <c r="AV678" s="40">
        <f>IF(AND(ISNUMBER($AB678),ISNUMBER($AD678),ABS($AB678)&gt;0),$AD678/$AB678,"")</f>
      </c>
      <c r="AW678" s="39">
        <f>IF(ISNUMBER($AD678),MAX(0,(1-0.55-Header!$O$3)*Header!$Q$3*$AQ678),"")</f>
      </c>
      <c r="AX678" s="43">
        <f>IF($A678="","",IF(TRIM(IF($A678="","Missing certificate ref. ","") &amp; IF($C678="","Missing effective date. ","") &amp; IF($D678="","Missing binding status. ","") &amp; IF($E678="","Missing movement type. ","") &amp; IF($I678="","Missing make. ","") &amp; IF($L678="","Missing vehicle class. ","") &amp; IF($M678="","Missing agreed value. ","") &amp; IF($N678="","Missing policy type. ","") &amp; IF($Q678="","Missing garaging state. ","") &amp; IF($R678="","Missing garaging ZIP. ","") &amp; IF($S678="","Missing cat zone. ","") &amp; IF($V678="","Missing valuation basis. ","") &amp; IF($W678="","Missing PD deductible. ","") &amp; IF($X678="","Missing liability limit. ","") &amp; IF($AB678="","Missing technical premium. ","") &amp; IF($AF678="","Missing surplus lines tax %. ",""))="","PASS","FAIL: "&amp;TRIM(IF($A678="","Missing certificate ref. ","") &amp; IF($C678="","Missing effective date. ","") &amp; IF($D678="","Missing binding status. ","") &amp; IF($E678="","Missing movement type. ","") &amp; IF($I678="","Missing make. ","") &amp; IF($L678="","Missing vehicle class. ","") &amp; IF($M678="","Missing agreed value. ","") &amp; IF($N678="","Missing policy type. ","") &amp; IF($Q678="","Missing garaging state. ","") &amp; IF($R678="","Missing garaging ZIP. ","") &amp; IF($S678="","Missing cat zone. ","") &amp; IF($V678="","Missing valuation basis. ","") &amp; IF($W678="","Missing PD deductible. ","") &amp; IF($X678="","Missing liability limit. ","") &amp; IF($AB678="","Missing technical premium. ","") &amp; IF($AF678="","Missing surplus lines tax %. ",""))))</f>
      </c>
      <c r="AY678" s="44">
        <f>IF($M678="","",IF(ISNUMBER($M678),IF($M678&gt;=Header!$C$18,"YES — refer","No"),""))</f>
      </c>
      <c r="AZ678" s="44">
        <f>IF($AD678="","",IF(ISNUMBER($AD678),IF($AD678&lt;Header!$C$20,"BELOW MIN PREMIUM","OK"),""))</f>
      </c>
      <c r="BA678" s="48" t="inlineStr">
        <is>
          <t xml:space="preserve">Yes</t>
        </is>
      </c>
      <c r="BB678" s="48" t="inlineStr">
        <is>
          <t xml:space="preserve">Yes</t>
        </is>
      </c>
      <c r="BC678" s="46" t="inlineStr">
        <is>
          <t xml:space="preserve">Synthetic demo data</t>
        </is>
      </c>
      <c r="BE678" s="45">
        <f>IF(OR($A678="",$L678="",$H678=""),"",IF(AND(LEFT($L678,2)="06",$H678&gt;1945),"FAIL - pre-war class, year "&amp;$H678,IF(AND(LEFT($L678,2)="07",OR($H678&lt;1946,$H678&gt;1972)),"FAIL - 1946-72 class, year "&amp;$H678,IF(AND(LEFT($L678,2)="08",OR($H678&lt;1973,$H678&gt;1999)),"FAIL - 1973-99 class, year "&amp;$H678,IF(AND(LEFT($L678,2)="09",OR($H678&lt;2000,$H678&gt;2010)),"FAIL - 2000-10 class, year "&amp;$H678,"OK")))))</f>
      </c>
      <c r="BF678" s="45">
        <f>IF($AD678="","",IF(ROUND($AO678+$AP678+$AQ678-$AD678,2)=0,"OK","FAIL - out by "&amp;TEXT($AO678+$AP678+$AQ678-$AD678,"$0.00")))</f>
      </c>
    </row>
    <row r="679" spans="1:58" ht="18.75" customHeight="1" x14ac:dyDescent="0.25">
      <c r="A679" s="30" t="inlineStr">
        <is>
          <t xml:space="preserve">CANON-202606-009330</t>
        </is>
      </c>
      <c r="B679" s="30" t="inlineStr">
        <is>
          <t xml:space="preserve">Desmond Thistlewood</t>
        </is>
      </c>
      <c r="C679" s="31">
        <v>46196</v>
      </c>
      <c r="D679" s="32" t="inlineStr">
        <is>
          <t xml:space="preserve">Bound - within authority</t>
        </is>
      </c>
      <c r="E679" s="32" t="inlineStr">
        <is>
          <t xml:space="preserve">New business</t>
        </is>
      </c>
      <c r="F679" s="30" t="inlineStr">
        <is>
          <t xml:space="preserve">B1234EXOTIC26</t>
        </is>
      </c>
      <c r="G679" s="33">
        <f>IF($A679="","",IF($C679="","",YEAR($C679)))</f>
      </c>
      <c r="H679" s="34">
        <v>1974</v>
      </c>
      <c r="I679" s="30" t="inlineStr">
        <is>
          <t xml:space="preserve">Porsche</t>
        </is>
      </c>
      <c r="J679" s="30" t="inlineStr">
        <is>
          <t xml:space="preserve">911 Turbo S</t>
        </is>
      </c>
      <c r="K679" s="30" t="inlineStr">
        <is>
          <t xml:space="preserve">RZ78PPW50YG7YYTSZ</t>
        </is>
      </c>
      <c r="L679" s="32" t="inlineStr">
        <is>
          <t xml:space="preserve">02 - Sports / GT</t>
        </is>
      </c>
      <c r="M679" s="35">
        <v>880000</v>
      </c>
      <c r="N679" s="32" t="inlineStr">
        <is>
          <t xml:space="preserve">Personal</t>
        </is>
      </c>
      <c r="O679" s="30" t="inlineStr">
        <is>
          <t xml:space="preserve">Personal - regular use</t>
        </is>
      </c>
      <c r="P679" s="30" t="inlineStr">
        <is>
          <t xml:space="preserve">Under 1,000</t>
        </is>
      </c>
      <c r="Q679" s="30" t="inlineStr">
        <is>
          <t xml:space="preserve">Arkansas</t>
        </is>
      </c>
      <c r="R679" s="30" t="inlineStr">
        <is>
          <t xml:space="preserve">72201</t>
        </is>
      </c>
      <c r="S679" s="32" t="inlineStr">
        <is>
          <t xml:space="preserve">Severe convective - hail / tornado (moderate)</t>
        </is>
      </c>
      <c r="T679" s="36">
        <f>IF($A679="","",IF($S679="","",IFERROR(INDEX('[1]natural catastrophe'!$D$6:$D$17,MATCH($S679,'[1]natural catastrophe'!$B$6:$B$17,0)),"?")))</f>
      </c>
      <c r="U679" s="30" t="inlineStr">
        <is>
          <t xml:space="preserve">$5,000</t>
        </is>
      </c>
      <c r="V679" s="32" t="inlineStr">
        <is>
          <t xml:space="preserve">Agreed Value</t>
        </is>
      </c>
      <c r="W679" s="30" t="inlineStr">
        <is>
          <t xml:space="preserve">$1,000</t>
        </is>
      </c>
      <c r="X679" s="32" t="inlineStr">
        <is>
          <t xml:space="preserve">$1,000,000 CSL</t>
        </is>
      </c>
      <c r="Y679" s="30"/>
      <c r="Z679" s="30"/>
      <c r="AA679" s="32" t="inlineStr">
        <is>
          <t xml:space="preserve">Surplus Lines</t>
        </is>
      </c>
      <c r="AB679" s="35">
        <v>11390.61</v>
      </c>
      <c r="AC679" s="37">
        <v>0</v>
      </c>
      <c r="AD679" s="38">
        <f>IF(ISNUMBER($AB679),$AB679*(1+N($AC679)),"")</f>
      </c>
      <c r="AE679" s="35">
        <v>350</v>
      </c>
      <c r="AF679" s="35">
        <v>0</v>
      </c>
      <c r="AG679" s="37"/>
      <c r="AH679" s="39">
        <f>IF(ISNUMBER($AD679),($AD679+$AE679+$AF679)*$AG679,"")</f>
      </c>
      <c r="AI679" s="35"/>
      <c r="AJ679" s="38">
        <f>IF(ISNUMBER($AD679),SUM($AD679:$AH679),"")</f>
      </c>
      <c r="AK679" s="40">
        <f>IF(AND(ISNUMBER($AB679),ISNUMBER($AD679)),IF($AB679&gt;0,$AD679/$AB679,""),"")</f>
      </c>
      <c r="AL679" s="32" t="inlineStr">
        <is>
          <t xml:space="preserve">At technical</t>
        </is>
      </c>
      <c r="AM679" s="41">
        <f>IF(ISNUMBER($AD679),Header!$I$3,"")</f>
      </c>
      <c r="AN679" s="39">
        <f>IF(ISNUMBER($AD679),$AO679+$AP679,"")</f>
      </c>
      <c r="AO679" s="39">
        <f>IF(ISNUMBER($AD679),ROUND($AD679*Header!$K$3,2),"")</f>
      </c>
      <c r="AP679" s="39">
        <f>IF(ISNUMBER($AD679),ROUND($AD679*Header!$M$3,2),"")</f>
      </c>
      <c r="AQ679" s="38">
        <f>IF(ISNUMBER($AD679),ROUND($AD679,2)-$AO679-$AP679,"")</f>
      </c>
      <c r="AR679" s="39">
        <f>IF(ISNUMBER($AD679),IF(Header!$D$34="","?",$AD679*Header!$D$34),"")</f>
      </c>
      <c r="AS679" s="39">
        <f>IF(ISNUMBER($AB679),IF(Header!$D$34="","?",$AB679*Header!$D$34),"")</f>
      </c>
      <c r="AT679" s="42">
        <f>IF(AND(ISNUMBER($AB679),$M679&gt;0),$AB679/$M679*100,"")</f>
      </c>
      <c r="AU679" s="42">
        <f>IF(AND(ISNUMBER($AD679),$M679&gt;0),$AD679/$M679*100,"")</f>
      </c>
      <c r="AV679" s="40">
        <f>IF(AND(ISNUMBER($AB679),ISNUMBER($AD679),ABS($AB679)&gt;0),$AD679/$AB679,"")</f>
      </c>
      <c r="AW679" s="39">
        <f>IF(ISNUMBER($AD679),MAX(0,(1-0.55-Header!$O$3)*Header!$Q$3*$AQ679),"")</f>
      </c>
      <c r="AX679" s="43">
        <f>IF($A679="","",IF(TRIM(IF($A679="","Missing certificate ref. ","") &amp; IF($C679="","Missing effective date. ","") &amp; IF($D679="","Missing binding status. ","") &amp; IF($E679="","Missing movement type. ","") &amp; IF($I679="","Missing make. ","") &amp; IF($L679="","Missing vehicle class. ","") &amp; IF($M679="","Missing agreed value. ","") &amp; IF($N679="","Missing policy type. ","") &amp; IF($Q679="","Missing garaging state. ","") &amp; IF($R679="","Missing garaging ZIP. ","") &amp; IF($S679="","Missing cat zone. ","") &amp; IF($V679="","Missing valuation basis. ","") &amp; IF($W679="","Missing PD deductible. ","") &amp; IF($X679="","Missing liability limit. ","") &amp; IF($AB679="","Missing technical premium. ","") &amp; IF($AF679="","Missing surplus lines tax %. ",""))="","PASS","FAIL: "&amp;TRIM(IF($A679="","Missing certificate ref. ","") &amp; IF($C679="","Missing effective date. ","") &amp; IF($D679="","Missing binding status. ","") &amp; IF($E679="","Missing movement type. ","") &amp; IF($I679="","Missing make. ","") &amp; IF($L679="","Missing vehicle class. ","") &amp; IF($M679="","Missing agreed value. ","") &amp; IF($N679="","Missing policy type. ","") &amp; IF($Q679="","Missing garaging state. ","") &amp; IF($R679="","Missing garaging ZIP. ","") &amp; IF($S679="","Missing cat zone. ","") &amp; IF($V679="","Missing valuation basis. ","") &amp; IF($W679="","Missing PD deductible. ","") &amp; IF($X679="","Missing liability limit. ","") &amp; IF($AB679="","Missing technical premium. ","") &amp; IF($AF679="","Missing surplus lines tax %. ",""))))</f>
      </c>
      <c r="AY679" s="44">
        <f>IF($M679="","",IF(ISNUMBER($M679),IF($M679&gt;=Header!$C$18,"YES — refer","No"),""))</f>
      </c>
      <c r="AZ679" s="44">
        <f>IF($AD679="","",IF(ISNUMBER($AD679),IF($AD679&lt;Header!$C$20,"BELOW MIN PREMIUM","OK"),""))</f>
      </c>
      <c r="BA679" s="32" t="inlineStr">
        <is>
          <t xml:space="preserve">Yes</t>
        </is>
      </c>
      <c r="BB679" s="32" t="inlineStr">
        <is>
          <t xml:space="preserve">Yes</t>
        </is>
      </c>
      <c r="BC679" s="30" t="inlineStr">
        <is>
          <t xml:space="preserve">Synthetic demo data</t>
        </is>
      </c>
      <c r="BE679" s="45">
        <f>IF(OR($A679="",$L679="",$H679=""),"",IF(AND(LEFT($L679,2)="06",$H679&gt;1945),"FAIL - pre-war class, year "&amp;$H679,IF(AND(LEFT($L679,2)="07",OR($H679&lt;1946,$H679&gt;1972)),"FAIL - 1946-72 class, year "&amp;$H679,IF(AND(LEFT($L679,2)="08",OR($H679&lt;1973,$H679&gt;1999)),"FAIL - 1973-99 class, year "&amp;$H679,IF(AND(LEFT($L679,2)="09",OR($H679&lt;2000,$H679&gt;2010)),"FAIL - 2000-10 class, year "&amp;$H679,"OK")))))</f>
      </c>
      <c r="BF679" s="45">
        <f>IF($AD679="","",IF(ROUND($AO679+$AP679+$AQ679-$AD679,2)=0,"OK","FAIL - out by "&amp;TEXT($AO679+$AP679+$AQ679-$AD679,"$0.00")))</f>
      </c>
    </row>
    <row r="680" spans="1:58" ht="18.75" customHeight="1" x14ac:dyDescent="0.25">
      <c r="A680" s="46" t="inlineStr">
        <is>
          <t xml:space="preserve">CANON-202606-009332</t>
        </is>
      </c>
      <c r="B680" s="46" t="inlineStr">
        <is>
          <t xml:space="preserve">Emiliano Larsson</t>
        </is>
      </c>
      <c r="C680" s="47">
        <v>46182</v>
      </c>
      <c r="D680" s="48" t="inlineStr">
        <is>
          <t xml:space="preserve">Bound - within authority</t>
        </is>
      </c>
      <c r="E680" s="48" t="inlineStr">
        <is>
          <t xml:space="preserve">New business</t>
        </is>
      </c>
      <c r="F680" s="46" t="inlineStr">
        <is>
          <t xml:space="preserve">B1234EXOTIC26</t>
        </is>
      </c>
      <c r="G680" s="33">
        <f>IF($A680="","",IF($C680="","",YEAR($C680)))</f>
      </c>
      <c r="H680" s="49">
        <v>2012</v>
      </c>
      <c r="I680" s="46" t="inlineStr">
        <is>
          <t xml:space="preserve">BMW</t>
        </is>
      </c>
      <c r="J680" s="46" t="inlineStr">
        <is>
          <t xml:space="preserve">M8 Competition</t>
        </is>
      </c>
      <c r="K680" s="46" t="inlineStr">
        <is>
          <t xml:space="preserve">BNJR6BLBVD89PWMB5</t>
        </is>
      </c>
      <c r="L680" s="48" t="inlineStr">
        <is>
          <t xml:space="preserve">02 - Sports / GT</t>
        </is>
      </c>
      <c r="M680" s="50">
        <v>620000</v>
      </c>
      <c r="N680" s="48" t="inlineStr">
        <is>
          <t xml:space="preserve">Personal</t>
        </is>
      </c>
      <c r="O680" s="46" t="inlineStr">
        <is>
          <t xml:space="preserve">Personal - regular use</t>
        </is>
      </c>
      <c r="P680" s="46" t="inlineStr">
        <is>
          <t xml:space="preserve">Under 1,000</t>
        </is>
      </c>
      <c r="Q680" s="46" t="inlineStr">
        <is>
          <t xml:space="preserve">Alaska</t>
        </is>
      </c>
      <c r="R680" s="46" t="inlineStr">
        <is>
          <t xml:space="preserve">99501</t>
        </is>
      </c>
      <c r="S680" s="48" t="inlineStr">
        <is>
          <t xml:space="preserve">Earthquake - high (CA, Cascadia, New Madrid)</t>
        </is>
      </c>
      <c r="T680" s="36">
        <f>IF($A680="","",IF($S680="","",IFERROR(INDEX('[1]natural catastrophe'!$D$6:$D$17,MATCH($S680,'[1]natural catastrophe'!$B$6:$B$17,0)),"?")))</f>
      </c>
      <c r="U680" s="46" t="inlineStr">
        <is>
          <t xml:space="preserve">$5,000</t>
        </is>
      </c>
      <c r="V680" s="48" t="inlineStr">
        <is>
          <t xml:space="preserve">Agreed Value</t>
        </is>
      </c>
      <c r="W680" s="46" t="inlineStr">
        <is>
          <t xml:space="preserve">$1,000</t>
        </is>
      </c>
      <c r="X680" s="48" t="inlineStr">
        <is>
          <t xml:space="preserve">$1,000,000 CSL</t>
        </is>
      </c>
      <c r="Y680" s="46"/>
      <c r="Z680" s="46"/>
      <c r="AA680" s="48" t="inlineStr">
        <is>
          <t xml:space="preserve">Surplus Lines</t>
        </is>
      </c>
      <c r="AB680" s="50">
        <v>6629.52</v>
      </c>
      <c r="AC680" s="51">
        <v>0</v>
      </c>
      <c r="AD680" s="38">
        <f>IF(ISNUMBER($AB680),$AB680*(1+N($AC680)),"")</f>
      </c>
      <c r="AE680" s="50">
        <v>350</v>
      </c>
      <c r="AF680" s="50">
        <v>0</v>
      </c>
      <c r="AG680" s="51"/>
      <c r="AH680" s="39">
        <f>IF(ISNUMBER($AD680),($AD680+$AE680+$AF680)*$AG680,"")</f>
      </c>
      <c r="AI680" s="50"/>
      <c r="AJ680" s="38">
        <f>IF(ISNUMBER($AD680),SUM($AD680:$AH680),"")</f>
      </c>
      <c r="AK680" s="40">
        <f>IF(AND(ISNUMBER($AB680),ISNUMBER($AD680)),IF($AB680&gt;0,$AD680/$AB680,""),"")</f>
      </c>
      <c r="AL680" s="48" t="inlineStr">
        <is>
          <t xml:space="preserve">At technical</t>
        </is>
      </c>
      <c r="AM680" s="41">
        <f>IF(ISNUMBER($AD680),Header!$I$3,"")</f>
      </c>
      <c r="AN680" s="39">
        <f>IF(ISNUMBER($AD680),$AO680+$AP680,"")</f>
      </c>
      <c r="AO680" s="39">
        <f>IF(ISNUMBER($AD680),ROUND($AD680*Header!$K$3,2),"")</f>
      </c>
      <c r="AP680" s="39">
        <f>IF(ISNUMBER($AD680),ROUND($AD680*Header!$M$3,2),"")</f>
      </c>
      <c r="AQ680" s="38">
        <f>IF(ISNUMBER($AD680),ROUND($AD680,2)-$AO680-$AP680,"")</f>
      </c>
      <c r="AR680" s="39">
        <f>IF(ISNUMBER($AD680),IF(Header!$D$34="","?",$AD680*Header!$D$34),"")</f>
      </c>
      <c r="AS680" s="39">
        <f>IF(ISNUMBER($AB680),IF(Header!$D$34="","?",$AB680*Header!$D$34),"")</f>
      </c>
      <c r="AT680" s="42">
        <f>IF(AND(ISNUMBER($AB680),$M680&gt;0),$AB680/$M680*100,"")</f>
      </c>
      <c r="AU680" s="42">
        <f>IF(AND(ISNUMBER($AD680),$M680&gt;0),$AD680/$M680*100,"")</f>
      </c>
      <c r="AV680" s="40">
        <f>IF(AND(ISNUMBER($AB680),ISNUMBER($AD680),ABS($AB680)&gt;0),$AD680/$AB680,"")</f>
      </c>
      <c r="AW680" s="39">
        <f>IF(ISNUMBER($AD680),MAX(0,(1-0.55-Header!$O$3)*Header!$Q$3*$AQ680),"")</f>
      </c>
      <c r="AX680" s="43">
        <f>IF($A680="","",IF(TRIM(IF($A680="","Missing certificate ref. ","") &amp; IF($C680="","Missing effective date. ","") &amp; IF($D680="","Missing binding status. ","") &amp; IF($E680="","Missing movement type. ","") &amp; IF($I680="","Missing make. ","") &amp; IF($L680="","Missing vehicle class. ","") &amp; IF($M680="","Missing agreed value. ","") &amp; IF($N680="","Missing policy type. ","") &amp; IF($Q680="","Missing garaging state. ","") &amp; IF($R680="","Missing garaging ZIP. ","") &amp; IF($S680="","Missing cat zone. ","") &amp; IF($V680="","Missing valuation basis. ","") &amp; IF($W680="","Missing PD deductible. ","") &amp; IF($X680="","Missing liability limit. ","") &amp; IF($AB680="","Missing technical premium. ","") &amp; IF($AF680="","Missing surplus lines tax %. ",""))="","PASS","FAIL: "&amp;TRIM(IF($A680="","Missing certificate ref. ","") &amp; IF($C680="","Missing effective date. ","") &amp; IF($D680="","Missing binding status. ","") &amp; IF($E680="","Missing movement type. ","") &amp; IF($I680="","Missing make. ","") &amp; IF($L680="","Missing vehicle class. ","") &amp; IF($M680="","Missing agreed value. ","") &amp; IF($N680="","Missing policy type. ","") &amp; IF($Q680="","Missing garaging state. ","") &amp; IF($R680="","Missing garaging ZIP. ","") &amp; IF($S680="","Missing cat zone. ","") &amp; IF($V680="","Missing valuation basis. ","") &amp; IF($W680="","Missing PD deductible. ","") &amp; IF($X680="","Missing liability limit. ","") &amp; IF($AB680="","Missing technical premium. ","") &amp; IF($AF680="","Missing surplus lines tax %. ",""))))</f>
      </c>
      <c r="AY680" s="44">
        <f>IF($M680="","",IF(ISNUMBER($M680),IF($M680&gt;=Header!$C$18,"YES — refer","No"),""))</f>
      </c>
      <c r="AZ680" s="44">
        <f>IF($AD680="","",IF(ISNUMBER($AD680),IF($AD680&lt;Header!$C$20,"BELOW MIN PREMIUM","OK"),""))</f>
      </c>
      <c r="BA680" s="48" t="inlineStr">
        <is>
          <t xml:space="preserve">Yes</t>
        </is>
      </c>
      <c r="BB680" s="48" t="inlineStr">
        <is>
          <t xml:space="preserve">Yes</t>
        </is>
      </c>
      <c r="BC680" s="46" t="inlineStr">
        <is>
          <t xml:space="preserve">Synthetic demo data</t>
        </is>
      </c>
      <c r="BE680" s="45">
        <f>IF(OR($A680="",$L680="",$H680=""),"",IF(AND(LEFT($L680,2)="06",$H680&gt;1945),"FAIL - pre-war class, year "&amp;$H680,IF(AND(LEFT($L680,2)="07",OR($H680&lt;1946,$H680&gt;1972)),"FAIL - 1946-72 class, year "&amp;$H680,IF(AND(LEFT($L680,2)="08",OR($H680&lt;1973,$H680&gt;1999)),"FAIL - 1973-99 class, year "&amp;$H680,IF(AND(LEFT($L680,2)="09",OR($H680&lt;2000,$H680&gt;2010)),"FAIL - 2000-10 class, year "&amp;$H680,"OK")))))</f>
      </c>
      <c r="BF680" s="45">
        <f>IF($AD680="","",IF(ROUND($AO680+$AP680+$AQ680-$AD680,2)=0,"OK","FAIL - out by "&amp;TEXT($AO680+$AP680+$AQ680-$AD680,"$0.00")))</f>
      </c>
    </row>
    <row r="681" spans="1:58" ht="18.75" customHeight="1" x14ac:dyDescent="0.25">
      <c r="A681" s="30" t="inlineStr">
        <is>
          <t xml:space="preserve">CANON-202606-009333</t>
        </is>
      </c>
      <c r="B681" s="30" t="inlineStr">
        <is>
          <t xml:space="preserve">Noor Bellandi</t>
        </is>
      </c>
      <c r="C681" s="31">
        <v>46197</v>
      </c>
      <c r="D681" s="32" t="inlineStr">
        <is>
          <t xml:space="preserve">Bound - within authority</t>
        </is>
      </c>
      <c r="E681" s="32" t="inlineStr">
        <is>
          <t xml:space="preserve">New business</t>
        </is>
      </c>
      <c r="F681" s="30" t="inlineStr">
        <is>
          <t xml:space="preserve">B1234EXOTIC26</t>
        </is>
      </c>
      <c r="G681" s="33">
        <f>IF($A681="","",IF($C681="","",YEAR($C681)))</f>
      </c>
      <c r="H681" s="34">
        <v>2013</v>
      </c>
      <c r="I681" s="30" t="inlineStr">
        <is>
          <t xml:space="preserve">Ferrari</t>
        </is>
      </c>
      <c r="J681" s="30" t="inlineStr">
        <is>
          <t xml:space="preserve">SF90 Stradale</t>
        </is>
      </c>
      <c r="K681" s="30" t="inlineStr">
        <is>
          <t xml:space="preserve">5AJWKGC7LXT5HYD21</t>
        </is>
      </c>
      <c r="L681" s="32" t="inlineStr">
        <is>
          <t xml:space="preserve">03 - Supercar</t>
        </is>
      </c>
      <c r="M681" s="35">
        <v>680000</v>
      </c>
      <c r="N681" s="32" t="inlineStr">
        <is>
          <t xml:space="preserve">Personal</t>
        </is>
      </c>
      <c r="O681" s="30" t="inlineStr">
        <is>
          <t xml:space="preserve">Personal - regular use</t>
        </is>
      </c>
      <c r="P681" s="30" t="inlineStr">
        <is>
          <t xml:space="preserve">1,000 - 2,500</t>
        </is>
      </c>
      <c r="Q681" s="30" t="inlineStr">
        <is>
          <t xml:space="preserve">New York</t>
        </is>
      </c>
      <c r="R681" s="30" t="inlineStr">
        <is>
          <t xml:space="preserve">10022</t>
        </is>
      </c>
      <c r="S681" s="32" t="inlineStr">
        <is>
          <t xml:space="preserve">Tier 3 - Coastal wind (25-100 miles)</t>
        </is>
      </c>
      <c r="T681" s="36">
        <f>IF($A681="","",IF($S681="","",IFERROR(INDEX('[1]natural catastrophe'!$D$6:$D$17,MATCH($S681,'[1]natural catastrophe'!$B$6:$B$17,0)),"?")))</f>
      </c>
      <c r="U681" s="30" t="inlineStr">
        <is>
          <t xml:space="preserve">2% of agreed value, minimum $10,000</t>
        </is>
      </c>
      <c r="V681" s="32" t="inlineStr">
        <is>
          <t xml:space="preserve">Agreed Value</t>
        </is>
      </c>
      <c r="W681" s="30" t="inlineStr">
        <is>
          <t xml:space="preserve">$1,000</t>
        </is>
      </c>
      <c r="X681" s="32" t="inlineStr">
        <is>
          <t xml:space="preserve">$1,000,000 CSL</t>
        </is>
      </c>
      <c r="Y681" s="30"/>
      <c r="Z681" s="30"/>
      <c r="AA681" s="32" t="inlineStr">
        <is>
          <t xml:space="preserve">Surplus Lines</t>
        </is>
      </c>
      <c r="AB681" s="35">
        <v>11932.03</v>
      </c>
      <c r="AC681" s="37">
        <v>0</v>
      </c>
      <c r="AD681" s="38">
        <f>IF(ISNUMBER($AB681),$AB681*(1+N($AC681)),"")</f>
      </c>
      <c r="AE681" s="35">
        <v>350</v>
      </c>
      <c r="AF681" s="35">
        <v>0</v>
      </c>
      <c r="AG681" s="37"/>
      <c r="AH681" s="39">
        <f>IF(ISNUMBER($AD681),($AD681+$AE681+$AF681)*$AG681,"")</f>
      </c>
      <c r="AI681" s="35"/>
      <c r="AJ681" s="38">
        <f>IF(ISNUMBER($AD681),SUM($AD681:$AH681),"")</f>
      </c>
      <c r="AK681" s="40">
        <f>IF(AND(ISNUMBER($AB681),ISNUMBER($AD681)),IF($AB681&gt;0,$AD681/$AB681,""),"")</f>
      </c>
      <c r="AL681" s="32" t="inlineStr">
        <is>
          <t xml:space="preserve">At technical</t>
        </is>
      </c>
      <c r="AM681" s="41">
        <f>IF(ISNUMBER($AD681),Header!$I$3,"")</f>
      </c>
      <c r="AN681" s="39">
        <f>IF(ISNUMBER($AD681),$AO681+$AP681,"")</f>
      </c>
      <c r="AO681" s="39">
        <f>IF(ISNUMBER($AD681),ROUND($AD681*Header!$K$3,2),"")</f>
      </c>
      <c r="AP681" s="39">
        <f>IF(ISNUMBER($AD681),ROUND($AD681*Header!$M$3,2),"")</f>
      </c>
      <c r="AQ681" s="38">
        <f>IF(ISNUMBER($AD681),ROUND($AD681,2)-$AO681-$AP681,"")</f>
      </c>
      <c r="AR681" s="39">
        <f>IF(ISNUMBER($AD681),IF(Header!$D$34="","?",$AD681*Header!$D$34),"")</f>
      </c>
      <c r="AS681" s="39">
        <f>IF(ISNUMBER($AB681),IF(Header!$D$34="","?",$AB681*Header!$D$34),"")</f>
      </c>
      <c r="AT681" s="42">
        <f>IF(AND(ISNUMBER($AB681),$M681&gt;0),$AB681/$M681*100,"")</f>
      </c>
      <c r="AU681" s="42">
        <f>IF(AND(ISNUMBER($AD681),$M681&gt;0),$AD681/$M681*100,"")</f>
      </c>
      <c r="AV681" s="40">
        <f>IF(AND(ISNUMBER($AB681),ISNUMBER($AD681),ABS($AB681)&gt;0),$AD681/$AB681,"")</f>
      </c>
      <c r="AW681" s="39">
        <f>IF(ISNUMBER($AD681),MAX(0,(1-0.55-Header!$O$3)*Header!$Q$3*$AQ681),"")</f>
      </c>
      <c r="AX681" s="43">
        <f>IF($A681="","",IF(TRIM(IF($A681="","Missing certificate ref. ","") &amp; IF($C681="","Missing effective date. ","") &amp; IF($D681="","Missing binding status. ","") &amp; IF($E681="","Missing movement type. ","") &amp; IF($I681="","Missing make. ","") &amp; IF($L681="","Missing vehicle class. ","") &amp; IF($M681="","Missing agreed value. ","") &amp; IF($N681="","Missing policy type. ","") &amp; IF($Q681="","Missing garaging state. ","") &amp; IF($R681="","Missing garaging ZIP. ","") &amp; IF($S681="","Missing cat zone. ","") &amp; IF($V681="","Missing valuation basis. ","") &amp; IF($W681="","Missing PD deductible. ","") &amp; IF($X681="","Missing liability limit. ","") &amp; IF($AB681="","Missing technical premium. ","") &amp; IF($AF681="","Missing surplus lines tax %. ",""))="","PASS","FAIL: "&amp;TRIM(IF($A681="","Missing certificate ref. ","") &amp; IF($C681="","Missing effective date. ","") &amp; IF($D681="","Missing binding status. ","") &amp; IF($E681="","Missing movement type. ","") &amp; IF($I681="","Missing make. ","") &amp; IF($L681="","Missing vehicle class. ","") &amp; IF($M681="","Missing agreed value. ","") &amp; IF($N681="","Missing policy type. ","") &amp; IF($Q681="","Missing garaging state. ","") &amp; IF($R681="","Missing garaging ZIP. ","") &amp; IF($S681="","Missing cat zone. ","") &amp; IF($V681="","Missing valuation basis. ","") &amp; IF($W681="","Missing PD deductible. ","") &amp; IF($X681="","Missing liability limit. ","") &amp; IF($AB681="","Missing technical premium. ","") &amp; IF($AF681="","Missing surplus lines tax %. ",""))))</f>
      </c>
      <c r="AY681" s="44">
        <f>IF($M681="","",IF(ISNUMBER($M681),IF($M681&gt;=Header!$C$18,"YES — refer","No"),""))</f>
      </c>
      <c r="AZ681" s="44">
        <f>IF($AD681="","",IF(ISNUMBER($AD681),IF($AD681&lt;Header!$C$20,"BELOW MIN PREMIUM","OK"),""))</f>
      </c>
      <c r="BA681" s="32" t="inlineStr">
        <is>
          <t xml:space="preserve">Yes</t>
        </is>
      </c>
      <c r="BB681" s="32" t="inlineStr">
        <is>
          <t xml:space="preserve">Yes</t>
        </is>
      </c>
      <c r="BC681" s="30" t="inlineStr">
        <is>
          <t xml:space="preserve">Synthetic demo data</t>
        </is>
      </c>
      <c r="BE681" s="45">
        <f>IF(OR($A681="",$L681="",$H681=""),"",IF(AND(LEFT($L681,2)="06",$H681&gt;1945),"FAIL - pre-war class, year "&amp;$H681,IF(AND(LEFT($L681,2)="07",OR($H681&lt;1946,$H681&gt;1972)),"FAIL - 1946-72 class, year "&amp;$H681,IF(AND(LEFT($L681,2)="08",OR($H681&lt;1973,$H681&gt;1999)),"FAIL - 1973-99 class, year "&amp;$H681,IF(AND(LEFT($L681,2)="09",OR($H681&lt;2000,$H681&gt;2010)),"FAIL - 2000-10 class, year "&amp;$H681,"OK")))))</f>
      </c>
      <c r="BF681" s="45">
        <f>IF($AD681="","",IF(ROUND($AO681+$AP681+$AQ681-$AD681,2)=0,"OK","FAIL - out by "&amp;TEXT($AO681+$AP681+$AQ681-$AD681,"$0.00")))</f>
      </c>
    </row>
    <row r="682" spans="1:58" ht="18.75" customHeight="1" x14ac:dyDescent="0.25">
      <c r="A682" s="46" t="inlineStr">
        <is>
          <t xml:space="preserve">CANON-202606-009334</t>
        </is>
      </c>
      <c r="B682" s="46" t="inlineStr">
        <is>
          <t xml:space="preserve">Anouk Harrington</t>
        </is>
      </c>
      <c r="C682" s="47">
        <v>46178</v>
      </c>
      <c r="D682" s="48" t="inlineStr">
        <is>
          <t xml:space="preserve">Bound - within authority</t>
        </is>
      </c>
      <c r="E682" s="48" t="inlineStr">
        <is>
          <t xml:space="preserve">New business</t>
        </is>
      </c>
      <c r="F682" s="46" t="inlineStr">
        <is>
          <t xml:space="preserve">B1234EXOTIC26</t>
        </is>
      </c>
      <c r="G682" s="33">
        <f>IF($A682="","",IF($C682="","",YEAR($C682)))</f>
      </c>
      <c r="H682" s="49">
        <v>2014</v>
      </c>
      <c r="I682" s="46" t="inlineStr">
        <is>
          <t xml:space="preserve">Maserati</t>
        </is>
      </c>
      <c r="J682" s="46" t="inlineStr">
        <is>
          <t xml:space="preserve">GranTurismo</t>
        </is>
      </c>
      <c r="K682" s="46" t="inlineStr">
        <is>
          <t xml:space="preserve">9WJMKCGX4HW6JEKLY</t>
        </is>
      </c>
      <c r="L682" s="48" t="inlineStr">
        <is>
          <t xml:space="preserve">02 - Sports / GT</t>
        </is>
      </c>
      <c r="M682" s="50">
        <v>385000</v>
      </c>
      <c r="N682" s="48" t="inlineStr">
        <is>
          <t xml:space="preserve">Personal</t>
        </is>
      </c>
      <c r="O682" s="46" t="inlineStr">
        <is>
          <t xml:space="preserve">Personal - regular use</t>
        </is>
      </c>
      <c r="P682" s="46" t="inlineStr">
        <is>
          <t xml:space="preserve">Under 1,000</t>
        </is>
      </c>
      <c r="Q682" s="46" t="inlineStr">
        <is>
          <t xml:space="preserve">California</t>
        </is>
      </c>
      <c r="R682" s="46" t="inlineStr">
        <is>
          <t xml:space="preserve">90012</t>
        </is>
      </c>
      <c r="S682" s="48" t="inlineStr">
        <is>
          <t xml:space="preserve">Earthquake - high (CA, Cascadia, New Madrid)</t>
        </is>
      </c>
      <c r="T682" s="36">
        <f>IF($A682="","",IF($S682="","",IFERROR(INDEX('[1]natural catastrophe'!$D$6:$D$17,MATCH($S682,'[1]natural catastrophe'!$B$6:$B$17,0)),"?")))</f>
      </c>
      <c r="U682" s="46" t="inlineStr">
        <is>
          <t xml:space="preserve">$5,000</t>
        </is>
      </c>
      <c r="V682" s="48" t="inlineStr">
        <is>
          <t xml:space="preserve">Agreed Value</t>
        </is>
      </c>
      <c r="W682" s="46" t="inlineStr">
        <is>
          <t xml:space="preserve">$1,000</t>
        </is>
      </c>
      <c r="X682" s="48" t="inlineStr">
        <is>
          <t xml:space="preserve">$1,000,000 CSL</t>
        </is>
      </c>
      <c r="Y682" s="46"/>
      <c r="Z682" s="46"/>
      <c r="AA682" s="48" t="inlineStr">
        <is>
          <t xml:space="preserve">Surplus Lines</t>
        </is>
      </c>
      <c r="AB682" s="50">
        <v>5625.07</v>
      </c>
      <c r="AC682" s="51">
        <v>0</v>
      </c>
      <c r="AD682" s="38">
        <f>IF(ISNUMBER($AB682),$AB682*(1+N($AC682)),"")</f>
      </c>
      <c r="AE682" s="50">
        <v>350</v>
      </c>
      <c r="AF682" s="50">
        <v>0</v>
      </c>
      <c r="AG682" s="51"/>
      <c r="AH682" s="39">
        <f>IF(ISNUMBER($AD682),($AD682+$AE682+$AF682)*$AG682,"")</f>
      </c>
      <c r="AI682" s="50"/>
      <c r="AJ682" s="38">
        <f>IF(ISNUMBER($AD682),SUM($AD682:$AH682),"")</f>
      </c>
      <c r="AK682" s="40">
        <f>IF(AND(ISNUMBER($AB682),ISNUMBER($AD682)),IF($AB682&gt;0,$AD682/$AB682,""),"")</f>
      </c>
      <c r="AL682" s="48" t="inlineStr">
        <is>
          <t xml:space="preserve">At technical</t>
        </is>
      </c>
      <c r="AM682" s="41">
        <f>IF(ISNUMBER($AD682),Header!$I$3,"")</f>
      </c>
      <c r="AN682" s="39">
        <f>IF(ISNUMBER($AD682),$AO682+$AP682,"")</f>
      </c>
      <c r="AO682" s="39">
        <f>IF(ISNUMBER($AD682),ROUND($AD682*Header!$K$3,2),"")</f>
      </c>
      <c r="AP682" s="39">
        <f>IF(ISNUMBER($AD682),ROUND($AD682*Header!$M$3,2),"")</f>
      </c>
      <c r="AQ682" s="38">
        <f>IF(ISNUMBER($AD682),ROUND($AD682,2)-$AO682-$AP682,"")</f>
      </c>
      <c r="AR682" s="39">
        <f>IF(ISNUMBER($AD682),IF(Header!$D$34="","?",$AD682*Header!$D$34),"")</f>
      </c>
      <c r="AS682" s="39">
        <f>IF(ISNUMBER($AB682),IF(Header!$D$34="","?",$AB682*Header!$D$34),"")</f>
      </c>
      <c r="AT682" s="42">
        <f>IF(AND(ISNUMBER($AB682),$M682&gt;0),$AB682/$M682*100,"")</f>
      </c>
      <c r="AU682" s="42">
        <f>IF(AND(ISNUMBER($AD682),$M682&gt;0),$AD682/$M682*100,"")</f>
      </c>
      <c r="AV682" s="40">
        <f>IF(AND(ISNUMBER($AB682),ISNUMBER($AD682),ABS($AB682)&gt;0),$AD682/$AB682,"")</f>
      </c>
      <c r="AW682" s="39">
        <f>IF(ISNUMBER($AD682),MAX(0,(1-0.55-Header!$O$3)*Header!$Q$3*$AQ682),"")</f>
      </c>
      <c r="AX682" s="43">
        <f>IF($A682="","",IF(TRIM(IF($A682="","Missing certificate ref. ","") &amp; IF($C682="","Missing effective date. ","") &amp; IF($D682="","Missing binding status. ","") &amp; IF($E682="","Missing movement type. ","") &amp; IF($I682="","Missing make. ","") &amp; IF($L682="","Missing vehicle class. ","") &amp; IF($M682="","Missing agreed value. ","") &amp; IF($N682="","Missing policy type. ","") &amp; IF($Q682="","Missing garaging state. ","") &amp; IF($R682="","Missing garaging ZIP. ","") &amp; IF($S682="","Missing cat zone. ","") &amp; IF($V682="","Missing valuation basis. ","") &amp; IF($W682="","Missing PD deductible. ","") &amp; IF($X682="","Missing liability limit. ","") &amp; IF($AB682="","Missing technical premium. ","") &amp; IF($AF682="","Missing surplus lines tax %. ",""))="","PASS","FAIL: "&amp;TRIM(IF($A682="","Missing certificate ref. ","") &amp; IF($C682="","Missing effective date. ","") &amp; IF($D682="","Missing binding status. ","") &amp; IF($E682="","Missing movement type. ","") &amp; IF($I682="","Missing make. ","") &amp; IF($L682="","Missing vehicle class. ","") &amp; IF($M682="","Missing agreed value. ","") &amp; IF($N682="","Missing policy type. ","") &amp; IF($Q682="","Missing garaging state. ","") &amp; IF($R682="","Missing garaging ZIP. ","") &amp; IF($S682="","Missing cat zone. ","") &amp; IF($V682="","Missing valuation basis. ","") &amp; IF($W682="","Missing PD deductible. ","") &amp; IF($X682="","Missing liability limit. ","") &amp; IF($AB682="","Missing technical premium. ","") &amp; IF($AF682="","Missing surplus lines tax %. ",""))))</f>
      </c>
      <c r="AY682" s="44">
        <f>IF($M682="","",IF(ISNUMBER($M682),IF($M682&gt;=Header!$C$18,"YES — refer","No"),""))</f>
      </c>
      <c r="AZ682" s="44">
        <f>IF($AD682="","",IF(ISNUMBER($AD682),IF($AD682&lt;Header!$C$20,"BELOW MIN PREMIUM","OK"),""))</f>
      </c>
      <c r="BA682" s="48" t="inlineStr">
        <is>
          <t xml:space="preserve">Yes</t>
        </is>
      </c>
      <c r="BB682" s="48" t="inlineStr">
        <is>
          <t xml:space="preserve">Yes</t>
        </is>
      </c>
      <c r="BC682" s="46" t="inlineStr">
        <is>
          <t xml:space="preserve">Synthetic demo data</t>
        </is>
      </c>
      <c r="BE682" s="45">
        <f>IF(OR($A682="",$L682="",$H682=""),"",IF(AND(LEFT($L682,2)="06",$H682&gt;1945),"FAIL - pre-war class, year "&amp;$H682,IF(AND(LEFT($L682,2)="07",OR($H682&lt;1946,$H682&gt;1972)),"FAIL - 1946-72 class, year "&amp;$H682,IF(AND(LEFT($L682,2)="08",OR($H682&lt;1973,$H682&gt;1999)),"FAIL - 1973-99 class, year "&amp;$H682,IF(AND(LEFT($L682,2)="09",OR($H682&lt;2000,$H682&gt;2010)),"FAIL - 2000-10 class, year "&amp;$H682,"OK")))))</f>
      </c>
      <c r="BF682" s="45">
        <f>IF($AD682="","",IF(ROUND($AO682+$AP682+$AQ682-$AD682,2)=0,"OK","FAIL - out by "&amp;TEXT($AO682+$AP682+$AQ682-$AD682,"$0.00")))</f>
      </c>
    </row>
    <row r="683" spans="1:58" ht="18.75" customHeight="1" x14ac:dyDescent="0.25">
      <c r="A683" s="30" t="inlineStr">
        <is>
          <t xml:space="preserve">CANON-202606-009335</t>
        </is>
      </c>
      <c r="B683" s="30" t="inlineStr">
        <is>
          <t xml:space="preserve">Saoirse Okonkwo</t>
        </is>
      </c>
      <c r="C683" s="31">
        <v>46188</v>
      </c>
      <c r="D683" s="32" t="inlineStr">
        <is>
          <t xml:space="preserve">Bound - within authority</t>
        </is>
      </c>
      <c r="E683" s="32" t="inlineStr">
        <is>
          <t xml:space="preserve">New business</t>
        </is>
      </c>
      <c r="F683" s="30" t="inlineStr">
        <is>
          <t xml:space="preserve">B1234EXOTIC26</t>
        </is>
      </c>
      <c r="G683" s="33">
        <f>IF($A683="","",IF($C683="","",YEAR($C683)))</f>
      </c>
      <c r="H683" s="34">
        <v>1966</v>
      </c>
      <c r="I683" s="30" t="inlineStr">
        <is>
          <t xml:space="preserve">Bentley</t>
        </is>
      </c>
      <c r="J683" s="30" t="inlineStr">
        <is>
          <t xml:space="preserve">Continental GT</t>
        </is>
      </c>
      <c r="K683" s="30" t="inlineStr">
        <is>
          <t xml:space="preserve">CYVNWBFYAS9KUKLW3</t>
        </is>
      </c>
      <c r="L683" s="32" t="inlineStr">
        <is>
          <t xml:space="preserve">02 - Sports / GT</t>
        </is>
      </c>
      <c r="M683" s="35">
        <v>745000</v>
      </c>
      <c r="N683" s="32" t="inlineStr">
        <is>
          <t xml:space="preserve">Personal</t>
        </is>
      </c>
      <c r="O683" s="30" t="inlineStr">
        <is>
          <t xml:space="preserve">Personal - regular use</t>
        </is>
      </c>
      <c r="P683" s="30" t="inlineStr">
        <is>
          <t xml:space="preserve">1,000 - 2,500</t>
        </is>
      </c>
      <c r="Q683" s="30" t="inlineStr">
        <is>
          <t xml:space="preserve">Virginia</t>
        </is>
      </c>
      <c r="R683" s="30" t="inlineStr">
        <is>
          <t xml:space="preserve">23219</t>
        </is>
      </c>
      <c r="S683" s="32" t="inlineStr">
        <is>
          <t xml:space="preserve">Tier 3 - Coastal wind (25-100 miles)</t>
        </is>
      </c>
      <c r="T683" s="36">
        <f>IF($A683="","",IF($S683="","",IFERROR(INDEX('[1]natural catastrophe'!$D$6:$D$17,MATCH($S683,'[1]natural catastrophe'!$B$6:$B$17,0)),"?")))</f>
      </c>
      <c r="U683" s="30" t="inlineStr">
        <is>
          <t xml:space="preserve">2% of agreed value, minimum $10,000</t>
        </is>
      </c>
      <c r="V683" s="32" t="inlineStr">
        <is>
          <t xml:space="preserve">Agreed Value</t>
        </is>
      </c>
      <c r="W683" s="30" t="inlineStr">
        <is>
          <t xml:space="preserve">$1,000</t>
        </is>
      </c>
      <c r="X683" s="32" t="inlineStr">
        <is>
          <t xml:space="preserve">$1,000,000 CSL</t>
        </is>
      </c>
      <c r="Y683" s="30"/>
      <c r="Z683" s="30"/>
      <c r="AA683" s="32" t="inlineStr">
        <is>
          <t xml:space="preserve">Surplus Lines</t>
        </is>
      </c>
      <c r="AB683" s="35">
        <v>7616.72</v>
      </c>
      <c r="AC683" s="37">
        <v>0</v>
      </c>
      <c r="AD683" s="38">
        <f>IF(ISNUMBER($AB683),$AB683*(1+N($AC683)),"")</f>
      </c>
      <c r="AE683" s="35">
        <v>350</v>
      </c>
      <c r="AF683" s="35">
        <v>0</v>
      </c>
      <c r="AG683" s="37"/>
      <c r="AH683" s="39">
        <f>IF(ISNUMBER($AD683),($AD683+$AE683+$AF683)*$AG683,"")</f>
      </c>
      <c r="AI683" s="35"/>
      <c r="AJ683" s="38">
        <f>IF(ISNUMBER($AD683),SUM($AD683:$AH683),"")</f>
      </c>
      <c r="AK683" s="40">
        <f>IF(AND(ISNUMBER($AB683),ISNUMBER($AD683)),IF($AB683&gt;0,$AD683/$AB683,""),"")</f>
      </c>
      <c r="AL683" s="32" t="inlineStr">
        <is>
          <t xml:space="preserve">At technical</t>
        </is>
      </c>
      <c r="AM683" s="41">
        <f>IF(ISNUMBER($AD683),Header!$I$3,"")</f>
      </c>
      <c r="AN683" s="39">
        <f>IF(ISNUMBER($AD683),$AO683+$AP683,"")</f>
      </c>
      <c r="AO683" s="39">
        <f>IF(ISNUMBER($AD683),ROUND($AD683*Header!$K$3,2),"")</f>
      </c>
      <c r="AP683" s="39">
        <f>IF(ISNUMBER($AD683),ROUND($AD683*Header!$M$3,2),"")</f>
      </c>
      <c r="AQ683" s="38">
        <f>IF(ISNUMBER($AD683),ROUND($AD683,2)-$AO683-$AP683,"")</f>
      </c>
      <c r="AR683" s="39">
        <f>IF(ISNUMBER($AD683),IF(Header!$D$34="","?",$AD683*Header!$D$34),"")</f>
      </c>
      <c r="AS683" s="39">
        <f>IF(ISNUMBER($AB683),IF(Header!$D$34="","?",$AB683*Header!$D$34),"")</f>
      </c>
      <c r="AT683" s="42">
        <f>IF(AND(ISNUMBER($AB683),$M683&gt;0),$AB683/$M683*100,"")</f>
      </c>
      <c r="AU683" s="42">
        <f>IF(AND(ISNUMBER($AD683),$M683&gt;0),$AD683/$M683*100,"")</f>
      </c>
      <c r="AV683" s="40">
        <f>IF(AND(ISNUMBER($AB683),ISNUMBER($AD683),ABS($AB683)&gt;0),$AD683/$AB683,"")</f>
      </c>
      <c r="AW683" s="39">
        <f>IF(ISNUMBER($AD683),MAX(0,(1-0.55-Header!$O$3)*Header!$Q$3*$AQ683),"")</f>
      </c>
      <c r="AX683" s="43">
        <f>IF($A683="","",IF(TRIM(IF($A683="","Missing certificate ref. ","") &amp; IF($C683="","Missing effective date. ","") &amp; IF($D683="","Missing binding status. ","") &amp; IF($E683="","Missing movement type. ","") &amp; IF($I683="","Missing make. ","") &amp; IF($L683="","Missing vehicle class. ","") &amp; IF($M683="","Missing agreed value. ","") &amp; IF($N683="","Missing policy type. ","") &amp; IF($Q683="","Missing garaging state. ","") &amp; IF($R683="","Missing garaging ZIP. ","") &amp; IF($S683="","Missing cat zone. ","") &amp; IF($V683="","Missing valuation basis. ","") &amp; IF($W683="","Missing PD deductible. ","") &amp; IF($X683="","Missing liability limit. ","") &amp; IF($AB683="","Missing technical premium. ","") &amp; IF($AF683="","Missing surplus lines tax %. ",""))="","PASS","FAIL: "&amp;TRIM(IF($A683="","Missing certificate ref. ","") &amp; IF($C683="","Missing effective date. ","") &amp; IF($D683="","Missing binding status. ","") &amp; IF($E683="","Missing movement type. ","") &amp; IF($I683="","Missing make. ","") &amp; IF($L683="","Missing vehicle class. ","") &amp; IF($M683="","Missing agreed value. ","") &amp; IF($N683="","Missing policy type. ","") &amp; IF($Q683="","Missing garaging state. ","") &amp; IF($R683="","Missing garaging ZIP. ","") &amp; IF($S683="","Missing cat zone. ","") &amp; IF($V683="","Missing valuation basis. ","") &amp; IF($W683="","Missing PD deductible. ","") &amp; IF($X683="","Missing liability limit. ","") &amp; IF($AB683="","Missing technical premium. ","") &amp; IF($AF683="","Missing surplus lines tax %. ",""))))</f>
      </c>
      <c r="AY683" s="44">
        <f>IF($M683="","",IF(ISNUMBER($M683),IF($M683&gt;=Header!$C$18,"YES — refer","No"),""))</f>
      </c>
      <c r="AZ683" s="44">
        <f>IF($AD683="","",IF(ISNUMBER($AD683),IF($AD683&lt;Header!$C$20,"BELOW MIN PREMIUM","OK"),""))</f>
      </c>
      <c r="BA683" s="32" t="inlineStr">
        <is>
          <t xml:space="preserve">Yes</t>
        </is>
      </c>
      <c r="BB683" s="32" t="inlineStr">
        <is>
          <t xml:space="preserve">Yes</t>
        </is>
      </c>
      <c r="BC683" s="30" t="inlineStr">
        <is>
          <t xml:space="preserve">Synthetic demo data</t>
        </is>
      </c>
      <c r="BE683" s="45">
        <f>IF(OR($A683="",$L683="",$H683=""),"",IF(AND(LEFT($L683,2)="06",$H683&gt;1945),"FAIL - pre-war class, year "&amp;$H683,IF(AND(LEFT($L683,2)="07",OR($H683&lt;1946,$H683&gt;1972)),"FAIL - 1946-72 class, year "&amp;$H683,IF(AND(LEFT($L683,2)="08",OR($H683&lt;1973,$H683&gt;1999)),"FAIL - 1973-99 class, year "&amp;$H683,IF(AND(LEFT($L683,2)="09",OR($H683&lt;2000,$H683&gt;2010)),"FAIL - 2000-10 class, year "&amp;$H683,"OK")))))</f>
      </c>
      <c r="BF683" s="45">
        <f>IF($AD683="","",IF(ROUND($AO683+$AP683+$AQ683-$AD683,2)=0,"OK","FAIL - out by "&amp;TEXT($AO683+$AP683+$AQ683-$AD683,"$0.00")))</f>
      </c>
    </row>
    <row r="684" spans="1:58" ht="18.75" customHeight="1" x14ac:dyDescent="0.25">
      <c r="A684" s="46" t="inlineStr">
        <is>
          <t xml:space="preserve">CANON-202606-009336</t>
        </is>
      </c>
      <c r="B684" s="46" t="inlineStr">
        <is>
          <t xml:space="preserve">Ramona Rourke</t>
        </is>
      </c>
      <c r="C684" s="47">
        <v>46175</v>
      </c>
      <c r="D684" s="48" t="inlineStr">
        <is>
          <t xml:space="preserve">Bound - within authority</t>
        </is>
      </c>
      <c r="E684" s="48" t="inlineStr">
        <is>
          <t xml:space="preserve">New business</t>
        </is>
      </c>
      <c r="F684" s="46" t="inlineStr">
        <is>
          <t xml:space="preserve">B1234EXOTIC26</t>
        </is>
      </c>
      <c r="G684" s="33">
        <f>IF($A684="","",IF($C684="","",YEAR($C684)))</f>
      </c>
      <c r="H684" s="49">
        <v>1956</v>
      </c>
      <c r="I684" s="46" t="inlineStr">
        <is>
          <t xml:space="preserve">Aston Martin</t>
        </is>
      </c>
      <c r="J684" s="46" t="inlineStr">
        <is>
          <t xml:space="preserve">DB12</t>
        </is>
      </c>
      <c r="K684" s="46" t="inlineStr">
        <is>
          <t xml:space="preserve">6N92P571NHRL7R8FH</t>
        </is>
      </c>
      <c r="L684" s="48" t="inlineStr">
        <is>
          <t xml:space="preserve">02 - Sports / GT</t>
        </is>
      </c>
      <c r="M684" s="50">
        <v>490000</v>
      </c>
      <c r="N684" s="48" t="inlineStr">
        <is>
          <t xml:space="preserve">Personal</t>
        </is>
      </c>
      <c r="O684" s="46" t="inlineStr">
        <is>
          <t xml:space="preserve">Personal - regular use</t>
        </is>
      </c>
      <c r="P684" s="46" t="inlineStr">
        <is>
          <t xml:space="preserve">1,000 - 2,500</t>
        </is>
      </c>
      <c r="Q684" s="46" t="inlineStr">
        <is>
          <t xml:space="preserve">Hawaii</t>
        </is>
      </c>
      <c r="R684" s="46" t="inlineStr">
        <is>
          <t xml:space="preserve">96813</t>
        </is>
      </c>
      <c r="S684" s="48" t="inlineStr">
        <is>
          <t xml:space="preserve">Earthquake - high (CA, Cascadia, New Madrid)</t>
        </is>
      </c>
      <c r="T684" s="36">
        <f>IF($A684="","",IF($S684="","",IFERROR(INDEX('[1]natural catastrophe'!$D$6:$D$17,MATCH($S684,'[1]natural catastrophe'!$B$6:$B$17,0)),"?")))</f>
      </c>
      <c r="U684" s="46" t="inlineStr">
        <is>
          <t xml:space="preserve">$5,000</t>
        </is>
      </c>
      <c r="V684" s="48" t="inlineStr">
        <is>
          <t xml:space="preserve">Agreed Value</t>
        </is>
      </c>
      <c r="W684" s="46" t="inlineStr">
        <is>
          <t xml:space="preserve">$1,000</t>
        </is>
      </c>
      <c r="X684" s="48" t="inlineStr">
        <is>
          <t xml:space="preserve">$1,000,000 CSL</t>
        </is>
      </c>
      <c r="Y684" s="46"/>
      <c r="Z684" s="46"/>
      <c r="AA684" s="48" t="inlineStr">
        <is>
          <t xml:space="preserve">Surplus Lines</t>
        </is>
      </c>
      <c r="AB684" s="50">
        <v>6894.02</v>
      </c>
      <c r="AC684" s="51">
        <v>0</v>
      </c>
      <c r="AD684" s="38">
        <f>IF(ISNUMBER($AB684),$AB684*(1+N($AC684)),"")</f>
      </c>
      <c r="AE684" s="50">
        <v>350</v>
      </c>
      <c r="AF684" s="50">
        <v>0</v>
      </c>
      <c r="AG684" s="51"/>
      <c r="AH684" s="39">
        <f>IF(ISNUMBER($AD684),($AD684+$AE684+$AF684)*$AG684,"")</f>
      </c>
      <c r="AI684" s="50"/>
      <c r="AJ684" s="38">
        <f>IF(ISNUMBER($AD684),SUM($AD684:$AH684),"")</f>
      </c>
      <c r="AK684" s="40">
        <f>IF(AND(ISNUMBER($AB684),ISNUMBER($AD684)),IF($AB684&gt;0,$AD684/$AB684,""),"")</f>
      </c>
      <c r="AL684" s="48" t="inlineStr">
        <is>
          <t xml:space="preserve">At technical</t>
        </is>
      </c>
      <c r="AM684" s="41">
        <f>IF(ISNUMBER($AD684),Header!$I$3,"")</f>
      </c>
      <c r="AN684" s="39">
        <f>IF(ISNUMBER($AD684),$AO684+$AP684,"")</f>
      </c>
      <c r="AO684" s="39">
        <f>IF(ISNUMBER($AD684),ROUND($AD684*Header!$K$3,2),"")</f>
      </c>
      <c r="AP684" s="39">
        <f>IF(ISNUMBER($AD684),ROUND($AD684*Header!$M$3,2),"")</f>
      </c>
      <c r="AQ684" s="38">
        <f>IF(ISNUMBER($AD684),ROUND($AD684,2)-$AO684-$AP684,"")</f>
      </c>
      <c r="AR684" s="39">
        <f>IF(ISNUMBER($AD684),IF(Header!$D$34="","?",$AD684*Header!$D$34),"")</f>
      </c>
      <c r="AS684" s="39">
        <f>IF(ISNUMBER($AB684),IF(Header!$D$34="","?",$AB684*Header!$D$34),"")</f>
      </c>
      <c r="AT684" s="42">
        <f>IF(AND(ISNUMBER($AB684),$M684&gt;0),$AB684/$M684*100,"")</f>
      </c>
      <c r="AU684" s="42">
        <f>IF(AND(ISNUMBER($AD684),$M684&gt;0),$AD684/$M684*100,"")</f>
      </c>
      <c r="AV684" s="40">
        <f>IF(AND(ISNUMBER($AB684),ISNUMBER($AD684),ABS($AB684)&gt;0),$AD684/$AB684,"")</f>
      </c>
      <c r="AW684" s="39">
        <f>IF(ISNUMBER($AD684),MAX(0,(1-0.55-Header!$O$3)*Header!$Q$3*$AQ684),"")</f>
      </c>
      <c r="AX684" s="43">
        <f>IF($A684="","",IF(TRIM(IF($A684="","Missing certificate ref. ","") &amp; IF($C684="","Missing effective date. ","") &amp; IF($D684="","Missing binding status. ","") &amp; IF($E684="","Missing movement type. ","") &amp; IF($I684="","Missing make. ","") &amp; IF($L684="","Missing vehicle class. ","") &amp; IF($M684="","Missing agreed value. ","") &amp; IF($N684="","Missing policy type. ","") &amp; IF($Q684="","Missing garaging state. ","") &amp; IF($R684="","Missing garaging ZIP. ","") &amp; IF($S684="","Missing cat zone. ","") &amp; IF($V684="","Missing valuation basis. ","") &amp; IF($W684="","Missing PD deductible. ","") &amp; IF($X684="","Missing liability limit. ","") &amp; IF($AB684="","Missing technical premium. ","") &amp; IF($AF684="","Missing surplus lines tax %. ",""))="","PASS","FAIL: "&amp;TRIM(IF($A684="","Missing certificate ref. ","") &amp; IF($C684="","Missing effective date. ","") &amp; IF($D684="","Missing binding status. ","") &amp; IF($E684="","Missing movement type. ","") &amp; IF($I684="","Missing make. ","") &amp; IF($L684="","Missing vehicle class. ","") &amp; IF($M684="","Missing agreed value. ","") &amp; IF($N684="","Missing policy type. ","") &amp; IF($Q684="","Missing garaging state. ","") &amp; IF($R684="","Missing garaging ZIP. ","") &amp; IF($S684="","Missing cat zone. ","") &amp; IF($V684="","Missing valuation basis. ","") &amp; IF($W684="","Missing PD deductible. ","") &amp; IF($X684="","Missing liability limit. ","") &amp; IF($AB684="","Missing technical premium. ","") &amp; IF($AF684="","Missing surplus lines tax %. ",""))))</f>
      </c>
      <c r="AY684" s="44">
        <f>IF($M684="","",IF(ISNUMBER($M684),IF($M684&gt;=Header!$C$18,"YES — refer","No"),""))</f>
      </c>
      <c r="AZ684" s="44">
        <f>IF($AD684="","",IF(ISNUMBER($AD684),IF($AD684&lt;Header!$C$20,"BELOW MIN PREMIUM","OK"),""))</f>
      </c>
      <c r="BA684" s="48" t="inlineStr">
        <is>
          <t xml:space="preserve">Yes</t>
        </is>
      </c>
      <c r="BB684" s="48" t="inlineStr">
        <is>
          <t xml:space="preserve">Yes</t>
        </is>
      </c>
      <c r="BC684" s="46" t="inlineStr">
        <is>
          <t xml:space="preserve">Synthetic demo data</t>
        </is>
      </c>
      <c r="BE684" s="45">
        <f>IF(OR($A684="",$L684="",$H684=""),"",IF(AND(LEFT($L684,2)="06",$H684&gt;1945),"FAIL - pre-war class, year "&amp;$H684,IF(AND(LEFT($L684,2)="07",OR($H684&lt;1946,$H684&gt;1972)),"FAIL - 1946-72 class, year "&amp;$H684,IF(AND(LEFT($L684,2)="08",OR($H684&lt;1973,$H684&gt;1999)),"FAIL - 1973-99 class, year "&amp;$H684,IF(AND(LEFT($L684,2)="09",OR($H684&lt;2000,$H684&gt;2010)),"FAIL - 2000-10 class, year "&amp;$H684,"OK")))))</f>
      </c>
      <c r="BF684" s="45">
        <f>IF($AD684="","",IF(ROUND($AO684+$AP684+$AQ684-$AD684,2)=0,"OK","FAIL - out by "&amp;TEXT($AO684+$AP684+$AQ684-$AD684,"$0.00")))</f>
      </c>
    </row>
    <row r="685" spans="1:58" ht="18.75" customHeight="1" x14ac:dyDescent="0.25">
      <c r="A685" s="30" t="inlineStr">
        <is>
          <t xml:space="preserve">CANON-202606-009337</t>
        </is>
      </c>
      <c r="B685" s="30" t="inlineStr">
        <is>
          <t xml:space="preserve">Priya Fairweather</t>
        </is>
      </c>
      <c r="C685" s="31">
        <v>46193</v>
      </c>
      <c r="D685" s="32" t="inlineStr">
        <is>
          <t xml:space="preserve">Bound - within authority</t>
        </is>
      </c>
      <c r="E685" s="32" t="inlineStr">
        <is>
          <t xml:space="preserve">New business</t>
        </is>
      </c>
      <c r="F685" s="30" t="inlineStr">
        <is>
          <t xml:space="preserve">B1234EXOTIC26</t>
        </is>
      </c>
      <c r="G685" s="33">
        <f>IF($A685="","",IF($C685="","",YEAR($C685)))</f>
      </c>
      <c r="H685" s="34">
        <v>1981</v>
      </c>
      <c r="I685" s="30" t="inlineStr">
        <is>
          <t xml:space="preserve">Mercedes-Benz</t>
        </is>
      </c>
      <c r="J685" s="30" t="inlineStr">
        <is>
          <t xml:space="preserve">AMG GT</t>
        </is>
      </c>
      <c r="K685" s="30" t="inlineStr">
        <is>
          <t xml:space="preserve">NU3WJTKZA5YA3TUX1</t>
        </is>
      </c>
      <c r="L685" s="32" t="inlineStr">
        <is>
          <t xml:space="preserve">02 - Sports / GT</t>
        </is>
      </c>
      <c r="M685" s="35">
        <v>230000</v>
      </c>
      <c r="N685" s="32" t="inlineStr">
        <is>
          <t xml:space="preserve">Personal</t>
        </is>
      </c>
      <c r="O685" s="30" t="inlineStr">
        <is>
          <t xml:space="preserve">Personal - regular use</t>
        </is>
      </c>
      <c r="P685" s="30" t="inlineStr">
        <is>
          <t xml:space="preserve">2,500 - 5,000</t>
        </is>
      </c>
      <c r="Q685" s="30" t="inlineStr">
        <is>
          <t xml:space="preserve">North Dakota</t>
        </is>
      </c>
      <c r="R685" s="30" t="inlineStr">
        <is>
          <t xml:space="preserve">58501</t>
        </is>
      </c>
      <c r="S685" s="32" t="inlineStr">
        <is>
          <t xml:space="preserve">Severe convective - hail alley (high)</t>
        </is>
      </c>
      <c r="T685" s="36">
        <f>IF($A685="","",IF($S685="","",IFERROR(INDEX('[1]natural catastrophe'!$D$6:$D$17,MATCH($S685,'[1]natural catastrophe'!$B$6:$B$17,0)),"?")))</f>
      </c>
      <c r="U685" s="30" t="inlineStr">
        <is>
          <t xml:space="preserve">$5,000</t>
        </is>
      </c>
      <c r="V685" s="32" t="inlineStr">
        <is>
          <t xml:space="preserve">Agreed Value</t>
        </is>
      </c>
      <c r="W685" s="30" t="inlineStr">
        <is>
          <t xml:space="preserve">$1,000</t>
        </is>
      </c>
      <c r="X685" s="32" t="inlineStr">
        <is>
          <t xml:space="preserve">$1,000,000 CSL</t>
        </is>
      </c>
      <c r="Y685" s="30"/>
      <c r="Z685" s="30"/>
      <c r="AA685" s="32" t="inlineStr">
        <is>
          <t xml:space="preserve">Surplus Lines</t>
        </is>
      </c>
      <c r="AB685" s="35">
        <v>3114.5</v>
      </c>
      <c r="AC685" s="37">
        <v>0</v>
      </c>
      <c r="AD685" s="38">
        <f>IF(ISNUMBER($AB685),$AB685*(1+N($AC685)),"")</f>
      </c>
      <c r="AE685" s="35">
        <v>350</v>
      </c>
      <c r="AF685" s="35">
        <v>0</v>
      </c>
      <c r="AG685" s="37"/>
      <c r="AH685" s="39">
        <f>IF(ISNUMBER($AD685),($AD685+$AE685+$AF685)*$AG685,"")</f>
      </c>
      <c r="AI685" s="35"/>
      <c r="AJ685" s="38">
        <f>IF(ISNUMBER($AD685),SUM($AD685:$AH685),"")</f>
      </c>
      <c r="AK685" s="40">
        <f>IF(AND(ISNUMBER($AB685),ISNUMBER($AD685)),IF($AB685&gt;0,$AD685/$AB685,""),"")</f>
      </c>
      <c r="AL685" s="32" t="inlineStr">
        <is>
          <t xml:space="preserve">At technical</t>
        </is>
      </c>
      <c r="AM685" s="41">
        <f>IF(ISNUMBER($AD685),Header!$I$3,"")</f>
      </c>
      <c r="AN685" s="39">
        <f>IF(ISNUMBER($AD685),$AO685+$AP685,"")</f>
      </c>
      <c r="AO685" s="39">
        <f>IF(ISNUMBER($AD685),ROUND($AD685*Header!$K$3,2),"")</f>
      </c>
      <c r="AP685" s="39">
        <f>IF(ISNUMBER($AD685),ROUND($AD685*Header!$M$3,2),"")</f>
      </c>
      <c r="AQ685" s="38">
        <f>IF(ISNUMBER($AD685),ROUND($AD685,2)-$AO685-$AP685,"")</f>
      </c>
      <c r="AR685" s="39">
        <f>IF(ISNUMBER($AD685),IF(Header!$D$34="","?",$AD685*Header!$D$34),"")</f>
      </c>
      <c r="AS685" s="39">
        <f>IF(ISNUMBER($AB685),IF(Header!$D$34="","?",$AB685*Header!$D$34),"")</f>
      </c>
      <c r="AT685" s="42">
        <f>IF(AND(ISNUMBER($AB685),$M685&gt;0),$AB685/$M685*100,"")</f>
      </c>
      <c r="AU685" s="42">
        <f>IF(AND(ISNUMBER($AD685),$M685&gt;0),$AD685/$M685*100,"")</f>
      </c>
      <c r="AV685" s="40">
        <f>IF(AND(ISNUMBER($AB685),ISNUMBER($AD685),ABS($AB685)&gt;0),$AD685/$AB685,"")</f>
      </c>
      <c r="AW685" s="39">
        <f>IF(ISNUMBER($AD685),MAX(0,(1-0.55-Header!$O$3)*Header!$Q$3*$AQ685),"")</f>
      </c>
      <c r="AX685" s="43">
        <f>IF($A685="","",IF(TRIM(IF($A685="","Missing certificate ref. ","") &amp; IF($C685="","Missing effective date. ","") &amp; IF($D685="","Missing binding status. ","") &amp; IF($E685="","Missing movement type. ","") &amp; IF($I685="","Missing make. ","") &amp; IF($L685="","Missing vehicle class. ","") &amp; IF($M685="","Missing agreed value. ","") &amp; IF($N685="","Missing policy type. ","") &amp; IF($Q685="","Missing garaging state. ","") &amp; IF($R685="","Missing garaging ZIP. ","") &amp; IF($S685="","Missing cat zone. ","") &amp; IF($V685="","Missing valuation basis. ","") &amp; IF($W685="","Missing PD deductible. ","") &amp; IF($X685="","Missing liability limit. ","") &amp; IF($AB685="","Missing technical premium. ","") &amp; IF($AF685="","Missing surplus lines tax %. ",""))="","PASS","FAIL: "&amp;TRIM(IF($A685="","Missing certificate ref. ","") &amp; IF($C685="","Missing effective date. ","") &amp; IF($D685="","Missing binding status. ","") &amp; IF($E685="","Missing movement type. ","") &amp; IF($I685="","Missing make. ","") &amp; IF($L685="","Missing vehicle class. ","") &amp; IF($M685="","Missing agreed value. ","") &amp; IF($N685="","Missing policy type. ","") &amp; IF($Q685="","Missing garaging state. ","") &amp; IF($R685="","Missing garaging ZIP. ","") &amp; IF($S685="","Missing cat zone. ","") &amp; IF($V685="","Missing valuation basis. ","") &amp; IF($W685="","Missing PD deductible. ","") &amp; IF($X685="","Missing liability limit. ","") &amp; IF($AB685="","Missing technical premium. ","") &amp; IF($AF685="","Missing surplus lines tax %. ",""))))</f>
      </c>
      <c r="AY685" s="44">
        <f>IF($M685="","",IF(ISNUMBER($M685),IF($M685&gt;=Header!$C$18,"YES — refer","No"),""))</f>
      </c>
      <c r="AZ685" s="44">
        <f>IF($AD685="","",IF(ISNUMBER($AD685),IF($AD685&lt;Header!$C$20,"BELOW MIN PREMIUM","OK"),""))</f>
      </c>
      <c r="BA685" s="32" t="inlineStr">
        <is>
          <t xml:space="preserve">Yes</t>
        </is>
      </c>
      <c r="BB685" s="32" t="inlineStr">
        <is>
          <t xml:space="preserve">Yes</t>
        </is>
      </c>
      <c r="BC685" s="30" t="inlineStr">
        <is>
          <t xml:space="preserve">Synthetic demo data</t>
        </is>
      </c>
      <c r="BE685" s="45">
        <f>IF(OR($A685="",$L685="",$H685=""),"",IF(AND(LEFT($L685,2)="06",$H685&gt;1945),"FAIL - pre-war class, year "&amp;$H685,IF(AND(LEFT($L685,2)="07",OR($H685&lt;1946,$H685&gt;1972)),"FAIL - 1946-72 class, year "&amp;$H685,IF(AND(LEFT($L685,2)="08",OR($H685&lt;1973,$H685&gt;1999)),"FAIL - 1973-99 class, year "&amp;$H685,IF(AND(LEFT($L685,2)="09",OR($H685&lt;2000,$H685&gt;2010)),"FAIL - 2000-10 class, year "&amp;$H685,"OK")))))</f>
      </c>
      <c r="BF685" s="45">
        <f>IF($AD685="","",IF(ROUND($AO685+$AP685+$AQ685-$AD685,2)=0,"OK","FAIL - out by "&amp;TEXT($AO685+$AP685+$AQ685-$AD685,"$0.00")))</f>
      </c>
    </row>
    <row r="686" spans="1:58" ht="18.75" customHeight="1" x14ac:dyDescent="0.25">
      <c r="A686" s="46" t="inlineStr">
        <is>
          <t xml:space="preserve">CANON-202606-009338</t>
        </is>
      </c>
      <c r="B686" s="46" t="inlineStr">
        <is>
          <t xml:space="preserve">Ingrid Chattopadhyay</t>
        </is>
      </c>
      <c r="C686" s="47">
        <v>46202</v>
      </c>
      <c r="D686" s="48" t="inlineStr">
        <is>
          <t xml:space="preserve">Bound - within authority</t>
        </is>
      </c>
      <c r="E686" s="48" t="inlineStr">
        <is>
          <t xml:space="preserve">New business</t>
        </is>
      </c>
      <c r="F686" s="46" t="inlineStr">
        <is>
          <t xml:space="preserve">B1234EXOTIC26</t>
        </is>
      </c>
      <c r="G686" s="33">
        <f>IF($A686="","",IF($C686="","",YEAR($C686)))</f>
      </c>
      <c r="H686" s="49">
        <v>1963</v>
      </c>
      <c r="I686" s="46" t="inlineStr">
        <is>
          <t xml:space="preserve">Mercedes-Benz</t>
        </is>
      </c>
      <c r="J686" s="46" t="inlineStr">
        <is>
          <t xml:space="preserve">AMG GT</t>
        </is>
      </c>
      <c r="K686" s="46" t="inlineStr">
        <is>
          <t xml:space="preserve">P0JTNCXT9TPU1WCDN</t>
        </is>
      </c>
      <c r="L686" s="48" t="inlineStr">
        <is>
          <t xml:space="preserve">02 - Sports / GT</t>
        </is>
      </c>
      <c r="M686" s="50">
        <v>160000</v>
      </c>
      <c r="N686" s="48" t="inlineStr">
        <is>
          <t xml:space="preserve">Personal</t>
        </is>
      </c>
      <c r="O686" s="46" t="inlineStr">
        <is>
          <t xml:space="preserve">Personal - regular use</t>
        </is>
      </c>
      <c r="P686" s="46" t="inlineStr">
        <is>
          <t xml:space="preserve">1,000 - 2,500</t>
        </is>
      </c>
      <c r="Q686" s="46" t="inlineStr">
        <is>
          <t xml:space="preserve">Mississippi</t>
        </is>
      </c>
      <c r="R686" s="46" t="inlineStr">
        <is>
          <t xml:space="preserve">39201</t>
        </is>
      </c>
      <c r="S686" s="48" t="inlineStr">
        <is>
          <t xml:space="preserve">Tier 2 - Coastal wind (1-25 miles)</t>
        </is>
      </c>
      <c r="T686" s="36">
        <f>IF($A686="","",IF($S686="","",IFERROR(INDEX('[1]natural catastrophe'!$D$6:$D$17,MATCH($S686,'[1]natural catastrophe'!$B$6:$B$17,0)),"?")))</f>
      </c>
      <c r="U686" s="46" t="inlineStr">
        <is>
          <t xml:space="preserve">2% of agreed value, minimum $10,000</t>
        </is>
      </c>
      <c r="V686" s="48" t="inlineStr">
        <is>
          <t xml:space="preserve">Agreed Value</t>
        </is>
      </c>
      <c r="W686" s="46" t="inlineStr">
        <is>
          <t xml:space="preserve">$1,000</t>
        </is>
      </c>
      <c r="X686" s="48" t="inlineStr">
        <is>
          <t xml:space="preserve">$1,000,000 CSL</t>
        </is>
      </c>
      <c r="Y686" s="46"/>
      <c r="Z686" s="46"/>
      <c r="AA686" s="48" t="inlineStr">
        <is>
          <t xml:space="preserve">Surplus Lines</t>
        </is>
      </c>
      <c r="AB686" s="50">
        <v>2527.71</v>
      </c>
      <c r="AC686" s="51">
        <v>0</v>
      </c>
      <c r="AD686" s="38">
        <f>IF(ISNUMBER($AB686),$AB686*(1+N($AC686)),"")</f>
      </c>
      <c r="AE686" s="50">
        <v>350</v>
      </c>
      <c r="AF686" s="50">
        <v>0</v>
      </c>
      <c r="AG686" s="51"/>
      <c r="AH686" s="39">
        <f>IF(ISNUMBER($AD686),($AD686+$AE686+$AF686)*$AG686,"")</f>
      </c>
      <c r="AI686" s="50"/>
      <c r="AJ686" s="38">
        <f>IF(ISNUMBER($AD686),SUM($AD686:$AH686),"")</f>
      </c>
      <c r="AK686" s="40">
        <f>IF(AND(ISNUMBER($AB686),ISNUMBER($AD686)),IF($AB686&gt;0,$AD686/$AB686,""),"")</f>
      </c>
      <c r="AL686" s="48" t="inlineStr">
        <is>
          <t xml:space="preserve">At technical</t>
        </is>
      </c>
      <c r="AM686" s="41">
        <f>IF(ISNUMBER($AD686),Header!$I$3,"")</f>
      </c>
      <c r="AN686" s="39">
        <f>IF(ISNUMBER($AD686),$AO686+$AP686,"")</f>
      </c>
      <c r="AO686" s="39">
        <f>IF(ISNUMBER($AD686),ROUND($AD686*Header!$K$3,2),"")</f>
      </c>
      <c r="AP686" s="39">
        <f>IF(ISNUMBER($AD686),ROUND($AD686*Header!$M$3,2),"")</f>
      </c>
      <c r="AQ686" s="38">
        <f>IF(ISNUMBER($AD686),ROUND($AD686,2)-$AO686-$AP686,"")</f>
      </c>
      <c r="AR686" s="39">
        <f>IF(ISNUMBER($AD686),IF(Header!$D$34="","?",$AD686*Header!$D$34),"")</f>
      </c>
      <c r="AS686" s="39">
        <f>IF(ISNUMBER($AB686),IF(Header!$D$34="","?",$AB686*Header!$D$34),"")</f>
      </c>
      <c r="AT686" s="42">
        <f>IF(AND(ISNUMBER($AB686),$M686&gt;0),$AB686/$M686*100,"")</f>
      </c>
      <c r="AU686" s="42">
        <f>IF(AND(ISNUMBER($AD686),$M686&gt;0),$AD686/$M686*100,"")</f>
      </c>
      <c r="AV686" s="40">
        <f>IF(AND(ISNUMBER($AB686),ISNUMBER($AD686),ABS($AB686)&gt;0),$AD686/$AB686,"")</f>
      </c>
      <c r="AW686" s="39">
        <f>IF(ISNUMBER($AD686),MAX(0,(1-0.55-Header!$O$3)*Header!$Q$3*$AQ686),"")</f>
      </c>
      <c r="AX686" s="43">
        <f>IF($A686="","",IF(TRIM(IF($A686="","Missing certificate ref. ","") &amp; IF($C686="","Missing effective date. ","") &amp; IF($D686="","Missing binding status. ","") &amp; IF($E686="","Missing movement type. ","") &amp; IF($I686="","Missing make. ","") &amp; IF($L686="","Missing vehicle class. ","") &amp; IF($M686="","Missing agreed value. ","") &amp; IF($N686="","Missing policy type. ","") &amp; IF($Q686="","Missing garaging state. ","") &amp; IF($R686="","Missing garaging ZIP. ","") &amp; IF($S686="","Missing cat zone. ","") &amp; IF($V686="","Missing valuation basis. ","") &amp; IF($W686="","Missing PD deductible. ","") &amp; IF($X686="","Missing liability limit. ","") &amp; IF($AB686="","Missing technical premium. ","") &amp; IF($AF686="","Missing surplus lines tax %. ",""))="","PASS","FAIL: "&amp;TRIM(IF($A686="","Missing certificate ref. ","") &amp; IF($C686="","Missing effective date. ","") &amp; IF($D686="","Missing binding status. ","") &amp; IF($E686="","Missing movement type. ","") &amp; IF($I686="","Missing make. ","") &amp; IF($L686="","Missing vehicle class. ","") &amp; IF($M686="","Missing agreed value. ","") &amp; IF($N686="","Missing policy type. ","") &amp; IF($Q686="","Missing garaging state. ","") &amp; IF($R686="","Missing garaging ZIP. ","") &amp; IF($S686="","Missing cat zone. ","") &amp; IF($V686="","Missing valuation basis. ","") &amp; IF($W686="","Missing PD deductible. ","") &amp; IF($X686="","Missing liability limit. ","") &amp; IF($AB686="","Missing technical premium. ","") &amp; IF($AF686="","Missing surplus lines tax %. ",""))))</f>
      </c>
      <c r="AY686" s="44">
        <f>IF($M686="","",IF(ISNUMBER($M686),IF($M686&gt;=Header!$C$18,"YES — refer","No"),""))</f>
      </c>
      <c r="AZ686" s="44">
        <f>IF($AD686="","",IF(ISNUMBER($AD686),IF($AD686&lt;Header!$C$20,"BELOW MIN PREMIUM","OK"),""))</f>
      </c>
      <c r="BA686" s="48" t="inlineStr">
        <is>
          <t xml:space="preserve">Yes</t>
        </is>
      </c>
      <c r="BB686" s="48" t="inlineStr">
        <is>
          <t xml:space="preserve">Yes</t>
        </is>
      </c>
      <c r="BC686" s="46" t="inlineStr">
        <is>
          <t xml:space="preserve">Synthetic demo data</t>
        </is>
      </c>
      <c r="BE686" s="45">
        <f>IF(OR($A686="",$L686="",$H686=""),"",IF(AND(LEFT($L686,2)="06",$H686&gt;1945),"FAIL - pre-war class, year "&amp;$H686,IF(AND(LEFT($L686,2)="07",OR($H686&lt;1946,$H686&gt;1972)),"FAIL - 1946-72 class, year "&amp;$H686,IF(AND(LEFT($L686,2)="08",OR($H686&lt;1973,$H686&gt;1999)),"FAIL - 1973-99 class, year "&amp;$H686,IF(AND(LEFT($L686,2)="09",OR($H686&lt;2000,$H686&gt;2010)),"FAIL - 2000-10 class, year "&amp;$H686,"OK")))))</f>
      </c>
      <c r="BF686" s="45">
        <f>IF($AD686="","",IF(ROUND($AO686+$AP686+$AQ686-$AD686,2)=0,"OK","FAIL - out by "&amp;TEXT($AO686+$AP686+$AQ686-$AD686,"$0.00")))</f>
      </c>
    </row>
    <row r="687" spans="1:58" ht="18.75" customHeight="1" x14ac:dyDescent="0.25">
      <c r="A687" s="30" t="inlineStr">
        <is>
          <t xml:space="preserve">CANON-202606-009342</t>
        </is>
      </c>
      <c r="B687" s="30" t="inlineStr">
        <is>
          <t xml:space="preserve">Beatrix Blackwood</t>
        </is>
      </c>
      <c r="C687" s="31">
        <v>46196</v>
      </c>
      <c r="D687" s="32" t="inlineStr">
        <is>
          <t xml:space="preserve">Bound - within authority</t>
        </is>
      </c>
      <c r="E687" s="32" t="inlineStr">
        <is>
          <t xml:space="preserve">New business</t>
        </is>
      </c>
      <c r="F687" s="30" t="inlineStr">
        <is>
          <t xml:space="preserve">B1234EXOTIC26</t>
        </is>
      </c>
      <c r="G687" s="33">
        <f>IF($A687="","",IF($C687="","",YEAR($C687)))</f>
      </c>
      <c r="H687" s="34">
        <v>1999</v>
      </c>
      <c r="I687" s="30" t="inlineStr">
        <is>
          <t xml:space="preserve">Mercedes-Benz</t>
        </is>
      </c>
      <c r="J687" s="30" t="inlineStr">
        <is>
          <t xml:space="preserve">280SL Pagoda</t>
        </is>
      </c>
      <c r="K687" s="30" t="inlineStr">
        <is>
          <t xml:space="preserve">TLEMHTJ0MTHYNXZ55</t>
        </is>
      </c>
      <c r="L687" s="32" t="inlineStr">
        <is>
          <t xml:space="preserve">08 - Modern Classic (1973-1999)</t>
        </is>
      </c>
      <c r="M687" s="35">
        <v>530000</v>
      </c>
      <c r="N687" s="32" t="inlineStr">
        <is>
          <t xml:space="preserve">Personal</t>
        </is>
      </c>
      <c r="O687" s="30" t="inlineStr">
        <is>
          <t xml:space="preserve">Personal - regular use</t>
        </is>
      </c>
      <c r="P687" s="30" t="inlineStr">
        <is>
          <t xml:space="preserve">Under 1,000</t>
        </is>
      </c>
      <c r="Q687" s="30" t="inlineStr">
        <is>
          <t xml:space="preserve">Oregon</t>
        </is>
      </c>
      <c r="R687" s="30" t="inlineStr">
        <is>
          <t xml:space="preserve">97204</t>
        </is>
      </c>
      <c r="S687" s="32" t="inlineStr">
        <is>
          <t xml:space="preserve">Earthquake - high (CA, Cascadia, New Madrid)</t>
        </is>
      </c>
      <c r="T687" s="36">
        <f>IF($A687="","",IF($S687="","",IFERROR(INDEX('[1]natural catastrophe'!$D$6:$D$17,MATCH($S687,'[1]natural catastrophe'!$B$6:$B$17,0)),"?")))</f>
      </c>
      <c r="U687" s="30" t="inlineStr">
        <is>
          <t xml:space="preserve">$5,000</t>
        </is>
      </c>
      <c r="V687" s="32" t="inlineStr">
        <is>
          <t xml:space="preserve">Agreed Value</t>
        </is>
      </c>
      <c r="W687" s="30" t="inlineStr">
        <is>
          <t xml:space="preserve">$1,000</t>
        </is>
      </c>
      <c r="X687" s="32" t="inlineStr">
        <is>
          <t xml:space="preserve">$1,000,000 CSL</t>
        </is>
      </c>
      <c r="Y687" s="30"/>
      <c r="Z687" s="30"/>
      <c r="AA687" s="32" t="inlineStr">
        <is>
          <t xml:space="preserve">Surplus Lines</t>
        </is>
      </c>
      <c r="AB687" s="35">
        <v>3716.16</v>
      </c>
      <c r="AC687" s="37">
        <v>0</v>
      </c>
      <c r="AD687" s="38">
        <f>IF(ISNUMBER($AB687),$AB687*(1+N($AC687)),"")</f>
      </c>
      <c r="AE687" s="35">
        <v>350</v>
      </c>
      <c r="AF687" s="35">
        <v>0</v>
      </c>
      <c r="AG687" s="37"/>
      <c r="AH687" s="39">
        <f>IF(ISNUMBER($AD687),($AD687+$AE687+$AF687)*$AG687,"")</f>
      </c>
      <c r="AI687" s="35"/>
      <c r="AJ687" s="38">
        <f>IF(ISNUMBER($AD687),SUM($AD687:$AH687),"")</f>
      </c>
      <c r="AK687" s="40">
        <f>IF(AND(ISNUMBER($AB687),ISNUMBER($AD687)),IF($AB687&gt;0,$AD687/$AB687,""),"")</f>
      </c>
      <c r="AL687" s="32" t="inlineStr">
        <is>
          <t xml:space="preserve">At technical</t>
        </is>
      </c>
      <c r="AM687" s="41">
        <f>IF(ISNUMBER($AD687),Header!$I$3,"")</f>
      </c>
      <c r="AN687" s="39">
        <f>IF(ISNUMBER($AD687),$AO687+$AP687,"")</f>
      </c>
      <c r="AO687" s="39">
        <f>IF(ISNUMBER($AD687),ROUND($AD687*Header!$K$3,2),"")</f>
      </c>
      <c r="AP687" s="39">
        <f>IF(ISNUMBER($AD687),ROUND($AD687*Header!$M$3,2),"")</f>
      </c>
      <c r="AQ687" s="38">
        <f>IF(ISNUMBER($AD687),ROUND($AD687,2)-$AO687-$AP687,"")</f>
      </c>
      <c r="AR687" s="39">
        <f>IF(ISNUMBER($AD687),IF(Header!$D$34="","?",$AD687*Header!$D$34),"")</f>
      </c>
      <c r="AS687" s="39">
        <f>IF(ISNUMBER($AB687),IF(Header!$D$34="","?",$AB687*Header!$D$34),"")</f>
      </c>
      <c r="AT687" s="42">
        <f>IF(AND(ISNUMBER($AB687),$M687&gt;0),$AB687/$M687*100,"")</f>
      </c>
      <c r="AU687" s="42">
        <f>IF(AND(ISNUMBER($AD687),$M687&gt;0),$AD687/$M687*100,"")</f>
      </c>
      <c r="AV687" s="40">
        <f>IF(AND(ISNUMBER($AB687),ISNUMBER($AD687),ABS($AB687)&gt;0),$AD687/$AB687,"")</f>
      </c>
      <c r="AW687" s="39">
        <f>IF(ISNUMBER($AD687),MAX(0,(1-0.55-Header!$O$3)*Header!$Q$3*$AQ687),"")</f>
      </c>
      <c r="AX687" s="43">
        <f>IF($A687="","",IF(TRIM(IF($A687="","Missing certificate ref. ","") &amp; IF($C687="","Missing effective date. ","") &amp; IF($D687="","Missing binding status. ","") &amp; IF($E687="","Missing movement type. ","") &amp; IF($I687="","Missing make. ","") &amp; IF($L687="","Missing vehicle class. ","") &amp; IF($M687="","Missing agreed value. ","") &amp; IF($N687="","Missing policy type. ","") &amp; IF($Q687="","Missing garaging state. ","") &amp; IF($R687="","Missing garaging ZIP. ","") &amp; IF($S687="","Missing cat zone. ","") &amp; IF($V687="","Missing valuation basis. ","") &amp; IF($W687="","Missing PD deductible. ","") &amp; IF($X687="","Missing liability limit. ","") &amp; IF($AB687="","Missing technical premium. ","") &amp; IF($AF687="","Missing surplus lines tax %. ",""))="","PASS","FAIL: "&amp;TRIM(IF($A687="","Missing certificate ref. ","") &amp; IF($C687="","Missing effective date. ","") &amp; IF($D687="","Missing binding status. ","") &amp; IF($E687="","Missing movement type. ","") &amp; IF($I687="","Missing make. ","") &amp; IF($L687="","Missing vehicle class. ","") &amp; IF($M687="","Missing agreed value. ","") &amp; IF($N687="","Missing policy type. ","") &amp; IF($Q687="","Missing garaging state. ","") &amp; IF($R687="","Missing garaging ZIP. ","") &amp; IF($S687="","Missing cat zone. ","") &amp; IF($V687="","Missing valuation basis. ","") &amp; IF($W687="","Missing PD deductible. ","") &amp; IF($X687="","Missing liability limit. ","") &amp; IF($AB687="","Missing technical premium. ","") &amp; IF($AF687="","Missing surplus lines tax %. ",""))))</f>
      </c>
      <c r="AY687" s="44">
        <f>IF($M687="","",IF(ISNUMBER($M687),IF($M687&gt;=Header!$C$18,"YES — refer","No"),""))</f>
      </c>
      <c r="AZ687" s="44">
        <f>IF($AD687="","",IF(ISNUMBER($AD687),IF($AD687&lt;Header!$C$20,"BELOW MIN PREMIUM","OK"),""))</f>
      </c>
      <c r="BA687" s="32" t="inlineStr">
        <is>
          <t xml:space="preserve">Yes</t>
        </is>
      </c>
      <c r="BB687" s="32" t="inlineStr">
        <is>
          <t xml:space="preserve">Yes</t>
        </is>
      </c>
      <c r="BC687" s="30" t="inlineStr">
        <is>
          <t xml:space="preserve">Synthetic demo data</t>
        </is>
      </c>
      <c r="BE687" s="45">
        <f>IF(OR($A687="",$L687="",$H687=""),"",IF(AND(LEFT($L687,2)="06",$H687&gt;1945),"FAIL - pre-war class, year "&amp;$H687,IF(AND(LEFT($L687,2)="07",OR($H687&lt;1946,$H687&gt;1972)),"FAIL - 1946-72 class, year "&amp;$H687,IF(AND(LEFT($L687,2)="08",OR($H687&lt;1973,$H687&gt;1999)),"FAIL - 1973-99 class, year "&amp;$H687,IF(AND(LEFT($L687,2)="09",OR($H687&lt;2000,$H687&gt;2010)),"FAIL - 2000-10 class, year "&amp;$H687,"OK")))))</f>
      </c>
      <c r="BF687" s="45">
        <f>IF($AD687="","",IF(ROUND($AO687+$AP687+$AQ687-$AD687,2)=0,"OK","FAIL - out by "&amp;TEXT($AO687+$AP687+$AQ687-$AD687,"$0.00")))</f>
      </c>
    </row>
    <row r="688" spans="1:58" ht="18.75" customHeight="1" x14ac:dyDescent="0.25">
      <c r="A688" s="46" t="inlineStr">
        <is>
          <t xml:space="preserve">CANON-202606-009344</t>
        </is>
      </c>
      <c r="B688" s="46" t="inlineStr">
        <is>
          <t xml:space="preserve">Fenwick Pennington</t>
        </is>
      </c>
      <c r="C688" s="47">
        <v>46196</v>
      </c>
      <c r="D688" s="48" t="inlineStr">
        <is>
          <t xml:space="preserve">Bound - within authority</t>
        </is>
      </c>
      <c r="E688" s="48" t="inlineStr">
        <is>
          <t xml:space="preserve">New business</t>
        </is>
      </c>
      <c r="F688" s="46" t="inlineStr">
        <is>
          <t xml:space="preserve">B1234EXOTIC26</t>
        </is>
      </c>
      <c r="G688" s="33">
        <f>IF($A688="","",IF($C688="","",YEAR($C688)))</f>
      </c>
      <c r="H688" s="49">
        <v>1969</v>
      </c>
      <c r="I688" s="46" t="inlineStr">
        <is>
          <t xml:space="preserve">Ferrari</t>
        </is>
      </c>
      <c r="J688" s="46" t="inlineStr">
        <is>
          <t xml:space="preserve">296 GTB</t>
        </is>
      </c>
      <c r="K688" s="46" t="inlineStr">
        <is>
          <t xml:space="preserve">C2UJ83TAEGZ30HCG5</t>
        </is>
      </c>
      <c r="L688" s="48" t="inlineStr">
        <is>
          <t xml:space="preserve">03 - Supercar</t>
        </is>
      </c>
      <c r="M688" s="50">
        <v>610000</v>
      </c>
      <c r="N688" s="48" t="inlineStr">
        <is>
          <t xml:space="preserve">Personal</t>
        </is>
      </c>
      <c r="O688" s="46" t="inlineStr">
        <is>
          <t xml:space="preserve">Personal - regular use</t>
        </is>
      </c>
      <c r="P688" s="46" t="inlineStr">
        <is>
          <t xml:space="preserve">1,000 - 2,500</t>
        </is>
      </c>
      <c r="Q688" s="46" t="inlineStr">
        <is>
          <t xml:space="preserve">California</t>
        </is>
      </c>
      <c r="R688" s="46" t="inlineStr">
        <is>
          <t xml:space="preserve">90012</t>
        </is>
      </c>
      <c r="S688" s="48" t="inlineStr">
        <is>
          <t xml:space="preserve">Earthquake - high (CA, Cascadia, New Madrid)</t>
        </is>
      </c>
      <c r="T688" s="36">
        <f>IF($A688="","",IF($S688="","",IFERROR(INDEX('[1]natural catastrophe'!$D$6:$D$17,MATCH($S688,'[1]natural catastrophe'!$B$6:$B$17,0)),"?")))</f>
      </c>
      <c r="U688" s="46" t="inlineStr">
        <is>
          <t xml:space="preserve">$5,000</t>
        </is>
      </c>
      <c r="V688" s="48" t="inlineStr">
        <is>
          <t xml:space="preserve">Agreed Value</t>
        </is>
      </c>
      <c r="W688" s="46" t="inlineStr">
        <is>
          <t xml:space="preserve">$1,000</t>
        </is>
      </c>
      <c r="X688" s="48" t="inlineStr">
        <is>
          <t xml:space="preserve">$1,000,000 CSL</t>
        </is>
      </c>
      <c r="Y688" s="46"/>
      <c r="Z688" s="46"/>
      <c r="AA688" s="48" t="inlineStr">
        <is>
          <t xml:space="preserve">Surplus Lines</t>
        </is>
      </c>
      <c r="AB688" s="50">
        <v>11289.1</v>
      </c>
      <c r="AC688" s="51">
        <v>0</v>
      </c>
      <c r="AD688" s="38">
        <f>IF(ISNUMBER($AB688),$AB688*(1+N($AC688)),"")</f>
      </c>
      <c r="AE688" s="50">
        <v>350</v>
      </c>
      <c r="AF688" s="50">
        <v>0</v>
      </c>
      <c r="AG688" s="51"/>
      <c r="AH688" s="39">
        <f>IF(ISNUMBER($AD688),($AD688+$AE688+$AF688)*$AG688,"")</f>
      </c>
      <c r="AI688" s="50"/>
      <c r="AJ688" s="38">
        <f>IF(ISNUMBER($AD688),SUM($AD688:$AH688),"")</f>
      </c>
      <c r="AK688" s="40">
        <f>IF(AND(ISNUMBER($AB688),ISNUMBER($AD688)),IF($AB688&gt;0,$AD688/$AB688,""),"")</f>
      </c>
      <c r="AL688" s="48" t="inlineStr">
        <is>
          <t xml:space="preserve">At technical</t>
        </is>
      </c>
      <c r="AM688" s="41">
        <f>IF(ISNUMBER($AD688),Header!$I$3,"")</f>
      </c>
      <c r="AN688" s="39">
        <f>IF(ISNUMBER($AD688),$AO688+$AP688,"")</f>
      </c>
      <c r="AO688" s="39">
        <f>IF(ISNUMBER($AD688),ROUND($AD688*Header!$K$3,2),"")</f>
      </c>
      <c r="AP688" s="39">
        <f>IF(ISNUMBER($AD688),ROUND($AD688*Header!$M$3,2),"")</f>
      </c>
      <c r="AQ688" s="38">
        <f>IF(ISNUMBER($AD688),ROUND($AD688,2)-$AO688-$AP688,"")</f>
      </c>
      <c r="AR688" s="39">
        <f>IF(ISNUMBER($AD688),IF(Header!$D$34="","?",$AD688*Header!$D$34),"")</f>
      </c>
      <c r="AS688" s="39">
        <f>IF(ISNUMBER($AB688),IF(Header!$D$34="","?",$AB688*Header!$D$34),"")</f>
      </c>
      <c r="AT688" s="42">
        <f>IF(AND(ISNUMBER($AB688),$M688&gt;0),$AB688/$M688*100,"")</f>
      </c>
      <c r="AU688" s="42">
        <f>IF(AND(ISNUMBER($AD688),$M688&gt;0),$AD688/$M688*100,"")</f>
      </c>
      <c r="AV688" s="40">
        <f>IF(AND(ISNUMBER($AB688),ISNUMBER($AD688),ABS($AB688)&gt;0),$AD688/$AB688,"")</f>
      </c>
      <c r="AW688" s="39">
        <f>IF(ISNUMBER($AD688),MAX(0,(1-0.55-Header!$O$3)*Header!$Q$3*$AQ688),"")</f>
      </c>
      <c r="AX688" s="43">
        <f>IF($A688="","",IF(TRIM(IF($A688="","Missing certificate ref. ","") &amp; IF($C688="","Missing effective date. ","") &amp; IF($D688="","Missing binding status. ","") &amp; IF($E688="","Missing movement type. ","") &amp; IF($I688="","Missing make. ","") &amp; IF($L688="","Missing vehicle class. ","") &amp; IF($M688="","Missing agreed value. ","") &amp; IF($N688="","Missing policy type. ","") &amp; IF($Q688="","Missing garaging state. ","") &amp; IF($R688="","Missing garaging ZIP. ","") &amp; IF($S688="","Missing cat zone. ","") &amp; IF($V688="","Missing valuation basis. ","") &amp; IF($W688="","Missing PD deductible. ","") &amp; IF($X688="","Missing liability limit. ","") &amp; IF($AB688="","Missing technical premium. ","") &amp; IF($AF688="","Missing surplus lines tax %. ",""))="","PASS","FAIL: "&amp;TRIM(IF($A688="","Missing certificate ref. ","") &amp; IF($C688="","Missing effective date. ","") &amp; IF($D688="","Missing binding status. ","") &amp; IF($E688="","Missing movement type. ","") &amp; IF($I688="","Missing make. ","") &amp; IF($L688="","Missing vehicle class. ","") &amp; IF($M688="","Missing agreed value. ","") &amp; IF($N688="","Missing policy type. ","") &amp; IF($Q688="","Missing garaging state. ","") &amp; IF($R688="","Missing garaging ZIP. ","") &amp; IF($S688="","Missing cat zone. ","") &amp; IF($V688="","Missing valuation basis. ","") &amp; IF($W688="","Missing PD deductible. ","") &amp; IF($X688="","Missing liability limit. ","") &amp; IF($AB688="","Missing technical premium. ","") &amp; IF($AF688="","Missing surplus lines tax %. ",""))))</f>
      </c>
      <c r="AY688" s="44">
        <f>IF($M688="","",IF(ISNUMBER($M688),IF($M688&gt;=Header!$C$18,"YES — refer","No"),""))</f>
      </c>
      <c r="AZ688" s="44">
        <f>IF($AD688="","",IF(ISNUMBER($AD688),IF($AD688&lt;Header!$C$20,"BELOW MIN PREMIUM","OK"),""))</f>
      </c>
      <c r="BA688" s="48" t="inlineStr">
        <is>
          <t xml:space="preserve">Yes</t>
        </is>
      </c>
      <c r="BB688" s="48" t="inlineStr">
        <is>
          <t xml:space="preserve">Yes</t>
        </is>
      </c>
      <c r="BC688" s="46" t="inlineStr">
        <is>
          <t xml:space="preserve">Synthetic demo data</t>
        </is>
      </c>
      <c r="BE688" s="45">
        <f>IF(OR($A688="",$L688="",$H688=""),"",IF(AND(LEFT($L688,2)="06",$H688&gt;1945),"FAIL - pre-war class, year "&amp;$H688,IF(AND(LEFT($L688,2)="07",OR($H688&lt;1946,$H688&gt;1972)),"FAIL - 1946-72 class, year "&amp;$H688,IF(AND(LEFT($L688,2)="08",OR($H688&lt;1973,$H688&gt;1999)),"FAIL - 1973-99 class, year "&amp;$H688,IF(AND(LEFT($L688,2)="09",OR($H688&lt;2000,$H688&gt;2010)),"FAIL - 2000-10 class, year "&amp;$H688,"OK")))))</f>
      </c>
      <c r="BF688" s="45">
        <f>IF($AD688="","",IF(ROUND($AO688+$AP688+$AQ688-$AD688,2)=0,"OK","FAIL - out by "&amp;TEXT($AO688+$AP688+$AQ688-$AD688,"$0.00")))</f>
      </c>
    </row>
    <row r="689" spans="1:58" ht="18.75" customHeight="1" x14ac:dyDescent="0.25">
      <c r="A689" s="30" t="inlineStr">
        <is>
          <t xml:space="preserve">CANON-202606-009345</t>
        </is>
      </c>
      <c r="B689" s="30" t="inlineStr">
        <is>
          <t xml:space="preserve">Ramona Merriweather</t>
        </is>
      </c>
      <c r="C689" s="31">
        <v>46180</v>
      </c>
      <c r="D689" s="32" t="inlineStr">
        <is>
          <t xml:space="preserve">Bound - within authority</t>
        </is>
      </c>
      <c r="E689" s="32" t="inlineStr">
        <is>
          <t xml:space="preserve">New business</t>
        </is>
      </c>
      <c r="F689" s="30" t="inlineStr">
        <is>
          <t xml:space="preserve">B1234EXOTIC26</t>
        </is>
      </c>
      <c r="G689" s="33">
        <f>IF($A689="","",IF($C689="","",YEAR($C689)))</f>
      </c>
      <c r="H689" s="34">
        <v>2010</v>
      </c>
      <c r="I689" s="30" t="inlineStr">
        <is>
          <t xml:space="preserve">Maserati</t>
        </is>
      </c>
      <c r="J689" s="30" t="inlineStr">
        <is>
          <t xml:space="preserve">GranTurismo</t>
        </is>
      </c>
      <c r="K689" s="30" t="inlineStr">
        <is>
          <t xml:space="preserve">PDUXAGJGCDRSTBFAX</t>
        </is>
      </c>
      <c r="L689" s="32" t="inlineStr">
        <is>
          <t xml:space="preserve">02 - Sports / GT</t>
        </is>
      </c>
      <c r="M689" s="35">
        <v>220000</v>
      </c>
      <c r="N689" s="32" t="inlineStr">
        <is>
          <t xml:space="preserve">Personal</t>
        </is>
      </c>
      <c r="O689" s="30" t="inlineStr">
        <is>
          <t xml:space="preserve">Personal - regular use</t>
        </is>
      </c>
      <c r="P689" s="30" t="inlineStr">
        <is>
          <t xml:space="preserve">2,500 - 5,000</t>
        </is>
      </c>
      <c r="Q689" s="30" t="inlineStr">
        <is>
          <t xml:space="preserve">South Carolina</t>
        </is>
      </c>
      <c r="R689" s="30" t="inlineStr">
        <is>
          <t xml:space="preserve">29401</t>
        </is>
      </c>
      <c r="S689" s="32" t="inlineStr">
        <is>
          <t xml:space="preserve">Tier 2 - Coastal wind (1-25 miles)</t>
        </is>
      </c>
      <c r="T689" s="36">
        <f>IF($A689="","",IF($S689="","",IFERROR(INDEX('[1]natural catastrophe'!$D$6:$D$17,MATCH($S689,'[1]natural catastrophe'!$B$6:$B$17,0)),"?")))</f>
      </c>
      <c r="U689" s="30" t="inlineStr">
        <is>
          <t xml:space="preserve">2% of agreed value, minimum $10,000</t>
        </is>
      </c>
      <c r="V689" s="32" t="inlineStr">
        <is>
          <t xml:space="preserve">Agreed Value</t>
        </is>
      </c>
      <c r="W689" s="30" t="inlineStr">
        <is>
          <t xml:space="preserve">$1,000</t>
        </is>
      </c>
      <c r="X689" s="32" t="inlineStr">
        <is>
          <t xml:space="preserve">$1,000,000 CSL</t>
        </is>
      </c>
      <c r="Y689" s="30"/>
      <c r="Z689" s="30"/>
      <c r="AA689" s="32" t="inlineStr">
        <is>
          <t xml:space="preserve">Surplus Lines</t>
        </is>
      </c>
      <c r="AB689" s="35">
        <v>3621.63</v>
      </c>
      <c r="AC689" s="37">
        <v>0</v>
      </c>
      <c r="AD689" s="38">
        <f>IF(ISNUMBER($AB689),$AB689*(1+N($AC689)),"")</f>
      </c>
      <c r="AE689" s="35">
        <v>350</v>
      </c>
      <c r="AF689" s="35">
        <v>0</v>
      </c>
      <c r="AG689" s="37"/>
      <c r="AH689" s="39">
        <f>IF(ISNUMBER($AD689),($AD689+$AE689+$AF689)*$AG689,"")</f>
      </c>
      <c r="AI689" s="35"/>
      <c r="AJ689" s="38">
        <f>IF(ISNUMBER($AD689),SUM($AD689:$AH689),"")</f>
      </c>
      <c r="AK689" s="40">
        <f>IF(AND(ISNUMBER($AB689),ISNUMBER($AD689)),IF($AB689&gt;0,$AD689/$AB689,""),"")</f>
      </c>
      <c r="AL689" s="32" t="inlineStr">
        <is>
          <t xml:space="preserve">At technical</t>
        </is>
      </c>
      <c r="AM689" s="41">
        <f>IF(ISNUMBER($AD689),Header!$I$3,"")</f>
      </c>
      <c r="AN689" s="39">
        <f>IF(ISNUMBER($AD689),$AO689+$AP689,"")</f>
      </c>
      <c r="AO689" s="39">
        <f>IF(ISNUMBER($AD689),ROUND($AD689*Header!$K$3,2),"")</f>
      </c>
      <c r="AP689" s="39">
        <f>IF(ISNUMBER($AD689),ROUND($AD689*Header!$M$3,2),"")</f>
      </c>
      <c r="AQ689" s="38">
        <f>IF(ISNUMBER($AD689),ROUND($AD689,2)-$AO689-$AP689,"")</f>
      </c>
      <c r="AR689" s="39">
        <f>IF(ISNUMBER($AD689),IF(Header!$D$34="","?",$AD689*Header!$D$34),"")</f>
      </c>
      <c r="AS689" s="39">
        <f>IF(ISNUMBER($AB689),IF(Header!$D$34="","?",$AB689*Header!$D$34),"")</f>
      </c>
      <c r="AT689" s="42">
        <f>IF(AND(ISNUMBER($AB689),$M689&gt;0),$AB689/$M689*100,"")</f>
      </c>
      <c r="AU689" s="42">
        <f>IF(AND(ISNUMBER($AD689),$M689&gt;0),$AD689/$M689*100,"")</f>
      </c>
      <c r="AV689" s="40">
        <f>IF(AND(ISNUMBER($AB689),ISNUMBER($AD689),ABS($AB689)&gt;0),$AD689/$AB689,"")</f>
      </c>
      <c r="AW689" s="39">
        <f>IF(ISNUMBER($AD689),MAX(0,(1-0.55-Header!$O$3)*Header!$Q$3*$AQ689),"")</f>
      </c>
      <c r="AX689" s="43">
        <f>IF($A689="","",IF(TRIM(IF($A689="","Missing certificate ref. ","") &amp; IF($C689="","Missing effective date. ","") &amp; IF($D689="","Missing binding status. ","") &amp; IF($E689="","Missing movement type. ","") &amp; IF($I689="","Missing make. ","") &amp; IF($L689="","Missing vehicle class. ","") &amp; IF($M689="","Missing agreed value. ","") &amp; IF($N689="","Missing policy type. ","") &amp; IF($Q689="","Missing garaging state. ","") &amp; IF($R689="","Missing garaging ZIP. ","") &amp; IF($S689="","Missing cat zone. ","") &amp; IF($V689="","Missing valuation basis. ","") &amp; IF($W689="","Missing PD deductible. ","") &amp; IF($X689="","Missing liability limit. ","") &amp; IF($AB689="","Missing technical premium. ","") &amp; IF($AF689="","Missing surplus lines tax %. ",""))="","PASS","FAIL: "&amp;TRIM(IF($A689="","Missing certificate ref. ","") &amp; IF($C689="","Missing effective date. ","") &amp; IF($D689="","Missing binding status. ","") &amp; IF($E689="","Missing movement type. ","") &amp; IF($I689="","Missing make. ","") &amp; IF($L689="","Missing vehicle class. ","") &amp; IF($M689="","Missing agreed value. ","") &amp; IF($N689="","Missing policy type. ","") &amp; IF($Q689="","Missing garaging state. ","") &amp; IF($R689="","Missing garaging ZIP. ","") &amp; IF($S689="","Missing cat zone. ","") &amp; IF($V689="","Missing valuation basis. ","") &amp; IF($W689="","Missing PD deductible. ","") &amp; IF($X689="","Missing liability limit. ","") &amp; IF($AB689="","Missing technical premium. ","") &amp; IF($AF689="","Missing surplus lines tax %. ",""))))</f>
      </c>
      <c r="AY689" s="44">
        <f>IF($M689="","",IF(ISNUMBER($M689),IF($M689&gt;=Header!$C$18,"YES — refer","No"),""))</f>
      </c>
      <c r="AZ689" s="44">
        <f>IF($AD689="","",IF(ISNUMBER($AD689),IF($AD689&lt;Header!$C$20,"BELOW MIN PREMIUM","OK"),""))</f>
      </c>
      <c r="BA689" s="32" t="inlineStr">
        <is>
          <t xml:space="preserve">Yes</t>
        </is>
      </c>
      <c r="BB689" s="32" t="inlineStr">
        <is>
          <t xml:space="preserve">Yes</t>
        </is>
      </c>
      <c r="BC689" s="30" t="inlineStr">
        <is>
          <t xml:space="preserve">Synthetic demo data</t>
        </is>
      </c>
      <c r="BE689" s="45">
        <f>IF(OR($A689="",$L689="",$H689=""),"",IF(AND(LEFT($L689,2)="06",$H689&gt;1945),"FAIL - pre-war class, year "&amp;$H689,IF(AND(LEFT($L689,2)="07",OR($H689&lt;1946,$H689&gt;1972)),"FAIL - 1946-72 class, year "&amp;$H689,IF(AND(LEFT($L689,2)="08",OR($H689&lt;1973,$H689&gt;1999)),"FAIL - 1973-99 class, year "&amp;$H689,IF(AND(LEFT($L689,2)="09",OR($H689&lt;2000,$H689&gt;2010)),"FAIL - 2000-10 class, year "&amp;$H689,"OK")))))</f>
      </c>
      <c r="BF689" s="45">
        <f>IF($AD689="","",IF(ROUND($AO689+$AP689+$AQ689-$AD689,2)=0,"OK","FAIL - out by "&amp;TEXT($AO689+$AP689+$AQ689-$AD689,"$0.00")))</f>
      </c>
    </row>
    <row r="690" spans="1:58" ht="18.75" customHeight="1" x14ac:dyDescent="0.25">
      <c r="A690" s="46" t="inlineStr">
        <is>
          <t xml:space="preserve">CANON-202606-009346</t>
        </is>
      </c>
      <c r="B690" s="46" t="inlineStr">
        <is>
          <t xml:space="preserve">Priya Vasquez</t>
        </is>
      </c>
      <c r="C690" s="47">
        <v>46195</v>
      </c>
      <c r="D690" s="48" t="inlineStr">
        <is>
          <t xml:space="preserve">Bound - within authority</t>
        </is>
      </c>
      <c r="E690" s="48" t="inlineStr">
        <is>
          <t xml:space="preserve">New business</t>
        </is>
      </c>
      <c r="F690" s="46" t="inlineStr">
        <is>
          <t xml:space="preserve">B1234EXOTIC26</t>
        </is>
      </c>
      <c r="G690" s="33">
        <f>IF($A690="","",IF($C690="","",YEAR($C690)))</f>
      </c>
      <c r="H690" s="49">
        <v>1982</v>
      </c>
      <c r="I690" s="46" t="inlineStr">
        <is>
          <t xml:space="preserve">Lamborghini</t>
        </is>
      </c>
      <c r="J690" s="46" t="inlineStr">
        <is>
          <t xml:space="preserve">Huracan EVO</t>
        </is>
      </c>
      <c r="K690" s="46" t="inlineStr">
        <is>
          <t xml:space="preserve">B2NM8KUR7V7D4KE9P</t>
        </is>
      </c>
      <c r="L690" s="48" t="inlineStr">
        <is>
          <t xml:space="preserve">03 - Supercar</t>
        </is>
      </c>
      <c r="M690" s="50">
        <v>1950000</v>
      </c>
      <c r="N690" s="48" t="inlineStr">
        <is>
          <t xml:space="preserve">Personal</t>
        </is>
      </c>
      <c r="O690" s="46" t="inlineStr">
        <is>
          <t xml:space="preserve">Personal - regular use</t>
        </is>
      </c>
      <c r="P690" s="46" t="inlineStr">
        <is>
          <t xml:space="preserve">Under 1,000</t>
        </is>
      </c>
      <c r="Q690" s="46" t="inlineStr">
        <is>
          <t xml:space="preserve">Maryland</t>
        </is>
      </c>
      <c r="R690" s="46" t="inlineStr">
        <is>
          <t xml:space="preserve">21201</t>
        </is>
      </c>
      <c r="S690" s="48" t="inlineStr">
        <is>
          <t xml:space="preserve">Tier 3 - Coastal wind (25-100 miles)</t>
        </is>
      </c>
      <c r="T690" s="36">
        <f>IF($A690="","",IF($S690="","",IFERROR(INDEX('[1]natural catastrophe'!$D$6:$D$17,MATCH($S690,'[1]natural catastrophe'!$B$6:$B$17,0)),"?")))</f>
      </c>
      <c r="U690" s="46" t="inlineStr">
        <is>
          <t xml:space="preserve">2% of agreed value, minimum $10,000</t>
        </is>
      </c>
      <c r="V690" s="48" t="inlineStr">
        <is>
          <t xml:space="preserve">Agreed Value</t>
        </is>
      </c>
      <c r="W690" s="46" t="inlineStr">
        <is>
          <t xml:space="preserve">$1,000</t>
        </is>
      </c>
      <c r="X690" s="48" t="inlineStr">
        <is>
          <t xml:space="preserve">$1,000,000 CSL</t>
        </is>
      </c>
      <c r="Y690" s="46"/>
      <c r="Z690" s="46"/>
      <c r="AA690" s="48" t="inlineStr">
        <is>
          <t xml:space="preserve">Surplus Lines</t>
        </is>
      </c>
      <c r="AB690" s="50">
        <v>21385.54</v>
      </c>
      <c r="AC690" s="51">
        <v>0</v>
      </c>
      <c r="AD690" s="38">
        <f>IF(ISNUMBER($AB690),$AB690*(1+N($AC690)),"")</f>
      </c>
      <c r="AE690" s="50">
        <v>350</v>
      </c>
      <c r="AF690" s="50">
        <v>250</v>
      </c>
      <c r="AG690" s="51"/>
      <c r="AH690" s="39">
        <f>IF(ISNUMBER($AD690),($AD690+$AE690+$AF690)*$AG690,"")</f>
      </c>
      <c r="AI690" s="50"/>
      <c r="AJ690" s="38">
        <f>IF(ISNUMBER($AD690),SUM($AD690:$AH690),"")</f>
      </c>
      <c r="AK690" s="40">
        <f>IF(AND(ISNUMBER($AB690),ISNUMBER($AD690)),IF($AB690&gt;0,$AD690/$AB690,""),"")</f>
      </c>
      <c r="AL690" s="48" t="inlineStr">
        <is>
          <t xml:space="preserve">At technical</t>
        </is>
      </c>
      <c r="AM690" s="41">
        <f>IF(ISNUMBER($AD690),Header!$I$3,"")</f>
      </c>
      <c r="AN690" s="39">
        <f>IF(ISNUMBER($AD690),$AO690+$AP690,"")</f>
      </c>
      <c r="AO690" s="39">
        <f>IF(ISNUMBER($AD690),ROUND($AD690*Header!$K$3,2),"")</f>
      </c>
      <c r="AP690" s="39">
        <f>IF(ISNUMBER($AD690),ROUND($AD690*Header!$M$3,2),"")</f>
      </c>
      <c r="AQ690" s="38">
        <f>IF(ISNUMBER($AD690),ROUND($AD690,2)-$AO690-$AP690,"")</f>
      </c>
      <c r="AR690" s="39">
        <f>IF(ISNUMBER($AD690),IF(Header!$D$34="","?",$AD690*Header!$D$34),"")</f>
      </c>
      <c r="AS690" s="39">
        <f>IF(ISNUMBER($AB690),IF(Header!$D$34="","?",$AB690*Header!$D$34),"")</f>
      </c>
      <c r="AT690" s="42">
        <f>IF(AND(ISNUMBER($AB690),$M690&gt;0),$AB690/$M690*100,"")</f>
      </c>
      <c r="AU690" s="42">
        <f>IF(AND(ISNUMBER($AD690),$M690&gt;0),$AD690/$M690*100,"")</f>
      </c>
      <c r="AV690" s="40">
        <f>IF(AND(ISNUMBER($AB690),ISNUMBER($AD690),ABS($AB690)&gt;0),$AD690/$AB690,"")</f>
      </c>
      <c r="AW690" s="39">
        <f>IF(ISNUMBER($AD690),MAX(0,(1-0.55-Header!$O$3)*Header!$Q$3*$AQ690),"")</f>
      </c>
      <c r="AX690" s="43">
        <f>IF($A690="","",IF(TRIM(IF($A690="","Missing certificate ref. ","") &amp; IF($C690="","Missing effective date. ","") &amp; IF($D690="","Missing binding status. ","") &amp; IF($E690="","Missing movement type. ","") &amp; IF($I690="","Missing make. ","") &amp; IF($L690="","Missing vehicle class. ","") &amp; IF($M690="","Missing agreed value. ","") &amp; IF($N690="","Missing policy type. ","") &amp; IF($Q690="","Missing garaging state. ","") &amp; IF($R690="","Missing garaging ZIP. ","") &amp; IF($S690="","Missing cat zone. ","") &amp; IF($V690="","Missing valuation basis. ","") &amp; IF($W690="","Missing PD deductible. ","") &amp; IF($X690="","Missing liability limit. ","") &amp; IF($AB690="","Missing technical premium. ","") &amp; IF($AF690="","Missing surplus lines tax %. ",""))="","PASS","FAIL: "&amp;TRIM(IF($A690="","Missing certificate ref. ","") &amp; IF($C690="","Missing effective date. ","") &amp; IF($D690="","Missing binding status. ","") &amp; IF($E690="","Missing movement type. ","") &amp; IF($I690="","Missing make. ","") &amp; IF($L690="","Missing vehicle class. ","") &amp; IF($M690="","Missing agreed value. ","") &amp; IF($N690="","Missing policy type. ","") &amp; IF($Q690="","Missing garaging state. ","") &amp; IF($R690="","Missing garaging ZIP. ","") &amp; IF($S690="","Missing cat zone. ","") &amp; IF($V690="","Missing valuation basis. ","") &amp; IF($W690="","Missing PD deductible. ","") &amp; IF($X690="","Missing liability limit. ","") &amp; IF($AB690="","Missing technical premium. ","") &amp; IF($AF690="","Missing surplus lines tax %. ",""))))</f>
      </c>
      <c r="AY690" s="44">
        <f>IF($M690="","",IF(ISNUMBER($M690),IF($M690&gt;=Header!$C$18,"YES — refer","No"),""))</f>
      </c>
      <c r="AZ690" s="44">
        <f>IF($AD690="","",IF(ISNUMBER($AD690),IF($AD690&lt;Header!$C$20,"BELOW MIN PREMIUM","OK"),""))</f>
      </c>
      <c r="BA690" s="48" t="inlineStr">
        <is>
          <t xml:space="preserve">Yes</t>
        </is>
      </c>
      <c r="BB690" s="48" t="inlineStr">
        <is>
          <t xml:space="preserve">Yes</t>
        </is>
      </c>
      <c r="BC690" s="46" t="inlineStr">
        <is>
          <t xml:space="preserve">Synthetic demo data</t>
        </is>
      </c>
      <c r="BE690" s="45">
        <f>IF(OR($A690="",$L690="",$H690=""),"",IF(AND(LEFT($L690,2)="06",$H690&gt;1945),"FAIL - pre-war class, year "&amp;$H690,IF(AND(LEFT($L690,2)="07",OR($H690&lt;1946,$H690&gt;1972)),"FAIL - 1946-72 class, year "&amp;$H690,IF(AND(LEFT($L690,2)="08",OR($H690&lt;1973,$H690&gt;1999)),"FAIL - 1973-99 class, year "&amp;$H690,IF(AND(LEFT($L690,2)="09",OR($H690&lt;2000,$H690&gt;2010)),"FAIL - 2000-10 class, year "&amp;$H690,"OK")))))</f>
      </c>
      <c r="BF690" s="45">
        <f>IF($AD690="","",IF(ROUND($AO690+$AP690+$AQ690-$AD690,2)=0,"OK","FAIL - out by "&amp;TEXT($AO690+$AP690+$AQ690-$AD690,"$0.00")))</f>
      </c>
    </row>
    <row r="691" spans="1:58" ht="18.75" customHeight="1" x14ac:dyDescent="0.25">
      <c r="A691" s="30" t="inlineStr">
        <is>
          <t xml:space="preserve">CANON-202606-009348</t>
        </is>
      </c>
      <c r="B691" s="30" t="inlineStr">
        <is>
          <t xml:space="preserve">Fitzgerald Vandermeer</t>
        </is>
      </c>
      <c r="C691" s="31">
        <v>46181</v>
      </c>
      <c r="D691" s="32" t="inlineStr">
        <is>
          <t xml:space="preserve">Bound - within authority</t>
        </is>
      </c>
      <c r="E691" s="32" t="inlineStr">
        <is>
          <t xml:space="preserve">New business</t>
        </is>
      </c>
      <c r="F691" s="30" t="inlineStr">
        <is>
          <t xml:space="preserve">B1234EXOTIC26</t>
        </is>
      </c>
      <c r="G691" s="33">
        <f>IF($A691="","",IF($C691="","",YEAR($C691)))</f>
      </c>
      <c r="H691" s="34">
        <v>1985</v>
      </c>
      <c r="I691" s="30" t="inlineStr">
        <is>
          <t xml:space="preserve">Bentley</t>
        </is>
      </c>
      <c r="J691" s="30" t="inlineStr">
        <is>
          <t xml:space="preserve">Continental GT</t>
        </is>
      </c>
      <c r="K691" s="30" t="inlineStr">
        <is>
          <t xml:space="preserve">DCW60WUK8EYTXP3PB</t>
        </is>
      </c>
      <c r="L691" s="32" t="inlineStr">
        <is>
          <t xml:space="preserve">02 - Sports / GT</t>
        </is>
      </c>
      <c r="M691" s="35">
        <v>1115000</v>
      </c>
      <c r="N691" s="32" t="inlineStr">
        <is>
          <t xml:space="preserve">Personal</t>
        </is>
      </c>
      <c r="O691" s="30" t="inlineStr">
        <is>
          <t xml:space="preserve">Personal - regular use</t>
        </is>
      </c>
      <c r="P691" s="30" t="inlineStr">
        <is>
          <t xml:space="preserve">Under 1,000</t>
        </is>
      </c>
      <c r="Q691" s="30" t="inlineStr">
        <is>
          <t xml:space="preserve">California</t>
        </is>
      </c>
      <c r="R691" s="30" t="inlineStr">
        <is>
          <t xml:space="preserve">90012</t>
        </is>
      </c>
      <c r="S691" s="32" t="inlineStr">
        <is>
          <t xml:space="preserve">Earthquake - high (CA, Cascadia, New Madrid)</t>
        </is>
      </c>
      <c r="T691" s="36">
        <f>IF($A691="","",IF($S691="","",IFERROR(INDEX('[1]natural catastrophe'!$D$6:$D$17,MATCH($S691,'[1]natural catastrophe'!$B$6:$B$17,0)),"?")))</f>
      </c>
      <c r="U691" s="30" t="inlineStr">
        <is>
          <t xml:space="preserve">$5,000</t>
        </is>
      </c>
      <c r="V691" s="32" t="inlineStr">
        <is>
          <t xml:space="preserve">Agreed Value</t>
        </is>
      </c>
      <c r="W691" s="30" t="inlineStr">
        <is>
          <t xml:space="preserve">$1,000</t>
        </is>
      </c>
      <c r="X691" s="32" t="inlineStr">
        <is>
          <t xml:space="preserve">$1,000,000 CSL</t>
        </is>
      </c>
      <c r="Y691" s="30"/>
      <c r="Z691" s="30"/>
      <c r="AA691" s="32" t="inlineStr">
        <is>
          <t xml:space="preserve">Surplus Lines</t>
        </is>
      </c>
      <c r="AB691" s="35">
        <v>11946.57</v>
      </c>
      <c r="AC691" s="37">
        <v>0</v>
      </c>
      <c r="AD691" s="38">
        <f>IF(ISNUMBER($AB691),$AB691*(1+N($AC691)),"")</f>
      </c>
      <c r="AE691" s="35">
        <v>350</v>
      </c>
      <c r="AF691" s="35">
        <v>250</v>
      </c>
      <c r="AG691" s="37"/>
      <c r="AH691" s="39">
        <f>IF(ISNUMBER($AD691),($AD691+$AE691+$AF691)*$AG691,"")</f>
      </c>
      <c r="AI691" s="35"/>
      <c r="AJ691" s="38">
        <f>IF(ISNUMBER($AD691),SUM($AD691:$AH691),"")</f>
      </c>
      <c r="AK691" s="40">
        <f>IF(AND(ISNUMBER($AB691),ISNUMBER($AD691)),IF($AB691&gt;0,$AD691/$AB691,""),"")</f>
      </c>
      <c r="AL691" s="32" t="inlineStr">
        <is>
          <t xml:space="preserve">At technical</t>
        </is>
      </c>
      <c r="AM691" s="41">
        <f>IF(ISNUMBER($AD691),Header!$I$3,"")</f>
      </c>
      <c r="AN691" s="39">
        <f>IF(ISNUMBER($AD691),$AO691+$AP691,"")</f>
      </c>
      <c r="AO691" s="39">
        <f>IF(ISNUMBER($AD691),ROUND($AD691*Header!$K$3,2),"")</f>
      </c>
      <c r="AP691" s="39">
        <f>IF(ISNUMBER($AD691),ROUND($AD691*Header!$M$3,2),"")</f>
      </c>
      <c r="AQ691" s="38">
        <f>IF(ISNUMBER($AD691),ROUND($AD691,2)-$AO691-$AP691,"")</f>
      </c>
      <c r="AR691" s="39">
        <f>IF(ISNUMBER($AD691),IF(Header!$D$34="","?",$AD691*Header!$D$34),"")</f>
      </c>
      <c r="AS691" s="39">
        <f>IF(ISNUMBER($AB691),IF(Header!$D$34="","?",$AB691*Header!$D$34),"")</f>
      </c>
      <c r="AT691" s="42">
        <f>IF(AND(ISNUMBER($AB691),$M691&gt;0),$AB691/$M691*100,"")</f>
      </c>
      <c r="AU691" s="42">
        <f>IF(AND(ISNUMBER($AD691),$M691&gt;0),$AD691/$M691*100,"")</f>
      </c>
      <c r="AV691" s="40">
        <f>IF(AND(ISNUMBER($AB691),ISNUMBER($AD691),ABS($AB691)&gt;0),$AD691/$AB691,"")</f>
      </c>
      <c r="AW691" s="39">
        <f>IF(ISNUMBER($AD691),MAX(0,(1-0.55-Header!$O$3)*Header!$Q$3*$AQ691),"")</f>
      </c>
      <c r="AX691" s="43">
        <f>IF($A691="","",IF(TRIM(IF($A691="","Missing certificate ref. ","") &amp; IF($C691="","Missing effective date. ","") &amp; IF($D691="","Missing binding status. ","") &amp; IF($E691="","Missing movement type. ","") &amp; IF($I691="","Missing make. ","") &amp; IF($L691="","Missing vehicle class. ","") &amp; IF($M691="","Missing agreed value. ","") &amp; IF($N691="","Missing policy type. ","") &amp; IF($Q691="","Missing garaging state. ","") &amp; IF($R691="","Missing garaging ZIP. ","") &amp; IF($S691="","Missing cat zone. ","") &amp; IF($V691="","Missing valuation basis. ","") &amp; IF($W691="","Missing PD deductible. ","") &amp; IF($X691="","Missing liability limit. ","") &amp; IF($AB691="","Missing technical premium. ","") &amp; IF($AF691="","Missing surplus lines tax %. ",""))="","PASS","FAIL: "&amp;TRIM(IF($A691="","Missing certificate ref. ","") &amp; IF($C691="","Missing effective date. ","") &amp; IF($D691="","Missing binding status. ","") &amp; IF($E691="","Missing movement type. ","") &amp; IF($I691="","Missing make. ","") &amp; IF($L691="","Missing vehicle class. ","") &amp; IF($M691="","Missing agreed value. ","") &amp; IF($N691="","Missing policy type. ","") &amp; IF($Q691="","Missing garaging state. ","") &amp; IF($R691="","Missing garaging ZIP. ","") &amp; IF($S691="","Missing cat zone. ","") &amp; IF($V691="","Missing valuation basis. ","") &amp; IF($W691="","Missing PD deductible. ","") &amp; IF($X691="","Missing liability limit. ","") &amp; IF($AB691="","Missing technical premium. ","") &amp; IF($AF691="","Missing surplus lines tax %. ",""))))</f>
      </c>
      <c r="AY691" s="44">
        <f>IF($M691="","",IF(ISNUMBER($M691),IF($M691&gt;=Header!$C$18,"YES — refer","No"),""))</f>
      </c>
      <c r="AZ691" s="44">
        <f>IF($AD691="","",IF(ISNUMBER($AD691),IF($AD691&lt;Header!$C$20,"BELOW MIN PREMIUM","OK"),""))</f>
      </c>
      <c r="BA691" s="32" t="inlineStr">
        <is>
          <t xml:space="preserve">Yes</t>
        </is>
      </c>
      <c r="BB691" s="32" t="inlineStr">
        <is>
          <t xml:space="preserve">Yes</t>
        </is>
      </c>
      <c r="BC691" s="30" t="inlineStr">
        <is>
          <t xml:space="preserve">Synthetic demo data</t>
        </is>
      </c>
      <c r="BE691" s="45">
        <f>IF(OR($A691="",$L691="",$H691=""),"",IF(AND(LEFT($L691,2)="06",$H691&gt;1945),"FAIL - pre-war class, year "&amp;$H691,IF(AND(LEFT($L691,2)="07",OR($H691&lt;1946,$H691&gt;1972)),"FAIL - 1946-72 class, year "&amp;$H691,IF(AND(LEFT($L691,2)="08",OR($H691&lt;1973,$H691&gt;1999)),"FAIL - 1973-99 class, year "&amp;$H691,IF(AND(LEFT($L691,2)="09",OR($H691&lt;2000,$H691&gt;2010)),"FAIL - 2000-10 class, year "&amp;$H691,"OK")))))</f>
      </c>
      <c r="BF691" s="45">
        <f>IF($AD691="","",IF(ROUND($AO691+$AP691+$AQ691-$AD691,2)=0,"OK","FAIL - out by "&amp;TEXT($AO691+$AP691+$AQ691-$AD691,"$0.00")))</f>
      </c>
    </row>
    <row r="692" spans="1:58" ht="18.75" customHeight="1" x14ac:dyDescent="0.25">
      <c r="A692" s="46" t="inlineStr">
        <is>
          <t xml:space="preserve">CANON-202606-009349</t>
        </is>
      </c>
      <c r="B692" s="46" t="inlineStr">
        <is>
          <t xml:space="preserve">Thaddeus Pennington</t>
        </is>
      </c>
      <c r="C692" s="47">
        <v>46193</v>
      </c>
      <c r="D692" s="48" t="inlineStr">
        <is>
          <t xml:space="preserve">Bound - within authority</t>
        </is>
      </c>
      <c r="E692" s="48" t="inlineStr">
        <is>
          <t xml:space="preserve">New business</t>
        </is>
      </c>
      <c r="F692" s="46" t="inlineStr">
        <is>
          <t xml:space="preserve">B1234EXOTIC26</t>
        </is>
      </c>
      <c r="G692" s="33">
        <f>IF($A692="","",IF($C692="","",YEAR($C692)))</f>
      </c>
      <c r="H692" s="49">
        <v>1996</v>
      </c>
      <c r="I692" s="46" t="inlineStr">
        <is>
          <t xml:space="preserve">Aston Martin</t>
        </is>
      </c>
      <c r="J692" s="46" t="inlineStr">
        <is>
          <t xml:space="preserve">DB12</t>
        </is>
      </c>
      <c r="K692" s="46" t="inlineStr">
        <is>
          <t xml:space="preserve">2YD69M0AGVE3T5XDP</t>
        </is>
      </c>
      <c r="L692" s="48" t="inlineStr">
        <is>
          <t xml:space="preserve">02 - Sports / GT</t>
        </is>
      </c>
      <c r="M692" s="50">
        <v>660000</v>
      </c>
      <c r="N692" s="48" t="inlineStr">
        <is>
          <t xml:space="preserve">Personal</t>
        </is>
      </c>
      <c r="O692" s="46" t="inlineStr">
        <is>
          <t xml:space="preserve">Personal - regular use</t>
        </is>
      </c>
      <c r="P692" s="46" t="inlineStr">
        <is>
          <t xml:space="preserve">2,500 - 5,000</t>
        </is>
      </c>
      <c r="Q692" s="46" t="inlineStr">
        <is>
          <t xml:space="preserve">Indiana</t>
        </is>
      </c>
      <c r="R692" s="46" t="inlineStr">
        <is>
          <t xml:space="preserve">46204</t>
        </is>
      </c>
      <c r="S692" s="48" t="inlineStr">
        <is>
          <t xml:space="preserve">Severe convective - hail / tornado (moderate)</t>
        </is>
      </c>
      <c r="T692" s="36">
        <f>IF($A692="","",IF($S692="","",IFERROR(INDEX('[1]natural catastrophe'!$D$6:$D$17,MATCH($S692,'[1]natural catastrophe'!$B$6:$B$17,0)),"?")))</f>
      </c>
      <c r="U692" s="46" t="inlineStr">
        <is>
          <t xml:space="preserve">$5,000</t>
        </is>
      </c>
      <c r="V692" s="48" t="inlineStr">
        <is>
          <t xml:space="preserve">Agreed Value</t>
        </is>
      </c>
      <c r="W692" s="46" t="inlineStr">
        <is>
          <t xml:space="preserve">$1,000</t>
        </is>
      </c>
      <c r="X692" s="48" t="inlineStr">
        <is>
          <t xml:space="preserve">$1,000,000 CSL</t>
        </is>
      </c>
      <c r="Y692" s="46"/>
      <c r="Z692" s="46"/>
      <c r="AA692" s="48" t="inlineStr">
        <is>
          <t xml:space="preserve">Surplus Lines</t>
        </is>
      </c>
      <c r="AB692" s="50">
        <v>7614.38</v>
      </c>
      <c r="AC692" s="51">
        <v>0</v>
      </c>
      <c r="AD692" s="38">
        <f>IF(ISNUMBER($AB692),$AB692*(1+N($AC692)),"")</f>
      </c>
      <c r="AE692" s="50">
        <v>350</v>
      </c>
      <c r="AF692" s="50">
        <v>0</v>
      </c>
      <c r="AG692" s="51"/>
      <c r="AH692" s="39">
        <f>IF(ISNUMBER($AD692),($AD692+$AE692+$AF692)*$AG692,"")</f>
      </c>
      <c r="AI692" s="50"/>
      <c r="AJ692" s="38">
        <f>IF(ISNUMBER($AD692),SUM($AD692:$AH692),"")</f>
      </c>
      <c r="AK692" s="40">
        <f>IF(AND(ISNUMBER($AB692),ISNUMBER($AD692)),IF($AB692&gt;0,$AD692/$AB692,""),"")</f>
      </c>
      <c r="AL692" s="48" t="inlineStr">
        <is>
          <t xml:space="preserve">At technical</t>
        </is>
      </c>
      <c r="AM692" s="41">
        <f>IF(ISNUMBER($AD692),Header!$I$3,"")</f>
      </c>
      <c r="AN692" s="39">
        <f>IF(ISNUMBER($AD692),$AO692+$AP692,"")</f>
      </c>
      <c r="AO692" s="39">
        <f>IF(ISNUMBER($AD692),ROUND($AD692*Header!$K$3,2),"")</f>
      </c>
      <c r="AP692" s="39">
        <f>IF(ISNUMBER($AD692),ROUND($AD692*Header!$M$3,2),"")</f>
      </c>
      <c r="AQ692" s="38">
        <f>IF(ISNUMBER($AD692),ROUND($AD692,2)-$AO692-$AP692,"")</f>
      </c>
      <c r="AR692" s="39">
        <f>IF(ISNUMBER($AD692),IF(Header!$D$34="","?",$AD692*Header!$D$34),"")</f>
      </c>
      <c r="AS692" s="39">
        <f>IF(ISNUMBER($AB692),IF(Header!$D$34="","?",$AB692*Header!$D$34),"")</f>
      </c>
      <c r="AT692" s="42">
        <f>IF(AND(ISNUMBER($AB692),$M692&gt;0),$AB692/$M692*100,"")</f>
      </c>
      <c r="AU692" s="42">
        <f>IF(AND(ISNUMBER($AD692),$M692&gt;0),$AD692/$M692*100,"")</f>
      </c>
      <c r="AV692" s="40">
        <f>IF(AND(ISNUMBER($AB692),ISNUMBER($AD692),ABS($AB692)&gt;0),$AD692/$AB692,"")</f>
      </c>
      <c r="AW692" s="39">
        <f>IF(ISNUMBER($AD692),MAX(0,(1-0.55-Header!$O$3)*Header!$Q$3*$AQ692),"")</f>
      </c>
      <c r="AX692" s="43">
        <f>IF($A692="","",IF(TRIM(IF($A692="","Missing certificate ref. ","") &amp; IF($C692="","Missing effective date. ","") &amp; IF($D692="","Missing binding status. ","") &amp; IF($E692="","Missing movement type. ","") &amp; IF($I692="","Missing make. ","") &amp; IF($L692="","Missing vehicle class. ","") &amp; IF($M692="","Missing agreed value. ","") &amp; IF($N692="","Missing policy type. ","") &amp; IF($Q692="","Missing garaging state. ","") &amp; IF($R692="","Missing garaging ZIP. ","") &amp; IF($S692="","Missing cat zone. ","") &amp; IF($V692="","Missing valuation basis. ","") &amp; IF($W692="","Missing PD deductible. ","") &amp; IF($X692="","Missing liability limit. ","") &amp; IF($AB692="","Missing technical premium. ","") &amp; IF($AF692="","Missing surplus lines tax %. ",""))="","PASS","FAIL: "&amp;TRIM(IF($A692="","Missing certificate ref. ","") &amp; IF($C692="","Missing effective date. ","") &amp; IF($D692="","Missing binding status. ","") &amp; IF($E692="","Missing movement type. ","") &amp; IF($I692="","Missing make. ","") &amp; IF($L692="","Missing vehicle class. ","") &amp; IF($M692="","Missing agreed value. ","") &amp; IF($N692="","Missing policy type. ","") &amp; IF($Q692="","Missing garaging state. ","") &amp; IF($R692="","Missing garaging ZIP. ","") &amp; IF($S692="","Missing cat zone. ","") &amp; IF($V692="","Missing valuation basis. ","") &amp; IF($W692="","Missing PD deductible. ","") &amp; IF($X692="","Missing liability limit. ","") &amp; IF($AB692="","Missing technical premium. ","") &amp; IF($AF692="","Missing surplus lines tax %. ",""))))</f>
      </c>
      <c r="AY692" s="44">
        <f>IF($M692="","",IF(ISNUMBER($M692),IF($M692&gt;=Header!$C$18,"YES — refer","No"),""))</f>
      </c>
      <c r="AZ692" s="44">
        <f>IF($AD692="","",IF(ISNUMBER($AD692),IF($AD692&lt;Header!$C$20,"BELOW MIN PREMIUM","OK"),""))</f>
      </c>
      <c r="BA692" s="48" t="inlineStr">
        <is>
          <t xml:space="preserve">Yes</t>
        </is>
      </c>
      <c r="BB692" s="48" t="inlineStr">
        <is>
          <t xml:space="preserve">Yes</t>
        </is>
      </c>
      <c r="BC692" s="46" t="inlineStr">
        <is>
          <t xml:space="preserve">Synthetic demo data</t>
        </is>
      </c>
      <c r="BE692" s="45">
        <f>IF(OR($A692="",$L692="",$H692=""),"",IF(AND(LEFT($L692,2)="06",$H692&gt;1945),"FAIL - pre-war class, year "&amp;$H692,IF(AND(LEFT($L692,2)="07",OR($H692&lt;1946,$H692&gt;1972)),"FAIL - 1946-72 class, year "&amp;$H692,IF(AND(LEFT($L692,2)="08",OR($H692&lt;1973,$H692&gt;1999)),"FAIL - 1973-99 class, year "&amp;$H692,IF(AND(LEFT($L692,2)="09",OR($H692&lt;2000,$H692&gt;2010)),"FAIL - 2000-10 class, year "&amp;$H692,"OK")))))</f>
      </c>
      <c r="BF692" s="45">
        <f>IF($AD692="","",IF(ROUND($AO692+$AP692+$AQ692-$AD692,2)=0,"OK","FAIL - out by "&amp;TEXT($AO692+$AP692+$AQ692-$AD692,"$0.00")))</f>
      </c>
    </row>
    <row r="693" spans="1:58" ht="18.75" customHeight="1" x14ac:dyDescent="0.25">
      <c r="A693" s="30" t="inlineStr">
        <is>
          <t xml:space="preserve">CANON-202606-009350</t>
        </is>
      </c>
      <c r="B693" s="30" t="inlineStr">
        <is>
          <t xml:space="preserve">Cassius Harrington</t>
        </is>
      </c>
      <c r="C693" s="31">
        <v>46187</v>
      </c>
      <c r="D693" s="32" t="inlineStr">
        <is>
          <t xml:space="preserve">Bound - within authority</t>
        </is>
      </c>
      <c r="E693" s="32" t="inlineStr">
        <is>
          <t xml:space="preserve">New business</t>
        </is>
      </c>
      <c r="F693" s="30" t="inlineStr">
        <is>
          <t xml:space="preserve">B1234EXOTIC26</t>
        </is>
      </c>
      <c r="G693" s="33">
        <f>IF($A693="","",IF($C693="","",YEAR($C693)))</f>
      </c>
      <c r="H693" s="34">
        <v>2017</v>
      </c>
      <c r="I693" s="30" t="inlineStr">
        <is>
          <t xml:space="preserve">Bentley</t>
        </is>
      </c>
      <c r="J693" s="30" t="inlineStr">
        <is>
          <t xml:space="preserve">Continental GT</t>
        </is>
      </c>
      <c r="K693" s="30" t="inlineStr">
        <is>
          <t xml:space="preserve">5Z8RV32XG68043TU5</t>
        </is>
      </c>
      <c r="L693" s="32" t="inlineStr">
        <is>
          <t xml:space="preserve">02 - Sports / GT</t>
        </is>
      </c>
      <c r="M693" s="35">
        <v>355000</v>
      </c>
      <c r="N693" s="32" t="inlineStr">
        <is>
          <t xml:space="preserve">Personal</t>
        </is>
      </c>
      <c r="O693" s="30" t="inlineStr">
        <is>
          <t xml:space="preserve">Personal - regular use</t>
        </is>
      </c>
      <c r="P693" s="30" t="inlineStr">
        <is>
          <t xml:space="preserve">2,500 - 5,000</t>
        </is>
      </c>
      <c r="Q693" s="30" t="inlineStr">
        <is>
          <t xml:space="preserve">Alabama</t>
        </is>
      </c>
      <c r="R693" s="30" t="inlineStr">
        <is>
          <t xml:space="preserve">35203</t>
        </is>
      </c>
      <c r="S693" s="32" t="inlineStr">
        <is>
          <t xml:space="preserve">Tier 2 - Coastal wind (1-25 miles)</t>
        </is>
      </c>
      <c r="T693" s="36">
        <f>IF($A693="","",IF($S693="","",IFERROR(INDEX('[1]natural catastrophe'!$D$6:$D$17,MATCH($S693,'[1]natural catastrophe'!$B$6:$B$17,0)),"?")))</f>
      </c>
      <c r="U693" s="30" t="inlineStr">
        <is>
          <t xml:space="preserve">2% of agreed value, minimum $10,000</t>
        </is>
      </c>
      <c r="V693" s="32" t="inlineStr">
        <is>
          <t xml:space="preserve">Agreed Value</t>
        </is>
      </c>
      <c r="W693" s="30" t="inlineStr">
        <is>
          <t xml:space="preserve">$1,000</t>
        </is>
      </c>
      <c r="X693" s="32" t="inlineStr">
        <is>
          <t xml:space="preserve">$1,000,000 CSL</t>
        </is>
      </c>
      <c r="Y693" s="30"/>
      <c r="Z693" s="30"/>
      <c r="AA693" s="32" t="inlineStr">
        <is>
          <t xml:space="preserve">Surplus Lines</t>
        </is>
      </c>
      <c r="AB693" s="35">
        <v>4879.39</v>
      </c>
      <c r="AC693" s="37">
        <v>0</v>
      </c>
      <c r="AD693" s="38">
        <f>IF(ISNUMBER($AB693),$AB693*(1+N($AC693)),"")</f>
      </c>
      <c r="AE693" s="35">
        <v>350</v>
      </c>
      <c r="AF693" s="35">
        <v>0</v>
      </c>
      <c r="AG693" s="37"/>
      <c r="AH693" s="39">
        <f>IF(ISNUMBER($AD693),($AD693+$AE693+$AF693)*$AG693,"")</f>
      </c>
      <c r="AI693" s="35"/>
      <c r="AJ693" s="38">
        <f>IF(ISNUMBER($AD693),SUM($AD693:$AH693),"")</f>
      </c>
      <c r="AK693" s="40">
        <f>IF(AND(ISNUMBER($AB693),ISNUMBER($AD693)),IF($AB693&gt;0,$AD693/$AB693,""),"")</f>
      </c>
      <c r="AL693" s="32" t="inlineStr">
        <is>
          <t xml:space="preserve">At technical</t>
        </is>
      </c>
      <c r="AM693" s="41">
        <f>IF(ISNUMBER($AD693),Header!$I$3,"")</f>
      </c>
      <c r="AN693" s="39">
        <f>IF(ISNUMBER($AD693),$AO693+$AP693,"")</f>
      </c>
      <c r="AO693" s="39">
        <f>IF(ISNUMBER($AD693),ROUND($AD693*Header!$K$3,2),"")</f>
      </c>
      <c r="AP693" s="39">
        <f>IF(ISNUMBER($AD693),ROUND($AD693*Header!$M$3,2),"")</f>
      </c>
      <c r="AQ693" s="38">
        <f>IF(ISNUMBER($AD693),ROUND($AD693,2)-$AO693-$AP693,"")</f>
      </c>
      <c r="AR693" s="39">
        <f>IF(ISNUMBER($AD693),IF(Header!$D$34="","?",$AD693*Header!$D$34),"")</f>
      </c>
      <c r="AS693" s="39">
        <f>IF(ISNUMBER($AB693),IF(Header!$D$34="","?",$AB693*Header!$D$34),"")</f>
      </c>
      <c r="AT693" s="42">
        <f>IF(AND(ISNUMBER($AB693),$M693&gt;0),$AB693/$M693*100,"")</f>
      </c>
      <c r="AU693" s="42">
        <f>IF(AND(ISNUMBER($AD693),$M693&gt;0),$AD693/$M693*100,"")</f>
      </c>
      <c r="AV693" s="40">
        <f>IF(AND(ISNUMBER($AB693),ISNUMBER($AD693),ABS($AB693)&gt;0),$AD693/$AB693,"")</f>
      </c>
      <c r="AW693" s="39">
        <f>IF(ISNUMBER($AD693),MAX(0,(1-0.55-Header!$O$3)*Header!$Q$3*$AQ693),"")</f>
      </c>
      <c r="AX693" s="43">
        <f>IF($A693="","",IF(TRIM(IF($A693="","Missing certificate ref. ","") &amp; IF($C693="","Missing effective date. ","") &amp; IF($D693="","Missing binding status. ","") &amp; IF($E693="","Missing movement type. ","") &amp; IF($I693="","Missing make. ","") &amp; IF($L693="","Missing vehicle class. ","") &amp; IF($M693="","Missing agreed value. ","") &amp; IF($N693="","Missing policy type. ","") &amp; IF($Q693="","Missing garaging state. ","") &amp; IF($R693="","Missing garaging ZIP. ","") &amp; IF($S693="","Missing cat zone. ","") &amp; IF($V693="","Missing valuation basis. ","") &amp; IF($W693="","Missing PD deductible. ","") &amp; IF($X693="","Missing liability limit. ","") &amp; IF($AB693="","Missing technical premium. ","") &amp; IF($AF693="","Missing surplus lines tax %. ",""))="","PASS","FAIL: "&amp;TRIM(IF($A693="","Missing certificate ref. ","") &amp; IF($C693="","Missing effective date. ","") &amp; IF($D693="","Missing binding status. ","") &amp; IF($E693="","Missing movement type. ","") &amp; IF($I693="","Missing make. ","") &amp; IF($L693="","Missing vehicle class. ","") &amp; IF($M693="","Missing agreed value. ","") &amp; IF($N693="","Missing policy type. ","") &amp; IF($Q693="","Missing garaging state. ","") &amp; IF($R693="","Missing garaging ZIP. ","") &amp; IF($S693="","Missing cat zone. ","") &amp; IF($V693="","Missing valuation basis. ","") &amp; IF($W693="","Missing PD deductible. ","") &amp; IF($X693="","Missing liability limit. ","") &amp; IF($AB693="","Missing technical premium. ","") &amp; IF($AF693="","Missing surplus lines tax %. ",""))))</f>
      </c>
      <c r="AY693" s="44">
        <f>IF($M693="","",IF(ISNUMBER($M693),IF($M693&gt;=Header!$C$18,"YES — refer","No"),""))</f>
      </c>
      <c r="AZ693" s="44">
        <f>IF($AD693="","",IF(ISNUMBER($AD693),IF($AD693&lt;Header!$C$20,"BELOW MIN PREMIUM","OK"),""))</f>
      </c>
      <c r="BA693" s="32" t="inlineStr">
        <is>
          <t xml:space="preserve">Yes</t>
        </is>
      </c>
      <c r="BB693" s="32" t="inlineStr">
        <is>
          <t xml:space="preserve">Yes</t>
        </is>
      </c>
      <c r="BC693" s="30" t="inlineStr">
        <is>
          <t xml:space="preserve">Synthetic demo data</t>
        </is>
      </c>
      <c r="BE693" s="45">
        <f>IF(OR($A693="",$L693="",$H693=""),"",IF(AND(LEFT($L693,2)="06",$H693&gt;1945),"FAIL - pre-war class, year "&amp;$H693,IF(AND(LEFT($L693,2)="07",OR($H693&lt;1946,$H693&gt;1972)),"FAIL - 1946-72 class, year "&amp;$H693,IF(AND(LEFT($L693,2)="08",OR($H693&lt;1973,$H693&gt;1999)),"FAIL - 1973-99 class, year "&amp;$H693,IF(AND(LEFT($L693,2)="09",OR($H693&lt;2000,$H693&gt;2010)),"FAIL - 2000-10 class, year "&amp;$H693,"OK")))))</f>
      </c>
      <c r="BF693" s="45">
        <f>IF($AD693="","",IF(ROUND($AO693+$AP693+$AQ693-$AD693,2)=0,"OK","FAIL - out by "&amp;TEXT($AO693+$AP693+$AQ693-$AD693,"$0.00")))</f>
      </c>
    </row>
    <row r="694" spans="1:58" ht="18.75" customHeight="1" x14ac:dyDescent="0.25">
      <c r="A694" s="46" t="inlineStr">
        <is>
          <t xml:space="preserve">CANON-202606-009351</t>
        </is>
      </c>
      <c r="B694" s="46" t="inlineStr">
        <is>
          <t xml:space="preserve">Horace Larsson</t>
        </is>
      </c>
      <c r="C694" s="47">
        <v>46190</v>
      </c>
      <c r="D694" s="48" t="inlineStr">
        <is>
          <t xml:space="preserve">Bound - within authority</t>
        </is>
      </c>
      <c r="E694" s="48" t="inlineStr">
        <is>
          <t xml:space="preserve">New business</t>
        </is>
      </c>
      <c r="F694" s="46" t="inlineStr">
        <is>
          <t xml:space="preserve">B1234EXOTIC26</t>
        </is>
      </c>
      <c r="G694" s="33">
        <f>IF($A694="","",IF($C694="","",YEAR($C694)))</f>
      </c>
      <c r="H694" s="49">
        <v>2022</v>
      </c>
      <c r="I694" s="46" t="inlineStr">
        <is>
          <t xml:space="preserve">Ferrari</t>
        </is>
      </c>
      <c r="J694" s="46" t="inlineStr">
        <is>
          <t xml:space="preserve">SF90 Stradale</t>
        </is>
      </c>
      <c r="K694" s="46" t="inlineStr">
        <is>
          <t xml:space="preserve">KTHKFT7LNJGEXM8HM</t>
        </is>
      </c>
      <c r="L694" s="48" t="inlineStr">
        <is>
          <t xml:space="preserve">03 - Supercar</t>
        </is>
      </c>
      <c r="M694" s="50">
        <v>470000</v>
      </c>
      <c r="N694" s="48" t="inlineStr">
        <is>
          <t xml:space="preserve">Personal</t>
        </is>
      </c>
      <c r="O694" s="46" t="inlineStr">
        <is>
          <t xml:space="preserve">Personal - regular use</t>
        </is>
      </c>
      <c r="P694" s="46" t="inlineStr">
        <is>
          <t xml:space="preserve">1,000 - 2,500</t>
        </is>
      </c>
      <c r="Q694" s="46" t="inlineStr">
        <is>
          <t xml:space="preserve">Texas</t>
        </is>
      </c>
      <c r="R694" s="46" t="inlineStr">
        <is>
          <t xml:space="preserve">75201</t>
        </is>
      </c>
      <c r="S694" s="48" t="inlineStr">
        <is>
          <t xml:space="preserve">Tier 2 - Coastal wind (1-25 miles)</t>
        </is>
      </c>
      <c r="T694" s="36">
        <f>IF($A694="","",IF($S694="","",IFERROR(INDEX('[1]natural catastrophe'!$D$6:$D$17,MATCH($S694,'[1]natural catastrophe'!$B$6:$B$17,0)),"?")))</f>
      </c>
      <c r="U694" s="46" t="inlineStr">
        <is>
          <t xml:space="preserve">2% of agreed value, minimum $10,000</t>
        </is>
      </c>
      <c r="V694" s="48" t="inlineStr">
        <is>
          <t xml:space="preserve">Agreed Value</t>
        </is>
      </c>
      <c r="W694" s="46" t="inlineStr">
        <is>
          <t xml:space="preserve">$1,000</t>
        </is>
      </c>
      <c r="X694" s="48" t="inlineStr">
        <is>
          <t xml:space="preserve">$1,000,000 CSL</t>
        </is>
      </c>
      <c r="Y694" s="46"/>
      <c r="Z694" s="46"/>
      <c r="AA694" s="48" t="inlineStr">
        <is>
          <t xml:space="preserve">Surplus Lines</t>
        </is>
      </c>
      <c r="AB694" s="50">
        <v>8969.44</v>
      </c>
      <c r="AC694" s="51">
        <v>0</v>
      </c>
      <c r="AD694" s="38">
        <f>IF(ISNUMBER($AB694),$AB694*(1+N($AC694)),"")</f>
      </c>
      <c r="AE694" s="50">
        <v>350</v>
      </c>
      <c r="AF694" s="50">
        <v>0</v>
      </c>
      <c r="AG694" s="51"/>
      <c r="AH694" s="39">
        <f>IF(ISNUMBER($AD694),($AD694+$AE694+$AF694)*$AG694,"")</f>
      </c>
      <c r="AI694" s="50"/>
      <c r="AJ694" s="38">
        <f>IF(ISNUMBER($AD694),SUM($AD694:$AH694),"")</f>
      </c>
      <c r="AK694" s="40">
        <f>IF(AND(ISNUMBER($AB694),ISNUMBER($AD694)),IF($AB694&gt;0,$AD694/$AB694,""),"")</f>
      </c>
      <c r="AL694" s="48" t="inlineStr">
        <is>
          <t xml:space="preserve">At technical</t>
        </is>
      </c>
      <c r="AM694" s="41">
        <f>IF(ISNUMBER($AD694),Header!$I$3,"")</f>
      </c>
      <c r="AN694" s="39">
        <f>IF(ISNUMBER($AD694),$AO694+$AP694,"")</f>
      </c>
      <c r="AO694" s="39">
        <f>IF(ISNUMBER($AD694),ROUND($AD694*Header!$K$3,2),"")</f>
      </c>
      <c r="AP694" s="39">
        <f>IF(ISNUMBER($AD694),ROUND($AD694*Header!$M$3,2),"")</f>
      </c>
      <c r="AQ694" s="38">
        <f>IF(ISNUMBER($AD694),ROUND($AD694,2)-$AO694-$AP694,"")</f>
      </c>
      <c r="AR694" s="39">
        <f>IF(ISNUMBER($AD694),IF(Header!$D$34="","?",$AD694*Header!$D$34),"")</f>
      </c>
      <c r="AS694" s="39">
        <f>IF(ISNUMBER($AB694),IF(Header!$D$34="","?",$AB694*Header!$D$34),"")</f>
      </c>
      <c r="AT694" s="42">
        <f>IF(AND(ISNUMBER($AB694),$M694&gt;0),$AB694/$M694*100,"")</f>
      </c>
      <c r="AU694" s="42">
        <f>IF(AND(ISNUMBER($AD694),$M694&gt;0),$AD694/$M694*100,"")</f>
      </c>
      <c r="AV694" s="40">
        <f>IF(AND(ISNUMBER($AB694),ISNUMBER($AD694),ABS($AB694)&gt;0),$AD694/$AB694,"")</f>
      </c>
      <c r="AW694" s="39">
        <f>IF(ISNUMBER($AD694),MAX(0,(1-0.55-Header!$O$3)*Header!$Q$3*$AQ694),"")</f>
      </c>
      <c r="AX694" s="43">
        <f>IF($A694="","",IF(TRIM(IF($A694="","Missing certificate ref. ","") &amp; IF($C694="","Missing effective date. ","") &amp; IF($D694="","Missing binding status. ","") &amp; IF($E694="","Missing movement type. ","") &amp; IF($I694="","Missing make. ","") &amp; IF($L694="","Missing vehicle class. ","") &amp; IF($M694="","Missing agreed value. ","") &amp; IF($N694="","Missing policy type. ","") &amp; IF($Q694="","Missing garaging state. ","") &amp; IF($R694="","Missing garaging ZIP. ","") &amp; IF($S694="","Missing cat zone. ","") &amp; IF($V694="","Missing valuation basis. ","") &amp; IF($W694="","Missing PD deductible. ","") &amp; IF($X694="","Missing liability limit. ","") &amp; IF($AB694="","Missing technical premium. ","") &amp; IF($AF694="","Missing surplus lines tax %. ",""))="","PASS","FAIL: "&amp;TRIM(IF($A694="","Missing certificate ref. ","") &amp; IF($C694="","Missing effective date. ","") &amp; IF($D694="","Missing binding status. ","") &amp; IF($E694="","Missing movement type. ","") &amp; IF($I694="","Missing make. ","") &amp; IF($L694="","Missing vehicle class. ","") &amp; IF($M694="","Missing agreed value. ","") &amp; IF($N694="","Missing policy type. ","") &amp; IF($Q694="","Missing garaging state. ","") &amp; IF($R694="","Missing garaging ZIP. ","") &amp; IF($S694="","Missing cat zone. ","") &amp; IF($V694="","Missing valuation basis. ","") &amp; IF($W694="","Missing PD deductible. ","") &amp; IF($X694="","Missing liability limit. ","") &amp; IF($AB694="","Missing technical premium. ","") &amp; IF($AF694="","Missing surplus lines tax %. ",""))))</f>
      </c>
      <c r="AY694" s="44">
        <f>IF($M694="","",IF(ISNUMBER($M694),IF($M694&gt;=Header!$C$18,"YES — refer","No"),""))</f>
      </c>
      <c r="AZ694" s="44">
        <f>IF($AD694="","",IF(ISNUMBER($AD694),IF($AD694&lt;Header!$C$20,"BELOW MIN PREMIUM","OK"),""))</f>
      </c>
      <c r="BA694" s="48" t="inlineStr">
        <is>
          <t xml:space="preserve">Yes</t>
        </is>
      </c>
      <c r="BB694" s="48" t="inlineStr">
        <is>
          <t xml:space="preserve">Yes</t>
        </is>
      </c>
      <c r="BC694" s="46" t="inlineStr">
        <is>
          <t xml:space="preserve">Synthetic demo data</t>
        </is>
      </c>
      <c r="BE694" s="45">
        <f>IF(OR($A694="",$L694="",$H694=""),"",IF(AND(LEFT($L694,2)="06",$H694&gt;1945),"FAIL - pre-war class, year "&amp;$H694,IF(AND(LEFT($L694,2)="07",OR($H694&lt;1946,$H694&gt;1972)),"FAIL - 1946-72 class, year "&amp;$H694,IF(AND(LEFT($L694,2)="08",OR($H694&lt;1973,$H694&gt;1999)),"FAIL - 1973-99 class, year "&amp;$H694,IF(AND(LEFT($L694,2)="09",OR($H694&lt;2000,$H694&gt;2010)),"FAIL - 2000-10 class, year "&amp;$H694,"OK")))))</f>
      </c>
      <c r="BF694" s="45">
        <f>IF($AD694="","",IF(ROUND($AO694+$AP694+$AQ694-$AD694,2)=0,"OK","FAIL - out by "&amp;TEXT($AO694+$AP694+$AQ694-$AD694,"$0.00")))</f>
      </c>
    </row>
    <row r="695" spans="1:58" ht="18.75" customHeight="1" x14ac:dyDescent="0.25">
      <c r="A695" s="30" t="inlineStr">
        <is>
          <t xml:space="preserve">CANON-202606-009353</t>
        </is>
      </c>
      <c r="B695" s="30" t="inlineStr">
        <is>
          <t xml:space="preserve">Wilhelmina Bellandi</t>
        </is>
      </c>
      <c r="C695" s="31">
        <v>46184</v>
      </c>
      <c r="D695" s="32" t="inlineStr">
        <is>
          <t xml:space="preserve">Bound - within authority</t>
        </is>
      </c>
      <c r="E695" s="32" t="inlineStr">
        <is>
          <t xml:space="preserve">New business</t>
        </is>
      </c>
      <c r="F695" s="30" t="inlineStr">
        <is>
          <t xml:space="preserve">B1234EXOTIC26</t>
        </is>
      </c>
      <c r="G695" s="33">
        <f>IF($A695="","",IF($C695="","",YEAR($C695)))</f>
      </c>
      <c r="H695" s="34">
        <v>1959</v>
      </c>
      <c r="I695" s="30" t="inlineStr">
        <is>
          <t xml:space="preserve">Ferrari</t>
        </is>
      </c>
      <c r="J695" s="30" t="inlineStr">
        <is>
          <t xml:space="preserve">296 GTB</t>
        </is>
      </c>
      <c r="K695" s="30" t="inlineStr">
        <is>
          <t xml:space="preserve">1H7GF74ZKYB648RMZ</t>
        </is>
      </c>
      <c r="L695" s="32" t="inlineStr">
        <is>
          <t xml:space="preserve">03 - Supercar</t>
        </is>
      </c>
      <c r="M695" s="35">
        <v>980000</v>
      </c>
      <c r="N695" s="32" t="inlineStr">
        <is>
          <t xml:space="preserve">Personal</t>
        </is>
      </c>
      <c r="O695" s="30" t="inlineStr">
        <is>
          <t xml:space="preserve">Personal - regular use</t>
        </is>
      </c>
      <c r="P695" s="30" t="inlineStr">
        <is>
          <t xml:space="preserve">Under 1,000</t>
        </is>
      </c>
      <c r="Q695" s="30" t="inlineStr">
        <is>
          <t xml:space="preserve">Arkansas</t>
        </is>
      </c>
      <c r="R695" s="30" t="inlineStr">
        <is>
          <t xml:space="preserve">72201</t>
        </is>
      </c>
      <c r="S695" s="32" t="inlineStr">
        <is>
          <t xml:space="preserve">Severe convective - hail / tornado (moderate)</t>
        </is>
      </c>
      <c r="T695" s="36">
        <f>IF($A695="","",IF($S695="","",IFERROR(INDEX('[1]natural catastrophe'!$D$6:$D$17,MATCH($S695,'[1]natural catastrophe'!$B$6:$B$17,0)),"?")))</f>
      </c>
      <c r="U695" s="30" t="inlineStr">
        <is>
          <t xml:space="preserve">$5,000</t>
        </is>
      </c>
      <c r="V695" s="32" t="inlineStr">
        <is>
          <t xml:space="preserve">Agreed Value</t>
        </is>
      </c>
      <c r="W695" s="30" t="inlineStr">
        <is>
          <t xml:space="preserve">$1,000</t>
        </is>
      </c>
      <c r="X695" s="32" t="inlineStr">
        <is>
          <t xml:space="preserve">$1,000,000 CSL</t>
        </is>
      </c>
      <c r="Y695" s="30"/>
      <c r="Z695" s="30"/>
      <c r="AA695" s="32" t="inlineStr">
        <is>
          <t xml:space="preserve">Surplus Lines</t>
        </is>
      </c>
      <c r="AB695" s="35">
        <v>18539.62</v>
      </c>
      <c r="AC695" s="37">
        <v>0</v>
      </c>
      <c r="AD695" s="38">
        <f>IF(ISNUMBER($AB695),$AB695*(1+N($AC695)),"")</f>
      </c>
      <c r="AE695" s="35">
        <v>350</v>
      </c>
      <c r="AF695" s="35">
        <v>0</v>
      </c>
      <c r="AG695" s="37"/>
      <c r="AH695" s="39">
        <f>IF(ISNUMBER($AD695),($AD695+$AE695+$AF695)*$AG695,"")</f>
      </c>
      <c r="AI695" s="35"/>
      <c r="AJ695" s="38">
        <f>IF(ISNUMBER($AD695),SUM($AD695:$AH695),"")</f>
      </c>
      <c r="AK695" s="40">
        <f>IF(AND(ISNUMBER($AB695),ISNUMBER($AD695)),IF($AB695&gt;0,$AD695/$AB695,""),"")</f>
      </c>
      <c r="AL695" s="32" t="inlineStr">
        <is>
          <t xml:space="preserve">At technical</t>
        </is>
      </c>
      <c r="AM695" s="41">
        <f>IF(ISNUMBER($AD695),Header!$I$3,"")</f>
      </c>
      <c r="AN695" s="39">
        <f>IF(ISNUMBER($AD695),$AO695+$AP695,"")</f>
      </c>
      <c r="AO695" s="39">
        <f>IF(ISNUMBER($AD695),ROUND($AD695*Header!$K$3,2),"")</f>
      </c>
      <c r="AP695" s="39">
        <f>IF(ISNUMBER($AD695),ROUND($AD695*Header!$M$3,2),"")</f>
      </c>
      <c r="AQ695" s="38">
        <f>IF(ISNUMBER($AD695),ROUND($AD695,2)-$AO695-$AP695,"")</f>
      </c>
      <c r="AR695" s="39">
        <f>IF(ISNUMBER($AD695),IF(Header!$D$34="","?",$AD695*Header!$D$34),"")</f>
      </c>
      <c r="AS695" s="39">
        <f>IF(ISNUMBER($AB695),IF(Header!$D$34="","?",$AB695*Header!$D$34),"")</f>
      </c>
      <c r="AT695" s="42">
        <f>IF(AND(ISNUMBER($AB695),$M695&gt;0),$AB695/$M695*100,"")</f>
      </c>
      <c r="AU695" s="42">
        <f>IF(AND(ISNUMBER($AD695),$M695&gt;0),$AD695/$M695*100,"")</f>
      </c>
      <c r="AV695" s="40">
        <f>IF(AND(ISNUMBER($AB695),ISNUMBER($AD695),ABS($AB695)&gt;0),$AD695/$AB695,"")</f>
      </c>
      <c r="AW695" s="39">
        <f>IF(ISNUMBER($AD695),MAX(0,(1-0.55-Header!$O$3)*Header!$Q$3*$AQ695),"")</f>
      </c>
      <c r="AX695" s="43">
        <f>IF($A695="","",IF(TRIM(IF($A695="","Missing certificate ref. ","") &amp; IF($C695="","Missing effective date. ","") &amp; IF($D695="","Missing binding status. ","") &amp; IF($E695="","Missing movement type. ","") &amp; IF($I695="","Missing make. ","") &amp; IF($L695="","Missing vehicle class. ","") &amp; IF($M695="","Missing agreed value. ","") &amp; IF($N695="","Missing policy type. ","") &amp; IF($Q695="","Missing garaging state. ","") &amp; IF($R695="","Missing garaging ZIP. ","") &amp; IF($S695="","Missing cat zone. ","") &amp; IF($V695="","Missing valuation basis. ","") &amp; IF($W695="","Missing PD deductible. ","") &amp; IF($X695="","Missing liability limit. ","") &amp; IF($AB695="","Missing technical premium. ","") &amp; IF($AF695="","Missing surplus lines tax %. ",""))="","PASS","FAIL: "&amp;TRIM(IF($A695="","Missing certificate ref. ","") &amp; IF($C695="","Missing effective date. ","") &amp; IF($D695="","Missing binding status. ","") &amp; IF($E695="","Missing movement type. ","") &amp; IF($I695="","Missing make. ","") &amp; IF($L695="","Missing vehicle class. ","") &amp; IF($M695="","Missing agreed value. ","") &amp; IF($N695="","Missing policy type. ","") &amp; IF($Q695="","Missing garaging state. ","") &amp; IF($R695="","Missing garaging ZIP. ","") &amp; IF($S695="","Missing cat zone. ","") &amp; IF($V695="","Missing valuation basis. ","") &amp; IF($W695="","Missing PD deductible. ","") &amp; IF($X695="","Missing liability limit. ","") &amp; IF($AB695="","Missing technical premium. ","") &amp; IF($AF695="","Missing surplus lines tax %. ",""))))</f>
      </c>
      <c r="AY695" s="44">
        <f>IF($M695="","",IF(ISNUMBER($M695),IF($M695&gt;=Header!$C$18,"YES — refer","No"),""))</f>
      </c>
      <c r="AZ695" s="44">
        <f>IF($AD695="","",IF(ISNUMBER($AD695),IF($AD695&lt;Header!$C$20,"BELOW MIN PREMIUM","OK"),""))</f>
      </c>
      <c r="BA695" s="32" t="inlineStr">
        <is>
          <t xml:space="preserve">Yes</t>
        </is>
      </c>
      <c r="BB695" s="32" t="inlineStr">
        <is>
          <t xml:space="preserve">Yes</t>
        </is>
      </c>
      <c r="BC695" s="30" t="inlineStr">
        <is>
          <t xml:space="preserve">Synthetic demo data</t>
        </is>
      </c>
      <c r="BE695" s="45">
        <f>IF(OR($A695="",$L695="",$H695=""),"",IF(AND(LEFT($L695,2)="06",$H695&gt;1945),"FAIL - pre-war class, year "&amp;$H695,IF(AND(LEFT($L695,2)="07",OR($H695&lt;1946,$H695&gt;1972)),"FAIL - 1946-72 class, year "&amp;$H695,IF(AND(LEFT($L695,2)="08",OR($H695&lt;1973,$H695&gt;1999)),"FAIL - 1973-99 class, year "&amp;$H695,IF(AND(LEFT($L695,2)="09",OR($H695&lt;2000,$H695&gt;2010)),"FAIL - 2000-10 class, year "&amp;$H695,"OK")))))</f>
      </c>
      <c r="BF695" s="45">
        <f>IF($AD695="","",IF(ROUND($AO695+$AP695+$AQ695-$AD695,2)=0,"OK","FAIL - out by "&amp;TEXT($AO695+$AP695+$AQ695-$AD695,"$0.00")))</f>
      </c>
    </row>
    <row r="696" spans="1:58" ht="18.75" customHeight="1" x14ac:dyDescent="0.25">
      <c r="A696" s="46" t="inlineStr">
        <is>
          <t xml:space="preserve">CANON-202606-009354</t>
        </is>
      </c>
      <c r="B696" s="46" t="inlineStr">
        <is>
          <t xml:space="preserve">Lorenzo Blackwood</t>
        </is>
      </c>
      <c r="C696" s="47">
        <v>46200</v>
      </c>
      <c r="D696" s="48" t="inlineStr">
        <is>
          <t xml:space="preserve">Bound - within authority</t>
        </is>
      </c>
      <c r="E696" s="48" t="inlineStr">
        <is>
          <t xml:space="preserve">New business</t>
        </is>
      </c>
      <c r="F696" s="46" t="inlineStr">
        <is>
          <t xml:space="preserve">B1234EXOTIC26</t>
        </is>
      </c>
      <c r="G696" s="33">
        <f>IF($A696="","",IF($C696="","",YEAR($C696)))</f>
      </c>
      <c r="H696" s="49">
        <v>1964</v>
      </c>
      <c r="I696" s="46" t="inlineStr">
        <is>
          <t xml:space="preserve">Maserati</t>
        </is>
      </c>
      <c r="J696" s="46" t="inlineStr">
        <is>
          <t xml:space="preserve">GranTurismo</t>
        </is>
      </c>
      <c r="K696" s="46" t="inlineStr">
        <is>
          <t xml:space="preserve">3GTTRA4FDZH1ASE32</t>
        </is>
      </c>
      <c r="L696" s="48" t="inlineStr">
        <is>
          <t xml:space="preserve">02 - Sports / GT</t>
        </is>
      </c>
      <c r="M696" s="50">
        <v>800000</v>
      </c>
      <c r="N696" s="48" t="inlineStr">
        <is>
          <t xml:space="preserve">Personal</t>
        </is>
      </c>
      <c r="O696" s="46" t="inlineStr">
        <is>
          <t xml:space="preserve">Personal - regular use</t>
        </is>
      </c>
      <c r="P696" s="46" t="inlineStr">
        <is>
          <t xml:space="preserve">2,500 - 5,000</t>
        </is>
      </c>
      <c r="Q696" s="46" t="inlineStr">
        <is>
          <t xml:space="preserve">Utah</t>
        </is>
      </c>
      <c r="R696" s="46" t="inlineStr">
        <is>
          <t xml:space="preserve">84101</t>
        </is>
      </c>
      <c r="S696" s="48" t="inlineStr">
        <is>
          <t xml:space="preserve">Wildfire - WUI high hazard</t>
        </is>
      </c>
      <c r="T696" s="36">
        <f>IF($A696="","",IF($S696="","",IFERROR(INDEX('[1]natural catastrophe'!$D$6:$D$17,MATCH($S696,'[1]natural catastrophe'!$B$6:$B$17,0)),"?")))</f>
      </c>
      <c r="U696" s="46" t="inlineStr">
        <is>
          <t xml:space="preserve">$5,000</t>
        </is>
      </c>
      <c r="V696" s="48" t="inlineStr">
        <is>
          <t xml:space="preserve">Agreed Value</t>
        </is>
      </c>
      <c r="W696" s="46" t="inlineStr">
        <is>
          <t xml:space="preserve">$1,000</t>
        </is>
      </c>
      <c r="X696" s="48" t="inlineStr">
        <is>
          <t xml:space="preserve">$1,000,000 CSL</t>
        </is>
      </c>
      <c r="Y696" s="46"/>
      <c r="Z696" s="46"/>
      <c r="AA696" s="48" t="inlineStr">
        <is>
          <t xml:space="preserve">Surplus Lines</t>
        </is>
      </c>
      <c r="AB696" s="50">
        <v>10129.99</v>
      </c>
      <c r="AC696" s="51">
        <v>0</v>
      </c>
      <c r="AD696" s="38">
        <f>IF(ISNUMBER($AB696),$AB696*(1+N($AC696)),"")</f>
      </c>
      <c r="AE696" s="50">
        <v>350</v>
      </c>
      <c r="AF696" s="50">
        <v>0</v>
      </c>
      <c r="AG696" s="51"/>
      <c r="AH696" s="39">
        <f>IF(ISNUMBER($AD696),($AD696+$AE696+$AF696)*$AG696,"")</f>
      </c>
      <c r="AI696" s="50"/>
      <c r="AJ696" s="38">
        <f>IF(ISNUMBER($AD696),SUM($AD696:$AH696),"")</f>
      </c>
      <c r="AK696" s="40">
        <f>IF(AND(ISNUMBER($AB696),ISNUMBER($AD696)),IF($AB696&gt;0,$AD696/$AB696,""),"")</f>
      </c>
      <c r="AL696" s="48" t="inlineStr">
        <is>
          <t xml:space="preserve">At technical</t>
        </is>
      </c>
      <c r="AM696" s="41">
        <f>IF(ISNUMBER($AD696),Header!$I$3,"")</f>
      </c>
      <c r="AN696" s="39">
        <f>IF(ISNUMBER($AD696),$AO696+$AP696,"")</f>
      </c>
      <c r="AO696" s="39">
        <f>IF(ISNUMBER($AD696),ROUND($AD696*Header!$K$3,2),"")</f>
      </c>
      <c r="AP696" s="39">
        <f>IF(ISNUMBER($AD696),ROUND($AD696*Header!$M$3,2),"")</f>
      </c>
      <c r="AQ696" s="38">
        <f>IF(ISNUMBER($AD696),ROUND($AD696,2)-$AO696-$AP696,"")</f>
      </c>
      <c r="AR696" s="39">
        <f>IF(ISNUMBER($AD696),IF(Header!$D$34="","?",$AD696*Header!$D$34),"")</f>
      </c>
      <c r="AS696" s="39">
        <f>IF(ISNUMBER($AB696),IF(Header!$D$34="","?",$AB696*Header!$D$34),"")</f>
      </c>
      <c r="AT696" s="42">
        <f>IF(AND(ISNUMBER($AB696),$M696&gt;0),$AB696/$M696*100,"")</f>
      </c>
      <c r="AU696" s="42">
        <f>IF(AND(ISNUMBER($AD696),$M696&gt;0),$AD696/$M696*100,"")</f>
      </c>
      <c r="AV696" s="40">
        <f>IF(AND(ISNUMBER($AB696),ISNUMBER($AD696),ABS($AB696)&gt;0),$AD696/$AB696,"")</f>
      </c>
      <c r="AW696" s="39">
        <f>IF(ISNUMBER($AD696),MAX(0,(1-0.55-Header!$O$3)*Header!$Q$3*$AQ696),"")</f>
      </c>
      <c r="AX696" s="43">
        <f>IF($A696="","",IF(TRIM(IF($A696="","Missing certificate ref. ","") &amp; IF($C696="","Missing effective date. ","") &amp; IF($D696="","Missing binding status. ","") &amp; IF($E696="","Missing movement type. ","") &amp; IF($I696="","Missing make. ","") &amp; IF($L696="","Missing vehicle class. ","") &amp; IF($M696="","Missing agreed value. ","") &amp; IF($N696="","Missing policy type. ","") &amp; IF($Q696="","Missing garaging state. ","") &amp; IF($R696="","Missing garaging ZIP. ","") &amp; IF($S696="","Missing cat zone. ","") &amp; IF($V696="","Missing valuation basis. ","") &amp; IF($W696="","Missing PD deductible. ","") &amp; IF($X696="","Missing liability limit. ","") &amp; IF($AB696="","Missing technical premium. ","") &amp; IF($AF696="","Missing surplus lines tax %. ",""))="","PASS","FAIL: "&amp;TRIM(IF($A696="","Missing certificate ref. ","") &amp; IF($C696="","Missing effective date. ","") &amp; IF($D696="","Missing binding status. ","") &amp; IF($E696="","Missing movement type. ","") &amp; IF($I696="","Missing make. ","") &amp; IF($L696="","Missing vehicle class. ","") &amp; IF($M696="","Missing agreed value. ","") &amp; IF($N696="","Missing policy type. ","") &amp; IF($Q696="","Missing garaging state. ","") &amp; IF($R696="","Missing garaging ZIP. ","") &amp; IF($S696="","Missing cat zone. ","") &amp; IF($V696="","Missing valuation basis. ","") &amp; IF($W696="","Missing PD deductible. ","") &amp; IF($X696="","Missing liability limit. ","") &amp; IF($AB696="","Missing technical premium. ","") &amp; IF($AF696="","Missing surplus lines tax %. ",""))))</f>
      </c>
      <c r="AY696" s="44">
        <f>IF($M696="","",IF(ISNUMBER($M696),IF($M696&gt;=Header!$C$18,"YES — refer","No"),""))</f>
      </c>
      <c r="AZ696" s="44">
        <f>IF($AD696="","",IF(ISNUMBER($AD696),IF($AD696&lt;Header!$C$20,"BELOW MIN PREMIUM","OK"),""))</f>
      </c>
      <c r="BA696" s="48" t="inlineStr">
        <is>
          <t xml:space="preserve">Yes</t>
        </is>
      </c>
      <c r="BB696" s="48" t="inlineStr">
        <is>
          <t xml:space="preserve">Yes</t>
        </is>
      </c>
      <c r="BC696" s="46" t="inlineStr">
        <is>
          <t xml:space="preserve">Synthetic demo data</t>
        </is>
      </c>
      <c r="BE696" s="45">
        <f>IF(OR($A696="",$L696="",$H696=""),"",IF(AND(LEFT($L696,2)="06",$H696&gt;1945),"FAIL - pre-war class, year "&amp;$H696,IF(AND(LEFT($L696,2)="07",OR($H696&lt;1946,$H696&gt;1972)),"FAIL - 1946-72 class, year "&amp;$H696,IF(AND(LEFT($L696,2)="08",OR($H696&lt;1973,$H696&gt;1999)),"FAIL - 1973-99 class, year "&amp;$H696,IF(AND(LEFT($L696,2)="09",OR($H696&lt;2000,$H696&gt;2010)),"FAIL - 2000-10 class, year "&amp;$H696,"OK")))))</f>
      </c>
      <c r="BF696" s="45">
        <f>IF($AD696="","",IF(ROUND($AO696+$AP696+$AQ696-$AD696,2)=0,"OK","FAIL - out by "&amp;TEXT($AO696+$AP696+$AQ696-$AD696,"$0.00")))</f>
      </c>
    </row>
    <row r="697" spans="1:58" ht="18.75" customHeight="1" x14ac:dyDescent="0.25">
      <c r="A697" s="30" t="inlineStr">
        <is>
          <t xml:space="preserve">CANON-202606-009355</t>
        </is>
      </c>
      <c r="B697" s="30" t="inlineStr">
        <is>
          <t xml:space="preserve">Ingrid Castellanos</t>
        </is>
      </c>
      <c r="C697" s="31">
        <v>46194</v>
      </c>
      <c r="D697" s="32" t="inlineStr">
        <is>
          <t xml:space="preserve">Bound - within authority</t>
        </is>
      </c>
      <c r="E697" s="32" t="inlineStr">
        <is>
          <t xml:space="preserve">New business</t>
        </is>
      </c>
      <c r="F697" s="30" t="inlineStr">
        <is>
          <t xml:space="preserve">B1234EXOTIC26</t>
        </is>
      </c>
      <c r="G697" s="33">
        <f>IF($A697="","",IF($C697="","",YEAR($C697)))</f>
      </c>
      <c r="H697" s="34">
        <v>2014</v>
      </c>
      <c r="I697" s="30" t="inlineStr">
        <is>
          <t xml:space="preserve">McLaren</t>
        </is>
      </c>
      <c r="J697" s="30" t="inlineStr">
        <is>
          <t xml:space="preserve">750S</t>
        </is>
      </c>
      <c r="K697" s="30" t="inlineStr">
        <is>
          <t xml:space="preserve">A7XZ7NPAMBPEUTLCB</t>
        </is>
      </c>
      <c r="L697" s="32" t="inlineStr">
        <is>
          <t xml:space="preserve">03 - Supercar</t>
        </is>
      </c>
      <c r="M697" s="35">
        <v>635000</v>
      </c>
      <c r="N697" s="32" t="inlineStr">
        <is>
          <t xml:space="preserve">Personal</t>
        </is>
      </c>
      <c r="O697" s="30" t="inlineStr">
        <is>
          <t xml:space="preserve">Personal - regular use</t>
        </is>
      </c>
      <c r="P697" s="30" t="inlineStr">
        <is>
          <t xml:space="preserve">Under 1,000</t>
        </is>
      </c>
      <c r="Q697" s="30" t="inlineStr">
        <is>
          <t xml:space="preserve">New Hampshire</t>
        </is>
      </c>
      <c r="R697" s="30" t="inlineStr">
        <is>
          <t xml:space="preserve">03301</t>
        </is>
      </c>
      <c r="S697" s="32" t="inlineStr">
        <is>
          <t xml:space="preserve">Tier 3 - Coastal wind (25-100 miles)</t>
        </is>
      </c>
      <c r="T697" s="36">
        <f>IF($A697="","",IF($S697="","",IFERROR(INDEX('[1]natural catastrophe'!$D$6:$D$17,MATCH($S697,'[1]natural catastrophe'!$B$6:$B$17,0)),"?")))</f>
      </c>
      <c r="U697" s="30" t="inlineStr">
        <is>
          <t xml:space="preserve">2% of agreed value, minimum $10,000</t>
        </is>
      </c>
      <c r="V697" s="32" t="inlineStr">
        <is>
          <t xml:space="preserve">Agreed Value</t>
        </is>
      </c>
      <c r="W697" s="30" t="inlineStr">
        <is>
          <t xml:space="preserve">$1,000</t>
        </is>
      </c>
      <c r="X697" s="32" t="inlineStr">
        <is>
          <t xml:space="preserve">$1,000,000 CSL</t>
        </is>
      </c>
      <c r="Y697" s="30"/>
      <c r="Z697" s="30"/>
      <c r="AA697" s="32" t="inlineStr">
        <is>
          <t xml:space="preserve">Surplus Lines</t>
        </is>
      </c>
      <c r="AB697" s="35">
        <v>9053.21</v>
      </c>
      <c r="AC697" s="37">
        <v>0</v>
      </c>
      <c r="AD697" s="38">
        <f>IF(ISNUMBER($AB697),$AB697*(1+N($AC697)),"")</f>
      </c>
      <c r="AE697" s="35">
        <v>350</v>
      </c>
      <c r="AF697" s="35">
        <v>0</v>
      </c>
      <c r="AG697" s="37"/>
      <c r="AH697" s="39">
        <f>IF(ISNUMBER($AD697),($AD697+$AE697+$AF697)*$AG697,"")</f>
      </c>
      <c r="AI697" s="35"/>
      <c r="AJ697" s="38">
        <f>IF(ISNUMBER($AD697),SUM($AD697:$AH697),"")</f>
      </c>
      <c r="AK697" s="40">
        <f>IF(AND(ISNUMBER($AB697),ISNUMBER($AD697)),IF($AB697&gt;0,$AD697/$AB697,""),"")</f>
      </c>
      <c r="AL697" s="32" t="inlineStr">
        <is>
          <t xml:space="preserve">At technical</t>
        </is>
      </c>
      <c r="AM697" s="41">
        <f>IF(ISNUMBER($AD697),Header!$I$3,"")</f>
      </c>
      <c r="AN697" s="39">
        <f>IF(ISNUMBER($AD697),$AO697+$AP697,"")</f>
      </c>
      <c r="AO697" s="39">
        <f>IF(ISNUMBER($AD697),ROUND($AD697*Header!$K$3,2),"")</f>
      </c>
      <c r="AP697" s="39">
        <f>IF(ISNUMBER($AD697),ROUND($AD697*Header!$M$3,2),"")</f>
      </c>
      <c r="AQ697" s="38">
        <f>IF(ISNUMBER($AD697),ROUND($AD697,2)-$AO697-$AP697,"")</f>
      </c>
      <c r="AR697" s="39">
        <f>IF(ISNUMBER($AD697),IF(Header!$D$34="","?",$AD697*Header!$D$34),"")</f>
      </c>
      <c r="AS697" s="39">
        <f>IF(ISNUMBER($AB697),IF(Header!$D$34="","?",$AB697*Header!$D$34),"")</f>
      </c>
      <c r="AT697" s="42">
        <f>IF(AND(ISNUMBER($AB697),$M697&gt;0),$AB697/$M697*100,"")</f>
      </c>
      <c r="AU697" s="42">
        <f>IF(AND(ISNUMBER($AD697),$M697&gt;0),$AD697/$M697*100,"")</f>
      </c>
      <c r="AV697" s="40">
        <f>IF(AND(ISNUMBER($AB697),ISNUMBER($AD697),ABS($AB697)&gt;0),$AD697/$AB697,"")</f>
      </c>
      <c r="AW697" s="39">
        <f>IF(ISNUMBER($AD697),MAX(0,(1-0.55-Header!$O$3)*Header!$Q$3*$AQ697),"")</f>
      </c>
      <c r="AX697" s="43">
        <f>IF($A697="","",IF(TRIM(IF($A697="","Missing certificate ref. ","") &amp; IF($C697="","Missing effective date. ","") &amp; IF($D697="","Missing binding status. ","") &amp; IF($E697="","Missing movement type. ","") &amp; IF($I697="","Missing make. ","") &amp; IF($L697="","Missing vehicle class. ","") &amp; IF($M697="","Missing agreed value. ","") &amp; IF($N697="","Missing policy type. ","") &amp; IF($Q697="","Missing garaging state. ","") &amp; IF($R697="","Missing garaging ZIP. ","") &amp; IF($S697="","Missing cat zone. ","") &amp; IF($V697="","Missing valuation basis. ","") &amp; IF($W697="","Missing PD deductible. ","") &amp; IF($X697="","Missing liability limit. ","") &amp; IF($AB697="","Missing technical premium. ","") &amp; IF($AF697="","Missing surplus lines tax %. ",""))="","PASS","FAIL: "&amp;TRIM(IF($A697="","Missing certificate ref. ","") &amp; IF($C697="","Missing effective date. ","") &amp; IF($D697="","Missing binding status. ","") &amp; IF($E697="","Missing movement type. ","") &amp; IF($I697="","Missing make. ","") &amp; IF($L697="","Missing vehicle class. ","") &amp; IF($M697="","Missing agreed value. ","") &amp; IF($N697="","Missing policy type. ","") &amp; IF($Q697="","Missing garaging state. ","") &amp; IF($R697="","Missing garaging ZIP. ","") &amp; IF($S697="","Missing cat zone. ","") &amp; IF($V697="","Missing valuation basis. ","") &amp; IF($W697="","Missing PD deductible. ","") &amp; IF($X697="","Missing liability limit. ","") &amp; IF($AB697="","Missing technical premium. ","") &amp; IF($AF697="","Missing surplus lines tax %. ",""))))</f>
      </c>
      <c r="AY697" s="44">
        <f>IF($M697="","",IF(ISNUMBER($M697),IF($M697&gt;=Header!$C$18,"YES — refer","No"),""))</f>
      </c>
      <c r="AZ697" s="44">
        <f>IF($AD697="","",IF(ISNUMBER($AD697),IF($AD697&lt;Header!$C$20,"BELOW MIN PREMIUM","OK"),""))</f>
      </c>
      <c r="BA697" s="32" t="inlineStr">
        <is>
          <t xml:space="preserve">Yes</t>
        </is>
      </c>
      <c r="BB697" s="32" t="inlineStr">
        <is>
          <t xml:space="preserve">Yes</t>
        </is>
      </c>
      <c r="BC697" s="30" t="inlineStr">
        <is>
          <t xml:space="preserve">Synthetic demo data</t>
        </is>
      </c>
      <c r="BE697" s="45">
        <f>IF(OR($A697="",$L697="",$H697=""),"",IF(AND(LEFT($L697,2)="06",$H697&gt;1945),"FAIL - pre-war class, year "&amp;$H697,IF(AND(LEFT($L697,2)="07",OR($H697&lt;1946,$H697&gt;1972)),"FAIL - 1946-72 class, year "&amp;$H697,IF(AND(LEFT($L697,2)="08",OR($H697&lt;1973,$H697&gt;1999)),"FAIL - 1973-99 class, year "&amp;$H697,IF(AND(LEFT($L697,2)="09",OR($H697&lt;2000,$H697&gt;2010)),"FAIL - 2000-10 class, year "&amp;$H697,"OK")))))</f>
      </c>
      <c r="BF697" s="45">
        <f>IF($AD697="","",IF(ROUND($AO697+$AP697+$AQ697-$AD697,2)=0,"OK","FAIL - out by "&amp;TEXT($AO697+$AP697+$AQ697-$AD697,"$0.00")))</f>
      </c>
    </row>
    <row r="698" spans="1:58" ht="18.75" customHeight="1" x14ac:dyDescent="0.25">
      <c r="A698" s="46" t="inlineStr">
        <is>
          <t xml:space="preserve">CANON-202606-009356</t>
        </is>
      </c>
      <c r="B698" s="46" t="inlineStr">
        <is>
          <t xml:space="preserve">Beatrix Okonkwo</t>
        </is>
      </c>
      <c r="C698" s="47">
        <v>46186</v>
      </c>
      <c r="D698" s="48" t="inlineStr">
        <is>
          <t xml:space="preserve">Bound - within authority</t>
        </is>
      </c>
      <c r="E698" s="48" t="inlineStr">
        <is>
          <t xml:space="preserve">New business</t>
        </is>
      </c>
      <c r="F698" s="46" t="inlineStr">
        <is>
          <t xml:space="preserve">B1234EXOTIC26</t>
        </is>
      </c>
      <c r="G698" s="33">
        <f>IF($A698="","",IF($C698="","",YEAR($C698)))</f>
      </c>
      <c r="H698" s="49">
        <v>1988</v>
      </c>
      <c r="I698" s="46" t="inlineStr">
        <is>
          <t xml:space="preserve">Maserati</t>
        </is>
      </c>
      <c r="J698" s="46" t="inlineStr">
        <is>
          <t xml:space="preserve">GranTurismo</t>
        </is>
      </c>
      <c r="K698" s="46" t="inlineStr">
        <is>
          <t xml:space="preserve">YWDC08ESABZPLGH7P</t>
        </is>
      </c>
      <c r="L698" s="48" t="inlineStr">
        <is>
          <t xml:space="preserve">02 - Sports / GT</t>
        </is>
      </c>
      <c r="M698" s="50">
        <v>570000</v>
      </c>
      <c r="N698" s="48" t="inlineStr">
        <is>
          <t xml:space="preserve">Personal</t>
        </is>
      </c>
      <c r="O698" s="46" t="inlineStr">
        <is>
          <t xml:space="preserve">Personal - regular use</t>
        </is>
      </c>
      <c r="P698" s="46" t="inlineStr">
        <is>
          <t xml:space="preserve">2,500 - 5,000</t>
        </is>
      </c>
      <c r="Q698" s="46" t="inlineStr">
        <is>
          <t xml:space="preserve">New Jersey</t>
        </is>
      </c>
      <c r="R698" s="46" t="inlineStr">
        <is>
          <t xml:space="preserve">07102</t>
        </is>
      </c>
      <c r="S698" s="48" t="inlineStr">
        <is>
          <t xml:space="preserve">Tier 3 - Coastal wind (25-100 miles)</t>
        </is>
      </c>
      <c r="T698" s="36">
        <f>IF($A698="","",IF($S698="","",IFERROR(INDEX('[1]natural catastrophe'!$D$6:$D$17,MATCH($S698,'[1]natural catastrophe'!$B$6:$B$17,0)),"?")))</f>
      </c>
      <c r="U698" s="46" t="inlineStr">
        <is>
          <t xml:space="preserve">2% of agreed value, minimum $10,000</t>
        </is>
      </c>
      <c r="V698" s="48" t="inlineStr">
        <is>
          <t xml:space="preserve">Agreed Value</t>
        </is>
      </c>
      <c r="W698" s="46" t="inlineStr">
        <is>
          <t xml:space="preserve">$1,000</t>
        </is>
      </c>
      <c r="X698" s="48" t="inlineStr">
        <is>
          <t xml:space="preserve">$1,000,000 CSL</t>
        </is>
      </c>
      <c r="Y698" s="46"/>
      <c r="Z698" s="46"/>
      <c r="AA698" s="48" t="inlineStr">
        <is>
          <t xml:space="preserve">Surplus Lines</t>
        </is>
      </c>
      <c r="AB698" s="50">
        <v>4865.21</v>
      </c>
      <c r="AC698" s="51">
        <v>0</v>
      </c>
      <c r="AD698" s="38">
        <f>IF(ISNUMBER($AB698),$AB698*(1+N($AC698)),"")</f>
      </c>
      <c r="AE698" s="50">
        <v>350</v>
      </c>
      <c r="AF698" s="50">
        <v>0</v>
      </c>
      <c r="AG698" s="51"/>
      <c r="AH698" s="39">
        <f>IF(ISNUMBER($AD698),($AD698+$AE698+$AF698)*$AG698,"")</f>
      </c>
      <c r="AI698" s="50"/>
      <c r="AJ698" s="38">
        <f>IF(ISNUMBER($AD698),SUM($AD698:$AH698),"")</f>
      </c>
      <c r="AK698" s="40">
        <f>IF(AND(ISNUMBER($AB698),ISNUMBER($AD698)),IF($AB698&gt;0,$AD698/$AB698,""),"")</f>
      </c>
      <c r="AL698" s="48" t="inlineStr">
        <is>
          <t xml:space="preserve">At technical</t>
        </is>
      </c>
      <c r="AM698" s="41">
        <f>IF(ISNUMBER($AD698),Header!$I$3,"")</f>
      </c>
      <c r="AN698" s="39">
        <f>IF(ISNUMBER($AD698),$AO698+$AP698,"")</f>
      </c>
      <c r="AO698" s="39">
        <f>IF(ISNUMBER($AD698),ROUND($AD698*Header!$K$3,2),"")</f>
      </c>
      <c r="AP698" s="39">
        <f>IF(ISNUMBER($AD698),ROUND($AD698*Header!$M$3,2),"")</f>
      </c>
      <c r="AQ698" s="38">
        <f>IF(ISNUMBER($AD698),ROUND($AD698,2)-$AO698-$AP698,"")</f>
      </c>
      <c r="AR698" s="39">
        <f>IF(ISNUMBER($AD698),IF(Header!$D$34="","?",$AD698*Header!$D$34),"")</f>
      </c>
      <c r="AS698" s="39">
        <f>IF(ISNUMBER($AB698),IF(Header!$D$34="","?",$AB698*Header!$D$34),"")</f>
      </c>
      <c r="AT698" s="42">
        <f>IF(AND(ISNUMBER($AB698),$M698&gt;0),$AB698/$M698*100,"")</f>
      </c>
      <c r="AU698" s="42">
        <f>IF(AND(ISNUMBER($AD698),$M698&gt;0),$AD698/$M698*100,"")</f>
      </c>
      <c r="AV698" s="40">
        <f>IF(AND(ISNUMBER($AB698),ISNUMBER($AD698),ABS($AB698)&gt;0),$AD698/$AB698,"")</f>
      </c>
      <c r="AW698" s="39">
        <f>IF(ISNUMBER($AD698),MAX(0,(1-0.55-Header!$O$3)*Header!$Q$3*$AQ698),"")</f>
      </c>
      <c r="AX698" s="43">
        <f>IF($A698="","",IF(TRIM(IF($A698="","Missing certificate ref. ","") &amp; IF($C698="","Missing effective date. ","") &amp; IF($D698="","Missing binding status. ","") &amp; IF($E698="","Missing movement type. ","") &amp; IF($I698="","Missing make. ","") &amp; IF($L698="","Missing vehicle class. ","") &amp; IF($M698="","Missing agreed value. ","") &amp; IF($N698="","Missing policy type. ","") &amp; IF($Q698="","Missing garaging state. ","") &amp; IF($R698="","Missing garaging ZIP. ","") &amp; IF($S698="","Missing cat zone. ","") &amp; IF($V698="","Missing valuation basis. ","") &amp; IF($W698="","Missing PD deductible. ","") &amp; IF($X698="","Missing liability limit. ","") &amp; IF($AB698="","Missing technical premium. ","") &amp; IF($AF698="","Missing surplus lines tax %. ",""))="","PASS","FAIL: "&amp;TRIM(IF($A698="","Missing certificate ref. ","") &amp; IF($C698="","Missing effective date. ","") &amp; IF($D698="","Missing binding status. ","") &amp; IF($E698="","Missing movement type. ","") &amp; IF($I698="","Missing make. ","") &amp; IF($L698="","Missing vehicle class. ","") &amp; IF($M698="","Missing agreed value. ","") &amp; IF($N698="","Missing policy type. ","") &amp; IF($Q698="","Missing garaging state. ","") &amp; IF($R698="","Missing garaging ZIP. ","") &amp; IF($S698="","Missing cat zone. ","") &amp; IF($V698="","Missing valuation basis. ","") &amp; IF($W698="","Missing PD deductible. ","") &amp; IF($X698="","Missing liability limit. ","") &amp; IF($AB698="","Missing technical premium. ","") &amp; IF($AF698="","Missing surplus lines tax %. ",""))))</f>
      </c>
      <c r="AY698" s="44">
        <f>IF($M698="","",IF(ISNUMBER($M698),IF($M698&gt;=Header!$C$18,"YES — refer","No"),""))</f>
      </c>
      <c r="AZ698" s="44">
        <f>IF($AD698="","",IF(ISNUMBER($AD698),IF($AD698&lt;Header!$C$20,"BELOW MIN PREMIUM","OK"),""))</f>
      </c>
      <c r="BA698" s="48" t="inlineStr">
        <is>
          <t xml:space="preserve">Yes</t>
        </is>
      </c>
      <c r="BB698" s="48" t="inlineStr">
        <is>
          <t xml:space="preserve">Yes</t>
        </is>
      </c>
      <c r="BC698" s="46" t="inlineStr">
        <is>
          <t xml:space="preserve">Synthetic demo data</t>
        </is>
      </c>
      <c r="BE698" s="45">
        <f>IF(OR($A698="",$L698="",$H698=""),"",IF(AND(LEFT($L698,2)="06",$H698&gt;1945),"FAIL - pre-war class, year "&amp;$H698,IF(AND(LEFT($L698,2)="07",OR($H698&lt;1946,$H698&gt;1972)),"FAIL - 1946-72 class, year "&amp;$H698,IF(AND(LEFT($L698,2)="08",OR($H698&lt;1973,$H698&gt;1999)),"FAIL - 1973-99 class, year "&amp;$H698,IF(AND(LEFT($L698,2)="09",OR($H698&lt;2000,$H698&gt;2010)),"FAIL - 2000-10 class, year "&amp;$H698,"OK")))))</f>
      </c>
      <c r="BF698" s="45">
        <f>IF($AD698="","",IF(ROUND($AO698+$AP698+$AQ698-$AD698,2)=0,"OK","FAIL - out by "&amp;TEXT($AO698+$AP698+$AQ698-$AD698,"$0.00")))</f>
      </c>
    </row>
    <row r="699" spans="1:58" ht="18.75" customHeight="1" x14ac:dyDescent="0.25">
      <c r="A699" s="30" t="inlineStr">
        <is>
          <t xml:space="preserve">CANON-202606-009357</t>
        </is>
      </c>
      <c r="B699" s="30" t="inlineStr">
        <is>
          <t xml:space="preserve">Cassius Pennington</t>
        </is>
      </c>
      <c r="C699" s="31">
        <v>46202</v>
      </c>
      <c r="D699" s="32" t="inlineStr">
        <is>
          <t xml:space="preserve">Bound - within authority</t>
        </is>
      </c>
      <c r="E699" s="32" t="inlineStr">
        <is>
          <t xml:space="preserve">New business</t>
        </is>
      </c>
      <c r="F699" s="30" t="inlineStr">
        <is>
          <t xml:space="preserve">B1234EXOTIC26</t>
        </is>
      </c>
      <c r="G699" s="33">
        <f>IF($A699="","",IF($C699="","",YEAR($C699)))</f>
      </c>
      <c r="H699" s="34">
        <v>1974</v>
      </c>
      <c r="I699" s="30" t="inlineStr">
        <is>
          <t xml:space="preserve">Maserati</t>
        </is>
      </c>
      <c r="J699" s="30" t="inlineStr">
        <is>
          <t xml:space="preserve">GranTurismo</t>
        </is>
      </c>
      <c r="K699" s="30" t="inlineStr">
        <is>
          <t xml:space="preserve">PCKPSMXHX7R4P0WS7</t>
        </is>
      </c>
      <c r="L699" s="32" t="inlineStr">
        <is>
          <t xml:space="preserve">02 - Sports / GT</t>
        </is>
      </c>
      <c r="M699" s="35">
        <v>695000</v>
      </c>
      <c r="N699" s="32" t="inlineStr">
        <is>
          <t xml:space="preserve">Personal</t>
        </is>
      </c>
      <c r="O699" s="30" t="inlineStr">
        <is>
          <t xml:space="preserve">Personal - regular use</t>
        </is>
      </c>
      <c r="P699" s="30" t="inlineStr">
        <is>
          <t xml:space="preserve">2,500 - 5,000</t>
        </is>
      </c>
      <c r="Q699" s="30" t="inlineStr">
        <is>
          <t xml:space="preserve">Michigan</t>
        </is>
      </c>
      <c r="R699" s="30" t="inlineStr">
        <is>
          <t xml:space="preserve">48226</t>
        </is>
      </c>
      <c r="S699" s="32" t="inlineStr">
        <is>
          <t xml:space="preserve">Severe convective - hail / tornado (moderate)</t>
        </is>
      </c>
      <c r="T699" s="36">
        <f>IF($A699="","",IF($S699="","",IFERROR(INDEX('[1]natural catastrophe'!$D$6:$D$17,MATCH($S699,'[1]natural catastrophe'!$B$6:$B$17,0)),"?")))</f>
      </c>
      <c r="U699" s="30" t="inlineStr">
        <is>
          <t xml:space="preserve">$5,000</t>
        </is>
      </c>
      <c r="V699" s="32" t="inlineStr">
        <is>
          <t xml:space="preserve">Agreed Value</t>
        </is>
      </c>
      <c r="W699" s="30" t="inlineStr">
        <is>
          <t xml:space="preserve">$1,000</t>
        </is>
      </c>
      <c r="X699" s="32" t="inlineStr">
        <is>
          <t xml:space="preserve">$1,000,000 CSL</t>
        </is>
      </c>
      <c r="Y699" s="30"/>
      <c r="Z699" s="30"/>
      <c r="AA699" s="32" t="inlineStr">
        <is>
          <t xml:space="preserve">Surplus Lines</t>
        </is>
      </c>
      <c r="AB699" s="35">
        <v>10104.2</v>
      </c>
      <c r="AC699" s="37">
        <v>0</v>
      </c>
      <c r="AD699" s="38">
        <f>IF(ISNUMBER($AB699),$AB699*(1+N($AC699)),"")</f>
      </c>
      <c r="AE699" s="35">
        <v>350</v>
      </c>
      <c r="AF699" s="35">
        <v>0</v>
      </c>
      <c r="AG699" s="37"/>
      <c r="AH699" s="39">
        <f>IF(ISNUMBER($AD699),($AD699+$AE699+$AF699)*$AG699,"")</f>
      </c>
      <c r="AI699" s="35"/>
      <c r="AJ699" s="38">
        <f>IF(ISNUMBER($AD699),SUM($AD699:$AH699),"")</f>
      </c>
      <c r="AK699" s="40">
        <f>IF(AND(ISNUMBER($AB699),ISNUMBER($AD699)),IF($AB699&gt;0,$AD699/$AB699,""),"")</f>
      </c>
      <c r="AL699" s="32" t="inlineStr">
        <is>
          <t xml:space="preserve">At technical</t>
        </is>
      </c>
      <c r="AM699" s="41">
        <f>IF(ISNUMBER($AD699),Header!$I$3,"")</f>
      </c>
      <c r="AN699" s="39">
        <f>IF(ISNUMBER($AD699),$AO699+$AP699,"")</f>
      </c>
      <c r="AO699" s="39">
        <f>IF(ISNUMBER($AD699),ROUND($AD699*Header!$K$3,2),"")</f>
      </c>
      <c r="AP699" s="39">
        <f>IF(ISNUMBER($AD699),ROUND($AD699*Header!$M$3,2),"")</f>
      </c>
      <c r="AQ699" s="38">
        <f>IF(ISNUMBER($AD699),ROUND($AD699,2)-$AO699-$AP699,"")</f>
      </c>
      <c r="AR699" s="39">
        <f>IF(ISNUMBER($AD699),IF(Header!$D$34="","?",$AD699*Header!$D$34),"")</f>
      </c>
      <c r="AS699" s="39">
        <f>IF(ISNUMBER($AB699),IF(Header!$D$34="","?",$AB699*Header!$D$34),"")</f>
      </c>
      <c r="AT699" s="42">
        <f>IF(AND(ISNUMBER($AB699),$M699&gt;0),$AB699/$M699*100,"")</f>
      </c>
      <c r="AU699" s="42">
        <f>IF(AND(ISNUMBER($AD699),$M699&gt;0),$AD699/$M699*100,"")</f>
      </c>
      <c r="AV699" s="40">
        <f>IF(AND(ISNUMBER($AB699),ISNUMBER($AD699),ABS($AB699)&gt;0),$AD699/$AB699,"")</f>
      </c>
      <c r="AW699" s="39">
        <f>IF(ISNUMBER($AD699),MAX(0,(1-0.55-Header!$O$3)*Header!$Q$3*$AQ699),"")</f>
      </c>
      <c r="AX699" s="43">
        <f>IF($A699="","",IF(TRIM(IF($A699="","Missing certificate ref. ","") &amp; IF($C699="","Missing effective date. ","") &amp; IF($D699="","Missing binding status. ","") &amp; IF($E699="","Missing movement type. ","") &amp; IF($I699="","Missing make. ","") &amp; IF($L699="","Missing vehicle class. ","") &amp; IF($M699="","Missing agreed value. ","") &amp; IF($N699="","Missing policy type. ","") &amp; IF($Q699="","Missing garaging state. ","") &amp; IF($R699="","Missing garaging ZIP. ","") &amp; IF($S699="","Missing cat zone. ","") &amp; IF($V699="","Missing valuation basis. ","") &amp; IF($W699="","Missing PD deductible. ","") &amp; IF($X699="","Missing liability limit. ","") &amp; IF($AB699="","Missing technical premium. ","") &amp; IF($AF699="","Missing surplus lines tax %. ",""))="","PASS","FAIL: "&amp;TRIM(IF($A699="","Missing certificate ref. ","") &amp; IF($C699="","Missing effective date. ","") &amp; IF($D699="","Missing binding status. ","") &amp; IF($E699="","Missing movement type. ","") &amp; IF($I699="","Missing make. ","") &amp; IF($L699="","Missing vehicle class. ","") &amp; IF($M699="","Missing agreed value. ","") &amp; IF($N699="","Missing policy type. ","") &amp; IF($Q699="","Missing garaging state. ","") &amp; IF($R699="","Missing garaging ZIP. ","") &amp; IF($S699="","Missing cat zone. ","") &amp; IF($V699="","Missing valuation basis. ","") &amp; IF($W699="","Missing PD deductible. ","") &amp; IF($X699="","Missing liability limit. ","") &amp; IF($AB699="","Missing technical premium. ","") &amp; IF($AF699="","Missing surplus lines tax %. ",""))))</f>
      </c>
      <c r="AY699" s="44">
        <f>IF($M699="","",IF(ISNUMBER($M699),IF($M699&gt;=Header!$C$18,"YES — refer","No"),""))</f>
      </c>
      <c r="AZ699" s="44">
        <f>IF($AD699="","",IF(ISNUMBER($AD699),IF($AD699&lt;Header!$C$20,"BELOW MIN PREMIUM","OK"),""))</f>
      </c>
      <c r="BA699" s="32" t="inlineStr">
        <is>
          <t xml:space="preserve">Yes</t>
        </is>
      </c>
      <c r="BB699" s="32" t="inlineStr">
        <is>
          <t xml:space="preserve">Yes</t>
        </is>
      </c>
      <c r="BC699" s="30" t="inlineStr">
        <is>
          <t xml:space="preserve">Synthetic demo data</t>
        </is>
      </c>
      <c r="BE699" s="45">
        <f>IF(OR($A699="",$L699="",$H699=""),"",IF(AND(LEFT($L699,2)="06",$H699&gt;1945),"FAIL - pre-war class, year "&amp;$H699,IF(AND(LEFT($L699,2)="07",OR($H699&lt;1946,$H699&gt;1972)),"FAIL - 1946-72 class, year "&amp;$H699,IF(AND(LEFT($L699,2)="08",OR($H699&lt;1973,$H699&gt;1999)),"FAIL - 1973-99 class, year "&amp;$H699,IF(AND(LEFT($L699,2)="09",OR($H699&lt;2000,$H699&gt;2010)),"FAIL - 2000-10 class, year "&amp;$H699,"OK")))))</f>
      </c>
      <c r="BF699" s="45">
        <f>IF($AD699="","",IF(ROUND($AO699+$AP699+$AQ699-$AD699,2)=0,"OK","FAIL - out by "&amp;TEXT($AO699+$AP699+$AQ699-$AD699,"$0.00")))</f>
      </c>
    </row>
    <row r="700" spans="1:58" ht="18.75" customHeight="1" x14ac:dyDescent="0.25">
      <c r="A700" s="46" t="inlineStr">
        <is>
          <t xml:space="preserve">CANON-202606-009359</t>
        </is>
      </c>
      <c r="B700" s="46" t="inlineStr">
        <is>
          <t xml:space="preserve">Marisol Underwood</t>
        </is>
      </c>
      <c r="C700" s="47">
        <v>46187</v>
      </c>
      <c r="D700" s="48" t="inlineStr">
        <is>
          <t xml:space="preserve">Bound - within authority</t>
        </is>
      </c>
      <c r="E700" s="48" t="inlineStr">
        <is>
          <t xml:space="preserve">New business</t>
        </is>
      </c>
      <c r="F700" s="46" t="inlineStr">
        <is>
          <t xml:space="preserve">B1234EXOTIC26</t>
        </is>
      </c>
      <c r="G700" s="33">
        <f>IF($A700="","",IF($C700="","",YEAR($C700)))</f>
      </c>
      <c r="H700" s="49">
        <v>1958</v>
      </c>
      <c r="I700" s="46" t="inlineStr">
        <is>
          <t xml:space="preserve">BMW</t>
        </is>
      </c>
      <c r="J700" s="46" t="inlineStr">
        <is>
          <t xml:space="preserve">M8 Competition</t>
        </is>
      </c>
      <c r="K700" s="46" t="inlineStr">
        <is>
          <t xml:space="preserve">9M7CJCC2CZJC15U8W</t>
        </is>
      </c>
      <c r="L700" s="48" t="inlineStr">
        <is>
          <t xml:space="preserve">02 - Sports / GT</t>
        </is>
      </c>
      <c r="M700" s="50">
        <v>295000</v>
      </c>
      <c r="N700" s="48" t="inlineStr">
        <is>
          <t xml:space="preserve">Personal</t>
        </is>
      </c>
      <c r="O700" s="46" t="inlineStr">
        <is>
          <t xml:space="preserve">Personal - regular use</t>
        </is>
      </c>
      <c r="P700" s="46" t="inlineStr">
        <is>
          <t xml:space="preserve">Under 1,000</t>
        </is>
      </c>
      <c r="Q700" s="46" t="inlineStr">
        <is>
          <t xml:space="preserve">Washington</t>
        </is>
      </c>
      <c r="R700" s="46" t="inlineStr">
        <is>
          <t xml:space="preserve">98101</t>
        </is>
      </c>
      <c r="S700" s="48" t="inlineStr">
        <is>
          <t xml:space="preserve">Earthquake - high (CA, Cascadia, New Madrid)</t>
        </is>
      </c>
      <c r="T700" s="36">
        <f>IF($A700="","",IF($S700="","",IFERROR(INDEX('[1]natural catastrophe'!$D$6:$D$17,MATCH($S700,'[1]natural catastrophe'!$B$6:$B$17,0)),"?")))</f>
      </c>
      <c r="U700" s="46" t="inlineStr">
        <is>
          <t xml:space="preserve">$5,000</t>
        </is>
      </c>
      <c r="V700" s="48" t="inlineStr">
        <is>
          <t xml:space="preserve">Agreed Value</t>
        </is>
      </c>
      <c r="W700" s="46" t="inlineStr">
        <is>
          <t xml:space="preserve">$1,000</t>
        </is>
      </c>
      <c r="X700" s="48" t="inlineStr">
        <is>
          <t xml:space="preserve">$1,000,000 CSL</t>
        </is>
      </c>
      <c r="Y700" s="46"/>
      <c r="Z700" s="46"/>
      <c r="AA700" s="48" t="inlineStr">
        <is>
          <t xml:space="preserve">Surplus Lines</t>
        </is>
      </c>
      <c r="AB700" s="50">
        <v>3064.97</v>
      </c>
      <c r="AC700" s="51">
        <v>0</v>
      </c>
      <c r="AD700" s="38">
        <f>IF(ISNUMBER($AB700),$AB700*(1+N($AC700)),"")</f>
      </c>
      <c r="AE700" s="50">
        <v>350</v>
      </c>
      <c r="AF700" s="50">
        <v>0</v>
      </c>
      <c r="AG700" s="51"/>
      <c r="AH700" s="39">
        <f>IF(ISNUMBER($AD700),($AD700+$AE700+$AF700)*$AG700,"")</f>
      </c>
      <c r="AI700" s="50"/>
      <c r="AJ700" s="38">
        <f>IF(ISNUMBER($AD700),SUM($AD700:$AH700),"")</f>
      </c>
      <c r="AK700" s="40">
        <f>IF(AND(ISNUMBER($AB700),ISNUMBER($AD700)),IF($AB700&gt;0,$AD700/$AB700,""),"")</f>
      </c>
      <c r="AL700" s="48" t="inlineStr">
        <is>
          <t xml:space="preserve">At technical</t>
        </is>
      </c>
      <c r="AM700" s="41">
        <f>IF(ISNUMBER($AD700),Header!$I$3,"")</f>
      </c>
      <c r="AN700" s="39">
        <f>IF(ISNUMBER($AD700),$AO700+$AP700,"")</f>
      </c>
      <c r="AO700" s="39">
        <f>IF(ISNUMBER($AD700),ROUND($AD700*Header!$K$3,2),"")</f>
      </c>
      <c r="AP700" s="39">
        <f>IF(ISNUMBER($AD700),ROUND($AD700*Header!$M$3,2),"")</f>
      </c>
      <c r="AQ700" s="38">
        <f>IF(ISNUMBER($AD700),ROUND($AD700,2)-$AO700-$AP700,"")</f>
      </c>
      <c r="AR700" s="39">
        <f>IF(ISNUMBER($AD700),IF(Header!$D$34="","?",$AD700*Header!$D$34),"")</f>
      </c>
      <c r="AS700" s="39">
        <f>IF(ISNUMBER($AB700),IF(Header!$D$34="","?",$AB700*Header!$D$34),"")</f>
      </c>
      <c r="AT700" s="42">
        <f>IF(AND(ISNUMBER($AB700),$M700&gt;0),$AB700/$M700*100,"")</f>
      </c>
      <c r="AU700" s="42">
        <f>IF(AND(ISNUMBER($AD700),$M700&gt;0),$AD700/$M700*100,"")</f>
      </c>
      <c r="AV700" s="40">
        <f>IF(AND(ISNUMBER($AB700),ISNUMBER($AD700),ABS($AB700)&gt;0),$AD700/$AB700,"")</f>
      </c>
      <c r="AW700" s="39">
        <f>IF(ISNUMBER($AD700),MAX(0,(1-0.55-Header!$O$3)*Header!$Q$3*$AQ700),"")</f>
      </c>
      <c r="AX700" s="43">
        <f>IF($A700="","",IF(TRIM(IF($A700="","Missing certificate ref. ","") &amp; IF($C700="","Missing effective date. ","") &amp; IF($D700="","Missing binding status. ","") &amp; IF($E700="","Missing movement type. ","") &amp; IF($I700="","Missing make. ","") &amp; IF($L700="","Missing vehicle class. ","") &amp; IF($M700="","Missing agreed value. ","") &amp; IF($N700="","Missing policy type. ","") &amp; IF($Q700="","Missing garaging state. ","") &amp; IF($R700="","Missing garaging ZIP. ","") &amp; IF($S700="","Missing cat zone. ","") &amp; IF($V700="","Missing valuation basis. ","") &amp; IF($W700="","Missing PD deductible. ","") &amp; IF($X700="","Missing liability limit. ","") &amp; IF($AB700="","Missing technical premium. ","") &amp; IF($AF700="","Missing surplus lines tax %. ",""))="","PASS","FAIL: "&amp;TRIM(IF($A700="","Missing certificate ref. ","") &amp; IF($C700="","Missing effective date. ","") &amp; IF($D700="","Missing binding status. ","") &amp; IF($E700="","Missing movement type. ","") &amp; IF($I700="","Missing make. ","") &amp; IF($L700="","Missing vehicle class. ","") &amp; IF($M700="","Missing agreed value. ","") &amp; IF($N700="","Missing policy type. ","") &amp; IF($Q700="","Missing garaging state. ","") &amp; IF($R700="","Missing garaging ZIP. ","") &amp; IF($S700="","Missing cat zone. ","") &amp; IF($V700="","Missing valuation basis. ","") &amp; IF($W700="","Missing PD deductible. ","") &amp; IF($X700="","Missing liability limit. ","") &amp; IF($AB700="","Missing technical premium. ","") &amp; IF($AF700="","Missing surplus lines tax %. ",""))))</f>
      </c>
      <c r="AY700" s="44">
        <f>IF($M700="","",IF(ISNUMBER($M700),IF($M700&gt;=Header!$C$18,"YES — refer","No"),""))</f>
      </c>
      <c r="AZ700" s="44">
        <f>IF($AD700="","",IF(ISNUMBER($AD700),IF($AD700&lt;Header!$C$20,"BELOW MIN PREMIUM","OK"),""))</f>
      </c>
      <c r="BA700" s="48" t="inlineStr">
        <is>
          <t xml:space="preserve">Yes</t>
        </is>
      </c>
      <c r="BB700" s="48" t="inlineStr">
        <is>
          <t xml:space="preserve">Yes</t>
        </is>
      </c>
      <c r="BC700" s="46" t="inlineStr">
        <is>
          <t xml:space="preserve">Synthetic demo data</t>
        </is>
      </c>
      <c r="BE700" s="45">
        <f>IF(OR($A700="",$L700="",$H700=""),"",IF(AND(LEFT($L700,2)="06",$H700&gt;1945),"FAIL - pre-war class, year "&amp;$H700,IF(AND(LEFT($L700,2)="07",OR($H700&lt;1946,$H700&gt;1972)),"FAIL - 1946-72 class, year "&amp;$H700,IF(AND(LEFT($L700,2)="08",OR($H700&lt;1973,$H700&gt;1999)),"FAIL - 1973-99 class, year "&amp;$H700,IF(AND(LEFT($L700,2)="09",OR($H700&lt;2000,$H700&gt;2010)),"FAIL - 2000-10 class, year "&amp;$H700,"OK")))))</f>
      </c>
      <c r="BF700" s="45">
        <f>IF($AD700="","",IF(ROUND($AO700+$AP700+$AQ700-$AD700,2)=0,"OK","FAIL - out by "&amp;TEXT($AO700+$AP700+$AQ700-$AD700,"$0.00")))</f>
      </c>
    </row>
    <row r="701" spans="1:58" ht="18.75" customHeight="1" x14ac:dyDescent="0.25">
      <c r="A701" s="30" t="inlineStr">
        <is>
          <t xml:space="preserve">CANON-202606-009360</t>
        </is>
      </c>
      <c r="B701" s="30" t="inlineStr">
        <is>
          <t xml:space="preserve">Desmond Chattopadhyay</t>
        </is>
      </c>
      <c r="C701" s="31">
        <v>46197</v>
      </c>
      <c r="D701" s="32" t="inlineStr">
        <is>
          <t xml:space="preserve">Bound - within authority</t>
        </is>
      </c>
      <c r="E701" s="32" t="inlineStr">
        <is>
          <t xml:space="preserve">New business</t>
        </is>
      </c>
      <c r="F701" s="30" t="inlineStr">
        <is>
          <t xml:space="preserve">B1234EXOTIC26</t>
        </is>
      </c>
      <c r="G701" s="33">
        <f>IF($A701="","",IF($C701="","",YEAR($C701)))</f>
      </c>
      <c r="H701" s="34">
        <v>1992</v>
      </c>
      <c r="I701" s="30" t="inlineStr">
        <is>
          <t xml:space="preserve">Lamborghini</t>
        </is>
      </c>
      <c r="J701" s="30" t="inlineStr">
        <is>
          <t xml:space="preserve">Huracan EVO</t>
        </is>
      </c>
      <c r="K701" s="30" t="inlineStr">
        <is>
          <t xml:space="preserve">U1SXJ2LPDKED06U9A</t>
        </is>
      </c>
      <c r="L701" s="32" t="inlineStr">
        <is>
          <t xml:space="preserve">03 - Supercar</t>
        </is>
      </c>
      <c r="M701" s="35">
        <v>700000</v>
      </c>
      <c r="N701" s="32" t="inlineStr">
        <is>
          <t xml:space="preserve">Personal</t>
        </is>
      </c>
      <c r="O701" s="30" t="inlineStr">
        <is>
          <t xml:space="preserve">Personal - regular use</t>
        </is>
      </c>
      <c r="P701" s="30" t="inlineStr">
        <is>
          <t xml:space="preserve">2,500 - 5,000</t>
        </is>
      </c>
      <c r="Q701" s="30" t="inlineStr">
        <is>
          <t xml:space="preserve">New Mexico</t>
        </is>
      </c>
      <c r="R701" s="30" t="inlineStr">
        <is>
          <t xml:space="preserve">87501</t>
        </is>
      </c>
      <c r="S701" s="32" t="inlineStr">
        <is>
          <t xml:space="preserve">Wildfire - WUI high hazard</t>
        </is>
      </c>
      <c r="T701" s="36">
        <f>IF($A701="","",IF($S701="","",IFERROR(INDEX('[1]natural catastrophe'!$D$6:$D$17,MATCH($S701,'[1]natural catastrophe'!$B$6:$B$17,0)),"?")))</f>
      </c>
      <c r="U701" s="30" t="inlineStr">
        <is>
          <t xml:space="preserve">$5,000</t>
        </is>
      </c>
      <c r="V701" s="32" t="inlineStr">
        <is>
          <t xml:space="preserve">Agreed Value</t>
        </is>
      </c>
      <c r="W701" s="30" t="inlineStr">
        <is>
          <t xml:space="preserve">$1,000</t>
        </is>
      </c>
      <c r="X701" s="32" t="inlineStr">
        <is>
          <t xml:space="preserve">$1,000,000 CSL</t>
        </is>
      </c>
      <c r="Y701" s="30"/>
      <c r="Z701" s="30"/>
      <c r="AA701" s="32" t="inlineStr">
        <is>
          <t xml:space="preserve">Surplus Lines</t>
        </is>
      </c>
      <c r="AB701" s="35">
        <v>12282.98</v>
      </c>
      <c r="AC701" s="37">
        <v>0</v>
      </c>
      <c r="AD701" s="38">
        <f>IF(ISNUMBER($AB701),$AB701*(1+N($AC701)),"")</f>
      </c>
      <c r="AE701" s="35">
        <v>350</v>
      </c>
      <c r="AF701" s="35">
        <v>0</v>
      </c>
      <c r="AG701" s="37"/>
      <c r="AH701" s="39">
        <f>IF(ISNUMBER($AD701),($AD701+$AE701+$AF701)*$AG701,"")</f>
      </c>
      <c r="AI701" s="35"/>
      <c r="AJ701" s="38">
        <f>IF(ISNUMBER($AD701),SUM($AD701:$AH701),"")</f>
      </c>
      <c r="AK701" s="40">
        <f>IF(AND(ISNUMBER($AB701),ISNUMBER($AD701)),IF($AB701&gt;0,$AD701/$AB701,""),"")</f>
      </c>
      <c r="AL701" s="32" t="inlineStr">
        <is>
          <t xml:space="preserve">At technical</t>
        </is>
      </c>
      <c r="AM701" s="41">
        <f>IF(ISNUMBER($AD701),Header!$I$3,"")</f>
      </c>
      <c r="AN701" s="39">
        <f>IF(ISNUMBER($AD701),$AO701+$AP701,"")</f>
      </c>
      <c r="AO701" s="39">
        <f>IF(ISNUMBER($AD701),ROUND($AD701*Header!$K$3,2),"")</f>
      </c>
      <c r="AP701" s="39">
        <f>IF(ISNUMBER($AD701),ROUND($AD701*Header!$M$3,2),"")</f>
      </c>
      <c r="AQ701" s="38">
        <f>IF(ISNUMBER($AD701),ROUND($AD701,2)-$AO701-$AP701,"")</f>
      </c>
      <c r="AR701" s="39">
        <f>IF(ISNUMBER($AD701),IF(Header!$D$34="","?",$AD701*Header!$D$34),"")</f>
      </c>
      <c r="AS701" s="39">
        <f>IF(ISNUMBER($AB701),IF(Header!$D$34="","?",$AB701*Header!$D$34),"")</f>
      </c>
      <c r="AT701" s="42">
        <f>IF(AND(ISNUMBER($AB701),$M701&gt;0),$AB701/$M701*100,"")</f>
      </c>
      <c r="AU701" s="42">
        <f>IF(AND(ISNUMBER($AD701),$M701&gt;0),$AD701/$M701*100,"")</f>
      </c>
      <c r="AV701" s="40">
        <f>IF(AND(ISNUMBER($AB701),ISNUMBER($AD701),ABS($AB701)&gt;0),$AD701/$AB701,"")</f>
      </c>
      <c r="AW701" s="39">
        <f>IF(ISNUMBER($AD701),MAX(0,(1-0.55-Header!$O$3)*Header!$Q$3*$AQ701),"")</f>
      </c>
      <c r="AX701" s="43">
        <f>IF($A701="","",IF(TRIM(IF($A701="","Missing certificate ref. ","") &amp; IF($C701="","Missing effective date. ","") &amp; IF($D701="","Missing binding status. ","") &amp; IF($E701="","Missing movement type. ","") &amp; IF($I701="","Missing make. ","") &amp; IF($L701="","Missing vehicle class. ","") &amp; IF($M701="","Missing agreed value. ","") &amp; IF($N701="","Missing policy type. ","") &amp; IF($Q701="","Missing garaging state. ","") &amp; IF($R701="","Missing garaging ZIP. ","") &amp; IF($S701="","Missing cat zone. ","") &amp; IF($V701="","Missing valuation basis. ","") &amp; IF($W701="","Missing PD deductible. ","") &amp; IF($X701="","Missing liability limit. ","") &amp; IF($AB701="","Missing technical premium. ","") &amp; IF($AF701="","Missing surplus lines tax %. ",""))="","PASS","FAIL: "&amp;TRIM(IF($A701="","Missing certificate ref. ","") &amp; IF($C701="","Missing effective date. ","") &amp; IF($D701="","Missing binding status. ","") &amp; IF($E701="","Missing movement type. ","") &amp; IF($I701="","Missing make. ","") &amp; IF($L701="","Missing vehicle class. ","") &amp; IF($M701="","Missing agreed value. ","") &amp; IF($N701="","Missing policy type. ","") &amp; IF($Q701="","Missing garaging state. ","") &amp; IF($R701="","Missing garaging ZIP. ","") &amp; IF($S701="","Missing cat zone. ","") &amp; IF($V701="","Missing valuation basis. ","") &amp; IF($W701="","Missing PD deductible. ","") &amp; IF($X701="","Missing liability limit. ","") &amp; IF($AB701="","Missing technical premium. ","") &amp; IF($AF701="","Missing surplus lines tax %. ",""))))</f>
      </c>
      <c r="AY701" s="44">
        <f>IF($M701="","",IF(ISNUMBER($M701),IF($M701&gt;=Header!$C$18,"YES — refer","No"),""))</f>
      </c>
      <c r="AZ701" s="44">
        <f>IF($AD701="","",IF(ISNUMBER($AD701),IF($AD701&lt;Header!$C$20,"BELOW MIN PREMIUM","OK"),""))</f>
      </c>
      <c r="BA701" s="32" t="inlineStr">
        <is>
          <t xml:space="preserve">Yes</t>
        </is>
      </c>
      <c r="BB701" s="32" t="inlineStr">
        <is>
          <t xml:space="preserve">Yes</t>
        </is>
      </c>
      <c r="BC701" s="30" t="inlineStr">
        <is>
          <t xml:space="preserve">Synthetic demo data</t>
        </is>
      </c>
      <c r="BE701" s="45">
        <f>IF(OR($A701="",$L701="",$H701=""),"",IF(AND(LEFT($L701,2)="06",$H701&gt;1945),"FAIL - pre-war class, year "&amp;$H701,IF(AND(LEFT($L701,2)="07",OR($H701&lt;1946,$H701&gt;1972)),"FAIL - 1946-72 class, year "&amp;$H701,IF(AND(LEFT($L701,2)="08",OR($H701&lt;1973,$H701&gt;1999)),"FAIL - 1973-99 class, year "&amp;$H701,IF(AND(LEFT($L701,2)="09",OR($H701&lt;2000,$H701&gt;2010)),"FAIL - 2000-10 class, year "&amp;$H701,"OK")))))</f>
      </c>
      <c r="BF701" s="45">
        <f>IF($AD701="","",IF(ROUND($AO701+$AP701+$AQ701-$AD701,2)=0,"OK","FAIL - out by "&amp;TEXT($AO701+$AP701+$AQ701-$AD701,"$0.00")))</f>
      </c>
    </row>
    <row r="702" spans="1:58" ht="18.75" customHeight="1" x14ac:dyDescent="0.25">
      <c r="A702" s="46" t="inlineStr">
        <is>
          <t xml:space="preserve">CANON-202606-009361</t>
        </is>
      </c>
      <c r="B702" s="46" t="inlineStr">
        <is>
          <t xml:space="preserve">Anouk Merriweather</t>
        </is>
      </c>
      <c r="C702" s="47">
        <v>46187</v>
      </c>
      <c r="D702" s="48" t="inlineStr">
        <is>
          <t xml:space="preserve">Bound - within authority</t>
        </is>
      </c>
      <c r="E702" s="48" t="inlineStr">
        <is>
          <t xml:space="preserve">New business</t>
        </is>
      </c>
      <c r="F702" s="46" t="inlineStr">
        <is>
          <t xml:space="preserve">B1234EXOTIC26</t>
        </is>
      </c>
      <c r="G702" s="33">
        <f>IF($A702="","",IF($C702="","",YEAR($C702)))</f>
      </c>
      <c r="H702" s="49">
        <v>1984</v>
      </c>
      <c r="I702" s="46" t="inlineStr">
        <is>
          <t xml:space="preserve">McLaren</t>
        </is>
      </c>
      <c r="J702" s="46" t="inlineStr">
        <is>
          <t xml:space="preserve">750S</t>
        </is>
      </c>
      <c r="K702" s="46" t="inlineStr">
        <is>
          <t xml:space="preserve">5NEN26MWE5UCVCFCB</t>
        </is>
      </c>
      <c r="L702" s="48" t="inlineStr">
        <is>
          <t xml:space="preserve">03 - Supercar</t>
        </is>
      </c>
      <c r="M702" s="50">
        <v>1315000</v>
      </c>
      <c r="N702" s="48" t="inlineStr">
        <is>
          <t xml:space="preserve">Personal</t>
        </is>
      </c>
      <c r="O702" s="46" t="inlineStr">
        <is>
          <t xml:space="preserve">Personal - regular use</t>
        </is>
      </c>
      <c r="P702" s="46" t="inlineStr">
        <is>
          <t xml:space="preserve">1,000 - 2,500</t>
        </is>
      </c>
      <c r="Q702" s="46" t="inlineStr">
        <is>
          <t xml:space="preserve">Missouri</t>
        </is>
      </c>
      <c r="R702" s="46" t="inlineStr">
        <is>
          <t xml:space="preserve">63101</t>
        </is>
      </c>
      <c r="S702" s="48" t="inlineStr">
        <is>
          <t xml:space="preserve">Severe convective - hail / tornado (moderate)</t>
        </is>
      </c>
      <c r="T702" s="36">
        <f>IF($A702="","",IF($S702="","",IFERROR(INDEX('[1]natural catastrophe'!$D$6:$D$17,MATCH($S702,'[1]natural catastrophe'!$B$6:$B$17,0)),"?")))</f>
      </c>
      <c r="U702" s="46" t="inlineStr">
        <is>
          <t xml:space="preserve">$5,000</t>
        </is>
      </c>
      <c r="V702" s="48" t="inlineStr">
        <is>
          <t xml:space="preserve">Agreed Value</t>
        </is>
      </c>
      <c r="W702" s="46" t="inlineStr">
        <is>
          <t xml:space="preserve">$1,000</t>
        </is>
      </c>
      <c r="X702" s="48" t="inlineStr">
        <is>
          <t xml:space="preserve">$1,000,000 CSL</t>
        </is>
      </c>
      <c r="Y702" s="46"/>
      <c r="Z702" s="46"/>
      <c r="AA702" s="48" t="inlineStr">
        <is>
          <t xml:space="preserve">Surplus Lines</t>
        </is>
      </c>
      <c r="AB702" s="50">
        <v>16091.39</v>
      </c>
      <c r="AC702" s="51">
        <v>0</v>
      </c>
      <c r="AD702" s="38">
        <f>IF(ISNUMBER($AB702),$AB702*(1+N($AC702)),"")</f>
      </c>
      <c r="AE702" s="50">
        <v>350</v>
      </c>
      <c r="AF702" s="50">
        <v>250</v>
      </c>
      <c r="AG702" s="51"/>
      <c r="AH702" s="39">
        <f>IF(ISNUMBER($AD702),($AD702+$AE702+$AF702)*$AG702,"")</f>
      </c>
      <c r="AI702" s="50"/>
      <c r="AJ702" s="38">
        <f>IF(ISNUMBER($AD702),SUM($AD702:$AH702),"")</f>
      </c>
      <c r="AK702" s="40">
        <f>IF(AND(ISNUMBER($AB702),ISNUMBER($AD702)),IF($AB702&gt;0,$AD702/$AB702,""),"")</f>
      </c>
      <c r="AL702" s="48" t="inlineStr">
        <is>
          <t xml:space="preserve">At technical</t>
        </is>
      </c>
      <c r="AM702" s="41">
        <f>IF(ISNUMBER($AD702),Header!$I$3,"")</f>
      </c>
      <c r="AN702" s="39">
        <f>IF(ISNUMBER($AD702),$AO702+$AP702,"")</f>
      </c>
      <c r="AO702" s="39">
        <f>IF(ISNUMBER($AD702),ROUND($AD702*Header!$K$3,2),"")</f>
      </c>
      <c r="AP702" s="39">
        <f>IF(ISNUMBER($AD702),ROUND($AD702*Header!$M$3,2),"")</f>
      </c>
      <c r="AQ702" s="38">
        <f>IF(ISNUMBER($AD702),ROUND($AD702,2)-$AO702-$AP702,"")</f>
      </c>
      <c r="AR702" s="39">
        <f>IF(ISNUMBER($AD702),IF(Header!$D$34="","?",$AD702*Header!$D$34),"")</f>
      </c>
      <c r="AS702" s="39">
        <f>IF(ISNUMBER($AB702),IF(Header!$D$34="","?",$AB702*Header!$D$34),"")</f>
      </c>
      <c r="AT702" s="42">
        <f>IF(AND(ISNUMBER($AB702),$M702&gt;0),$AB702/$M702*100,"")</f>
      </c>
      <c r="AU702" s="42">
        <f>IF(AND(ISNUMBER($AD702),$M702&gt;0),$AD702/$M702*100,"")</f>
      </c>
      <c r="AV702" s="40">
        <f>IF(AND(ISNUMBER($AB702),ISNUMBER($AD702),ABS($AB702)&gt;0),$AD702/$AB702,"")</f>
      </c>
      <c r="AW702" s="39">
        <f>IF(ISNUMBER($AD702),MAX(0,(1-0.55-Header!$O$3)*Header!$Q$3*$AQ702),"")</f>
      </c>
      <c r="AX702" s="43">
        <f>IF($A702="","",IF(TRIM(IF($A702="","Missing certificate ref. ","") &amp; IF($C702="","Missing effective date. ","") &amp; IF($D702="","Missing binding status. ","") &amp; IF($E702="","Missing movement type. ","") &amp; IF($I702="","Missing make. ","") &amp; IF($L702="","Missing vehicle class. ","") &amp; IF($M702="","Missing agreed value. ","") &amp; IF($N702="","Missing policy type. ","") &amp; IF($Q702="","Missing garaging state. ","") &amp; IF($R702="","Missing garaging ZIP. ","") &amp; IF($S702="","Missing cat zone. ","") &amp; IF($V702="","Missing valuation basis. ","") &amp; IF($W702="","Missing PD deductible. ","") &amp; IF($X702="","Missing liability limit. ","") &amp; IF($AB702="","Missing technical premium. ","") &amp; IF($AF702="","Missing surplus lines tax %. ",""))="","PASS","FAIL: "&amp;TRIM(IF($A702="","Missing certificate ref. ","") &amp; IF($C702="","Missing effective date. ","") &amp; IF($D702="","Missing binding status. ","") &amp; IF($E702="","Missing movement type. ","") &amp; IF($I702="","Missing make. ","") &amp; IF($L702="","Missing vehicle class. ","") &amp; IF($M702="","Missing agreed value. ","") &amp; IF($N702="","Missing policy type. ","") &amp; IF($Q702="","Missing garaging state. ","") &amp; IF($R702="","Missing garaging ZIP. ","") &amp; IF($S702="","Missing cat zone. ","") &amp; IF($V702="","Missing valuation basis. ","") &amp; IF($W702="","Missing PD deductible. ","") &amp; IF($X702="","Missing liability limit. ","") &amp; IF($AB702="","Missing technical premium. ","") &amp; IF($AF702="","Missing surplus lines tax %. ",""))))</f>
      </c>
      <c r="AY702" s="44">
        <f>IF($M702="","",IF(ISNUMBER($M702),IF($M702&gt;=Header!$C$18,"YES — refer","No"),""))</f>
      </c>
      <c r="AZ702" s="44">
        <f>IF($AD702="","",IF(ISNUMBER($AD702),IF($AD702&lt;Header!$C$20,"BELOW MIN PREMIUM","OK"),""))</f>
      </c>
      <c r="BA702" s="48" t="inlineStr">
        <is>
          <t xml:space="preserve">Yes</t>
        </is>
      </c>
      <c r="BB702" s="48" t="inlineStr">
        <is>
          <t xml:space="preserve">Yes</t>
        </is>
      </c>
      <c r="BC702" s="46" t="inlineStr">
        <is>
          <t xml:space="preserve">Synthetic demo data</t>
        </is>
      </c>
      <c r="BE702" s="45">
        <f>IF(OR($A702="",$L702="",$H702=""),"",IF(AND(LEFT($L702,2)="06",$H702&gt;1945),"FAIL - pre-war class, year "&amp;$H702,IF(AND(LEFT($L702,2)="07",OR($H702&lt;1946,$H702&gt;1972)),"FAIL - 1946-72 class, year "&amp;$H702,IF(AND(LEFT($L702,2)="08",OR($H702&lt;1973,$H702&gt;1999)),"FAIL - 1973-99 class, year "&amp;$H702,IF(AND(LEFT($L702,2)="09",OR($H702&lt;2000,$H702&gt;2010)),"FAIL - 2000-10 class, year "&amp;$H702,"OK")))))</f>
      </c>
      <c r="BF702" s="45">
        <f>IF($AD702="","",IF(ROUND($AO702+$AP702+$AQ702-$AD702,2)=0,"OK","FAIL - out by "&amp;TEXT($AO702+$AP702+$AQ702-$AD702,"$0.00")))</f>
      </c>
    </row>
    <row r="703" spans="1:58" ht="18.75" customHeight="1" x14ac:dyDescent="0.25">
      <c r="A703" s="30" t="inlineStr">
        <is>
          <t xml:space="preserve">CANON-202606-009362</t>
        </is>
      </c>
      <c r="B703" s="30" t="inlineStr">
        <is>
          <t xml:space="preserve">Ottilie Ashcombe</t>
        </is>
      </c>
      <c r="C703" s="31">
        <v>46184</v>
      </c>
      <c r="D703" s="32" t="inlineStr">
        <is>
          <t xml:space="preserve">Bound - within authority</t>
        </is>
      </c>
      <c r="E703" s="32" t="inlineStr">
        <is>
          <t xml:space="preserve">New business</t>
        </is>
      </c>
      <c r="F703" s="30" t="inlineStr">
        <is>
          <t xml:space="preserve">B1234EXOTIC26</t>
        </is>
      </c>
      <c r="G703" s="33">
        <f>IF($A703="","",IF($C703="","",YEAR($C703)))</f>
      </c>
      <c r="H703" s="34">
        <v>1999</v>
      </c>
      <c r="I703" s="30" t="inlineStr">
        <is>
          <t xml:space="preserve">BMW</t>
        </is>
      </c>
      <c r="J703" s="30" t="inlineStr">
        <is>
          <t xml:space="preserve">M8 Competition</t>
        </is>
      </c>
      <c r="K703" s="30" t="inlineStr">
        <is>
          <t xml:space="preserve">4A6PAF22FSKMU2Z9P</t>
        </is>
      </c>
      <c r="L703" s="32" t="inlineStr">
        <is>
          <t xml:space="preserve">02 - Sports / GT</t>
        </is>
      </c>
      <c r="M703" s="35">
        <v>1040000</v>
      </c>
      <c r="N703" s="32" t="inlineStr">
        <is>
          <t xml:space="preserve">Personal</t>
        </is>
      </c>
      <c r="O703" s="30" t="inlineStr">
        <is>
          <t xml:space="preserve">Personal - regular use</t>
        </is>
      </c>
      <c r="P703" s="30" t="inlineStr">
        <is>
          <t xml:space="preserve">2,500 - 5,000</t>
        </is>
      </c>
      <c r="Q703" s="30" t="inlineStr">
        <is>
          <t xml:space="preserve">Texas</t>
        </is>
      </c>
      <c r="R703" s="30" t="inlineStr">
        <is>
          <t xml:space="preserve">75201</t>
        </is>
      </c>
      <c r="S703" s="32" t="inlineStr">
        <is>
          <t xml:space="preserve">Tier 2 - Coastal wind (1-25 miles)</t>
        </is>
      </c>
      <c r="T703" s="36">
        <f>IF($A703="","",IF($S703="","",IFERROR(INDEX('[1]natural catastrophe'!$D$6:$D$17,MATCH($S703,'[1]natural catastrophe'!$B$6:$B$17,0)),"?")))</f>
      </c>
      <c r="U703" s="30" t="inlineStr">
        <is>
          <t xml:space="preserve">2% of agreed value, minimum $10,000</t>
        </is>
      </c>
      <c r="V703" s="32" t="inlineStr">
        <is>
          <t xml:space="preserve">Agreed Value</t>
        </is>
      </c>
      <c r="W703" s="30" t="inlineStr">
        <is>
          <t xml:space="preserve">$1,000</t>
        </is>
      </c>
      <c r="X703" s="32" t="inlineStr">
        <is>
          <t xml:space="preserve">$1,000,000 CSL</t>
        </is>
      </c>
      <c r="Y703" s="30"/>
      <c r="Z703" s="30"/>
      <c r="AA703" s="32" t="inlineStr">
        <is>
          <t xml:space="preserve">Surplus Lines</t>
        </is>
      </c>
      <c r="AB703" s="35">
        <v>9492.18</v>
      </c>
      <c r="AC703" s="37">
        <v>0</v>
      </c>
      <c r="AD703" s="38">
        <f>IF(ISNUMBER($AB703),$AB703*(1+N($AC703)),"")</f>
      </c>
      <c r="AE703" s="35">
        <v>350</v>
      </c>
      <c r="AF703" s="35">
        <v>250</v>
      </c>
      <c r="AG703" s="37"/>
      <c r="AH703" s="39">
        <f>IF(ISNUMBER($AD703),($AD703+$AE703+$AF703)*$AG703,"")</f>
      </c>
      <c r="AI703" s="35"/>
      <c r="AJ703" s="38">
        <f>IF(ISNUMBER($AD703),SUM($AD703:$AH703),"")</f>
      </c>
      <c r="AK703" s="40">
        <f>IF(AND(ISNUMBER($AB703),ISNUMBER($AD703)),IF($AB703&gt;0,$AD703/$AB703,""),"")</f>
      </c>
      <c r="AL703" s="32" t="inlineStr">
        <is>
          <t xml:space="preserve">At technical</t>
        </is>
      </c>
      <c r="AM703" s="41">
        <f>IF(ISNUMBER($AD703),Header!$I$3,"")</f>
      </c>
      <c r="AN703" s="39">
        <f>IF(ISNUMBER($AD703),$AO703+$AP703,"")</f>
      </c>
      <c r="AO703" s="39">
        <f>IF(ISNUMBER($AD703),ROUND($AD703*Header!$K$3,2),"")</f>
      </c>
      <c r="AP703" s="39">
        <f>IF(ISNUMBER($AD703),ROUND($AD703*Header!$M$3,2),"")</f>
      </c>
      <c r="AQ703" s="38">
        <f>IF(ISNUMBER($AD703),ROUND($AD703,2)-$AO703-$AP703,"")</f>
      </c>
      <c r="AR703" s="39">
        <f>IF(ISNUMBER($AD703),IF(Header!$D$34="","?",$AD703*Header!$D$34),"")</f>
      </c>
      <c r="AS703" s="39">
        <f>IF(ISNUMBER($AB703),IF(Header!$D$34="","?",$AB703*Header!$D$34),"")</f>
      </c>
      <c r="AT703" s="42">
        <f>IF(AND(ISNUMBER($AB703),$M703&gt;0),$AB703/$M703*100,"")</f>
      </c>
      <c r="AU703" s="42">
        <f>IF(AND(ISNUMBER($AD703),$M703&gt;0),$AD703/$M703*100,"")</f>
      </c>
      <c r="AV703" s="40">
        <f>IF(AND(ISNUMBER($AB703),ISNUMBER($AD703),ABS($AB703)&gt;0),$AD703/$AB703,"")</f>
      </c>
      <c r="AW703" s="39">
        <f>IF(ISNUMBER($AD703),MAX(0,(1-0.55-Header!$O$3)*Header!$Q$3*$AQ703),"")</f>
      </c>
      <c r="AX703" s="43">
        <f>IF($A703="","",IF(TRIM(IF($A703="","Missing certificate ref. ","") &amp; IF($C703="","Missing effective date. ","") &amp; IF($D703="","Missing binding status. ","") &amp; IF($E703="","Missing movement type. ","") &amp; IF($I703="","Missing make. ","") &amp; IF($L703="","Missing vehicle class. ","") &amp; IF($M703="","Missing agreed value. ","") &amp; IF($N703="","Missing policy type. ","") &amp; IF($Q703="","Missing garaging state. ","") &amp; IF($R703="","Missing garaging ZIP. ","") &amp; IF($S703="","Missing cat zone. ","") &amp; IF($V703="","Missing valuation basis. ","") &amp; IF($W703="","Missing PD deductible. ","") &amp; IF($X703="","Missing liability limit. ","") &amp; IF($AB703="","Missing technical premium. ","") &amp; IF($AF703="","Missing surplus lines tax %. ",""))="","PASS","FAIL: "&amp;TRIM(IF($A703="","Missing certificate ref. ","") &amp; IF($C703="","Missing effective date. ","") &amp; IF($D703="","Missing binding status. ","") &amp; IF($E703="","Missing movement type. ","") &amp; IF($I703="","Missing make. ","") &amp; IF($L703="","Missing vehicle class. ","") &amp; IF($M703="","Missing agreed value. ","") &amp; IF($N703="","Missing policy type. ","") &amp; IF($Q703="","Missing garaging state. ","") &amp; IF($R703="","Missing garaging ZIP. ","") &amp; IF($S703="","Missing cat zone. ","") &amp; IF($V703="","Missing valuation basis. ","") &amp; IF($W703="","Missing PD deductible. ","") &amp; IF($X703="","Missing liability limit. ","") &amp; IF($AB703="","Missing technical premium. ","") &amp; IF($AF703="","Missing surplus lines tax %. ",""))))</f>
      </c>
      <c r="AY703" s="44">
        <f>IF($M703="","",IF(ISNUMBER($M703),IF($M703&gt;=Header!$C$18,"YES — refer","No"),""))</f>
      </c>
      <c r="AZ703" s="44">
        <f>IF($AD703="","",IF(ISNUMBER($AD703),IF($AD703&lt;Header!$C$20,"BELOW MIN PREMIUM","OK"),""))</f>
      </c>
      <c r="BA703" s="32" t="inlineStr">
        <is>
          <t xml:space="preserve">Yes</t>
        </is>
      </c>
      <c r="BB703" s="32" t="inlineStr">
        <is>
          <t xml:space="preserve">Yes</t>
        </is>
      </c>
      <c r="BC703" s="30" t="inlineStr">
        <is>
          <t xml:space="preserve">Synthetic demo data</t>
        </is>
      </c>
      <c r="BE703" s="45">
        <f>IF(OR($A703="",$L703="",$H703=""),"",IF(AND(LEFT($L703,2)="06",$H703&gt;1945),"FAIL - pre-war class, year "&amp;$H703,IF(AND(LEFT($L703,2)="07",OR($H703&lt;1946,$H703&gt;1972)),"FAIL - 1946-72 class, year "&amp;$H703,IF(AND(LEFT($L703,2)="08",OR($H703&lt;1973,$H703&gt;1999)),"FAIL - 1973-99 class, year "&amp;$H703,IF(AND(LEFT($L703,2)="09",OR($H703&lt;2000,$H703&gt;2010)),"FAIL - 2000-10 class, year "&amp;$H703,"OK")))))</f>
      </c>
      <c r="BF703" s="45">
        <f>IF($AD703="","",IF(ROUND($AO703+$AP703+$AQ703-$AD703,2)=0,"OK","FAIL - out by "&amp;TEXT($AO703+$AP703+$AQ703-$AD703,"$0.00")))</f>
      </c>
    </row>
    <row r="704" spans="1:58" ht="18.75" customHeight="1" x14ac:dyDescent="0.25">
      <c r="A704" s="46" t="inlineStr">
        <is>
          <t xml:space="preserve">CANON-202606-009363</t>
        </is>
      </c>
      <c r="B704" s="46" t="inlineStr">
        <is>
          <t xml:space="preserve">Desmond Montoya</t>
        </is>
      </c>
      <c r="C704" s="47">
        <v>46199</v>
      </c>
      <c r="D704" s="48" t="inlineStr">
        <is>
          <t xml:space="preserve">Bound - within authority</t>
        </is>
      </c>
      <c r="E704" s="48" t="inlineStr">
        <is>
          <t xml:space="preserve">New business</t>
        </is>
      </c>
      <c r="F704" s="46" t="inlineStr">
        <is>
          <t xml:space="preserve">B1234EXOTIC26</t>
        </is>
      </c>
      <c r="G704" s="33">
        <f>IF($A704="","",IF($C704="","",YEAR($C704)))</f>
      </c>
      <c r="H704" s="49">
        <v>1962</v>
      </c>
      <c r="I704" s="46" t="inlineStr">
        <is>
          <t xml:space="preserve">Ferrari</t>
        </is>
      </c>
      <c r="J704" s="46" t="inlineStr">
        <is>
          <t xml:space="preserve">296 GTB</t>
        </is>
      </c>
      <c r="K704" s="46" t="inlineStr">
        <is>
          <t xml:space="preserve">57NE2A96AR0ZSVHKU</t>
        </is>
      </c>
      <c r="L704" s="48" t="inlineStr">
        <is>
          <t xml:space="preserve">03 - Supercar</t>
        </is>
      </c>
      <c r="M704" s="50">
        <v>860000</v>
      </c>
      <c r="N704" s="48" t="inlineStr">
        <is>
          <t xml:space="preserve">Personal</t>
        </is>
      </c>
      <c r="O704" s="46" t="inlineStr">
        <is>
          <t xml:space="preserve">Personal - regular use</t>
        </is>
      </c>
      <c r="P704" s="46" t="inlineStr">
        <is>
          <t xml:space="preserve">2,500 - 5,000</t>
        </is>
      </c>
      <c r="Q704" s="46" t="inlineStr">
        <is>
          <t xml:space="preserve">Ohio</t>
        </is>
      </c>
      <c r="R704" s="46" t="inlineStr">
        <is>
          <t xml:space="preserve">43215</t>
        </is>
      </c>
      <c r="S704" s="48" t="inlineStr">
        <is>
          <t xml:space="preserve">Severe convective - hail / tornado (moderate)</t>
        </is>
      </c>
      <c r="T704" s="36">
        <f>IF($A704="","",IF($S704="","",IFERROR(INDEX('[1]natural catastrophe'!$D$6:$D$17,MATCH($S704,'[1]natural catastrophe'!$B$6:$B$17,0)),"?")))</f>
      </c>
      <c r="U704" s="46" t="inlineStr">
        <is>
          <t xml:space="preserve">$5,000</t>
        </is>
      </c>
      <c r="V704" s="48" t="inlineStr">
        <is>
          <t xml:space="preserve">Agreed Value</t>
        </is>
      </c>
      <c r="W704" s="46" t="inlineStr">
        <is>
          <t xml:space="preserve">$1,000</t>
        </is>
      </c>
      <c r="X704" s="48" t="inlineStr">
        <is>
          <t xml:space="preserve">$1,000,000 CSL</t>
        </is>
      </c>
      <c r="Y704" s="46"/>
      <c r="Z704" s="46"/>
      <c r="AA704" s="48" t="inlineStr">
        <is>
          <t xml:space="preserve">Surplus Lines</t>
        </is>
      </c>
      <c r="AB704" s="50">
        <v>16387.35</v>
      </c>
      <c r="AC704" s="51">
        <v>0</v>
      </c>
      <c r="AD704" s="38">
        <f>IF(ISNUMBER($AB704),$AB704*(1+N($AC704)),"")</f>
      </c>
      <c r="AE704" s="50">
        <v>350</v>
      </c>
      <c r="AF704" s="50">
        <v>0</v>
      </c>
      <c r="AG704" s="51"/>
      <c r="AH704" s="39">
        <f>IF(ISNUMBER($AD704),($AD704+$AE704+$AF704)*$AG704,"")</f>
      </c>
      <c r="AI704" s="50"/>
      <c r="AJ704" s="38">
        <f>IF(ISNUMBER($AD704),SUM($AD704:$AH704),"")</f>
      </c>
      <c r="AK704" s="40">
        <f>IF(AND(ISNUMBER($AB704),ISNUMBER($AD704)),IF($AB704&gt;0,$AD704/$AB704,""),"")</f>
      </c>
      <c r="AL704" s="48" t="inlineStr">
        <is>
          <t xml:space="preserve">At technical</t>
        </is>
      </c>
      <c r="AM704" s="41">
        <f>IF(ISNUMBER($AD704),Header!$I$3,"")</f>
      </c>
      <c r="AN704" s="39">
        <f>IF(ISNUMBER($AD704),$AO704+$AP704,"")</f>
      </c>
      <c r="AO704" s="39">
        <f>IF(ISNUMBER($AD704),ROUND($AD704*Header!$K$3,2),"")</f>
      </c>
      <c r="AP704" s="39">
        <f>IF(ISNUMBER($AD704),ROUND($AD704*Header!$M$3,2),"")</f>
      </c>
      <c r="AQ704" s="38">
        <f>IF(ISNUMBER($AD704),ROUND($AD704,2)-$AO704-$AP704,"")</f>
      </c>
      <c r="AR704" s="39">
        <f>IF(ISNUMBER($AD704),IF(Header!$D$34="","?",$AD704*Header!$D$34),"")</f>
      </c>
      <c r="AS704" s="39">
        <f>IF(ISNUMBER($AB704),IF(Header!$D$34="","?",$AB704*Header!$D$34),"")</f>
      </c>
      <c r="AT704" s="42">
        <f>IF(AND(ISNUMBER($AB704),$M704&gt;0),$AB704/$M704*100,"")</f>
      </c>
      <c r="AU704" s="42">
        <f>IF(AND(ISNUMBER($AD704),$M704&gt;0),$AD704/$M704*100,"")</f>
      </c>
      <c r="AV704" s="40">
        <f>IF(AND(ISNUMBER($AB704),ISNUMBER($AD704),ABS($AB704)&gt;0),$AD704/$AB704,"")</f>
      </c>
      <c r="AW704" s="39">
        <f>IF(ISNUMBER($AD704),MAX(0,(1-0.55-Header!$O$3)*Header!$Q$3*$AQ704),"")</f>
      </c>
      <c r="AX704" s="43">
        <f>IF($A704="","",IF(TRIM(IF($A704="","Missing certificate ref. ","") &amp; IF($C704="","Missing effective date. ","") &amp; IF($D704="","Missing binding status. ","") &amp; IF($E704="","Missing movement type. ","") &amp; IF($I704="","Missing make. ","") &amp; IF($L704="","Missing vehicle class. ","") &amp; IF($M704="","Missing agreed value. ","") &amp; IF($N704="","Missing policy type. ","") &amp; IF($Q704="","Missing garaging state. ","") &amp; IF($R704="","Missing garaging ZIP. ","") &amp; IF($S704="","Missing cat zone. ","") &amp; IF($V704="","Missing valuation basis. ","") &amp; IF($W704="","Missing PD deductible. ","") &amp; IF($X704="","Missing liability limit. ","") &amp; IF($AB704="","Missing technical premium. ","") &amp; IF($AF704="","Missing surplus lines tax %. ",""))="","PASS","FAIL: "&amp;TRIM(IF($A704="","Missing certificate ref. ","") &amp; IF($C704="","Missing effective date. ","") &amp; IF($D704="","Missing binding status. ","") &amp; IF($E704="","Missing movement type. ","") &amp; IF($I704="","Missing make. ","") &amp; IF($L704="","Missing vehicle class. ","") &amp; IF($M704="","Missing agreed value. ","") &amp; IF($N704="","Missing policy type. ","") &amp; IF($Q704="","Missing garaging state. ","") &amp; IF($R704="","Missing garaging ZIP. ","") &amp; IF($S704="","Missing cat zone. ","") &amp; IF($V704="","Missing valuation basis. ","") &amp; IF($W704="","Missing PD deductible. ","") &amp; IF($X704="","Missing liability limit. ","") &amp; IF($AB704="","Missing technical premium. ","") &amp; IF($AF704="","Missing surplus lines tax %. ",""))))</f>
      </c>
      <c r="AY704" s="44">
        <f>IF($M704="","",IF(ISNUMBER($M704),IF($M704&gt;=Header!$C$18,"YES — refer","No"),""))</f>
      </c>
      <c r="AZ704" s="44">
        <f>IF($AD704="","",IF(ISNUMBER($AD704),IF($AD704&lt;Header!$C$20,"BELOW MIN PREMIUM","OK"),""))</f>
      </c>
      <c r="BA704" s="48" t="inlineStr">
        <is>
          <t xml:space="preserve">Yes</t>
        </is>
      </c>
      <c r="BB704" s="48" t="inlineStr">
        <is>
          <t xml:space="preserve">Yes</t>
        </is>
      </c>
      <c r="BC704" s="46" t="inlineStr">
        <is>
          <t xml:space="preserve">Synthetic demo data</t>
        </is>
      </c>
      <c r="BE704" s="45">
        <f>IF(OR($A704="",$L704="",$H704=""),"",IF(AND(LEFT($L704,2)="06",$H704&gt;1945),"FAIL - pre-war class, year "&amp;$H704,IF(AND(LEFT($L704,2)="07",OR($H704&lt;1946,$H704&gt;1972)),"FAIL - 1946-72 class, year "&amp;$H704,IF(AND(LEFT($L704,2)="08",OR($H704&lt;1973,$H704&gt;1999)),"FAIL - 1973-99 class, year "&amp;$H704,IF(AND(LEFT($L704,2)="09",OR($H704&lt;2000,$H704&gt;2010)),"FAIL - 2000-10 class, year "&amp;$H704,"OK")))))</f>
      </c>
      <c r="BF704" s="45">
        <f>IF($AD704="","",IF(ROUND($AO704+$AP704+$AQ704-$AD704,2)=0,"OK","FAIL - out by "&amp;TEXT($AO704+$AP704+$AQ704-$AD704,"$0.00")))</f>
      </c>
    </row>
    <row r="705" spans="1:58" ht="18.75" customHeight="1" x14ac:dyDescent="0.25">
      <c r="A705" s="30" t="inlineStr">
        <is>
          <t xml:space="preserve">CANON-202606-009365</t>
        </is>
      </c>
      <c r="B705" s="30" t="inlineStr">
        <is>
          <t xml:space="preserve">Saoirse Montoya</t>
        </is>
      </c>
      <c r="C705" s="31">
        <v>46178</v>
      </c>
      <c r="D705" s="32" t="inlineStr">
        <is>
          <t xml:space="preserve">Bound - within authority</t>
        </is>
      </c>
      <c r="E705" s="32" t="inlineStr">
        <is>
          <t xml:space="preserve">New business</t>
        </is>
      </c>
      <c r="F705" s="30" t="inlineStr">
        <is>
          <t xml:space="preserve">B1234EXOTIC26</t>
        </is>
      </c>
      <c r="G705" s="33">
        <f>IF($A705="","",IF($C705="","",YEAR($C705)))</f>
      </c>
      <c r="H705" s="34">
        <v>1976</v>
      </c>
      <c r="I705" s="30" t="inlineStr">
        <is>
          <t xml:space="preserve">Aston Martin</t>
        </is>
      </c>
      <c r="J705" s="30" t="inlineStr">
        <is>
          <t xml:space="preserve">DB12</t>
        </is>
      </c>
      <c r="K705" s="30" t="inlineStr">
        <is>
          <t xml:space="preserve">30L8E6GX5F0PKJMM2</t>
        </is>
      </c>
      <c r="L705" s="32" t="inlineStr">
        <is>
          <t xml:space="preserve">02 - Sports / GT</t>
        </is>
      </c>
      <c r="M705" s="35">
        <v>695000</v>
      </c>
      <c r="N705" s="32" t="inlineStr">
        <is>
          <t xml:space="preserve">Personal</t>
        </is>
      </c>
      <c r="O705" s="30" t="inlineStr">
        <is>
          <t xml:space="preserve">Personal - regular use</t>
        </is>
      </c>
      <c r="P705" s="30" t="inlineStr">
        <is>
          <t xml:space="preserve">1,000 - 2,500</t>
        </is>
      </c>
      <c r="Q705" s="30" t="inlineStr">
        <is>
          <t xml:space="preserve">Missouri</t>
        </is>
      </c>
      <c r="R705" s="30" t="inlineStr">
        <is>
          <t xml:space="preserve">63101</t>
        </is>
      </c>
      <c r="S705" s="32" t="inlineStr">
        <is>
          <t xml:space="preserve">Severe convective - hail / tornado (moderate)</t>
        </is>
      </c>
      <c r="T705" s="36">
        <f>IF($A705="","",IF($S705="","",IFERROR(INDEX('[1]natural catastrophe'!$D$6:$D$17,MATCH($S705,'[1]natural catastrophe'!$B$6:$B$17,0)),"?")))</f>
      </c>
      <c r="U705" s="30" t="inlineStr">
        <is>
          <t xml:space="preserve">$5,000</t>
        </is>
      </c>
      <c r="V705" s="32" t="inlineStr">
        <is>
          <t xml:space="preserve">Agreed Value</t>
        </is>
      </c>
      <c r="W705" s="30" t="inlineStr">
        <is>
          <t xml:space="preserve">$1,000</t>
        </is>
      </c>
      <c r="X705" s="32" t="inlineStr">
        <is>
          <t xml:space="preserve">$1,000,000 CSL</t>
        </is>
      </c>
      <c r="Y705" s="30"/>
      <c r="Z705" s="30"/>
      <c r="AA705" s="32" t="inlineStr">
        <is>
          <t xml:space="preserve">Surplus Lines</t>
        </is>
      </c>
      <c r="AB705" s="35">
        <v>6909.97</v>
      </c>
      <c r="AC705" s="37">
        <v>0</v>
      </c>
      <c r="AD705" s="38">
        <f>IF(ISNUMBER($AB705),$AB705*(1+N($AC705)),"")</f>
      </c>
      <c r="AE705" s="35">
        <v>350</v>
      </c>
      <c r="AF705" s="35">
        <v>0</v>
      </c>
      <c r="AG705" s="37"/>
      <c r="AH705" s="39">
        <f>IF(ISNUMBER($AD705),($AD705+$AE705+$AF705)*$AG705,"")</f>
      </c>
      <c r="AI705" s="35"/>
      <c r="AJ705" s="38">
        <f>IF(ISNUMBER($AD705),SUM($AD705:$AH705),"")</f>
      </c>
      <c r="AK705" s="40">
        <f>IF(AND(ISNUMBER($AB705),ISNUMBER($AD705)),IF($AB705&gt;0,$AD705/$AB705,""),"")</f>
      </c>
      <c r="AL705" s="32" t="inlineStr">
        <is>
          <t xml:space="preserve">At technical</t>
        </is>
      </c>
      <c r="AM705" s="41">
        <f>IF(ISNUMBER($AD705),Header!$I$3,"")</f>
      </c>
      <c r="AN705" s="39">
        <f>IF(ISNUMBER($AD705),$AO705+$AP705,"")</f>
      </c>
      <c r="AO705" s="39">
        <f>IF(ISNUMBER($AD705),ROUND($AD705*Header!$K$3,2),"")</f>
      </c>
      <c r="AP705" s="39">
        <f>IF(ISNUMBER($AD705),ROUND($AD705*Header!$M$3,2),"")</f>
      </c>
      <c r="AQ705" s="38">
        <f>IF(ISNUMBER($AD705),ROUND($AD705,2)-$AO705-$AP705,"")</f>
      </c>
      <c r="AR705" s="39">
        <f>IF(ISNUMBER($AD705),IF(Header!$D$34="","?",$AD705*Header!$D$34),"")</f>
      </c>
      <c r="AS705" s="39">
        <f>IF(ISNUMBER($AB705),IF(Header!$D$34="","?",$AB705*Header!$D$34),"")</f>
      </c>
      <c r="AT705" s="42">
        <f>IF(AND(ISNUMBER($AB705),$M705&gt;0),$AB705/$M705*100,"")</f>
      </c>
      <c r="AU705" s="42">
        <f>IF(AND(ISNUMBER($AD705),$M705&gt;0),$AD705/$M705*100,"")</f>
      </c>
      <c r="AV705" s="40">
        <f>IF(AND(ISNUMBER($AB705),ISNUMBER($AD705),ABS($AB705)&gt;0),$AD705/$AB705,"")</f>
      </c>
      <c r="AW705" s="39">
        <f>IF(ISNUMBER($AD705),MAX(0,(1-0.55-Header!$O$3)*Header!$Q$3*$AQ705),"")</f>
      </c>
      <c r="AX705" s="43">
        <f>IF($A705="","",IF(TRIM(IF($A705="","Missing certificate ref. ","") &amp; IF($C705="","Missing effective date. ","") &amp; IF($D705="","Missing binding status. ","") &amp; IF($E705="","Missing movement type. ","") &amp; IF($I705="","Missing make. ","") &amp; IF($L705="","Missing vehicle class. ","") &amp; IF($M705="","Missing agreed value. ","") &amp; IF($N705="","Missing policy type. ","") &amp; IF($Q705="","Missing garaging state. ","") &amp; IF($R705="","Missing garaging ZIP. ","") &amp; IF($S705="","Missing cat zone. ","") &amp; IF($V705="","Missing valuation basis. ","") &amp; IF($W705="","Missing PD deductible. ","") &amp; IF($X705="","Missing liability limit. ","") &amp; IF($AB705="","Missing technical premium. ","") &amp; IF($AF705="","Missing surplus lines tax %. ",""))="","PASS","FAIL: "&amp;TRIM(IF($A705="","Missing certificate ref. ","") &amp; IF($C705="","Missing effective date. ","") &amp; IF($D705="","Missing binding status. ","") &amp; IF($E705="","Missing movement type. ","") &amp; IF($I705="","Missing make. ","") &amp; IF($L705="","Missing vehicle class. ","") &amp; IF($M705="","Missing agreed value. ","") &amp; IF($N705="","Missing policy type. ","") &amp; IF($Q705="","Missing garaging state. ","") &amp; IF($R705="","Missing garaging ZIP. ","") &amp; IF($S705="","Missing cat zone. ","") &amp; IF($V705="","Missing valuation basis. ","") &amp; IF($W705="","Missing PD deductible. ","") &amp; IF($X705="","Missing liability limit. ","") &amp; IF($AB705="","Missing technical premium. ","") &amp; IF($AF705="","Missing surplus lines tax %. ",""))))</f>
      </c>
      <c r="AY705" s="44">
        <f>IF($M705="","",IF(ISNUMBER($M705),IF($M705&gt;=Header!$C$18,"YES — refer","No"),""))</f>
      </c>
      <c r="AZ705" s="44">
        <f>IF($AD705="","",IF(ISNUMBER($AD705),IF($AD705&lt;Header!$C$20,"BELOW MIN PREMIUM","OK"),""))</f>
      </c>
      <c r="BA705" s="32" t="inlineStr">
        <is>
          <t xml:space="preserve">Yes</t>
        </is>
      </c>
      <c r="BB705" s="32" t="inlineStr">
        <is>
          <t xml:space="preserve">Yes</t>
        </is>
      </c>
      <c r="BC705" s="30" t="inlineStr">
        <is>
          <t xml:space="preserve">Synthetic demo data</t>
        </is>
      </c>
      <c r="BE705" s="45">
        <f>IF(OR($A705="",$L705="",$H705=""),"",IF(AND(LEFT($L705,2)="06",$H705&gt;1945),"FAIL - pre-war class, year "&amp;$H705,IF(AND(LEFT($L705,2)="07",OR($H705&lt;1946,$H705&gt;1972)),"FAIL - 1946-72 class, year "&amp;$H705,IF(AND(LEFT($L705,2)="08",OR($H705&lt;1973,$H705&gt;1999)),"FAIL - 1973-99 class, year "&amp;$H705,IF(AND(LEFT($L705,2)="09",OR($H705&lt;2000,$H705&gt;2010)),"FAIL - 2000-10 class, year "&amp;$H705,"OK")))))</f>
      </c>
      <c r="BF705" s="45">
        <f>IF($AD705="","",IF(ROUND($AO705+$AP705+$AQ705-$AD705,2)=0,"OK","FAIL - out by "&amp;TEXT($AO705+$AP705+$AQ705-$AD705,"$0.00")))</f>
      </c>
    </row>
    <row r="706" spans="1:58" ht="18.75" customHeight="1" x14ac:dyDescent="0.25">
      <c r="A706" s="46" t="inlineStr">
        <is>
          <t xml:space="preserve">CANON-202606-009367</t>
        </is>
      </c>
      <c r="B706" s="46" t="inlineStr">
        <is>
          <t xml:space="preserve">Fitzgerald Underwood</t>
        </is>
      </c>
      <c r="C706" s="47">
        <v>46188</v>
      </c>
      <c r="D706" s="48" t="inlineStr">
        <is>
          <t xml:space="preserve">Bound - within authority</t>
        </is>
      </c>
      <c r="E706" s="48" t="inlineStr">
        <is>
          <t xml:space="preserve">New business</t>
        </is>
      </c>
      <c r="F706" s="46" t="inlineStr">
        <is>
          <t xml:space="preserve">B1234EXOTIC26</t>
        </is>
      </c>
      <c r="G706" s="33">
        <f>IF($A706="","",IF($C706="","",YEAR($C706)))</f>
      </c>
      <c r="H706" s="49">
        <v>1982</v>
      </c>
      <c r="I706" s="46" t="inlineStr">
        <is>
          <t xml:space="preserve">Icon</t>
        </is>
      </c>
      <c r="J706" s="46" t="inlineStr">
        <is>
          <t xml:space="preserve">Derelict</t>
        </is>
      </c>
      <c r="K706" s="46" t="inlineStr">
        <is>
          <t xml:space="preserve">T8HJDCBMB1U38JZ84</t>
        </is>
      </c>
      <c r="L706" s="48" t="inlineStr">
        <is>
          <t xml:space="preserve">11 - Restomod / Coachbuilt / Bespoke</t>
        </is>
      </c>
      <c r="M706" s="50">
        <v>770000</v>
      </c>
      <c r="N706" s="48" t="inlineStr">
        <is>
          <t xml:space="preserve">Personal</t>
        </is>
      </c>
      <c r="O706" s="46" t="inlineStr">
        <is>
          <t xml:space="preserve">Personal - regular use</t>
        </is>
      </c>
      <c r="P706" s="46" t="inlineStr">
        <is>
          <t xml:space="preserve">1,000 - 2,500</t>
        </is>
      </c>
      <c r="Q706" s="46" t="inlineStr">
        <is>
          <t xml:space="preserve">Tennessee</t>
        </is>
      </c>
      <c r="R706" s="46" t="inlineStr">
        <is>
          <t xml:space="preserve">37203</t>
        </is>
      </c>
      <c r="S706" s="48" t="inlineStr">
        <is>
          <t xml:space="preserve">Severe convective - hail / tornado (moderate)</t>
        </is>
      </c>
      <c r="T706" s="36">
        <f>IF($A706="","",IF($S706="","",IFERROR(INDEX('[1]natural catastrophe'!$D$6:$D$17,MATCH($S706,'[1]natural catastrophe'!$B$6:$B$17,0)),"?")))</f>
      </c>
      <c r="U706" s="46" t="inlineStr">
        <is>
          <t xml:space="preserve">$5,000</t>
        </is>
      </c>
      <c r="V706" s="48" t="inlineStr">
        <is>
          <t xml:space="preserve">Agreed Value</t>
        </is>
      </c>
      <c r="W706" s="46" t="inlineStr">
        <is>
          <t xml:space="preserve">$1,000</t>
        </is>
      </c>
      <c r="X706" s="48" t="inlineStr">
        <is>
          <t xml:space="preserve">$1,000,000 CSL</t>
        </is>
      </c>
      <c r="Y706" s="46"/>
      <c r="Z706" s="46"/>
      <c r="AA706" s="48" t="inlineStr">
        <is>
          <t xml:space="preserve">Surplus Lines</t>
        </is>
      </c>
      <c r="AB706" s="50">
        <v>8493.43</v>
      </c>
      <c r="AC706" s="51">
        <v>0</v>
      </c>
      <c r="AD706" s="38">
        <f>IF(ISNUMBER($AB706),$AB706*(1+N($AC706)),"")</f>
      </c>
      <c r="AE706" s="50">
        <v>350</v>
      </c>
      <c r="AF706" s="50">
        <v>0</v>
      </c>
      <c r="AG706" s="51"/>
      <c r="AH706" s="39">
        <f>IF(ISNUMBER($AD706),($AD706+$AE706+$AF706)*$AG706,"")</f>
      </c>
      <c r="AI706" s="50"/>
      <c r="AJ706" s="38">
        <f>IF(ISNUMBER($AD706),SUM($AD706:$AH706),"")</f>
      </c>
      <c r="AK706" s="40">
        <f>IF(AND(ISNUMBER($AB706),ISNUMBER($AD706)),IF($AB706&gt;0,$AD706/$AB706,""),"")</f>
      </c>
      <c r="AL706" s="48" t="inlineStr">
        <is>
          <t xml:space="preserve">At technical</t>
        </is>
      </c>
      <c r="AM706" s="41">
        <f>IF(ISNUMBER($AD706),Header!$I$3,"")</f>
      </c>
      <c r="AN706" s="39">
        <f>IF(ISNUMBER($AD706),$AO706+$AP706,"")</f>
      </c>
      <c r="AO706" s="39">
        <f>IF(ISNUMBER($AD706),ROUND($AD706*Header!$K$3,2),"")</f>
      </c>
      <c r="AP706" s="39">
        <f>IF(ISNUMBER($AD706),ROUND($AD706*Header!$M$3,2),"")</f>
      </c>
      <c r="AQ706" s="38">
        <f>IF(ISNUMBER($AD706),ROUND($AD706,2)-$AO706-$AP706,"")</f>
      </c>
      <c r="AR706" s="39">
        <f>IF(ISNUMBER($AD706),IF(Header!$D$34="","?",$AD706*Header!$D$34),"")</f>
      </c>
      <c r="AS706" s="39">
        <f>IF(ISNUMBER($AB706),IF(Header!$D$34="","?",$AB706*Header!$D$34),"")</f>
      </c>
      <c r="AT706" s="42">
        <f>IF(AND(ISNUMBER($AB706),$M706&gt;0),$AB706/$M706*100,"")</f>
      </c>
      <c r="AU706" s="42">
        <f>IF(AND(ISNUMBER($AD706),$M706&gt;0),$AD706/$M706*100,"")</f>
      </c>
      <c r="AV706" s="40">
        <f>IF(AND(ISNUMBER($AB706),ISNUMBER($AD706),ABS($AB706)&gt;0),$AD706/$AB706,"")</f>
      </c>
      <c r="AW706" s="39">
        <f>IF(ISNUMBER($AD706),MAX(0,(1-0.55-Header!$O$3)*Header!$Q$3*$AQ706),"")</f>
      </c>
      <c r="AX706" s="43">
        <f>IF($A706="","",IF(TRIM(IF($A706="","Missing certificate ref. ","") &amp; IF($C706="","Missing effective date. ","") &amp; IF($D706="","Missing binding status. ","") &amp; IF($E706="","Missing movement type. ","") &amp; IF($I706="","Missing make. ","") &amp; IF($L706="","Missing vehicle class. ","") &amp; IF($M706="","Missing agreed value. ","") &amp; IF($N706="","Missing policy type. ","") &amp; IF($Q706="","Missing garaging state. ","") &amp; IF($R706="","Missing garaging ZIP. ","") &amp; IF($S706="","Missing cat zone. ","") &amp; IF($V706="","Missing valuation basis. ","") &amp; IF($W706="","Missing PD deductible. ","") &amp; IF($X706="","Missing liability limit. ","") &amp; IF($AB706="","Missing technical premium. ","") &amp; IF($AF706="","Missing surplus lines tax %. ",""))="","PASS","FAIL: "&amp;TRIM(IF($A706="","Missing certificate ref. ","") &amp; IF($C706="","Missing effective date. ","") &amp; IF($D706="","Missing binding status. ","") &amp; IF($E706="","Missing movement type. ","") &amp; IF($I706="","Missing make. ","") &amp; IF($L706="","Missing vehicle class. ","") &amp; IF($M706="","Missing agreed value. ","") &amp; IF($N706="","Missing policy type. ","") &amp; IF($Q706="","Missing garaging state. ","") &amp; IF($R706="","Missing garaging ZIP. ","") &amp; IF($S706="","Missing cat zone. ","") &amp; IF($V706="","Missing valuation basis. ","") &amp; IF($W706="","Missing PD deductible. ","") &amp; IF($X706="","Missing liability limit. ","") &amp; IF($AB706="","Missing technical premium. ","") &amp; IF($AF706="","Missing surplus lines tax %. ",""))))</f>
      </c>
      <c r="AY706" s="44">
        <f>IF($M706="","",IF(ISNUMBER($M706),IF($M706&gt;=Header!$C$18,"YES — refer","No"),""))</f>
      </c>
      <c r="AZ706" s="44">
        <f>IF($AD706="","",IF(ISNUMBER($AD706),IF($AD706&lt;Header!$C$20,"BELOW MIN PREMIUM","OK"),""))</f>
      </c>
      <c r="BA706" s="48" t="inlineStr">
        <is>
          <t xml:space="preserve">Yes</t>
        </is>
      </c>
      <c r="BB706" s="48" t="inlineStr">
        <is>
          <t xml:space="preserve">Yes</t>
        </is>
      </c>
      <c r="BC706" s="46" t="inlineStr">
        <is>
          <t xml:space="preserve">Synthetic demo data</t>
        </is>
      </c>
      <c r="BE706" s="45">
        <f>IF(OR($A706="",$L706="",$H706=""),"",IF(AND(LEFT($L706,2)="06",$H706&gt;1945),"FAIL - pre-war class, year "&amp;$H706,IF(AND(LEFT($L706,2)="07",OR($H706&lt;1946,$H706&gt;1972)),"FAIL - 1946-72 class, year "&amp;$H706,IF(AND(LEFT($L706,2)="08",OR($H706&lt;1973,$H706&gt;1999)),"FAIL - 1973-99 class, year "&amp;$H706,IF(AND(LEFT($L706,2)="09",OR($H706&lt;2000,$H706&gt;2010)),"FAIL - 2000-10 class, year "&amp;$H706,"OK")))))</f>
      </c>
      <c r="BF706" s="45">
        <f>IF($AD706="","",IF(ROUND($AO706+$AP706+$AQ706-$AD706,2)=0,"OK","FAIL - out by "&amp;TEXT($AO706+$AP706+$AQ706-$AD706,"$0.00")))</f>
      </c>
    </row>
    <row r="707" spans="1:58" ht="18.75" customHeight="1" x14ac:dyDescent="0.25">
      <c r="A707" s="30" t="inlineStr">
        <is>
          <t xml:space="preserve">CANON-202606-009371</t>
        </is>
      </c>
      <c r="B707" s="30" t="inlineStr">
        <is>
          <t xml:space="preserve">Callum Farkas</t>
        </is>
      </c>
      <c r="C707" s="31">
        <v>46185</v>
      </c>
      <c r="D707" s="32" t="inlineStr">
        <is>
          <t xml:space="preserve">Bound - within authority</t>
        </is>
      </c>
      <c r="E707" s="32" t="inlineStr">
        <is>
          <t xml:space="preserve">New business</t>
        </is>
      </c>
      <c r="F707" s="30" t="inlineStr">
        <is>
          <t xml:space="preserve">B1234EXOTIC26</t>
        </is>
      </c>
      <c r="G707" s="33">
        <f>IF($A707="","",IF($C707="","",YEAR($C707)))</f>
      </c>
      <c r="H707" s="34">
        <v>2017</v>
      </c>
      <c r="I707" s="30" t="inlineStr">
        <is>
          <t xml:space="preserve">Bentley</t>
        </is>
      </c>
      <c r="J707" s="30" t="inlineStr">
        <is>
          <t xml:space="preserve">4.5 Litre</t>
        </is>
      </c>
      <c r="K707" s="30" t="inlineStr">
        <is>
          <t xml:space="preserve">AYB1GPG3PE11ARS57</t>
        </is>
      </c>
      <c r="L707" s="32" t="inlineStr">
        <is>
          <t xml:space="preserve">02 - Sports / GT</t>
        </is>
      </c>
      <c r="M707" s="35">
        <v>730000</v>
      </c>
      <c r="N707" s="32" t="inlineStr">
        <is>
          <t xml:space="preserve">Personal</t>
        </is>
      </c>
      <c r="O707" s="30" t="inlineStr">
        <is>
          <t xml:space="preserve">Personal - regular use</t>
        </is>
      </c>
      <c r="P707" s="30" t="inlineStr">
        <is>
          <t xml:space="preserve">1,000 - 2,500</t>
        </is>
      </c>
      <c r="Q707" s="30" t="inlineStr">
        <is>
          <t xml:space="preserve">New Hampshire</t>
        </is>
      </c>
      <c r="R707" s="30" t="inlineStr">
        <is>
          <t xml:space="preserve">03301</t>
        </is>
      </c>
      <c r="S707" s="32" t="inlineStr">
        <is>
          <t xml:space="preserve">Tier 3 - Coastal wind (25-100 miles)</t>
        </is>
      </c>
      <c r="T707" s="36">
        <f>IF($A707="","",IF($S707="","",IFERROR(INDEX('[1]natural catastrophe'!$D$6:$D$17,MATCH($S707,'[1]natural catastrophe'!$B$6:$B$17,0)),"?")))</f>
      </c>
      <c r="U707" s="30" t="inlineStr">
        <is>
          <t xml:space="preserve">2% of agreed value, minimum $10,000</t>
        </is>
      </c>
      <c r="V707" s="32" t="inlineStr">
        <is>
          <t xml:space="preserve">Agreed Value</t>
        </is>
      </c>
      <c r="W707" s="30" t="inlineStr">
        <is>
          <t xml:space="preserve">$1,000</t>
        </is>
      </c>
      <c r="X707" s="32" t="inlineStr">
        <is>
          <t xml:space="preserve">$1,000,000 CSL</t>
        </is>
      </c>
      <c r="Y707" s="30"/>
      <c r="Z707" s="30"/>
      <c r="AA707" s="32" t="inlineStr">
        <is>
          <t xml:space="preserve">Surplus Lines</t>
        </is>
      </c>
      <c r="AB707" s="35">
        <v>4163.05</v>
      </c>
      <c r="AC707" s="37">
        <v>0</v>
      </c>
      <c r="AD707" s="38">
        <f>IF(ISNUMBER($AB707),$AB707*(1+N($AC707)),"")</f>
      </c>
      <c r="AE707" s="35">
        <v>350</v>
      </c>
      <c r="AF707" s="35">
        <v>0</v>
      </c>
      <c r="AG707" s="37"/>
      <c r="AH707" s="39">
        <f>IF(ISNUMBER($AD707),($AD707+$AE707+$AF707)*$AG707,"")</f>
      </c>
      <c r="AI707" s="35"/>
      <c r="AJ707" s="38">
        <f>IF(ISNUMBER($AD707),SUM($AD707:$AH707),"")</f>
      </c>
      <c r="AK707" s="40">
        <f>IF(AND(ISNUMBER($AB707),ISNUMBER($AD707)),IF($AB707&gt;0,$AD707/$AB707,""),"")</f>
      </c>
      <c r="AL707" s="32" t="inlineStr">
        <is>
          <t xml:space="preserve">At technical</t>
        </is>
      </c>
      <c r="AM707" s="41">
        <f>IF(ISNUMBER($AD707),Header!$I$3,"")</f>
      </c>
      <c r="AN707" s="39">
        <f>IF(ISNUMBER($AD707),$AO707+$AP707,"")</f>
      </c>
      <c r="AO707" s="39">
        <f>IF(ISNUMBER($AD707),ROUND($AD707*Header!$K$3,2),"")</f>
      </c>
      <c r="AP707" s="39">
        <f>IF(ISNUMBER($AD707),ROUND($AD707*Header!$M$3,2),"")</f>
      </c>
      <c r="AQ707" s="38">
        <f>IF(ISNUMBER($AD707),ROUND($AD707,2)-$AO707-$AP707,"")</f>
      </c>
      <c r="AR707" s="39">
        <f>IF(ISNUMBER($AD707),IF(Header!$D$34="","?",$AD707*Header!$D$34),"")</f>
      </c>
      <c r="AS707" s="39">
        <f>IF(ISNUMBER($AB707),IF(Header!$D$34="","?",$AB707*Header!$D$34),"")</f>
      </c>
      <c r="AT707" s="42">
        <f>IF(AND(ISNUMBER($AB707),$M707&gt;0),$AB707/$M707*100,"")</f>
      </c>
      <c r="AU707" s="42">
        <f>IF(AND(ISNUMBER($AD707),$M707&gt;0),$AD707/$M707*100,"")</f>
      </c>
      <c r="AV707" s="40">
        <f>IF(AND(ISNUMBER($AB707),ISNUMBER($AD707),ABS($AB707)&gt;0),$AD707/$AB707,"")</f>
      </c>
      <c r="AW707" s="39">
        <f>IF(ISNUMBER($AD707),MAX(0,(1-0.55-Header!$O$3)*Header!$Q$3*$AQ707),"")</f>
      </c>
      <c r="AX707" s="43">
        <f>IF($A707="","",IF(TRIM(IF($A707="","Missing certificate ref. ","") &amp; IF($C707="","Missing effective date. ","") &amp; IF($D707="","Missing binding status. ","") &amp; IF($E707="","Missing movement type. ","") &amp; IF($I707="","Missing make. ","") &amp; IF($L707="","Missing vehicle class. ","") &amp; IF($M707="","Missing agreed value. ","") &amp; IF($N707="","Missing policy type. ","") &amp; IF($Q707="","Missing garaging state. ","") &amp; IF($R707="","Missing garaging ZIP. ","") &amp; IF($S707="","Missing cat zone. ","") &amp; IF($V707="","Missing valuation basis. ","") &amp; IF($W707="","Missing PD deductible. ","") &amp; IF($X707="","Missing liability limit. ","") &amp; IF($AB707="","Missing technical premium. ","") &amp; IF($AF707="","Missing surplus lines tax %. ",""))="","PASS","FAIL: "&amp;TRIM(IF($A707="","Missing certificate ref. ","") &amp; IF($C707="","Missing effective date. ","") &amp; IF($D707="","Missing binding status. ","") &amp; IF($E707="","Missing movement type. ","") &amp; IF($I707="","Missing make. ","") &amp; IF($L707="","Missing vehicle class. ","") &amp; IF($M707="","Missing agreed value. ","") &amp; IF($N707="","Missing policy type. ","") &amp; IF($Q707="","Missing garaging state. ","") &amp; IF($R707="","Missing garaging ZIP. ","") &amp; IF($S707="","Missing cat zone. ","") &amp; IF($V707="","Missing valuation basis. ","") &amp; IF($W707="","Missing PD deductible. ","") &amp; IF($X707="","Missing liability limit. ","") &amp; IF($AB707="","Missing technical premium. ","") &amp; IF($AF707="","Missing surplus lines tax %. ",""))))</f>
      </c>
      <c r="AY707" s="44">
        <f>IF($M707="","",IF(ISNUMBER($M707),IF($M707&gt;=Header!$C$18,"YES — refer","No"),""))</f>
      </c>
      <c r="AZ707" s="44">
        <f>IF($AD707="","",IF(ISNUMBER($AD707),IF($AD707&lt;Header!$C$20,"BELOW MIN PREMIUM","OK"),""))</f>
      </c>
      <c r="BA707" s="32" t="inlineStr">
        <is>
          <t xml:space="preserve">Yes</t>
        </is>
      </c>
      <c r="BB707" s="32" t="inlineStr">
        <is>
          <t xml:space="preserve">Yes</t>
        </is>
      </c>
      <c r="BC707" s="30" t="inlineStr">
        <is>
          <t xml:space="preserve">Synthetic demo data</t>
        </is>
      </c>
      <c r="BE707" s="45">
        <f>IF(OR($A707="",$L707="",$H707=""),"",IF(AND(LEFT($L707,2)="06",$H707&gt;1945),"FAIL - pre-war class, year "&amp;$H707,IF(AND(LEFT($L707,2)="07",OR($H707&lt;1946,$H707&gt;1972)),"FAIL - 1946-72 class, year "&amp;$H707,IF(AND(LEFT($L707,2)="08",OR($H707&lt;1973,$H707&gt;1999)),"FAIL - 1973-99 class, year "&amp;$H707,IF(AND(LEFT($L707,2)="09",OR($H707&lt;2000,$H707&gt;2010)),"FAIL - 2000-10 class, year "&amp;$H707,"OK")))))</f>
      </c>
      <c r="BF707" s="45">
        <f>IF($AD707="","",IF(ROUND($AO707+$AP707+$AQ707-$AD707,2)=0,"OK","FAIL - out by "&amp;TEXT($AO707+$AP707+$AQ707-$AD707,"$0.00")))</f>
      </c>
    </row>
    <row r="708" spans="1:58" ht="18.75" customHeight="1" x14ac:dyDescent="0.25">
      <c r="A708" s="46" t="inlineStr">
        <is>
          <t xml:space="preserve">CANON-202606-009374</t>
        </is>
      </c>
      <c r="B708" s="46" t="inlineStr">
        <is>
          <t xml:space="preserve">Leopold Nakashima</t>
        </is>
      </c>
      <c r="C708" s="47">
        <v>46198</v>
      </c>
      <c r="D708" s="48" t="inlineStr">
        <is>
          <t xml:space="preserve">Bound - within authority</t>
        </is>
      </c>
      <c r="E708" s="48" t="inlineStr">
        <is>
          <t xml:space="preserve">New business</t>
        </is>
      </c>
      <c r="F708" s="46" t="inlineStr">
        <is>
          <t xml:space="preserve">B1234EXOTIC26</t>
        </is>
      </c>
      <c r="G708" s="33">
        <f>IF($A708="","",IF($C708="","",YEAR($C708)))</f>
      </c>
      <c r="H708" s="49">
        <v>1956</v>
      </c>
      <c r="I708" s="46" t="inlineStr">
        <is>
          <t xml:space="preserve">McLaren</t>
        </is>
      </c>
      <c r="J708" s="46" t="inlineStr">
        <is>
          <t xml:space="preserve">750S</t>
        </is>
      </c>
      <c r="K708" s="46" t="inlineStr">
        <is>
          <t xml:space="preserve">F9R9ALN38ABNAMZYE</t>
        </is>
      </c>
      <c r="L708" s="48" t="inlineStr">
        <is>
          <t xml:space="preserve">03 - Supercar</t>
        </is>
      </c>
      <c r="M708" s="50">
        <v>400000</v>
      </c>
      <c r="N708" s="48" t="inlineStr">
        <is>
          <t xml:space="preserve">Personal</t>
        </is>
      </c>
      <c r="O708" s="46" t="inlineStr">
        <is>
          <t xml:space="preserve">Personal - regular use</t>
        </is>
      </c>
      <c r="P708" s="46" t="inlineStr">
        <is>
          <t xml:space="preserve">Under 1,000</t>
        </is>
      </c>
      <c r="Q708" s="46" t="inlineStr">
        <is>
          <t xml:space="preserve">Pennsylvania</t>
        </is>
      </c>
      <c r="R708" s="46" t="inlineStr">
        <is>
          <t xml:space="preserve">19103</t>
        </is>
      </c>
      <c r="S708" s="48" t="inlineStr">
        <is>
          <t xml:space="preserve">Low hazard - inland benign</t>
        </is>
      </c>
      <c r="T708" s="36">
        <f>IF($A708="","",IF($S708="","",IFERROR(INDEX('[1]natural catastrophe'!$D$6:$D$17,MATCH($S708,'[1]natural catastrophe'!$B$6:$B$17,0)),"?")))</f>
      </c>
      <c r="U708" s="46" t="inlineStr">
        <is>
          <t xml:space="preserve">$5,000</t>
        </is>
      </c>
      <c r="V708" s="48" t="inlineStr">
        <is>
          <t xml:space="preserve">Agreed Value</t>
        </is>
      </c>
      <c r="W708" s="46" t="inlineStr">
        <is>
          <t xml:space="preserve">$1,000</t>
        </is>
      </c>
      <c r="X708" s="48" t="inlineStr">
        <is>
          <t xml:space="preserve">$1,000,000 CSL</t>
        </is>
      </c>
      <c r="Y708" s="46"/>
      <c r="Z708" s="46"/>
      <c r="AA708" s="48" t="inlineStr">
        <is>
          <t xml:space="preserve">Surplus Lines</t>
        </is>
      </c>
      <c r="AB708" s="50">
        <v>6637.89</v>
      </c>
      <c r="AC708" s="51">
        <v>0</v>
      </c>
      <c r="AD708" s="38">
        <f>IF(ISNUMBER($AB708),$AB708*(1+N($AC708)),"")</f>
      </c>
      <c r="AE708" s="50">
        <v>350</v>
      </c>
      <c r="AF708" s="50">
        <v>0</v>
      </c>
      <c r="AG708" s="51"/>
      <c r="AH708" s="39">
        <f>IF(ISNUMBER($AD708),($AD708+$AE708+$AF708)*$AG708,"")</f>
      </c>
      <c r="AI708" s="50"/>
      <c r="AJ708" s="38">
        <f>IF(ISNUMBER($AD708),SUM($AD708:$AH708),"")</f>
      </c>
      <c r="AK708" s="40">
        <f>IF(AND(ISNUMBER($AB708),ISNUMBER($AD708)),IF($AB708&gt;0,$AD708/$AB708,""),"")</f>
      </c>
      <c r="AL708" s="48" t="inlineStr">
        <is>
          <t xml:space="preserve">At technical</t>
        </is>
      </c>
      <c r="AM708" s="41">
        <f>IF(ISNUMBER($AD708),Header!$I$3,"")</f>
      </c>
      <c r="AN708" s="39">
        <f>IF(ISNUMBER($AD708),$AO708+$AP708,"")</f>
      </c>
      <c r="AO708" s="39">
        <f>IF(ISNUMBER($AD708),ROUND($AD708*Header!$K$3,2),"")</f>
      </c>
      <c r="AP708" s="39">
        <f>IF(ISNUMBER($AD708),ROUND($AD708*Header!$M$3,2),"")</f>
      </c>
      <c r="AQ708" s="38">
        <f>IF(ISNUMBER($AD708),ROUND($AD708,2)-$AO708-$AP708,"")</f>
      </c>
      <c r="AR708" s="39">
        <f>IF(ISNUMBER($AD708),IF(Header!$D$34="","?",$AD708*Header!$D$34),"")</f>
      </c>
      <c r="AS708" s="39">
        <f>IF(ISNUMBER($AB708),IF(Header!$D$34="","?",$AB708*Header!$D$34),"")</f>
      </c>
      <c r="AT708" s="42">
        <f>IF(AND(ISNUMBER($AB708),$M708&gt;0),$AB708/$M708*100,"")</f>
      </c>
      <c r="AU708" s="42">
        <f>IF(AND(ISNUMBER($AD708),$M708&gt;0),$AD708/$M708*100,"")</f>
      </c>
      <c r="AV708" s="40">
        <f>IF(AND(ISNUMBER($AB708),ISNUMBER($AD708),ABS($AB708)&gt;0),$AD708/$AB708,"")</f>
      </c>
      <c r="AW708" s="39">
        <f>IF(ISNUMBER($AD708),MAX(0,(1-0.55-Header!$O$3)*Header!$Q$3*$AQ708),"")</f>
      </c>
      <c r="AX708" s="43">
        <f>IF($A708="","",IF(TRIM(IF($A708="","Missing certificate ref. ","") &amp; IF($C708="","Missing effective date. ","") &amp; IF($D708="","Missing binding status. ","") &amp; IF($E708="","Missing movement type. ","") &amp; IF($I708="","Missing make. ","") &amp; IF($L708="","Missing vehicle class. ","") &amp; IF($M708="","Missing agreed value. ","") &amp; IF($N708="","Missing policy type. ","") &amp; IF($Q708="","Missing garaging state. ","") &amp; IF($R708="","Missing garaging ZIP. ","") &amp; IF($S708="","Missing cat zone. ","") &amp; IF($V708="","Missing valuation basis. ","") &amp; IF($W708="","Missing PD deductible. ","") &amp; IF($X708="","Missing liability limit. ","") &amp; IF($AB708="","Missing technical premium. ","") &amp; IF($AF708="","Missing surplus lines tax %. ",""))="","PASS","FAIL: "&amp;TRIM(IF($A708="","Missing certificate ref. ","") &amp; IF($C708="","Missing effective date. ","") &amp; IF($D708="","Missing binding status. ","") &amp; IF($E708="","Missing movement type. ","") &amp; IF($I708="","Missing make. ","") &amp; IF($L708="","Missing vehicle class. ","") &amp; IF($M708="","Missing agreed value. ","") &amp; IF($N708="","Missing policy type. ","") &amp; IF($Q708="","Missing garaging state. ","") &amp; IF($R708="","Missing garaging ZIP. ","") &amp; IF($S708="","Missing cat zone. ","") &amp; IF($V708="","Missing valuation basis. ","") &amp; IF($W708="","Missing PD deductible. ","") &amp; IF($X708="","Missing liability limit. ","") &amp; IF($AB708="","Missing technical premium. ","") &amp; IF($AF708="","Missing surplus lines tax %. ",""))))</f>
      </c>
      <c r="AY708" s="44">
        <f>IF($M708="","",IF(ISNUMBER($M708),IF($M708&gt;=Header!$C$18,"YES — refer","No"),""))</f>
      </c>
      <c r="AZ708" s="44">
        <f>IF($AD708="","",IF(ISNUMBER($AD708),IF($AD708&lt;Header!$C$20,"BELOW MIN PREMIUM","OK"),""))</f>
      </c>
      <c r="BA708" s="48" t="inlineStr">
        <is>
          <t xml:space="preserve">Yes</t>
        </is>
      </c>
      <c r="BB708" s="48" t="inlineStr">
        <is>
          <t xml:space="preserve">Yes</t>
        </is>
      </c>
      <c r="BC708" s="46" t="inlineStr">
        <is>
          <t xml:space="preserve">Synthetic demo data</t>
        </is>
      </c>
      <c r="BE708" s="45">
        <f>IF(OR($A708="",$L708="",$H708=""),"",IF(AND(LEFT($L708,2)="06",$H708&gt;1945),"FAIL - pre-war class, year "&amp;$H708,IF(AND(LEFT($L708,2)="07",OR($H708&lt;1946,$H708&gt;1972)),"FAIL - 1946-72 class, year "&amp;$H708,IF(AND(LEFT($L708,2)="08",OR($H708&lt;1973,$H708&gt;1999)),"FAIL - 1973-99 class, year "&amp;$H708,IF(AND(LEFT($L708,2)="09",OR($H708&lt;2000,$H708&gt;2010)),"FAIL - 2000-10 class, year "&amp;$H708,"OK")))))</f>
      </c>
      <c r="BF708" s="45">
        <f>IF($AD708="","",IF(ROUND($AO708+$AP708+$AQ708-$AD708,2)=0,"OK","FAIL - out by "&amp;TEXT($AO708+$AP708+$AQ708-$AD708,"$0.00")))</f>
      </c>
    </row>
    <row r="709" spans="1:58" ht="18.75" customHeight="1" x14ac:dyDescent="0.25">
      <c r="A709" s="30" t="inlineStr">
        <is>
          <t xml:space="preserve">CANON-202606-009375</t>
        </is>
      </c>
      <c r="B709" s="30" t="inlineStr">
        <is>
          <t xml:space="preserve">Lorenzo Larsson</t>
        </is>
      </c>
      <c r="C709" s="31">
        <v>46191</v>
      </c>
      <c r="D709" s="32" t="inlineStr">
        <is>
          <t xml:space="preserve">Bound - within authority</t>
        </is>
      </c>
      <c r="E709" s="32" t="inlineStr">
        <is>
          <t xml:space="preserve">New business</t>
        </is>
      </c>
      <c r="F709" s="30" t="inlineStr">
        <is>
          <t xml:space="preserve">B1234EXOTIC26</t>
        </is>
      </c>
      <c r="G709" s="33">
        <f>IF($A709="","",IF($C709="","",YEAR($C709)))</f>
      </c>
      <c r="H709" s="34">
        <v>1961</v>
      </c>
      <c r="I709" s="30" t="inlineStr">
        <is>
          <t xml:space="preserve">Maserati</t>
        </is>
      </c>
      <c r="J709" s="30" t="inlineStr">
        <is>
          <t xml:space="preserve">GranTurismo</t>
        </is>
      </c>
      <c r="K709" s="30" t="inlineStr">
        <is>
          <t xml:space="preserve">2T19B2NT6T05EGL4P</t>
        </is>
      </c>
      <c r="L709" s="32" t="inlineStr">
        <is>
          <t xml:space="preserve">02 - Sports / GT</t>
        </is>
      </c>
      <c r="M709" s="35">
        <v>160000</v>
      </c>
      <c r="N709" s="32" t="inlineStr">
        <is>
          <t xml:space="preserve">Personal</t>
        </is>
      </c>
      <c r="O709" s="30" t="inlineStr">
        <is>
          <t xml:space="preserve">Personal - regular use</t>
        </is>
      </c>
      <c r="P709" s="30" t="inlineStr">
        <is>
          <t xml:space="preserve">Under 1,000</t>
        </is>
      </c>
      <c r="Q709" s="30" t="inlineStr">
        <is>
          <t xml:space="preserve">Texas</t>
        </is>
      </c>
      <c r="R709" s="30" t="inlineStr">
        <is>
          <t xml:space="preserve">75201</t>
        </is>
      </c>
      <c r="S709" s="32" t="inlineStr">
        <is>
          <t xml:space="preserve">Tier 2 - Coastal wind (1-25 miles)</t>
        </is>
      </c>
      <c r="T709" s="36">
        <f>IF($A709="","",IF($S709="","",IFERROR(INDEX('[1]natural catastrophe'!$D$6:$D$17,MATCH($S709,'[1]natural catastrophe'!$B$6:$B$17,0)),"?")))</f>
      </c>
      <c r="U709" s="30" t="inlineStr">
        <is>
          <t xml:space="preserve">2% of agreed value, minimum $10,000</t>
        </is>
      </c>
      <c r="V709" s="32" t="inlineStr">
        <is>
          <t xml:space="preserve">Agreed Value</t>
        </is>
      </c>
      <c r="W709" s="30" t="inlineStr">
        <is>
          <t xml:space="preserve">$1,000</t>
        </is>
      </c>
      <c r="X709" s="32" t="inlineStr">
        <is>
          <t xml:space="preserve">$1,000,000 CSL</t>
        </is>
      </c>
      <c r="Y709" s="30"/>
      <c r="Z709" s="30"/>
      <c r="AA709" s="32" t="inlineStr">
        <is>
          <t xml:space="preserve">Surplus Lines</t>
        </is>
      </c>
      <c r="AB709" s="35">
        <v>2442.74</v>
      </c>
      <c r="AC709" s="37">
        <v>0</v>
      </c>
      <c r="AD709" s="38">
        <f>IF(ISNUMBER($AB709),$AB709*(1+N($AC709)),"")</f>
      </c>
      <c r="AE709" s="35">
        <v>350</v>
      </c>
      <c r="AF709" s="35">
        <v>0</v>
      </c>
      <c r="AG709" s="37"/>
      <c r="AH709" s="39">
        <f>IF(ISNUMBER($AD709),($AD709+$AE709+$AF709)*$AG709,"")</f>
      </c>
      <c r="AI709" s="35"/>
      <c r="AJ709" s="38">
        <f>IF(ISNUMBER($AD709),SUM($AD709:$AH709),"")</f>
      </c>
      <c r="AK709" s="40">
        <f>IF(AND(ISNUMBER($AB709),ISNUMBER($AD709)),IF($AB709&gt;0,$AD709/$AB709,""),"")</f>
      </c>
      <c r="AL709" s="32" t="inlineStr">
        <is>
          <t xml:space="preserve">At technical</t>
        </is>
      </c>
      <c r="AM709" s="41">
        <f>IF(ISNUMBER($AD709),Header!$I$3,"")</f>
      </c>
      <c r="AN709" s="39">
        <f>IF(ISNUMBER($AD709),$AO709+$AP709,"")</f>
      </c>
      <c r="AO709" s="39">
        <f>IF(ISNUMBER($AD709),ROUND($AD709*Header!$K$3,2),"")</f>
      </c>
      <c r="AP709" s="39">
        <f>IF(ISNUMBER($AD709),ROUND($AD709*Header!$M$3,2),"")</f>
      </c>
      <c r="AQ709" s="38">
        <f>IF(ISNUMBER($AD709),ROUND($AD709,2)-$AO709-$AP709,"")</f>
      </c>
      <c r="AR709" s="39">
        <f>IF(ISNUMBER($AD709),IF(Header!$D$34="","?",$AD709*Header!$D$34),"")</f>
      </c>
      <c r="AS709" s="39">
        <f>IF(ISNUMBER($AB709),IF(Header!$D$34="","?",$AB709*Header!$D$34),"")</f>
      </c>
      <c r="AT709" s="42">
        <f>IF(AND(ISNUMBER($AB709),$M709&gt;0),$AB709/$M709*100,"")</f>
      </c>
      <c r="AU709" s="42">
        <f>IF(AND(ISNUMBER($AD709),$M709&gt;0),$AD709/$M709*100,"")</f>
      </c>
      <c r="AV709" s="40">
        <f>IF(AND(ISNUMBER($AB709),ISNUMBER($AD709),ABS($AB709)&gt;0),$AD709/$AB709,"")</f>
      </c>
      <c r="AW709" s="39">
        <f>IF(ISNUMBER($AD709),MAX(0,(1-0.55-Header!$O$3)*Header!$Q$3*$AQ709),"")</f>
      </c>
      <c r="AX709" s="43">
        <f>IF($A709="","",IF(TRIM(IF($A709="","Missing certificate ref. ","") &amp; IF($C709="","Missing effective date. ","") &amp; IF($D709="","Missing binding status. ","") &amp; IF($E709="","Missing movement type. ","") &amp; IF($I709="","Missing make. ","") &amp; IF($L709="","Missing vehicle class. ","") &amp; IF($M709="","Missing agreed value. ","") &amp; IF($N709="","Missing policy type. ","") &amp; IF($Q709="","Missing garaging state. ","") &amp; IF($R709="","Missing garaging ZIP. ","") &amp; IF($S709="","Missing cat zone. ","") &amp; IF($V709="","Missing valuation basis. ","") &amp; IF($W709="","Missing PD deductible. ","") &amp; IF($X709="","Missing liability limit. ","") &amp; IF($AB709="","Missing technical premium. ","") &amp; IF($AF709="","Missing surplus lines tax %. ",""))="","PASS","FAIL: "&amp;TRIM(IF($A709="","Missing certificate ref. ","") &amp; IF($C709="","Missing effective date. ","") &amp; IF($D709="","Missing binding status. ","") &amp; IF($E709="","Missing movement type. ","") &amp; IF($I709="","Missing make. ","") &amp; IF($L709="","Missing vehicle class. ","") &amp; IF($M709="","Missing agreed value. ","") &amp; IF($N709="","Missing policy type. ","") &amp; IF($Q709="","Missing garaging state. ","") &amp; IF($R709="","Missing garaging ZIP. ","") &amp; IF($S709="","Missing cat zone. ","") &amp; IF($V709="","Missing valuation basis. ","") &amp; IF($W709="","Missing PD deductible. ","") &amp; IF($X709="","Missing liability limit. ","") &amp; IF($AB709="","Missing technical premium. ","") &amp; IF($AF709="","Missing surplus lines tax %. ",""))))</f>
      </c>
      <c r="AY709" s="44">
        <f>IF($M709="","",IF(ISNUMBER($M709),IF($M709&gt;=Header!$C$18,"YES — refer","No"),""))</f>
      </c>
      <c r="AZ709" s="44">
        <f>IF($AD709="","",IF(ISNUMBER($AD709),IF($AD709&lt;Header!$C$20,"BELOW MIN PREMIUM","OK"),""))</f>
      </c>
      <c r="BA709" s="32" t="inlineStr">
        <is>
          <t xml:space="preserve">Yes</t>
        </is>
      </c>
      <c r="BB709" s="32" t="inlineStr">
        <is>
          <t xml:space="preserve">Yes</t>
        </is>
      </c>
      <c r="BC709" s="30" t="inlineStr">
        <is>
          <t xml:space="preserve">Synthetic demo data</t>
        </is>
      </c>
      <c r="BE709" s="45">
        <f>IF(OR($A709="",$L709="",$H709=""),"",IF(AND(LEFT($L709,2)="06",$H709&gt;1945),"FAIL - pre-war class, year "&amp;$H709,IF(AND(LEFT($L709,2)="07",OR($H709&lt;1946,$H709&gt;1972)),"FAIL - 1946-72 class, year "&amp;$H709,IF(AND(LEFT($L709,2)="08",OR($H709&lt;1973,$H709&gt;1999)),"FAIL - 1973-99 class, year "&amp;$H709,IF(AND(LEFT($L709,2)="09",OR($H709&lt;2000,$H709&gt;2010)),"FAIL - 2000-10 class, year "&amp;$H709,"OK")))))</f>
      </c>
      <c r="BF709" s="45">
        <f>IF($AD709="","",IF(ROUND($AO709+$AP709+$AQ709-$AD709,2)=0,"OK","FAIL - out by "&amp;TEXT($AO709+$AP709+$AQ709-$AD709,"$0.00")))</f>
      </c>
    </row>
    <row r="710" spans="1:58" ht="18.75" customHeight="1" x14ac:dyDescent="0.25">
      <c r="A710" s="46" t="inlineStr">
        <is>
          <t xml:space="preserve">CANON-202606-009376</t>
        </is>
      </c>
      <c r="B710" s="46" t="inlineStr">
        <is>
          <t xml:space="preserve">Delphine Rourke</t>
        </is>
      </c>
      <c r="C710" s="47">
        <v>46176</v>
      </c>
      <c r="D710" s="48" t="inlineStr">
        <is>
          <t xml:space="preserve">Bound - within authority</t>
        </is>
      </c>
      <c r="E710" s="48" t="inlineStr">
        <is>
          <t xml:space="preserve">New business</t>
        </is>
      </c>
      <c r="F710" s="46" t="inlineStr">
        <is>
          <t xml:space="preserve">B1234EXOTIC26</t>
        </is>
      </c>
      <c r="G710" s="33">
        <f>IF($A710="","",IF($C710="","",YEAR($C710)))</f>
      </c>
      <c r="H710" s="49">
        <v>1973</v>
      </c>
      <c r="I710" s="46" t="inlineStr">
        <is>
          <t xml:space="preserve">Porsche</t>
        </is>
      </c>
      <c r="J710" s="46" t="inlineStr">
        <is>
          <t xml:space="preserve">911 Turbo S</t>
        </is>
      </c>
      <c r="K710" s="46" t="inlineStr">
        <is>
          <t xml:space="preserve">BSWX5JT9H5CHZPTKD</t>
        </is>
      </c>
      <c r="L710" s="48" t="inlineStr">
        <is>
          <t xml:space="preserve">02 - Sports / GT</t>
        </is>
      </c>
      <c r="M710" s="50">
        <v>905000</v>
      </c>
      <c r="N710" s="48" t="inlineStr">
        <is>
          <t xml:space="preserve">Personal</t>
        </is>
      </c>
      <c r="O710" s="46" t="inlineStr">
        <is>
          <t xml:space="preserve">Personal - regular use</t>
        </is>
      </c>
      <c r="P710" s="46" t="inlineStr">
        <is>
          <t xml:space="preserve">1,000 - 2,500</t>
        </is>
      </c>
      <c r="Q710" s="46" t="inlineStr">
        <is>
          <t xml:space="preserve">Utah</t>
        </is>
      </c>
      <c r="R710" s="46" t="inlineStr">
        <is>
          <t xml:space="preserve">84101</t>
        </is>
      </c>
      <c r="S710" s="48" t="inlineStr">
        <is>
          <t xml:space="preserve">Wildfire - WUI high hazard</t>
        </is>
      </c>
      <c r="T710" s="36">
        <f>IF($A710="","",IF($S710="","",IFERROR(INDEX('[1]natural catastrophe'!$D$6:$D$17,MATCH($S710,'[1]natural catastrophe'!$B$6:$B$17,0)),"?")))</f>
      </c>
      <c r="U710" s="46" t="inlineStr">
        <is>
          <t xml:space="preserve">$5,000</t>
        </is>
      </c>
      <c r="V710" s="48" t="inlineStr">
        <is>
          <t xml:space="preserve">Agreed Value</t>
        </is>
      </c>
      <c r="W710" s="46" t="inlineStr">
        <is>
          <t xml:space="preserve">$1,000</t>
        </is>
      </c>
      <c r="X710" s="48" t="inlineStr">
        <is>
          <t xml:space="preserve">$1,000,000 CSL</t>
        </is>
      </c>
      <c r="Y710" s="46"/>
      <c r="Z710" s="46"/>
      <c r="AA710" s="48" t="inlineStr">
        <is>
          <t xml:space="preserve">Surplus Lines</t>
        </is>
      </c>
      <c r="AB710" s="50">
        <v>11459.56</v>
      </c>
      <c r="AC710" s="51">
        <v>0</v>
      </c>
      <c r="AD710" s="38">
        <f>IF(ISNUMBER($AB710),$AB710*(1+N($AC710)),"")</f>
      </c>
      <c r="AE710" s="50">
        <v>350</v>
      </c>
      <c r="AF710" s="50">
        <v>0</v>
      </c>
      <c r="AG710" s="51"/>
      <c r="AH710" s="39">
        <f>IF(ISNUMBER($AD710),($AD710+$AE710+$AF710)*$AG710,"")</f>
      </c>
      <c r="AI710" s="50"/>
      <c r="AJ710" s="38">
        <f>IF(ISNUMBER($AD710),SUM($AD710:$AH710),"")</f>
      </c>
      <c r="AK710" s="40">
        <f>IF(AND(ISNUMBER($AB710),ISNUMBER($AD710)),IF($AB710&gt;0,$AD710/$AB710,""),"")</f>
      </c>
      <c r="AL710" s="48" t="inlineStr">
        <is>
          <t xml:space="preserve">At technical</t>
        </is>
      </c>
      <c r="AM710" s="41">
        <f>IF(ISNUMBER($AD710),Header!$I$3,"")</f>
      </c>
      <c r="AN710" s="39">
        <f>IF(ISNUMBER($AD710),$AO710+$AP710,"")</f>
      </c>
      <c r="AO710" s="39">
        <f>IF(ISNUMBER($AD710),ROUND($AD710*Header!$K$3,2),"")</f>
      </c>
      <c r="AP710" s="39">
        <f>IF(ISNUMBER($AD710),ROUND($AD710*Header!$M$3,2),"")</f>
      </c>
      <c r="AQ710" s="38">
        <f>IF(ISNUMBER($AD710),ROUND($AD710,2)-$AO710-$AP710,"")</f>
      </c>
      <c r="AR710" s="39">
        <f>IF(ISNUMBER($AD710),IF(Header!$D$34="","?",$AD710*Header!$D$34),"")</f>
      </c>
      <c r="AS710" s="39">
        <f>IF(ISNUMBER($AB710),IF(Header!$D$34="","?",$AB710*Header!$D$34),"")</f>
      </c>
      <c r="AT710" s="42">
        <f>IF(AND(ISNUMBER($AB710),$M710&gt;0),$AB710/$M710*100,"")</f>
      </c>
      <c r="AU710" s="42">
        <f>IF(AND(ISNUMBER($AD710),$M710&gt;0),$AD710/$M710*100,"")</f>
      </c>
      <c r="AV710" s="40">
        <f>IF(AND(ISNUMBER($AB710),ISNUMBER($AD710),ABS($AB710)&gt;0),$AD710/$AB710,"")</f>
      </c>
      <c r="AW710" s="39">
        <f>IF(ISNUMBER($AD710),MAX(0,(1-0.55-Header!$O$3)*Header!$Q$3*$AQ710),"")</f>
      </c>
      <c r="AX710" s="43">
        <f>IF($A710="","",IF(TRIM(IF($A710="","Missing certificate ref. ","") &amp; IF($C710="","Missing effective date. ","") &amp; IF($D710="","Missing binding status. ","") &amp; IF($E710="","Missing movement type. ","") &amp; IF($I710="","Missing make. ","") &amp; IF($L710="","Missing vehicle class. ","") &amp; IF($M710="","Missing agreed value. ","") &amp; IF($N710="","Missing policy type. ","") &amp; IF($Q710="","Missing garaging state. ","") &amp; IF($R710="","Missing garaging ZIP. ","") &amp; IF($S710="","Missing cat zone. ","") &amp; IF($V710="","Missing valuation basis. ","") &amp; IF($W710="","Missing PD deductible. ","") &amp; IF($X710="","Missing liability limit. ","") &amp; IF($AB710="","Missing technical premium. ","") &amp; IF($AF710="","Missing surplus lines tax %. ",""))="","PASS","FAIL: "&amp;TRIM(IF($A710="","Missing certificate ref. ","") &amp; IF($C710="","Missing effective date. ","") &amp; IF($D710="","Missing binding status. ","") &amp; IF($E710="","Missing movement type. ","") &amp; IF($I710="","Missing make. ","") &amp; IF($L710="","Missing vehicle class. ","") &amp; IF($M710="","Missing agreed value. ","") &amp; IF($N710="","Missing policy type. ","") &amp; IF($Q710="","Missing garaging state. ","") &amp; IF($R710="","Missing garaging ZIP. ","") &amp; IF($S710="","Missing cat zone. ","") &amp; IF($V710="","Missing valuation basis. ","") &amp; IF($W710="","Missing PD deductible. ","") &amp; IF($X710="","Missing liability limit. ","") &amp; IF($AB710="","Missing technical premium. ","") &amp; IF($AF710="","Missing surplus lines tax %. ",""))))</f>
      </c>
      <c r="AY710" s="44">
        <f>IF($M710="","",IF(ISNUMBER($M710),IF($M710&gt;=Header!$C$18,"YES — refer","No"),""))</f>
      </c>
      <c r="AZ710" s="44">
        <f>IF($AD710="","",IF(ISNUMBER($AD710),IF($AD710&lt;Header!$C$20,"BELOW MIN PREMIUM","OK"),""))</f>
      </c>
      <c r="BA710" s="48" t="inlineStr">
        <is>
          <t xml:space="preserve">Yes</t>
        </is>
      </c>
      <c r="BB710" s="48" t="inlineStr">
        <is>
          <t xml:space="preserve">Yes</t>
        </is>
      </c>
      <c r="BC710" s="46" t="inlineStr">
        <is>
          <t xml:space="preserve">Synthetic demo data</t>
        </is>
      </c>
      <c r="BE710" s="45">
        <f>IF(OR($A710="",$L710="",$H710=""),"",IF(AND(LEFT($L710,2)="06",$H710&gt;1945),"FAIL - pre-war class, year "&amp;$H710,IF(AND(LEFT($L710,2)="07",OR($H710&lt;1946,$H710&gt;1972)),"FAIL - 1946-72 class, year "&amp;$H710,IF(AND(LEFT($L710,2)="08",OR($H710&lt;1973,$H710&gt;1999)),"FAIL - 1973-99 class, year "&amp;$H710,IF(AND(LEFT($L710,2)="09",OR($H710&lt;2000,$H710&gt;2010)),"FAIL - 2000-10 class, year "&amp;$H710,"OK")))))</f>
      </c>
      <c r="BF710" s="45">
        <f>IF($AD710="","",IF(ROUND($AO710+$AP710+$AQ710-$AD710,2)=0,"OK","FAIL - out by "&amp;TEXT($AO710+$AP710+$AQ710-$AD710,"$0.00")))</f>
      </c>
    </row>
    <row r="711" spans="1:58" ht="18.75" customHeight="1" x14ac:dyDescent="0.25">
      <c r="A711" s="30" t="inlineStr">
        <is>
          <t xml:space="preserve">CANON-202606-009377</t>
        </is>
      </c>
      <c r="B711" s="30" t="inlineStr">
        <is>
          <t xml:space="preserve">Ottilie Merriweather</t>
        </is>
      </c>
      <c r="C711" s="31">
        <v>46183</v>
      </c>
      <c r="D711" s="32" t="inlineStr">
        <is>
          <t xml:space="preserve">Bound - within authority</t>
        </is>
      </c>
      <c r="E711" s="32" t="inlineStr">
        <is>
          <t xml:space="preserve">New business</t>
        </is>
      </c>
      <c r="F711" s="30" t="inlineStr">
        <is>
          <t xml:space="preserve">B1234EXOTIC26</t>
        </is>
      </c>
      <c r="G711" s="33">
        <f>IF($A711="","",IF($C711="","",YEAR($C711)))</f>
      </c>
      <c r="H711" s="34">
        <v>1961</v>
      </c>
      <c r="I711" s="30" t="inlineStr">
        <is>
          <t xml:space="preserve">Singer</t>
        </is>
      </c>
      <c r="J711" s="30" t="inlineStr">
        <is>
          <t xml:space="preserve">911 Reimagined</t>
        </is>
      </c>
      <c r="K711" s="30" t="inlineStr">
        <is>
          <t xml:space="preserve">WYKVRLA46MP97B1KR</t>
        </is>
      </c>
      <c r="L711" s="32" t="inlineStr">
        <is>
          <t xml:space="preserve">11 - Restomod / Coachbuilt / Bespoke</t>
        </is>
      </c>
      <c r="M711" s="35">
        <v>1440000</v>
      </c>
      <c r="N711" s="32" t="inlineStr">
        <is>
          <t xml:space="preserve">Personal</t>
        </is>
      </c>
      <c r="O711" s="30" t="inlineStr">
        <is>
          <t xml:space="preserve">Personal - regular use</t>
        </is>
      </c>
      <c r="P711" s="30" t="inlineStr">
        <is>
          <t xml:space="preserve">2,500 - 5,000</t>
        </is>
      </c>
      <c r="Q711" s="30" t="inlineStr">
        <is>
          <t xml:space="preserve">Utah</t>
        </is>
      </c>
      <c r="R711" s="30" t="inlineStr">
        <is>
          <t xml:space="preserve">84101</t>
        </is>
      </c>
      <c r="S711" s="32" t="inlineStr">
        <is>
          <t xml:space="preserve">Wildfire - WUI high hazard</t>
        </is>
      </c>
      <c r="T711" s="36">
        <f>IF($A711="","",IF($S711="","",IFERROR(INDEX('[1]natural catastrophe'!$D$6:$D$17,MATCH($S711,'[1]natural catastrophe'!$B$6:$B$17,0)),"?")))</f>
      </c>
      <c r="U711" s="30" t="inlineStr">
        <is>
          <t xml:space="preserve">$5,000</t>
        </is>
      </c>
      <c r="V711" s="32" t="inlineStr">
        <is>
          <t xml:space="preserve">Agreed Value</t>
        </is>
      </c>
      <c r="W711" s="30" t="inlineStr">
        <is>
          <t xml:space="preserve">$1,000</t>
        </is>
      </c>
      <c r="X711" s="32" t="inlineStr">
        <is>
          <t xml:space="preserve">$1,000,000 CSL</t>
        </is>
      </c>
      <c r="Y711" s="30"/>
      <c r="Z711" s="30"/>
      <c r="AA711" s="32" t="inlineStr">
        <is>
          <t xml:space="preserve">Surplus Lines</t>
        </is>
      </c>
      <c r="AB711" s="35">
        <v>19075.56</v>
      </c>
      <c r="AC711" s="37">
        <v>0</v>
      </c>
      <c r="AD711" s="38">
        <f>IF(ISNUMBER($AB711),$AB711*(1+N($AC711)),"")</f>
      </c>
      <c r="AE711" s="35">
        <v>350</v>
      </c>
      <c r="AF711" s="35">
        <v>250</v>
      </c>
      <c r="AG711" s="37"/>
      <c r="AH711" s="39">
        <f>IF(ISNUMBER($AD711),($AD711+$AE711+$AF711)*$AG711,"")</f>
      </c>
      <c r="AI711" s="35"/>
      <c r="AJ711" s="38">
        <f>IF(ISNUMBER($AD711),SUM($AD711:$AH711),"")</f>
      </c>
      <c r="AK711" s="40">
        <f>IF(AND(ISNUMBER($AB711),ISNUMBER($AD711)),IF($AB711&gt;0,$AD711/$AB711,""),"")</f>
      </c>
      <c r="AL711" s="32" t="inlineStr">
        <is>
          <t xml:space="preserve">At technical</t>
        </is>
      </c>
      <c r="AM711" s="41">
        <f>IF(ISNUMBER($AD711),Header!$I$3,"")</f>
      </c>
      <c r="AN711" s="39">
        <f>IF(ISNUMBER($AD711),$AO711+$AP711,"")</f>
      </c>
      <c r="AO711" s="39">
        <f>IF(ISNUMBER($AD711),ROUND($AD711*Header!$K$3,2),"")</f>
      </c>
      <c r="AP711" s="39">
        <f>IF(ISNUMBER($AD711),ROUND($AD711*Header!$M$3,2),"")</f>
      </c>
      <c r="AQ711" s="38">
        <f>IF(ISNUMBER($AD711),ROUND($AD711,2)-$AO711-$AP711,"")</f>
      </c>
      <c r="AR711" s="39">
        <f>IF(ISNUMBER($AD711),IF(Header!$D$34="","?",$AD711*Header!$D$34),"")</f>
      </c>
      <c r="AS711" s="39">
        <f>IF(ISNUMBER($AB711),IF(Header!$D$34="","?",$AB711*Header!$D$34),"")</f>
      </c>
      <c r="AT711" s="42">
        <f>IF(AND(ISNUMBER($AB711),$M711&gt;0),$AB711/$M711*100,"")</f>
      </c>
      <c r="AU711" s="42">
        <f>IF(AND(ISNUMBER($AD711),$M711&gt;0),$AD711/$M711*100,"")</f>
      </c>
      <c r="AV711" s="40">
        <f>IF(AND(ISNUMBER($AB711),ISNUMBER($AD711),ABS($AB711)&gt;0),$AD711/$AB711,"")</f>
      </c>
      <c r="AW711" s="39">
        <f>IF(ISNUMBER($AD711),MAX(0,(1-0.55-Header!$O$3)*Header!$Q$3*$AQ711),"")</f>
      </c>
      <c r="AX711" s="43">
        <f>IF($A711="","",IF(TRIM(IF($A711="","Missing certificate ref. ","") &amp; IF($C711="","Missing effective date. ","") &amp; IF($D711="","Missing binding status. ","") &amp; IF($E711="","Missing movement type. ","") &amp; IF($I711="","Missing make. ","") &amp; IF($L711="","Missing vehicle class. ","") &amp; IF($M711="","Missing agreed value. ","") &amp; IF($N711="","Missing policy type. ","") &amp; IF($Q711="","Missing garaging state. ","") &amp; IF($R711="","Missing garaging ZIP. ","") &amp; IF($S711="","Missing cat zone. ","") &amp; IF($V711="","Missing valuation basis. ","") &amp; IF($W711="","Missing PD deductible. ","") &amp; IF($X711="","Missing liability limit. ","") &amp; IF($AB711="","Missing technical premium. ","") &amp; IF($AF711="","Missing surplus lines tax %. ",""))="","PASS","FAIL: "&amp;TRIM(IF($A711="","Missing certificate ref. ","") &amp; IF($C711="","Missing effective date. ","") &amp; IF($D711="","Missing binding status. ","") &amp; IF($E711="","Missing movement type. ","") &amp; IF($I711="","Missing make. ","") &amp; IF($L711="","Missing vehicle class. ","") &amp; IF($M711="","Missing agreed value. ","") &amp; IF($N711="","Missing policy type. ","") &amp; IF($Q711="","Missing garaging state. ","") &amp; IF($R711="","Missing garaging ZIP. ","") &amp; IF($S711="","Missing cat zone. ","") &amp; IF($V711="","Missing valuation basis. ","") &amp; IF($W711="","Missing PD deductible. ","") &amp; IF($X711="","Missing liability limit. ","") &amp; IF($AB711="","Missing technical premium. ","") &amp; IF($AF711="","Missing surplus lines tax %. ",""))))</f>
      </c>
      <c r="AY711" s="44">
        <f>IF($M711="","",IF(ISNUMBER($M711),IF($M711&gt;=Header!$C$18,"YES — refer","No"),""))</f>
      </c>
      <c r="AZ711" s="44">
        <f>IF($AD711="","",IF(ISNUMBER($AD711),IF($AD711&lt;Header!$C$20,"BELOW MIN PREMIUM","OK"),""))</f>
      </c>
      <c r="BA711" s="32" t="inlineStr">
        <is>
          <t xml:space="preserve">Yes</t>
        </is>
      </c>
      <c r="BB711" s="32" t="inlineStr">
        <is>
          <t xml:space="preserve">Yes</t>
        </is>
      </c>
      <c r="BC711" s="30" t="inlineStr">
        <is>
          <t xml:space="preserve">Synthetic demo data</t>
        </is>
      </c>
      <c r="BE711" s="45">
        <f>IF(OR($A711="",$L711="",$H711=""),"",IF(AND(LEFT($L711,2)="06",$H711&gt;1945),"FAIL - pre-war class, year "&amp;$H711,IF(AND(LEFT($L711,2)="07",OR($H711&lt;1946,$H711&gt;1972)),"FAIL - 1946-72 class, year "&amp;$H711,IF(AND(LEFT($L711,2)="08",OR($H711&lt;1973,$H711&gt;1999)),"FAIL - 1973-99 class, year "&amp;$H711,IF(AND(LEFT($L711,2)="09",OR($H711&lt;2000,$H711&gt;2010)),"FAIL - 2000-10 class, year "&amp;$H711,"OK")))))</f>
      </c>
      <c r="BF711" s="45">
        <f>IF($AD711="","",IF(ROUND($AO711+$AP711+$AQ711-$AD711,2)=0,"OK","FAIL - out by "&amp;TEXT($AO711+$AP711+$AQ711-$AD711,"$0.00")))</f>
      </c>
    </row>
    <row r="712" spans="1:58" ht="18.75" customHeight="1" x14ac:dyDescent="0.25">
      <c r="A712" s="46" t="inlineStr">
        <is>
          <t xml:space="preserve">CANON-202606-009381</t>
        </is>
      </c>
      <c r="B712" s="46" t="inlineStr">
        <is>
          <t xml:space="preserve">Mireille Farkas</t>
        </is>
      </c>
      <c r="C712" s="47">
        <v>46175</v>
      </c>
      <c r="D712" s="48" t="inlineStr">
        <is>
          <t xml:space="preserve">Bound - within authority</t>
        </is>
      </c>
      <c r="E712" s="48" t="inlineStr">
        <is>
          <t xml:space="preserve">New business</t>
        </is>
      </c>
      <c r="F712" s="46" t="inlineStr">
        <is>
          <t xml:space="preserve">B1234EXOTIC26</t>
        </is>
      </c>
      <c r="G712" s="33">
        <f>IF($A712="","",IF($C712="","",YEAR($C712)))</f>
      </c>
      <c r="H712" s="49">
        <v>2003</v>
      </c>
      <c r="I712" s="46" t="inlineStr">
        <is>
          <t xml:space="preserve">Aston Martin</t>
        </is>
      </c>
      <c r="J712" s="46" t="inlineStr">
        <is>
          <t xml:space="preserve">DB12</t>
        </is>
      </c>
      <c r="K712" s="46" t="inlineStr">
        <is>
          <t xml:space="preserve">NZMKBK4UBA3JPYBKV</t>
        </is>
      </c>
      <c r="L712" s="48" t="inlineStr">
        <is>
          <t xml:space="preserve">02 - Sports / GT</t>
        </is>
      </c>
      <c r="M712" s="50">
        <v>390000</v>
      </c>
      <c r="N712" s="48" t="inlineStr">
        <is>
          <t xml:space="preserve">Personal</t>
        </is>
      </c>
      <c r="O712" s="46" t="inlineStr">
        <is>
          <t xml:space="preserve">Personal - regular use</t>
        </is>
      </c>
      <c r="P712" s="46" t="inlineStr">
        <is>
          <t xml:space="preserve">Under 1,000</t>
        </is>
      </c>
      <c r="Q712" s="46" t="inlineStr">
        <is>
          <t xml:space="preserve">Arizona</t>
        </is>
      </c>
      <c r="R712" s="46" t="inlineStr">
        <is>
          <t xml:space="preserve">85001</t>
        </is>
      </c>
      <c r="S712" s="48" t="inlineStr">
        <is>
          <t xml:space="preserve">Wildfire - WUI high hazard</t>
        </is>
      </c>
      <c r="T712" s="36">
        <f>IF($A712="","",IF($S712="","",IFERROR(INDEX('[1]natural catastrophe'!$D$6:$D$17,MATCH($S712,'[1]natural catastrophe'!$B$6:$B$17,0)),"?")))</f>
      </c>
      <c r="U712" s="46" t="inlineStr">
        <is>
          <t xml:space="preserve">$5,000</t>
        </is>
      </c>
      <c r="V712" s="48" t="inlineStr">
        <is>
          <t xml:space="preserve">Agreed Value</t>
        </is>
      </c>
      <c r="W712" s="46" t="inlineStr">
        <is>
          <t xml:space="preserve">$1,000</t>
        </is>
      </c>
      <c r="X712" s="48" t="inlineStr">
        <is>
          <t xml:space="preserve">$1,000,000 CSL</t>
        </is>
      </c>
      <c r="Y712" s="46"/>
      <c r="Z712" s="46"/>
      <c r="AA712" s="48" t="inlineStr">
        <is>
          <t xml:space="preserve">Surplus Lines</t>
        </is>
      </c>
      <c r="AB712" s="50">
        <v>4263.04</v>
      </c>
      <c r="AC712" s="51">
        <v>0</v>
      </c>
      <c r="AD712" s="38">
        <f>IF(ISNUMBER($AB712),$AB712*(1+N($AC712)),"")</f>
      </c>
      <c r="AE712" s="50">
        <v>350</v>
      </c>
      <c r="AF712" s="50">
        <v>0</v>
      </c>
      <c r="AG712" s="51"/>
      <c r="AH712" s="39">
        <f>IF(ISNUMBER($AD712),($AD712+$AE712+$AF712)*$AG712,"")</f>
      </c>
      <c r="AI712" s="50"/>
      <c r="AJ712" s="38">
        <f>IF(ISNUMBER($AD712),SUM($AD712:$AH712),"")</f>
      </c>
      <c r="AK712" s="40">
        <f>IF(AND(ISNUMBER($AB712),ISNUMBER($AD712)),IF($AB712&gt;0,$AD712/$AB712,""),"")</f>
      </c>
      <c r="AL712" s="48" t="inlineStr">
        <is>
          <t xml:space="preserve">At technical</t>
        </is>
      </c>
      <c r="AM712" s="41">
        <f>IF(ISNUMBER($AD712),Header!$I$3,"")</f>
      </c>
      <c r="AN712" s="39">
        <f>IF(ISNUMBER($AD712),$AO712+$AP712,"")</f>
      </c>
      <c r="AO712" s="39">
        <f>IF(ISNUMBER($AD712),ROUND($AD712*Header!$K$3,2),"")</f>
      </c>
      <c r="AP712" s="39">
        <f>IF(ISNUMBER($AD712),ROUND($AD712*Header!$M$3,2),"")</f>
      </c>
      <c r="AQ712" s="38">
        <f>IF(ISNUMBER($AD712),ROUND($AD712,2)-$AO712-$AP712,"")</f>
      </c>
      <c r="AR712" s="39">
        <f>IF(ISNUMBER($AD712),IF(Header!$D$34="","?",$AD712*Header!$D$34),"")</f>
      </c>
      <c r="AS712" s="39">
        <f>IF(ISNUMBER($AB712),IF(Header!$D$34="","?",$AB712*Header!$D$34),"")</f>
      </c>
      <c r="AT712" s="42">
        <f>IF(AND(ISNUMBER($AB712),$M712&gt;0),$AB712/$M712*100,"")</f>
      </c>
      <c r="AU712" s="42">
        <f>IF(AND(ISNUMBER($AD712),$M712&gt;0),$AD712/$M712*100,"")</f>
      </c>
      <c r="AV712" s="40">
        <f>IF(AND(ISNUMBER($AB712),ISNUMBER($AD712),ABS($AB712)&gt;0),$AD712/$AB712,"")</f>
      </c>
      <c r="AW712" s="39">
        <f>IF(ISNUMBER($AD712),MAX(0,(1-0.55-Header!$O$3)*Header!$Q$3*$AQ712),"")</f>
      </c>
      <c r="AX712" s="43">
        <f>IF($A712="","",IF(TRIM(IF($A712="","Missing certificate ref. ","") &amp; IF($C712="","Missing effective date. ","") &amp; IF($D712="","Missing binding status. ","") &amp; IF($E712="","Missing movement type. ","") &amp; IF($I712="","Missing make. ","") &amp; IF($L712="","Missing vehicle class. ","") &amp; IF($M712="","Missing agreed value. ","") &amp; IF($N712="","Missing policy type. ","") &amp; IF($Q712="","Missing garaging state. ","") &amp; IF($R712="","Missing garaging ZIP. ","") &amp; IF($S712="","Missing cat zone. ","") &amp; IF($V712="","Missing valuation basis. ","") &amp; IF($W712="","Missing PD deductible. ","") &amp; IF($X712="","Missing liability limit. ","") &amp; IF($AB712="","Missing technical premium. ","") &amp; IF($AF712="","Missing surplus lines tax %. ",""))="","PASS","FAIL: "&amp;TRIM(IF($A712="","Missing certificate ref. ","") &amp; IF($C712="","Missing effective date. ","") &amp; IF($D712="","Missing binding status. ","") &amp; IF($E712="","Missing movement type. ","") &amp; IF($I712="","Missing make. ","") &amp; IF($L712="","Missing vehicle class. ","") &amp; IF($M712="","Missing agreed value. ","") &amp; IF($N712="","Missing policy type. ","") &amp; IF($Q712="","Missing garaging state. ","") &amp; IF($R712="","Missing garaging ZIP. ","") &amp; IF($S712="","Missing cat zone. ","") &amp; IF($V712="","Missing valuation basis. ","") &amp; IF($W712="","Missing PD deductible. ","") &amp; IF($X712="","Missing liability limit. ","") &amp; IF($AB712="","Missing technical premium. ","") &amp; IF($AF712="","Missing surplus lines tax %. ",""))))</f>
      </c>
      <c r="AY712" s="44">
        <f>IF($M712="","",IF(ISNUMBER($M712),IF($M712&gt;=Header!$C$18,"YES — refer","No"),""))</f>
      </c>
      <c r="AZ712" s="44">
        <f>IF($AD712="","",IF(ISNUMBER($AD712),IF($AD712&lt;Header!$C$20,"BELOW MIN PREMIUM","OK"),""))</f>
      </c>
      <c r="BA712" s="48" t="inlineStr">
        <is>
          <t xml:space="preserve">Yes</t>
        </is>
      </c>
      <c r="BB712" s="48" t="inlineStr">
        <is>
          <t xml:space="preserve">Yes</t>
        </is>
      </c>
      <c r="BC712" s="46" t="inlineStr">
        <is>
          <t xml:space="preserve">Synthetic demo data</t>
        </is>
      </c>
      <c r="BE712" s="45">
        <f>IF(OR($A712="",$L712="",$H712=""),"",IF(AND(LEFT($L712,2)="06",$H712&gt;1945),"FAIL - pre-war class, year "&amp;$H712,IF(AND(LEFT($L712,2)="07",OR($H712&lt;1946,$H712&gt;1972)),"FAIL - 1946-72 class, year "&amp;$H712,IF(AND(LEFT($L712,2)="08",OR($H712&lt;1973,$H712&gt;1999)),"FAIL - 1973-99 class, year "&amp;$H712,IF(AND(LEFT($L712,2)="09",OR($H712&lt;2000,$H712&gt;2010)),"FAIL - 2000-10 class, year "&amp;$H712,"OK")))))</f>
      </c>
      <c r="BF712" s="45">
        <f>IF($AD712="","",IF(ROUND($AO712+$AP712+$AQ712-$AD712,2)=0,"OK","FAIL - out by "&amp;TEXT($AO712+$AP712+$AQ712-$AD712,"$0.00")))</f>
      </c>
    </row>
    <row r="713" spans="1:58" ht="18.75" customHeight="1" x14ac:dyDescent="0.25">
      <c r="A713" s="30" t="inlineStr">
        <is>
          <t xml:space="preserve">CANON-202606-009382</t>
        </is>
      </c>
      <c r="B713" s="30" t="inlineStr">
        <is>
          <t xml:space="preserve">Aurelio Merriweather</t>
        </is>
      </c>
      <c r="C713" s="31">
        <v>46182</v>
      </c>
      <c r="D713" s="32" t="inlineStr">
        <is>
          <t xml:space="preserve">Bound - within authority</t>
        </is>
      </c>
      <c r="E713" s="32" t="inlineStr">
        <is>
          <t xml:space="preserve">New business</t>
        </is>
      </c>
      <c r="F713" s="30" t="inlineStr">
        <is>
          <t xml:space="preserve">B1234EXOTIC26</t>
        </is>
      </c>
      <c r="G713" s="33">
        <f>IF($A713="","",IF($C713="","",YEAR($C713)))</f>
      </c>
      <c r="H713" s="34">
        <v>1986</v>
      </c>
      <c r="I713" s="30" t="inlineStr">
        <is>
          <t xml:space="preserve">Bentley</t>
        </is>
      </c>
      <c r="J713" s="30" t="inlineStr">
        <is>
          <t xml:space="preserve">4.5 Litre</t>
        </is>
      </c>
      <c r="K713" s="30" t="inlineStr">
        <is>
          <t xml:space="preserve">KVLW3RZ909YL531P4</t>
        </is>
      </c>
      <c r="L713" s="32" t="inlineStr">
        <is>
          <t xml:space="preserve">08 - Modern Classic (1973-1999)</t>
        </is>
      </c>
      <c r="M713" s="35">
        <v>600000</v>
      </c>
      <c r="N713" s="32" t="inlineStr">
        <is>
          <t xml:space="preserve">Personal</t>
        </is>
      </c>
      <c r="O713" s="30" t="inlineStr">
        <is>
          <t xml:space="preserve">Personal - regular use</t>
        </is>
      </c>
      <c r="P713" s="30" t="inlineStr">
        <is>
          <t xml:space="preserve">1,000 - 2,500</t>
        </is>
      </c>
      <c r="Q713" s="30" t="inlineStr">
        <is>
          <t xml:space="preserve">Washington</t>
        </is>
      </c>
      <c r="R713" s="30" t="inlineStr">
        <is>
          <t xml:space="preserve">98101</t>
        </is>
      </c>
      <c r="S713" s="32" t="inlineStr">
        <is>
          <t xml:space="preserve">Earthquake - high (CA, Cascadia, New Madrid)</t>
        </is>
      </c>
      <c r="T713" s="36">
        <f>IF($A713="","",IF($S713="","",IFERROR(INDEX('[1]natural catastrophe'!$D$6:$D$17,MATCH($S713,'[1]natural catastrophe'!$B$6:$B$17,0)),"?")))</f>
      </c>
      <c r="U713" s="30" t="inlineStr">
        <is>
          <t xml:space="preserve">$5,000</t>
        </is>
      </c>
      <c r="V713" s="32" t="inlineStr">
        <is>
          <t xml:space="preserve">Agreed Value</t>
        </is>
      </c>
      <c r="W713" s="30" t="inlineStr">
        <is>
          <t xml:space="preserve">$1,000</t>
        </is>
      </c>
      <c r="X713" s="32" t="inlineStr">
        <is>
          <t xml:space="preserve">$1,000,000 CSL</t>
        </is>
      </c>
      <c r="Y713" s="30"/>
      <c r="Z713" s="30"/>
      <c r="AA713" s="32" t="inlineStr">
        <is>
          <t xml:space="preserve">Surplus Lines</t>
        </is>
      </c>
      <c r="AB713" s="35">
        <v>3158.48</v>
      </c>
      <c r="AC713" s="37">
        <v>0</v>
      </c>
      <c r="AD713" s="38">
        <f>IF(ISNUMBER($AB713),$AB713*(1+N($AC713)),"")</f>
      </c>
      <c r="AE713" s="35">
        <v>350</v>
      </c>
      <c r="AF713" s="35">
        <v>0</v>
      </c>
      <c r="AG713" s="37"/>
      <c r="AH713" s="39">
        <f>IF(ISNUMBER($AD713),($AD713+$AE713+$AF713)*$AG713,"")</f>
      </c>
      <c r="AI713" s="35"/>
      <c r="AJ713" s="38">
        <f>IF(ISNUMBER($AD713),SUM($AD713:$AH713),"")</f>
      </c>
      <c r="AK713" s="40">
        <f>IF(AND(ISNUMBER($AB713),ISNUMBER($AD713)),IF($AB713&gt;0,$AD713/$AB713,""),"")</f>
      </c>
      <c r="AL713" s="32" t="inlineStr">
        <is>
          <t xml:space="preserve">At technical</t>
        </is>
      </c>
      <c r="AM713" s="41">
        <f>IF(ISNUMBER($AD713),Header!$I$3,"")</f>
      </c>
      <c r="AN713" s="39">
        <f>IF(ISNUMBER($AD713),$AO713+$AP713,"")</f>
      </c>
      <c r="AO713" s="39">
        <f>IF(ISNUMBER($AD713),ROUND($AD713*Header!$K$3,2),"")</f>
      </c>
      <c r="AP713" s="39">
        <f>IF(ISNUMBER($AD713),ROUND($AD713*Header!$M$3,2),"")</f>
      </c>
      <c r="AQ713" s="38">
        <f>IF(ISNUMBER($AD713),ROUND($AD713,2)-$AO713-$AP713,"")</f>
      </c>
      <c r="AR713" s="39">
        <f>IF(ISNUMBER($AD713),IF(Header!$D$34="","?",$AD713*Header!$D$34),"")</f>
      </c>
      <c r="AS713" s="39">
        <f>IF(ISNUMBER($AB713),IF(Header!$D$34="","?",$AB713*Header!$D$34),"")</f>
      </c>
      <c r="AT713" s="42">
        <f>IF(AND(ISNUMBER($AB713),$M713&gt;0),$AB713/$M713*100,"")</f>
      </c>
      <c r="AU713" s="42">
        <f>IF(AND(ISNUMBER($AD713),$M713&gt;0),$AD713/$M713*100,"")</f>
      </c>
      <c r="AV713" s="40">
        <f>IF(AND(ISNUMBER($AB713),ISNUMBER($AD713),ABS($AB713)&gt;0),$AD713/$AB713,"")</f>
      </c>
      <c r="AW713" s="39">
        <f>IF(ISNUMBER($AD713),MAX(0,(1-0.55-Header!$O$3)*Header!$Q$3*$AQ713),"")</f>
      </c>
      <c r="AX713" s="43">
        <f>IF($A713="","",IF(TRIM(IF($A713="","Missing certificate ref. ","") &amp; IF($C713="","Missing effective date. ","") &amp; IF($D713="","Missing binding status. ","") &amp; IF($E713="","Missing movement type. ","") &amp; IF($I713="","Missing make. ","") &amp; IF($L713="","Missing vehicle class. ","") &amp; IF($M713="","Missing agreed value. ","") &amp; IF($N713="","Missing policy type. ","") &amp; IF($Q713="","Missing garaging state. ","") &amp; IF($R713="","Missing garaging ZIP. ","") &amp; IF($S713="","Missing cat zone. ","") &amp; IF($V713="","Missing valuation basis. ","") &amp; IF($W713="","Missing PD deductible. ","") &amp; IF($X713="","Missing liability limit. ","") &amp; IF($AB713="","Missing technical premium. ","") &amp; IF($AF713="","Missing surplus lines tax %. ",""))="","PASS","FAIL: "&amp;TRIM(IF($A713="","Missing certificate ref. ","") &amp; IF($C713="","Missing effective date. ","") &amp; IF($D713="","Missing binding status. ","") &amp; IF($E713="","Missing movement type. ","") &amp; IF($I713="","Missing make. ","") &amp; IF($L713="","Missing vehicle class. ","") &amp; IF($M713="","Missing agreed value. ","") &amp; IF($N713="","Missing policy type. ","") &amp; IF($Q713="","Missing garaging state. ","") &amp; IF($R713="","Missing garaging ZIP. ","") &amp; IF($S713="","Missing cat zone. ","") &amp; IF($V713="","Missing valuation basis. ","") &amp; IF($W713="","Missing PD deductible. ","") &amp; IF($X713="","Missing liability limit. ","") &amp; IF($AB713="","Missing technical premium. ","") &amp; IF($AF713="","Missing surplus lines tax %. ",""))))</f>
      </c>
      <c r="AY713" s="44">
        <f>IF($M713="","",IF(ISNUMBER($M713),IF($M713&gt;=Header!$C$18,"YES — refer","No"),""))</f>
      </c>
      <c r="AZ713" s="44">
        <f>IF($AD713="","",IF(ISNUMBER($AD713),IF($AD713&lt;Header!$C$20,"BELOW MIN PREMIUM","OK"),""))</f>
      </c>
      <c r="BA713" s="32" t="inlineStr">
        <is>
          <t xml:space="preserve">Yes</t>
        </is>
      </c>
      <c r="BB713" s="32" t="inlineStr">
        <is>
          <t xml:space="preserve">Yes</t>
        </is>
      </c>
      <c r="BC713" s="30" t="inlineStr">
        <is>
          <t xml:space="preserve">Synthetic demo data</t>
        </is>
      </c>
      <c r="BE713" s="45">
        <f>IF(OR($A713="",$L713="",$H713=""),"",IF(AND(LEFT($L713,2)="06",$H713&gt;1945),"FAIL - pre-war class, year "&amp;$H713,IF(AND(LEFT($L713,2)="07",OR($H713&lt;1946,$H713&gt;1972)),"FAIL - 1946-72 class, year "&amp;$H713,IF(AND(LEFT($L713,2)="08",OR($H713&lt;1973,$H713&gt;1999)),"FAIL - 1973-99 class, year "&amp;$H713,IF(AND(LEFT($L713,2)="09",OR($H713&lt;2000,$H713&gt;2010)),"FAIL - 2000-10 class, year "&amp;$H713,"OK")))))</f>
      </c>
      <c r="BF713" s="45">
        <f>IF($AD713="","",IF(ROUND($AO713+$AP713+$AQ713-$AD713,2)=0,"OK","FAIL - out by "&amp;TEXT($AO713+$AP713+$AQ713-$AD713,"$0.00")))</f>
      </c>
    </row>
    <row r="714" spans="1:58" ht="18.75" customHeight="1" x14ac:dyDescent="0.25">
      <c r="A714" s="46" t="inlineStr">
        <is>
          <t xml:space="preserve">CANON-202606-009383</t>
        </is>
      </c>
      <c r="B714" s="46" t="inlineStr">
        <is>
          <t xml:space="preserve">Everett Okonkwo</t>
        </is>
      </c>
      <c r="C714" s="47">
        <v>46189</v>
      </c>
      <c r="D714" s="48" t="inlineStr">
        <is>
          <t xml:space="preserve">Bound - within authority</t>
        </is>
      </c>
      <c r="E714" s="48" t="inlineStr">
        <is>
          <t xml:space="preserve">New business</t>
        </is>
      </c>
      <c r="F714" s="46" t="inlineStr">
        <is>
          <t xml:space="preserve">B1234EXOTIC26</t>
        </is>
      </c>
      <c r="G714" s="33">
        <f>IF($A714="","",IF($C714="","",YEAR($C714)))</f>
      </c>
      <c r="H714" s="49">
        <v>1984</v>
      </c>
      <c r="I714" s="46" t="inlineStr">
        <is>
          <t xml:space="preserve">Aston Martin</t>
        </is>
      </c>
      <c r="J714" s="46" t="inlineStr">
        <is>
          <t xml:space="preserve">DB12</t>
        </is>
      </c>
      <c r="K714" s="46" t="inlineStr">
        <is>
          <t xml:space="preserve">5YEM9DCCD0A5YVDN5</t>
        </is>
      </c>
      <c r="L714" s="48" t="inlineStr">
        <is>
          <t xml:space="preserve">02 - Sports / GT</t>
        </is>
      </c>
      <c r="M714" s="50">
        <v>320000</v>
      </c>
      <c r="N714" s="48" t="inlineStr">
        <is>
          <t xml:space="preserve">Personal</t>
        </is>
      </c>
      <c r="O714" s="46" t="inlineStr">
        <is>
          <t xml:space="preserve">Personal - regular use</t>
        </is>
      </c>
      <c r="P714" s="46" t="inlineStr">
        <is>
          <t xml:space="preserve">Under 1,000</t>
        </is>
      </c>
      <c r="Q714" s="46" t="inlineStr">
        <is>
          <t xml:space="preserve">North Dakota</t>
        </is>
      </c>
      <c r="R714" s="46" t="inlineStr">
        <is>
          <t xml:space="preserve">58501</t>
        </is>
      </c>
      <c r="S714" s="48" t="inlineStr">
        <is>
          <t xml:space="preserve">Severe convective - hail alley (high)</t>
        </is>
      </c>
      <c r="T714" s="36">
        <f>IF($A714="","",IF($S714="","",IFERROR(INDEX('[1]natural catastrophe'!$D$6:$D$17,MATCH($S714,'[1]natural catastrophe'!$B$6:$B$17,0)),"?")))</f>
      </c>
      <c r="U714" s="46" t="inlineStr">
        <is>
          <t xml:space="preserve">$5,000</t>
        </is>
      </c>
      <c r="V714" s="48" t="inlineStr">
        <is>
          <t xml:space="preserve">Agreed Value</t>
        </is>
      </c>
      <c r="W714" s="46" t="inlineStr">
        <is>
          <t xml:space="preserve">$1,000</t>
        </is>
      </c>
      <c r="X714" s="48" t="inlineStr">
        <is>
          <t xml:space="preserve">$1,000,000 CSL</t>
        </is>
      </c>
      <c r="Y714" s="46"/>
      <c r="Z714" s="46"/>
      <c r="AA714" s="48" t="inlineStr">
        <is>
          <t xml:space="preserve">Surplus Lines</t>
        </is>
      </c>
      <c r="AB714" s="50">
        <v>3532.51</v>
      </c>
      <c r="AC714" s="51">
        <v>0</v>
      </c>
      <c r="AD714" s="38">
        <f>IF(ISNUMBER($AB714),$AB714*(1+N($AC714)),"")</f>
      </c>
      <c r="AE714" s="50">
        <v>350</v>
      </c>
      <c r="AF714" s="50">
        <v>0</v>
      </c>
      <c r="AG714" s="51"/>
      <c r="AH714" s="39">
        <f>IF(ISNUMBER($AD714),($AD714+$AE714+$AF714)*$AG714,"")</f>
      </c>
      <c r="AI714" s="50"/>
      <c r="AJ714" s="38">
        <f>IF(ISNUMBER($AD714),SUM($AD714:$AH714),"")</f>
      </c>
      <c r="AK714" s="40">
        <f>IF(AND(ISNUMBER($AB714),ISNUMBER($AD714)),IF($AB714&gt;0,$AD714/$AB714,""),"")</f>
      </c>
      <c r="AL714" s="48" t="inlineStr">
        <is>
          <t xml:space="preserve">At technical</t>
        </is>
      </c>
      <c r="AM714" s="41">
        <f>IF(ISNUMBER($AD714),Header!$I$3,"")</f>
      </c>
      <c r="AN714" s="39">
        <f>IF(ISNUMBER($AD714),$AO714+$AP714,"")</f>
      </c>
      <c r="AO714" s="39">
        <f>IF(ISNUMBER($AD714),ROUND($AD714*Header!$K$3,2),"")</f>
      </c>
      <c r="AP714" s="39">
        <f>IF(ISNUMBER($AD714),ROUND($AD714*Header!$M$3,2),"")</f>
      </c>
      <c r="AQ714" s="38">
        <f>IF(ISNUMBER($AD714),ROUND($AD714,2)-$AO714-$AP714,"")</f>
      </c>
      <c r="AR714" s="39">
        <f>IF(ISNUMBER($AD714),IF(Header!$D$34="","?",$AD714*Header!$D$34),"")</f>
      </c>
      <c r="AS714" s="39">
        <f>IF(ISNUMBER($AB714),IF(Header!$D$34="","?",$AB714*Header!$D$34),"")</f>
      </c>
      <c r="AT714" s="42">
        <f>IF(AND(ISNUMBER($AB714),$M714&gt;0),$AB714/$M714*100,"")</f>
      </c>
      <c r="AU714" s="42">
        <f>IF(AND(ISNUMBER($AD714),$M714&gt;0),$AD714/$M714*100,"")</f>
      </c>
      <c r="AV714" s="40">
        <f>IF(AND(ISNUMBER($AB714),ISNUMBER($AD714),ABS($AB714)&gt;0),$AD714/$AB714,"")</f>
      </c>
      <c r="AW714" s="39">
        <f>IF(ISNUMBER($AD714),MAX(0,(1-0.55-Header!$O$3)*Header!$Q$3*$AQ714),"")</f>
      </c>
      <c r="AX714" s="43">
        <f>IF($A714="","",IF(TRIM(IF($A714="","Missing certificate ref. ","") &amp; IF($C714="","Missing effective date. ","") &amp; IF($D714="","Missing binding status. ","") &amp; IF($E714="","Missing movement type. ","") &amp; IF($I714="","Missing make. ","") &amp; IF($L714="","Missing vehicle class. ","") &amp; IF($M714="","Missing agreed value. ","") &amp; IF($N714="","Missing policy type. ","") &amp; IF($Q714="","Missing garaging state. ","") &amp; IF($R714="","Missing garaging ZIP. ","") &amp; IF($S714="","Missing cat zone. ","") &amp; IF($V714="","Missing valuation basis. ","") &amp; IF($W714="","Missing PD deductible. ","") &amp; IF($X714="","Missing liability limit. ","") &amp; IF($AB714="","Missing technical premium. ","") &amp; IF($AF714="","Missing surplus lines tax %. ",""))="","PASS","FAIL: "&amp;TRIM(IF($A714="","Missing certificate ref. ","") &amp; IF($C714="","Missing effective date. ","") &amp; IF($D714="","Missing binding status. ","") &amp; IF($E714="","Missing movement type. ","") &amp; IF($I714="","Missing make. ","") &amp; IF($L714="","Missing vehicle class. ","") &amp; IF($M714="","Missing agreed value. ","") &amp; IF($N714="","Missing policy type. ","") &amp; IF($Q714="","Missing garaging state. ","") &amp; IF($R714="","Missing garaging ZIP. ","") &amp; IF($S714="","Missing cat zone. ","") &amp; IF($V714="","Missing valuation basis. ","") &amp; IF($W714="","Missing PD deductible. ","") &amp; IF($X714="","Missing liability limit. ","") &amp; IF($AB714="","Missing technical premium. ","") &amp; IF($AF714="","Missing surplus lines tax %. ",""))))</f>
      </c>
      <c r="AY714" s="44">
        <f>IF($M714="","",IF(ISNUMBER($M714),IF($M714&gt;=Header!$C$18,"YES — refer","No"),""))</f>
      </c>
      <c r="AZ714" s="44">
        <f>IF($AD714="","",IF(ISNUMBER($AD714),IF($AD714&lt;Header!$C$20,"BELOW MIN PREMIUM","OK"),""))</f>
      </c>
      <c r="BA714" s="48" t="inlineStr">
        <is>
          <t xml:space="preserve">Yes</t>
        </is>
      </c>
      <c r="BB714" s="48" t="inlineStr">
        <is>
          <t xml:space="preserve">Yes</t>
        </is>
      </c>
      <c r="BC714" s="46" t="inlineStr">
        <is>
          <t xml:space="preserve">Synthetic demo data</t>
        </is>
      </c>
      <c r="BE714" s="45">
        <f>IF(OR($A714="",$L714="",$H714=""),"",IF(AND(LEFT($L714,2)="06",$H714&gt;1945),"FAIL - pre-war class, year "&amp;$H714,IF(AND(LEFT($L714,2)="07",OR($H714&lt;1946,$H714&gt;1972)),"FAIL - 1946-72 class, year "&amp;$H714,IF(AND(LEFT($L714,2)="08",OR($H714&lt;1973,$H714&gt;1999)),"FAIL - 1973-99 class, year "&amp;$H714,IF(AND(LEFT($L714,2)="09",OR($H714&lt;2000,$H714&gt;2010)),"FAIL - 2000-10 class, year "&amp;$H714,"OK")))))</f>
      </c>
      <c r="BF714" s="45">
        <f>IF($AD714="","",IF(ROUND($AO714+$AP714+$AQ714-$AD714,2)=0,"OK","FAIL - out by "&amp;TEXT($AO714+$AP714+$AQ714-$AD714,"$0.00")))</f>
      </c>
    </row>
    <row r="715" spans="1:58" ht="18.75" customHeight="1" x14ac:dyDescent="0.25">
      <c r="A715" s="30" t="inlineStr">
        <is>
          <t xml:space="preserve">CANON-202606-009384</t>
        </is>
      </c>
      <c r="B715" s="30" t="inlineStr">
        <is>
          <t xml:space="preserve">Ramona Okonkwo</t>
        </is>
      </c>
      <c r="C715" s="31">
        <v>46177</v>
      </c>
      <c r="D715" s="32" t="inlineStr">
        <is>
          <t xml:space="preserve">Bound - within authority</t>
        </is>
      </c>
      <c r="E715" s="32" t="inlineStr">
        <is>
          <t xml:space="preserve">New business</t>
        </is>
      </c>
      <c r="F715" s="30" t="inlineStr">
        <is>
          <t xml:space="preserve">B1234EXOTIC26</t>
        </is>
      </c>
      <c r="G715" s="33">
        <f>IF($A715="","",IF($C715="","",YEAR($C715)))</f>
      </c>
      <c r="H715" s="34">
        <v>1962</v>
      </c>
      <c r="I715" s="30" t="inlineStr">
        <is>
          <t xml:space="preserve">Maserati</t>
        </is>
      </c>
      <c r="J715" s="30" t="inlineStr">
        <is>
          <t xml:space="preserve">GranTurismo</t>
        </is>
      </c>
      <c r="K715" s="30" t="inlineStr">
        <is>
          <t xml:space="preserve">5DKAN07W5T191DG5R</t>
        </is>
      </c>
      <c r="L715" s="32" t="inlineStr">
        <is>
          <t xml:space="preserve">02 - Sports / GT</t>
        </is>
      </c>
      <c r="M715" s="35">
        <v>305000</v>
      </c>
      <c r="N715" s="32" t="inlineStr">
        <is>
          <t xml:space="preserve">Personal</t>
        </is>
      </c>
      <c r="O715" s="30" t="inlineStr">
        <is>
          <t xml:space="preserve">Personal - regular use</t>
        </is>
      </c>
      <c r="P715" s="30" t="inlineStr">
        <is>
          <t xml:space="preserve">1,000 - 2,500</t>
        </is>
      </c>
      <c r="Q715" s="30" t="inlineStr">
        <is>
          <t xml:space="preserve">New York</t>
        </is>
      </c>
      <c r="R715" s="30" t="inlineStr">
        <is>
          <t xml:space="preserve">10022</t>
        </is>
      </c>
      <c r="S715" s="32" t="inlineStr">
        <is>
          <t xml:space="preserve">Tier 3 - Coastal wind (25-100 miles)</t>
        </is>
      </c>
      <c r="T715" s="36">
        <f>IF($A715="","",IF($S715="","",IFERROR(INDEX('[1]natural catastrophe'!$D$6:$D$17,MATCH($S715,'[1]natural catastrophe'!$B$6:$B$17,0)),"?")))</f>
      </c>
      <c r="U715" s="30" t="inlineStr">
        <is>
          <t xml:space="preserve">2% of agreed value, minimum $10,000</t>
        </is>
      </c>
      <c r="V715" s="32" t="inlineStr">
        <is>
          <t xml:space="preserve">Agreed Value</t>
        </is>
      </c>
      <c r="W715" s="30" t="inlineStr">
        <is>
          <t xml:space="preserve">$1,000</t>
        </is>
      </c>
      <c r="X715" s="32" t="inlineStr">
        <is>
          <t xml:space="preserve">$1,000,000 CSL</t>
        </is>
      </c>
      <c r="Y715" s="30"/>
      <c r="Z715" s="30"/>
      <c r="AA715" s="32" t="inlineStr">
        <is>
          <t xml:space="preserve">Surplus Lines</t>
        </is>
      </c>
      <c r="AB715" s="35">
        <v>4225.16</v>
      </c>
      <c r="AC715" s="37">
        <v>0</v>
      </c>
      <c r="AD715" s="38">
        <f>IF(ISNUMBER($AB715),$AB715*(1+N($AC715)),"")</f>
      </c>
      <c r="AE715" s="35">
        <v>350</v>
      </c>
      <c r="AF715" s="35">
        <v>0</v>
      </c>
      <c r="AG715" s="37"/>
      <c r="AH715" s="39">
        <f>IF(ISNUMBER($AD715),($AD715+$AE715+$AF715)*$AG715,"")</f>
      </c>
      <c r="AI715" s="35"/>
      <c r="AJ715" s="38">
        <f>IF(ISNUMBER($AD715),SUM($AD715:$AH715),"")</f>
      </c>
      <c r="AK715" s="40">
        <f>IF(AND(ISNUMBER($AB715),ISNUMBER($AD715)),IF($AB715&gt;0,$AD715/$AB715,""),"")</f>
      </c>
      <c r="AL715" s="32" t="inlineStr">
        <is>
          <t xml:space="preserve">At technical</t>
        </is>
      </c>
      <c r="AM715" s="41">
        <f>IF(ISNUMBER($AD715),Header!$I$3,"")</f>
      </c>
      <c r="AN715" s="39">
        <f>IF(ISNUMBER($AD715),$AO715+$AP715,"")</f>
      </c>
      <c r="AO715" s="39">
        <f>IF(ISNUMBER($AD715),ROUND($AD715*Header!$K$3,2),"")</f>
      </c>
      <c r="AP715" s="39">
        <f>IF(ISNUMBER($AD715),ROUND($AD715*Header!$M$3,2),"")</f>
      </c>
      <c r="AQ715" s="38">
        <f>IF(ISNUMBER($AD715),ROUND($AD715,2)-$AO715-$AP715,"")</f>
      </c>
      <c r="AR715" s="39">
        <f>IF(ISNUMBER($AD715),IF(Header!$D$34="","?",$AD715*Header!$D$34),"")</f>
      </c>
      <c r="AS715" s="39">
        <f>IF(ISNUMBER($AB715),IF(Header!$D$34="","?",$AB715*Header!$D$34),"")</f>
      </c>
      <c r="AT715" s="42">
        <f>IF(AND(ISNUMBER($AB715),$M715&gt;0),$AB715/$M715*100,"")</f>
      </c>
      <c r="AU715" s="42">
        <f>IF(AND(ISNUMBER($AD715),$M715&gt;0),$AD715/$M715*100,"")</f>
      </c>
      <c r="AV715" s="40">
        <f>IF(AND(ISNUMBER($AB715),ISNUMBER($AD715),ABS($AB715)&gt;0),$AD715/$AB715,"")</f>
      </c>
      <c r="AW715" s="39">
        <f>IF(ISNUMBER($AD715),MAX(0,(1-0.55-Header!$O$3)*Header!$Q$3*$AQ715),"")</f>
      </c>
      <c r="AX715" s="43">
        <f>IF($A715="","",IF(TRIM(IF($A715="","Missing certificate ref. ","") &amp; IF($C715="","Missing effective date. ","") &amp; IF($D715="","Missing binding status. ","") &amp; IF($E715="","Missing movement type. ","") &amp; IF($I715="","Missing make. ","") &amp; IF($L715="","Missing vehicle class. ","") &amp; IF($M715="","Missing agreed value. ","") &amp; IF($N715="","Missing policy type. ","") &amp; IF($Q715="","Missing garaging state. ","") &amp; IF($R715="","Missing garaging ZIP. ","") &amp; IF($S715="","Missing cat zone. ","") &amp; IF($V715="","Missing valuation basis. ","") &amp; IF($W715="","Missing PD deductible. ","") &amp; IF($X715="","Missing liability limit. ","") &amp; IF($AB715="","Missing technical premium. ","") &amp; IF($AF715="","Missing surplus lines tax %. ",""))="","PASS","FAIL: "&amp;TRIM(IF($A715="","Missing certificate ref. ","") &amp; IF($C715="","Missing effective date. ","") &amp; IF($D715="","Missing binding status. ","") &amp; IF($E715="","Missing movement type. ","") &amp; IF($I715="","Missing make. ","") &amp; IF($L715="","Missing vehicle class. ","") &amp; IF($M715="","Missing agreed value. ","") &amp; IF($N715="","Missing policy type. ","") &amp; IF($Q715="","Missing garaging state. ","") &amp; IF($R715="","Missing garaging ZIP. ","") &amp; IF($S715="","Missing cat zone. ","") &amp; IF($V715="","Missing valuation basis. ","") &amp; IF($W715="","Missing PD deductible. ","") &amp; IF($X715="","Missing liability limit. ","") &amp; IF($AB715="","Missing technical premium. ","") &amp; IF($AF715="","Missing surplus lines tax %. ",""))))</f>
      </c>
      <c r="AY715" s="44">
        <f>IF($M715="","",IF(ISNUMBER($M715),IF($M715&gt;=Header!$C$18,"YES — refer","No"),""))</f>
      </c>
      <c r="AZ715" s="44">
        <f>IF($AD715="","",IF(ISNUMBER($AD715),IF($AD715&lt;Header!$C$20,"BELOW MIN PREMIUM","OK"),""))</f>
      </c>
      <c r="BA715" s="32" t="inlineStr">
        <is>
          <t xml:space="preserve">Yes</t>
        </is>
      </c>
      <c r="BB715" s="32" t="inlineStr">
        <is>
          <t xml:space="preserve">Yes</t>
        </is>
      </c>
      <c r="BC715" s="30" t="inlineStr">
        <is>
          <t xml:space="preserve">Synthetic demo data</t>
        </is>
      </c>
      <c r="BE715" s="45">
        <f>IF(OR($A715="",$L715="",$H715=""),"",IF(AND(LEFT($L715,2)="06",$H715&gt;1945),"FAIL - pre-war class, year "&amp;$H715,IF(AND(LEFT($L715,2)="07",OR($H715&lt;1946,$H715&gt;1972)),"FAIL - 1946-72 class, year "&amp;$H715,IF(AND(LEFT($L715,2)="08",OR($H715&lt;1973,$H715&gt;1999)),"FAIL - 1973-99 class, year "&amp;$H715,IF(AND(LEFT($L715,2)="09",OR($H715&lt;2000,$H715&gt;2010)),"FAIL - 2000-10 class, year "&amp;$H715,"OK")))))</f>
      </c>
      <c r="BF715" s="45">
        <f>IF($AD715="","",IF(ROUND($AO715+$AP715+$AQ715-$AD715,2)=0,"OK","FAIL - out by "&amp;TEXT($AO715+$AP715+$AQ715-$AD715,"$0.00")))</f>
      </c>
    </row>
    <row r="716" spans="1:58" ht="18.75" customHeight="1" x14ac:dyDescent="0.25">
      <c r="A716" s="46" t="inlineStr">
        <is>
          <t xml:space="preserve">CANON-202606-009385</t>
        </is>
      </c>
      <c r="B716" s="46" t="inlineStr">
        <is>
          <t xml:space="preserve">Ottilie Harrington</t>
        </is>
      </c>
      <c r="C716" s="47">
        <v>46177</v>
      </c>
      <c r="D716" s="48" t="inlineStr">
        <is>
          <t xml:space="preserve">Bound - within authority</t>
        </is>
      </c>
      <c r="E716" s="48" t="inlineStr">
        <is>
          <t xml:space="preserve">New business</t>
        </is>
      </c>
      <c r="F716" s="46" t="inlineStr">
        <is>
          <t xml:space="preserve">B1234EXOTIC26</t>
        </is>
      </c>
      <c r="G716" s="33">
        <f>IF($A716="","",IF($C716="","",YEAR($C716)))</f>
      </c>
      <c r="H716" s="49">
        <v>1963</v>
      </c>
      <c r="I716" s="46" t="inlineStr">
        <is>
          <t xml:space="preserve">Lamborghini</t>
        </is>
      </c>
      <c r="J716" s="46" t="inlineStr">
        <is>
          <t xml:space="preserve">Huracan EVO</t>
        </is>
      </c>
      <c r="K716" s="46" t="inlineStr">
        <is>
          <t xml:space="preserve">ZTRL1Y6SA4N57DEKX</t>
        </is>
      </c>
      <c r="L716" s="48" t="inlineStr">
        <is>
          <t xml:space="preserve">03 - Supercar</t>
        </is>
      </c>
      <c r="M716" s="50">
        <v>1005000</v>
      </c>
      <c r="N716" s="48" t="inlineStr">
        <is>
          <t xml:space="preserve">Personal</t>
        </is>
      </c>
      <c r="O716" s="46" t="inlineStr">
        <is>
          <t xml:space="preserve">Personal - regular use</t>
        </is>
      </c>
      <c r="P716" s="46" t="inlineStr">
        <is>
          <t xml:space="preserve">2,500 - 5,000</t>
        </is>
      </c>
      <c r="Q716" s="46" t="inlineStr">
        <is>
          <t xml:space="preserve">Washington</t>
        </is>
      </c>
      <c r="R716" s="46" t="inlineStr">
        <is>
          <t xml:space="preserve">98101</t>
        </is>
      </c>
      <c r="S716" s="48" t="inlineStr">
        <is>
          <t xml:space="preserve">Earthquake - high (CA, Cascadia, New Madrid)</t>
        </is>
      </c>
      <c r="T716" s="36">
        <f>IF($A716="","",IF($S716="","",IFERROR(INDEX('[1]natural catastrophe'!$D$6:$D$17,MATCH($S716,'[1]natural catastrophe'!$B$6:$B$17,0)),"?")))</f>
      </c>
      <c r="U716" s="46" t="inlineStr">
        <is>
          <t xml:space="preserve">$5,000</t>
        </is>
      </c>
      <c r="V716" s="48" t="inlineStr">
        <is>
          <t xml:space="preserve">Agreed Value</t>
        </is>
      </c>
      <c r="W716" s="46" t="inlineStr">
        <is>
          <t xml:space="preserve">$1,000</t>
        </is>
      </c>
      <c r="X716" s="48" t="inlineStr">
        <is>
          <t xml:space="preserve">$1,000,000 CSL</t>
        </is>
      </c>
      <c r="Y716" s="46"/>
      <c r="Z716" s="46"/>
      <c r="AA716" s="48" t="inlineStr">
        <is>
          <t xml:space="preserve">Surplus Lines</t>
        </is>
      </c>
      <c r="AB716" s="50">
        <v>11137.8</v>
      </c>
      <c r="AC716" s="51">
        <v>0</v>
      </c>
      <c r="AD716" s="38">
        <f>IF(ISNUMBER($AB716),$AB716*(1+N($AC716)),"")</f>
      </c>
      <c r="AE716" s="50">
        <v>350</v>
      </c>
      <c r="AF716" s="50">
        <v>250</v>
      </c>
      <c r="AG716" s="51"/>
      <c r="AH716" s="39">
        <f>IF(ISNUMBER($AD716),($AD716+$AE716+$AF716)*$AG716,"")</f>
      </c>
      <c r="AI716" s="50"/>
      <c r="AJ716" s="38">
        <f>IF(ISNUMBER($AD716),SUM($AD716:$AH716),"")</f>
      </c>
      <c r="AK716" s="40">
        <f>IF(AND(ISNUMBER($AB716),ISNUMBER($AD716)),IF($AB716&gt;0,$AD716/$AB716,""),"")</f>
      </c>
      <c r="AL716" s="48" t="inlineStr">
        <is>
          <t xml:space="preserve">At technical</t>
        </is>
      </c>
      <c r="AM716" s="41">
        <f>IF(ISNUMBER($AD716),Header!$I$3,"")</f>
      </c>
      <c r="AN716" s="39">
        <f>IF(ISNUMBER($AD716),$AO716+$AP716,"")</f>
      </c>
      <c r="AO716" s="39">
        <f>IF(ISNUMBER($AD716),ROUND($AD716*Header!$K$3,2),"")</f>
      </c>
      <c r="AP716" s="39">
        <f>IF(ISNUMBER($AD716),ROUND($AD716*Header!$M$3,2),"")</f>
      </c>
      <c r="AQ716" s="38">
        <f>IF(ISNUMBER($AD716),ROUND($AD716,2)-$AO716-$AP716,"")</f>
      </c>
      <c r="AR716" s="39">
        <f>IF(ISNUMBER($AD716),IF(Header!$D$34="","?",$AD716*Header!$D$34),"")</f>
      </c>
      <c r="AS716" s="39">
        <f>IF(ISNUMBER($AB716),IF(Header!$D$34="","?",$AB716*Header!$D$34),"")</f>
      </c>
      <c r="AT716" s="42">
        <f>IF(AND(ISNUMBER($AB716),$M716&gt;0),$AB716/$M716*100,"")</f>
      </c>
      <c r="AU716" s="42">
        <f>IF(AND(ISNUMBER($AD716),$M716&gt;0),$AD716/$M716*100,"")</f>
      </c>
      <c r="AV716" s="40">
        <f>IF(AND(ISNUMBER($AB716),ISNUMBER($AD716),ABS($AB716)&gt;0),$AD716/$AB716,"")</f>
      </c>
      <c r="AW716" s="39">
        <f>IF(ISNUMBER($AD716),MAX(0,(1-0.55-Header!$O$3)*Header!$Q$3*$AQ716),"")</f>
      </c>
      <c r="AX716" s="43">
        <f>IF($A716="","",IF(TRIM(IF($A716="","Missing certificate ref. ","") &amp; IF($C716="","Missing effective date. ","") &amp; IF($D716="","Missing binding status. ","") &amp; IF($E716="","Missing movement type. ","") &amp; IF($I716="","Missing make. ","") &amp; IF($L716="","Missing vehicle class. ","") &amp; IF($M716="","Missing agreed value. ","") &amp; IF($N716="","Missing policy type. ","") &amp; IF($Q716="","Missing garaging state. ","") &amp; IF($R716="","Missing garaging ZIP. ","") &amp; IF($S716="","Missing cat zone. ","") &amp; IF($V716="","Missing valuation basis. ","") &amp; IF($W716="","Missing PD deductible. ","") &amp; IF($X716="","Missing liability limit. ","") &amp; IF($AB716="","Missing technical premium. ","") &amp; IF($AF716="","Missing surplus lines tax %. ",""))="","PASS","FAIL: "&amp;TRIM(IF($A716="","Missing certificate ref. ","") &amp; IF($C716="","Missing effective date. ","") &amp; IF($D716="","Missing binding status. ","") &amp; IF($E716="","Missing movement type. ","") &amp; IF($I716="","Missing make. ","") &amp; IF($L716="","Missing vehicle class. ","") &amp; IF($M716="","Missing agreed value. ","") &amp; IF($N716="","Missing policy type. ","") &amp; IF($Q716="","Missing garaging state. ","") &amp; IF($R716="","Missing garaging ZIP. ","") &amp; IF($S716="","Missing cat zone. ","") &amp; IF($V716="","Missing valuation basis. ","") &amp; IF($W716="","Missing PD deductible. ","") &amp; IF($X716="","Missing liability limit. ","") &amp; IF($AB716="","Missing technical premium. ","") &amp; IF($AF716="","Missing surplus lines tax %. ",""))))</f>
      </c>
      <c r="AY716" s="44">
        <f>IF($M716="","",IF(ISNUMBER($M716),IF($M716&gt;=Header!$C$18,"YES — refer","No"),""))</f>
      </c>
      <c r="AZ716" s="44">
        <f>IF($AD716="","",IF(ISNUMBER($AD716),IF($AD716&lt;Header!$C$20,"BELOW MIN PREMIUM","OK"),""))</f>
      </c>
      <c r="BA716" s="48" t="inlineStr">
        <is>
          <t xml:space="preserve">Yes</t>
        </is>
      </c>
      <c r="BB716" s="48" t="inlineStr">
        <is>
          <t xml:space="preserve">Yes</t>
        </is>
      </c>
      <c r="BC716" s="46" t="inlineStr">
        <is>
          <t xml:space="preserve">Synthetic demo data</t>
        </is>
      </c>
      <c r="BE716" s="45">
        <f>IF(OR($A716="",$L716="",$H716=""),"",IF(AND(LEFT($L716,2)="06",$H716&gt;1945),"FAIL - pre-war class, year "&amp;$H716,IF(AND(LEFT($L716,2)="07",OR($H716&lt;1946,$H716&gt;1972)),"FAIL - 1946-72 class, year "&amp;$H716,IF(AND(LEFT($L716,2)="08",OR($H716&lt;1973,$H716&gt;1999)),"FAIL - 1973-99 class, year "&amp;$H716,IF(AND(LEFT($L716,2)="09",OR($H716&lt;2000,$H716&gt;2010)),"FAIL - 2000-10 class, year "&amp;$H716,"OK")))))</f>
      </c>
      <c r="BF716" s="45">
        <f>IF($AD716="","",IF(ROUND($AO716+$AP716+$AQ716-$AD716,2)=0,"OK","FAIL - out by "&amp;TEXT($AO716+$AP716+$AQ716-$AD716,"$0.00")))</f>
      </c>
    </row>
    <row r="717" spans="1:58" ht="18.75" customHeight="1" x14ac:dyDescent="0.25">
      <c r="A717" s="30" t="inlineStr">
        <is>
          <t xml:space="preserve">CANON-202606-009387</t>
        </is>
      </c>
      <c r="B717" s="30" t="inlineStr">
        <is>
          <t xml:space="preserve">Anouk Delacroix</t>
        </is>
      </c>
      <c r="C717" s="31">
        <v>46176</v>
      </c>
      <c r="D717" s="32" t="inlineStr">
        <is>
          <t xml:space="preserve">Bound - within authority</t>
        </is>
      </c>
      <c r="E717" s="32" t="inlineStr">
        <is>
          <t xml:space="preserve">New business</t>
        </is>
      </c>
      <c r="F717" s="30" t="inlineStr">
        <is>
          <t xml:space="preserve">B1234EXOTIC26</t>
        </is>
      </c>
      <c r="G717" s="33">
        <f>IF($A717="","",IF($C717="","",YEAR($C717)))</f>
      </c>
      <c r="H717" s="34">
        <v>2003</v>
      </c>
      <c r="I717" s="30" t="inlineStr">
        <is>
          <t xml:space="preserve">Porsche</t>
        </is>
      </c>
      <c r="J717" s="30" t="inlineStr">
        <is>
          <t xml:space="preserve">911 Turbo S</t>
        </is>
      </c>
      <c r="K717" s="30" t="inlineStr">
        <is>
          <t xml:space="preserve">XSRFMYZ02STE4UFE9</t>
        </is>
      </c>
      <c r="L717" s="32" t="inlineStr">
        <is>
          <t xml:space="preserve">02 - Sports / GT</t>
        </is>
      </c>
      <c r="M717" s="35">
        <v>550000</v>
      </c>
      <c r="N717" s="32" t="inlineStr">
        <is>
          <t xml:space="preserve">Personal</t>
        </is>
      </c>
      <c r="O717" s="30" t="inlineStr">
        <is>
          <t xml:space="preserve">Personal - regular use</t>
        </is>
      </c>
      <c r="P717" s="30" t="inlineStr">
        <is>
          <t xml:space="preserve">1,000 - 2,500</t>
        </is>
      </c>
      <c r="Q717" s="30" t="inlineStr">
        <is>
          <t xml:space="preserve">South Carolina</t>
        </is>
      </c>
      <c r="R717" s="30" t="inlineStr">
        <is>
          <t xml:space="preserve">29401</t>
        </is>
      </c>
      <c r="S717" s="32" t="inlineStr">
        <is>
          <t xml:space="preserve">Tier 2 - Coastal wind (1-25 miles)</t>
        </is>
      </c>
      <c r="T717" s="36">
        <f>IF($A717="","",IF($S717="","",IFERROR(INDEX('[1]natural catastrophe'!$D$6:$D$17,MATCH($S717,'[1]natural catastrophe'!$B$6:$B$17,0)),"?")))</f>
      </c>
      <c r="U717" s="30" t="inlineStr">
        <is>
          <t xml:space="preserve">2% of agreed value, minimum $10,000</t>
        </is>
      </c>
      <c r="V717" s="32" t="inlineStr">
        <is>
          <t xml:space="preserve">Agreed Value</t>
        </is>
      </c>
      <c r="W717" s="30" t="inlineStr">
        <is>
          <t xml:space="preserve">$1,000</t>
        </is>
      </c>
      <c r="X717" s="32" t="inlineStr">
        <is>
          <t xml:space="preserve">$1,000,000 CSL</t>
        </is>
      </c>
      <c r="Y717" s="30"/>
      <c r="Z717" s="30"/>
      <c r="AA717" s="32" t="inlineStr">
        <is>
          <t xml:space="preserve">Surplus Lines</t>
        </is>
      </c>
      <c r="AB717" s="35">
        <v>6396.9</v>
      </c>
      <c r="AC717" s="37">
        <v>0</v>
      </c>
      <c r="AD717" s="38">
        <f>IF(ISNUMBER($AB717),$AB717*(1+N($AC717)),"")</f>
      </c>
      <c r="AE717" s="35">
        <v>350</v>
      </c>
      <c r="AF717" s="35">
        <v>0</v>
      </c>
      <c r="AG717" s="37"/>
      <c r="AH717" s="39">
        <f>IF(ISNUMBER($AD717),($AD717+$AE717+$AF717)*$AG717,"")</f>
      </c>
      <c r="AI717" s="35"/>
      <c r="AJ717" s="38">
        <f>IF(ISNUMBER($AD717),SUM($AD717:$AH717),"")</f>
      </c>
      <c r="AK717" s="40">
        <f>IF(AND(ISNUMBER($AB717),ISNUMBER($AD717)),IF($AB717&gt;0,$AD717/$AB717,""),"")</f>
      </c>
      <c r="AL717" s="32" t="inlineStr">
        <is>
          <t xml:space="preserve">At technical</t>
        </is>
      </c>
      <c r="AM717" s="41">
        <f>IF(ISNUMBER($AD717),Header!$I$3,"")</f>
      </c>
      <c r="AN717" s="39">
        <f>IF(ISNUMBER($AD717),$AO717+$AP717,"")</f>
      </c>
      <c r="AO717" s="39">
        <f>IF(ISNUMBER($AD717),ROUND($AD717*Header!$K$3,2),"")</f>
      </c>
      <c r="AP717" s="39">
        <f>IF(ISNUMBER($AD717),ROUND($AD717*Header!$M$3,2),"")</f>
      </c>
      <c r="AQ717" s="38">
        <f>IF(ISNUMBER($AD717),ROUND($AD717,2)-$AO717-$AP717,"")</f>
      </c>
      <c r="AR717" s="39">
        <f>IF(ISNUMBER($AD717),IF(Header!$D$34="","?",$AD717*Header!$D$34),"")</f>
      </c>
      <c r="AS717" s="39">
        <f>IF(ISNUMBER($AB717),IF(Header!$D$34="","?",$AB717*Header!$D$34),"")</f>
      </c>
      <c r="AT717" s="42">
        <f>IF(AND(ISNUMBER($AB717),$M717&gt;0),$AB717/$M717*100,"")</f>
      </c>
      <c r="AU717" s="42">
        <f>IF(AND(ISNUMBER($AD717),$M717&gt;0),$AD717/$M717*100,"")</f>
      </c>
      <c r="AV717" s="40">
        <f>IF(AND(ISNUMBER($AB717),ISNUMBER($AD717),ABS($AB717)&gt;0),$AD717/$AB717,"")</f>
      </c>
      <c r="AW717" s="39">
        <f>IF(ISNUMBER($AD717),MAX(0,(1-0.55-Header!$O$3)*Header!$Q$3*$AQ717),"")</f>
      </c>
      <c r="AX717" s="43">
        <f>IF($A717="","",IF(TRIM(IF($A717="","Missing certificate ref. ","") &amp; IF($C717="","Missing effective date. ","") &amp; IF($D717="","Missing binding status. ","") &amp; IF($E717="","Missing movement type. ","") &amp; IF($I717="","Missing make. ","") &amp; IF($L717="","Missing vehicle class. ","") &amp; IF($M717="","Missing agreed value. ","") &amp; IF($N717="","Missing policy type. ","") &amp; IF($Q717="","Missing garaging state. ","") &amp; IF($R717="","Missing garaging ZIP. ","") &amp; IF($S717="","Missing cat zone. ","") &amp; IF($V717="","Missing valuation basis. ","") &amp; IF($W717="","Missing PD deductible. ","") &amp; IF($X717="","Missing liability limit. ","") &amp; IF($AB717="","Missing technical premium. ","") &amp; IF($AF717="","Missing surplus lines tax %. ",""))="","PASS","FAIL: "&amp;TRIM(IF($A717="","Missing certificate ref. ","") &amp; IF($C717="","Missing effective date. ","") &amp; IF($D717="","Missing binding status. ","") &amp; IF($E717="","Missing movement type. ","") &amp; IF($I717="","Missing make. ","") &amp; IF($L717="","Missing vehicle class. ","") &amp; IF($M717="","Missing agreed value. ","") &amp; IF($N717="","Missing policy type. ","") &amp; IF($Q717="","Missing garaging state. ","") &amp; IF($R717="","Missing garaging ZIP. ","") &amp; IF($S717="","Missing cat zone. ","") &amp; IF($V717="","Missing valuation basis. ","") &amp; IF($W717="","Missing PD deductible. ","") &amp; IF($X717="","Missing liability limit. ","") &amp; IF($AB717="","Missing technical premium. ","") &amp; IF($AF717="","Missing surplus lines tax %. ",""))))</f>
      </c>
      <c r="AY717" s="44">
        <f>IF($M717="","",IF(ISNUMBER($M717),IF($M717&gt;=Header!$C$18,"YES — refer","No"),""))</f>
      </c>
      <c r="AZ717" s="44">
        <f>IF($AD717="","",IF(ISNUMBER($AD717),IF($AD717&lt;Header!$C$20,"BELOW MIN PREMIUM","OK"),""))</f>
      </c>
      <c r="BA717" s="32" t="inlineStr">
        <is>
          <t xml:space="preserve">Yes</t>
        </is>
      </c>
      <c r="BB717" s="32" t="inlineStr">
        <is>
          <t xml:space="preserve">Yes</t>
        </is>
      </c>
      <c r="BC717" s="30" t="inlineStr">
        <is>
          <t xml:space="preserve">Synthetic demo data</t>
        </is>
      </c>
      <c r="BE717" s="45">
        <f>IF(OR($A717="",$L717="",$H717=""),"",IF(AND(LEFT($L717,2)="06",$H717&gt;1945),"FAIL - pre-war class, year "&amp;$H717,IF(AND(LEFT($L717,2)="07",OR($H717&lt;1946,$H717&gt;1972)),"FAIL - 1946-72 class, year "&amp;$H717,IF(AND(LEFT($L717,2)="08",OR($H717&lt;1973,$H717&gt;1999)),"FAIL - 1973-99 class, year "&amp;$H717,IF(AND(LEFT($L717,2)="09",OR($H717&lt;2000,$H717&gt;2010)),"FAIL - 2000-10 class, year "&amp;$H717,"OK")))))</f>
      </c>
      <c r="BF717" s="45">
        <f>IF($AD717="","",IF(ROUND($AO717+$AP717+$AQ717-$AD717,2)=0,"OK","FAIL - out by "&amp;TEXT($AO717+$AP717+$AQ717-$AD717,"$0.00")))</f>
      </c>
    </row>
    <row r="718" spans="1:58" ht="18.75" customHeight="1" x14ac:dyDescent="0.25">
      <c r="A718" s="46" t="inlineStr">
        <is>
          <t xml:space="preserve">CANON-202606-009388</t>
        </is>
      </c>
      <c r="B718" s="46" t="inlineStr">
        <is>
          <t xml:space="preserve">Thaddeus Rourke</t>
        </is>
      </c>
      <c r="C718" s="47">
        <v>46199</v>
      </c>
      <c r="D718" s="48" t="inlineStr">
        <is>
          <t xml:space="preserve">Bound - within authority</t>
        </is>
      </c>
      <c r="E718" s="48" t="inlineStr">
        <is>
          <t xml:space="preserve">New business</t>
        </is>
      </c>
      <c r="F718" s="46" t="inlineStr">
        <is>
          <t xml:space="preserve">B1234EXOTIC26</t>
        </is>
      </c>
      <c r="G718" s="33">
        <f>IF($A718="","",IF($C718="","",YEAR($C718)))</f>
      </c>
      <c r="H718" s="49">
        <v>1991</v>
      </c>
      <c r="I718" s="46" t="inlineStr">
        <is>
          <t xml:space="preserve">Bentley</t>
        </is>
      </c>
      <c r="J718" s="46" t="inlineStr">
        <is>
          <t xml:space="preserve">Continental GT</t>
        </is>
      </c>
      <c r="K718" s="46" t="inlineStr">
        <is>
          <t xml:space="preserve">UWS73MXNW1LASL1K0</t>
        </is>
      </c>
      <c r="L718" s="48" t="inlineStr">
        <is>
          <t xml:space="preserve">02 - Sports / GT</t>
        </is>
      </c>
      <c r="M718" s="50">
        <v>440000</v>
      </c>
      <c r="N718" s="48" t="inlineStr">
        <is>
          <t xml:space="preserve">Personal</t>
        </is>
      </c>
      <c r="O718" s="46" t="inlineStr">
        <is>
          <t xml:space="preserve">Personal - regular use</t>
        </is>
      </c>
      <c r="P718" s="46" t="inlineStr">
        <is>
          <t xml:space="preserve">1,000 - 2,500</t>
        </is>
      </c>
      <c r="Q718" s="46" t="inlineStr">
        <is>
          <t xml:space="preserve">North Dakota</t>
        </is>
      </c>
      <c r="R718" s="46" t="inlineStr">
        <is>
          <t xml:space="preserve">58501</t>
        </is>
      </c>
      <c r="S718" s="48" t="inlineStr">
        <is>
          <t xml:space="preserve">Severe convective - hail alley (high)</t>
        </is>
      </c>
      <c r="T718" s="36">
        <f>IF($A718="","",IF($S718="","",IFERROR(INDEX('[1]natural catastrophe'!$D$6:$D$17,MATCH($S718,'[1]natural catastrophe'!$B$6:$B$17,0)),"?")))</f>
      </c>
      <c r="U718" s="46" t="inlineStr">
        <is>
          <t xml:space="preserve">$5,000</t>
        </is>
      </c>
      <c r="V718" s="48" t="inlineStr">
        <is>
          <t xml:space="preserve">Agreed Value</t>
        </is>
      </c>
      <c r="W718" s="46" t="inlineStr">
        <is>
          <t xml:space="preserve">$1,000</t>
        </is>
      </c>
      <c r="X718" s="48" t="inlineStr">
        <is>
          <t xml:space="preserve">$1,000,000 CSL</t>
        </is>
      </c>
      <c r="Y718" s="46"/>
      <c r="Z718" s="46"/>
      <c r="AA718" s="48" t="inlineStr">
        <is>
          <t xml:space="preserve">Surplus Lines</t>
        </is>
      </c>
      <c r="AB718" s="50">
        <v>4857.2</v>
      </c>
      <c r="AC718" s="51">
        <v>0</v>
      </c>
      <c r="AD718" s="38">
        <f>IF(ISNUMBER($AB718),$AB718*(1+N($AC718)),"")</f>
      </c>
      <c r="AE718" s="50">
        <v>350</v>
      </c>
      <c r="AF718" s="50">
        <v>0</v>
      </c>
      <c r="AG718" s="51"/>
      <c r="AH718" s="39">
        <f>IF(ISNUMBER($AD718),($AD718+$AE718+$AF718)*$AG718,"")</f>
      </c>
      <c r="AI718" s="50"/>
      <c r="AJ718" s="38">
        <f>IF(ISNUMBER($AD718),SUM($AD718:$AH718),"")</f>
      </c>
      <c r="AK718" s="40">
        <f>IF(AND(ISNUMBER($AB718),ISNUMBER($AD718)),IF($AB718&gt;0,$AD718/$AB718,""),"")</f>
      </c>
      <c r="AL718" s="48" t="inlineStr">
        <is>
          <t xml:space="preserve">At technical</t>
        </is>
      </c>
      <c r="AM718" s="41">
        <f>IF(ISNUMBER($AD718),Header!$I$3,"")</f>
      </c>
      <c r="AN718" s="39">
        <f>IF(ISNUMBER($AD718),$AO718+$AP718,"")</f>
      </c>
      <c r="AO718" s="39">
        <f>IF(ISNUMBER($AD718),ROUND($AD718*Header!$K$3,2),"")</f>
      </c>
      <c r="AP718" s="39">
        <f>IF(ISNUMBER($AD718),ROUND($AD718*Header!$M$3,2),"")</f>
      </c>
      <c r="AQ718" s="38">
        <f>IF(ISNUMBER($AD718),ROUND($AD718,2)-$AO718-$AP718,"")</f>
      </c>
      <c r="AR718" s="39">
        <f>IF(ISNUMBER($AD718),IF(Header!$D$34="","?",$AD718*Header!$D$34),"")</f>
      </c>
      <c r="AS718" s="39">
        <f>IF(ISNUMBER($AB718),IF(Header!$D$34="","?",$AB718*Header!$D$34),"")</f>
      </c>
      <c r="AT718" s="42">
        <f>IF(AND(ISNUMBER($AB718),$M718&gt;0),$AB718/$M718*100,"")</f>
      </c>
      <c r="AU718" s="42">
        <f>IF(AND(ISNUMBER($AD718),$M718&gt;0),$AD718/$M718*100,"")</f>
      </c>
      <c r="AV718" s="40">
        <f>IF(AND(ISNUMBER($AB718),ISNUMBER($AD718),ABS($AB718)&gt;0),$AD718/$AB718,"")</f>
      </c>
      <c r="AW718" s="39">
        <f>IF(ISNUMBER($AD718),MAX(0,(1-0.55-Header!$O$3)*Header!$Q$3*$AQ718),"")</f>
      </c>
      <c r="AX718" s="43">
        <f>IF($A718="","",IF(TRIM(IF($A718="","Missing certificate ref. ","") &amp; IF($C718="","Missing effective date. ","") &amp; IF($D718="","Missing binding status. ","") &amp; IF($E718="","Missing movement type. ","") &amp; IF($I718="","Missing make. ","") &amp; IF($L718="","Missing vehicle class. ","") &amp; IF($M718="","Missing agreed value. ","") &amp; IF($N718="","Missing policy type. ","") &amp; IF($Q718="","Missing garaging state. ","") &amp; IF($R718="","Missing garaging ZIP. ","") &amp; IF($S718="","Missing cat zone. ","") &amp; IF($V718="","Missing valuation basis. ","") &amp; IF($W718="","Missing PD deductible. ","") &amp; IF($X718="","Missing liability limit. ","") &amp; IF($AB718="","Missing technical premium. ","") &amp; IF($AF718="","Missing surplus lines tax %. ",""))="","PASS","FAIL: "&amp;TRIM(IF($A718="","Missing certificate ref. ","") &amp; IF($C718="","Missing effective date. ","") &amp; IF($D718="","Missing binding status. ","") &amp; IF($E718="","Missing movement type. ","") &amp; IF($I718="","Missing make. ","") &amp; IF($L718="","Missing vehicle class. ","") &amp; IF($M718="","Missing agreed value. ","") &amp; IF($N718="","Missing policy type. ","") &amp; IF($Q718="","Missing garaging state. ","") &amp; IF($R718="","Missing garaging ZIP. ","") &amp; IF($S718="","Missing cat zone. ","") &amp; IF($V718="","Missing valuation basis. ","") &amp; IF($W718="","Missing PD deductible. ","") &amp; IF($X718="","Missing liability limit. ","") &amp; IF($AB718="","Missing technical premium. ","") &amp; IF($AF718="","Missing surplus lines tax %. ",""))))</f>
      </c>
      <c r="AY718" s="44">
        <f>IF($M718="","",IF(ISNUMBER($M718),IF($M718&gt;=Header!$C$18,"YES — refer","No"),""))</f>
      </c>
      <c r="AZ718" s="44">
        <f>IF($AD718="","",IF(ISNUMBER($AD718),IF($AD718&lt;Header!$C$20,"BELOW MIN PREMIUM","OK"),""))</f>
      </c>
      <c r="BA718" s="48" t="inlineStr">
        <is>
          <t xml:space="preserve">Yes</t>
        </is>
      </c>
      <c r="BB718" s="48" t="inlineStr">
        <is>
          <t xml:space="preserve">Yes</t>
        </is>
      </c>
      <c r="BC718" s="46" t="inlineStr">
        <is>
          <t xml:space="preserve">Synthetic demo data</t>
        </is>
      </c>
      <c r="BE718" s="45">
        <f>IF(OR($A718="",$L718="",$H718=""),"",IF(AND(LEFT($L718,2)="06",$H718&gt;1945),"FAIL - pre-war class, year "&amp;$H718,IF(AND(LEFT($L718,2)="07",OR($H718&lt;1946,$H718&gt;1972)),"FAIL - 1946-72 class, year "&amp;$H718,IF(AND(LEFT($L718,2)="08",OR($H718&lt;1973,$H718&gt;1999)),"FAIL - 1973-99 class, year "&amp;$H718,IF(AND(LEFT($L718,2)="09",OR($H718&lt;2000,$H718&gt;2010)),"FAIL - 2000-10 class, year "&amp;$H718,"OK")))))</f>
      </c>
      <c r="BF718" s="45">
        <f>IF($AD718="","",IF(ROUND($AO718+$AP718+$AQ718-$AD718,2)=0,"OK","FAIL - out by "&amp;TEXT($AO718+$AP718+$AQ718-$AD718,"$0.00")))</f>
      </c>
    </row>
    <row r="719" spans="1:58" ht="18.75" customHeight="1" x14ac:dyDescent="0.25">
      <c r="A719" s="30" t="inlineStr">
        <is>
          <t xml:space="preserve">CANON-202606-009390</t>
        </is>
      </c>
      <c r="B719" s="30" t="inlineStr">
        <is>
          <t xml:space="preserve">Lorenzo Chattopadhyay</t>
        </is>
      </c>
      <c r="C719" s="31">
        <v>46199</v>
      </c>
      <c r="D719" s="32" t="inlineStr">
        <is>
          <t xml:space="preserve">Bound - within authority</t>
        </is>
      </c>
      <c r="E719" s="32" t="inlineStr">
        <is>
          <t xml:space="preserve">New business</t>
        </is>
      </c>
      <c r="F719" s="30" t="inlineStr">
        <is>
          <t xml:space="preserve">B1234EXOTIC26</t>
        </is>
      </c>
      <c r="G719" s="33">
        <f>IF($A719="","",IF($C719="","",YEAR($C719)))</f>
      </c>
      <c r="H719" s="34">
        <v>1970</v>
      </c>
      <c r="I719" s="30" t="inlineStr">
        <is>
          <t xml:space="preserve">Ferrari</t>
        </is>
      </c>
      <c r="J719" s="30" t="inlineStr">
        <is>
          <t xml:space="preserve">275 GTB/4</t>
        </is>
      </c>
      <c r="K719" s="30" t="inlineStr">
        <is>
          <t xml:space="preserve">1CHD83PCT749ZDJDH</t>
        </is>
      </c>
      <c r="L719" s="32" t="inlineStr">
        <is>
          <t xml:space="preserve">07 - Post-War Classic (1946-1972)</t>
        </is>
      </c>
      <c r="M719" s="35">
        <v>1295000</v>
      </c>
      <c r="N719" s="32" t="inlineStr">
        <is>
          <t xml:space="preserve">Personal</t>
        </is>
      </c>
      <c r="O719" s="30" t="inlineStr">
        <is>
          <t xml:space="preserve">Personal - regular use</t>
        </is>
      </c>
      <c r="P719" s="30" t="inlineStr">
        <is>
          <t xml:space="preserve">Under 1,000</t>
        </is>
      </c>
      <c r="Q719" s="30" t="inlineStr">
        <is>
          <t xml:space="preserve">Arkansas</t>
        </is>
      </c>
      <c r="R719" s="30" t="inlineStr">
        <is>
          <t xml:space="preserve">72201</t>
        </is>
      </c>
      <c r="S719" s="32" t="inlineStr">
        <is>
          <t xml:space="preserve">Severe convective - hail / tornado (moderate)</t>
        </is>
      </c>
      <c r="T719" s="36">
        <f>IF($A719="","",IF($S719="","",IFERROR(INDEX('[1]natural catastrophe'!$D$6:$D$17,MATCH($S719,'[1]natural catastrophe'!$B$6:$B$17,0)),"?")))</f>
      </c>
      <c r="U719" s="30" t="inlineStr">
        <is>
          <t xml:space="preserve">$5,000</t>
        </is>
      </c>
      <c r="V719" s="32" t="inlineStr">
        <is>
          <t xml:space="preserve">Agreed Value</t>
        </is>
      </c>
      <c r="W719" s="30" t="inlineStr">
        <is>
          <t xml:space="preserve">$1,000</t>
        </is>
      </c>
      <c r="X719" s="32" t="inlineStr">
        <is>
          <t xml:space="preserve">$1,000,000 CSL</t>
        </is>
      </c>
      <c r="Y719" s="30"/>
      <c r="Z719" s="30"/>
      <c r="AA719" s="32" t="inlineStr">
        <is>
          <t xml:space="preserve">Surplus Lines</t>
        </is>
      </c>
      <c r="AB719" s="35">
        <v>9799.51</v>
      </c>
      <c r="AC719" s="37">
        <v>0</v>
      </c>
      <c r="AD719" s="38">
        <f>IF(ISNUMBER($AB719),$AB719*(1+N($AC719)),"")</f>
      </c>
      <c r="AE719" s="35">
        <v>350</v>
      </c>
      <c r="AF719" s="35">
        <v>250</v>
      </c>
      <c r="AG719" s="37"/>
      <c r="AH719" s="39">
        <f>IF(ISNUMBER($AD719),($AD719+$AE719+$AF719)*$AG719,"")</f>
      </c>
      <c r="AI719" s="35"/>
      <c r="AJ719" s="38">
        <f>IF(ISNUMBER($AD719),SUM($AD719:$AH719),"")</f>
      </c>
      <c r="AK719" s="40">
        <f>IF(AND(ISNUMBER($AB719),ISNUMBER($AD719)),IF($AB719&gt;0,$AD719/$AB719,""),"")</f>
      </c>
      <c r="AL719" s="32" t="inlineStr">
        <is>
          <t xml:space="preserve">At technical</t>
        </is>
      </c>
      <c r="AM719" s="41">
        <f>IF(ISNUMBER($AD719),Header!$I$3,"")</f>
      </c>
      <c r="AN719" s="39">
        <f>IF(ISNUMBER($AD719),$AO719+$AP719,"")</f>
      </c>
      <c r="AO719" s="39">
        <f>IF(ISNUMBER($AD719),ROUND($AD719*Header!$K$3,2),"")</f>
      </c>
      <c r="AP719" s="39">
        <f>IF(ISNUMBER($AD719),ROUND($AD719*Header!$M$3,2),"")</f>
      </c>
      <c r="AQ719" s="38">
        <f>IF(ISNUMBER($AD719),ROUND($AD719,2)-$AO719-$AP719,"")</f>
      </c>
      <c r="AR719" s="39">
        <f>IF(ISNUMBER($AD719),IF(Header!$D$34="","?",$AD719*Header!$D$34),"")</f>
      </c>
      <c r="AS719" s="39">
        <f>IF(ISNUMBER($AB719),IF(Header!$D$34="","?",$AB719*Header!$D$34),"")</f>
      </c>
      <c r="AT719" s="42">
        <f>IF(AND(ISNUMBER($AB719),$M719&gt;0),$AB719/$M719*100,"")</f>
      </c>
      <c r="AU719" s="42">
        <f>IF(AND(ISNUMBER($AD719),$M719&gt;0),$AD719/$M719*100,"")</f>
      </c>
      <c r="AV719" s="40">
        <f>IF(AND(ISNUMBER($AB719),ISNUMBER($AD719),ABS($AB719)&gt;0),$AD719/$AB719,"")</f>
      </c>
      <c r="AW719" s="39">
        <f>IF(ISNUMBER($AD719),MAX(0,(1-0.55-Header!$O$3)*Header!$Q$3*$AQ719),"")</f>
      </c>
      <c r="AX719" s="43">
        <f>IF($A719="","",IF(TRIM(IF($A719="","Missing certificate ref. ","") &amp; IF($C719="","Missing effective date. ","") &amp; IF($D719="","Missing binding status. ","") &amp; IF($E719="","Missing movement type. ","") &amp; IF($I719="","Missing make. ","") &amp; IF($L719="","Missing vehicle class. ","") &amp; IF($M719="","Missing agreed value. ","") &amp; IF($N719="","Missing policy type. ","") &amp; IF($Q719="","Missing garaging state. ","") &amp; IF($R719="","Missing garaging ZIP. ","") &amp; IF($S719="","Missing cat zone. ","") &amp; IF($V719="","Missing valuation basis. ","") &amp; IF($W719="","Missing PD deductible. ","") &amp; IF($X719="","Missing liability limit. ","") &amp; IF($AB719="","Missing technical premium. ","") &amp; IF($AF719="","Missing surplus lines tax %. ",""))="","PASS","FAIL: "&amp;TRIM(IF($A719="","Missing certificate ref. ","") &amp; IF($C719="","Missing effective date. ","") &amp; IF($D719="","Missing binding status. ","") &amp; IF($E719="","Missing movement type. ","") &amp; IF($I719="","Missing make. ","") &amp; IF($L719="","Missing vehicle class. ","") &amp; IF($M719="","Missing agreed value. ","") &amp; IF($N719="","Missing policy type. ","") &amp; IF($Q719="","Missing garaging state. ","") &amp; IF($R719="","Missing garaging ZIP. ","") &amp; IF($S719="","Missing cat zone. ","") &amp; IF($V719="","Missing valuation basis. ","") &amp; IF($W719="","Missing PD deductible. ","") &amp; IF($X719="","Missing liability limit. ","") &amp; IF($AB719="","Missing technical premium. ","") &amp; IF($AF719="","Missing surplus lines tax %. ",""))))</f>
      </c>
      <c r="AY719" s="44">
        <f>IF($M719="","",IF(ISNUMBER($M719),IF($M719&gt;=Header!$C$18,"YES — refer","No"),""))</f>
      </c>
      <c r="AZ719" s="44">
        <f>IF($AD719="","",IF(ISNUMBER($AD719),IF($AD719&lt;Header!$C$20,"BELOW MIN PREMIUM","OK"),""))</f>
      </c>
      <c r="BA719" s="32" t="inlineStr">
        <is>
          <t xml:space="preserve">Yes</t>
        </is>
      </c>
      <c r="BB719" s="32" t="inlineStr">
        <is>
          <t xml:space="preserve">Yes</t>
        </is>
      </c>
      <c r="BC719" s="30" t="inlineStr">
        <is>
          <t xml:space="preserve">Synthetic demo data</t>
        </is>
      </c>
      <c r="BE719" s="45">
        <f>IF(OR($A719="",$L719="",$H719=""),"",IF(AND(LEFT($L719,2)="06",$H719&gt;1945),"FAIL - pre-war class, year "&amp;$H719,IF(AND(LEFT($L719,2)="07",OR($H719&lt;1946,$H719&gt;1972)),"FAIL - 1946-72 class, year "&amp;$H719,IF(AND(LEFT($L719,2)="08",OR($H719&lt;1973,$H719&gt;1999)),"FAIL - 1973-99 class, year "&amp;$H719,IF(AND(LEFT($L719,2)="09",OR($H719&lt;2000,$H719&gt;2010)),"FAIL - 2000-10 class, year "&amp;$H719,"OK")))))</f>
      </c>
      <c r="BF719" s="45">
        <f>IF($AD719="","",IF(ROUND($AO719+$AP719+$AQ719-$AD719,2)=0,"OK","FAIL - out by "&amp;TEXT($AO719+$AP719+$AQ719-$AD719,"$0.00")))</f>
      </c>
    </row>
    <row r="720" spans="1:58" ht="18.75" customHeight="1" x14ac:dyDescent="0.25">
      <c r="A720" s="46" t="inlineStr">
        <is>
          <t xml:space="preserve">CANON-202606-009392</t>
        </is>
      </c>
      <c r="B720" s="46" t="inlineStr">
        <is>
          <t xml:space="preserve">Fenwick Underwood</t>
        </is>
      </c>
      <c r="C720" s="47">
        <v>46174</v>
      </c>
      <c r="D720" s="48" t="inlineStr">
        <is>
          <t xml:space="preserve">Bound - within authority</t>
        </is>
      </c>
      <c r="E720" s="48" t="inlineStr">
        <is>
          <t xml:space="preserve">New business</t>
        </is>
      </c>
      <c r="F720" s="46" t="inlineStr">
        <is>
          <t xml:space="preserve">B1234EXOTIC26</t>
        </is>
      </c>
      <c r="G720" s="33">
        <f>IF($A720="","",IF($C720="","",YEAR($C720)))</f>
      </c>
      <c r="H720" s="49">
        <v>2021</v>
      </c>
      <c r="I720" s="46" t="inlineStr">
        <is>
          <t xml:space="preserve">BMW</t>
        </is>
      </c>
      <c r="J720" s="46" t="inlineStr">
        <is>
          <t xml:space="preserve">M8 Competition</t>
        </is>
      </c>
      <c r="K720" s="46" t="inlineStr">
        <is>
          <t xml:space="preserve">GJWT1TVJJDGW4RGFU</t>
        </is>
      </c>
      <c r="L720" s="48" t="inlineStr">
        <is>
          <t xml:space="preserve">02 - Sports / GT</t>
        </is>
      </c>
      <c r="M720" s="50">
        <v>415000</v>
      </c>
      <c r="N720" s="48" t="inlineStr">
        <is>
          <t xml:space="preserve">Personal</t>
        </is>
      </c>
      <c r="O720" s="46" t="inlineStr">
        <is>
          <t xml:space="preserve">Personal - regular use</t>
        </is>
      </c>
      <c r="P720" s="46" t="inlineStr">
        <is>
          <t xml:space="preserve">Under 1,000</t>
        </is>
      </c>
      <c r="Q720" s="46" t="inlineStr">
        <is>
          <t xml:space="preserve">South Carolina</t>
        </is>
      </c>
      <c r="R720" s="46" t="inlineStr">
        <is>
          <t xml:space="preserve">29401</t>
        </is>
      </c>
      <c r="S720" s="48" t="inlineStr">
        <is>
          <t xml:space="preserve">Tier 2 - Coastal wind (1-25 miles)</t>
        </is>
      </c>
      <c r="T720" s="36">
        <f>IF($A720="","",IF($S720="","",IFERROR(INDEX('[1]natural catastrophe'!$D$6:$D$17,MATCH($S720,'[1]natural catastrophe'!$B$6:$B$17,0)),"?")))</f>
      </c>
      <c r="U720" s="46" t="inlineStr">
        <is>
          <t xml:space="preserve">2% of agreed value, minimum $10,000</t>
        </is>
      </c>
      <c r="V720" s="48" t="inlineStr">
        <is>
          <t xml:space="preserve">Agreed Value</t>
        </is>
      </c>
      <c r="W720" s="46" t="inlineStr">
        <is>
          <t xml:space="preserve">$1,000</t>
        </is>
      </c>
      <c r="X720" s="48" t="inlineStr">
        <is>
          <t xml:space="preserve">$1,000,000 CSL</t>
        </is>
      </c>
      <c r="Y720" s="46"/>
      <c r="Z720" s="46"/>
      <c r="AA720" s="48" t="inlineStr">
        <is>
          <t xml:space="preserve">Surplus Lines</t>
        </is>
      </c>
      <c r="AB720" s="50">
        <v>5569.33</v>
      </c>
      <c r="AC720" s="51">
        <v>0</v>
      </c>
      <c r="AD720" s="38">
        <f>IF(ISNUMBER($AB720),$AB720*(1+N($AC720)),"")</f>
      </c>
      <c r="AE720" s="50">
        <v>350</v>
      </c>
      <c r="AF720" s="50">
        <v>0</v>
      </c>
      <c r="AG720" s="51"/>
      <c r="AH720" s="39">
        <f>IF(ISNUMBER($AD720),($AD720+$AE720+$AF720)*$AG720,"")</f>
      </c>
      <c r="AI720" s="50"/>
      <c r="AJ720" s="38">
        <f>IF(ISNUMBER($AD720),SUM($AD720:$AH720),"")</f>
      </c>
      <c r="AK720" s="40">
        <f>IF(AND(ISNUMBER($AB720),ISNUMBER($AD720)),IF($AB720&gt;0,$AD720/$AB720,""),"")</f>
      </c>
      <c r="AL720" s="48" t="inlineStr">
        <is>
          <t xml:space="preserve">At technical</t>
        </is>
      </c>
      <c r="AM720" s="41">
        <f>IF(ISNUMBER($AD720),Header!$I$3,"")</f>
      </c>
      <c r="AN720" s="39">
        <f>IF(ISNUMBER($AD720),$AO720+$AP720,"")</f>
      </c>
      <c r="AO720" s="39">
        <f>IF(ISNUMBER($AD720),ROUND($AD720*Header!$K$3,2),"")</f>
      </c>
      <c r="AP720" s="39">
        <f>IF(ISNUMBER($AD720),ROUND($AD720*Header!$M$3,2),"")</f>
      </c>
      <c r="AQ720" s="38">
        <f>IF(ISNUMBER($AD720),ROUND($AD720,2)-$AO720-$AP720,"")</f>
      </c>
      <c r="AR720" s="39">
        <f>IF(ISNUMBER($AD720),IF(Header!$D$34="","?",$AD720*Header!$D$34),"")</f>
      </c>
      <c r="AS720" s="39">
        <f>IF(ISNUMBER($AB720),IF(Header!$D$34="","?",$AB720*Header!$D$34),"")</f>
      </c>
      <c r="AT720" s="42">
        <f>IF(AND(ISNUMBER($AB720),$M720&gt;0),$AB720/$M720*100,"")</f>
      </c>
      <c r="AU720" s="42">
        <f>IF(AND(ISNUMBER($AD720),$M720&gt;0),$AD720/$M720*100,"")</f>
      </c>
      <c r="AV720" s="40">
        <f>IF(AND(ISNUMBER($AB720),ISNUMBER($AD720),ABS($AB720)&gt;0),$AD720/$AB720,"")</f>
      </c>
      <c r="AW720" s="39">
        <f>IF(ISNUMBER($AD720),MAX(0,(1-0.55-Header!$O$3)*Header!$Q$3*$AQ720),"")</f>
      </c>
      <c r="AX720" s="43">
        <f>IF($A720="","",IF(TRIM(IF($A720="","Missing certificate ref. ","") &amp; IF($C720="","Missing effective date. ","") &amp; IF($D720="","Missing binding status. ","") &amp; IF($E720="","Missing movement type. ","") &amp; IF($I720="","Missing make. ","") &amp; IF($L720="","Missing vehicle class. ","") &amp; IF($M720="","Missing agreed value. ","") &amp; IF($N720="","Missing policy type. ","") &amp; IF($Q720="","Missing garaging state. ","") &amp; IF($R720="","Missing garaging ZIP. ","") &amp; IF($S720="","Missing cat zone. ","") &amp; IF($V720="","Missing valuation basis. ","") &amp; IF($W720="","Missing PD deductible. ","") &amp; IF($X720="","Missing liability limit. ","") &amp; IF($AB720="","Missing technical premium. ","") &amp; IF($AF720="","Missing surplus lines tax %. ",""))="","PASS","FAIL: "&amp;TRIM(IF($A720="","Missing certificate ref. ","") &amp; IF($C720="","Missing effective date. ","") &amp; IF($D720="","Missing binding status. ","") &amp; IF($E720="","Missing movement type. ","") &amp; IF($I720="","Missing make. ","") &amp; IF($L720="","Missing vehicle class. ","") &amp; IF($M720="","Missing agreed value. ","") &amp; IF($N720="","Missing policy type. ","") &amp; IF($Q720="","Missing garaging state. ","") &amp; IF($R720="","Missing garaging ZIP. ","") &amp; IF($S720="","Missing cat zone. ","") &amp; IF($V720="","Missing valuation basis. ","") &amp; IF($W720="","Missing PD deductible. ","") &amp; IF($X720="","Missing liability limit. ","") &amp; IF($AB720="","Missing technical premium. ","") &amp; IF($AF720="","Missing surplus lines tax %. ",""))))</f>
      </c>
      <c r="AY720" s="44">
        <f>IF($M720="","",IF(ISNUMBER($M720),IF($M720&gt;=Header!$C$18,"YES — refer","No"),""))</f>
      </c>
      <c r="AZ720" s="44">
        <f>IF($AD720="","",IF(ISNUMBER($AD720),IF($AD720&lt;Header!$C$20,"BELOW MIN PREMIUM","OK"),""))</f>
      </c>
      <c r="BA720" s="48" t="inlineStr">
        <is>
          <t xml:space="preserve">Yes</t>
        </is>
      </c>
      <c r="BB720" s="48" t="inlineStr">
        <is>
          <t xml:space="preserve">Yes</t>
        </is>
      </c>
      <c r="BC720" s="46" t="inlineStr">
        <is>
          <t xml:space="preserve">Synthetic demo data</t>
        </is>
      </c>
      <c r="BE720" s="45">
        <f>IF(OR($A720="",$L720="",$H720=""),"",IF(AND(LEFT($L720,2)="06",$H720&gt;1945),"FAIL - pre-war class, year "&amp;$H720,IF(AND(LEFT($L720,2)="07",OR($H720&lt;1946,$H720&gt;1972)),"FAIL - 1946-72 class, year "&amp;$H720,IF(AND(LEFT($L720,2)="08",OR($H720&lt;1973,$H720&gt;1999)),"FAIL - 1973-99 class, year "&amp;$H720,IF(AND(LEFT($L720,2)="09",OR($H720&lt;2000,$H720&gt;2010)),"FAIL - 2000-10 class, year "&amp;$H720,"OK")))))</f>
      </c>
      <c r="BF720" s="45">
        <f>IF($AD720="","",IF(ROUND($AO720+$AP720+$AQ720-$AD720,2)=0,"OK","FAIL - out by "&amp;TEXT($AO720+$AP720+$AQ720-$AD720,"$0.00")))</f>
      </c>
    </row>
    <row r="721" spans="1:58" ht="18.75" customHeight="1" x14ac:dyDescent="0.25">
      <c r="A721" s="30" t="inlineStr">
        <is>
          <t xml:space="preserve">CANON-202606-009393</t>
        </is>
      </c>
      <c r="B721" s="30" t="inlineStr">
        <is>
          <t xml:space="preserve">Mireille Pennington</t>
        </is>
      </c>
      <c r="C721" s="31">
        <v>46194</v>
      </c>
      <c r="D721" s="32" t="inlineStr">
        <is>
          <t xml:space="preserve">Bound - within authority</t>
        </is>
      </c>
      <c r="E721" s="32" t="inlineStr">
        <is>
          <t xml:space="preserve">New business</t>
        </is>
      </c>
      <c r="F721" s="30" t="inlineStr">
        <is>
          <t xml:space="preserve">B1234EXOTIC26</t>
        </is>
      </c>
      <c r="G721" s="33">
        <f>IF($A721="","",IF($C721="","",YEAR($C721)))</f>
      </c>
      <c r="H721" s="34">
        <v>1987</v>
      </c>
      <c r="I721" s="30" t="inlineStr">
        <is>
          <t xml:space="preserve">Bentley</t>
        </is>
      </c>
      <c r="J721" s="30" t="inlineStr">
        <is>
          <t xml:space="preserve">Continental GT</t>
        </is>
      </c>
      <c r="K721" s="30" t="inlineStr">
        <is>
          <t xml:space="preserve">X6NU8X9939Z3D1WYD</t>
        </is>
      </c>
      <c r="L721" s="32" t="inlineStr">
        <is>
          <t xml:space="preserve">02 - Sports / GT</t>
        </is>
      </c>
      <c r="M721" s="35">
        <v>575000</v>
      </c>
      <c r="N721" s="32" t="inlineStr">
        <is>
          <t xml:space="preserve">Personal</t>
        </is>
      </c>
      <c r="O721" s="30" t="inlineStr">
        <is>
          <t xml:space="preserve">Personal - regular use</t>
        </is>
      </c>
      <c r="P721" s="30" t="inlineStr">
        <is>
          <t xml:space="preserve">1,000 - 2,500</t>
        </is>
      </c>
      <c r="Q721" s="30" t="inlineStr">
        <is>
          <t xml:space="preserve">North Dakota</t>
        </is>
      </c>
      <c r="R721" s="30" t="inlineStr">
        <is>
          <t xml:space="preserve">58501</t>
        </is>
      </c>
      <c r="S721" s="32" t="inlineStr">
        <is>
          <t xml:space="preserve">Severe convective - hail alley (high)</t>
        </is>
      </c>
      <c r="T721" s="36">
        <f>IF($A721="","",IF($S721="","",IFERROR(INDEX('[1]natural catastrophe'!$D$6:$D$17,MATCH($S721,'[1]natural catastrophe'!$B$6:$B$17,0)),"?")))</f>
      </c>
      <c r="U721" s="30" t="inlineStr">
        <is>
          <t xml:space="preserve">$5,000</t>
        </is>
      </c>
      <c r="V721" s="32" t="inlineStr">
        <is>
          <t xml:space="preserve">Agreed Value</t>
        </is>
      </c>
      <c r="W721" s="30" t="inlineStr">
        <is>
          <t xml:space="preserve">$1,000</t>
        </is>
      </c>
      <c r="X721" s="32" t="inlineStr">
        <is>
          <t xml:space="preserve">$1,000,000 CSL</t>
        </is>
      </c>
      <c r="Y721" s="30"/>
      <c r="Z721" s="30"/>
      <c r="AA721" s="32" t="inlineStr">
        <is>
          <t xml:space="preserve">Surplus Lines</t>
        </is>
      </c>
      <c r="AB721" s="35">
        <v>5501.15</v>
      </c>
      <c r="AC721" s="37">
        <v>0</v>
      </c>
      <c r="AD721" s="38">
        <f>IF(ISNUMBER($AB721),$AB721*(1+N($AC721)),"")</f>
      </c>
      <c r="AE721" s="35">
        <v>350</v>
      </c>
      <c r="AF721" s="35">
        <v>0</v>
      </c>
      <c r="AG721" s="37"/>
      <c r="AH721" s="39">
        <f>IF(ISNUMBER($AD721),($AD721+$AE721+$AF721)*$AG721,"")</f>
      </c>
      <c r="AI721" s="35"/>
      <c r="AJ721" s="38">
        <f>IF(ISNUMBER($AD721),SUM($AD721:$AH721),"")</f>
      </c>
      <c r="AK721" s="40">
        <f>IF(AND(ISNUMBER($AB721),ISNUMBER($AD721)),IF($AB721&gt;0,$AD721/$AB721,""),"")</f>
      </c>
      <c r="AL721" s="32" t="inlineStr">
        <is>
          <t xml:space="preserve">At technical</t>
        </is>
      </c>
      <c r="AM721" s="41">
        <f>IF(ISNUMBER($AD721),Header!$I$3,"")</f>
      </c>
      <c r="AN721" s="39">
        <f>IF(ISNUMBER($AD721),$AO721+$AP721,"")</f>
      </c>
      <c r="AO721" s="39">
        <f>IF(ISNUMBER($AD721),ROUND($AD721*Header!$K$3,2),"")</f>
      </c>
      <c r="AP721" s="39">
        <f>IF(ISNUMBER($AD721),ROUND($AD721*Header!$M$3,2),"")</f>
      </c>
      <c r="AQ721" s="38">
        <f>IF(ISNUMBER($AD721),ROUND($AD721,2)-$AO721-$AP721,"")</f>
      </c>
      <c r="AR721" s="39">
        <f>IF(ISNUMBER($AD721),IF(Header!$D$34="","?",$AD721*Header!$D$34),"")</f>
      </c>
      <c r="AS721" s="39">
        <f>IF(ISNUMBER($AB721),IF(Header!$D$34="","?",$AB721*Header!$D$34),"")</f>
      </c>
      <c r="AT721" s="42">
        <f>IF(AND(ISNUMBER($AB721),$M721&gt;0),$AB721/$M721*100,"")</f>
      </c>
      <c r="AU721" s="42">
        <f>IF(AND(ISNUMBER($AD721),$M721&gt;0),$AD721/$M721*100,"")</f>
      </c>
      <c r="AV721" s="40">
        <f>IF(AND(ISNUMBER($AB721),ISNUMBER($AD721),ABS($AB721)&gt;0),$AD721/$AB721,"")</f>
      </c>
      <c r="AW721" s="39">
        <f>IF(ISNUMBER($AD721),MAX(0,(1-0.55-Header!$O$3)*Header!$Q$3*$AQ721),"")</f>
      </c>
      <c r="AX721" s="43">
        <f>IF($A721="","",IF(TRIM(IF($A721="","Missing certificate ref. ","") &amp; IF($C721="","Missing effective date. ","") &amp; IF($D721="","Missing binding status. ","") &amp; IF($E721="","Missing movement type. ","") &amp; IF($I721="","Missing make. ","") &amp; IF($L721="","Missing vehicle class. ","") &amp; IF($M721="","Missing agreed value. ","") &amp; IF($N721="","Missing policy type. ","") &amp; IF($Q721="","Missing garaging state. ","") &amp; IF($R721="","Missing garaging ZIP. ","") &amp; IF($S721="","Missing cat zone. ","") &amp; IF($V721="","Missing valuation basis. ","") &amp; IF($W721="","Missing PD deductible. ","") &amp; IF($X721="","Missing liability limit. ","") &amp; IF($AB721="","Missing technical premium. ","") &amp; IF($AF721="","Missing surplus lines tax %. ",""))="","PASS","FAIL: "&amp;TRIM(IF($A721="","Missing certificate ref. ","") &amp; IF($C721="","Missing effective date. ","") &amp; IF($D721="","Missing binding status. ","") &amp; IF($E721="","Missing movement type. ","") &amp; IF($I721="","Missing make. ","") &amp; IF($L721="","Missing vehicle class. ","") &amp; IF($M721="","Missing agreed value. ","") &amp; IF($N721="","Missing policy type. ","") &amp; IF($Q721="","Missing garaging state. ","") &amp; IF($R721="","Missing garaging ZIP. ","") &amp; IF($S721="","Missing cat zone. ","") &amp; IF($V721="","Missing valuation basis. ","") &amp; IF($W721="","Missing PD deductible. ","") &amp; IF($X721="","Missing liability limit. ","") &amp; IF($AB721="","Missing technical premium. ","") &amp; IF($AF721="","Missing surplus lines tax %. ",""))))</f>
      </c>
      <c r="AY721" s="44">
        <f>IF($M721="","",IF(ISNUMBER($M721),IF($M721&gt;=Header!$C$18,"YES — refer","No"),""))</f>
      </c>
      <c r="AZ721" s="44">
        <f>IF($AD721="","",IF(ISNUMBER($AD721),IF($AD721&lt;Header!$C$20,"BELOW MIN PREMIUM","OK"),""))</f>
      </c>
      <c r="BA721" s="32" t="inlineStr">
        <is>
          <t xml:space="preserve">Yes</t>
        </is>
      </c>
      <c r="BB721" s="32" t="inlineStr">
        <is>
          <t xml:space="preserve">Yes</t>
        </is>
      </c>
      <c r="BC721" s="30" t="inlineStr">
        <is>
          <t xml:space="preserve">Synthetic demo data</t>
        </is>
      </c>
      <c r="BE721" s="45">
        <f>IF(OR($A721="",$L721="",$H721=""),"",IF(AND(LEFT($L721,2)="06",$H721&gt;1945),"FAIL - pre-war class, year "&amp;$H721,IF(AND(LEFT($L721,2)="07",OR($H721&lt;1946,$H721&gt;1972)),"FAIL - 1946-72 class, year "&amp;$H721,IF(AND(LEFT($L721,2)="08",OR($H721&lt;1973,$H721&gt;1999)),"FAIL - 1973-99 class, year "&amp;$H721,IF(AND(LEFT($L721,2)="09",OR($H721&lt;2000,$H721&gt;2010)),"FAIL - 2000-10 class, year "&amp;$H721,"OK")))))</f>
      </c>
      <c r="BF721" s="45">
        <f>IF($AD721="","",IF(ROUND($AO721+$AP721+$AQ721-$AD721,2)=0,"OK","FAIL - out by "&amp;TEXT($AO721+$AP721+$AQ721-$AD721,"$0.00")))</f>
      </c>
    </row>
    <row r="722" spans="1:58" ht="18.75" customHeight="1" x14ac:dyDescent="0.25">
      <c r="A722" s="46" t="inlineStr">
        <is>
          <t xml:space="preserve">CANON-202606-009395</t>
        </is>
      </c>
      <c r="B722" s="46" t="inlineStr">
        <is>
          <t xml:space="preserve">Beatrix Farkas</t>
        </is>
      </c>
      <c r="C722" s="47">
        <v>46195</v>
      </c>
      <c r="D722" s="48" t="inlineStr">
        <is>
          <t xml:space="preserve">Bound - within authority</t>
        </is>
      </c>
      <c r="E722" s="48" t="inlineStr">
        <is>
          <t xml:space="preserve">New business</t>
        </is>
      </c>
      <c r="F722" s="46" t="inlineStr">
        <is>
          <t xml:space="preserve">B1234EXOTIC26</t>
        </is>
      </c>
      <c r="G722" s="33">
        <f>IF($A722="","",IF($C722="","",YEAR($C722)))</f>
      </c>
      <c r="H722" s="49">
        <v>1963</v>
      </c>
      <c r="I722" s="46" t="inlineStr">
        <is>
          <t xml:space="preserve">Alfa Romeo</t>
        </is>
      </c>
      <c r="J722" s="46" t="inlineStr">
        <is>
          <t xml:space="preserve">8C 2900</t>
        </is>
      </c>
      <c r="K722" s="46" t="inlineStr">
        <is>
          <t xml:space="preserve">2J7EX6TE30UY5TT69</t>
        </is>
      </c>
      <c r="L722" s="48" t="inlineStr">
        <is>
          <t xml:space="preserve">07 - Post-War Classic (1946-1972)</t>
        </is>
      </c>
      <c r="M722" s="50">
        <v>1375000</v>
      </c>
      <c r="N722" s="48" t="inlineStr">
        <is>
          <t xml:space="preserve">Personal</t>
        </is>
      </c>
      <c r="O722" s="46" t="inlineStr">
        <is>
          <t xml:space="preserve">Personal - regular use</t>
        </is>
      </c>
      <c r="P722" s="46" t="inlineStr">
        <is>
          <t xml:space="preserve">Under 1,000</t>
        </is>
      </c>
      <c r="Q722" s="46" t="inlineStr">
        <is>
          <t xml:space="preserve">Arkansas</t>
        </is>
      </c>
      <c r="R722" s="46" t="inlineStr">
        <is>
          <t xml:space="preserve">72201</t>
        </is>
      </c>
      <c r="S722" s="48" t="inlineStr">
        <is>
          <t xml:space="preserve">Severe convective - hail / tornado (moderate)</t>
        </is>
      </c>
      <c r="T722" s="36">
        <f>IF($A722="","",IF($S722="","",IFERROR(INDEX('[1]natural catastrophe'!$D$6:$D$17,MATCH($S722,'[1]natural catastrophe'!$B$6:$B$17,0)),"?")))</f>
      </c>
      <c r="U722" s="46" t="inlineStr">
        <is>
          <t xml:space="preserve">$5,000</t>
        </is>
      </c>
      <c r="V722" s="48" t="inlineStr">
        <is>
          <t xml:space="preserve">Agreed Value</t>
        </is>
      </c>
      <c r="W722" s="46" t="inlineStr">
        <is>
          <t xml:space="preserve">$1,000</t>
        </is>
      </c>
      <c r="X722" s="48" t="inlineStr">
        <is>
          <t xml:space="preserve">$1,000,000 CSL</t>
        </is>
      </c>
      <c r="Y722" s="46"/>
      <c r="Z722" s="46"/>
      <c r="AA722" s="48" t="inlineStr">
        <is>
          <t xml:space="preserve">Surplus Lines</t>
        </is>
      </c>
      <c r="AB722" s="50">
        <v>9309.64</v>
      </c>
      <c r="AC722" s="51">
        <v>0</v>
      </c>
      <c r="AD722" s="38">
        <f>IF(ISNUMBER($AB722),$AB722*(1+N($AC722)),"")</f>
      </c>
      <c r="AE722" s="50">
        <v>350</v>
      </c>
      <c r="AF722" s="50">
        <v>250</v>
      </c>
      <c r="AG722" s="51"/>
      <c r="AH722" s="39">
        <f>IF(ISNUMBER($AD722),($AD722+$AE722+$AF722)*$AG722,"")</f>
      </c>
      <c r="AI722" s="50"/>
      <c r="AJ722" s="38">
        <f>IF(ISNUMBER($AD722),SUM($AD722:$AH722),"")</f>
      </c>
      <c r="AK722" s="40">
        <f>IF(AND(ISNUMBER($AB722),ISNUMBER($AD722)),IF($AB722&gt;0,$AD722/$AB722,""),"")</f>
      </c>
      <c r="AL722" s="48" t="inlineStr">
        <is>
          <t xml:space="preserve">At technical</t>
        </is>
      </c>
      <c r="AM722" s="41">
        <f>IF(ISNUMBER($AD722),Header!$I$3,"")</f>
      </c>
      <c r="AN722" s="39">
        <f>IF(ISNUMBER($AD722),$AO722+$AP722,"")</f>
      </c>
      <c r="AO722" s="39">
        <f>IF(ISNUMBER($AD722),ROUND($AD722*Header!$K$3,2),"")</f>
      </c>
      <c r="AP722" s="39">
        <f>IF(ISNUMBER($AD722),ROUND($AD722*Header!$M$3,2),"")</f>
      </c>
      <c r="AQ722" s="38">
        <f>IF(ISNUMBER($AD722),ROUND($AD722,2)-$AO722-$AP722,"")</f>
      </c>
      <c r="AR722" s="39">
        <f>IF(ISNUMBER($AD722),IF(Header!$D$34="","?",$AD722*Header!$D$34),"")</f>
      </c>
      <c r="AS722" s="39">
        <f>IF(ISNUMBER($AB722),IF(Header!$D$34="","?",$AB722*Header!$D$34),"")</f>
      </c>
      <c r="AT722" s="42">
        <f>IF(AND(ISNUMBER($AB722),$M722&gt;0),$AB722/$M722*100,"")</f>
      </c>
      <c r="AU722" s="42">
        <f>IF(AND(ISNUMBER($AD722),$M722&gt;0),$AD722/$M722*100,"")</f>
      </c>
      <c r="AV722" s="40">
        <f>IF(AND(ISNUMBER($AB722),ISNUMBER($AD722),ABS($AB722)&gt;0),$AD722/$AB722,"")</f>
      </c>
      <c r="AW722" s="39">
        <f>IF(ISNUMBER($AD722),MAX(0,(1-0.55-Header!$O$3)*Header!$Q$3*$AQ722),"")</f>
      </c>
      <c r="AX722" s="43">
        <f>IF($A722="","",IF(TRIM(IF($A722="","Missing certificate ref. ","") &amp; IF($C722="","Missing effective date. ","") &amp; IF($D722="","Missing binding status. ","") &amp; IF($E722="","Missing movement type. ","") &amp; IF($I722="","Missing make. ","") &amp; IF($L722="","Missing vehicle class. ","") &amp; IF($M722="","Missing agreed value. ","") &amp; IF($N722="","Missing policy type. ","") &amp; IF($Q722="","Missing garaging state. ","") &amp; IF($R722="","Missing garaging ZIP. ","") &amp; IF($S722="","Missing cat zone. ","") &amp; IF($V722="","Missing valuation basis. ","") &amp; IF($W722="","Missing PD deductible. ","") &amp; IF($X722="","Missing liability limit. ","") &amp; IF($AB722="","Missing technical premium. ","") &amp; IF($AF722="","Missing surplus lines tax %. ",""))="","PASS","FAIL: "&amp;TRIM(IF($A722="","Missing certificate ref. ","") &amp; IF($C722="","Missing effective date. ","") &amp; IF($D722="","Missing binding status. ","") &amp; IF($E722="","Missing movement type. ","") &amp; IF($I722="","Missing make. ","") &amp; IF($L722="","Missing vehicle class. ","") &amp; IF($M722="","Missing agreed value. ","") &amp; IF($N722="","Missing policy type. ","") &amp; IF($Q722="","Missing garaging state. ","") &amp; IF($R722="","Missing garaging ZIP. ","") &amp; IF($S722="","Missing cat zone. ","") &amp; IF($V722="","Missing valuation basis. ","") &amp; IF($W722="","Missing PD deductible. ","") &amp; IF($X722="","Missing liability limit. ","") &amp; IF($AB722="","Missing technical premium. ","") &amp; IF($AF722="","Missing surplus lines tax %. ",""))))</f>
      </c>
      <c r="AY722" s="44">
        <f>IF($M722="","",IF(ISNUMBER($M722),IF($M722&gt;=Header!$C$18,"YES — refer","No"),""))</f>
      </c>
      <c r="AZ722" s="44">
        <f>IF($AD722="","",IF(ISNUMBER($AD722),IF($AD722&lt;Header!$C$20,"BELOW MIN PREMIUM","OK"),""))</f>
      </c>
      <c r="BA722" s="48" t="inlineStr">
        <is>
          <t xml:space="preserve">Yes</t>
        </is>
      </c>
      <c r="BB722" s="48" t="inlineStr">
        <is>
          <t xml:space="preserve">Yes</t>
        </is>
      </c>
      <c r="BC722" s="46" t="inlineStr">
        <is>
          <t xml:space="preserve">Synthetic demo data</t>
        </is>
      </c>
      <c r="BE722" s="45">
        <f>IF(OR($A722="",$L722="",$H722=""),"",IF(AND(LEFT($L722,2)="06",$H722&gt;1945),"FAIL - pre-war class, year "&amp;$H722,IF(AND(LEFT($L722,2)="07",OR($H722&lt;1946,$H722&gt;1972)),"FAIL - 1946-72 class, year "&amp;$H722,IF(AND(LEFT($L722,2)="08",OR($H722&lt;1973,$H722&gt;1999)),"FAIL - 1973-99 class, year "&amp;$H722,IF(AND(LEFT($L722,2)="09",OR($H722&lt;2000,$H722&gt;2010)),"FAIL - 2000-10 class, year "&amp;$H722,"OK")))))</f>
      </c>
      <c r="BF722" s="45">
        <f>IF($AD722="","",IF(ROUND($AO722+$AP722+$AQ722-$AD722,2)=0,"OK","FAIL - out by "&amp;TEXT($AO722+$AP722+$AQ722-$AD722,"$0.00")))</f>
      </c>
    </row>
    <row r="723" spans="1:58" ht="18.75" customHeight="1" x14ac:dyDescent="0.25">
      <c r="A723" s="30" t="inlineStr">
        <is>
          <t xml:space="preserve">CANON-202606-009397</t>
        </is>
      </c>
      <c r="B723" s="30" t="inlineStr">
        <is>
          <t xml:space="preserve">Anouk Nakashima</t>
        </is>
      </c>
      <c r="C723" s="31">
        <v>46199</v>
      </c>
      <c r="D723" s="32" t="inlineStr">
        <is>
          <t xml:space="preserve">Bound - within authority</t>
        </is>
      </c>
      <c r="E723" s="32" t="inlineStr">
        <is>
          <t xml:space="preserve">New business</t>
        </is>
      </c>
      <c r="F723" s="30" t="inlineStr">
        <is>
          <t xml:space="preserve">B1234EXOTIC26</t>
        </is>
      </c>
      <c r="G723" s="33">
        <f>IF($A723="","",IF($C723="","",YEAR($C723)))</f>
      </c>
      <c r="H723" s="34">
        <v>1986</v>
      </c>
      <c r="I723" s="30" t="inlineStr">
        <is>
          <t xml:space="preserve">Bentley</t>
        </is>
      </c>
      <c r="J723" s="30" t="inlineStr">
        <is>
          <t xml:space="preserve">4.5 Litre</t>
        </is>
      </c>
      <c r="K723" s="30" t="inlineStr">
        <is>
          <t xml:space="preserve">WHY101FRCPFGTLDUT</t>
        </is>
      </c>
      <c r="L723" s="32" t="inlineStr">
        <is>
          <t xml:space="preserve">08 - Modern Classic (1973-1999)</t>
        </is>
      </c>
      <c r="M723" s="35">
        <v>880000</v>
      </c>
      <c r="N723" s="32" t="inlineStr">
        <is>
          <t xml:space="preserve">Personal</t>
        </is>
      </c>
      <c r="O723" s="30" t="inlineStr">
        <is>
          <t xml:space="preserve">Personal - regular use</t>
        </is>
      </c>
      <c r="P723" s="30" t="inlineStr">
        <is>
          <t xml:space="preserve">Under 1,000</t>
        </is>
      </c>
      <c r="Q723" s="30" t="inlineStr">
        <is>
          <t xml:space="preserve">California</t>
        </is>
      </c>
      <c r="R723" s="30" t="inlineStr">
        <is>
          <t xml:space="preserve">90012</t>
        </is>
      </c>
      <c r="S723" s="32" t="inlineStr">
        <is>
          <t xml:space="preserve">Earthquake - high (CA, Cascadia, New Madrid)</t>
        </is>
      </c>
      <c r="T723" s="36">
        <f>IF($A723="","",IF($S723="","",IFERROR(INDEX('[1]natural catastrophe'!$D$6:$D$17,MATCH($S723,'[1]natural catastrophe'!$B$6:$B$17,0)),"?")))</f>
      </c>
      <c r="U723" s="30" t="inlineStr">
        <is>
          <t xml:space="preserve">$5,000</t>
        </is>
      </c>
      <c r="V723" s="32" t="inlineStr">
        <is>
          <t xml:space="preserve">Agreed Value</t>
        </is>
      </c>
      <c r="W723" s="30" t="inlineStr">
        <is>
          <t xml:space="preserve">$1,000</t>
        </is>
      </c>
      <c r="X723" s="32" t="inlineStr">
        <is>
          <t xml:space="preserve">$1,000,000 CSL</t>
        </is>
      </c>
      <c r="Y723" s="30"/>
      <c r="Z723" s="30"/>
      <c r="AA723" s="32" t="inlineStr">
        <is>
          <t xml:space="preserve">Surplus Lines</t>
        </is>
      </c>
      <c r="AB723" s="35">
        <v>6514.37</v>
      </c>
      <c r="AC723" s="37">
        <v>0</v>
      </c>
      <c r="AD723" s="38">
        <f>IF(ISNUMBER($AB723),$AB723*(1+N($AC723)),"")</f>
      </c>
      <c r="AE723" s="35">
        <v>350</v>
      </c>
      <c r="AF723" s="35">
        <v>0</v>
      </c>
      <c r="AG723" s="37"/>
      <c r="AH723" s="39">
        <f>IF(ISNUMBER($AD723),($AD723+$AE723+$AF723)*$AG723,"")</f>
      </c>
      <c r="AI723" s="35"/>
      <c r="AJ723" s="38">
        <f>IF(ISNUMBER($AD723),SUM($AD723:$AH723),"")</f>
      </c>
      <c r="AK723" s="40">
        <f>IF(AND(ISNUMBER($AB723),ISNUMBER($AD723)),IF($AB723&gt;0,$AD723/$AB723,""),"")</f>
      </c>
      <c r="AL723" s="32" t="inlineStr">
        <is>
          <t xml:space="preserve">At technical</t>
        </is>
      </c>
      <c r="AM723" s="41">
        <f>IF(ISNUMBER($AD723),Header!$I$3,"")</f>
      </c>
      <c r="AN723" s="39">
        <f>IF(ISNUMBER($AD723),$AO723+$AP723,"")</f>
      </c>
      <c r="AO723" s="39">
        <f>IF(ISNUMBER($AD723),ROUND($AD723*Header!$K$3,2),"")</f>
      </c>
      <c r="AP723" s="39">
        <f>IF(ISNUMBER($AD723),ROUND($AD723*Header!$M$3,2),"")</f>
      </c>
      <c r="AQ723" s="38">
        <f>IF(ISNUMBER($AD723),ROUND($AD723,2)-$AO723-$AP723,"")</f>
      </c>
      <c r="AR723" s="39">
        <f>IF(ISNUMBER($AD723),IF(Header!$D$34="","?",$AD723*Header!$D$34),"")</f>
      </c>
      <c r="AS723" s="39">
        <f>IF(ISNUMBER($AB723),IF(Header!$D$34="","?",$AB723*Header!$D$34),"")</f>
      </c>
      <c r="AT723" s="42">
        <f>IF(AND(ISNUMBER($AB723),$M723&gt;0),$AB723/$M723*100,"")</f>
      </c>
      <c r="AU723" s="42">
        <f>IF(AND(ISNUMBER($AD723),$M723&gt;0),$AD723/$M723*100,"")</f>
      </c>
      <c r="AV723" s="40">
        <f>IF(AND(ISNUMBER($AB723),ISNUMBER($AD723),ABS($AB723)&gt;0),$AD723/$AB723,"")</f>
      </c>
      <c r="AW723" s="39">
        <f>IF(ISNUMBER($AD723),MAX(0,(1-0.55-Header!$O$3)*Header!$Q$3*$AQ723),"")</f>
      </c>
      <c r="AX723" s="43">
        <f>IF($A723="","",IF(TRIM(IF($A723="","Missing certificate ref. ","") &amp; IF($C723="","Missing effective date. ","") &amp; IF($D723="","Missing binding status. ","") &amp; IF($E723="","Missing movement type. ","") &amp; IF($I723="","Missing make. ","") &amp; IF($L723="","Missing vehicle class. ","") &amp; IF($M723="","Missing agreed value. ","") &amp; IF($N723="","Missing policy type. ","") &amp; IF($Q723="","Missing garaging state. ","") &amp; IF($R723="","Missing garaging ZIP. ","") &amp; IF($S723="","Missing cat zone. ","") &amp; IF($V723="","Missing valuation basis. ","") &amp; IF($W723="","Missing PD deductible. ","") &amp; IF($X723="","Missing liability limit. ","") &amp; IF($AB723="","Missing technical premium. ","") &amp; IF($AF723="","Missing surplus lines tax %. ",""))="","PASS","FAIL: "&amp;TRIM(IF($A723="","Missing certificate ref. ","") &amp; IF($C723="","Missing effective date. ","") &amp; IF($D723="","Missing binding status. ","") &amp; IF($E723="","Missing movement type. ","") &amp; IF($I723="","Missing make. ","") &amp; IF($L723="","Missing vehicle class. ","") &amp; IF($M723="","Missing agreed value. ","") &amp; IF($N723="","Missing policy type. ","") &amp; IF($Q723="","Missing garaging state. ","") &amp; IF($R723="","Missing garaging ZIP. ","") &amp; IF($S723="","Missing cat zone. ","") &amp; IF($V723="","Missing valuation basis. ","") &amp; IF($W723="","Missing PD deductible. ","") &amp; IF($X723="","Missing liability limit. ","") &amp; IF($AB723="","Missing technical premium. ","") &amp; IF($AF723="","Missing surplus lines tax %. ",""))))</f>
      </c>
      <c r="AY723" s="44">
        <f>IF($M723="","",IF(ISNUMBER($M723),IF($M723&gt;=Header!$C$18,"YES — refer","No"),""))</f>
      </c>
      <c r="AZ723" s="44">
        <f>IF($AD723="","",IF(ISNUMBER($AD723),IF($AD723&lt;Header!$C$20,"BELOW MIN PREMIUM","OK"),""))</f>
      </c>
      <c r="BA723" s="32" t="inlineStr">
        <is>
          <t xml:space="preserve">Yes</t>
        </is>
      </c>
      <c r="BB723" s="32" t="inlineStr">
        <is>
          <t xml:space="preserve">Yes</t>
        </is>
      </c>
      <c r="BC723" s="30" t="inlineStr">
        <is>
          <t xml:space="preserve">Synthetic demo data</t>
        </is>
      </c>
      <c r="BE723" s="45">
        <f>IF(OR($A723="",$L723="",$H723=""),"",IF(AND(LEFT($L723,2)="06",$H723&gt;1945),"FAIL - pre-war class, year "&amp;$H723,IF(AND(LEFT($L723,2)="07",OR($H723&lt;1946,$H723&gt;1972)),"FAIL - 1946-72 class, year "&amp;$H723,IF(AND(LEFT($L723,2)="08",OR($H723&lt;1973,$H723&gt;1999)),"FAIL - 1973-99 class, year "&amp;$H723,IF(AND(LEFT($L723,2)="09",OR($H723&lt;2000,$H723&gt;2010)),"FAIL - 2000-10 class, year "&amp;$H723,"OK")))))</f>
      </c>
      <c r="BF723" s="45">
        <f>IF($AD723="","",IF(ROUND($AO723+$AP723+$AQ723-$AD723,2)=0,"OK","FAIL - out by "&amp;TEXT($AO723+$AP723+$AQ723-$AD723,"$0.00")))</f>
      </c>
    </row>
    <row r="724" spans="1:58" ht="18.75" customHeight="1" x14ac:dyDescent="0.25">
      <c r="A724" s="46" t="inlineStr">
        <is>
          <t xml:space="preserve">CANON-202606-009398</t>
        </is>
      </c>
      <c r="B724" s="46" t="inlineStr">
        <is>
          <t xml:space="preserve">Emiliano Whitlock</t>
        </is>
      </c>
      <c r="C724" s="47">
        <v>46203</v>
      </c>
      <c r="D724" s="48" t="inlineStr">
        <is>
          <t xml:space="preserve">Bound - within authority</t>
        </is>
      </c>
      <c r="E724" s="48" t="inlineStr">
        <is>
          <t xml:space="preserve">New business</t>
        </is>
      </c>
      <c r="F724" s="46" t="inlineStr">
        <is>
          <t xml:space="preserve">B1234EXOTIC26</t>
        </is>
      </c>
      <c r="G724" s="33">
        <f>IF($A724="","",IF($C724="","",YEAR($C724)))</f>
      </c>
      <c r="H724" s="49">
        <v>2012</v>
      </c>
      <c r="I724" s="46" t="inlineStr">
        <is>
          <t xml:space="preserve">Mercedes-Benz</t>
        </is>
      </c>
      <c r="J724" s="46" t="inlineStr">
        <is>
          <t xml:space="preserve">280SL Pagoda</t>
        </is>
      </c>
      <c r="K724" s="46" t="inlineStr">
        <is>
          <t xml:space="preserve">WJXSJZ8C4LDE0CBVN</t>
        </is>
      </c>
      <c r="L724" s="48" t="inlineStr">
        <is>
          <t xml:space="preserve">02 - Sports / GT</t>
        </is>
      </c>
      <c r="M724" s="50">
        <v>215000</v>
      </c>
      <c r="N724" s="48" t="inlineStr">
        <is>
          <t xml:space="preserve">Personal</t>
        </is>
      </c>
      <c r="O724" s="46" t="inlineStr">
        <is>
          <t xml:space="preserve">Personal - regular use</t>
        </is>
      </c>
      <c r="P724" s="46" t="inlineStr">
        <is>
          <t xml:space="preserve">1,000 - 2,500</t>
        </is>
      </c>
      <c r="Q724" s="46" t="inlineStr">
        <is>
          <t xml:space="preserve">Delaware</t>
        </is>
      </c>
      <c r="R724" s="46" t="inlineStr">
        <is>
          <t xml:space="preserve">19801</t>
        </is>
      </c>
      <c r="S724" s="48" t="inlineStr">
        <is>
          <t xml:space="preserve">Tier 3 - Coastal wind (25-100 miles)</t>
        </is>
      </c>
      <c r="T724" s="36">
        <f>IF($A724="","",IF($S724="","",IFERROR(INDEX('[1]natural catastrophe'!$D$6:$D$17,MATCH($S724,'[1]natural catastrophe'!$B$6:$B$17,0)),"?")))</f>
      </c>
      <c r="U724" s="46" t="inlineStr">
        <is>
          <t xml:space="preserve">2% of agreed value, minimum $10,000</t>
        </is>
      </c>
      <c r="V724" s="48" t="inlineStr">
        <is>
          <t xml:space="preserve">Agreed Value</t>
        </is>
      </c>
      <c r="W724" s="46" t="inlineStr">
        <is>
          <t xml:space="preserve">$1,000</t>
        </is>
      </c>
      <c r="X724" s="48" t="inlineStr">
        <is>
          <t xml:space="preserve">$1,000,000 CSL</t>
        </is>
      </c>
      <c r="Y724" s="46"/>
      <c r="Z724" s="46"/>
      <c r="AA724" s="48" t="inlineStr">
        <is>
          <t xml:space="preserve">Surplus Lines</t>
        </is>
      </c>
      <c r="AB724" s="50">
        <v>2210.52</v>
      </c>
      <c r="AC724" s="51">
        <v>0</v>
      </c>
      <c r="AD724" s="38">
        <f>IF(ISNUMBER($AB724),$AB724*(1+N($AC724)),"")</f>
      </c>
      <c r="AE724" s="50">
        <v>350</v>
      </c>
      <c r="AF724" s="50">
        <v>0</v>
      </c>
      <c r="AG724" s="51"/>
      <c r="AH724" s="39">
        <f>IF(ISNUMBER($AD724),($AD724+$AE724+$AF724)*$AG724,"")</f>
      </c>
      <c r="AI724" s="50"/>
      <c r="AJ724" s="38">
        <f>IF(ISNUMBER($AD724),SUM($AD724:$AH724),"")</f>
      </c>
      <c r="AK724" s="40">
        <f>IF(AND(ISNUMBER($AB724),ISNUMBER($AD724)),IF($AB724&gt;0,$AD724/$AB724,""),"")</f>
      </c>
      <c r="AL724" s="48" t="inlineStr">
        <is>
          <t xml:space="preserve">At technical</t>
        </is>
      </c>
      <c r="AM724" s="41">
        <f>IF(ISNUMBER($AD724),Header!$I$3,"")</f>
      </c>
      <c r="AN724" s="39">
        <f>IF(ISNUMBER($AD724),$AO724+$AP724,"")</f>
      </c>
      <c r="AO724" s="39">
        <f>IF(ISNUMBER($AD724),ROUND($AD724*Header!$K$3,2),"")</f>
      </c>
      <c r="AP724" s="39">
        <f>IF(ISNUMBER($AD724),ROUND($AD724*Header!$M$3,2),"")</f>
      </c>
      <c r="AQ724" s="38">
        <f>IF(ISNUMBER($AD724),ROUND($AD724,2)-$AO724-$AP724,"")</f>
      </c>
      <c r="AR724" s="39">
        <f>IF(ISNUMBER($AD724),IF(Header!$D$34="","?",$AD724*Header!$D$34),"")</f>
      </c>
      <c r="AS724" s="39">
        <f>IF(ISNUMBER($AB724),IF(Header!$D$34="","?",$AB724*Header!$D$34),"")</f>
      </c>
      <c r="AT724" s="42">
        <f>IF(AND(ISNUMBER($AB724),$M724&gt;0),$AB724/$M724*100,"")</f>
      </c>
      <c r="AU724" s="42">
        <f>IF(AND(ISNUMBER($AD724),$M724&gt;0),$AD724/$M724*100,"")</f>
      </c>
      <c r="AV724" s="40">
        <f>IF(AND(ISNUMBER($AB724),ISNUMBER($AD724),ABS($AB724)&gt;0),$AD724/$AB724,"")</f>
      </c>
      <c r="AW724" s="39">
        <f>IF(ISNUMBER($AD724),MAX(0,(1-0.55-Header!$O$3)*Header!$Q$3*$AQ724),"")</f>
      </c>
      <c r="AX724" s="43">
        <f>IF($A724="","",IF(TRIM(IF($A724="","Missing certificate ref. ","") &amp; IF($C724="","Missing effective date. ","") &amp; IF($D724="","Missing binding status. ","") &amp; IF($E724="","Missing movement type. ","") &amp; IF($I724="","Missing make. ","") &amp; IF($L724="","Missing vehicle class. ","") &amp; IF($M724="","Missing agreed value. ","") &amp; IF($N724="","Missing policy type. ","") &amp; IF($Q724="","Missing garaging state. ","") &amp; IF($R724="","Missing garaging ZIP. ","") &amp; IF($S724="","Missing cat zone. ","") &amp; IF($V724="","Missing valuation basis. ","") &amp; IF($W724="","Missing PD deductible. ","") &amp; IF($X724="","Missing liability limit. ","") &amp; IF($AB724="","Missing technical premium. ","") &amp; IF($AF724="","Missing surplus lines tax %. ",""))="","PASS","FAIL: "&amp;TRIM(IF($A724="","Missing certificate ref. ","") &amp; IF($C724="","Missing effective date. ","") &amp; IF($D724="","Missing binding status. ","") &amp; IF($E724="","Missing movement type. ","") &amp; IF($I724="","Missing make. ","") &amp; IF($L724="","Missing vehicle class. ","") &amp; IF($M724="","Missing agreed value. ","") &amp; IF($N724="","Missing policy type. ","") &amp; IF($Q724="","Missing garaging state. ","") &amp; IF($R724="","Missing garaging ZIP. ","") &amp; IF($S724="","Missing cat zone. ","") &amp; IF($V724="","Missing valuation basis. ","") &amp; IF($W724="","Missing PD deductible. ","") &amp; IF($X724="","Missing liability limit. ","") &amp; IF($AB724="","Missing technical premium. ","") &amp; IF($AF724="","Missing surplus lines tax %. ",""))))</f>
      </c>
      <c r="AY724" s="44">
        <f>IF($M724="","",IF(ISNUMBER($M724),IF($M724&gt;=Header!$C$18,"YES — refer","No"),""))</f>
      </c>
      <c r="AZ724" s="44">
        <f>IF($AD724="","",IF(ISNUMBER($AD724),IF($AD724&lt;Header!$C$20,"BELOW MIN PREMIUM","OK"),""))</f>
      </c>
      <c r="BA724" s="48" t="inlineStr">
        <is>
          <t xml:space="preserve">Yes</t>
        </is>
      </c>
      <c r="BB724" s="48" t="inlineStr">
        <is>
          <t xml:space="preserve">Yes</t>
        </is>
      </c>
      <c r="BC724" s="46" t="inlineStr">
        <is>
          <t xml:space="preserve">Synthetic demo data</t>
        </is>
      </c>
      <c r="BE724" s="45">
        <f>IF(OR($A724="",$L724="",$H724=""),"",IF(AND(LEFT($L724,2)="06",$H724&gt;1945),"FAIL - pre-war class, year "&amp;$H724,IF(AND(LEFT($L724,2)="07",OR($H724&lt;1946,$H724&gt;1972)),"FAIL - 1946-72 class, year "&amp;$H724,IF(AND(LEFT($L724,2)="08",OR($H724&lt;1973,$H724&gt;1999)),"FAIL - 1973-99 class, year "&amp;$H724,IF(AND(LEFT($L724,2)="09",OR($H724&lt;2000,$H724&gt;2010)),"FAIL - 2000-10 class, year "&amp;$H724,"OK")))))</f>
      </c>
      <c r="BF724" s="45">
        <f>IF($AD724="","",IF(ROUND($AO724+$AP724+$AQ724-$AD724,2)=0,"OK","FAIL - out by "&amp;TEXT($AO724+$AP724+$AQ724-$AD724,"$0.00")))</f>
      </c>
    </row>
    <row r="725" spans="1:58" ht="18.75" customHeight="1" x14ac:dyDescent="0.25">
      <c r="A725" s="30" t="inlineStr">
        <is>
          <t xml:space="preserve">CANON-202606-009400</t>
        </is>
      </c>
      <c r="B725" s="30" t="inlineStr">
        <is>
          <t xml:space="preserve">Priya Ashcombe</t>
        </is>
      </c>
      <c r="C725" s="31">
        <v>46177</v>
      </c>
      <c r="D725" s="32" t="inlineStr">
        <is>
          <t xml:space="preserve">Bound - within authority</t>
        </is>
      </c>
      <c r="E725" s="32" t="inlineStr">
        <is>
          <t xml:space="preserve">New business</t>
        </is>
      </c>
      <c r="F725" s="30" t="inlineStr">
        <is>
          <t xml:space="preserve">B1234EXOTIC26</t>
        </is>
      </c>
      <c r="G725" s="33">
        <f>IF($A725="","",IF($C725="","",YEAR($C725)))</f>
      </c>
      <c r="H725" s="34">
        <v>2020</v>
      </c>
      <c r="I725" s="30" t="inlineStr">
        <is>
          <t xml:space="preserve">Mercedes-Benz</t>
        </is>
      </c>
      <c r="J725" s="30" t="inlineStr">
        <is>
          <t xml:space="preserve">AMG GT</t>
        </is>
      </c>
      <c r="K725" s="30" t="inlineStr">
        <is>
          <t xml:space="preserve">N8RSRTUZJSN6KHZUR</t>
        </is>
      </c>
      <c r="L725" s="32" t="inlineStr">
        <is>
          <t xml:space="preserve">02 - Sports / GT</t>
        </is>
      </c>
      <c r="M725" s="35">
        <v>615000</v>
      </c>
      <c r="N725" s="32" t="inlineStr">
        <is>
          <t xml:space="preserve">Personal</t>
        </is>
      </c>
      <c r="O725" s="30" t="inlineStr">
        <is>
          <t xml:space="preserve">Personal - regular use</t>
        </is>
      </c>
      <c r="P725" s="30" t="inlineStr">
        <is>
          <t xml:space="preserve">2,500 - 5,000</t>
        </is>
      </c>
      <c r="Q725" s="30" t="inlineStr">
        <is>
          <t xml:space="preserve">California</t>
        </is>
      </c>
      <c r="R725" s="30" t="inlineStr">
        <is>
          <t xml:space="preserve">90012</t>
        </is>
      </c>
      <c r="S725" s="32" t="inlineStr">
        <is>
          <t xml:space="preserve">Earthquake - high (CA, Cascadia, New Madrid)</t>
        </is>
      </c>
      <c r="T725" s="36">
        <f>IF($A725="","",IF($S725="","",IFERROR(INDEX('[1]natural catastrophe'!$D$6:$D$17,MATCH($S725,'[1]natural catastrophe'!$B$6:$B$17,0)),"?")))</f>
      </c>
      <c r="U725" s="30" t="inlineStr">
        <is>
          <t xml:space="preserve">$5,000</t>
        </is>
      </c>
      <c r="V725" s="32" t="inlineStr">
        <is>
          <t xml:space="preserve">Agreed Value</t>
        </is>
      </c>
      <c r="W725" s="30" t="inlineStr">
        <is>
          <t xml:space="preserve">$1,000</t>
        </is>
      </c>
      <c r="X725" s="32" t="inlineStr">
        <is>
          <t xml:space="preserve">$1,000,000 CSL</t>
        </is>
      </c>
      <c r="Y725" s="30"/>
      <c r="Z725" s="30"/>
      <c r="AA725" s="32" t="inlineStr">
        <is>
          <t xml:space="preserve">Surplus Lines</t>
        </is>
      </c>
      <c r="AB725" s="35">
        <v>7787.43</v>
      </c>
      <c r="AC725" s="37">
        <v>0</v>
      </c>
      <c r="AD725" s="38">
        <f>IF(ISNUMBER($AB725),$AB725*(1+N($AC725)),"")</f>
      </c>
      <c r="AE725" s="35">
        <v>350</v>
      </c>
      <c r="AF725" s="35">
        <v>0</v>
      </c>
      <c r="AG725" s="37"/>
      <c r="AH725" s="39">
        <f>IF(ISNUMBER($AD725),($AD725+$AE725+$AF725)*$AG725,"")</f>
      </c>
      <c r="AI725" s="35"/>
      <c r="AJ725" s="38">
        <f>IF(ISNUMBER($AD725),SUM($AD725:$AH725),"")</f>
      </c>
      <c r="AK725" s="40">
        <f>IF(AND(ISNUMBER($AB725),ISNUMBER($AD725)),IF($AB725&gt;0,$AD725/$AB725,""),"")</f>
      </c>
      <c r="AL725" s="32" t="inlineStr">
        <is>
          <t xml:space="preserve">At technical</t>
        </is>
      </c>
      <c r="AM725" s="41">
        <f>IF(ISNUMBER($AD725),Header!$I$3,"")</f>
      </c>
      <c r="AN725" s="39">
        <f>IF(ISNUMBER($AD725),$AO725+$AP725,"")</f>
      </c>
      <c r="AO725" s="39">
        <f>IF(ISNUMBER($AD725),ROUND($AD725*Header!$K$3,2),"")</f>
      </c>
      <c r="AP725" s="39">
        <f>IF(ISNUMBER($AD725),ROUND($AD725*Header!$M$3,2),"")</f>
      </c>
      <c r="AQ725" s="38">
        <f>IF(ISNUMBER($AD725),ROUND($AD725,2)-$AO725-$AP725,"")</f>
      </c>
      <c r="AR725" s="39">
        <f>IF(ISNUMBER($AD725),IF(Header!$D$34="","?",$AD725*Header!$D$34),"")</f>
      </c>
      <c r="AS725" s="39">
        <f>IF(ISNUMBER($AB725),IF(Header!$D$34="","?",$AB725*Header!$D$34),"")</f>
      </c>
      <c r="AT725" s="42">
        <f>IF(AND(ISNUMBER($AB725),$M725&gt;0),$AB725/$M725*100,"")</f>
      </c>
      <c r="AU725" s="42">
        <f>IF(AND(ISNUMBER($AD725),$M725&gt;0),$AD725/$M725*100,"")</f>
      </c>
      <c r="AV725" s="40">
        <f>IF(AND(ISNUMBER($AB725),ISNUMBER($AD725),ABS($AB725)&gt;0),$AD725/$AB725,"")</f>
      </c>
      <c r="AW725" s="39">
        <f>IF(ISNUMBER($AD725),MAX(0,(1-0.55-Header!$O$3)*Header!$Q$3*$AQ725),"")</f>
      </c>
      <c r="AX725" s="43">
        <f>IF($A725="","",IF(TRIM(IF($A725="","Missing certificate ref. ","") &amp; IF($C725="","Missing effective date. ","") &amp; IF($D725="","Missing binding status. ","") &amp; IF($E725="","Missing movement type. ","") &amp; IF($I725="","Missing make. ","") &amp; IF($L725="","Missing vehicle class. ","") &amp; IF($M725="","Missing agreed value. ","") &amp; IF($N725="","Missing policy type. ","") &amp; IF($Q725="","Missing garaging state. ","") &amp; IF($R725="","Missing garaging ZIP. ","") &amp; IF($S725="","Missing cat zone. ","") &amp; IF($V725="","Missing valuation basis. ","") &amp; IF($W725="","Missing PD deductible. ","") &amp; IF($X725="","Missing liability limit. ","") &amp; IF($AB725="","Missing technical premium. ","") &amp; IF($AF725="","Missing surplus lines tax %. ",""))="","PASS","FAIL: "&amp;TRIM(IF($A725="","Missing certificate ref. ","") &amp; IF($C725="","Missing effective date. ","") &amp; IF($D725="","Missing binding status. ","") &amp; IF($E725="","Missing movement type. ","") &amp; IF($I725="","Missing make. ","") &amp; IF($L725="","Missing vehicle class. ","") &amp; IF($M725="","Missing agreed value. ","") &amp; IF($N725="","Missing policy type. ","") &amp; IF($Q725="","Missing garaging state. ","") &amp; IF($R725="","Missing garaging ZIP. ","") &amp; IF($S725="","Missing cat zone. ","") &amp; IF($V725="","Missing valuation basis. ","") &amp; IF($W725="","Missing PD deductible. ","") &amp; IF($X725="","Missing liability limit. ","") &amp; IF($AB725="","Missing technical premium. ","") &amp; IF($AF725="","Missing surplus lines tax %. ",""))))</f>
      </c>
      <c r="AY725" s="44">
        <f>IF($M725="","",IF(ISNUMBER($M725),IF($M725&gt;=Header!$C$18,"YES — refer","No"),""))</f>
      </c>
      <c r="AZ725" s="44">
        <f>IF($AD725="","",IF(ISNUMBER($AD725),IF($AD725&lt;Header!$C$20,"BELOW MIN PREMIUM","OK"),""))</f>
      </c>
      <c r="BA725" s="32" t="inlineStr">
        <is>
          <t xml:space="preserve">Yes</t>
        </is>
      </c>
      <c r="BB725" s="32" t="inlineStr">
        <is>
          <t xml:space="preserve">Yes</t>
        </is>
      </c>
      <c r="BC725" s="30" t="inlineStr">
        <is>
          <t xml:space="preserve">Synthetic demo data</t>
        </is>
      </c>
      <c r="BE725" s="45">
        <f>IF(OR($A725="",$L725="",$H725=""),"",IF(AND(LEFT($L725,2)="06",$H725&gt;1945),"FAIL - pre-war class, year "&amp;$H725,IF(AND(LEFT($L725,2)="07",OR($H725&lt;1946,$H725&gt;1972)),"FAIL - 1946-72 class, year "&amp;$H725,IF(AND(LEFT($L725,2)="08",OR($H725&lt;1973,$H725&gt;1999)),"FAIL - 1973-99 class, year "&amp;$H725,IF(AND(LEFT($L725,2)="09",OR($H725&lt;2000,$H725&gt;2010)),"FAIL - 2000-10 class, year "&amp;$H725,"OK")))))</f>
      </c>
      <c r="BF725" s="45">
        <f>IF($AD725="","",IF(ROUND($AO725+$AP725+$AQ725-$AD725,2)=0,"OK","FAIL - out by "&amp;TEXT($AO725+$AP725+$AQ725-$AD725,"$0.00")))</f>
      </c>
    </row>
    <row r="726" spans="1:58" ht="18.75" customHeight="1" x14ac:dyDescent="0.25">
      <c r="A726" s="46" t="inlineStr">
        <is>
          <t xml:space="preserve">CANON-202606-009401</t>
        </is>
      </c>
      <c r="B726" s="46" t="inlineStr">
        <is>
          <t xml:space="preserve">Cassius Okonkwo</t>
        </is>
      </c>
      <c r="C726" s="47">
        <v>46199</v>
      </c>
      <c r="D726" s="48" t="inlineStr">
        <is>
          <t xml:space="preserve">Bound - within authority</t>
        </is>
      </c>
      <c r="E726" s="48" t="inlineStr">
        <is>
          <t xml:space="preserve">New business</t>
        </is>
      </c>
      <c r="F726" s="46" t="inlineStr">
        <is>
          <t xml:space="preserve">B1234EXOTIC26</t>
        </is>
      </c>
      <c r="G726" s="33">
        <f>IF($A726="","",IF($C726="","",YEAR($C726)))</f>
      </c>
      <c r="H726" s="49">
        <v>1986</v>
      </c>
      <c r="I726" s="46" t="inlineStr">
        <is>
          <t xml:space="preserve">Ferrari</t>
        </is>
      </c>
      <c r="J726" s="46" t="inlineStr">
        <is>
          <t xml:space="preserve">275 GTB/4</t>
        </is>
      </c>
      <c r="K726" s="46" t="inlineStr">
        <is>
          <t xml:space="preserve">SZKW4YGCHMFJE1TK9</t>
        </is>
      </c>
      <c r="L726" s="48" t="inlineStr">
        <is>
          <t xml:space="preserve">08 - Modern Classic (1973-1999)</t>
        </is>
      </c>
      <c r="M726" s="50">
        <v>755000</v>
      </c>
      <c r="N726" s="48" t="inlineStr">
        <is>
          <t xml:space="preserve">Personal</t>
        </is>
      </c>
      <c r="O726" s="46" t="inlineStr">
        <is>
          <t xml:space="preserve">Personal - regular use</t>
        </is>
      </c>
      <c r="P726" s="46" t="inlineStr">
        <is>
          <t xml:space="preserve">2,500 - 5,000</t>
        </is>
      </c>
      <c r="Q726" s="46" t="inlineStr">
        <is>
          <t xml:space="preserve">Louisiana</t>
        </is>
      </c>
      <c r="R726" s="46" t="inlineStr">
        <is>
          <t xml:space="preserve">70112</t>
        </is>
      </c>
      <c r="S726" s="48" t="inlineStr">
        <is>
          <t xml:space="preserve">Tier 2 - Coastal wind (1-25 miles)</t>
        </is>
      </c>
      <c r="T726" s="36">
        <f>IF($A726="","",IF($S726="","",IFERROR(INDEX('[1]natural catastrophe'!$D$6:$D$17,MATCH($S726,'[1]natural catastrophe'!$B$6:$B$17,0)),"?")))</f>
      </c>
      <c r="U726" s="46" t="inlineStr">
        <is>
          <t xml:space="preserve">2% of agreed value, minimum $10,000</t>
        </is>
      </c>
      <c r="V726" s="48" t="inlineStr">
        <is>
          <t xml:space="preserve">Agreed Value</t>
        </is>
      </c>
      <c r="W726" s="46" t="inlineStr">
        <is>
          <t xml:space="preserve">$1,000</t>
        </is>
      </c>
      <c r="X726" s="48" t="inlineStr">
        <is>
          <t xml:space="preserve">$1,000,000 CSL</t>
        </is>
      </c>
      <c r="Y726" s="46"/>
      <c r="Z726" s="46"/>
      <c r="AA726" s="48" t="inlineStr">
        <is>
          <t xml:space="preserve">Surplus Lines</t>
        </is>
      </c>
      <c r="AB726" s="50">
        <v>5668.56</v>
      </c>
      <c r="AC726" s="51">
        <v>0</v>
      </c>
      <c r="AD726" s="38">
        <f>IF(ISNUMBER($AB726),$AB726*(1+N($AC726)),"")</f>
      </c>
      <c r="AE726" s="50">
        <v>350</v>
      </c>
      <c r="AF726" s="50">
        <v>0</v>
      </c>
      <c r="AG726" s="51"/>
      <c r="AH726" s="39">
        <f>IF(ISNUMBER($AD726),($AD726+$AE726+$AF726)*$AG726,"")</f>
      </c>
      <c r="AI726" s="50"/>
      <c r="AJ726" s="38">
        <f>IF(ISNUMBER($AD726),SUM($AD726:$AH726),"")</f>
      </c>
      <c r="AK726" s="40">
        <f>IF(AND(ISNUMBER($AB726),ISNUMBER($AD726)),IF($AB726&gt;0,$AD726/$AB726,""),"")</f>
      </c>
      <c r="AL726" s="48" t="inlineStr">
        <is>
          <t xml:space="preserve">At technical</t>
        </is>
      </c>
      <c r="AM726" s="41">
        <f>IF(ISNUMBER($AD726),Header!$I$3,"")</f>
      </c>
      <c r="AN726" s="39">
        <f>IF(ISNUMBER($AD726),$AO726+$AP726,"")</f>
      </c>
      <c r="AO726" s="39">
        <f>IF(ISNUMBER($AD726),ROUND($AD726*Header!$K$3,2),"")</f>
      </c>
      <c r="AP726" s="39">
        <f>IF(ISNUMBER($AD726),ROUND($AD726*Header!$M$3,2),"")</f>
      </c>
      <c r="AQ726" s="38">
        <f>IF(ISNUMBER($AD726),ROUND($AD726,2)-$AO726-$AP726,"")</f>
      </c>
      <c r="AR726" s="39">
        <f>IF(ISNUMBER($AD726),IF(Header!$D$34="","?",$AD726*Header!$D$34),"")</f>
      </c>
      <c r="AS726" s="39">
        <f>IF(ISNUMBER($AB726),IF(Header!$D$34="","?",$AB726*Header!$D$34),"")</f>
      </c>
      <c r="AT726" s="42">
        <f>IF(AND(ISNUMBER($AB726),$M726&gt;0),$AB726/$M726*100,"")</f>
      </c>
      <c r="AU726" s="42">
        <f>IF(AND(ISNUMBER($AD726),$M726&gt;0),$AD726/$M726*100,"")</f>
      </c>
      <c r="AV726" s="40">
        <f>IF(AND(ISNUMBER($AB726),ISNUMBER($AD726),ABS($AB726)&gt;0),$AD726/$AB726,"")</f>
      </c>
      <c r="AW726" s="39">
        <f>IF(ISNUMBER($AD726),MAX(0,(1-0.55-Header!$O$3)*Header!$Q$3*$AQ726),"")</f>
      </c>
      <c r="AX726" s="43">
        <f>IF($A726="","",IF(TRIM(IF($A726="","Missing certificate ref. ","") &amp; IF($C726="","Missing effective date. ","") &amp; IF($D726="","Missing binding status. ","") &amp; IF($E726="","Missing movement type. ","") &amp; IF($I726="","Missing make. ","") &amp; IF($L726="","Missing vehicle class. ","") &amp; IF($M726="","Missing agreed value. ","") &amp; IF($N726="","Missing policy type. ","") &amp; IF($Q726="","Missing garaging state. ","") &amp; IF($R726="","Missing garaging ZIP. ","") &amp; IF($S726="","Missing cat zone. ","") &amp; IF($V726="","Missing valuation basis. ","") &amp; IF($W726="","Missing PD deductible. ","") &amp; IF($X726="","Missing liability limit. ","") &amp; IF($AB726="","Missing technical premium. ","") &amp; IF($AF726="","Missing surplus lines tax %. ",""))="","PASS","FAIL: "&amp;TRIM(IF($A726="","Missing certificate ref. ","") &amp; IF($C726="","Missing effective date. ","") &amp; IF($D726="","Missing binding status. ","") &amp; IF($E726="","Missing movement type. ","") &amp; IF($I726="","Missing make. ","") &amp; IF($L726="","Missing vehicle class. ","") &amp; IF($M726="","Missing agreed value. ","") &amp; IF($N726="","Missing policy type. ","") &amp; IF($Q726="","Missing garaging state. ","") &amp; IF($R726="","Missing garaging ZIP. ","") &amp; IF($S726="","Missing cat zone. ","") &amp; IF($V726="","Missing valuation basis. ","") &amp; IF($W726="","Missing PD deductible. ","") &amp; IF($X726="","Missing liability limit. ","") &amp; IF($AB726="","Missing technical premium. ","") &amp; IF($AF726="","Missing surplus lines tax %. ",""))))</f>
      </c>
      <c r="AY726" s="44">
        <f>IF($M726="","",IF(ISNUMBER($M726),IF($M726&gt;=Header!$C$18,"YES — refer","No"),""))</f>
      </c>
      <c r="AZ726" s="44">
        <f>IF($AD726="","",IF(ISNUMBER($AD726),IF($AD726&lt;Header!$C$20,"BELOW MIN PREMIUM","OK"),""))</f>
      </c>
      <c r="BA726" s="48" t="inlineStr">
        <is>
          <t xml:space="preserve">Yes</t>
        </is>
      </c>
      <c r="BB726" s="48" t="inlineStr">
        <is>
          <t xml:space="preserve">Yes</t>
        </is>
      </c>
      <c r="BC726" s="46" t="inlineStr">
        <is>
          <t xml:space="preserve">Synthetic demo data</t>
        </is>
      </c>
      <c r="BE726" s="45">
        <f>IF(OR($A726="",$L726="",$H726=""),"",IF(AND(LEFT($L726,2)="06",$H726&gt;1945),"FAIL - pre-war class, year "&amp;$H726,IF(AND(LEFT($L726,2)="07",OR($H726&lt;1946,$H726&gt;1972)),"FAIL - 1946-72 class, year "&amp;$H726,IF(AND(LEFT($L726,2)="08",OR($H726&lt;1973,$H726&gt;1999)),"FAIL - 1973-99 class, year "&amp;$H726,IF(AND(LEFT($L726,2)="09",OR($H726&lt;2000,$H726&gt;2010)),"FAIL - 2000-10 class, year "&amp;$H726,"OK")))))</f>
      </c>
      <c r="BF726" s="45">
        <f>IF($AD726="","",IF(ROUND($AO726+$AP726+$AQ726-$AD726,2)=0,"OK","FAIL - out by "&amp;TEXT($AO726+$AP726+$AQ726-$AD726,"$0.00")))</f>
      </c>
    </row>
    <row r="727" spans="1:58" ht="18.75" customHeight="1" x14ac:dyDescent="0.25">
      <c r="A727" s="30" t="inlineStr">
        <is>
          <t xml:space="preserve">CANON-202606-009406</t>
        </is>
      </c>
      <c r="B727" s="30" t="inlineStr">
        <is>
          <t xml:space="preserve">Desmond Harrington</t>
        </is>
      </c>
      <c r="C727" s="31">
        <v>46196</v>
      </c>
      <c r="D727" s="32" t="inlineStr">
        <is>
          <t xml:space="preserve">Bound - within authority</t>
        </is>
      </c>
      <c r="E727" s="32" t="inlineStr">
        <is>
          <t xml:space="preserve">New business</t>
        </is>
      </c>
      <c r="F727" s="30" t="inlineStr">
        <is>
          <t xml:space="preserve">B1234EXOTIC26</t>
        </is>
      </c>
      <c r="G727" s="33">
        <f>IF($A727="","",IF($C727="","",YEAR($C727)))</f>
      </c>
      <c r="H727" s="34">
        <v>2014</v>
      </c>
      <c r="I727" s="30" t="inlineStr">
        <is>
          <t xml:space="preserve">Maserati</t>
        </is>
      </c>
      <c r="J727" s="30" t="inlineStr">
        <is>
          <t xml:space="preserve">GranTurismo</t>
        </is>
      </c>
      <c r="K727" s="30" t="inlineStr">
        <is>
          <t xml:space="preserve">HCX026LS4H7R9MF93</t>
        </is>
      </c>
      <c r="L727" s="32" t="inlineStr">
        <is>
          <t xml:space="preserve">02 - Sports / GT</t>
        </is>
      </c>
      <c r="M727" s="35">
        <v>760000</v>
      </c>
      <c r="N727" s="32" t="inlineStr">
        <is>
          <t xml:space="preserve">Personal</t>
        </is>
      </c>
      <c r="O727" s="30" t="inlineStr">
        <is>
          <t xml:space="preserve">Personal - regular use</t>
        </is>
      </c>
      <c r="P727" s="30" t="inlineStr">
        <is>
          <t xml:space="preserve">Under 1,000</t>
        </is>
      </c>
      <c r="Q727" s="30" t="inlineStr">
        <is>
          <t xml:space="preserve">Montana</t>
        </is>
      </c>
      <c r="R727" s="30" t="inlineStr">
        <is>
          <t xml:space="preserve">59601</t>
        </is>
      </c>
      <c r="S727" s="32" t="inlineStr">
        <is>
          <t xml:space="preserve">Wildfire - WUI high hazard</t>
        </is>
      </c>
      <c r="T727" s="36">
        <f>IF($A727="","",IF($S727="","",IFERROR(INDEX('[1]natural catastrophe'!$D$6:$D$17,MATCH($S727,'[1]natural catastrophe'!$B$6:$B$17,0)),"?")))</f>
      </c>
      <c r="U727" s="30" t="inlineStr">
        <is>
          <t xml:space="preserve">$5,000</t>
        </is>
      </c>
      <c r="V727" s="32" t="inlineStr">
        <is>
          <t xml:space="preserve">Agreed Value</t>
        </is>
      </c>
      <c r="W727" s="30" t="inlineStr">
        <is>
          <t xml:space="preserve">$1,000</t>
        </is>
      </c>
      <c r="X727" s="32" t="inlineStr">
        <is>
          <t xml:space="preserve">$1,000,000 CSL</t>
        </is>
      </c>
      <c r="Y727" s="30"/>
      <c r="Z727" s="30"/>
      <c r="AA727" s="32" t="inlineStr">
        <is>
          <t xml:space="preserve">Surplus Lines</t>
        </is>
      </c>
      <c r="AB727" s="35">
        <v>6629.52</v>
      </c>
      <c r="AC727" s="37">
        <v>0</v>
      </c>
      <c r="AD727" s="38">
        <f>IF(ISNUMBER($AB727),$AB727*(1+N($AC727)),"")</f>
      </c>
      <c r="AE727" s="35">
        <v>350</v>
      </c>
      <c r="AF727" s="35">
        <v>0</v>
      </c>
      <c r="AG727" s="37"/>
      <c r="AH727" s="39">
        <f>IF(ISNUMBER($AD727),($AD727+$AE727+$AF727)*$AG727,"")</f>
      </c>
      <c r="AI727" s="35"/>
      <c r="AJ727" s="38">
        <f>IF(ISNUMBER($AD727),SUM($AD727:$AH727),"")</f>
      </c>
      <c r="AK727" s="40">
        <f>IF(AND(ISNUMBER($AB727),ISNUMBER($AD727)),IF($AB727&gt;0,$AD727/$AB727,""),"")</f>
      </c>
      <c r="AL727" s="32" t="inlineStr">
        <is>
          <t xml:space="preserve">At technical</t>
        </is>
      </c>
      <c r="AM727" s="41">
        <f>IF(ISNUMBER($AD727),Header!$I$3,"")</f>
      </c>
      <c r="AN727" s="39">
        <f>IF(ISNUMBER($AD727),$AO727+$AP727,"")</f>
      </c>
      <c r="AO727" s="39">
        <f>IF(ISNUMBER($AD727),ROUND($AD727*Header!$K$3,2),"")</f>
      </c>
      <c r="AP727" s="39">
        <f>IF(ISNUMBER($AD727),ROUND($AD727*Header!$M$3,2),"")</f>
      </c>
      <c r="AQ727" s="38">
        <f>IF(ISNUMBER($AD727),ROUND($AD727,2)-$AO727-$AP727,"")</f>
      </c>
      <c r="AR727" s="39">
        <f>IF(ISNUMBER($AD727),IF(Header!$D$34="","?",$AD727*Header!$D$34),"")</f>
      </c>
      <c r="AS727" s="39">
        <f>IF(ISNUMBER($AB727),IF(Header!$D$34="","?",$AB727*Header!$D$34),"")</f>
      </c>
      <c r="AT727" s="42">
        <f>IF(AND(ISNUMBER($AB727),$M727&gt;0),$AB727/$M727*100,"")</f>
      </c>
      <c r="AU727" s="42">
        <f>IF(AND(ISNUMBER($AD727),$M727&gt;0),$AD727/$M727*100,"")</f>
      </c>
      <c r="AV727" s="40">
        <f>IF(AND(ISNUMBER($AB727),ISNUMBER($AD727),ABS($AB727)&gt;0),$AD727/$AB727,"")</f>
      </c>
      <c r="AW727" s="39">
        <f>IF(ISNUMBER($AD727),MAX(0,(1-0.55-Header!$O$3)*Header!$Q$3*$AQ727),"")</f>
      </c>
      <c r="AX727" s="43">
        <f>IF($A727="","",IF(TRIM(IF($A727="","Missing certificate ref. ","") &amp; IF($C727="","Missing effective date. ","") &amp; IF($D727="","Missing binding status. ","") &amp; IF($E727="","Missing movement type. ","") &amp; IF($I727="","Missing make. ","") &amp; IF($L727="","Missing vehicle class. ","") &amp; IF($M727="","Missing agreed value. ","") &amp; IF($N727="","Missing policy type. ","") &amp; IF($Q727="","Missing garaging state. ","") &amp; IF($R727="","Missing garaging ZIP. ","") &amp; IF($S727="","Missing cat zone. ","") &amp; IF($V727="","Missing valuation basis. ","") &amp; IF($W727="","Missing PD deductible. ","") &amp; IF($X727="","Missing liability limit. ","") &amp; IF($AB727="","Missing technical premium. ","") &amp; IF($AF727="","Missing surplus lines tax %. ",""))="","PASS","FAIL: "&amp;TRIM(IF($A727="","Missing certificate ref. ","") &amp; IF($C727="","Missing effective date. ","") &amp; IF($D727="","Missing binding status. ","") &amp; IF($E727="","Missing movement type. ","") &amp; IF($I727="","Missing make. ","") &amp; IF($L727="","Missing vehicle class. ","") &amp; IF($M727="","Missing agreed value. ","") &amp; IF($N727="","Missing policy type. ","") &amp; IF($Q727="","Missing garaging state. ","") &amp; IF($R727="","Missing garaging ZIP. ","") &amp; IF($S727="","Missing cat zone. ","") &amp; IF($V727="","Missing valuation basis. ","") &amp; IF($W727="","Missing PD deductible. ","") &amp; IF($X727="","Missing liability limit. ","") &amp; IF($AB727="","Missing technical premium. ","") &amp; IF($AF727="","Missing surplus lines tax %. ",""))))</f>
      </c>
      <c r="AY727" s="44">
        <f>IF($M727="","",IF(ISNUMBER($M727),IF($M727&gt;=Header!$C$18,"YES — refer","No"),""))</f>
      </c>
      <c r="AZ727" s="44">
        <f>IF($AD727="","",IF(ISNUMBER($AD727),IF($AD727&lt;Header!$C$20,"BELOW MIN PREMIUM","OK"),""))</f>
      </c>
      <c r="BA727" s="32" t="inlineStr">
        <is>
          <t xml:space="preserve">Yes</t>
        </is>
      </c>
      <c r="BB727" s="32" t="inlineStr">
        <is>
          <t xml:space="preserve">Yes</t>
        </is>
      </c>
      <c r="BC727" s="30" t="inlineStr">
        <is>
          <t xml:space="preserve">Synthetic demo data</t>
        </is>
      </c>
      <c r="BE727" s="45">
        <f>IF(OR($A727="",$L727="",$H727=""),"",IF(AND(LEFT($L727,2)="06",$H727&gt;1945),"FAIL - pre-war class, year "&amp;$H727,IF(AND(LEFT($L727,2)="07",OR($H727&lt;1946,$H727&gt;1972)),"FAIL - 1946-72 class, year "&amp;$H727,IF(AND(LEFT($L727,2)="08",OR($H727&lt;1973,$H727&gt;1999)),"FAIL - 1973-99 class, year "&amp;$H727,IF(AND(LEFT($L727,2)="09",OR($H727&lt;2000,$H727&gt;2010)),"FAIL - 2000-10 class, year "&amp;$H727,"OK")))))</f>
      </c>
      <c r="BF727" s="45">
        <f>IF($AD727="","",IF(ROUND($AO727+$AP727+$AQ727-$AD727,2)=0,"OK","FAIL - out by "&amp;TEXT($AO727+$AP727+$AQ727-$AD727,"$0.00")))</f>
      </c>
    </row>
    <row r="728" spans="1:58" ht="18.75" customHeight="1" x14ac:dyDescent="0.25">
      <c r="A728" s="46" t="inlineStr">
        <is>
          <t xml:space="preserve">CANON-202606-009407</t>
        </is>
      </c>
      <c r="B728" s="46" t="inlineStr">
        <is>
          <t xml:space="preserve">Ottilie Chattopadhyay</t>
        </is>
      </c>
      <c r="C728" s="47">
        <v>46198</v>
      </c>
      <c r="D728" s="48" t="inlineStr">
        <is>
          <t xml:space="preserve">Bound - within authority</t>
        </is>
      </c>
      <c r="E728" s="48" t="inlineStr">
        <is>
          <t xml:space="preserve">New business</t>
        </is>
      </c>
      <c r="F728" s="46" t="inlineStr">
        <is>
          <t xml:space="preserve">B1234EXOTIC26</t>
        </is>
      </c>
      <c r="G728" s="33">
        <f>IF($A728="","",IF($C728="","",YEAR($C728)))</f>
      </c>
      <c r="H728" s="49">
        <v>2015</v>
      </c>
      <c r="I728" s="46" t="inlineStr">
        <is>
          <t xml:space="preserve">Maserati</t>
        </is>
      </c>
      <c r="J728" s="46" t="inlineStr">
        <is>
          <t xml:space="preserve">GranTurismo</t>
        </is>
      </c>
      <c r="K728" s="46" t="inlineStr">
        <is>
          <t xml:space="preserve">1APNY6ZX7E0HDVZLG</t>
        </is>
      </c>
      <c r="L728" s="48" t="inlineStr">
        <is>
          <t xml:space="preserve">02 - Sports / GT</t>
        </is>
      </c>
      <c r="M728" s="50">
        <v>520000</v>
      </c>
      <c r="N728" s="48" t="inlineStr">
        <is>
          <t xml:space="preserve">Personal</t>
        </is>
      </c>
      <c r="O728" s="46" t="inlineStr">
        <is>
          <t xml:space="preserve">Personal - regular use</t>
        </is>
      </c>
      <c r="P728" s="46" t="inlineStr">
        <is>
          <t xml:space="preserve">2,500 - 5,000</t>
        </is>
      </c>
      <c r="Q728" s="46" t="inlineStr">
        <is>
          <t xml:space="preserve">New Jersey</t>
        </is>
      </c>
      <c r="R728" s="46" t="inlineStr">
        <is>
          <t xml:space="preserve">07102</t>
        </is>
      </c>
      <c r="S728" s="48" t="inlineStr">
        <is>
          <t xml:space="preserve">Tier 3 - Coastal wind (25-100 miles)</t>
        </is>
      </c>
      <c r="T728" s="36">
        <f>IF($A728="","",IF($S728="","",IFERROR(INDEX('[1]natural catastrophe'!$D$6:$D$17,MATCH($S728,'[1]natural catastrophe'!$B$6:$B$17,0)),"?")))</f>
      </c>
      <c r="U728" s="46" t="inlineStr">
        <is>
          <t xml:space="preserve">2% of agreed value, minimum $10,000</t>
        </is>
      </c>
      <c r="V728" s="48" t="inlineStr">
        <is>
          <t xml:space="preserve">Agreed Value</t>
        </is>
      </c>
      <c r="W728" s="46" t="inlineStr">
        <is>
          <t xml:space="preserve">$1,000</t>
        </is>
      </c>
      <c r="X728" s="48" t="inlineStr">
        <is>
          <t xml:space="preserve">$1,000,000 CSL</t>
        </is>
      </c>
      <c r="Y728" s="46"/>
      <c r="Z728" s="46"/>
      <c r="AA728" s="48" t="inlineStr">
        <is>
          <t xml:space="preserve">Surplus Lines</t>
        </is>
      </c>
      <c r="AB728" s="50">
        <v>4438.44</v>
      </c>
      <c r="AC728" s="51">
        <v>0</v>
      </c>
      <c r="AD728" s="38">
        <f>IF(ISNUMBER($AB728),$AB728*(1+N($AC728)),"")</f>
      </c>
      <c r="AE728" s="50">
        <v>350</v>
      </c>
      <c r="AF728" s="50">
        <v>0</v>
      </c>
      <c r="AG728" s="51"/>
      <c r="AH728" s="39">
        <f>IF(ISNUMBER($AD728),($AD728+$AE728+$AF728)*$AG728,"")</f>
      </c>
      <c r="AI728" s="50"/>
      <c r="AJ728" s="38">
        <f>IF(ISNUMBER($AD728),SUM($AD728:$AH728),"")</f>
      </c>
      <c r="AK728" s="40">
        <f>IF(AND(ISNUMBER($AB728),ISNUMBER($AD728)),IF($AB728&gt;0,$AD728/$AB728,""),"")</f>
      </c>
      <c r="AL728" s="48" t="inlineStr">
        <is>
          <t xml:space="preserve">At technical</t>
        </is>
      </c>
      <c r="AM728" s="41">
        <f>IF(ISNUMBER($AD728),Header!$I$3,"")</f>
      </c>
      <c r="AN728" s="39">
        <f>IF(ISNUMBER($AD728),$AO728+$AP728,"")</f>
      </c>
      <c r="AO728" s="39">
        <f>IF(ISNUMBER($AD728),ROUND($AD728*Header!$K$3,2),"")</f>
      </c>
      <c r="AP728" s="39">
        <f>IF(ISNUMBER($AD728),ROUND($AD728*Header!$M$3,2),"")</f>
      </c>
      <c r="AQ728" s="38">
        <f>IF(ISNUMBER($AD728),ROUND($AD728,2)-$AO728-$AP728,"")</f>
      </c>
      <c r="AR728" s="39">
        <f>IF(ISNUMBER($AD728),IF(Header!$D$34="","?",$AD728*Header!$D$34),"")</f>
      </c>
      <c r="AS728" s="39">
        <f>IF(ISNUMBER($AB728),IF(Header!$D$34="","?",$AB728*Header!$D$34),"")</f>
      </c>
      <c r="AT728" s="42">
        <f>IF(AND(ISNUMBER($AB728),$M728&gt;0),$AB728/$M728*100,"")</f>
      </c>
      <c r="AU728" s="42">
        <f>IF(AND(ISNUMBER($AD728),$M728&gt;0),$AD728/$M728*100,"")</f>
      </c>
      <c r="AV728" s="40">
        <f>IF(AND(ISNUMBER($AB728),ISNUMBER($AD728),ABS($AB728)&gt;0),$AD728/$AB728,"")</f>
      </c>
      <c r="AW728" s="39">
        <f>IF(ISNUMBER($AD728),MAX(0,(1-0.55-Header!$O$3)*Header!$Q$3*$AQ728),"")</f>
      </c>
      <c r="AX728" s="43">
        <f>IF($A728="","",IF(TRIM(IF($A728="","Missing certificate ref. ","") &amp; IF($C728="","Missing effective date. ","") &amp; IF($D728="","Missing binding status. ","") &amp; IF($E728="","Missing movement type. ","") &amp; IF($I728="","Missing make. ","") &amp; IF($L728="","Missing vehicle class. ","") &amp; IF($M728="","Missing agreed value. ","") &amp; IF($N728="","Missing policy type. ","") &amp; IF($Q728="","Missing garaging state. ","") &amp; IF($R728="","Missing garaging ZIP. ","") &amp; IF($S728="","Missing cat zone. ","") &amp; IF($V728="","Missing valuation basis. ","") &amp; IF($W728="","Missing PD deductible. ","") &amp; IF($X728="","Missing liability limit. ","") &amp; IF($AB728="","Missing technical premium. ","") &amp; IF($AF728="","Missing surplus lines tax %. ",""))="","PASS","FAIL: "&amp;TRIM(IF($A728="","Missing certificate ref. ","") &amp; IF($C728="","Missing effective date. ","") &amp; IF($D728="","Missing binding status. ","") &amp; IF($E728="","Missing movement type. ","") &amp; IF($I728="","Missing make. ","") &amp; IF($L728="","Missing vehicle class. ","") &amp; IF($M728="","Missing agreed value. ","") &amp; IF($N728="","Missing policy type. ","") &amp; IF($Q728="","Missing garaging state. ","") &amp; IF($R728="","Missing garaging ZIP. ","") &amp; IF($S728="","Missing cat zone. ","") &amp; IF($V728="","Missing valuation basis. ","") &amp; IF($W728="","Missing PD deductible. ","") &amp; IF($X728="","Missing liability limit. ","") &amp; IF($AB728="","Missing technical premium. ","") &amp; IF($AF728="","Missing surplus lines tax %. ",""))))</f>
      </c>
      <c r="AY728" s="44">
        <f>IF($M728="","",IF(ISNUMBER($M728),IF($M728&gt;=Header!$C$18,"YES — refer","No"),""))</f>
      </c>
      <c r="AZ728" s="44">
        <f>IF($AD728="","",IF(ISNUMBER($AD728),IF($AD728&lt;Header!$C$20,"BELOW MIN PREMIUM","OK"),""))</f>
      </c>
      <c r="BA728" s="48" t="inlineStr">
        <is>
          <t xml:space="preserve">Yes</t>
        </is>
      </c>
      <c r="BB728" s="48" t="inlineStr">
        <is>
          <t xml:space="preserve">Yes</t>
        </is>
      </c>
      <c r="BC728" s="46" t="inlineStr">
        <is>
          <t xml:space="preserve">Synthetic demo data</t>
        </is>
      </c>
      <c r="BE728" s="45">
        <f>IF(OR($A728="",$L728="",$H728=""),"",IF(AND(LEFT($L728,2)="06",$H728&gt;1945),"FAIL - pre-war class, year "&amp;$H728,IF(AND(LEFT($L728,2)="07",OR($H728&lt;1946,$H728&gt;1972)),"FAIL - 1946-72 class, year "&amp;$H728,IF(AND(LEFT($L728,2)="08",OR($H728&lt;1973,$H728&gt;1999)),"FAIL - 1973-99 class, year "&amp;$H728,IF(AND(LEFT($L728,2)="09",OR($H728&lt;2000,$H728&gt;2010)),"FAIL - 2000-10 class, year "&amp;$H728,"OK")))))</f>
      </c>
      <c r="BF728" s="45">
        <f>IF($AD728="","",IF(ROUND($AO728+$AP728+$AQ728-$AD728,2)=0,"OK","FAIL - out by "&amp;TEXT($AO728+$AP728+$AQ728-$AD728,"$0.00")))</f>
      </c>
    </row>
    <row r="729" spans="1:58" ht="18.75" customHeight="1" x14ac:dyDescent="0.25">
      <c r="A729" s="30" t="inlineStr">
        <is>
          <t xml:space="preserve">CANON-202606-009408</t>
        </is>
      </c>
      <c r="B729" s="30" t="inlineStr">
        <is>
          <t xml:space="preserve">Aurelio Farkas</t>
        </is>
      </c>
      <c r="C729" s="31">
        <v>46197</v>
      </c>
      <c r="D729" s="32" t="inlineStr">
        <is>
          <t xml:space="preserve">Bound - within authority</t>
        </is>
      </c>
      <c r="E729" s="32" t="inlineStr">
        <is>
          <t xml:space="preserve">New business</t>
        </is>
      </c>
      <c r="F729" s="30" t="inlineStr">
        <is>
          <t xml:space="preserve">B1234EXOTIC26</t>
        </is>
      </c>
      <c r="G729" s="33">
        <f>IF($A729="","",IF($C729="","",YEAR($C729)))</f>
      </c>
      <c r="H729" s="34">
        <v>2007</v>
      </c>
      <c r="I729" s="30" t="inlineStr">
        <is>
          <t xml:space="preserve">Mercedes-Benz</t>
        </is>
      </c>
      <c r="J729" s="30" t="inlineStr">
        <is>
          <t xml:space="preserve">AMG GT</t>
        </is>
      </c>
      <c r="K729" s="30" t="inlineStr">
        <is>
          <t xml:space="preserve">GVU2CDWRZS57XZ1KK</t>
        </is>
      </c>
      <c r="L729" s="32" t="inlineStr">
        <is>
          <t xml:space="preserve">02 - Sports / GT</t>
        </is>
      </c>
      <c r="M729" s="35">
        <v>380000</v>
      </c>
      <c r="N729" s="32" t="inlineStr">
        <is>
          <t xml:space="preserve">Personal</t>
        </is>
      </c>
      <c r="O729" s="30" t="inlineStr">
        <is>
          <t xml:space="preserve">Personal - regular use</t>
        </is>
      </c>
      <c r="P729" s="30" t="inlineStr">
        <is>
          <t xml:space="preserve">2,500 - 5,000</t>
        </is>
      </c>
      <c r="Q729" s="30" t="inlineStr">
        <is>
          <t xml:space="preserve">Arkansas</t>
        </is>
      </c>
      <c r="R729" s="30" t="inlineStr">
        <is>
          <t xml:space="preserve">72201</t>
        </is>
      </c>
      <c r="S729" s="32" t="inlineStr">
        <is>
          <t xml:space="preserve">Severe convective - hail / tornado (moderate)</t>
        </is>
      </c>
      <c r="T729" s="36">
        <f>IF($A729="","",IF($S729="","",IFERROR(INDEX('[1]natural catastrophe'!$D$6:$D$17,MATCH($S729,'[1]natural catastrophe'!$B$6:$B$17,0)),"?")))</f>
      </c>
      <c r="U729" s="30" t="inlineStr">
        <is>
          <t xml:space="preserve">$5,000</t>
        </is>
      </c>
      <c r="V729" s="32" t="inlineStr">
        <is>
          <t xml:space="preserve">Agreed Value</t>
        </is>
      </c>
      <c r="W729" s="30" t="inlineStr">
        <is>
          <t xml:space="preserve">$1,000</t>
        </is>
      </c>
      <c r="X729" s="32" t="inlineStr">
        <is>
          <t xml:space="preserve">$1,000,000 CSL</t>
        </is>
      </c>
      <c r="Y729" s="30"/>
      <c r="Z729" s="30"/>
      <c r="AA729" s="32" t="inlineStr">
        <is>
          <t xml:space="preserve">Surplus Lines</t>
        </is>
      </c>
      <c r="AB729" s="35">
        <v>5675.39</v>
      </c>
      <c r="AC729" s="37">
        <v>0</v>
      </c>
      <c r="AD729" s="38">
        <f>IF(ISNUMBER($AB729),$AB729*(1+N($AC729)),"")</f>
      </c>
      <c r="AE729" s="35">
        <v>350</v>
      </c>
      <c r="AF729" s="35">
        <v>0</v>
      </c>
      <c r="AG729" s="37"/>
      <c r="AH729" s="39">
        <f>IF(ISNUMBER($AD729),($AD729+$AE729+$AF729)*$AG729,"")</f>
      </c>
      <c r="AI729" s="35"/>
      <c r="AJ729" s="38">
        <f>IF(ISNUMBER($AD729),SUM($AD729:$AH729),"")</f>
      </c>
      <c r="AK729" s="40">
        <f>IF(AND(ISNUMBER($AB729),ISNUMBER($AD729)),IF($AB729&gt;0,$AD729/$AB729,""),"")</f>
      </c>
      <c r="AL729" s="32" t="inlineStr">
        <is>
          <t xml:space="preserve">At technical</t>
        </is>
      </c>
      <c r="AM729" s="41">
        <f>IF(ISNUMBER($AD729),Header!$I$3,"")</f>
      </c>
      <c r="AN729" s="39">
        <f>IF(ISNUMBER($AD729),$AO729+$AP729,"")</f>
      </c>
      <c r="AO729" s="39">
        <f>IF(ISNUMBER($AD729),ROUND($AD729*Header!$K$3,2),"")</f>
      </c>
      <c r="AP729" s="39">
        <f>IF(ISNUMBER($AD729),ROUND($AD729*Header!$M$3,2),"")</f>
      </c>
      <c r="AQ729" s="38">
        <f>IF(ISNUMBER($AD729),ROUND($AD729,2)-$AO729-$AP729,"")</f>
      </c>
      <c r="AR729" s="39">
        <f>IF(ISNUMBER($AD729),IF(Header!$D$34="","?",$AD729*Header!$D$34),"")</f>
      </c>
      <c r="AS729" s="39">
        <f>IF(ISNUMBER($AB729),IF(Header!$D$34="","?",$AB729*Header!$D$34),"")</f>
      </c>
      <c r="AT729" s="42">
        <f>IF(AND(ISNUMBER($AB729),$M729&gt;0),$AB729/$M729*100,"")</f>
      </c>
      <c r="AU729" s="42">
        <f>IF(AND(ISNUMBER($AD729),$M729&gt;0),$AD729/$M729*100,"")</f>
      </c>
      <c r="AV729" s="40">
        <f>IF(AND(ISNUMBER($AB729),ISNUMBER($AD729),ABS($AB729)&gt;0),$AD729/$AB729,"")</f>
      </c>
      <c r="AW729" s="39">
        <f>IF(ISNUMBER($AD729),MAX(0,(1-0.55-Header!$O$3)*Header!$Q$3*$AQ729),"")</f>
      </c>
      <c r="AX729" s="43">
        <f>IF($A729="","",IF(TRIM(IF($A729="","Missing certificate ref. ","") &amp; IF($C729="","Missing effective date. ","") &amp; IF($D729="","Missing binding status. ","") &amp; IF($E729="","Missing movement type. ","") &amp; IF($I729="","Missing make. ","") &amp; IF($L729="","Missing vehicle class. ","") &amp; IF($M729="","Missing agreed value. ","") &amp; IF($N729="","Missing policy type. ","") &amp; IF($Q729="","Missing garaging state. ","") &amp; IF($R729="","Missing garaging ZIP. ","") &amp; IF($S729="","Missing cat zone. ","") &amp; IF($V729="","Missing valuation basis. ","") &amp; IF($W729="","Missing PD deductible. ","") &amp; IF($X729="","Missing liability limit. ","") &amp; IF($AB729="","Missing technical premium. ","") &amp; IF($AF729="","Missing surplus lines tax %. ",""))="","PASS","FAIL: "&amp;TRIM(IF($A729="","Missing certificate ref. ","") &amp; IF($C729="","Missing effective date. ","") &amp; IF($D729="","Missing binding status. ","") &amp; IF($E729="","Missing movement type. ","") &amp; IF($I729="","Missing make. ","") &amp; IF($L729="","Missing vehicle class. ","") &amp; IF($M729="","Missing agreed value. ","") &amp; IF($N729="","Missing policy type. ","") &amp; IF($Q729="","Missing garaging state. ","") &amp; IF($R729="","Missing garaging ZIP. ","") &amp; IF($S729="","Missing cat zone. ","") &amp; IF($V729="","Missing valuation basis. ","") &amp; IF($W729="","Missing PD deductible. ","") &amp; IF($X729="","Missing liability limit. ","") &amp; IF($AB729="","Missing technical premium. ","") &amp; IF($AF729="","Missing surplus lines tax %. ",""))))</f>
      </c>
      <c r="AY729" s="44">
        <f>IF($M729="","",IF(ISNUMBER($M729),IF($M729&gt;=Header!$C$18,"YES — refer","No"),""))</f>
      </c>
      <c r="AZ729" s="44">
        <f>IF($AD729="","",IF(ISNUMBER($AD729),IF($AD729&lt;Header!$C$20,"BELOW MIN PREMIUM","OK"),""))</f>
      </c>
      <c r="BA729" s="32" t="inlineStr">
        <is>
          <t xml:space="preserve">Yes</t>
        </is>
      </c>
      <c r="BB729" s="32" t="inlineStr">
        <is>
          <t xml:space="preserve">Yes</t>
        </is>
      </c>
      <c r="BC729" s="30" t="inlineStr">
        <is>
          <t xml:space="preserve">Synthetic demo data</t>
        </is>
      </c>
      <c r="BE729" s="45">
        <f>IF(OR($A729="",$L729="",$H729=""),"",IF(AND(LEFT($L729,2)="06",$H729&gt;1945),"FAIL - pre-war class, year "&amp;$H729,IF(AND(LEFT($L729,2)="07",OR($H729&lt;1946,$H729&gt;1972)),"FAIL - 1946-72 class, year "&amp;$H729,IF(AND(LEFT($L729,2)="08",OR($H729&lt;1973,$H729&gt;1999)),"FAIL - 1973-99 class, year "&amp;$H729,IF(AND(LEFT($L729,2)="09",OR($H729&lt;2000,$H729&gt;2010)),"FAIL - 2000-10 class, year "&amp;$H729,"OK")))))</f>
      </c>
      <c r="BF729" s="45">
        <f>IF($AD729="","",IF(ROUND($AO729+$AP729+$AQ729-$AD729,2)=0,"OK","FAIL - out by "&amp;TEXT($AO729+$AP729+$AQ729-$AD729,"$0.00")))</f>
      </c>
    </row>
    <row r="730" spans="1:58" ht="18.75" customHeight="1" x14ac:dyDescent="0.25">
      <c r="A730" s="46" t="inlineStr">
        <is>
          <t xml:space="preserve">CANON-202606-009409</t>
        </is>
      </c>
      <c r="B730" s="46" t="inlineStr">
        <is>
          <t xml:space="preserve">Fitzgerald Kingsford</t>
        </is>
      </c>
      <c r="C730" s="47">
        <v>46197</v>
      </c>
      <c r="D730" s="48" t="inlineStr">
        <is>
          <t xml:space="preserve">Bound - within authority</t>
        </is>
      </c>
      <c r="E730" s="48" t="inlineStr">
        <is>
          <t xml:space="preserve">New business</t>
        </is>
      </c>
      <c r="F730" s="46" t="inlineStr">
        <is>
          <t xml:space="preserve">B1234EXOTIC26</t>
        </is>
      </c>
      <c r="G730" s="33">
        <f>IF($A730="","",IF($C730="","",YEAR($C730)))</f>
      </c>
      <c r="H730" s="49">
        <v>1966</v>
      </c>
      <c r="I730" s="46" t="inlineStr">
        <is>
          <t xml:space="preserve">Aston Martin</t>
        </is>
      </c>
      <c r="J730" s="46" t="inlineStr">
        <is>
          <t xml:space="preserve">DB5</t>
        </is>
      </c>
      <c r="K730" s="46" t="inlineStr">
        <is>
          <t xml:space="preserve">N50HGAMLGYD195AD2</t>
        </is>
      </c>
      <c r="L730" s="48" t="inlineStr">
        <is>
          <t xml:space="preserve">07 - Post-War Classic (1946-1972)</t>
        </is>
      </c>
      <c r="M730" s="50">
        <v>355000</v>
      </c>
      <c r="N730" s="48" t="inlineStr">
        <is>
          <t xml:space="preserve">Personal</t>
        </is>
      </c>
      <c r="O730" s="46" t="inlineStr">
        <is>
          <t xml:space="preserve">Personal - regular use</t>
        </is>
      </c>
      <c r="P730" s="46" t="inlineStr">
        <is>
          <t xml:space="preserve">1,000 - 2,500</t>
        </is>
      </c>
      <c r="Q730" s="46" t="inlineStr">
        <is>
          <t xml:space="preserve">Missouri</t>
        </is>
      </c>
      <c r="R730" s="46" t="inlineStr">
        <is>
          <t xml:space="preserve">63101</t>
        </is>
      </c>
      <c r="S730" s="48" t="inlineStr">
        <is>
          <t xml:space="preserve">Severe convective - hail / tornado (moderate)</t>
        </is>
      </c>
      <c r="T730" s="36">
        <f>IF($A730="","",IF($S730="","",IFERROR(INDEX('[1]natural catastrophe'!$D$6:$D$17,MATCH($S730,'[1]natural catastrophe'!$B$6:$B$17,0)),"?")))</f>
      </c>
      <c r="U730" s="46" t="inlineStr">
        <is>
          <t xml:space="preserve">$5,000</t>
        </is>
      </c>
      <c r="V730" s="48" t="inlineStr">
        <is>
          <t xml:space="preserve">Agreed Value</t>
        </is>
      </c>
      <c r="W730" s="46" t="inlineStr">
        <is>
          <t xml:space="preserve">$1,000</t>
        </is>
      </c>
      <c r="X730" s="48" t="inlineStr">
        <is>
          <t xml:space="preserve">$1,000,000 CSL</t>
        </is>
      </c>
      <c r="Y730" s="46"/>
      <c r="Z730" s="46"/>
      <c r="AA730" s="48" t="inlineStr">
        <is>
          <t xml:space="preserve">Surplus Lines</t>
        </is>
      </c>
      <c r="AB730" s="50">
        <v>2606.44</v>
      </c>
      <c r="AC730" s="51">
        <v>0</v>
      </c>
      <c r="AD730" s="38">
        <f>IF(ISNUMBER($AB730),$AB730*(1+N($AC730)),"")</f>
      </c>
      <c r="AE730" s="50">
        <v>350</v>
      </c>
      <c r="AF730" s="50">
        <v>0</v>
      </c>
      <c r="AG730" s="51"/>
      <c r="AH730" s="39">
        <f>IF(ISNUMBER($AD730),($AD730+$AE730+$AF730)*$AG730,"")</f>
      </c>
      <c r="AI730" s="50"/>
      <c r="AJ730" s="38">
        <f>IF(ISNUMBER($AD730),SUM($AD730:$AH730),"")</f>
      </c>
      <c r="AK730" s="40">
        <f>IF(AND(ISNUMBER($AB730),ISNUMBER($AD730)),IF($AB730&gt;0,$AD730/$AB730,""),"")</f>
      </c>
      <c r="AL730" s="48" t="inlineStr">
        <is>
          <t xml:space="preserve">At technical</t>
        </is>
      </c>
      <c r="AM730" s="41">
        <f>IF(ISNUMBER($AD730),Header!$I$3,"")</f>
      </c>
      <c r="AN730" s="39">
        <f>IF(ISNUMBER($AD730),$AO730+$AP730,"")</f>
      </c>
      <c r="AO730" s="39">
        <f>IF(ISNUMBER($AD730),ROUND($AD730*Header!$K$3,2),"")</f>
      </c>
      <c r="AP730" s="39">
        <f>IF(ISNUMBER($AD730),ROUND($AD730*Header!$M$3,2),"")</f>
      </c>
      <c r="AQ730" s="38">
        <f>IF(ISNUMBER($AD730),ROUND($AD730,2)-$AO730-$AP730,"")</f>
      </c>
      <c r="AR730" s="39">
        <f>IF(ISNUMBER($AD730),IF(Header!$D$34="","?",$AD730*Header!$D$34),"")</f>
      </c>
      <c r="AS730" s="39">
        <f>IF(ISNUMBER($AB730),IF(Header!$D$34="","?",$AB730*Header!$D$34),"")</f>
      </c>
      <c r="AT730" s="42">
        <f>IF(AND(ISNUMBER($AB730),$M730&gt;0),$AB730/$M730*100,"")</f>
      </c>
      <c r="AU730" s="42">
        <f>IF(AND(ISNUMBER($AD730),$M730&gt;0),$AD730/$M730*100,"")</f>
      </c>
      <c r="AV730" s="40">
        <f>IF(AND(ISNUMBER($AB730),ISNUMBER($AD730),ABS($AB730)&gt;0),$AD730/$AB730,"")</f>
      </c>
      <c r="AW730" s="39">
        <f>IF(ISNUMBER($AD730),MAX(0,(1-0.55-Header!$O$3)*Header!$Q$3*$AQ730),"")</f>
      </c>
      <c r="AX730" s="43">
        <f>IF($A730="","",IF(TRIM(IF($A730="","Missing certificate ref. ","") &amp; IF($C730="","Missing effective date. ","") &amp; IF($D730="","Missing binding status. ","") &amp; IF($E730="","Missing movement type. ","") &amp; IF($I730="","Missing make. ","") &amp; IF($L730="","Missing vehicle class. ","") &amp; IF($M730="","Missing agreed value. ","") &amp; IF($N730="","Missing policy type. ","") &amp; IF($Q730="","Missing garaging state. ","") &amp; IF($R730="","Missing garaging ZIP. ","") &amp; IF($S730="","Missing cat zone. ","") &amp; IF($V730="","Missing valuation basis. ","") &amp; IF($W730="","Missing PD deductible. ","") &amp; IF($X730="","Missing liability limit. ","") &amp; IF($AB730="","Missing technical premium. ","") &amp; IF($AF730="","Missing surplus lines tax %. ",""))="","PASS","FAIL: "&amp;TRIM(IF($A730="","Missing certificate ref. ","") &amp; IF($C730="","Missing effective date. ","") &amp; IF($D730="","Missing binding status. ","") &amp; IF($E730="","Missing movement type. ","") &amp; IF($I730="","Missing make. ","") &amp; IF($L730="","Missing vehicle class. ","") &amp; IF($M730="","Missing agreed value. ","") &amp; IF($N730="","Missing policy type. ","") &amp; IF($Q730="","Missing garaging state. ","") &amp; IF($R730="","Missing garaging ZIP. ","") &amp; IF($S730="","Missing cat zone. ","") &amp; IF($V730="","Missing valuation basis. ","") &amp; IF($W730="","Missing PD deductible. ","") &amp; IF($X730="","Missing liability limit. ","") &amp; IF($AB730="","Missing technical premium. ","") &amp; IF($AF730="","Missing surplus lines tax %. ",""))))</f>
      </c>
      <c r="AY730" s="44">
        <f>IF($M730="","",IF(ISNUMBER($M730),IF($M730&gt;=Header!$C$18,"YES — refer","No"),""))</f>
      </c>
      <c r="AZ730" s="44">
        <f>IF($AD730="","",IF(ISNUMBER($AD730),IF($AD730&lt;Header!$C$20,"BELOW MIN PREMIUM","OK"),""))</f>
      </c>
      <c r="BA730" s="48" t="inlineStr">
        <is>
          <t xml:space="preserve">Yes</t>
        </is>
      </c>
      <c r="BB730" s="48" t="inlineStr">
        <is>
          <t xml:space="preserve">Yes</t>
        </is>
      </c>
      <c r="BC730" s="46" t="inlineStr">
        <is>
          <t xml:space="preserve">Synthetic demo data</t>
        </is>
      </c>
      <c r="BE730" s="45">
        <f>IF(OR($A730="",$L730="",$H730=""),"",IF(AND(LEFT($L730,2)="06",$H730&gt;1945),"FAIL - pre-war class, year "&amp;$H730,IF(AND(LEFT($L730,2)="07",OR($H730&lt;1946,$H730&gt;1972)),"FAIL - 1946-72 class, year "&amp;$H730,IF(AND(LEFT($L730,2)="08",OR($H730&lt;1973,$H730&gt;1999)),"FAIL - 1973-99 class, year "&amp;$H730,IF(AND(LEFT($L730,2)="09",OR($H730&lt;2000,$H730&gt;2010)),"FAIL - 2000-10 class, year "&amp;$H730,"OK")))))</f>
      </c>
      <c r="BF730" s="45">
        <f>IF($AD730="","",IF(ROUND($AO730+$AP730+$AQ730-$AD730,2)=0,"OK","FAIL - out by "&amp;TEXT($AO730+$AP730+$AQ730-$AD730,"$0.00")))</f>
      </c>
    </row>
    <row r="731" spans="1:58" ht="18.75" customHeight="1" x14ac:dyDescent="0.25">
      <c r="A731" s="30" t="inlineStr">
        <is>
          <t xml:space="preserve">CANON-202606-009410</t>
        </is>
      </c>
      <c r="B731" s="30" t="inlineStr">
        <is>
          <t xml:space="preserve">Ottilie Delacroix</t>
        </is>
      </c>
      <c r="C731" s="31">
        <v>46186</v>
      </c>
      <c r="D731" s="32" t="inlineStr">
        <is>
          <t xml:space="preserve">Bound - within authority</t>
        </is>
      </c>
      <c r="E731" s="32" t="inlineStr">
        <is>
          <t xml:space="preserve">New business</t>
        </is>
      </c>
      <c r="F731" s="30" t="inlineStr">
        <is>
          <t xml:space="preserve">B1234EXOTIC26</t>
        </is>
      </c>
      <c r="G731" s="33">
        <f>IF($A731="","",IF($C731="","",YEAR($C731)))</f>
      </c>
      <c r="H731" s="34">
        <v>1976</v>
      </c>
      <c r="I731" s="30" t="inlineStr">
        <is>
          <t xml:space="preserve">Porsche</t>
        </is>
      </c>
      <c r="J731" s="30" t="inlineStr">
        <is>
          <t xml:space="preserve">911 Turbo S</t>
        </is>
      </c>
      <c r="K731" s="30" t="inlineStr">
        <is>
          <t xml:space="preserve">RDUWPDVSGVSWHA05A</t>
        </is>
      </c>
      <c r="L731" s="32" t="inlineStr">
        <is>
          <t xml:space="preserve">02 - Sports / GT</t>
        </is>
      </c>
      <c r="M731" s="35">
        <v>255000</v>
      </c>
      <c r="N731" s="32" t="inlineStr">
        <is>
          <t xml:space="preserve">Personal</t>
        </is>
      </c>
      <c r="O731" s="30" t="inlineStr">
        <is>
          <t xml:space="preserve">Personal - regular use</t>
        </is>
      </c>
      <c r="P731" s="30" t="inlineStr">
        <is>
          <t xml:space="preserve">2,500 - 5,000</t>
        </is>
      </c>
      <c r="Q731" s="30" t="inlineStr">
        <is>
          <t xml:space="preserve">Ohio</t>
        </is>
      </c>
      <c r="R731" s="30" t="inlineStr">
        <is>
          <t xml:space="preserve">43215</t>
        </is>
      </c>
      <c r="S731" s="32" t="inlineStr">
        <is>
          <t xml:space="preserve">Severe convective - hail / tornado (moderate)</t>
        </is>
      </c>
      <c r="T731" s="36">
        <f>IF($A731="","",IF($S731="","",IFERROR(INDEX('[1]natural catastrophe'!$D$6:$D$17,MATCH($S731,'[1]natural catastrophe'!$B$6:$B$17,0)),"?")))</f>
      </c>
      <c r="U731" s="30" t="inlineStr">
        <is>
          <t xml:space="preserve">$5,000</t>
        </is>
      </c>
      <c r="V731" s="32" t="inlineStr">
        <is>
          <t xml:space="preserve">Agreed Value</t>
        </is>
      </c>
      <c r="W731" s="30" t="inlineStr">
        <is>
          <t xml:space="preserve">$1,000</t>
        </is>
      </c>
      <c r="X731" s="32" t="inlineStr">
        <is>
          <t xml:space="preserve">$1,000,000 CSL</t>
        </is>
      </c>
      <c r="Y731" s="30"/>
      <c r="Z731" s="30"/>
      <c r="AA731" s="32" t="inlineStr">
        <is>
          <t xml:space="preserve">Surplus Lines</t>
        </is>
      </c>
      <c r="AB731" s="35">
        <v>3836.08</v>
      </c>
      <c r="AC731" s="37">
        <v>0</v>
      </c>
      <c r="AD731" s="38">
        <f>IF(ISNUMBER($AB731),$AB731*(1+N($AC731)),"")</f>
      </c>
      <c r="AE731" s="35">
        <v>350</v>
      </c>
      <c r="AF731" s="35">
        <v>0</v>
      </c>
      <c r="AG731" s="37"/>
      <c r="AH731" s="39">
        <f>IF(ISNUMBER($AD731),($AD731+$AE731+$AF731)*$AG731,"")</f>
      </c>
      <c r="AI731" s="35"/>
      <c r="AJ731" s="38">
        <f>IF(ISNUMBER($AD731),SUM($AD731:$AH731),"")</f>
      </c>
      <c r="AK731" s="40">
        <f>IF(AND(ISNUMBER($AB731),ISNUMBER($AD731)),IF($AB731&gt;0,$AD731/$AB731,""),"")</f>
      </c>
      <c r="AL731" s="32" t="inlineStr">
        <is>
          <t xml:space="preserve">At technical</t>
        </is>
      </c>
      <c r="AM731" s="41">
        <f>IF(ISNUMBER($AD731),Header!$I$3,"")</f>
      </c>
      <c r="AN731" s="39">
        <f>IF(ISNUMBER($AD731),$AO731+$AP731,"")</f>
      </c>
      <c r="AO731" s="39">
        <f>IF(ISNUMBER($AD731),ROUND($AD731*Header!$K$3,2),"")</f>
      </c>
      <c r="AP731" s="39">
        <f>IF(ISNUMBER($AD731),ROUND($AD731*Header!$M$3,2),"")</f>
      </c>
      <c r="AQ731" s="38">
        <f>IF(ISNUMBER($AD731),ROUND($AD731,2)-$AO731-$AP731,"")</f>
      </c>
      <c r="AR731" s="39">
        <f>IF(ISNUMBER($AD731),IF(Header!$D$34="","?",$AD731*Header!$D$34),"")</f>
      </c>
      <c r="AS731" s="39">
        <f>IF(ISNUMBER($AB731),IF(Header!$D$34="","?",$AB731*Header!$D$34),"")</f>
      </c>
      <c r="AT731" s="42">
        <f>IF(AND(ISNUMBER($AB731),$M731&gt;0),$AB731/$M731*100,"")</f>
      </c>
      <c r="AU731" s="42">
        <f>IF(AND(ISNUMBER($AD731),$M731&gt;0),$AD731/$M731*100,"")</f>
      </c>
      <c r="AV731" s="40">
        <f>IF(AND(ISNUMBER($AB731),ISNUMBER($AD731),ABS($AB731)&gt;0),$AD731/$AB731,"")</f>
      </c>
      <c r="AW731" s="39">
        <f>IF(ISNUMBER($AD731),MAX(0,(1-0.55-Header!$O$3)*Header!$Q$3*$AQ731),"")</f>
      </c>
      <c r="AX731" s="43">
        <f>IF($A731="","",IF(TRIM(IF($A731="","Missing certificate ref. ","") &amp; IF($C731="","Missing effective date. ","") &amp; IF($D731="","Missing binding status. ","") &amp; IF($E731="","Missing movement type. ","") &amp; IF($I731="","Missing make. ","") &amp; IF($L731="","Missing vehicle class. ","") &amp; IF($M731="","Missing agreed value. ","") &amp; IF($N731="","Missing policy type. ","") &amp; IF($Q731="","Missing garaging state. ","") &amp; IF($R731="","Missing garaging ZIP. ","") &amp; IF($S731="","Missing cat zone. ","") &amp; IF($V731="","Missing valuation basis. ","") &amp; IF($W731="","Missing PD deductible. ","") &amp; IF($X731="","Missing liability limit. ","") &amp; IF($AB731="","Missing technical premium. ","") &amp; IF($AF731="","Missing surplus lines tax %. ",""))="","PASS","FAIL: "&amp;TRIM(IF($A731="","Missing certificate ref. ","") &amp; IF($C731="","Missing effective date. ","") &amp; IF($D731="","Missing binding status. ","") &amp; IF($E731="","Missing movement type. ","") &amp; IF($I731="","Missing make. ","") &amp; IF($L731="","Missing vehicle class. ","") &amp; IF($M731="","Missing agreed value. ","") &amp; IF($N731="","Missing policy type. ","") &amp; IF($Q731="","Missing garaging state. ","") &amp; IF($R731="","Missing garaging ZIP. ","") &amp; IF($S731="","Missing cat zone. ","") &amp; IF($V731="","Missing valuation basis. ","") &amp; IF($W731="","Missing PD deductible. ","") &amp; IF($X731="","Missing liability limit. ","") &amp; IF($AB731="","Missing technical premium. ","") &amp; IF($AF731="","Missing surplus lines tax %. ",""))))</f>
      </c>
      <c r="AY731" s="44">
        <f>IF($M731="","",IF(ISNUMBER($M731),IF($M731&gt;=Header!$C$18,"YES — refer","No"),""))</f>
      </c>
      <c r="AZ731" s="44">
        <f>IF($AD731="","",IF(ISNUMBER($AD731),IF($AD731&lt;Header!$C$20,"BELOW MIN PREMIUM","OK"),""))</f>
      </c>
      <c r="BA731" s="32" t="inlineStr">
        <is>
          <t xml:space="preserve">Yes</t>
        </is>
      </c>
      <c r="BB731" s="32" t="inlineStr">
        <is>
          <t xml:space="preserve">Yes</t>
        </is>
      </c>
      <c r="BC731" s="30" t="inlineStr">
        <is>
          <t xml:space="preserve">Synthetic demo data</t>
        </is>
      </c>
      <c r="BE731" s="45">
        <f>IF(OR($A731="",$L731="",$H731=""),"",IF(AND(LEFT($L731,2)="06",$H731&gt;1945),"FAIL - pre-war class, year "&amp;$H731,IF(AND(LEFT($L731,2)="07",OR($H731&lt;1946,$H731&gt;1972)),"FAIL - 1946-72 class, year "&amp;$H731,IF(AND(LEFT($L731,2)="08",OR($H731&lt;1973,$H731&gt;1999)),"FAIL - 1973-99 class, year "&amp;$H731,IF(AND(LEFT($L731,2)="09",OR($H731&lt;2000,$H731&gt;2010)),"FAIL - 2000-10 class, year "&amp;$H731,"OK")))))</f>
      </c>
      <c r="BF731" s="45">
        <f>IF($AD731="","",IF(ROUND($AO731+$AP731+$AQ731-$AD731,2)=0,"OK","FAIL - out by "&amp;TEXT($AO731+$AP731+$AQ731-$AD731,"$0.00")))</f>
      </c>
    </row>
    <row r="732" spans="1:58" ht="18.75" customHeight="1" x14ac:dyDescent="0.25">
      <c r="A732" s="46" t="inlineStr">
        <is>
          <t xml:space="preserve">CANON-202606-009413</t>
        </is>
      </c>
      <c r="B732" s="46" t="inlineStr">
        <is>
          <t xml:space="preserve">Priya Castellanos</t>
        </is>
      </c>
      <c r="C732" s="47">
        <v>46178</v>
      </c>
      <c r="D732" s="48" t="inlineStr">
        <is>
          <t xml:space="preserve">Bound - within authority</t>
        </is>
      </c>
      <c r="E732" s="48" t="inlineStr">
        <is>
          <t xml:space="preserve">New business</t>
        </is>
      </c>
      <c r="F732" s="46" t="inlineStr">
        <is>
          <t xml:space="preserve">B1234EXOTIC26</t>
        </is>
      </c>
      <c r="G732" s="33">
        <f>IF($A732="","",IF($C732="","",YEAR($C732)))</f>
      </c>
      <c r="H732" s="49">
        <v>1956</v>
      </c>
      <c r="I732" s="46" t="inlineStr">
        <is>
          <t xml:space="preserve">Ferrari</t>
        </is>
      </c>
      <c r="J732" s="46" t="inlineStr">
        <is>
          <t xml:space="preserve">296 GTB</t>
        </is>
      </c>
      <c r="K732" s="46" t="inlineStr">
        <is>
          <t xml:space="preserve">MA2AD8194W60UX5W7</t>
        </is>
      </c>
      <c r="L732" s="48" t="inlineStr">
        <is>
          <t xml:space="preserve">03 - Supercar</t>
        </is>
      </c>
      <c r="M732" s="50">
        <v>1950000</v>
      </c>
      <c r="N732" s="48" t="inlineStr">
        <is>
          <t xml:space="preserve">Personal</t>
        </is>
      </c>
      <c r="O732" s="46" t="inlineStr">
        <is>
          <t xml:space="preserve">Personal - regular use</t>
        </is>
      </c>
      <c r="P732" s="46" t="inlineStr">
        <is>
          <t xml:space="preserve">Under 1,000</t>
        </is>
      </c>
      <c r="Q732" s="46" t="inlineStr">
        <is>
          <t xml:space="preserve">Colorado</t>
        </is>
      </c>
      <c r="R732" s="46" t="inlineStr">
        <is>
          <t xml:space="preserve">80202</t>
        </is>
      </c>
      <c r="S732" s="48" t="inlineStr">
        <is>
          <t xml:space="preserve">Severe convective - hail alley (high)</t>
        </is>
      </c>
      <c r="T732" s="36">
        <f>IF($A732="","",IF($S732="","",IFERROR(INDEX('[1]natural catastrophe'!$D$6:$D$17,MATCH($S732,'[1]natural catastrophe'!$B$6:$B$17,0)),"?")))</f>
      </c>
      <c r="U732" s="46" t="inlineStr">
        <is>
          <t xml:space="preserve">$5,000</t>
        </is>
      </c>
      <c r="V732" s="48" t="inlineStr">
        <is>
          <t xml:space="preserve">Agreed Value</t>
        </is>
      </c>
      <c r="W732" s="46" t="inlineStr">
        <is>
          <t xml:space="preserve">$1,000</t>
        </is>
      </c>
      <c r="X732" s="48" t="inlineStr">
        <is>
          <t xml:space="preserve">$1,000,000 CSL</t>
        </is>
      </c>
      <c r="Y732" s="46"/>
      <c r="Z732" s="46"/>
      <c r="AA732" s="48" t="inlineStr">
        <is>
          <t xml:space="preserve">Surplus Lines</t>
        </is>
      </c>
      <c r="AB732" s="50">
        <v>24762.2</v>
      </c>
      <c r="AC732" s="51">
        <v>0</v>
      </c>
      <c r="AD732" s="38">
        <f>IF(ISNUMBER($AB732),$AB732*(1+N($AC732)),"")</f>
      </c>
      <c r="AE732" s="50">
        <v>350</v>
      </c>
      <c r="AF732" s="50">
        <v>250</v>
      </c>
      <c r="AG732" s="51"/>
      <c r="AH732" s="39">
        <f>IF(ISNUMBER($AD732),($AD732+$AE732+$AF732)*$AG732,"")</f>
      </c>
      <c r="AI732" s="50"/>
      <c r="AJ732" s="38">
        <f>IF(ISNUMBER($AD732),SUM($AD732:$AH732),"")</f>
      </c>
      <c r="AK732" s="40">
        <f>IF(AND(ISNUMBER($AB732),ISNUMBER($AD732)),IF($AB732&gt;0,$AD732/$AB732,""),"")</f>
      </c>
      <c r="AL732" s="48" t="inlineStr">
        <is>
          <t xml:space="preserve">At technical</t>
        </is>
      </c>
      <c r="AM732" s="41">
        <f>IF(ISNUMBER($AD732),Header!$I$3,"")</f>
      </c>
      <c r="AN732" s="39">
        <f>IF(ISNUMBER($AD732),$AO732+$AP732,"")</f>
      </c>
      <c r="AO732" s="39">
        <f>IF(ISNUMBER($AD732),ROUND($AD732*Header!$K$3,2),"")</f>
      </c>
      <c r="AP732" s="39">
        <f>IF(ISNUMBER($AD732),ROUND($AD732*Header!$M$3,2),"")</f>
      </c>
      <c r="AQ732" s="38">
        <f>IF(ISNUMBER($AD732),ROUND($AD732,2)-$AO732-$AP732,"")</f>
      </c>
      <c r="AR732" s="39">
        <f>IF(ISNUMBER($AD732),IF(Header!$D$34="","?",$AD732*Header!$D$34),"")</f>
      </c>
      <c r="AS732" s="39">
        <f>IF(ISNUMBER($AB732),IF(Header!$D$34="","?",$AB732*Header!$D$34),"")</f>
      </c>
      <c r="AT732" s="42">
        <f>IF(AND(ISNUMBER($AB732),$M732&gt;0),$AB732/$M732*100,"")</f>
      </c>
      <c r="AU732" s="42">
        <f>IF(AND(ISNUMBER($AD732),$M732&gt;0),$AD732/$M732*100,"")</f>
      </c>
      <c r="AV732" s="40">
        <f>IF(AND(ISNUMBER($AB732),ISNUMBER($AD732),ABS($AB732)&gt;0),$AD732/$AB732,"")</f>
      </c>
      <c r="AW732" s="39">
        <f>IF(ISNUMBER($AD732),MAX(0,(1-0.55-Header!$O$3)*Header!$Q$3*$AQ732),"")</f>
      </c>
      <c r="AX732" s="43">
        <f>IF($A732="","",IF(TRIM(IF($A732="","Missing certificate ref. ","") &amp; IF($C732="","Missing effective date. ","") &amp; IF($D732="","Missing binding status. ","") &amp; IF($E732="","Missing movement type. ","") &amp; IF($I732="","Missing make. ","") &amp; IF($L732="","Missing vehicle class. ","") &amp; IF($M732="","Missing agreed value. ","") &amp; IF($N732="","Missing policy type. ","") &amp; IF($Q732="","Missing garaging state. ","") &amp; IF($R732="","Missing garaging ZIP. ","") &amp; IF($S732="","Missing cat zone. ","") &amp; IF($V732="","Missing valuation basis. ","") &amp; IF($W732="","Missing PD deductible. ","") &amp; IF($X732="","Missing liability limit. ","") &amp; IF($AB732="","Missing technical premium. ","") &amp; IF($AF732="","Missing surplus lines tax %. ",""))="","PASS","FAIL: "&amp;TRIM(IF($A732="","Missing certificate ref. ","") &amp; IF($C732="","Missing effective date. ","") &amp; IF($D732="","Missing binding status. ","") &amp; IF($E732="","Missing movement type. ","") &amp; IF($I732="","Missing make. ","") &amp; IF($L732="","Missing vehicle class. ","") &amp; IF($M732="","Missing agreed value. ","") &amp; IF($N732="","Missing policy type. ","") &amp; IF($Q732="","Missing garaging state. ","") &amp; IF($R732="","Missing garaging ZIP. ","") &amp; IF($S732="","Missing cat zone. ","") &amp; IF($V732="","Missing valuation basis. ","") &amp; IF($W732="","Missing PD deductible. ","") &amp; IF($X732="","Missing liability limit. ","") &amp; IF($AB732="","Missing technical premium. ","") &amp; IF($AF732="","Missing surplus lines tax %. ",""))))</f>
      </c>
      <c r="AY732" s="44">
        <f>IF($M732="","",IF(ISNUMBER($M732),IF($M732&gt;=Header!$C$18,"YES — refer","No"),""))</f>
      </c>
      <c r="AZ732" s="44">
        <f>IF($AD732="","",IF(ISNUMBER($AD732),IF($AD732&lt;Header!$C$20,"BELOW MIN PREMIUM","OK"),""))</f>
      </c>
      <c r="BA732" s="48" t="inlineStr">
        <is>
          <t xml:space="preserve">Yes</t>
        </is>
      </c>
      <c r="BB732" s="48" t="inlineStr">
        <is>
          <t xml:space="preserve">Yes</t>
        </is>
      </c>
      <c r="BC732" s="46" t="inlineStr">
        <is>
          <t xml:space="preserve">Synthetic demo data</t>
        </is>
      </c>
      <c r="BE732" s="45">
        <f>IF(OR($A732="",$L732="",$H732=""),"",IF(AND(LEFT($L732,2)="06",$H732&gt;1945),"FAIL - pre-war class, year "&amp;$H732,IF(AND(LEFT($L732,2)="07",OR($H732&lt;1946,$H732&gt;1972)),"FAIL - 1946-72 class, year "&amp;$H732,IF(AND(LEFT($L732,2)="08",OR($H732&lt;1973,$H732&gt;1999)),"FAIL - 1973-99 class, year "&amp;$H732,IF(AND(LEFT($L732,2)="09",OR($H732&lt;2000,$H732&gt;2010)),"FAIL - 2000-10 class, year "&amp;$H732,"OK")))))</f>
      </c>
      <c r="BF732" s="45">
        <f>IF($AD732="","",IF(ROUND($AO732+$AP732+$AQ732-$AD732,2)=0,"OK","FAIL - out by "&amp;TEXT($AO732+$AP732+$AQ732-$AD732,"$0.00")))</f>
      </c>
    </row>
    <row r="733" spans="1:58" ht="18.75" customHeight="1" x14ac:dyDescent="0.25">
      <c r="A733" s="30" t="inlineStr">
        <is>
          <t xml:space="preserve">CANON-202606-009414</t>
        </is>
      </c>
      <c r="B733" s="30" t="inlineStr">
        <is>
          <t xml:space="preserve">Fitzgerald Ashcombe</t>
        </is>
      </c>
      <c r="C733" s="31">
        <v>46203</v>
      </c>
      <c r="D733" s="32" t="inlineStr">
        <is>
          <t xml:space="preserve">Bound - within authority</t>
        </is>
      </c>
      <c r="E733" s="32" t="inlineStr">
        <is>
          <t xml:space="preserve">New business</t>
        </is>
      </c>
      <c r="F733" s="30" t="inlineStr">
        <is>
          <t xml:space="preserve">B1234EXOTIC26</t>
        </is>
      </c>
      <c r="G733" s="33">
        <f>IF($A733="","",IF($C733="","",YEAR($C733)))</f>
      </c>
      <c r="H733" s="34">
        <v>2022</v>
      </c>
      <c r="I733" s="30" t="inlineStr">
        <is>
          <t xml:space="preserve">Lamborghini</t>
        </is>
      </c>
      <c r="J733" s="30" t="inlineStr">
        <is>
          <t xml:space="preserve">Huracan EVO</t>
        </is>
      </c>
      <c r="K733" s="30" t="inlineStr">
        <is>
          <t xml:space="preserve">FEXSB6C4KGA4H7UAJ</t>
        </is>
      </c>
      <c r="L733" s="32" t="inlineStr">
        <is>
          <t xml:space="preserve">03 - Supercar</t>
        </is>
      </c>
      <c r="M733" s="35">
        <v>670000</v>
      </c>
      <c r="N733" s="32" t="inlineStr">
        <is>
          <t xml:space="preserve">Personal</t>
        </is>
      </c>
      <c r="O733" s="30" t="inlineStr">
        <is>
          <t xml:space="preserve">Personal - regular use</t>
        </is>
      </c>
      <c r="P733" s="30" t="inlineStr">
        <is>
          <t xml:space="preserve">Under 1,000</t>
        </is>
      </c>
      <c r="Q733" s="30" t="inlineStr">
        <is>
          <t xml:space="preserve">Tennessee</t>
        </is>
      </c>
      <c r="R733" s="30" t="inlineStr">
        <is>
          <t xml:space="preserve">37203</t>
        </is>
      </c>
      <c r="S733" s="32" t="inlineStr">
        <is>
          <t xml:space="preserve">Severe convective - hail / tornado (moderate)</t>
        </is>
      </c>
      <c r="T733" s="36">
        <f>IF($A733="","",IF($S733="","",IFERROR(INDEX('[1]natural catastrophe'!$D$6:$D$17,MATCH($S733,'[1]natural catastrophe'!$B$6:$B$17,0)),"?")))</f>
      </c>
      <c r="U733" s="30" t="inlineStr">
        <is>
          <t xml:space="preserve">$5,000</t>
        </is>
      </c>
      <c r="V733" s="32" t="inlineStr">
        <is>
          <t xml:space="preserve">Agreed Value</t>
        </is>
      </c>
      <c r="W733" s="30" t="inlineStr">
        <is>
          <t xml:space="preserve">$1,000</t>
        </is>
      </c>
      <c r="X733" s="32" t="inlineStr">
        <is>
          <t xml:space="preserve">$1,000,000 CSL</t>
        </is>
      </c>
      <c r="Y733" s="30"/>
      <c r="Z733" s="30"/>
      <c r="AA733" s="32" t="inlineStr">
        <is>
          <t xml:space="preserve">Surplus Lines</t>
        </is>
      </c>
      <c r="AB733" s="35">
        <v>9001.12</v>
      </c>
      <c r="AC733" s="37">
        <v>0</v>
      </c>
      <c r="AD733" s="38">
        <f>IF(ISNUMBER($AB733),$AB733*(1+N($AC733)),"")</f>
      </c>
      <c r="AE733" s="35">
        <v>350</v>
      </c>
      <c r="AF733" s="35">
        <v>0</v>
      </c>
      <c r="AG733" s="37"/>
      <c r="AH733" s="39">
        <f>IF(ISNUMBER($AD733),($AD733+$AE733+$AF733)*$AG733,"")</f>
      </c>
      <c r="AI733" s="35"/>
      <c r="AJ733" s="38">
        <f>IF(ISNUMBER($AD733),SUM($AD733:$AH733),"")</f>
      </c>
      <c r="AK733" s="40">
        <f>IF(AND(ISNUMBER($AB733),ISNUMBER($AD733)),IF($AB733&gt;0,$AD733/$AB733,""),"")</f>
      </c>
      <c r="AL733" s="32" t="inlineStr">
        <is>
          <t xml:space="preserve">At technical</t>
        </is>
      </c>
      <c r="AM733" s="41">
        <f>IF(ISNUMBER($AD733),Header!$I$3,"")</f>
      </c>
      <c r="AN733" s="39">
        <f>IF(ISNUMBER($AD733),$AO733+$AP733,"")</f>
      </c>
      <c r="AO733" s="39">
        <f>IF(ISNUMBER($AD733),ROUND($AD733*Header!$K$3,2),"")</f>
      </c>
      <c r="AP733" s="39">
        <f>IF(ISNUMBER($AD733),ROUND($AD733*Header!$M$3,2),"")</f>
      </c>
      <c r="AQ733" s="38">
        <f>IF(ISNUMBER($AD733),ROUND($AD733,2)-$AO733-$AP733,"")</f>
      </c>
      <c r="AR733" s="39">
        <f>IF(ISNUMBER($AD733),IF(Header!$D$34="","?",$AD733*Header!$D$34),"")</f>
      </c>
      <c r="AS733" s="39">
        <f>IF(ISNUMBER($AB733),IF(Header!$D$34="","?",$AB733*Header!$D$34),"")</f>
      </c>
      <c r="AT733" s="42">
        <f>IF(AND(ISNUMBER($AB733),$M733&gt;0),$AB733/$M733*100,"")</f>
      </c>
      <c r="AU733" s="42">
        <f>IF(AND(ISNUMBER($AD733),$M733&gt;0),$AD733/$M733*100,"")</f>
      </c>
      <c r="AV733" s="40">
        <f>IF(AND(ISNUMBER($AB733),ISNUMBER($AD733),ABS($AB733)&gt;0),$AD733/$AB733,"")</f>
      </c>
      <c r="AW733" s="39">
        <f>IF(ISNUMBER($AD733),MAX(0,(1-0.55-Header!$O$3)*Header!$Q$3*$AQ733),"")</f>
      </c>
      <c r="AX733" s="43">
        <f>IF($A733="","",IF(TRIM(IF($A733="","Missing certificate ref. ","") &amp; IF($C733="","Missing effective date. ","") &amp; IF($D733="","Missing binding status. ","") &amp; IF($E733="","Missing movement type. ","") &amp; IF($I733="","Missing make. ","") &amp; IF($L733="","Missing vehicle class. ","") &amp; IF($M733="","Missing agreed value. ","") &amp; IF($N733="","Missing policy type. ","") &amp; IF($Q733="","Missing garaging state. ","") &amp; IF($R733="","Missing garaging ZIP. ","") &amp; IF($S733="","Missing cat zone. ","") &amp; IF($V733="","Missing valuation basis. ","") &amp; IF($W733="","Missing PD deductible. ","") &amp; IF($X733="","Missing liability limit. ","") &amp; IF($AB733="","Missing technical premium. ","") &amp; IF($AF733="","Missing surplus lines tax %. ",""))="","PASS","FAIL: "&amp;TRIM(IF($A733="","Missing certificate ref. ","") &amp; IF($C733="","Missing effective date. ","") &amp; IF($D733="","Missing binding status. ","") &amp; IF($E733="","Missing movement type. ","") &amp; IF($I733="","Missing make. ","") &amp; IF($L733="","Missing vehicle class. ","") &amp; IF($M733="","Missing agreed value. ","") &amp; IF($N733="","Missing policy type. ","") &amp; IF($Q733="","Missing garaging state. ","") &amp; IF($R733="","Missing garaging ZIP. ","") &amp; IF($S733="","Missing cat zone. ","") &amp; IF($V733="","Missing valuation basis. ","") &amp; IF($W733="","Missing PD deductible. ","") &amp; IF($X733="","Missing liability limit. ","") &amp; IF($AB733="","Missing technical premium. ","") &amp; IF($AF733="","Missing surplus lines tax %. ",""))))</f>
      </c>
      <c r="AY733" s="44">
        <f>IF($M733="","",IF(ISNUMBER($M733),IF($M733&gt;=Header!$C$18,"YES — refer","No"),""))</f>
      </c>
      <c r="AZ733" s="44">
        <f>IF($AD733="","",IF(ISNUMBER($AD733),IF($AD733&lt;Header!$C$20,"BELOW MIN PREMIUM","OK"),""))</f>
      </c>
      <c r="BA733" s="32" t="inlineStr">
        <is>
          <t xml:space="preserve">Yes</t>
        </is>
      </c>
      <c r="BB733" s="32" t="inlineStr">
        <is>
          <t xml:space="preserve">Yes</t>
        </is>
      </c>
      <c r="BC733" s="30" t="inlineStr">
        <is>
          <t xml:space="preserve">Synthetic demo data</t>
        </is>
      </c>
      <c r="BE733" s="45">
        <f>IF(OR($A733="",$L733="",$H733=""),"",IF(AND(LEFT($L733,2)="06",$H733&gt;1945),"FAIL - pre-war class, year "&amp;$H733,IF(AND(LEFT($L733,2)="07",OR($H733&lt;1946,$H733&gt;1972)),"FAIL - 1946-72 class, year "&amp;$H733,IF(AND(LEFT($L733,2)="08",OR($H733&lt;1973,$H733&gt;1999)),"FAIL - 1973-99 class, year "&amp;$H733,IF(AND(LEFT($L733,2)="09",OR($H733&lt;2000,$H733&gt;2010)),"FAIL - 2000-10 class, year "&amp;$H733,"OK")))))</f>
      </c>
      <c r="BF733" s="45">
        <f>IF($AD733="","",IF(ROUND($AO733+$AP733+$AQ733-$AD733,2)=0,"OK","FAIL - out by "&amp;TEXT($AO733+$AP733+$AQ733-$AD733,"$0.00")))</f>
      </c>
    </row>
    <row r="734" spans="1:58" ht="18.75" customHeight="1" x14ac:dyDescent="0.25">
      <c r="A734" s="46" t="inlineStr">
        <is>
          <t xml:space="preserve">CANON-202606-009415</t>
        </is>
      </c>
      <c r="B734" s="46" t="inlineStr">
        <is>
          <t xml:space="preserve">Thaddeus Whitlock</t>
        </is>
      </c>
      <c r="C734" s="47">
        <v>46178</v>
      </c>
      <c r="D734" s="48" t="inlineStr">
        <is>
          <t xml:space="preserve">Bound - within authority</t>
        </is>
      </c>
      <c r="E734" s="48" t="inlineStr">
        <is>
          <t xml:space="preserve">New business</t>
        </is>
      </c>
      <c r="F734" s="46" t="inlineStr">
        <is>
          <t xml:space="preserve">B1234EXOTIC26</t>
        </is>
      </c>
      <c r="G734" s="33">
        <f>IF($A734="","",IF($C734="","",YEAR($C734)))</f>
      </c>
      <c r="H734" s="49">
        <v>1993</v>
      </c>
      <c r="I734" s="46" t="inlineStr">
        <is>
          <t xml:space="preserve">Porsche</t>
        </is>
      </c>
      <c r="J734" s="46" t="inlineStr">
        <is>
          <t xml:space="preserve">911 Turbo S</t>
        </is>
      </c>
      <c r="K734" s="46" t="inlineStr">
        <is>
          <t xml:space="preserve">SWZXVUZWB31JJZVFB</t>
        </is>
      </c>
      <c r="L734" s="48" t="inlineStr">
        <is>
          <t xml:space="preserve">02 - Sports / GT</t>
        </is>
      </c>
      <c r="M734" s="50">
        <v>950000</v>
      </c>
      <c r="N734" s="48" t="inlineStr">
        <is>
          <t xml:space="preserve">Personal</t>
        </is>
      </c>
      <c r="O734" s="46" t="inlineStr">
        <is>
          <t xml:space="preserve">Personal - regular use</t>
        </is>
      </c>
      <c r="P734" s="46" t="inlineStr">
        <is>
          <t xml:space="preserve">1,000 - 2,500</t>
        </is>
      </c>
      <c r="Q734" s="46" t="inlineStr">
        <is>
          <t xml:space="preserve">New Hampshire</t>
        </is>
      </c>
      <c r="R734" s="46" t="inlineStr">
        <is>
          <t xml:space="preserve">03301</t>
        </is>
      </c>
      <c r="S734" s="48" t="inlineStr">
        <is>
          <t xml:space="preserve">Tier 3 - Coastal wind (25-100 miles)</t>
        </is>
      </c>
      <c r="T734" s="36">
        <f>IF($A734="","",IF($S734="","",IFERROR(INDEX('[1]natural catastrophe'!$D$6:$D$17,MATCH($S734,'[1]natural catastrophe'!$B$6:$B$17,0)),"?")))</f>
      </c>
      <c r="U734" s="46" t="inlineStr">
        <is>
          <t xml:space="preserve">2% of agreed value, minimum $10,000</t>
        </is>
      </c>
      <c r="V734" s="48" t="inlineStr">
        <is>
          <t xml:space="preserve">Agreed Value</t>
        </is>
      </c>
      <c r="W734" s="46" t="inlineStr">
        <is>
          <t xml:space="preserve">$1,000</t>
        </is>
      </c>
      <c r="X734" s="48" t="inlineStr">
        <is>
          <t xml:space="preserve">$1,000,000 CSL</t>
        </is>
      </c>
      <c r="Y734" s="46"/>
      <c r="Z734" s="46"/>
      <c r="AA734" s="48" t="inlineStr">
        <is>
          <t xml:space="preserve">Surplus Lines</t>
        </is>
      </c>
      <c r="AB734" s="50">
        <v>9267.07</v>
      </c>
      <c r="AC734" s="51">
        <v>0</v>
      </c>
      <c r="AD734" s="38">
        <f>IF(ISNUMBER($AB734),$AB734*(1+N($AC734)),"")</f>
      </c>
      <c r="AE734" s="50">
        <v>350</v>
      </c>
      <c r="AF734" s="50">
        <v>0</v>
      </c>
      <c r="AG734" s="51"/>
      <c r="AH734" s="39">
        <f>IF(ISNUMBER($AD734),($AD734+$AE734+$AF734)*$AG734,"")</f>
      </c>
      <c r="AI734" s="50"/>
      <c r="AJ734" s="38">
        <f>IF(ISNUMBER($AD734),SUM($AD734:$AH734),"")</f>
      </c>
      <c r="AK734" s="40">
        <f>IF(AND(ISNUMBER($AB734),ISNUMBER($AD734)),IF($AB734&gt;0,$AD734/$AB734,""),"")</f>
      </c>
      <c r="AL734" s="48" t="inlineStr">
        <is>
          <t xml:space="preserve">At technical</t>
        </is>
      </c>
      <c r="AM734" s="41">
        <f>IF(ISNUMBER($AD734),Header!$I$3,"")</f>
      </c>
      <c r="AN734" s="39">
        <f>IF(ISNUMBER($AD734),$AO734+$AP734,"")</f>
      </c>
      <c r="AO734" s="39">
        <f>IF(ISNUMBER($AD734),ROUND($AD734*Header!$K$3,2),"")</f>
      </c>
      <c r="AP734" s="39">
        <f>IF(ISNUMBER($AD734),ROUND($AD734*Header!$M$3,2),"")</f>
      </c>
      <c r="AQ734" s="38">
        <f>IF(ISNUMBER($AD734),ROUND($AD734,2)-$AO734-$AP734,"")</f>
      </c>
      <c r="AR734" s="39">
        <f>IF(ISNUMBER($AD734),IF(Header!$D$34="","?",$AD734*Header!$D$34),"")</f>
      </c>
      <c r="AS734" s="39">
        <f>IF(ISNUMBER($AB734),IF(Header!$D$34="","?",$AB734*Header!$D$34),"")</f>
      </c>
      <c r="AT734" s="42">
        <f>IF(AND(ISNUMBER($AB734),$M734&gt;0),$AB734/$M734*100,"")</f>
      </c>
      <c r="AU734" s="42">
        <f>IF(AND(ISNUMBER($AD734),$M734&gt;0),$AD734/$M734*100,"")</f>
      </c>
      <c r="AV734" s="40">
        <f>IF(AND(ISNUMBER($AB734),ISNUMBER($AD734),ABS($AB734)&gt;0),$AD734/$AB734,"")</f>
      </c>
      <c r="AW734" s="39">
        <f>IF(ISNUMBER($AD734),MAX(0,(1-0.55-Header!$O$3)*Header!$Q$3*$AQ734),"")</f>
      </c>
      <c r="AX734" s="43">
        <f>IF($A734="","",IF(TRIM(IF($A734="","Missing certificate ref. ","") &amp; IF($C734="","Missing effective date. ","") &amp; IF($D734="","Missing binding status. ","") &amp; IF($E734="","Missing movement type. ","") &amp; IF($I734="","Missing make. ","") &amp; IF($L734="","Missing vehicle class. ","") &amp; IF($M734="","Missing agreed value. ","") &amp; IF($N734="","Missing policy type. ","") &amp; IF($Q734="","Missing garaging state. ","") &amp; IF($R734="","Missing garaging ZIP. ","") &amp; IF($S734="","Missing cat zone. ","") &amp; IF($V734="","Missing valuation basis. ","") &amp; IF($W734="","Missing PD deductible. ","") &amp; IF($X734="","Missing liability limit. ","") &amp; IF($AB734="","Missing technical premium. ","") &amp; IF($AF734="","Missing surplus lines tax %. ",""))="","PASS","FAIL: "&amp;TRIM(IF($A734="","Missing certificate ref. ","") &amp; IF($C734="","Missing effective date. ","") &amp; IF($D734="","Missing binding status. ","") &amp; IF($E734="","Missing movement type. ","") &amp; IF($I734="","Missing make. ","") &amp; IF($L734="","Missing vehicle class. ","") &amp; IF($M734="","Missing agreed value. ","") &amp; IF($N734="","Missing policy type. ","") &amp; IF($Q734="","Missing garaging state. ","") &amp; IF($R734="","Missing garaging ZIP. ","") &amp; IF($S734="","Missing cat zone. ","") &amp; IF($V734="","Missing valuation basis. ","") &amp; IF($W734="","Missing PD deductible. ","") &amp; IF($X734="","Missing liability limit. ","") &amp; IF($AB734="","Missing technical premium. ","") &amp; IF($AF734="","Missing surplus lines tax %. ",""))))</f>
      </c>
      <c r="AY734" s="44">
        <f>IF($M734="","",IF(ISNUMBER($M734),IF($M734&gt;=Header!$C$18,"YES — refer","No"),""))</f>
      </c>
      <c r="AZ734" s="44">
        <f>IF($AD734="","",IF(ISNUMBER($AD734),IF($AD734&lt;Header!$C$20,"BELOW MIN PREMIUM","OK"),""))</f>
      </c>
      <c r="BA734" s="48" t="inlineStr">
        <is>
          <t xml:space="preserve">Yes</t>
        </is>
      </c>
      <c r="BB734" s="48" t="inlineStr">
        <is>
          <t xml:space="preserve">Yes</t>
        </is>
      </c>
      <c r="BC734" s="46" t="inlineStr">
        <is>
          <t xml:space="preserve">Synthetic demo data</t>
        </is>
      </c>
      <c r="BE734" s="45">
        <f>IF(OR($A734="",$L734="",$H734=""),"",IF(AND(LEFT($L734,2)="06",$H734&gt;1945),"FAIL - pre-war class, year "&amp;$H734,IF(AND(LEFT($L734,2)="07",OR($H734&lt;1946,$H734&gt;1972)),"FAIL - 1946-72 class, year "&amp;$H734,IF(AND(LEFT($L734,2)="08",OR($H734&lt;1973,$H734&gt;1999)),"FAIL - 1973-99 class, year "&amp;$H734,IF(AND(LEFT($L734,2)="09",OR($H734&lt;2000,$H734&gt;2010)),"FAIL - 2000-10 class, year "&amp;$H734,"OK")))))</f>
      </c>
      <c r="BF734" s="45">
        <f>IF($AD734="","",IF(ROUND($AO734+$AP734+$AQ734-$AD734,2)=0,"OK","FAIL - out by "&amp;TEXT($AO734+$AP734+$AQ734-$AD734,"$0.00")))</f>
      </c>
    </row>
    <row r="735" spans="1:58" ht="18.75" customHeight="1" x14ac:dyDescent="0.25">
      <c r="A735" s="30" t="inlineStr">
        <is>
          <t xml:space="preserve">CANON-202606-009416</t>
        </is>
      </c>
      <c r="B735" s="30" t="inlineStr">
        <is>
          <t xml:space="preserve">Priya Montoya</t>
        </is>
      </c>
      <c r="C735" s="31">
        <v>46183</v>
      </c>
      <c r="D735" s="32" t="inlineStr">
        <is>
          <t xml:space="preserve">Bound - within authority</t>
        </is>
      </c>
      <c r="E735" s="32" t="inlineStr">
        <is>
          <t xml:space="preserve">New business</t>
        </is>
      </c>
      <c r="F735" s="30" t="inlineStr">
        <is>
          <t xml:space="preserve">B1234EXOTIC26</t>
        </is>
      </c>
      <c r="G735" s="33">
        <f>IF($A735="","",IF($C735="","",YEAR($C735)))</f>
      </c>
      <c r="H735" s="34">
        <v>1978</v>
      </c>
      <c r="I735" s="30" t="inlineStr">
        <is>
          <t xml:space="preserve">Lamborghini</t>
        </is>
      </c>
      <c r="J735" s="30" t="inlineStr">
        <is>
          <t xml:space="preserve">Huracan EVO</t>
        </is>
      </c>
      <c r="K735" s="30" t="inlineStr">
        <is>
          <t xml:space="preserve">EGZ1KVM6XL0AUDLBU</t>
        </is>
      </c>
      <c r="L735" s="32" t="inlineStr">
        <is>
          <t xml:space="preserve">03 - Supercar</t>
        </is>
      </c>
      <c r="M735" s="35">
        <v>1950000</v>
      </c>
      <c r="N735" s="32" t="inlineStr">
        <is>
          <t xml:space="preserve">Personal</t>
        </is>
      </c>
      <c r="O735" s="30" t="inlineStr">
        <is>
          <t xml:space="preserve">Personal - regular use</t>
        </is>
      </c>
      <c r="P735" s="30" t="inlineStr">
        <is>
          <t xml:space="preserve">1,000 - 2,500</t>
        </is>
      </c>
      <c r="Q735" s="30" t="inlineStr">
        <is>
          <t xml:space="preserve">West Virginia</t>
        </is>
      </c>
      <c r="R735" s="30" t="inlineStr">
        <is>
          <t xml:space="preserve">25301</t>
        </is>
      </c>
      <c r="S735" s="32" t="inlineStr">
        <is>
          <t xml:space="preserve">Low hazard - inland benign</t>
        </is>
      </c>
      <c r="T735" s="36">
        <f>IF($A735="","",IF($S735="","",IFERROR(INDEX('[1]natural catastrophe'!$D$6:$D$17,MATCH($S735,'[1]natural catastrophe'!$B$6:$B$17,0)),"?")))</f>
      </c>
      <c r="U735" s="30" t="inlineStr">
        <is>
          <t xml:space="preserve">$5,000</t>
        </is>
      </c>
      <c r="V735" s="32" t="inlineStr">
        <is>
          <t xml:space="preserve">Agreed Value</t>
        </is>
      </c>
      <c r="W735" s="30" t="inlineStr">
        <is>
          <t xml:space="preserve">$1,000</t>
        </is>
      </c>
      <c r="X735" s="32" t="inlineStr">
        <is>
          <t xml:space="preserve">$1,000,000 CSL</t>
        </is>
      </c>
      <c r="Y735" s="30"/>
      <c r="Z735" s="30"/>
      <c r="AA735" s="32" t="inlineStr">
        <is>
          <t xml:space="preserve">Surplus Lines</t>
        </is>
      </c>
      <c r="AB735" s="35">
        <v>29939.76</v>
      </c>
      <c r="AC735" s="37">
        <v>0</v>
      </c>
      <c r="AD735" s="38">
        <f>IF(ISNUMBER($AB735),$AB735*(1+N($AC735)),"")</f>
      </c>
      <c r="AE735" s="35">
        <v>350</v>
      </c>
      <c r="AF735" s="35">
        <v>250</v>
      </c>
      <c r="AG735" s="37"/>
      <c r="AH735" s="39">
        <f>IF(ISNUMBER($AD735),($AD735+$AE735+$AF735)*$AG735,"")</f>
      </c>
      <c r="AI735" s="35"/>
      <c r="AJ735" s="38">
        <f>IF(ISNUMBER($AD735),SUM($AD735:$AH735),"")</f>
      </c>
      <c r="AK735" s="40">
        <f>IF(AND(ISNUMBER($AB735),ISNUMBER($AD735)),IF($AB735&gt;0,$AD735/$AB735,""),"")</f>
      </c>
      <c r="AL735" s="32" t="inlineStr">
        <is>
          <t xml:space="preserve">At technical</t>
        </is>
      </c>
      <c r="AM735" s="41">
        <f>IF(ISNUMBER($AD735),Header!$I$3,"")</f>
      </c>
      <c r="AN735" s="39">
        <f>IF(ISNUMBER($AD735),$AO735+$AP735,"")</f>
      </c>
      <c r="AO735" s="39">
        <f>IF(ISNUMBER($AD735),ROUND($AD735*Header!$K$3,2),"")</f>
      </c>
      <c r="AP735" s="39">
        <f>IF(ISNUMBER($AD735),ROUND($AD735*Header!$M$3,2),"")</f>
      </c>
      <c r="AQ735" s="38">
        <f>IF(ISNUMBER($AD735),ROUND($AD735,2)-$AO735-$AP735,"")</f>
      </c>
      <c r="AR735" s="39">
        <f>IF(ISNUMBER($AD735),IF(Header!$D$34="","?",$AD735*Header!$D$34),"")</f>
      </c>
      <c r="AS735" s="39">
        <f>IF(ISNUMBER($AB735),IF(Header!$D$34="","?",$AB735*Header!$D$34),"")</f>
      </c>
      <c r="AT735" s="42">
        <f>IF(AND(ISNUMBER($AB735),$M735&gt;0),$AB735/$M735*100,"")</f>
      </c>
      <c r="AU735" s="42">
        <f>IF(AND(ISNUMBER($AD735),$M735&gt;0),$AD735/$M735*100,"")</f>
      </c>
      <c r="AV735" s="40">
        <f>IF(AND(ISNUMBER($AB735),ISNUMBER($AD735),ABS($AB735)&gt;0),$AD735/$AB735,"")</f>
      </c>
      <c r="AW735" s="39">
        <f>IF(ISNUMBER($AD735),MAX(0,(1-0.55-Header!$O$3)*Header!$Q$3*$AQ735),"")</f>
      </c>
      <c r="AX735" s="43">
        <f>IF($A735="","",IF(TRIM(IF($A735="","Missing certificate ref. ","") &amp; IF($C735="","Missing effective date. ","") &amp; IF($D735="","Missing binding status. ","") &amp; IF($E735="","Missing movement type. ","") &amp; IF($I735="","Missing make. ","") &amp; IF($L735="","Missing vehicle class. ","") &amp; IF($M735="","Missing agreed value. ","") &amp; IF($N735="","Missing policy type. ","") &amp; IF($Q735="","Missing garaging state. ","") &amp; IF($R735="","Missing garaging ZIP. ","") &amp; IF($S735="","Missing cat zone. ","") &amp; IF($V735="","Missing valuation basis. ","") &amp; IF($W735="","Missing PD deductible. ","") &amp; IF($X735="","Missing liability limit. ","") &amp; IF($AB735="","Missing technical premium. ","") &amp; IF($AF735="","Missing surplus lines tax %. ",""))="","PASS","FAIL: "&amp;TRIM(IF($A735="","Missing certificate ref. ","") &amp; IF($C735="","Missing effective date. ","") &amp; IF($D735="","Missing binding status. ","") &amp; IF($E735="","Missing movement type. ","") &amp; IF($I735="","Missing make. ","") &amp; IF($L735="","Missing vehicle class. ","") &amp; IF($M735="","Missing agreed value. ","") &amp; IF($N735="","Missing policy type. ","") &amp; IF($Q735="","Missing garaging state. ","") &amp; IF($R735="","Missing garaging ZIP. ","") &amp; IF($S735="","Missing cat zone. ","") &amp; IF($V735="","Missing valuation basis. ","") &amp; IF($W735="","Missing PD deductible. ","") &amp; IF($X735="","Missing liability limit. ","") &amp; IF($AB735="","Missing technical premium. ","") &amp; IF($AF735="","Missing surplus lines tax %. ",""))))</f>
      </c>
      <c r="AY735" s="44">
        <f>IF($M735="","",IF(ISNUMBER($M735),IF($M735&gt;=Header!$C$18,"YES — refer","No"),""))</f>
      </c>
      <c r="AZ735" s="44">
        <f>IF($AD735="","",IF(ISNUMBER($AD735),IF($AD735&lt;Header!$C$20,"BELOW MIN PREMIUM","OK"),""))</f>
      </c>
      <c r="BA735" s="32" t="inlineStr">
        <is>
          <t xml:space="preserve">Yes</t>
        </is>
      </c>
      <c r="BB735" s="32" t="inlineStr">
        <is>
          <t xml:space="preserve">Yes</t>
        </is>
      </c>
      <c r="BC735" s="30" t="inlineStr">
        <is>
          <t xml:space="preserve">Synthetic demo data</t>
        </is>
      </c>
      <c r="BE735" s="45">
        <f>IF(OR($A735="",$L735="",$H735=""),"",IF(AND(LEFT($L735,2)="06",$H735&gt;1945),"FAIL - pre-war class, year "&amp;$H735,IF(AND(LEFT($L735,2)="07",OR($H735&lt;1946,$H735&gt;1972)),"FAIL - 1946-72 class, year "&amp;$H735,IF(AND(LEFT($L735,2)="08",OR($H735&lt;1973,$H735&gt;1999)),"FAIL - 1973-99 class, year "&amp;$H735,IF(AND(LEFT($L735,2)="09",OR($H735&lt;2000,$H735&gt;2010)),"FAIL - 2000-10 class, year "&amp;$H735,"OK")))))</f>
      </c>
      <c r="BF735" s="45">
        <f>IF($AD735="","",IF(ROUND($AO735+$AP735+$AQ735-$AD735,2)=0,"OK","FAIL - out by "&amp;TEXT($AO735+$AP735+$AQ735-$AD735,"$0.00")))</f>
      </c>
    </row>
    <row r="736" spans="1:58" ht="18.75" customHeight="1" x14ac:dyDescent="0.25">
      <c r="A736" s="46" t="inlineStr">
        <is>
          <t xml:space="preserve">CANON-202606-009417</t>
        </is>
      </c>
      <c r="B736" s="46" t="inlineStr">
        <is>
          <t xml:space="preserve">Lorenzo Vandermeer</t>
        </is>
      </c>
      <c r="C736" s="47">
        <v>46190</v>
      </c>
      <c r="D736" s="48" t="inlineStr">
        <is>
          <t xml:space="preserve">Bound - within authority</t>
        </is>
      </c>
      <c r="E736" s="48" t="inlineStr">
        <is>
          <t xml:space="preserve">New business</t>
        </is>
      </c>
      <c r="F736" s="46" t="inlineStr">
        <is>
          <t xml:space="preserve">B1234EXOTIC26</t>
        </is>
      </c>
      <c r="G736" s="33">
        <f>IF($A736="","",IF($C736="","",YEAR($C736)))</f>
      </c>
      <c r="H736" s="49">
        <v>1966</v>
      </c>
      <c r="I736" s="46" t="inlineStr">
        <is>
          <t xml:space="preserve">Mercedes-Benz</t>
        </is>
      </c>
      <c r="J736" s="46" t="inlineStr">
        <is>
          <t xml:space="preserve">AMG GT</t>
        </is>
      </c>
      <c r="K736" s="46" t="inlineStr">
        <is>
          <t xml:space="preserve">S16833HCTH0V5KG4D</t>
        </is>
      </c>
      <c r="L736" s="48" t="inlineStr">
        <is>
          <t xml:space="preserve">02 - Sports / GT</t>
        </is>
      </c>
      <c r="M736" s="50">
        <v>850000</v>
      </c>
      <c r="N736" s="48" t="inlineStr">
        <is>
          <t xml:space="preserve">Personal</t>
        </is>
      </c>
      <c r="O736" s="46" t="inlineStr">
        <is>
          <t xml:space="preserve">Personal - regular use</t>
        </is>
      </c>
      <c r="P736" s="46" t="inlineStr">
        <is>
          <t xml:space="preserve">Under 1,000</t>
        </is>
      </c>
      <c r="Q736" s="46" t="inlineStr">
        <is>
          <t xml:space="preserve">Texas</t>
        </is>
      </c>
      <c r="R736" s="46" t="inlineStr">
        <is>
          <t xml:space="preserve">75201</t>
        </is>
      </c>
      <c r="S736" s="48" t="inlineStr">
        <is>
          <t xml:space="preserve">Tier 2 - Coastal wind (1-25 miles)</t>
        </is>
      </c>
      <c r="T736" s="36">
        <f>IF($A736="","",IF($S736="","",IFERROR(INDEX('[1]natural catastrophe'!$D$6:$D$17,MATCH($S736,'[1]natural catastrophe'!$B$6:$B$17,0)),"?")))</f>
      </c>
      <c r="U736" s="46" t="inlineStr">
        <is>
          <t xml:space="preserve">2% of agreed value, minimum $10,000</t>
        </is>
      </c>
      <c r="V736" s="48" t="inlineStr">
        <is>
          <t xml:space="preserve">Agreed Value</t>
        </is>
      </c>
      <c r="W736" s="46" t="inlineStr">
        <is>
          <t xml:space="preserve">$1,000</t>
        </is>
      </c>
      <c r="X736" s="48" t="inlineStr">
        <is>
          <t xml:space="preserve">$1,000,000 CSL</t>
        </is>
      </c>
      <c r="Y736" s="46"/>
      <c r="Z736" s="46"/>
      <c r="AA736" s="48" t="inlineStr">
        <is>
          <t xml:space="preserve">Surplus Lines</t>
        </is>
      </c>
      <c r="AB736" s="50">
        <v>9168.58</v>
      </c>
      <c r="AC736" s="51">
        <v>0</v>
      </c>
      <c r="AD736" s="38">
        <f>IF(ISNUMBER($AB736),$AB736*(1+N($AC736)),"")</f>
      </c>
      <c r="AE736" s="50">
        <v>350</v>
      </c>
      <c r="AF736" s="50">
        <v>0</v>
      </c>
      <c r="AG736" s="51"/>
      <c r="AH736" s="39">
        <f>IF(ISNUMBER($AD736),($AD736+$AE736+$AF736)*$AG736,"")</f>
      </c>
      <c r="AI736" s="50"/>
      <c r="AJ736" s="38">
        <f>IF(ISNUMBER($AD736),SUM($AD736:$AH736),"")</f>
      </c>
      <c r="AK736" s="40">
        <f>IF(AND(ISNUMBER($AB736),ISNUMBER($AD736)),IF($AB736&gt;0,$AD736/$AB736,""),"")</f>
      </c>
      <c r="AL736" s="48" t="inlineStr">
        <is>
          <t xml:space="preserve">At technical</t>
        </is>
      </c>
      <c r="AM736" s="41">
        <f>IF(ISNUMBER($AD736),Header!$I$3,"")</f>
      </c>
      <c r="AN736" s="39">
        <f>IF(ISNUMBER($AD736),$AO736+$AP736,"")</f>
      </c>
      <c r="AO736" s="39">
        <f>IF(ISNUMBER($AD736),ROUND($AD736*Header!$K$3,2),"")</f>
      </c>
      <c r="AP736" s="39">
        <f>IF(ISNUMBER($AD736),ROUND($AD736*Header!$M$3,2),"")</f>
      </c>
      <c r="AQ736" s="38">
        <f>IF(ISNUMBER($AD736),ROUND($AD736,2)-$AO736-$AP736,"")</f>
      </c>
      <c r="AR736" s="39">
        <f>IF(ISNUMBER($AD736),IF(Header!$D$34="","?",$AD736*Header!$D$34),"")</f>
      </c>
      <c r="AS736" s="39">
        <f>IF(ISNUMBER($AB736),IF(Header!$D$34="","?",$AB736*Header!$D$34),"")</f>
      </c>
      <c r="AT736" s="42">
        <f>IF(AND(ISNUMBER($AB736),$M736&gt;0),$AB736/$M736*100,"")</f>
      </c>
      <c r="AU736" s="42">
        <f>IF(AND(ISNUMBER($AD736),$M736&gt;0),$AD736/$M736*100,"")</f>
      </c>
      <c r="AV736" s="40">
        <f>IF(AND(ISNUMBER($AB736),ISNUMBER($AD736),ABS($AB736)&gt;0),$AD736/$AB736,"")</f>
      </c>
      <c r="AW736" s="39">
        <f>IF(ISNUMBER($AD736),MAX(0,(1-0.55-Header!$O$3)*Header!$Q$3*$AQ736),"")</f>
      </c>
      <c r="AX736" s="43">
        <f>IF($A736="","",IF(TRIM(IF($A736="","Missing certificate ref. ","") &amp; IF($C736="","Missing effective date. ","") &amp; IF($D736="","Missing binding status. ","") &amp; IF($E736="","Missing movement type. ","") &amp; IF($I736="","Missing make. ","") &amp; IF($L736="","Missing vehicle class. ","") &amp; IF($M736="","Missing agreed value. ","") &amp; IF($N736="","Missing policy type. ","") &amp; IF($Q736="","Missing garaging state. ","") &amp; IF($R736="","Missing garaging ZIP. ","") &amp; IF($S736="","Missing cat zone. ","") &amp; IF($V736="","Missing valuation basis. ","") &amp; IF($W736="","Missing PD deductible. ","") &amp; IF($X736="","Missing liability limit. ","") &amp; IF($AB736="","Missing technical premium. ","") &amp; IF($AF736="","Missing surplus lines tax %. ",""))="","PASS","FAIL: "&amp;TRIM(IF($A736="","Missing certificate ref. ","") &amp; IF($C736="","Missing effective date. ","") &amp; IF($D736="","Missing binding status. ","") &amp; IF($E736="","Missing movement type. ","") &amp; IF($I736="","Missing make. ","") &amp; IF($L736="","Missing vehicle class. ","") &amp; IF($M736="","Missing agreed value. ","") &amp; IF($N736="","Missing policy type. ","") &amp; IF($Q736="","Missing garaging state. ","") &amp; IF($R736="","Missing garaging ZIP. ","") &amp; IF($S736="","Missing cat zone. ","") &amp; IF($V736="","Missing valuation basis. ","") &amp; IF($W736="","Missing PD deductible. ","") &amp; IF($X736="","Missing liability limit. ","") &amp; IF($AB736="","Missing technical premium. ","") &amp; IF($AF736="","Missing surplus lines tax %. ",""))))</f>
      </c>
      <c r="AY736" s="44">
        <f>IF($M736="","",IF(ISNUMBER($M736),IF($M736&gt;=Header!$C$18,"YES — refer","No"),""))</f>
      </c>
      <c r="AZ736" s="44">
        <f>IF($AD736="","",IF(ISNUMBER($AD736),IF($AD736&lt;Header!$C$20,"BELOW MIN PREMIUM","OK"),""))</f>
      </c>
      <c r="BA736" s="48" t="inlineStr">
        <is>
          <t xml:space="preserve">Yes</t>
        </is>
      </c>
      <c r="BB736" s="48" t="inlineStr">
        <is>
          <t xml:space="preserve">Yes</t>
        </is>
      </c>
      <c r="BC736" s="46" t="inlineStr">
        <is>
          <t xml:space="preserve">Synthetic demo data</t>
        </is>
      </c>
      <c r="BE736" s="45">
        <f>IF(OR($A736="",$L736="",$H736=""),"",IF(AND(LEFT($L736,2)="06",$H736&gt;1945),"FAIL - pre-war class, year "&amp;$H736,IF(AND(LEFT($L736,2)="07",OR($H736&lt;1946,$H736&gt;1972)),"FAIL - 1946-72 class, year "&amp;$H736,IF(AND(LEFT($L736,2)="08",OR($H736&lt;1973,$H736&gt;1999)),"FAIL - 1973-99 class, year "&amp;$H736,IF(AND(LEFT($L736,2)="09",OR($H736&lt;2000,$H736&gt;2010)),"FAIL - 2000-10 class, year "&amp;$H736,"OK")))))</f>
      </c>
      <c r="BF736" s="45">
        <f>IF($AD736="","",IF(ROUND($AO736+$AP736+$AQ736-$AD736,2)=0,"OK","FAIL - out by "&amp;TEXT($AO736+$AP736+$AQ736-$AD736,"$0.00")))</f>
      </c>
    </row>
    <row r="737" spans="1:58" ht="18.75" customHeight="1" x14ac:dyDescent="0.25">
      <c r="A737" s="30" t="inlineStr">
        <is>
          <t xml:space="preserve">CANON-202606-009418</t>
        </is>
      </c>
      <c r="B737" s="30" t="inlineStr">
        <is>
          <t xml:space="preserve">Cassius Nakashima</t>
        </is>
      </c>
      <c r="C737" s="31">
        <v>46186</v>
      </c>
      <c r="D737" s="32" t="inlineStr">
        <is>
          <t xml:space="preserve">Bound - within authority</t>
        </is>
      </c>
      <c r="E737" s="32" t="inlineStr">
        <is>
          <t xml:space="preserve">New business</t>
        </is>
      </c>
      <c r="F737" s="30" t="inlineStr">
        <is>
          <t xml:space="preserve">B1234EXOTIC26</t>
        </is>
      </c>
      <c r="G737" s="33">
        <f>IF($A737="","",IF($C737="","",YEAR($C737)))</f>
      </c>
      <c r="H737" s="34">
        <v>1959</v>
      </c>
      <c r="I737" s="30" t="inlineStr">
        <is>
          <t xml:space="preserve">Bentley</t>
        </is>
      </c>
      <c r="J737" s="30" t="inlineStr">
        <is>
          <t xml:space="preserve">Continental GT</t>
        </is>
      </c>
      <c r="K737" s="30" t="inlineStr">
        <is>
          <t xml:space="preserve">ZYVM1LKW6L79Y543C</t>
        </is>
      </c>
      <c r="L737" s="32" t="inlineStr">
        <is>
          <t xml:space="preserve">02 - Sports / GT</t>
        </is>
      </c>
      <c r="M737" s="35">
        <v>560000</v>
      </c>
      <c r="N737" s="32" t="inlineStr">
        <is>
          <t xml:space="preserve">Personal</t>
        </is>
      </c>
      <c r="O737" s="30" t="inlineStr">
        <is>
          <t xml:space="preserve">Personal - regular use</t>
        </is>
      </c>
      <c r="P737" s="30" t="inlineStr">
        <is>
          <t xml:space="preserve">1,000 - 2,500</t>
        </is>
      </c>
      <c r="Q737" s="30" t="inlineStr">
        <is>
          <t xml:space="preserve">Kentucky</t>
        </is>
      </c>
      <c r="R737" s="30" t="inlineStr">
        <is>
          <t xml:space="preserve">40202</t>
        </is>
      </c>
      <c r="S737" s="32" t="inlineStr">
        <is>
          <t xml:space="preserve">Severe convective - hail / tornado (moderate)</t>
        </is>
      </c>
      <c r="T737" s="36">
        <f>IF($A737="","",IF($S737="","",IFERROR(INDEX('[1]natural catastrophe'!$D$6:$D$17,MATCH($S737,'[1]natural catastrophe'!$B$6:$B$17,0)),"?")))</f>
      </c>
      <c r="U737" s="30" t="inlineStr">
        <is>
          <t xml:space="preserve">$5,000</t>
        </is>
      </c>
      <c r="V737" s="32" t="inlineStr">
        <is>
          <t xml:space="preserve">Agreed Value</t>
        </is>
      </c>
      <c r="W737" s="30" t="inlineStr">
        <is>
          <t xml:space="preserve">$1,000</t>
        </is>
      </c>
      <c r="X737" s="32" t="inlineStr">
        <is>
          <t xml:space="preserve">$1,000,000 CSL</t>
        </is>
      </c>
      <c r="Y737" s="30"/>
      <c r="Z737" s="30"/>
      <c r="AA737" s="32" t="inlineStr">
        <is>
          <t xml:space="preserve">Surplus Lines</t>
        </is>
      </c>
      <c r="AB737" s="35">
        <v>7038.47</v>
      </c>
      <c r="AC737" s="37">
        <v>0</v>
      </c>
      <c r="AD737" s="38">
        <f>IF(ISNUMBER($AB737),$AB737*(1+N($AC737)),"")</f>
      </c>
      <c r="AE737" s="35">
        <v>350</v>
      </c>
      <c r="AF737" s="35">
        <v>0</v>
      </c>
      <c r="AG737" s="37"/>
      <c r="AH737" s="39">
        <f>IF(ISNUMBER($AD737),($AD737+$AE737+$AF737)*$AG737,"")</f>
      </c>
      <c r="AI737" s="35"/>
      <c r="AJ737" s="38">
        <f>IF(ISNUMBER($AD737),SUM($AD737:$AH737),"")</f>
      </c>
      <c r="AK737" s="40">
        <f>IF(AND(ISNUMBER($AB737),ISNUMBER($AD737)),IF($AB737&gt;0,$AD737/$AB737,""),"")</f>
      </c>
      <c r="AL737" s="32" t="inlineStr">
        <is>
          <t xml:space="preserve">At technical</t>
        </is>
      </c>
      <c r="AM737" s="41">
        <f>IF(ISNUMBER($AD737),Header!$I$3,"")</f>
      </c>
      <c r="AN737" s="39">
        <f>IF(ISNUMBER($AD737),$AO737+$AP737,"")</f>
      </c>
      <c r="AO737" s="39">
        <f>IF(ISNUMBER($AD737),ROUND($AD737*Header!$K$3,2),"")</f>
      </c>
      <c r="AP737" s="39">
        <f>IF(ISNUMBER($AD737),ROUND($AD737*Header!$M$3,2),"")</f>
      </c>
      <c r="AQ737" s="38">
        <f>IF(ISNUMBER($AD737),ROUND($AD737,2)-$AO737-$AP737,"")</f>
      </c>
      <c r="AR737" s="39">
        <f>IF(ISNUMBER($AD737),IF(Header!$D$34="","?",$AD737*Header!$D$34),"")</f>
      </c>
      <c r="AS737" s="39">
        <f>IF(ISNUMBER($AB737),IF(Header!$D$34="","?",$AB737*Header!$D$34),"")</f>
      </c>
      <c r="AT737" s="42">
        <f>IF(AND(ISNUMBER($AB737),$M737&gt;0),$AB737/$M737*100,"")</f>
      </c>
      <c r="AU737" s="42">
        <f>IF(AND(ISNUMBER($AD737),$M737&gt;0),$AD737/$M737*100,"")</f>
      </c>
      <c r="AV737" s="40">
        <f>IF(AND(ISNUMBER($AB737),ISNUMBER($AD737),ABS($AB737)&gt;0),$AD737/$AB737,"")</f>
      </c>
      <c r="AW737" s="39">
        <f>IF(ISNUMBER($AD737),MAX(0,(1-0.55-Header!$O$3)*Header!$Q$3*$AQ737),"")</f>
      </c>
      <c r="AX737" s="43">
        <f>IF($A737="","",IF(TRIM(IF($A737="","Missing certificate ref. ","") &amp; IF($C737="","Missing effective date. ","") &amp; IF($D737="","Missing binding status. ","") &amp; IF($E737="","Missing movement type. ","") &amp; IF($I737="","Missing make. ","") &amp; IF($L737="","Missing vehicle class. ","") &amp; IF($M737="","Missing agreed value. ","") &amp; IF($N737="","Missing policy type. ","") &amp; IF($Q737="","Missing garaging state. ","") &amp; IF($R737="","Missing garaging ZIP. ","") &amp; IF($S737="","Missing cat zone. ","") &amp; IF($V737="","Missing valuation basis. ","") &amp; IF($W737="","Missing PD deductible. ","") &amp; IF($X737="","Missing liability limit. ","") &amp; IF($AB737="","Missing technical premium. ","") &amp; IF($AF737="","Missing surplus lines tax %. ",""))="","PASS","FAIL: "&amp;TRIM(IF($A737="","Missing certificate ref. ","") &amp; IF($C737="","Missing effective date. ","") &amp; IF($D737="","Missing binding status. ","") &amp; IF($E737="","Missing movement type. ","") &amp; IF($I737="","Missing make. ","") &amp; IF($L737="","Missing vehicle class. ","") &amp; IF($M737="","Missing agreed value. ","") &amp; IF($N737="","Missing policy type. ","") &amp; IF($Q737="","Missing garaging state. ","") &amp; IF($R737="","Missing garaging ZIP. ","") &amp; IF($S737="","Missing cat zone. ","") &amp; IF($V737="","Missing valuation basis. ","") &amp; IF($W737="","Missing PD deductible. ","") &amp; IF($X737="","Missing liability limit. ","") &amp; IF($AB737="","Missing technical premium. ","") &amp; IF($AF737="","Missing surplus lines tax %. ",""))))</f>
      </c>
      <c r="AY737" s="44">
        <f>IF($M737="","",IF(ISNUMBER($M737),IF($M737&gt;=Header!$C$18,"YES — refer","No"),""))</f>
      </c>
      <c r="AZ737" s="44">
        <f>IF($AD737="","",IF(ISNUMBER($AD737),IF($AD737&lt;Header!$C$20,"BELOW MIN PREMIUM","OK"),""))</f>
      </c>
      <c r="BA737" s="32" t="inlineStr">
        <is>
          <t xml:space="preserve">Yes</t>
        </is>
      </c>
      <c r="BB737" s="32" t="inlineStr">
        <is>
          <t xml:space="preserve">Yes</t>
        </is>
      </c>
      <c r="BC737" s="30" t="inlineStr">
        <is>
          <t xml:space="preserve">Synthetic demo data</t>
        </is>
      </c>
      <c r="BE737" s="45">
        <f>IF(OR($A737="",$L737="",$H737=""),"",IF(AND(LEFT($L737,2)="06",$H737&gt;1945),"FAIL - pre-war class, year "&amp;$H737,IF(AND(LEFT($L737,2)="07",OR($H737&lt;1946,$H737&gt;1972)),"FAIL - 1946-72 class, year "&amp;$H737,IF(AND(LEFT($L737,2)="08",OR($H737&lt;1973,$H737&gt;1999)),"FAIL - 1973-99 class, year "&amp;$H737,IF(AND(LEFT($L737,2)="09",OR($H737&lt;2000,$H737&gt;2010)),"FAIL - 2000-10 class, year "&amp;$H737,"OK")))))</f>
      </c>
      <c r="BF737" s="45">
        <f>IF($AD737="","",IF(ROUND($AO737+$AP737+$AQ737-$AD737,2)=0,"OK","FAIL - out by "&amp;TEXT($AO737+$AP737+$AQ737-$AD737,"$0.00")))</f>
      </c>
    </row>
    <row r="738" spans="1:58" ht="18.75" customHeight="1" x14ac:dyDescent="0.25">
      <c r="A738" s="46" t="inlineStr">
        <is>
          <t xml:space="preserve">CANON-202606-009419</t>
        </is>
      </c>
      <c r="B738" s="46" t="inlineStr">
        <is>
          <t xml:space="preserve">Delphine Bellandi</t>
        </is>
      </c>
      <c r="C738" s="47">
        <v>46181</v>
      </c>
      <c r="D738" s="48" t="inlineStr">
        <is>
          <t xml:space="preserve">Bound - within authority</t>
        </is>
      </c>
      <c r="E738" s="48" t="inlineStr">
        <is>
          <t xml:space="preserve">New business</t>
        </is>
      </c>
      <c r="F738" s="46" t="inlineStr">
        <is>
          <t xml:space="preserve">B1234EXOTIC26</t>
        </is>
      </c>
      <c r="G738" s="33">
        <f>IF($A738="","",IF($C738="","",YEAR($C738)))</f>
      </c>
      <c r="H738" s="49">
        <v>2021</v>
      </c>
      <c r="I738" s="46" t="inlineStr">
        <is>
          <t xml:space="preserve">Lamborghini</t>
        </is>
      </c>
      <c r="J738" s="46" t="inlineStr">
        <is>
          <t xml:space="preserve">Huracan EVO</t>
        </is>
      </c>
      <c r="K738" s="46" t="inlineStr">
        <is>
          <t xml:space="preserve">VBFCVSPLB29TYD59D</t>
        </is>
      </c>
      <c r="L738" s="48" t="inlineStr">
        <is>
          <t xml:space="preserve">03 - Supercar</t>
        </is>
      </c>
      <c r="M738" s="50">
        <v>565000</v>
      </c>
      <c r="N738" s="48" t="inlineStr">
        <is>
          <t xml:space="preserve">Personal</t>
        </is>
      </c>
      <c r="O738" s="46" t="inlineStr">
        <is>
          <t xml:space="preserve">Personal - regular use</t>
        </is>
      </c>
      <c r="P738" s="46" t="inlineStr">
        <is>
          <t xml:space="preserve">Under 1,000</t>
        </is>
      </c>
      <c r="Q738" s="46" t="inlineStr">
        <is>
          <t xml:space="preserve">Hawaii</t>
        </is>
      </c>
      <c r="R738" s="46" t="inlineStr">
        <is>
          <t xml:space="preserve">96813</t>
        </is>
      </c>
      <c r="S738" s="48" t="inlineStr">
        <is>
          <t xml:space="preserve">Earthquake - high (CA, Cascadia, New Madrid)</t>
        </is>
      </c>
      <c r="T738" s="36">
        <f>IF($A738="","",IF($S738="","",IFERROR(INDEX('[1]natural catastrophe'!$D$6:$D$17,MATCH($S738,'[1]natural catastrophe'!$B$6:$B$17,0)),"?")))</f>
      </c>
      <c r="U738" s="46" t="inlineStr">
        <is>
          <t xml:space="preserve">$5,000</t>
        </is>
      </c>
      <c r="V738" s="48" t="inlineStr">
        <is>
          <t xml:space="preserve">Agreed Value</t>
        </is>
      </c>
      <c r="W738" s="46" t="inlineStr">
        <is>
          <t xml:space="preserve">$1,000</t>
        </is>
      </c>
      <c r="X738" s="48" t="inlineStr">
        <is>
          <t xml:space="preserve">$1,000,000 CSL</t>
        </is>
      </c>
      <c r="Y738" s="46"/>
      <c r="Z738" s="46"/>
      <c r="AA738" s="48" t="inlineStr">
        <is>
          <t xml:space="preserve">Surplus Lines</t>
        </is>
      </c>
      <c r="AB738" s="50">
        <v>10069.03</v>
      </c>
      <c r="AC738" s="51">
        <v>0</v>
      </c>
      <c r="AD738" s="38">
        <f>IF(ISNUMBER($AB738),$AB738*(1+N($AC738)),"")</f>
      </c>
      <c r="AE738" s="50">
        <v>350</v>
      </c>
      <c r="AF738" s="50">
        <v>0</v>
      </c>
      <c r="AG738" s="51"/>
      <c r="AH738" s="39">
        <f>IF(ISNUMBER($AD738),($AD738+$AE738+$AF738)*$AG738,"")</f>
      </c>
      <c r="AI738" s="50"/>
      <c r="AJ738" s="38">
        <f>IF(ISNUMBER($AD738),SUM($AD738:$AH738),"")</f>
      </c>
      <c r="AK738" s="40">
        <f>IF(AND(ISNUMBER($AB738),ISNUMBER($AD738)),IF($AB738&gt;0,$AD738/$AB738,""),"")</f>
      </c>
      <c r="AL738" s="48" t="inlineStr">
        <is>
          <t xml:space="preserve">At technical</t>
        </is>
      </c>
      <c r="AM738" s="41">
        <f>IF(ISNUMBER($AD738),Header!$I$3,"")</f>
      </c>
      <c r="AN738" s="39">
        <f>IF(ISNUMBER($AD738),$AO738+$AP738,"")</f>
      </c>
      <c r="AO738" s="39">
        <f>IF(ISNUMBER($AD738),ROUND($AD738*Header!$K$3,2),"")</f>
      </c>
      <c r="AP738" s="39">
        <f>IF(ISNUMBER($AD738),ROUND($AD738*Header!$M$3,2),"")</f>
      </c>
      <c r="AQ738" s="38">
        <f>IF(ISNUMBER($AD738),ROUND($AD738,2)-$AO738-$AP738,"")</f>
      </c>
      <c r="AR738" s="39">
        <f>IF(ISNUMBER($AD738),IF(Header!$D$34="","?",$AD738*Header!$D$34),"")</f>
      </c>
      <c r="AS738" s="39">
        <f>IF(ISNUMBER($AB738),IF(Header!$D$34="","?",$AB738*Header!$D$34),"")</f>
      </c>
      <c r="AT738" s="42">
        <f>IF(AND(ISNUMBER($AB738),$M738&gt;0),$AB738/$M738*100,"")</f>
      </c>
      <c r="AU738" s="42">
        <f>IF(AND(ISNUMBER($AD738),$M738&gt;0),$AD738/$M738*100,"")</f>
      </c>
      <c r="AV738" s="40">
        <f>IF(AND(ISNUMBER($AB738),ISNUMBER($AD738),ABS($AB738)&gt;0),$AD738/$AB738,"")</f>
      </c>
      <c r="AW738" s="39">
        <f>IF(ISNUMBER($AD738),MAX(0,(1-0.55-Header!$O$3)*Header!$Q$3*$AQ738),"")</f>
      </c>
      <c r="AX738" s="43">
        <f>IF($A738="","",IF(TRIM(IF($A738="","Missing certificate ref. ","") &amp; IF($C738="","Missing effective date. ","") &amp; IF($D738="","Missing binding status. ","") &amp; IF($E738="","Missing movement type. ","") &amp; IF($I738="","Missing make. ","") &amp; IF($L738="","Missing vehicle class. ","") &amp; IF($M738="","Missing agreed value. ","") &amp; IF($N738="","Missing policy type. ","") &amp; IF($Q738="","Missing garaging state. ","") &amp; IF($R738="","Missing garaging ZIP. ","") &amp; IF($S738="","Missing cat zone. ","") &amp; IF($V738="","Missing valuation basis. ","") &amp; IF($W738="","Missing PD deductible. ","") &amp; IF($X738="","Missing liability limit. ","") &amp; IF($AB738="","Missing technical premium. ","") &amp; IF($AF738="","Missing surplus lines tax %. ",""))="","PASS","FAIL: "&amp;TRIM(IF($A738="","Missing certificate ref. ","") &amp; IF($C738="","Missing effective date. ","") &amp; IF($D738="","Missing binding status. ","") &amp; IF($E738="","Missing movement type. ","") &amp; IF($I738="","Missing make. ","") &amp; IF($L738="","Missing vehicle class. ","") &amp; IF($M738="","Missing agreed value. ","") &amp; IF($N738="","Missing policy type. ","") &amp; IF($Q738="","Missing garaging state. ","") &amp; IF($R738="","Missing garaging ZIP. ","") &amp; IF($S738="","Missing cat zone. ","") &amp; IF($V738="","Missing valuation basis. ","") &amp; IF($W738="","Missing PD deductible. ","") &amp; IF($X738="","Missing liability limit. ","") &amp; IF($AB738="","Missing technical premium. ","") &amp; IF($AF738="","Missing surplus lines tax %. ",""))))</f>
      </c>
      <c r="AY738" s="44">
        <f>IF($M738="","",IF(ISNUMBER($M738),IF($M738&gt;=Header!$C$18,"YES — refer","No"),""))</f>
      </c>
      <c r="AZ738" s="44">
        <f>IF($AD738="","",IF(ISNUMBER($AD738),IF($AD738&lt;Header!$C$20,"BELOW MIN PREMIUM","OK"),""))</f>
      </c>
      <c r="BA738" s="48" t="inlineStr">
        <is>
          <t xml:space="preserve">Yes</t>
        </is>
      </c>
      <c r="BB738" s="48" t="inlineStr">
        <is>
          <t xml:space="preserve">Yes</t>
        </is>
      </c>
      <c r="BC738" s="46" t="inlineStr">
        <is>
          <t xml:space="preserve">Synthetic demo data</t>
        </is>
      </c>
      <c r="BE738" s="45">
        <f>IF(OR($A738="",$L738="",$H738=""),"",IF(AND(LEFT($L738,2)="06",$H738&gt;1945),"FAIL - pre-war class, year "&amp;$H738,IF(AND(LEFT($L738,2)="07",OR($H738&lt;1946,$H738&gt;1972)),"FAIL - 1946-72 class, year "&amp;$H738,IF(AND(LEFT($L738,2)="08",OR($H738&lt;1973,$H738&gt;1999)),"FAIL - 1973-99 class, year "&amp;$H738,IF(AND(LEFT($L738,2)="09",OR($H738&lt;2000,$H738&gt;2010)),"FAIL - 2000-10 class, year "&amp;$H738,"OK")))))</f>
      </c>
      <c r="BF738" s="45">
        <f>IF($AD738="","",IF(ROUND($AO738+$AP738+$AQ738-$AD738,2)=0,"OK","FAIL - out by "&amp;TEXT($AO738+$AP738+$AQ738-$AD738,"$0.00")))</f>
      </c>
    </row>
    <row r="739" spans="1:58" ht="18.75" customHeight="1" x14ac:dyDescent="0.25">
      <c r="A739" s="30" t="inlineStr">
        <is>
          <t xml:space="preserve">CANON-202606-009420</t>
        </is>
      </c>
      <c r="B739" s="30" t="inlineStr">
        <is>
          <t xml:space="preserve">Ottilie Merriweather</t>
        </is>
      </c>
      <c r="C739" s="31">
        <v>46196</v>
      </c>
      <c r="D739" s="32" t="inlineStr">
        <is>
          <t xml:space="preserve">Bound - within authority</t>
        </is>
      </c>
      <c r="E739" s="32" t="inlineStr">
        <is>
          <t xml:space="preserve">New business</t>
        </is>
      </c>
      <c r="F739" s="30" t="inlineStr">
        <is>
          <t xml:space="preserve">B1234EXOTIC26</t>
        </is>
      </c>
      <c r="G739" s="33">
        <f>IF($A739="","",IF($C739="","",YEAR($C739)))</f>
      </c>
      <c r="H739" s="34">
        <v>2000</v>
      </c>
      <c r="I739" s="30" t="inlineStr">
        <is>
          <t xml:space="preserve">Icon</t>
        </is>
      </c>
      <c r="J739" s="30" t="inlineStr">
        <is>
          <t xml:space="preserve">Derelict</t>
        </is>
      </c>
      <c r="K739" s="30" t="inlineStr">
        <is>
          <t xml:space="preserve">CPU0SRME86VM5WU6L</t>
        </is>
      </c>
      <c r="L739" s="32" t="inlineStr">
        <is>
          <t xml:space="preserve">11 - Restomod / Coachbuilt / Bespoke</t>
        </is>
      </c>
      <c r="M739" s="35">
        <v>360000</v>
      </c>
      <c r="N739" s="32" t="inlineStr">
        <is>
          <t xml:space="preserve">Personal</t>
        </is>
      </c>
      <c r="O739" s="30" t="inlineStr">
        <is>
          <t xml:space="preserve">Personal - regular use</t>
        </is>
      </c>
      <c r="P739" s="30" t="inlineStr">
        <is>
          <t xml:space="preserve">2,500 - 5,000</t>
        </is>
      </c>
      <c r="Q739" s="30" t="inlineStr">
        <is>
          <t xml:space="preserve">Wyoming</t>
        </is>
      </c>
      <c r="R739" s="30" t="inlineStr">
        <is>
          <t xml:space="preserve">82001</t>
        </is>
      </c>
      <c r="S739" s="32" t="inlineStr">
        <is>
          <t xml:space="preserve">Severe convective - hail alley (high)</t>
        </is>
      </c>
      <c r="T739" s="36">
        <f>IF($A739="","",IF($S739="","",IFERROR(INDEX('[1]natural catastrophe'!$D$6:$D$17,MATCH($S739,'[1]natural catastrophe'!$B$6:$B$17,0)),"?")))</f>
      </c>
      <c r="U739" s="30" t="inlineStr">
        <is>
          <t xml:space="preserve">$5,000</t>
        </is>
      </c>
      <c r="V739" s="32" t="inlineStr">
        <is>
          <t xml:space="preserve">Agreed Value</t>
        </is>
      </c>
      <c r="W739" s="30" t="inlineStr">
        <is>
          <t xml:space="preserve">$1,000</t>
        </is>
      </c>
      <c r="X739" s="32" t="inlineStr">
        <is>
          <t xml:space="preserve">$1,000,000 CSL</t>
        </is>
      </c>
      <c r="Y739" s="30"/>
      <c r="Z739" s="30"/>
      <c r="AA739" s="32" t="inlineStr">
        <is>
          <t xml:space="preserve">Surplus Lines</t>
        </is>
      </c>
      <c r="AB739" s="35">
        <v>4891.48</v>
      </c>
      <c r="AC739" s="37">
        <v>0</v>
      </c>
      <c r="AD739" s="38">
        <f>IF(ISNUMBER($AB739),$AB739*(1+N($AC739)),"")</f>
      </c>
      <c r="AE739" s="35">
        <v>350</v>
      </c>
      <c r="AF739" s="35">
        <v>0</v>
      </c>
      <c r="AG739" s="37"/>
      <c r="AH739" s="39">
        <f>IF(ISNUMBER($AD739),($AD739+$AE739+$AF739)*$AG739,"")</f>
      </c>
      <c r="AI739" s="35"/>
      <c r="AJ739" s="38">
        <f>IF(ISNUMBER($AD739),SUM($AD739:$AH739),"")</f>
      </c>
      <c r="AK739" s="40">
        <f>IF(AND(ISNUMBER($AB739),ISNUMBER($AD739)),IF($AB739&gt;0,$AD739/$AB739,""),"")</f>
      </c>
      <c r="AL739" s="32" t="inlineStr">
        <is>
          <t xml:space="preserve">At technical</t>
        </is>
      </c>
      <c r="AM739" s="41">
        <f>IF(ISNUMBER($AD739),Header!$I$3,"")</f>
      </c>
      <c r="AN739" s="39">
        <f>IF(ISNUMBER($AD739),$AO739+$AP739,"")</f>
      </c>
      <c r="AO739" s="39">
        <f>IF(ISNUMBER($AD739),ROUND($AD739*Header!$K$3,2),"")</f>
      </c>
      <c r="AP739" s="39">
        <f>IF(ISNUMBER($AD739),ROUND($AD739*Header!$M$3,2),"")</f>
      </c>
      <c r="AQ739" s="38">
        <f>IF(ISNUMBER($AD739),ROUND($AD739,2)-$AO739-$AP739,"")</f>
      </c>
      <c r="AR739" s="39">
        <f>IF(ISNUMBER($AD739),IF(Header!$D$34="","?",$AD739*Header!$D$34),"")</f>
      </c>
      <c r="AS739" s="39">
        <f>IF(ISNUMBER($AB739),IF(Header!$D$34="","?",$AB739*Header!$D$34),"")</f>
      </c>
      <c r="AT739" s="42">
        <f>IF(AND(ISNUMBER($AB739),$M739&gt;0),$AB739/$M739*100,"")</f>
      </c>
      <c r="AU739" s="42">
        <f>IF(AND(ISNUMBER($AD739),$M739&gt;0),$AD739/$M739*100,"")</f>
      </c>
      <c r="AV739" s="40">
        <f>IF(AND(ISNUMBER($AB739),ISNUMBER($AD739),ABS($AB739)&gt;0),$AD739/$AB739,"")</f>
      </c>
      <c r="AW739" s="39">
        <f>IF(ISNUMBER($AD739),MAX(0,(1-0.55-Header!$O$3)*Header!$Q$3*$AQ739),"")</f>
      </c>
      <c r="AX739" s="43">
        <f>IF($A739="","",IF(TRIM(IF($A739="","Missing certificate ref. ","") &amp; IF($C739="","Missing effective date. ","") &amp; IF($D739="","Missing binding status. ","") &amp; IF($E739="","Missing movement type. ","") &amp; IF($I739="","Missing make. ","") &amp; IF($L739="","Missing vehicle class. ","") &amp; IF($M739="","Missing agreed value. ","") &amp; IF($N739="","Missing policy type. ","") &amp; IF($Q739="","Missing garaging state. ","") &amp; IF($R739="","Missing garaging ZIP. ","") &amp; IF($S739="","Missing cat zone. ","") &amp; IF($V739="","Missing valuation basis. ","") &amp; IF($W739="","Missing PD deductible. ","") &amp; IF($X739="","Missing liability limit. ","") &amp; IF($AB739="","Missing technical premium. ","") &amp; IF($AF739="","Missing surplus lines tax %. ",""))="","PASS","FAIL: "&amp;TRIM(IF($A739="","Missing certificate ref. ","") &amp; IF($C739="","Missing effective date. ","") &amp; IF($D739="","Missing binding status. ","") &amp; IF($E739="","Missing movement type. ","") &amp; IF($I739="","Missing make. ","") &amp; IF($L739="","Missing vehicle class. ","") &amp; IF($M739="","Missing agreed value. ","") &amp; IF($N739="","Missing policy type. ","") &amp; IF($Q739="","Missing garaging state. ","") &amp; IF($R739="","Missing garaging ZIP. ","") &amp; IF($S739="","Missing cat zone. ","") &amp; IF($V739="","Missing valuation basis. ","") &amp; IF($W739="","Missing PD deductible. ","") &amp; IF($X739="","Missing liability limit. ","") &amp; IF($AB739="","Missing technical premium. ","") &amp; IF($AF739="","Missing surplus lines tax %. ",""))))</f>
      </c>
      <c r="AY739" s="44">
        <f>IF($M739="","",IF(ISNUMBER($M739),IF($M739&gt;=Header!$C$18,"YES — refer","No"),""))</f>
      </c>
      <c r="AZ739" s="44">
        <f>IF($AD739="","",IF(ISNUMBER($AD739),IF($AD739&lt;Header!$C$20,"BELOW MIN PREMIUM","OK"),""))</f>
      </c>
      <c r="BA739" s="32" t="inlineStr">
        <is>
          <t xml:space="preserve">Yes</t>
        </is>
      </c>
      <c r="BB739" s="32" t="inlineStr">
        <is>
          <t xml:space="preserve">Yes</t>
        </is>
      </c>
      <c r="BC739" s="30" t="inlineStr">
        <is>
          <t xml:space="preserve">Synthetic demo data</t>
        </is>
      </c>
      <c r="BE739" s="45">
        <f>IF(OR($A739="",$L739="",$H739=""),"",IF(AND(LEFT($L739,2)="06",$H739&gt;1945),"FAIL - pre-war class, year "&amp;$H739,IF(AND(LEFT($L739,2)="07",OR($H739&lt;1946,$H739&gt;1972)),"FAIL - 1946-72 class, year "&amp;$H739,IF(AND(LEFT($L739,2)="08",OR($H739&lt;1973,$H739&gt;1999)),"FAIL - 1973-99 class, year "&amp;$H739,IF(AND(LEFT($L739,2)="09",OR($H739&lt;2000,$H739&gt;2010)),"FAIL - 2000-10 class, year "&amp;$H739,"OK")))))</f>
      </c>
      <c r="BF739" s="45">
        <f>IF($AD739="","",IF(ROUND($AO739+$AP739+$AQ739-$AD739,2)=0,"OK","FAIL - out by "&amp;TEXT($AO739+$AP739+$AQ739-$AD739,"$0.00")))</f>
      </c>
    </row>
    <row r="740" spans="1:58" ht="18.75" customHeight="1" x14ac:dyDescent="0.25">
      <c r="A740" s="46" t="inlineStr">
        <is>
          <t xml:space="preserve">CANON-202606-009421</t>
        </is>
      </c>
      <c r="B740" s="46" t="inlineStr">
        <is>
          <t xml:space="preserve">Priya Harrington</t>
        </is>
      </c>
      <c r="C740" s="47">
        <v>46177</v>
      </c>
      <c r="D740" s="48" t="inlineStr">
        <is>
          <t xml:space="preserve">Bound - within authority</t>
        </is>
      </c>
      <c r="E740" s="48" t="inlineStr">
        <is>
          <t xml:space="preserve">New business</t>
        </is>
      </c>
      <c r="F740" s="46" t="inlineStr">
        <is>
          <t xml:space="preserve">B1234EXOTIC26</t>
        </is>
      </c>
      <c r="G740" s="33">
        <f>IF($A740="","",IF($C740="","",YEAR($C740)))</f>
      </c>
      <c r="H740" s="49">
        <v>2022</v>
      </c>
      <c r="I740" s="46" t="inlineStr">
        <is>
          <t xml:space="preserve">Aston Martin</t>
        </is>
      </c>
      <c r="J740" s="46" t="inlineStr">
        <is>
          <t xml:space="preserve">DB12</t>
        </is>
      </c>
      <c r="K740" s="46" t="inlineStr">
        <is>
          <t xml:space="preserve">H8T5GH79ZGAT54G47</t>
        </is>
      </c>
      <c r="L740" s="48" t="inlineStr">
        <is>
          <t xml:space="preserve">02 - Sports / GT</t>
        </is>
      </c>
      <c r="M740" s="50">
        <v>600000</v>
      </c>
      <c r="N740" s="48" t="inlineStr">
        <is>
          <t xml:space="preserve">Personal</t>
        </is>
      </c>
      <c r="O740" s="46" t="inlineStr">
        <is>
          <t xml:space="preserve">Personal - regular use</t>
        </is>
      </c>
      <c r="P740" s="46" t="inlineStr">
        <is>
          <t xml:space="preserve">Under 1,000</t>
        </is>
      </c>
      <c r="Q740" s="46" t="inlineStr">
        <is>
          <t xml:space="preserve">Montana</t>
        </is>
      </c>
      <c r="R740" s="46" t="inlineStr">
        <is>
          <t xml:space="preserve">59601</t>
        </is>
      </c>
      <c r="S740" s="48" t="inlineStr">
        <is>
          <t xml:space="preserve">Wildfire - WUI high hazard</t>
        </is>
      </c>
      <c r="T740" s="36">
        <f>IF($A740="","",IF($S740="","",IFERROR(INDEX('[1]natural catastrophe'!$D$6:$D$17,MATCH($S740,'[1]natural catastrophe'!$B$6:$B$17,0)),"?")))</f>
      </c>
      <c r="U740" s="46" t="inlineStr">
        <is>
          <t xml:space="preserve">$5,000</t>
        </is>
      </c>
      <c r="V740" s="48" t="inlineStr">
        <is>
          <t xml:space="preserve">Agreed Value</t>
        </is>
      </c>
      <c r="W740" s="46" t="inlineStr">
        <is>
          <t xml:space="preserve">$1,000</t>
        </is>
      </c>
      <c r="X740" s="48" t="inlineStr">
        <is>
          <t xml:space="preserve">$1,000,000 CSL</t>
        </is>
      </c>
      <c r="Y740" s="46"/>
      <c r="Z740" s="46"/>
      <c r="AA740" s="48" t="inlineStr">
        <is>
          <t xml:space="preserve">Surplus Lines</t>
        </is>
      </c>
      <c r="AB740" s="50">
        <v>5233.83</v>
      </c>
      <c r="AC740" s="51">
        <v>0</v>
      </c>
      <c r="AD740" s="38">
        <f>IF(ISNUMBER($AB740),$AB740*(1+N($AC740)),"")</f>
      </c>
      <c r="AE740" s="50">
        <v>350</v>
      </c>
      <c r="AF740" s="50">
        <v>0</v>
      </c>
      <c r="AG740" s="51"/>
      <c r="AH740" s="39">
        <f>IF(ISNUMBER($AD740),($AD740+$AE740+$AF740)*$AG740,"")</f>
      </c>
      <c r="AI740" s="50"/>
      <c r="AJ740" s="38">
        <f>IF(ISNUMBER($AD740),SUM($AD740:$AH740),"")</f>
      </c>
      <c r="AK740" s="40">
        <f>IF(AND(ISNUMBER($AB740),ISNUMBER($AD740)),IF($AB740&gt;0,$AD740/$AB740,""),"")</f>
      </c>
      <c r="AL740" s="48" t="inlineStr">
        <is>
          <t xml:space="preserve">At technical</t>
        </is>
      </c>
      <c r="AM740" s="41">
        <f>IF(ISNUMBER($AD740),Header!$I$3,"")</f>
      </c>
      <c r="AN740" s="39">
        <f>IF(ISNUMBER($AD740),$AO740+$AP740,"")</f>
      </c>
      <c r="AO740" s="39">
        <f>IF(ISNUMBER($AD740),ROUND($AD740*Header!$K$3,2),"")</f>
      </c>
      <c r="AP740" s="39">
        <f>IF(ISNUMBER($AD740),ROUND($AD740*Header!$M$3,2),"")</f>
      </c>
      <c r="AQ740" s="38">
        <f>IF(ISNUMBER($AD740),ROUND($AD740,2)-$AO740-$AP740,"")</f>
      </c>
      <c r="AR740" s="39">
        <f>IF(ISNUMBER($AD740),IF(Header!$D$34="","?",$AD740*Header!$D$34),"")</f>
      </c>
      <c r="AS740" s="39">
        <f>IF(ISNUMBER($AB740),IF(Header!$D$34="","?",$AB740*Header!$D$34),"")</f>
      </c>
      <c r="AT740" s="42">
        <f>IF(AND(ISNUMBER($AB740),$M740&gt;0),$AB740/$M740*100,"")</f>
      </c>
      <c r="AU740" s="42">
        <f>IF(AND(ISNUMBER($AD740),$M740&gt;0),$AD740/$M740*100,"")</f>
      </c>
      <c r="AV740" s="40">
        <f>IF(AND(ISNUMBER($AB740),ISNUMBER($AD740),ABS($AB740)&gt;0),$AD740/$AB740,"")</f>
      </c>
      <c r="AW740" s="39">
        <f>IF(ISNUMBER($AD740),MAX(0,(1-0.55-Header!$O$3)*Header!$Q$3*$AQ740),"")</f>
      </c>
      <c r="AX740" s="43">
        <f>IF($A740="","",IF(TRIM(IF($A740="","Missing certificate ref. ","") &amp; IF($C740="","Missing effective date. ","") &amp; IF($D740="","Missing binding status. ","") &amp; IF($E740="","Missing movement type. ","") &amp; IF($I740="","Missing make. ","") &amp; IF($L740="","Missing vehicle class. ","") &amp; IF($M740="","Missing agreed value. ","") &amp; IF($N740="","Missing policy type. ","") &amp; IF($Q740="","Missing garaging state. ","") &amp; IF($R740="","Missing garaging ZIP. ","") &amp; IF($S740="","Missing cat zone. ","") &amp; IF($V740="","Missing valuation basis. ","") &amp; IF($W740="","Missing PD deductible. ","") &amp; IF($X740="","Missing liability limit. ","") &amp; IF($AB740="","Missing technical premium. ","") &amp; IF($AF740="","Missing surplus lines tax %. ",""))="","PASS","FAIL: "&amp;TRIM(IF($A740="","Missing certificate ref. ","") &amp; IF($C740="","Missing effective date. ","") &amp; IF($D740="","Missing binding status. ","") &amp; IF($E740="","Missing movement type. ","") &amp; IF($I740="","Missing make. ","") &amp; IF($L740="","Missing vehicle class. ","") &amp; IF($M740="","Missing agreed value. ","") &amp; IF($N740="","Missing policy type. ","") &amp; IF($Q740="","Missing garaging state. ","") &amp; IF($R740="","Missing garaging ZIP. ","") &amp; IF($S740="","Missing cat zone. ","") &amp; IF($V740="","Missing valuation basis. ","") &amp; IF($W740="","Missing PD deductible. ","") &amp; IF($X740="","Missing liability limit. ","") &amp; IF($AB740="","Missing technical premium. ","") &amp; IF($AF740="","Missing surplus lines tax %. ",""))))</f>
      </c>
      <c r="AY740" s="44">
        <f>IF($M740="","",IF(ISNUMBER($M740),IF($M740&gt;=Header!$C$18,"YES — refer","No"),""))</f>
      </c>
      <c r="AZ740" s="44">
        <f>IF($AD740="","",IF(ISNUMBER($AD740),IF($AD740&lt;Header!$C$20,"BELOW MIN PREMIUM","OK"),""))</f>
      </c>
      <c r="BA740" s="48" t="inlineStr">
        <is>
          <t xml:space="preserve">Yes</t>
        </is>
      </c>
      <c r="BB740" s="48" t="inlineStr">
        <is>
          <t xml:space="preserve">Yes</t>
        </is>
      </c>
      <c r="BC740" s="46" t="inlineStr">
        <is>
          <t xml:space="preserve">Synthetic demo data</t>
        </is>
      </c>
      <c r="BE740" s="45">
        <f>IF(OR($A740="",$L740="",$H740=""),"",IF(AND(LEFT($L740,2)="06",$H740&gt;1945),"FAIL - pre-war class, year "&amp;$H740,IF(AND(LEFT($L740,2)="07",OR($H740&lt;1946,$H740&gt;1972)),"FAIL - 1946-72 class, year "&amp;$H740,IF(AND(LEFT($L740,2)="08",OR($H740&lt;1973,$H740&gt;1999)),"FAIL - 1973-99 class, year "&amp;$H740,IF(AND(LEFT($L740,2)="09",OR($H740&lt;2000,$H740&gt;2010)),"FAIL - 2000-10 class, year "&amp;$H740,"OK")))))</f>
      </c>
      <c r="BF740" s="45">
        <f>IF($AD740="","",IF(ROUND($AO740+$AP740+$AQ740-$AD740,2)=0,"OK","FAIL - out by "&amp;TEXT($AO740+$AP740+$AQ740-$AD740,"$0.00")))</f>
      </c>
    </row>
    <row r="741" spans="1:58" ht="18.75" customHeight="1" x14ac:dyDescent="0.25">
      <c r="A741" s="30" t="inlineStr">
        <is>
          <t xml:space="preserve">CANON-202606-009422</t>
        </is>
      </c>
      <c r="B741" s="30" t="inlineStr">
        <is>
          <t xml:space="preserve">Priya Ashcombe</t>
        </is>
      </c>
      <c r="C741" s="31">
        <v>46176</v>
      </c>
      <c r="D741" s="32" t="inlineStr">
        <is>
          <t xml:space="preserve">Bound - within authority</t>
        </is>
      </c>
      <c r="E741" s="32" t="inlineStr">
        <is>
          <t xml:space="preserve">New business</t>
        </is>
      </c>
      <c r="F741" s="30" t="inlineStr">
        <is>
          <t xml:space="preserve">B1234EXOTIC26</t>
        </is>
      </c>
      <c r="G741" s="33">
        <f>IF($A741="","",IF($C741="","",YEAR($C741)))</f>
      </c>
      <c r="H741" s="34">
        <v>2022</v>
      </c>
      <c r="I741" s="30" t="inlineStr">
        <is>
          <t xml:space="preserve">Ferrari</t>
        </is>
      </c>
      <c r="J741" s="30" t="inlineStr">
        <is>
          <t xml:space="preserve">296 GTB</t>
        </is>
      </c>
      <c r="K741" s="30" t="inlineStr">
        <is>
          <t xml:space="preserve">FGE728AKB29YJ7FSS</t>
        </is>
      </c>
      <c r="L741" s="32" t="inlineStr">
        <is>
          <t xml:space="preserve">03 - Supercar</t>
        </is>
      </c>
      <c r="M741" s="35">
        <v>465000</v>
      </c>
      <c r="N741" s="32" t="inlineStr">
        <is>
          <t xml:space="preserve">Personal</t>
        </is>
      </c>
      <c r="O741" s="30" t="inlineStr">
        <is>
          <t xml:space="preserve">Personal - regular use</t>
        </is>
      </c>
      <c r="P741" s="30" t="inlineStr">
        <is>
          <t xml:space="preserve">2,500 - 5,000</t>
        </is>
      </c>
      <c r="Q741" s="30" t="inlineStr">
        <is>
          <t xml:space="preserve">Mississippi</t>
        </is>
      </c>
      <c r="R741" s="30" t="inlineStr">
        <is>
          <t xml:space="preserve">39201</t>
        </is>
      </c>
      <c r="S741" s="32" t="inlineStr">
        <is>
          <t xml:space="preserve">Tier 2 - Coastal wind (1-25 miles)</t>
        </is>
      </c>
      <c r="T741" s="36">
        <f>IF($A741="","",IF($S741="","",IFERROR(INDEX('[1]natural catastrophe'!$D$6:$D$17,MATCH($S741,'[1]natural catastrophe'!$B$6:$B$17,0)),"?")))</f>
      </c>
      <c r="U741" s="30" t="inlineStr">
        <is>
          <t xml:space="preserve">2% of agreed value, minimum $10,000</t>
        </is>
      </c>
      <c r="V741" s="32" t="inlineStr">
        <is>
          <t xml:space="preserve">Agreed Value</t>
        </is>
      </c>
      <c r="W741" s="30" t="inlineStr">
        <is>
          <t xml:space="preserve">$1,000</t>
        </is>
      </c>
      <c r="X741" s="32" t="inlineStr">
        <is>
          <t xml:space="preserve">$1,000,000 CSL</t>
        </is>
      </c>
      <c r="Y741" s="30"/>
      <c r="Z741" s="30"/>
      <c r="AA741" s="32" t="inlineStr">
        <is>
          <t xml:space="preserve">Surplus Lines</t>
        </is>
      </c>
      <c r="AB741" s="35">
        <v>9182.69</v>
      </c>
      <c r="AC741" s="37">
        <v>0</v>
      </c>
      <c r="AD741" s="38">
        <f>IF(ISNUMBER($AB741),$AB741*(1+N($AC741)),"")</f>
      </c>
      <c r="AE741" s="35">
        <v>350</v>
      </c>
      <c r="AF741" s="35">
        <v>0</v>
      </c>
      <c r="AG741" s="37"/>
      <c r="AH741" s="39">
        <f>IF(ISNUMBER($AD741),($AD741+$AE741+$AF741)*$AG741,"")</f>
      </c>
      <c r="AI741" s="35"/>
      <c r="AJ741" s="38">
        <f>IF(ISNUMBER($AD741),SUM($AD741:$AH741),"")</f>
      </c>
      <c r="AK741" s="40">
        <f>IF(AND(ISNUMBER($AB741),ISNUMBER($AD741)),IF($AB741&gt;0,$AD741/$AB741,""),"")</f>
      </c>
      <c r="AL741" s="32" t="inlineStr">
        <is>
          <t xml:space="preserve">At technical</t>
        </is>
      </c>
      <c r="AM741" s="41">
        <f>IF(ISNUMBER($AD741),Header!$I$3,"")</f>
      </c>
      <c r="AN741" s="39">
        <f>IF(ISNUMBER($AD741),$AO741+$AP741,"")</f>
      </c>
      <c r="AO741" s="39">
        <f>IF(ISNUMBER($AD741),ROUND($AD741*Header!$K$3,2),"")</f>
      </c>
      <c r="AP741" s="39">
        <f>IF(ISNUMBER($AD741),ROUND($AD741*Header!$M$3,2),"")</f>
      </c>
      <c r="AQ741" s="38">
        <f>IF(ISNUMBER($AD741),ROUND($AD741,2)-$AO741-$AP741,"")</f>
      </c>
      <c r="AR741" s="39">
        <f>IF(ISNUMBER($AD741),IF(Header!$D$34="","?",$AD741*Header!$D$34),"")</f>
      </c>
      <c r="AS741" s="39">
        <f>IF(ISNUMBER($AB741),IF(Header!$D$34="","?",$AB741*Header!$D$34),"")</f>
      </c>
      <c r="AT741" s="42">
        <f>IF(AND(ISNUMBER($AB741),$M741&gt;0),$AB741/$M741*100,"")</f>
      </c>
      <c r="AU741" s="42">
        <f>IF(AND(ISNUMBER($AD741),$M741&gt;0),$AD741/$M741*100,"")</f>
      </c>
      <c r="AV741" s="40">
        <f>IF(AND(ISNUMBER($AB741),ISNUMBER($AD741),ABS($AB741)&gt;0),$AD741/$AB741,"")</f>
      </c>
      <c r="AW741" s="39">
        <f>IF(ISNUMBER($AD741),MAX(0,(1-0.55-Header!$O$3)*Header!$Q$3*$AQ741),"")</f>
      </c>
      <c r="AX741" s="43">
        <f>IF($A741="","",IF(TRIM(IF($A741="","Missing certificate ref. ","") &amp; IF($C741="","Missing effective date. ","") &amp; IF($D741="","Missing binding status. ","") &amp; IF($E741="","Missing movement type. ","") &amp; IF($I741="","Missing make. ","") &amp; IF($L741="","Missing vehicle class. ","") &amp; IF($M741="","Missing agreed value. ","") &amp; IF($N741="","Missing policy type. ","") &amp; IF($Q741="","Missing garaging state. ","") &amp; IF($R741="","Missing garaging ZIP. ","") &amp; IF($S741="","Missing cat zone. ","") &amp; IF($V741="","Missing valuation basis. ","") &amp; IF($W741="","Missing PD deductible. ","") &amp; IF($X741="","Missing liability limit. ","") &amp; IF($AB741="","Missing technical premium. ","") &amp; IF($AF741="","Missing surplus lines tax %. ",""))="","PASS","FAIL: "&amp;TRIM(IF($A741="","Missing certificate ref. ","") &amp; IF($C741="","Missing effective date. ","") &amp; IF($D741="","Missing binding status. ","") &amp; IF($E741="","Missing movement type. ","") &amp; IF($I741="","Missing make. ","") &amp; IF($L741="","Missing vehicle class. ","") &amp; IF($M741="","Missing agreed value. ","") &amp; IF($N741="","Missing policy type. ","") &amp; IF($Q741="","Missing garaging state. ","") &amp; IF($R741="","Missing garaging ZIP. ","") &amp; IF($S741="","Missing cat zone. ","") &amp; IF($V741="","Missing valuation basis. ","") &amp; IF($W741="","Missing PD deductible. ","") &amp; IF($X741="","Missing liability limit. ","") &amp; IF($AB741="","Missing technical premium. ","") &amp; IF($AF741="","Missing surplus lines tax %. ",""))))</f>
      </c>
      <c r="AY741" s="44">
        <f>IF($M741="","",IF(ISNUMBER($M741),IF($M741&gt;=Header!$C$18,"YES — refer","No"),""))</f>
      </c>
      <c r="AZ741" s="44">
        <f>IF($AD741="","",IF(ISNUMBER($AD741),IF($AD741&lt;Header!$C$20,"BELOW MIN PREMIUM","OK"),""))</f>
      </c>
      <c r="BA741" s="32" t="inlineStr">
        <is>
          <t xml:space="preserve">Yes</t>
        </is>
      </c>
      <c r="BB741" s="32" t="inlineStr">
        <is>
          <t xml:space="preserve">Yes</t>
        </is>
      </c>
      <c r="BC741" s="30" t="inlineStr">
        <is>
          <t xml:space="preserve">Synthetic demo data</t>
        </is>
      </c>
      <c r="BE741" s="45">
        <f>IF(OR($A741="",$L741="",$H741=""),"",IF(AND(LEFT($L741,2)="06",$H741&gt;1945),"FAIL - pre-war class, year "&amp;$H741,IF(AND(LEFT($L741,2)="07",OR($H741&lt;1946,$H741&gt;1972)),"FAIL - 1946-72 class, year "&amp;$H741,IF(AND(LEFT($L741,2)="08",OR($H741&lt;1973,$H741&gt;1999)),"FAIL - 1973-99 class, year "&amp;$H741,IF(AND(LEFT($L741,2)="09",OR($H741&lt;2000,$H741&gt;2010)),"FAIL - 2000-10 class, year "&amp;$H741,"OK")))))</f>
      </c>
      <c r="BF741" s="45">
        <f>IF($AD741="","",IF(ROUND($AO741+$AP741+$AQ741-$AD741,2)=0,"OK","FAIL - out by "&amp;TEXT($AO741+$AP741+$AQ741-$AD741,"$0.00")))</f>
      </c>
    </row>
    <row r="742" spans="1:58" ht="18.75" customHeight="1" x14ac:dyDescent="0.25">
      <c r="A742" s="46" t="inlineStr">
        <is>
          <t xml:space="preserve">CANON-202606-009424</t>
        </is>
      </c>
      <c r="B742" s="46" t="inlineStr">
        <is>
          <t xml:space="preserve">Mireille Larsson</t>
        </is>
      </c>
      <c r="C742" s="47">
        <v>46191</v>
      </c>
      <c r="D742" s="48" t="inlineStr">
        <is>
          <t xml:space="preserve">Bound - within authority</t>
        </is>
      </c>
      <c r="E742" s="48" t="inlineStr">
        <is>
          <t xml:space="preserve">New business</t>
        </is>
      </c>
      <c r="F742" s="46" t="inlineStr">
        <is>
          <t xml:space="preserve">B1234EXOTIC26</t>
        </is>
      </c>
      <c r="G742" s="33">
        <f>IF($A742="","",IF($C742="","",YEAR($C742)))</f>
      </c>
      <c r="H742" s="49">
        <v>1958</v>
      </c>
      <c r="I742" s="46" t="inlineStr">
        <is>
          <t xml:space="preserve">Ferrari</t>
        </is>
      </c>
      <c r="J742" s="46" t="inlineStr">
        <is>
          <t xml:space="preserve">SF90 Stradale</t>
        </is>
      </c>
      <c r="K742" s="46" t="inlineStr">
        <is>
          <t xml:space="preserve">0Y9A9DUNZ31JZW57K</t>
        </is>
      </c>
      <c r="L742" s="48" t="inlineStr">
        <is>
          <t xml:space="preserve">03 - Supercar</t>
        </is>
      </c>
      <c r="M742" s="50">
        <v>235000</v>
      </c>
      <c r="N742" s="48" t="inlineStr">
        <is>
          <t xml:space="preserve">Personal</t>
        </is>
      </c>
      <c r="O742" s="46" t="inlineStr">
        <is>
          <t xml:space="preserve">Personal - regular use</t>
        </is>
      </c>
      <c r="P742" s="46" t="inlineStr">
        <is>
          <t xml:space="preserve">2,500 - 5,000</t>
        </is>
      </c>
      <c r="Q742" s="46" t="inlineStr">
        <is>
          <t xml:space="preserve">North Dakota</t>
        </is>
      </c>
      <c r="R742" s="46" t="inlineStr">
        <is>
          <t xml:space="preserve">58501</t>
        </is>
      </c>
      <c r="S742" s="48" t="inlineStr">
        <is>
          <t xml:space="preserve">Severe convective - hail alley (high)</t>
        </is>
      </c>
      <c r="T742" s="36">
        <f>IF($A742="","",IF($S742="","",IFERROR(INDEX('[1]natural catastrophe'!$D$6:$D$17,MATCH($S742,'[1]natural catastrophe'!$B$6:$B$17,0)),"?")))</f>
      </c>
      <c r="U742" s="46" t="inlineStr">
        <is>
          <t xml:space="preserve">$5,000</t>
        </is>
      </c>
      <c r="V742" s="48" t="inlineStr">
        <is>
          <t xml:space="preserve">Agreed Value</t>
        </is>
      </c>
      <c r="W742" s="46" t="inlineStr">
        <is>
          <t xml:space="preserve">$1,000</t>
        </is>
      </c>
      <c r="X742" s="48" t="inlineStr">
        <is>
          <t xml:space="preserve">$1,000,000 CSL</t>
        </is>
      </c>
      <c r="Y742" s="46"/>
      <c r="Z742" s="46"/>
      <c r="AA742" s="48" t="inlineStr">
        <is>
          <t xml:space="preserve">Surplus Lines</t>
        </is>
      </c>
      <c r="AB742" s="50">
        <v>4911.66</v>
      </c>
      <c r="AC742" s="51">
        <v>0</v>
      </c>
      <c r="AD742" s="38">
        <f>IF(ISNUMBER($AB742),$AB742*(1+N($AC742)),"")</f>
      </c>
      <c r="AE742" s="50">
        <v>350</v>
      </c>
      <c r="AF742" s="50">
        <v>0</v>
      </c>
      <c r="AG742" s="51"/>
      <c r="AH742" s="39">
        <f>IF(ISNUMBER($AD742),($AD742+$AE742+$AF742)*$AG742,"")</f>
      </c>
      <c r="AI742" s="50"/>
      <c r="AJ742" s="38">
        <f>IF(ISNUMBER($AD742),SUM($AD742:$AH742),"")</f>
      </c>
      <c r="AK742" s="40">
        <f>IF(AND(ISNUMBER($AB742),ISNUMBER($AD742)),IF($AB742&gt;0,$AD742/$AB742,""),"")</f>
      </c>
      <c r="AL742" s="48" t="inlineStr">
        <is>
          <t xml:space="preserve">At technical</t>
        </is>
      </c>
      <c r="AM742" s="41">
        <f>IF(ISNUMBER($AD742),Header!$I$3,"")</f>
      </c>
      <c r="AN742" s="39">
        <f>IF(ISNUMBER($AD742),$AO742+$AP742,"")</f>
      </c>
      <c r="AO742" s="39">
        <f>IF(ISNUMBER($AD742),ROUND($AD742*Header!$K$3,2),"")</f>
      </c>
      <c r="AP742" s="39">
        <f>IF(ISNUMBER($AD742),ROUND($AD742*Header!$M$3,2),"")</f>
      </c>
      <c r="AQ742" s="38">
        <f>IF(ISNUMBER($AD742),ROUND($AD742,2)-$AO742-$AP742,"")</f>
      </c>
      <c r="AR742" s="39">
        <f>IF(ISNUMBER($AD742),IF(Header!$D$34="","?",$AD742*Header!$D$34),"")</f>
      </c>
      <c r="AS742" s="39">
        <f>IF(ISNUMBER($AB742),IF(Header!$D$34="","?",$AB742*Header!$D$34),"")</f>
      </c>
      <c r="AT742" s="42">
        <f>IF(AND(ISNUMBER($AB742),$M742&gt;0),$AB742/$M742*100,"")</f>
      </c>
      <c r="AU742" s="42">
        <f>IF(AND(ISNUMBER($AD742),$M742&gt;0),$AD742/$M742*100,"")</f>
      </c>
      <c r="AV742" s="40">
        <f>IF(AND(ISNUMBER($AB742),ISNUMBER($AD742),ABS($AB742)&gt;0),$AD742/$AB742,"")</f>
      </c>
      <c r="AW742" s="39">
        <f>IF(ISNUMBER($AD742),MAX(0,(1-0.55-Header!$O$3)*Header!$Q$3*$AQ742),"")</f>
      </c>
      <c r="AX742" s="43">
        <f>IF($A742="","",IF(TRIM(IF($A742="","Missing certificate ref. ","") &amp; IF($C742="","Missing effective date. ","") &amp; IF($D742="","Missing binding status. ","") &amp; IF($E742="","Missing movement type. ","") &amp; IF($I742="","Missing make. ","") &amp; IF($L742="","Missing vehicle class. ","") &amp; IF($M742="","Missing agreed value. ","") &amp; IF($N742="","Missing policy type. ","") &amp; IF($Q742="","Missing garaging state. ","") &amp; IF($R742="","Missing garaging ZIP. ","") &amp; IF($S742="","Missing cat zone. ","") &amp; IF($V742="","Missing valuation basis. ","") &amp; IF($W742="","Missing PD deductible. ","") &amp; IF($X742="","Missing liability limit. ","") &amp; IF($AB742="","Missing technical premium. ","") &amp; IF($AF742="","Missing surplus lines tax %. ",""))="","PASS","FAIL: "&amp;TRIM(IF($A742="","Missing certificate ref. ","") &amp; IF($C742="","Missing effective date. ","") &amp; IF($D742="","Missing binding status. ","") &amp; IF($E742="","Missing movement type. ","") &amp; IF($I742="","Missing make. ","") &amp; IF($L742="","Missing vehicle class. ","") &amp; IF($M742="","Missing agreed value. ","") &amp; IF($N742="","Missing policy type. ","") &amp; IF($Q742="","Missing garaging state. ","") &amp; IF($R742="","Missing garaging ZIP. ","") &amp; IF($S742="","Missing cat zone. ","") &amp; IF($V742="","Missing valuation basis. ","") &amp; IF($W742="","Missing PD deductible. ","") &amp; IF($X742="","Missing liability limit. ","") &amp; IF($AB742="","Missing technical premium. ","") &amp; IF($AF742="","Missing surplus lines tax %. ",""))))</f>
      </c>
      <c r="AY742" s="44">
        <f>IF($M742="","",IF(ISNUMBER($M742),IF($M742&gt;=Header!$C$18,"YES — refer","No"),""))</f>
      </c>
      <c r="AZ742" s="44">
        <f>IF($AD742="","",IF(ISNUMBER($AD742),IF($AD742&lt;Header!$C$20,"BELOW MIN PREMIUM","OK"),""))</f>
      </c>
      <c r="BA742" s="48" t="inlineStr">
        <is>
          <t xml:space="preserve">Yes</t>
        </is>
      </c>
      <c r="BB742" s="48" t="inlineStr">
        <is>
          <t xml:space="preserve">Yes</t>
        </is>
      </c>
      <c r="BC742" s="46" t="inlineStr">
        <is>
          <t xml:space="preserve">Synthetic demo data</t>
        </is>
      </c>
      <c r="BE742" s="45">
        <f>IF(OR($A742="",$L742="",$H742=""),"",IF(AND(LEFT($L742,2)="06",$H742&gt;1945),"FAIL - pre-war class, year "&amp;$H742,IF(AND(LEFT($L742,2)="07",OR($H742&lt;1946,$H742&gt;1972)),"FAIL - 1946-72 class, year "&amp;$H742,IF(AND(LEFT($L742,2)="08",OR($H742&lt;1973,$H742&gt;1999)),"FAIL - 1973-99 class, year "&amp;$H742,IF(AND(LEFT($L742,2)="09",OR($H742&lt;2000,$H742&gt;2010)),"FAIL - 2000-10 class, year "&amp;$H742,"OK")))))</f>
      </c>
      <c r="BF742" s="45">
        <f>IF($AD742="","",IF(ROUND($AO742+$AP742+$AQ742-$AD742,2)=0,"OK","FAIL - out by "&amp;TEXT($AO742+$AP742+$AQ742-$AD742,"$0.00")))</f>
      </c>
    </row>
    <row r="743" spans="1:58" ht="18.75" customHeight="1" x14ac:dyDescent="0.25">
      <c r="A743" s="30" t="inlineStr">
        <is>
          <t xml:space="preserve">CANON-202606-009425</t>
        </is>
      </c>
      <c r="B743" s="30" t="inlineStr">
        <is>
          <t xml:space="preserve">Thaddeus Bellandi</t>
        </is>
      </c>
      <c r="C743" s="31">
        <v>46178</v>
      </c>
      <c r="D743" s="32" t="inlineStr">
        <is>
          <t xml:space="preserve">Bound - within authority</t>
        </is>
      </c>
      <c r="E743" s="32" t="inlineStr">
        <is>
          <t xml:space="preserve">New business</t>
        </is>
      </c>
      <c r="F743" s="30" t="inlineStr">
        <is>
          <t xml:space="preserve">B1234EXOTIC26</t>
        </is>
      </c>
      <c r="G743" s="33">
        <f>IF($A743="","",IF($C743="","",YEAR($C743)))</f>
      </c>
      <c r="H743" s="34">
        <v>1958</v>
      </c>
      <c r="I743" s="30" t="inlineStr">
        <is>
          <t xml:space="preserve">Aston Martin</t>
        </is>
      </c>
      <c r="J743" s="30" t="inlineStr">
        <is>
          <t xml:space="preserve">DB12</t>
        </is>
      </c>
      <c r="K743" s="30" t="inlineStr">
        <is>
          <t xml:space="preserve">8XE8MRUN8M8Y99W81</t>
        </is>
      </c>
      <c r="L743" s="32" t="inlineStr">
        <is>
          <t xml:space="preserve">02 - Sports / GT</t>
        </is>
      </c>
      <c r="M743" s="35">
        <v>825000</v>
      </c>
      <c r="N743" s="32" t="inlineStr">
        <is>
          <t xml:space="preserve">Personal</t>
        </is>
      </c>
      <c r="O743" s="30" t="inlineStr">
        <is>
          <t xml:space="preserve">Personal - regular use</t>
        </is>
      </c>
      <c r="P743" s="30" t="inlineStr">
        <is>
          <t xml:space="preserve">Under 1,000</t>
        </is>
      </c>
      <c r="Q743" s="30" t="inlineStr">
        <is>
          <t xml:space="preserve">Florida</t>
        </is>
      </c>
      <c r="R743" s="30" t="inlineStr">
        <is>
          <t xml:space="preserve">33139</t>
        </is>
      </c>
      <c r="S743" s="32" t="inlineStr">
        <is>
          <t xml:space="preserve">Tier 2 - Coastal wind (1-25 miles)</t>
        </is>
      </c>
      <c r="T743" s="36">
        <f>IF($A743="","",IF($S743="","",IFERROR(INDEX('[1]natural catastrophe'!$D$6:$D$17,MATCH($S743,'[1]natural catastrophe'!$B$6:$B$17,0)),"?")))</f>
      </c>
      <c r="U743" s="30" t="inlineStr">
        <is>
          <t xml:space="preserve">2% of agreed value, minimum $10,000</t>
        </is>
      </c>
      <c r="V743" s="32" t="inlineStr">
        <is>
          <t xml:space="preserve">Agreed Value</t>
        </is>
      </c>
      <c r="W743" s="30" t="inlineStr">
        <is>
          <t xml:space="preserve">$1,000</t>
        </is>
      </c>
      <c r="X743" s="32" t="inlineStr">
        <is>
          <t xml:space="preserve">$1,000,000 CSL</t>
        </is>
      </c>
      <c r="Y743" s="30"/>
      <c r="Z743" s="30"/>
      <c r="AA743" s="32" t="inlineStr">
        <is>
          <t xml:space="preserve">Surplus Lines</t>
        </is>
      </c>
      <c r="AB743" s="35">
        <v>10988.23</v>
      </c>
      <c r="AC743" s="37">
        <v>0</v>
      </c>
      <c r="AD743" s="38">
        <f>IF(ISNUMBER($AB743),$AB743*(1+N($AC743)),"")</f>
      </c>
      <c r="AE743" s="35">
        <v>350</v>
      </c>
      <c r="AF743" s="35">
        <v>0</v>
      </c>
      <c r="AG743" s="37"/>
      <c r="AH743" s="39">
        <f>IF(ISNUMBER($AD743),($AD743+$AE743+$AF743)*$AG743,"")</f>
      </c>
      <c r="AI743" s="35"/>
      <c r="AJ743" s="38">
        <f>IF(ISNUMBER($AD743),SUM($AD743:$AH743),"")</f>
      </c>
      <c r="AK743" s="40">
        <f>IF(AND(ISNUMBER($AB743),ISNUMBER($AD743)),IF($AB743&gt;0,$AD743/$AB743,""),"")</f>
      </c>
      <c r="AL743" s="32" t="inlineStr">
        <is>
          <t xml:space="preserve">At technical</t>
        </is>
      </c>
      <c r="AM743" s="41">
        <f>IF(ISNUMBER($AD743),Header!$I$3,"")</f>
      </c>
      <c r="AN743" s="39">
        <f>IF(ISNUMBER($AD743),$AO743+$AP743,"")</f>
      </c>
      <c r="AO743" s="39">
        <f>IF(ISNUMBER($AD743),ROUND($AD743*Header!$K$3,2),"")</f>
      </c>
      <c r="AP743" s="39">
        <f>IF(ISNUMBER($AD743),ROUND($AD743*Header!$M$3,2),"")</f>
      </c>
      <c r="AQ743" s="38">
        <f>IF(ISNUMBER($AD743),ROUND($AD743,2)-$AO743-$AP743,"")</f>
      </c>
      <c r="AR743" s="39">
        <f>IF(ISNUMBER($AD743),IF(Header!$D$34="","?",$AD743*Header!$D$34),"")</f>
      </c>
      <c r="AS743" s="39">
        <f>IF(ISNUMBER($AB743),IF(Header!$D$34="","?",$AB743*Header!$D$34),"")</f>
      </c>
      <c r="AT743" s="42">
        <f>IF(AND(ISNUMBER($AB743),$M743&gt;0),$AB743/$M743*100,"")</f>
      </c>
      <c r="AU743" s="42">
        <f>IF(AND(ISNUMBER($AD743),$M743&gt;0),$AD743/$M743*100,"")</f>
      </c>
      <c r="AV743" s="40">
        <f>IF(AND(ISNUMBER($AB743),ISNUMBER($AD743),ABS($AB743)&gt;0),$AD743/$AB743,"")</f>
      </c>
      <c r="AW743" s="39">
        <f>IF(ISNUMBER($AD743),MAX(0,(1-0.55-Header!$O$3)*Header!$Q$3*$AQ743),"")</f>
      </c>
      <c r="AX743" s="43">
        <f>IF($A743="","",IF(TRIM(IF($A743="","Missing certificate ref. ","") &amp; IF($C743="","Missing effective date. ","") &amp; IF($D743="","Missing binding status. ","") &amp; IF($E743="","Missing movement type. ","") &amp; IF($I743="","Missing make. ","") &amp; IF($L743="","Missing vehicle class. ","") &amp; IF($M743="","Missing agreed value. ","") &amp; IF($N743="","Missing policy type. ","") &amp; IF($Q743="","Missing garaging state. ","") &amp; IF($R743="","Missing garaging ZIP. ","") &amp; IF($S743="","Missing cat zone. ","") &amp; IF($V743="","Missing valuation basis. ","") &amp; IF($W743="","Missing PD deductible. ","") &amp; IF($X743="","Missing liability limit. ","") &amp; IF($AB743="","Missing technical premium. ","") &amp; IF($AF743="","Missing surplus lines tax %. ",""))="","PASS","FAIL: "&amp;TRIM(IF($A743="","Missing certificate ref. ","") &amp; IF($C743="","Missing effective date. ","") &amp; IF($D743="","Missing binding status. ","") &amp; IF($E743="","Missing movement type. ","") &amp; IF($I743="","Missing make. ","") &amp; IF($L743="","Missing vehicle class. ","") &amp; IF($M743="","Missing agreed value. ","") &amp; IF($N743="","Missing policy type. ","") &amp; IF($Q743="","Missing garaging state. ","") &amp; IF($R743="","Missing garaging ZIP. ","") &amp; IF($S743="","Missing cat zone. ","") &amp; IF($V743="","Missing valuation basis. ","") &amp; IF($W743="","Missing PD deductible. ","") &amp; IF($X743="","Missing liability limit. ","") &amp; IF($AB743="","Missing technical premium. ","") &amp; IF($AF743="","Missing surplus lines tax %. ",""))))</f>
      </c>
      <c r="AY743" s="44">
        <f>IF($M743="","",IF(ISNUMBER($M743),IF($M743&gt;=Header!$C$18,"YES — refer","No"),""))</f>
      </c>
      <c r="AZ743" s="44">
        <f>IF($AD743="","",IF(ISNUMBER($AD743),IF($AD743&lt;Header!$C$20,"BELOW MIN PREMIUM","OK"),""))</f>
      </c>
      <c r="BA743" s="32" t="inlineStr">
        <is>
          <t xml:space="preserve">Yes</t>
        </is>
      </c>
      <c r="BB743" s="32" t="inlineStr">
        <is>
          <t xml:space="preserve">Yes</t>
        </is>
      </c>
      <c r="BC743" s="30" t="inlineStr">
        <is>
          <t xml:space="preserve">Synthetic demo data</t>
        </is>
      </c>
      <c r="BE743" s="45">
        <f>IF(OR($A743="",$L743="",$H743=""),"",IF(AND(LEFT($L743,2)="06",$H743&gt;1945),"FAIL - pre-war class, year "&amp;$H743,IF(AND(LEFT($L743,2)="07",OR($H743&lt;1946,$H743&gt;1972)),"FAIL - 1946-72 class, year "&amp;$H743,IF(AND(LEFT($L743,2)="08",OR($H743&lt;1973,$H743&gt;1999)),"FAIL - 1973-99 class, year "&amp;$H743,IF(AND(LEFT($L743,2)="09",OR($H743&lt;2000,$H743&gt;2010)),"FAIL - 2000-10 class, year "&amp;$H743,"OK")))))</f>
      </c>
      <c r="BF743" s="45">
        <f>IF($AD743="","",IF(ROUND($AO743+$AP743+$AQ743-$AD743,2)=0,"OK","FAIL - out by "&amp;TEXT($AO743+$AP743+$AQ743-$AD743,"$0.00")))</f>
      </c>
    </row>
    <row r="744" spans="1:58" ht="18.75" customHeight="1" x14ac:dyDescent="0.25">
      <c r="A744" s="46" t="inlineStr">
        <is>
          <t xml:space="preserve">CANON-202606-009427</t>
        </is>
      </c>
      <c r="B744" s="46" t="inlineStr">
        <is>
          <t xml:space="preserve">Leopold Bellandi</t>
        </is>
      </c>
      <c r="C744" s="47">
        <v>46178</v>
      </c>
      <c r="D744" s="48" t="inlineStr">
        <is>
          <t xml:space="preserve">Bound - within authority</t>
        </is>
      </c>
      <c r="E744" s="48" t="inlineStr">
        <is>
          <t xml:space="preserve">New business</t>
        </is>
      </c>
      <c r="F744" s="46" t="inlineStr">
        <is>
          <t xml:space="preserve">B1234EXOTIC26</t>
        </is>
      </c>
      <c r="G744" s="33">
        <f>IF($A744="","",IF($C744="","",YEAR($C744)))</f>
      </c>
      <c r="H744" s="49">
        <v>2019</v>
      </c>
      <c r="I744" s="46" t="inlineStr">
        <is>
          <t xml:space="preserve">Ferrari</t>
        </is>
      </c>
      <c r="J744" s="46" t="inlineStr">
        <is>
          <t xml:space="preserve">296 GTB</t>
        </is>
      </c>
      <c r="K744" s="46" t="inlineStr">
        <is>
          <t xml:space="preserve">E7L3TN938WLCYEG38</t>
        </is>
      </c>
      <c r="L744" s="48" t="inlineStr">
        <is>
          <t xml:space="preserve">03 - Supercar</t>
        </is>
      </c>
      <c r="M744" s="50">
        <v>870000</v>
      </c>
      <c r="N744" s="48" t="inlineStr">
        <is>
          <t xml:space="preserve">Personal</t>
        </is>
      </c>
      <c r="O744" s="46" t="inlineStr">
        <is>
          <t xml:space="preserve">Personal - regular use</t>
        </is>
      </c>
      <c r="P744" s="46" t="inlineStr">
        <is>
          <t xml:space="preserve">Under 1,000</t>
        </is>
      </c>
      <c r="Q744" s="46" t="inlineStr">
        <is>
          <t xml:space="preserve">Tennessee</t>
        </is>
      </c>
      <c r="R744" s="46" t="inlineStr">
        <is>
          <t xml:space="preserve">37203</t>
        </is>
      </c>
      <c r="S744" s="48" t="inlineStr">
        <is>
          <t xml:space="preserve">Severe convective - hail / tornado (moderate)</t>
        </is>
      </c>
      <c r="T744" s="36">
        <f>IF($A744="","",IF($S744="","",IFERROR(INDEX('[1]natural catastrophe'!$D$6:$D$17,MATCH($S744,'[1]natural catastrophe'!$B$6:$B$17,0)),"?")))</f>
      </c>
      <c r="U744" s="46" t="inlineStr">
        <is>
          <t xml:space="preserve">$5,000</t>
        </is>
      </c>
      <c r="V744" s="48" t="inlineStr">
        <is>
          <t xml:space="preserve">Agreed Value</t>
        </is>
      </c>
      <c r="W744" s="46" t="inlineStr">
        <is>
          <t xml:space="preserve">$1,000</t>
        </is>
      </c>
      <c r="X744" s="48" t="inlineStr">
        <is>
          <t xml:space="preserve">$1,000,000 CSL</t>
        </is>
      </c>
      <c r="Y744" s="46"/>
      <c r="Z744" s="46"/>
      <c r="AA744" s="48" t="inlineStr">
        <is>
          <t xml:space="preserve">Surplus Lines</t>
        </is>
      </c>
      <c r="AB744" s="50">
        <v>11688.02</v>
      </c>
      <c r="AC744" s="51">
        <v>0</v>
      </c>
      <c r="AD744" s="38">
        <f>IF(ISNUMBER($AB744),$AB744*(1+N($AC744)),"")</f>
      </c>
      <c r="AE744" s="50">
        <v>350</v>
      </c>
      <c r="AF744" s="50">
        <v>0</v>
      </c>
      <c r="AG744" s="51"/>
      <c r="AH744" s="39">
        <f>IF(ISNUMBER($AD744),($AD744+$AE744+$AF744)*$AG744,"")</f>
      </c>
      <c r="AI744" s="50"/>
      <c r="AJ744" s="38">
        <f>IF(ISNUMBER($AD744),SUM($AD744:$AH744),"")</f>
      </c>
      <c r="AK744" s="40">
        <f>IF(AND(ISNUMBER($AB744),ISNUMBER($AD744)),IF($AB744&gt;0,$AD744/$AB744,""),"")</f>
      </c>
      <c r="AL744" s="48" t="inlineStr">
        <is>
          <t xml:space="preserve">At technical</t>
        </is>
      </c>
      <c r="AM744" s="41">
        <f>IF(ISNUMBER($AD744),Header!$I$3,"")</f>
      </c>
      <c r="AN744" s="39">
        <f>IF(ISNUMBER($AD744),$AO744+$AP744,"")</f>
      </c>
      <c r="AO744" s="39">
        <f>IF(ISNUMBER($AD744),ROUND($AD744*Header!$K$3,2),"")</f>
      </c>
      <c r="AP744" s="39">
        <f>IF(ISNUMBER($AD744),ROUND($AD744*Header!$M$3,2),"")</f>
      </c>
      <c r="AQ744" s="38">
        <f>IF(ISNUMBER($AD744),ROUND($AD744,2)-$AO744-$AP744,"")</f>
      </c>
      <c r="AR744" s="39">
        <f>IF(ISNUMBER($AD744),IF(Header!$D$34="","?",$AD744*Header!$D$34),"")</f>
      </c>
      <c r="AS744" s="39">
        <f>IF(ISNUMBER($AB744),IF(Header!$D$34="","?",$AB744*Header!$D$34),"")</f>
      </c>
      <c r="AT744" s="42">
        <f>IF(AND(ISNUMBER($AB744),$M744&gt;0),$AB744/$M744*100,"")</f>
      </c>
      <c r="AU744" s="42">
        <f>IF(AND(ISNUMBER($AD744),$M744&gt;0),$AD744/$M744*100,"")</f>
      </c>
      <c r="AV744" s="40">
        <f>IF(AND(ISNUMBER($AB744),ISNUMBER($AD744),ABS($AB744)&gt;0),$AD744/$AB744,"")</f>
      </c>
      <c r="AW744" s="39">
        <f>IF(ISNUMBER($AD744),MAX(0,(1-0.55-Header!$O$3)*Header!$Q$3*$AQ744),"")</f>
      </c>
      <c r="AX744" s="43">
        <f>IF($A744="","",IF(TRIM(IF($A744="","Missing certificate ref. ","") &amp; IF($C744="","Missing effective date. ","") &amp; IF($D744="","Missing binding status. ","") &amp; IF($E744="","Missing movement type. ","") &amp; IF($I744="","Missing make. ","") &amp; IF($L744="","Missing vehicle class. ","") &amp; IF($M744="","Missing agreed value. ","") &amp; IF($N744="","Missing policy type. ","") &amp; IF($Q744="","Missing garaging state. ","") &amp; IF($R744="","Missing garaging ZIP. ","") &amp; IF($S744="","Missing cat zone. ","") &amp; IF($V744="","Missing valuation basis. ","") &amp; IF($W744="","Missing PD deductible. ","") &amp; IF($X744="","Missing liability limit. ","") &amp; IF($AB744="","Missing technical premium. ","") &amp; IF($AF744="","Missing surplus lines tax %. ",""))="","PASS","FAIL: "&amp;TRIM(IF($A744="","Missing certificate ref. ","") &amp; IF($C744="","Missing effective date. ","") &amp; IF($D744="","Missing binding status. ","") &amp; IF($E744="","Missing movement type. ","") &amp; IF($I744="","Missing make. ","") &amp; IF($L744="","Missing vehicle class. ","") &amp; IF($M744="","Missing agreed value. ","") &amp; IF($N744="","Missing policy type. ","") &amp; IF($Q744="","Missing garaging state. ","") &amp; IF($R744="","Missing garaging ZIP. ","") &amp; IF($S744="","Missing cat zone. ","") &amp; IF($V744="","Missing valuation basis. ","") &amp; IF($W744="","Missing PD deductible. ","") &amp; IF($X744="","Missing liability limit. ","") &amp; IF($AB744="","Missing technical premium. ","") &amp; IF($AF744="","Missing surplus lines tax %. ",""))))</f>
      </c>
      <c r="AY744" s="44">
        <f>IF($M744="","",IF(ISNUMBER($M744),IF($M744&gt;=Header!$C$18,"YES — refer","No"),""))</f>
      </c>
      <c r="AZ744" s="44">
        <f>IF($AD744="","",IF(ISNUMBER($AD744),IF($AD744&lt;Header!$C$20,"BELOW MIN PREMIUM","OK"),""))</f>
      </c>
      <c r="BA744" s="48" t="inlineStr">
        <is>
          <t xml:space="preserve">Yes</t>
        </is>
      </c>
      <c r="BB744" s="48" t="inlineStr">
        <is>
          <t xml:space="preserve">Yes</t>
        </is>
      </c>
      <c r="BC744" s="46" t="inlineStr">
        <is>
          <t xml:space="preserve">Synthetic demo data</t>
        </is>
      </c>
      <c r="BE744" s="45">
        <f>IF(OR($A744="",$L744="",$H744=""),"",IF(AND(LEFT($L744,2)="06",$H744&gt;1945),"FAIL - pre-war class, year "&amp;$H744,IF(AND(LEFT($L744,2)="07",OR($H744&lt;1946,$H744&gt;1972)),"FAIL - 1946-72 class, year "&amp;$H744,IF(AND(LEFT($L744,2)="08",OR($H744&lt;1973,$H744&gt;1999)),"FAIL - 1973-99 class, year "&amp;$H744,IF(AND(LEFT($L744,2)="09",OR($H744&lt;2000,$H744&gt;2010)),"FAIL - 2000-10 class, year "&amp;$H744,"OK")))))</f>
      </c>
      <c r="BF744" s="45">
        <f>IF($AD744="","",IF(ROUND($AO744+$AP744+$AQ744-$AD744,2)=0,"OK","FAIL - out by "&amp;TEXT($AO744+$AP744+$AQ744-$AD744,"$0.00")))</f>
      </c>
    </row>
    <row r="745" spans="1:58" ht="18.75" customHeight="1" x14ac:dyDescent="0.25">
      <c r="A745" s="30" t="inlineStr">
        <is>
          <t xml:space="preserve">CANON-202606-009428</t>
        </is>
      </c>
      <c r="B745" s="30" t="inlineStr">
        <is>
          <t xml:space="preserve">Sunniva Bellandi</t>
        </is>
      </c>
      <c r="C745" s="31">
        <v>46201</v>
      </c>
      <c r="D745" s="32" t="inlineStr">
        <is>
          <t xml:space="preserve">Bound - within authority</t>
        </is>
      </c>
      <c r="E745" s="32" t="inlineStr">
        <is>
          <t xml:space="preserve">New business</t>
        </is>
      </c>
      <c r="F745" s="30" t="inlineStr">
        <is>
          <t xml:space="preserve">B1234EXOTIC26</t>
        </is>
      </c>
      <c r="G745" s="33">
        <f>IF($A745="","",IF($C745="","",YEAR($C745)))</f>
      </c>
      <c r="H745" s="34">
        <v>2003</v>
      </c>
      <c r="I745" s="30" t="inlineStr">
        <is>
          <t xml:space="preserve">Ferrari</t>
        </is>
      </c>
      <c r="J745" s="30" t="inlineStr">
        <is>
          <t xml:space="preserve">SF90 Stradale</t>
        </is>
      </c>
      <c r="K745" s="30" t="inlineStr">
        <is>
          <t xml:space="preserve">A4FS97GMXHYSYJH8V</t>
        </is>
      </c>
      <c r="L745" s="32" t="inlineStr">
        <is>
          <t xml:space="preserve">03 - Supercar</t>
        </is>
      </c>
      <c r="M745" s="35">
        <v>665000</v>
      </c>
      <c r="N745" s="32" t="inlineStr">
        <is>
          <t xml:space="preserve">Personal</t>
        </is>
      </c>
      <c r="O745" s="30" t="inlineStr">
        <is>
          <t xml:space="preserve">Personal - regular use</t>
        </is>
      </c>
      <c r="P745" s="30" t="inlineStr">
        <is>
          <t xml:space="preserve">1,000 - 2,500</t>
        </is>
      </c>
      <c r="Q745" s="30" t="inlineStr">
        <is>
          <t xml:space="preserve">Virginia</t>
        </is>
      </c>
      <c r="R745" s="30" t="inlineStr">
        <is>
          <t xml:space="preserve">23219</t>
        </is>
      </c>
      <c r="S745" s="32" t="inlineStr">
        <is>
          <t xml:space="preserve">Tier 3 - Coastal wind (25-100 miles)</t>
        </is>
      </c>
      <c r="T745" s="36">
        <f>IF($A745="","",IF($S745="","",IFERROR(INDEX('[1]natural catastrophe'!$D$6:$D$17,MATCH($S745,'[1]natural catastrophe'!$B$6:$B$17,0)),"?")))</f>
      </c>
      <c r="U745" s="30" t="inlineStr">
        <is>
          <t xml:space="preserve">2% of agreed value, minimum $10,000</t>
        </is>
      </c>
      <c r="V745" s="32" t="inlineStr">
        <is>
          <t xml:space="preserve">Agreed Value</t>
        </is>
      </c>
      <c r="W745" s="30" t="inlineStr">
        <is>
          <t xml:space="preserve">$1,000</t>
        </is>
      </c>
      <c r="X745" s="32" t="inlineStr">
        <is>
          <t xml:space="preserve">$1,000,000 CSL</t>
        </is>
      </c>
      <c r="Y745" s="30"/>
      <c r="Z745" s="30"/>
      <c r="AA745" s="32" t="inlineStr">
        <is>
          <t xml:space="preserve">Surplus Lines</t>
        </is>
      </c>
      <c r="AB745" s="35">
        <v>9936.73</v>
      </c>
      <c r="AC745" s="37">
        <v>0</v>
      </c>
      <c r="AD745" s="38">
        <f>IF(ISNUMBER($AB745),$AB745*(1+N($AC745)),"")</f>
      </c>
      <c r="AE745" s="35">
        <v>350</v>
      </c>
      <c r="AF745" s="35">
        <v>0</v>
      </c>
      <c r="AG745" s="37"/>
      <c r="AH745" s="39">
        <f>IF(ISNUMBER($AD745),($AD745+$AE745+$AF745)*$AG745,"")</f>
      </c>
      <c r="AI745" s="35"/>
      <c r="AJ745" s="38">
        <f>IF(ISNUMBER($AD745),SUM($AD745:$AH745),"")</f>
      </c>
      <c r="AK745" s="40">
        <f>IF(AND(ISNUMBER($AB745),ISNUMBER($AD745)),IF($AB745&gt;0,$AD745/$AB745,""),"")</f>
      </c>
      <c r="AL745" s="32" t="inlineStr">
        <is>
          <t xml:space="preserve">At technical</t>
        </is>
      </c>
      <c r="AM745" s="41">
        <f>IF(ISNUMBER($AD745),Header!$I$3,"")</f>
      </c>
      <c r="AN745" s="39">
        <f>IF(ISNUMBER($AD745),$AO745+$AP745,"")</f>
      </c>
      <c r="AO745" s="39">
        <f>IF(ISNUMBER($AD745),ROUND($AD745*Header!$K$3,2),"")</f>
      </c>
      <c r="AP745" s="39">
        <f>IF(ISNUMBER($AD745),ROUND($AD745*Header!$M$3,2),"")</f>
      </c>
      <c r="AQ745" s="38">
        <f>IF(ISNUMBER($AD745),ROUND($AD745,2)-$AO745-$AP745,"")</f>
      </c>
      <c r="AR745" s="39">
        <f>IF(ISNUMBER($AD745),IF(Header!$D$34="","?",$AD745*Header!$D$34),"")</f>
      </c>
      <c r="AS745" s="39">
        <f>IF(ISNUMBER($AB745),IF(Header!$D$34="","?",$AB745*Header!$D$34),"")</f>
      </c>
      <c r="AT745" s="42">
        <f>IF(AND(ISNUMBER($AB745),$M745&gt;0),$AB745/$M745*100,"")</f>
      </c>
      <c r="AU745" s="42">
        <f>IF(AND(ISNUMBER($AD745),$M745&gt;0),$AD745/$M745*100,"")</f>
      </c>
      <c r="AV745" s="40">
        <f>IF(AND(ISNUMBER($AB745),ISNUMBER($AD745),ABS($AB745)&gt;0),$AD745/$AB745,"")</f>
      </c>
      <c r="AW745" s="39">
        <f>IF(ISNUMBER($AD745),MAX(0,(1-0.55-Header!$O$3)*Header!$Q$3*$AQ745),"")</f>
      </c>
      <c r="AX745" s="43">
        <f>IF($A745="","",IF(TRIM(IF($A745="","Missing certificate ref. ","") &amp; IF($C745="","Missing effective date. ","") &amp; IF($D745="","Missing binding status. ","") &amp; IF($E745="","Missing movement type. ","") &amp; IF($I745="","Missing make. ","") &amp; IF($L745="","Missing vehicle class. ","") &amp; IF($M745="","Missing agreed value. ","") &amp; IF($N745="","Missing policy type. ","") &amp; IF($Q745="","Missing garaging state. ","") &amp; IF($R745="","Missing garaging ZIP. ","") &amp; IF($S745="","Missing cat zone. ","") &amp; IF($V745="","Missing valuation basis. ","") &amp; IF($W745="","Missing PD deductible. ","") &amp; IF($X745="","Missing liability limit. ","") &amp; IF($AB745="","Missing technical premium. ","") &amp; IF($AF745="","Missing surplus lines tax %. ",""))="","PASS","FAIL: "&amp;TRIM(IF($A745="","Missing certificate ref. ","") &amp; IF($C745="","Missing effective date. ","") &amp; IF($D745="","Missing binding status. ","") &amp; IF($E745="","Missing movement type. ","") &amp; IF($I745="","Missing make. ","") &amp; IF($L745="","Missing vehicle class. ","") &amp; IF($M745="","Missing agreed value. ","") &amp; IF($N745="","Missing policy type. ","") &amp; IF($Q745="","Missing garaging state. ","") &amp; IF($R745="","Missing garaging ZIP. ","") &amp; IF($S745="","Missing cat zone. ","") &amp; IF($V745="","Missing valuation basis. ","") &amp; IF($W745="","Missing PD deductible. ","") &amp; IF($X745="","Missing liability limit. ","") &amp; IF($AB745="","Missing technical premium. ","") &amp; IF($AF745="","Missing surplus lines tax %. ",""))))</f>
      </c>
      <c r="AY745" s="44">
        <f>IF($M745="","",IF(ISNUMBER($M745),IF($M745&gt;=Header!$C$18,"YES — refer","No"),""))</f>
      </c>
      <c r="AZ745" s="44">
        <f>IF($AD745="","",IF(ISNUMBER($AD745),IF($AD745&lt;Header!$C$20,"BELOW MIN PREMIUM","OK"),""))</f>
      </c>
      <c r="BA745" s="32" t="inlineStr">
        <is>
          <t xml:space="preserve">Yes</t>
        </is>
      </c>
      <c r="BB745" s="32" t="inlineStr">
        <is>
          <t xml:space="preserve">Yes</t>
        </is>
      </c>
      <c r="BC745" s="30" t="inlineStr">
        <is>
          <t xml:space="preserve">Synthetic demo data</t>
        </is>
      </c>
      <c r="BE745" s="45">
        <f>IF(OR($A745="",$L745="",$H745=""),"",IF(AND(LEFT($L745,2)="06",$H745&gt;1945),"FAIL - pre-war class, year "&amp;$H745,IF(AND(LEFT($L745,2)="07",OR($H745&lt;1946,$H745&gt;1972)),"FAIL - 1946-72 class, year "&amp;$H745,IF(AND(LEFT($L745,2)="08",OR($H745&lt;1973,$H745&gt;1999)),"FAIL - 1973-99 class, year "&amp;$H745,IF(AND(LEFT($L745,2)="09",OR($H745&lt;2000,$H745&gt;2010)),"FAIL - 2000-10 class, year "&amp;$H745,"OK")))))</f>
      </c>
      <c r="BF745" s="45">
        <f>IF($AD745="","",IF(ROUND($AO745+$AP745+$AQ745-$AD745,2)=0,"OK","FAIL - out by "&amp;TEXT($AO745+$AP745+$AQ745-$AD745,"$0.00")))</f>
      </c>
    </row>
    <row r="746" spans="1:58" ht="18.75" customHeight="1" x14ac:dyDescent="0.25">
      <c r="A746" s="46" t="inlineStr">
        <is>
          <t xml:space="preserve">CANON-202606-009429</t>
        </is>
      </c>
      <c r="B746" s="46" t="inlineStr">
        <is>
          <t xml:space="preserve">Thaddeus Montoya</t>
        </is>
      </c>
      <c r="C746" s="47">
        <v>46180</v>
      </c>
      <c r="D746" s="48" t="inlineStr">
        <is>
          <t xml:space="preserve">Bound - within authority</t>
        </is>
      </c>
      <c r="E746" s="48" t="inlineStr">
        <is>
          <t xml:space="preserve">New business</t>
        </is>
      </c>
      <c r="F746" s="46" t="inlineStr">
        <is>
          <t xml:space="preserve">B1234EXOTIC26</t>
        </is>
      </c>
      <c r="G746" s="33">
        <f>IF($A746="","",IF($C746="","",YEAR($C746)))</f>
      </c>
      <c r="H746" s="49">
        <v>2012</v>
      </c>
      <c r="I746" s="46" t="inlineStr">
        <is>
          <t xml:space="preserve">Maserati</t>
        </is>
      </c>
      <c r="J746" s="46" t="inlineStr">
        <is>
          <t xml:space="preserve">GranTurismo</t>
        </is>
      </c>
      <c r="K746" s="46" t="inlineStr">
        <is>
          <t xml:space="preserve">A3WT3UR9UMJLF6KR9</t>
        </is>
      </c>
      <c r="L746" s="48" t="inlineStr">
        <is>
          <t xml:space="preserve">02 - Sports / GT</t>
        </is>
      </c>
      <c r="M746" s="50">
        <v>750000</v>
      </c>
      <c r="N746" s="48" t="inlineStr">
        <is>
          <t xml:space="preserve">Personal</t>
        </is>
      </c>
      <c r="O746" s="46" t="inlineStr">
        <is>
          <t xml:space="preserve">Personal - regular use</t>
        </is>
      </c>
      <c r="P746" s="46" t="inlineStr">
        <is>
          <t xml:space="preserve">Under 1,000</t>
        </is>
      </c>
      <c r="Q746" s="46" t="inlineStr">
        <is>
          <t xml:space="preserve">Georgia</t>
        </is>
      </c>
      <c r="R746" s="46" t="inlineStr">
        <is>
          <t xml:space="preserve">30303</t>
        </is>
      </c>
      <c r="S746" s="48" t="inlineStr">
        <is>
          <t xml:space="preserve">Tier 2 - Coastal wind (1-25 miles)</t>
        </is>
      </c>
      <c r="T746" s="36">
        <f>IF($A746="","",IF($S746="","",IFERROR(INDEX('[1]natural catastrophe'!$D$6:$D$17,MATCH($S746,'[1]natural catastrophe'!$B$6:$B$17,0)),"?")))</f>
      </c>
      <c r="U746" s="46" t="inlineStr">
        <is>
          <t xml:space="preserve">2% of agreed value, minimum $10,000</t>
        </is>
      </c>
      <c r="V746" s="48" t="inlineStr">
        <is>
          <t xml:space="preserve">Agreed Value</t>
        </is>
      </c>
      <c r="W746" s="46" t="inlineStr">
        <is>
          <t xml:space="preserve">$1,000</t>
        </is>
      </c>
      <c r="X746" s="48" t="inlineStr">
        <is>
          <t xml:space="preserve">$1,000,000 CSL</t>
        </is>
      </c>
      <c r="Y746" s="46"/>
      <c r="Z746" s="46"/>
      <c r="AA746" s="48" t="inlineStr">
        <is>
          <t xml:space="preserve">Surplus Lines</t>
        </is>
      </c>
      <c r="AB746" s="50">
        <v>7878.89</v>
      </c>
      <c r="AC746" s="51">
        <v>0</v>
      </c>
      <c r="AD746" s="38">
        <f>IF(ISNUMBER($AB746),$AB746*(1+N($AC746)),"")</f>
      </c>
      <c r="AE746" s="50">
        <v>350</v>
      </c>
      <c r="AF746" s="50">
        <v>0</v>
      </c>
      <c r="AG746" s="51"/>
      <c r="AH746" s="39">
        <f>IF(ISNUMBER($AD746),($AD746+$AE746+$AF746)*$AG746,"")</f>
      </c>
      <c r="AI746" s="50"/>
      <c r="AJ746" s="38">
        <f>IF(ISNUMBER($AD746),SUM($AD746:$AH746),"")</f>
      </c>
      <c r="AK746" s="40">
        <f>IF(AND(ISNUMBER($AB746),ISNUMBER($AD746)),IF($AB746&gt;0,$AD746/$AB746,""),"")</f>
      </c>
      <c r="AL746" s="48" t="inlineStr">
        <is>
          <t xml:space="preserve">At technical</t>
        </is>
      </c>
      <c r="AM746" s="41">
        <f>IF(ISNUMBER($AD746),Header!$I$3,"")</f>
      </c>
      <c r="AN746" s="39">
        <f>IF(ISNUMBER($AD746),$AO746+$AP746,"")</f>
      </c>
      <c r="AO746" s="39">
        <f>IF(ISNUMBER($AD746),ROUND($AD746*Header!$K$3,2),"")</f>
      </c>
      <c r="AP746" s="39">
        <f>IF(ISNUMBER($AD746),ROUND($AD746*Header!$M$3,2),"")</f>
      </c>
      <c r="AQ746" s="38">
        <f>IF(ISNUMBER($AD746),ROUND($AD746,2)-$AO746-$AP746,"")</f>
      </c>
      <c r="AR746" s="39">
        <f>IF(ISNUMBER($AD746),IF(Header!$D$34="","?",$AD746*Header!$D$34),"")</f>
      </c>
      <c r="AS746" s="39">
        <f>IF(ISNUMBER($AB746),IF(Header!$D$34="","?",$AB746*Header!$D$34),"")</f>
      </c>
      <c r="AT746" s="42">
        <f>IF(AND(ISNUMBER($AB746),$M746&gt;0),$AB746/$M746*100,"")</f>
      </c>
      <c r="AU746" s="42">
        <f>IF(AND(ISNUMBER($AD746),$M746&gt;0),$AD746/$M746*100,"")</f>
      </c>
      <c r="AV746" s="40">
        <f>IF(AND(ISNUMBER($AB746),ISNUMBER($AD746),ABS($AB746)&gt;0),$AD746/$AB746,"")</f>
      </c>
      <c r="AW746" s="39">
        <f>IF(ISNUMBER($AD746),MAX(0,(1-0.55-Header!$O$3)*Header!$Q$3*$AQ746),"")</f>
      </c>
      <c r="AX746" s="43">
        <f>IF($A746="","",IF(TRIM(IF($A746="","Missing certificate ref. ","") &amp; IF($C746="","Missing effective date. ","") &amp; IF($D746="","Missing binding status. ","") &amp; IF($E746="","Missing movement type. ","") &amp; IF($I746="","Missing make. ","") &amp; IF($L746="","Missing vehicle class. ","") &amp; IF($M746="","Missing agreed value. ","") &amp; IF($N746="","Missing policy type. ","") &amp; IF($Q746="","Missing garaging state. ","") &amp; IF($R746="","Missing garaging ZIP. ","") &amp; IF($S746="","Missing cat zone. ","") &amp; IF($V746="","Missing valuation basis. ","") &amp; IF($W746="","Missing PD deductible. ","") &amp; IF($X746="","Missing liability limit. ","") &amp; IF($AB746="","Missing technical premium. ","") &amp; IF($AF746="","Missing surplus lines tax %. ",""))="","PASS","FAIL: "&amp;TRIM(IF($A746="","Missing certificate ref. ","") &amp; IF($C746="","Missing effective date. ","") &amp; IF($D746="","Missing binding status. ","") &amp; IF($E746="","Missing movement type. ","") &amp; IF($I746="","Missing make. ","") &amp; IF($L746="","Missing vehicle class. ","") &amp; IF($M746="","Missing agreed value. ","") &amp; IF($N746="","Missing policy type. ","") &amp; IF($Q746="","Missing garaging state. ","") &amp; IF($R746="","Missing garaging ZIP. ","") &amp; IF($S746="","Missing cat zone. ","") &amp; IF($V746="","Missing valuation basis. ","") &amp; IF($W746="","Missing PD deductible. ","") &amp; IF($X746="","Missing liability limit. ","") &amp; IF($AB746="","Missing technical premium. ","") &amp; IF($AF746="","Missing surplus lines tax %. ",""))))</f>
      </c>
      <c r="AY746" s="44">
        <f>IF($M746="","",IF(ISNUMBER($M746),IF($M746&gt;=Header!$C$18,"YES — refer","No"),""))</f>
      </c>
      <c r="AZ746" s="44">
        <f>IF($AD746="","",IF(ISNUMBER($AD746),IF($AD746&lt;Header!$C$20,"BELOW MIN PREMIUM","OK"),""))</f>
      </c>
      <c r="BA746" s="48" t="inlineStr">
        <is>
          <t xml:space="preserve">Yes</t>
        </is>
      </c>
      <c r="BB746" s="48" t="inlineStr">
        <is>
          <t xml:space="preserve">Yes</t>
        </is>
      </c>
      <c r="BC746" s="46" t="inlineStr">
        <is>
          <t xml:space="preserve">Synthetic demo data</t>
        </is>
      </c>
      <c r="BE746" s="45">
        <f>IF(OR($A746="",$L746="",$H746=""),"",IF(AND(LEFT($L746,2)="06",$H746&gt;1945),"FAIL - pre-war class, year "&amp;$H746,IF(AND(LEFT($L746,2)="07",OR($H746&lt;1946,$H746&gt;1972)),"FAIL - 1946-72 class, year "&amp;$H746,IF(AND(LEFT($L746,2)="08",OR($H746&lt;1973,$H746&gt;1999)),"FAIL - 1973-99 class, year "&amp;$H746,IF(AND(LEFT($L746,2)="09",OR($H746&lt;2000,$H746&gt;2010)),"FAIL - 2000-10 class, year "&amp;$H746,"OK")))))</f>
      </c>
      <c r="BF746" s="45">
        <f>IF($AD746="","",IF(ROUND($AO746+$AP746+$AQ746-$AD746,2)=0,"OK","FAIL - out by "&amp;TEXT($AO746+$AP746+$AQ746-$AD746,"$0.00")))</f>
      </c>
    </row>
    <row r="747" spans="1:58" ht="18.75" customHeight="1" x14ac:dyDescent="0.25">
      <c r="A747" s="30" t="inlineStr">
        <is>
          <t xml:space="preserve">CANON-202606-009431</t>
        </is>
      </c>
      <c r="B747" s="30" t="inlineStr">
        <is>
          <t xml:space="preserve">Wilhelmina Vasquez</t>
        </is>
      </c>
      <c r="C747" s="31">
        <v>46195</v>
      </c>
      <c r="D747" s="32" t="inlineStr">
        <is>
          <t xml:space="preserve">Bound - within authority</t>
        </is>
      </c>
      <c r="E747" s="32" t="inlineStr">
        <is>
          <t xml:space="preserve">New business</t>
        </is>
      </c>
      <c r="F747" s="30" t="inlineStr">
        <is>
          <t xml:space="preserve">B1234EXOTIC26</t>
        </is>
      </c>
      <c r="G747" s="33">
        <f>IF($A747="","",IF($C747="","",YEAR($C747)))</f>
      </c>
      <c r="H747" s="34">
        <v>1974</v>
      </c>
      <c r="I747" s="30" t="inlineStr">
        <is>
          <t xml:space="preserve">Porsche</t>
        </is>
      </c>
      <c r="J747" s="30" t="inlineStr">
        <is>
          <t xml:space="preserve">911 Turbo S</t>
        </is>
      </c>
      <c r="K747" s="30" t="inlineStr">
        <is>
          <t xml:space="preserve">3LJ6AT2HHTABWN07J</t>
        </is>
      </c>
      <c r="L747" s="32" t="inlineStr">
        <is>
          <t xml:space="preserve">02 - Sports / GT</t>
        </is>
      </c>
      <c r="M747" s="35">
        <v>490000</v>
      </c>
      <c r="N747" s="32" t="inlineStr">
        <is>
          <t xml:space="preserve">Personal</t>
        </is>
      </c>
      <c r="O747" s="30" t="inlineStr">
        <is>
          <t xml:space="preserve">Personal - regular use</t>
        </is>
      </c>
      <c r="P747" s="30" t="inlineStr">
        <is>
          <t xml:space="preserve">Under 1,000</t>
        </is>
      </c>
      <c r="Q747" s="30" t="inlineStr">
        <is>
          <t xml:space="preserve">California</t>
        </is>
      </c>
      <c r="R747" s="30" t="inlineStr">
        <is>
          <t xml:space="preserve">90012</t>
        </is>
      </c>
      <c r="S747" s="32" t="inlineStr">
        <is>
          <t xml:space="preserve">Earthquake - high (CA, Cascadia, New Madrid)</t>
        </is>
      </c>
      <c r="T747" s="36">
        <f>IF($A747="","",IF($S747="","",IFERROR(INDEX('[1]natural catastrophe'!$D$6:$D$17,MATCH($S747,'[1]natural catastrophe'!$B$6:$B$17,0)),"?")))</f>
      </c>
      <c r="U747" s="30" t="inlineStr">
        <is>
          <t xml:space="preserve">$5,000</t>
        </is>
      </c>
      <c r="V747" s="32" t="inlineStr">
        <is>
          <t xml:space="preserve">Agreed Value</t>
        </is>
      </c>
      <c r="W747" s="30" t="inlineStr">
        <is>
          <t xml:space="preserve">$1,000</t>
        </is>
      </c>
      <c r="X747" s="32" t="inlineStr">
        <is>
          <t xml:space="preserve">$1,000,000 CSL</t>
        </is>
      </c>
      <c r="Y747" s="30"/>
      <c r="Z747" s="30"/>
      <c r="AA747" s="32" t="inlineStr">
        <is>
          <t xml:space="preserve">Surplus Lines</t>
        </is>
      </c>
      <c r="AB747" s="35">
        <v>7159.18</v>
      </c>
      <c r="AC747" s="37">
        <v>0</v>
      </c>
      <c r="AD747" s="38">
        <f>IF(ISNUMBER($AB747),$AB747*(1+N($AC747)),"")</f>
      </c>
      <c r="AE747" s="35">
        <v>350</v>
      </c>
      <c r="AF747" s="35">
        <v>0</v>
      </c>
      <c r="AG747" s="37"/>
      <c r="AH747" s="39">
        <f>IF(ISNUMBER($AD747),($AD747+$AE747+$AF747)*$AG747,"")</f>
      </c>
      <c r="AI747" s="35"/>
      <c r="AJ747" s="38">
        <f>IF(ISNUMBER($AD747),SUM($AD747:$AH747),"")</f>
      </c>
      <c r="AK747" s="40">
        <f>IF(AND(ISNUMBER($AB747),ISNUMBER($AD747)),IF($AB747&gt;0,$AD747/$AB747,""),"")</f>
      </c>
      <c r="AL747" s="32" t="inlineStr">
        <is>
          <t xml:space="preserve">At technical</t>
        </is>
      </c>
      <c r="AM747" s="41">
        <f>IF(ISNUMBER($AD747),Header!$I$3,"")</f>
      </c>
      <c r="AN747" s="39">
        <f>IF(ISNUMBER($AD747),$AO747+$AP747,"")</f>
      </c>
      <c r="AO747" s="39">
        <f>IF(ISNUMBER($AD747),ROUND($AD747*Header!$K$3,2),"")</f>
      </c>
      <c r="AP747" s="39">
        <f>IF(ISNUMBER($AD747),ROUND($AD747*Header!$M$3,2),"")</f>
      </c>
      <c r="AQ747" s="38">
        <f>IF(ISNUMBER($AD747),ROUND($AD747,2)-$AO747-$AP747,"")</f>
      </c>
      <c r="AR747" s="39">
        <f>IF(ISNUMBER($AD747),IF(Header!$D$34="","?",$AD747*Header!$D$34),"")</f>
      </c>
      <c r="AS747" s="39">
        <f>IF(ISNUMBER($AB747),IF(Header!$D$34="","?",$AB747*Header!$D$34),"")</f>
      </c>
      <c r="AT747" s="42">
        <f>IF(AND(ISNUMBER($AB747),$M747&gt;0),$AB747/$M747*100,"")</f>
      </c>
      <c r="AU747" s="42">
        <f>IF(AND(ISNUMBER($AD747),$M747&gt;0),$AD747/$M747*100,"")</f>
      </c>
      <c r="AV747" s="40">
        <f>IF(AND(ISNUMBER($AB747),ISNUMBER($AD747),ABS($AB747)&gt;0),$AD747/$AB747,"")</f>
      </c>
      <c r="AW747" s="39">
        <f>IF(ISNUMBER($AD747),MAX(0,(1-0.55-Header!$O$3)*Header!$Q$3*$AQ747),"")</f>
      </c>
      <c r="AX747" s="43">
        <f>IF($A747="","",IF(TRIM(IF($A747="","Missing certificate ref. ","") &amp; IF($C747="","Missing effective date. ","") &amp; IF($D747="","Missing binding status. ","") &amp; IF($E747="","Missing movement type. ","") &amp; IF($I747="","Missing make. ","") &amp; IF($L747="","Missing vehicle class. ","") &amp; IF($M747="","Missing agreed value. ","") &amp; IF($N747="","Missing policy type. ","") &amp; IF($Q747="","Missing garaging state. ","") &amp; IF($R747="","Missing garaging ZIP. ","") &amp; IF($S747="","Missing cat zone. ","") &amp; IF($V747="","Missing valuation basis. ","") &amp; IF($W747="","Missing PD deductible. ","") &amp; IF($X747="","Missing liability limit. ","") &amp; IF($AB747="","Missing technical premium. ","") &amp; IF($AF747="","Missing surplus lines tax %. ",""))="","PASS","FAIL: "&amp;TRIM(IF($A747="","Missing certificate ref. ","") &amp; IF($C747="","Missing effective date. ","") &amp; IF($D747="","Missing binding status. ","") &amp; IF($E747="","Missing movement type. ","") &amp; IF($I747="","Missing make. ","") &amp; IF($L747="","Missing vehicle class. ","") &amp; IF($M747="","Missing agreed value. ","") &amp; IF($N747="","Missing policy type. ","") &amp; IF($Q747="","Missing garaging state. ","") &amp; IF($R747="","Missing garaging ZIP. ","") &amp; IF($S747="","Missing cat zone. ","") &amp; IF($V747="","Missing valuation basis. ","") &amp; IF($W747="","Missing PD deductible. ","") &amp; IF($X747="","Missing liability limit. ","") &amp; IF($AB747="","Missing technical premium. ","") &amp; IF($AF747="","Missing surplus lines tax %. ",""))))</f>
      </c>
      <c r="AY747" s="44">
        <f>IF($M747="","",IF(ISNUMBER($M747),IF($M747&gt;=Header!$C$18,"YES — refer","No"),""))</f>
      </c>
      <c r="AZ747" s="44">
        <f>IF($AD747="","",IF(ISNUMBER($AD747),IF($AD747&lt;Header!$C$20,"BELOW MIN PREMIUM","OK"),""))</f>
      </c>
      <c r="BA747" s="32" t="inlineStr">
        <is>
          <t xml:space="preserve">Yes</t>
        </is>
      </c>
      <c r="BB747" s="32" t="inlineStr">
        <is>
          <t xml:space="preserve">Yes</t>
        </is>
      </c>
      <c r="BC747" s="30" t="inlineStr">
        <is>
          <t xml:space="preserve">Synthetic demo data</t>
        </is>
      </c>
      <c r="BE747" s="45">
        <f>IF(OR($A747="",$L747="",$H747=""),"",IF(AND(LEFT($L747,2)="06",$H747&gt;1945),"FAIL - pre-war class, year "&amp;$H747,IF(AND(LEFT($L747,2)="07",OR($H747&lt;1946,$H747&gt;1972)),"FAIL - 1946-72 class, year "&amp;$H747,IF(AND(LEFT($L747,2)="08",OR($H747&lt;1973,$H747&gt;1999)),"FAIL - 1973-99 class, year "&amp;$H747,IF(AND(LEFT($L747,2)="09",OR($H747&lt;2000,$H747&gt;2010)),"FAIL - 2000-10 class, year "&amp;$H747,"OK")))))</f>
      </c>
      <c r="BF747" s="45">
        <f>IF($AD747="","",IF(ROUND($AO747+$AP747+$AQ747-$AD747,2)=0,"OK","FAIL - out by "&amp;TEXT($AO747+$AP747+$AQ747-$AD747,"$0.00")))</f>
      </c>
    </row>
    <row r="748" spans="1:58" ht="18.75" customHeight="1" x14ac:dyDescent="0.25">
      <c r="A748" s="46" t="inlineStr">
        <is>
          <t xml:space="preserve">CANON-202606-009432</t>
        </is>
      </c>
      <c r="B748" s="46" t="inlineStr">
        <is>
          <t xml:space="preserve">Priya Rourke</t>
        </is>
      </c>
      <c r="C748" s="47">
        <v>46203</v>
      </c>
      <c r="D748" s="48" t="inlineStr">
        <is>
          <t xml:space="preserve">Bound - within authority</t>
        </is>
      </c>
      <c r="E748" s="48" t="inlineStr">
        <is>
          <t xml:space="preserve">New business</t>
        </is>
      </c>
      <c r="F748" s="46" t="inlineStr">
        <is>
          <t xml:space="preserve">B1234EXOTIC26</t>
        </is>
      </c>
      <c r="G748" s="33">
        <f>IF($A748="","",IF($C748="","",YEAR($C748)))</f>
      </c>
      <c r="H748" s="49">
        <v>1987</v>
      </c>
      <c r="I748" s="46" t="inlineStr">
        <is>
          <t xml:space="preserve">Bugatti</t>
        </is>
      </c>
      <c r="J748" s="46" t="inlineStr">
        <is>
          <t xml:space="preserve">Type 57</t>
        </is>
      </c>
      <c r="K748" s="46" t="inlineStr">
        <is>
          <t xml:space="preserve">K2LV02WCZFGH4WL1G</t>
        </is>
      </c>
      <c r="L748" s="48" t="inlineStr">
        <is>
          <t xml:space="preserve">08 - Modern Classic (1973-1999)</t>
        </is>
      </c>
      <c r="M748" s="50">
        <v>1315000</v>
      </c>
      <c r="N748" s="48" t="inlineStr">
        <is>
          <t xml:space="preserve">Personal</t>
        </is>
      </c>
      <c r="O748" s="46" t="inlineStr">
        <is>
          <t xml:space="preserve">Personal - regular use</t>
        </is>
      </c>
      <c r="P748" s="46" t="inlineStr">
        <is>
          <t xml:space="preserve">1,000 - 2,500</t>
        </is>
      </c>
      <c r="Q748" s="46" t="inlineStr">
        <is>
          <t xml:space="preserve">Minnesota</t>
        </is>
      </c>
      <c r="R748" s="46" t="inlineStr">
        <is>
          <t xml:space="preserve">55401</t>
        </is>
      </c>
      <c r="S748" s="48" t="inlineStr">
        <is>
          <t xml:space="preserve">Severe convective - hail / tornado (moderate)</t>
        </is>
      </c>
      <c r="T748" s="36">
        <f>IF($A748="","",IF($S748="","",IFERROR(INDEX('[1]natural catastrophe'!$D$6:$D$17,MATCH($S748,'[1]natural catastrophe'!$B$6:$B$17,0)),"?")))</f>
      </c>
      <c r="U748" s="46" t="inlineStr">
        <is>
          <t xml:space="preserve">$5,000</t>
        </is>
      </c>
      <c r="V748" s="48" t="inlineStr">
        <is>
          <t xml:space="preserve">Agreed Value</t>
        </is>
      </c>
      <c r="W748" s="46" t="inlineStr">
        <is>
          <t xml:space="preserve">$1,000</t>
        </is>
      </c>
      <c r="X748" s="48" t="inlineStr">
        <is>
          <t xml:space="preserve">$1,000,000 CSL</t>
        </is>
      </c>
      <c r="Y748" s="46"/>
      <c r="Z748" s="46"/>
      <c r="AA748" s="48" t="inlineStr">
        <is>
          <t xml:space="preserve">Surplus Lines</t>
        </is>
      </c>
      <c r="AB748" s="50">
        <v>8516.29</v>
      </c>
      <c r="AC748" s="51">
        <v>0</v>
      </c>
      <c r="AD748" s="38">
        <f>IF(ISNUMBER($AB748),$AB748*(1+N($AC748)),"")</f>
      </c>
      <c r="AE748" s="50">
        <v>350</v>
      </c>
      <c r="AF748" s="50">
        <v>250</v>
      </c>
      <c r="AG748" s="51"/>
      <c r="AH748" s="39">
        <f>IF(ISNUMBER($AD748),($AD748+$AE748+$AF748)*$AG748,"")</f>
      </c>
      <c r="AI748" s="50"/>
      <c r="AJ748" s="38">
        <f>IF(ISNUMBER($AD748),SUM($AD748:$AH748),"")</f>
      </c>
      <c r="AK748" s="40">
        <f>IF(AND(ISNUMBER($AB748),ISNUMBER($AD748)),IF($AB748&gt;0,$AD748/$AB748,""),"")</f>
      </c>
      <c r="AL748" s="48" t="inlineStr">
        <is>
          <t xml:space="preserve">At technical</t>
        </is>
      </c>
      <c r="AM748" s="41">
        <f>IF(ISNUMBER($AD748),Header!$I$3,"")</f>
      </c>
      <c r="AN748" s="39">
        <f>IF(ISNUMBER($AD748),$AO748+$AP748,"")</f>
      </c>
      <c r="AO748" s="39">
        <f>IF(ISNUMBER($AD748),ROUND($AD748*Header!$K$3,2),"")</f>
      </c>
      <c r="AP748" s="39">
        <f>IF(ISNUMBER($AD748),ROUND($AD748*Header!$M$3,2),"")</f>
      </c>
      <c r="AQ748" s="38">
        <f>IF(ISNUMBER($AD748),ROUND($AD748,2)-$AO748-$AP748,"")</f>
      </c>
      <c r="AR748" s="39">
        <f>IF(ISNUMBER($AD748),IF(Header!$D$34="","?",$AD748*Header!$D$34),"")</f>
      </c>
      <c r="AS748" s="39">
        <f>IF(ISNUMBER($AB748),IF(Header!$D$34="","?",$AB748*Header!$D$34),"")</f>
      </c>
      <c r="AT748" s="42">
        <f>IF(AND(ISNUMBER($AB748),$M748&gt;0),$AB748/$M748*100,"")</f>
      </c>
      <c r="AU748" s="42">
        <f>IF(AND(ISNUMBER($AD748),$M748&gt;0),$AD748/$M748*100,"")</f>
      </c>
      <c r="AV748" s="40">
        <f>IF(AND(ISNUMBER($AB748),ISNUMBER($AD748),ABS($AB748)&gt;0),$AD748/$AB748,"")</f>
      </c>
      <c r="AW748" s="39">
        <f>IF(ISNUMBER($AD748),MAX(0,(1-0.55-Header!$O$3)*Header!$Q$3*$AQ748),"")</f>
      </c>
      <c r="AX748" s="43">
        <f>IF($A748="","",IF(TRIM(IF($A748="","Missing certificate ref. ","") &amp; IF($C748="","Missing effective date. ","") &amp; IF($D748="","Missing binding status. ","") &amp; IF($E748="","Missing movement type. ","") &amp; IF($I748="","Missing make. ","") &amp; IF($L748="","Missing vehicle class. ","") &amp; IF($M748="","Missing agreed value. ","") &amp; IF($N748="","Missing policy type. ","") &amp; IF($Q748="","Missing garaging state. ","") &amp; IF($R748="","Missing garaging ZIP. ","") &amp; IF($S748="","Missing cat zone. ","") &amp; IF($V748="","Missing valuation basis. ","") &amp; IF($W748="","Missing PD deductible. ","") &amp; IF($X748="","Missing liability limit. ","") &amp; IF($AB748="","Missing technical premium. ","") &amp; IF($AF748="","Missing surplus lines tax %. ",""))="","PASS","FAIL: "&amp;TRIM(IF($A748="","Missing certificate ref. ","") &amp; IF($C748="","Missing effective date. ","") &amp; IF($D748="","Missing binding status. ","") &amp; IF($E748="","Missing movement type. ","") &amp; IF($I748="","Missing make. ","") &amp; IF($L748="","Missing vehicle class. ","") &amp; IF($M748="","Missing agreed value. ","") &amp; IF($N748="","Missing policy type. ","") &amp; IF($Q748="","Missing garaging state. ","") &amp; IF($R748="","Missing garaging ZIP. ","") &amp; IF($S748="","Missing cat zone. ","") &amp; IF($V748="","Missing valuation basis. ","") &amp; IF($W748="","Missing PD deductible. ","") &amp; IF($X748="","Missing liability limit. ","") &amp; IF($AB748="","Missing technical premium. ","") &amp; IF($AF748="","Missing surplus lines tax %. ",""))))</f>
      </c>
      <c r="AY748" s="44">
        <f>IF($M748="","",IF(ISNUMBER($M748),IF($M748&gt;=Header!$C$18,"YES — refer","No"),""))</f>
      </c>
      <c r="AZ748" s="44">
        <f>IF($AD748="","",IF(ISNUMBER($AD748),IF($AD748&lt;Header!$C$20,"BELOW MIN PREMIUM","OK"),""))</f>
      </c>
      <c r="BA748" s="48" t="inlineStr">
        <is>
          <t xml:space="preserve">Yes</t>
        </is>
      </c>
      <c r="BB748" s="48" t="inlineStr">
        <is>
          <t xml:space="preserve">Yes</t>
        </is>
      </c>
      <c r="BC748" s="46" t="inlineStr">
        <is>
          <t xml:space="preserve">Synthetic demo data</t>
        </is>
      </c>
      <c r="BE748" s="45">
        <f>IF(OR($A748="",$L748="",$H748=""),"",IF(AND(LEFT($L748,2)="06",$H748&gt;1945),"FAIL - pre-war class, year "&amp;$H748,IF(AND(LEFT($L748,2)="07",OR($H748&lt;1946,$H748&gt;1972)),"FAIL - 1946-72 class, year "&amp;$H748,IF(AND(LEFT($L748,2)="08",OR($H748&lt;1973,$H748&gt;1999)),"FAIL - 1973-99 class, year "&amp;$H748,IF(AND(LEFT($L748,2)="09",OR($H748&lt;2000,$H748&gt;2010)),"FAIL - 2000-10 class, year "&amp;$H748,"OK")))))</f>
      </c>
      <c r="BF748" s="45">
        <f>IF($AD748="","",IF(ROUND($AO748+$AP748+$AQ748-$AD748,2)=0,"OK","FAIL - out by "&amp;TEXT($AO748+$AP748+$AQ748-$AD748,"$0.00")))</f>
      </c>
    </row>
    <row r="749" spans="1:58" ht="18.75" customHeight="1" x14ac:dyDescent="0.25">
      <c r="A749" s="30" t="inlineStr">
        <is>
          <t xml:space="preserve">CANON-202606-009433</t>
        </is>
      </c>
      <c r="B749" s="30" t="inlineStr">
        <is>
          <t xml:space="preserve">Thaddeus Thistlewood</t>
        </is>
      </c>
      <c r="C749" s="31">
        <v>46182</v>
      </c>
      <c r="D749" s="32" t="inlineStr">
        <is>
          <t xml:space="preserve">Bound - within authority</t>
        </is>
      </c>
      <c r="E749" s="32" t="inlineStr">
        <is>
          <t xml:space="preserve">New business</t>
        </is>
      </c>
      <c r="F749" s="30" t="inlineStr">
        <is>
          <t xml:space="preserve">B1234EXOTIC26</t>
        </is>
      </c>
      <c r="G749" s="33">
        <f>IF($A749="","",IF($C749="","",YEAR($C749)))</f>
      </c>
      <c r="H749" s="34">
        <v>2012</v>
      </c>
      <c r="I749" s="30" t="inlineStr">
        <is>
          <t xml:space="preserve">Lamborghini</t>
        </is>
      </c>
      <c r="J749" s="30" t="inlineStr">
        <is>
          <t xml:space="preserve">Huracan EVO</t>
        </is>
      </c>
      <c r="K749" s="30" t="inlineStr">
        <is>
          <t xml:space="preserve">LB3SM875Y777L7KSW</t>
        </is>
      </c>
      <c r="L749" s="32" t="inlineStr">
        <is>
          <t xml:space="preserve">03 - Supercar</t>
        </is>
      </c>
      <c r="M749" s="35">
        <v>555000</v>
      </c>
      <c r="N749" s="32" t="inlineStr">
        <is>
          <t xml:space="preserve">Personal</t>
        </is>
      </c>
      <c r="O749" s="30" t="inlineStr">
        <is>
          <t xml:space="preserve">Personal - regular use</t>
        </is>
      </c>
      <c r="P749" s="30" t="inlineStr">
        <is>
          <t xml:space="preserve">Under 1,000</t>
        </is>
      </c>
      <c r="Q749" s="30" t="inlineStr">
        <is>
          <t xml:space="preserve">New York</t>
        </is>
      </c>
      <c r="R749" s="30" t="inlineStr">
        <is>
          <t xml:space="preserve">10022</t>
        </is>
      </c>
      <c r="S749" s="32" t="inlineStr">
        <is>
          <t xml:space="preserve">Tier 3 - Coastal wind (25-100 miles)</t>
        </is>
      </c>
      <c r="T749" s="36">
        <f>IF($A749="","",IF($S749="","",IFERROR(INDEX('[1]natural catastrophe'!$D$6:$D$17,MATCH($S749,'[1]natural catastrophe'!$B$6:$B$17,0)),"?")))</f>
      </c>
      <c r="U749" s="30" t="inlineStr">
        <is>
          <t xml:space="preserve">2% of agreed value, minimum $10,000</t>
        </is>
      </c>
      <c r="V749" s="32" t="inlineStr">
        <is>
          <t xml:space="preserve">Agreed Value</t>
        </is>
      </c>
      <c r="W749" s="30" t="inlineStr">
        <is>
          <t xml:space="preserve">$1,000</t>
        </is>
      </c>
      <c r="X749" s="32" t="inlineStr">
        <is>
          <t xml:space="preserve">$1,000,000 CSL</t>
        </is>
      </c>
      <c r="Y749" s="30"/>
      <c r="Z749" s="30"/>
      <c r="AA749" s="32" t="inlineStr">
        <is>
          <t xml:space="preserve">Surplus Lines</t>
        </is>
      </c>
      <c r="AB749" s="35">
        <v>9738.64</v>
      </c>
      <c r="AC749" s="37">
        <v>0</v>
      </c>
      <c r="AD749" s="38">
        <f>IF(ISNUMBER($AB749),$AB749*(1+N($AC749)),"")</f>
      </c>
      <c r="AE749" s="35">
        <v>350</v>
      </c>
      <c r="AF749" s="35">
        <v>0</v>
      </c>
      <c r="AG749" s="37"/>
      <c r="AH749" s="39">
        <f>IF(ISNUMBER($AD749),($AD749+$AE749+$AF749)*$AG749,"")</f>
      </c>
      <c r="AI749" s="35"/>
      <c r="AJ749" s="38">
        <f>IF(ISNUMBER($AD749),SUM($AD749:$AH749),"")</f>
      </c>
      <c r="AK749" s="40">
        <f>IF(AND(ISNUMBER($AB749),ISNUMBER($AD749)),IF($AB749&gt;0,$AD749/$AB749,""),"")</f>
      </c>
      <c r="AL749" s="32" t="inlineStr">
        <is>
          <t xml:space="preserve">At technical</t>
        </is>
      </c>
      <c r="AM749" s="41">
        <f>IF(ISNUMBER($AD749),Header!$I$3,"")</f>
      </c>
      <c r="AN749" s="39">
        <f>IF(ISNUMBER($AD749),$AO749+$AP749,"")</f>
      </c>
      <c r="AO749" s="39">
        <f>IF(ISNUMBER($AD749),ROUND($AD749*Header!$K$3,2),"")</f>
      </c>
      <c r="AP749" s="39">
        <f>IF(ISNUMBER($AD749),ROUND($AD749*Header!$M$3,2),"")</f>
      </c>
      <c r="AQ749" s="38">
        <f>IF(ISNUMBER($AD749),ROUND($AD749,2)-$AO749-$AP749,"")</f>
      </c>
      <c r="AR749" s="39">
        <f>IF(ISNUMBER($AD749),IF(Header!$D$34="","?",$AD749*Header!$D$34),"")</f>
      </c>
      <c r="AS749" s="39">
        <f>IF(ISNUMBER($AB749),IF(Header!$D$34="","?",$AB749*Header!$D$34),"")</f>
      </c>
      <c r="AT749" s="42">
        <f>IF(AND(ISNUMBER($AB749),$M749&gt;0),$AB749/$M749*100,"")</f>
      </c>
      <c r="AU749" s="42">
        <f>IF(AND(ISNUMBER($AD749),$M749&gt;0),$AD749/$M749*100,"")</f>
      </c>
      <c r="AV749" s="40">
        <f>IF(AND(ISNUMBER($AB749),ISNUMBER($AD749),ABS($AB749)&gt;0),$AD749/$AB749,"")</f>
      </c>
      <c r="AW749" s="39">
        <f>IF(ISNUMBER($AD749),MAX(0,(1-0.55-Header!$O$3)*Header!$Q$3*$AQ749),"")</f>
      </c>
      <c r="AX749" s="43">
        <f>IF($A749="","",IF(TRIM(IF($A749="","Missing certificate ref. ","") &amp; IF($C749="","Missing effective date. ","") &amp; IF($D749="","Missing binding status. ","") &amp; IF($E749="","Missing movement type. ","") &amp; IF($I749="","Missing make. ","") &amp; IF($L749="","Missing vehicle class. ","") &amp; IF($M749="","Missing agreed value. ","") &amp; IF($N749="","Missing policy type. ","") &amp; IF($Q749="","Missing garaging state. ","") &amp; IF($R749="","Missing garaging ZIP. ","") &amp; IF($S749="","Missing cat zone. ","") &amp; IF($V749="","Missing valuation basis. ","") &amp; IF($W749="","Missing PD deductible. ","") &amp; IF($X749="","Missing liability limit. ","") &amp; IF($AB749="","Missing technical premium. ","") &amp; IF($AF749="","Missing surplus lines tax %. ",""))="","PASS","FAIL: "&amp;TRIM(IF($A749="","Missing certificate ref. ","") &amp; IF($C749="","Missing effective date. ","") &amp; IF($D749="","Missing binding status. ","") &amp; IF($E749="","Missing movement type. ","") &amp; IF($I749="","Missing make. ","") &amp; IF($L749="","Missing vehicle class. ","") &amp; IF($M749="","Missing agreed value. ","") &amp; IF($N749="","Missing policy type. ","") &amp; IF($Q749="","Missing garaging state. ","") &amp; IF($R749="","Missing garaging ZIP. ","") &amp; IF($S749="","Missing cat zone. ","") &amp; IF($V749="","Missing valuation basis. ","") &amp; IF($W749="","Missing PD deductible. ","") &amp; IF($X749="","Missing liability limit. ","") &amp; IF($AB749="","Missing technical premium. ","") &amp; IF($AF749="","Missing surplus lines tax %. ",""))))</f>
      </c>
      <c r="AY749" s="44">
        <f>IF($M749="","",IF(ISNUMBER($M749),IF($M749&gt;=Header!$C$18,"YES — refer","No"),""))</f>
      </c>
      <c r="AZ749" s="44">
        <f>IF($AD749="","",IF(ISNUMBER($AD749),IF($AD749&lt;Header!$C$20,"BELOW MIN PREMIUM","OK"),""))</f>
      </c>
      <c r="BA749" s="32" t="inlineStr">
        <is>
          <t xml:space="preserve">Yes</t>
        </is>
      </c>
      <c r="BB749" s="32" t="inlineStr">
        <is>
          <t xml:space="preserve">Yes</t>
        </is>
      </c>
      <c r="BC749" s="30" t="inlineStr">
        <is>
          <t xml:space="preserve">Synthetic demo data</t>
        </is>
      </c>
      <c r="BE749" s="45">
        <f>IF(OR($A749="",$L749="",$H749=""),"",IF(AND(LEFT($L749,2)="06",$H749&gt;1945),"FAIL - pre-war class, year "&amp;$H749,IF(AND(LEFT($L749,2)="07",OR($H749&lt;1946,$H749&gt;1972)),"FAIL - 1946-72 class, year "&amp;$H749,IF(AND(LEFT($L749,2)="08",OR($H749&lt;1973,$H749&gt;1999)),"FAIL - 1973-99 class, year "&amp;$H749,IF(AND(LEFT($L749,2)="09",OR($H749&lt;2000,$H749&gt;2010)),"FAIL - 2000-10 class, year "&amp;$H749,"OK")))))</f>
      </c>
      <c r="BF749" s="45">
        <f>IF($AD749="","",IF(ROUND($AO749+$AP749+$AQ749-$AD749,2)=0,"OK","FAIL - out by "&amp;TEXT($AO749+$AP749+$AQ749-$AD749,"$0.00")))</f>
      </c>
    </row>
    <row r="750" spans="1:58" ht="18.75" customHeight="1" x14ac:dyDescent="0.25">
      <c r="A750" s="46" t="inlineStr">
        <is>
          <t xml:space="preserve">CANON-202606-009434</t>
        </is>
      </c>
      <c r="B750" s="46" t="inlineStr">
        <is>
          <t xml:space="preserve">Noor Rourke</t>
        </is>
      </c>
      <c r="C750" s="47">
        <v>46203</v>
      </c>
      <c r="D750" s="48" t="inlineStr">
        <is>
          <t xml:space="preserve">Bound - within authority</t>
        </is>
      </c>
      <c r="E750" s="48" t="inlineStr">
        <is>
          <t xml:space="preserve">New business</t>
        </is>
      </c>
      <c r="F750" s="46" t="inlineStr">
        <is>
          <t xml:space="preserve">B1234EXOTIC26</t>
        </is>
      </c>
      <c r="G750" s="33">
        <f>IF($A750="","",IF($C750="","",YEAR($C750)))</f>
      </c>
      <c r="H750" s="49">
        <v>2020</v>
      </c>
      <c r="I750" s="46" t="inlineStr">
        <is>
          <t xml:space="preserve">Mercedes-Benz</t>
        </is>
      </c>
      <c r="J750" s="46" t="inlineStr">
        <is>
          <t xml:space="preserve">AMG GT</t>
        </is>
      </c>
      <c r="K750" s="46" t="inlineStr">
        <is>
          <t xml:space="preserve">EMVS6TES08RXBTNU3</t>
        </is>
      </c>
      <c r="L750" s="48" t="inlineStr">
        <is>
          <t xml:space="preserve">02 - Sports / GT</t>
        </is>
      </c>
      <c r="M750" s="50">
        <v>180000</v>
      </c>
      <c r="N750" s="48" t="inlineStr">
        <is>
          <t xml:space="preserve">Personal</t>
        </is>
      </c>
      <c r="O750" s="46" t="inlineStr">
        <is>
          <t xml:space="preserve">Personal - regular use</t>
        </is>
      </c>
      <c r="P750" s="46" t="inlineStr">
        <is>
          <t xml:space="preserve">2,500 - 5,000</t>
        </is>
      </c>
      <c r="Q750" s="46" t="inlineStr">
        <is>
          <t xml:space="preserve">Minnesota</t>
        </is>
      </c>
      <c r="R750" s="46" t="inlineStr">
        <is>
          <t xml:space="preserve">55401</t>
        </is>
      </c>
      <c r="S750" s="48" t="inlineStr">
        <is>
          <t xml:space="preserve">Severe convective - hail / tornado (moderate)</t>
        </is>
      </c>
      <c r="T750" s="36">
        <f>IF($A750="","",IF($S750="","",IFERROR(INDEX('[1]natural catastrophe'!$D$6:$D$17,MATCH($S750,'[1]natural catastrophe'!$B$6:$B$17,0)),"?")))</f>
      </c>
      <c r="U750" s="46" t="inlineStr">
        <is>
          <t xml:space="preserve">$5,000</t>
        </is>
      </c>
      <c r="V750" s="48" t="inlineStr">
        <is>
          <t xml:space="preserve">Agreed Value</t>
        </is>
      </c>
      <c r="W750" s="46" t="inlineStr">
        <is>
          <t xml:space="preserve">$1,000</t>
        </is>
      </c>
      <c r="X750" s="48" t="inlineStr">
        <is>
          <t xml:space="preserve">$1,000,000 CSL</t>
        </is>
      </c>
      <c r="Y750" s="46"/>
      <c r="Z750" s="46"/>
      <c r="AA750" s="48" t="inlineStr">
        <is>
          <t xml:space="preserve">Surplus Lines</t>
        </is>
      </c>
      <c r="AB750" s="50">
        <v>3154.33</v>
      </c>
      <c r="AC750" s="51">
        <v>0</v>
      </c>
      <c r="AD750" s="38">
        <f>IF(ISNUMBER($AB750),$AB750*(1+N($AC750)),"")</f>
      </c>
      <c r="AE750" s="50">
        <v>350</v>
      </c>
      <c r="AF750" s="50">
        <v>0</v>
      </c>
      <c r="AG750" s="51"/>
      <c r="AH750" s="39">
        <f>IF(ISNUMBER($AD750),($AD750+$AE750+$AF750)*$AG750,"")</f>
      </c>
      <c r="AI750" s="50"/>
      <c r="AJ750" s="38">
        <f>IF(ISNUMBER($AD750),SUM($AD750:$AH750),"")</f>
      </c>
      <c r="AK750" s="40">
        <f>IF(AND(ISNUMBER($AB750),ISNUMBER($AD750)),IF($AB750&gt;0,$AD750/$AB750,""),"")</f>
      </c>
      <c r="AL750" s="48" t="inlineStr">
        <is>
          <t xml:space="preserve">At technical</t>
        </is>
      </c>
      <c r="AM750" s="41">
        <f>IF(ISNUMBER($AD750),Header!$I$3,"")</f>
      </c>
      <c r="AN750" s="39">
        <f>IF(ISNUMBER($AD750),$AO750+$AP750,"")</f>
      </c>
      <c r="AO750" s="39">
        <f>IF(ISNUMBER($AD750),ROUND($AD750*Header!$K$3,2),"")</f>
      </c>
      <c r="AP750" s="39">
        <f>IF(ISNUMBER($AD750),ROUND($AD750*Header!$M$3,2),"")</f>
      </c>
      <c r="AQ750" s="38">
        <f>IF(ISNUMBER($AD750),ROUND($AD750,2)-$AO750-$AP750,"")</f>
      </c>
      <c r="AR750" s="39">
        <f>IF(ISNUMBER($AD750),IF(Header!$D$34="","?",$AD750*Header!$D$34),"")</f>
      </c>
      <c r="AS750" s="39">
        <f>IF(ISNUMBER($AB750),IF(Header!$D$34="","?",$AB750*Header!$D$34),"")</f>
      </c>
      <c r="AT750" s="42">
        <f>IF(AND(ISNUMBER($AB750),$M750&gt;0),$AB750/$M750*100,"")</f>
      </c>
      <c r="AU750" s="42">
        <f>IF(AND(ISNUMBER($AD750),$M750&gt;0),$AD750/$M750*100,"")</f>
      </c>
      <c r="AV750" s="40">
        <f>IF(AND(ISNUMBER($AB750),ISNUMBER($AD750),ABS($AB750)&gt;0),$AD750/$AB750,"")</f>
      </c>
      <c r="AW750" s="39">
        <f>IF(ISNUMBER($AD750),MAX(0,(1-0.55-Header!$O$3)*Header!$Q$3*$AQ750),"")</f>
      </c>
      <c r="AX750" s="43">
        <f>IF($A750="","",IF(TRIM(IF($A750="","Missing certificate ref. ","") &amp; IF($C750="","Missing effective date. ","") &amp; IF($D750="","Missing binding status. ","") &amp; IF($E750="","Missing movement type. ","") &amp; IF($I750="","Missing make. ","") &amp; IF($L750="","Missing vehicle class. ","") &amp; IF($M750="","Missing agreed value. ","") &amp; IF($N750="","Missing policy type. ","") &amp; IF($Q750="","Missing garaging state. ","") &amp; IF($R750="","Missing garaging ZIP. ","") &amp; IF($S750="","Missing cat zone. ","") &amp; IF($V750="","Missing valuation basis. ","") &amp; IF($W750="","Missing PD deductible. ","") &amp; IF($X750="","Missing liability limit. ","") &amp; IF($AB750="","Missing technical premium. ","") &amp; IF($AF750="","Missing surplus lines tax %. ",""))="","PASS","FAIL: "&amp;TRIM(IF($A750="","Missing certificate ref. ","") &amp; IF($C750="","Missing effective date. ","") &amp; IF($D750="","Missing binding status. ","") &amp; IF($E750="","Missing movement type. ","") &amp; IF($I750="","Missing make. ","") &amp; IF($L750="","Missing vehicle class. ","") &amp; IF($M750="","Missing agreed value. ","") &amp; IF($N750="","Missing policy type. ","") &amp; IF($Q750="","Missing garaging state. ","") &amp; IF($R750="","Missing garaging ZIP. ","") &amp; IF($S750="","Missing cat zone. ","") &amp; IF($V750="","Missing valuation basis. ","") &amp; IF($W750="","Missing PD deductible. ","") &amp; IF($X750="","Missing liability limit. ","") &amp; IF($AB750="","Missing technical premium. ","") &amp; IF($AF750="","Missing surplus lines tax %. ",""))))</f>
      </c>
      <c r="AY750" s="44">
        <f>IF($M750="","",IF(ISNUMBER($M750),IF($M750&gt;=Header!$C$18,"YES — refer","No"),""))</f>
      </c>
      <c r="AZ750" s="44">
        <f>IF($AD750="","",IF(ISNUMBER($AD750),IF($AD750&lt;Header!$C$20,"BELOW MIN PREMIUM","OK"),""))</f>
      </c>
      <c r="BA750" s="48" t="inlineStr">
        <is>
          <t xml:space="preserve">Yes</t>
        </is>
      </c>
      <c r="BB750" s="48" t="inlineStr">
        <is>
          <t xml:space="preserve">Yes</t>
        </is>
      </c>
      <c r="BC750" s="46" t="inlineStr">
        <is>
          <t xml:space="preserve">Synthetic demo data</t>
        </is>
      </c>
      <c r="BE750" s="45">
        <f>IF(OR($A750="",$L750="",$H750=""),"",IF(AND(LEFT($L750,2)="06",$H750&gt;1945),"FAIL - pre-war class, year "&amp;$H750,IF(AND(LEFT($L750,2)="07",OR($H750&lt;1946,$H750&gt;1972)),"FAIL - 1946-72 class, year "&amp;$H750,IF(AND(LEFT($L750,2)="08",OR($H750&lt;1973,$H750&gt;1999)),"FAIL - 1973-99 class, year "&amp;$H750,IF(AND(LEFT($L750,2)="09",OR($H750&lt;2000,$H750&gt;2010)),"FAIL - 2000-10 class, year "&amp;$H750,"OK")))))</f>
      </c>
      <c r="BF750" s="45">
        <f>IF($AD750="","",IF(ROUND($AO750+$AP750+$AQ750-$AD750,2)=0,"OK","FAIL - out by "&amp;TEXT($AO750+$AP750+$AQ750-$AD750,"$0.00")))</f>
      </c>
    </row>
    <row r="751" spans="1:58" ht="18.75" customHeight="1" x14ac:dyDescent="0.25">
      <c r="A751" s="30" t="inlineStr">
        <is>
          <t xml:space="preserve">CANON-202606-009435</t>
        </is>
      </c>
      <c r="B751" s="30" t="inlineStr">
        <is>
          <t xml:space="preserve">Aurelio Ashcombe</t>
        </is>
      </c>
      <c r="C751" s="31">
        <v>46195</v>
      </c>
      <c r="D751" s="32" t="inlineStr">
        <is>
          <t xml:space="preserve">Bound - within authority</t>
        </is>
      </c>
      <c r="E751" s="32" t="inlineStr">
        <is>
          <t xml:space="preserve">New business</t>
        </is>
      </c>
      <c r="F751" s="30" t="inlineStr">
        <is>
          <t xml:space="preserve">B1234EXOTIC26</t>
        </is>
      </c>
      <c r="G751" s="33">
        <f>IF($A751="","",IF($C751="","",YEAR($C751)))</f>
      </c>
      <c r="H751" s="34">
        <v>1962</v>
      </c>
      <c r="I751" s="30" t="inlineStr">
        <is>
          <t xml:space="preserve">Ferrari</t>
        </is>
      </c>
      <c r="J751" s="30" t="inlineStr">
        <is>
          <t xml:space="preserve">296 GTB</t>
        </is>
      </c>
      <c r="K751" s="30" t="inlineStr">
        <is>
          <t xml:space="preserve">NW8VDP4BKCY0RRVJ7</t>
        </is>
      </c>
      <c r="L751" s="32" t="inlineStr">
        <is>
          <t xml:space="preserve">03 - Supercar</t>
        </is>
      </c>
      <c r="M751" s="35">
        <v>585000</v>
      </c>
      <c r="N751" s="32" t="inlineStr">
        <is>
          <t xml:space="preserve">Personal</t>
        </is>
      </c>
      <c r="O751" s="30" t="inlineStr">
        <is>
          <t xml:space="preserve">Personal - regular use</t>
        </is>
      </c>
      <c r="P751" s="30" t="inlineStr">
        <is>
          <t xml:space="preserve">2,500 - 5,000</t>
        </is>
      </c>
      <c r="Q751" s="30" t="inlineStr">
        <is>
          <t xml:space="preserve">Wisconsin</t>
        </is>
      </c>
      <c r="R751" s="30" t="inlineStr">
        <is>
          <t xml:space="preserve">53202</t>
        </is>
      </c>
      <c r="S751" s="32" t="inlineStr">
        <is>
          <t xml:space="preserve">Severe convective - hail / tornado (moderate)</t>
        </is>
      </c>
      <c r="T751" s="36">
        <f>IF($A751="","",IF($S751="","",IFERROR(INDEX('[1]natural catastrophe'!$D$6:$D$17,MATCH($S751,'[1]natural catastrophe'!$B$6:$B$17,0)),"?")))</f>
      </c>
      <c r="U751" s="30" t="inlineStr">
        <is>
          <t xml:space="preserve">$5,000</t>
        </is>
      </c>
      <c r="V751" s="32" t="inlineStr">
        <is>
          <t xml:space="preserve">Agreed Value</t>
        </is>
      </c>
      <c r="W751" s="30" t="inlineStr">
        <is>
          <t xml:space="preserve">$1,000</t>
        </is>
      </c>
      <c r="X751" s="32" t="inlineStr">
        <is>
          <t xml:space="preserve">$1,000,000 CSL</t>
        </is>
      </c>
      <c r="Y751" s="30"/>
      <c r="Z751" s="30"/>
      <c r="AA751" s="32" t="inlineStr">
        <is>
          <t xml:space="preserve">Surplus Lines</t>
        </is>
      </c>
      <c r="AB751" s="35">
        <v>9623.49</v>
      </c>
      <c r="AC751" s="37">
        <v>0</v>
      </c>
      <c r="AD751" s="38">
        <f>IF(ISNUMBER($AB751),$AB751*(1+N($AC751)),"")</f>
      </c>
      <c r="AE751" s="35">
        <v>350</v>
      </c>
      <c r="AF751" s="35">
        <v>0</v>
      </c>
      <c r="AG751" s="37"/>
      <c r="AH751" s="39">
        <f>IF(ISNUMBER($AD751),($AD751+$AE751+$AF751)*$AG751,"")</f>
      </c>
      <c r="AI751" s="35"/>
      <c r="AJ751" s="38">
        <f>IF(ISNUMBER($AD751),SUM($AD751:$AH751),"")</f>
      </c>
      <c r="AK751" s="40">
        <f>IF(AND(ISNUMBER($AB751),ISNUMBER($AD751)),IF($AB751&gt;0,$AD751/$AB751,""),"")</f>
      </c>
      <c r="AL751" s="32" t="inlineStr">
        <is>
          <t xml:space="preserve">At technical</t>
        </is>
      </c>
      <c r="AM751" s="41">
        <f>IF(ISNUMBER($AD751),Header!$I$3,"")</f>
      </c>
      <c r="AN751" s="39">
        <f>IF(ISNUMBER($AD751),$AO751+$AP751,"")</f>
      </c>
      <c r="AO751" s="39">
        <f>IF(ISNUMBER($AD751),ROUND($AD751*Header!$K$3,2),"")</f>
      </c>
      <c r="AP751" s="39">
        <f>IF(ISNUMBER($AD751),ROUND($AD751*Header!$M$3,2),"")</f>
      </c>
      <c r="AQ751" s="38">
        <f>IF(ISNUMBER($AD751),ROUND($AD751,2)-$AO751-$AP751,"")</f>
      </c>
      <c r="AR751" s="39">
        <f>IF(ISNUMBER($AD751),IF(Header!$D$34="","?",$AD751*Header!$D$34),"")</f>
      </c>
      <c r="AS751" s="39">
        <f>IF(ISNUMBER($AB751),IF(Header!$D$34="","?",$AB751*Header!$D$34),"")</f>
      </c>
      <c r="AT751" s="42">
        <f>IF(AND(ISNUMBER($AB751),$M751&gt;0),$AB751/$M751*100,"")</f>
      </c>
      <c r="AU751" s="42">
        <f>IF(AND(ISNUMBER($AD751),$M751&gt;0),$AD751/$M751*100,"")</f>
      </c>
      <c r="AV751" s="40">
        <f>IF(AND(ISNUMBER($AB751),ISNUMBER($AD751),ABS($AB751)&gt;0),$AD751/$AB751,"")</f>
      </c>
      <c r="AW751" s="39">
        <f>IF(ISNUMBER($AD751),MAX(0,(1-0.55-Header!$O$3)*Header!$Q$3*$AQ751),"")</f>
      </c>
      <c r="AX751" s="43">
        <f>IF($A751="","",IF(TRIM(IF($A751="","Missing certificate ref. ","") &amp; IF($C751="","Missing effective date. ","") &amp; IF($D751="","Missing binding status. ","") &amp; IF($E751="","Missing movement type. ","") &amp; IF($I751="","Missing make. ","") &amp; IF($L751="","Missing vehicle class. ","") &amp; IF($M751="","Missing agreed value. ","") &amp; IF($N751="","Missing policy type. ","") &amp; IF($Q751="","Missing garaging state. ","") &amp; IF($R751="","Missing garaging ZIP. ","") &amp; IF($S751="","Missing cat zone. ","") &amp; IF($V751="","Missing valuation basis. ","") &amp; IF($W751="","Missing PD deductible. ","") &amp; IF($X751="","Missing liability limit. ","") &amp; IF($AB751="","Missing technical premium. ","") &amp; IF($AF751="","Missing surplus lines tax %. ",""))="","PASS","FAIL: "&amp;TRIM(IF($A751="","Missing certificate ref. ","") &amp; IF($C751="","Missing effective date. ","") &amp; IF($D751="","Missing binding status. ","") &amp; IF($E751="","Missing movement type. ","") &amp; IF($I751="","Missing make. ","") &amp; IF($L751="","Missing vehicle class. ","") &amp; IF($M751="","Missing agreed value. ","") &amp; IF($N751="","Missing policy type. ","") &amp; IF($Q751="","Missing garaging state. ","") &amp; IF($R751="","Missing garaging ZIP. ","") &amp; IF($S751="","Missing cat zone. ","") &amp; IF($V751="","Missing valuation basis. ","") &amp; IF($W751="","Missing PD deductible. ","") &amp; IF($X751="","Missing liability limit. ","") &amp; IF($AB751="","Missing technical premium. ","") &amp; IF($AF751="","Missing surplus lines tax %. ",""))))</f>
      </c>
      <c r="AY751" s="44">
        <f>IF($M751="","",IF(ISNUMBER($M751),IF($M751&gt;=Header!$C$18,"YES — refer","No"),""))</f>
      </c>
      <c r="AZ751" s="44">
        <f>IF($AD751="","",IF(ISNUMBER($AD751),IF($AD751&lt;Header!$C$20,"BELOW MIN PREMIUM","OK"),""))</f>
      </c>
      <c r="BA751" s="32" t="inlineStr">
        <is>
          <t xml:space="preserve">Yes</t>
        </is>
      </c>
      <c r="BB751" s="32" t="inlineStr">
        <is>
          <t xml:space="preserve">Yes</t>
        </is>
      </c>
      <c r="BC751" s="30" t="inlineStr">
        <is>
          <t xml:space="preserve">Synthetic demo data</t>
        </is>
      </c>
      <c r="BE751" s="45">
        <f>IF(OR($A751="",$L751="",$H751=""),"",IF(AND(LEFT($L751,2)="06",$H751&gt;1945),"FAIL - pre-war class, year "&amp;$H751,IF(AND(LEFT($L751,2)="07",OR($H751&lt;1946,$H751&gt;1972)),"FAIL - 1946-72 class, year "&amp;$H751,IF(AND(LEFT($L751,2)="08",OR($H751&lt;1973,$H751&gt;1999)),"FAIL - 1973-99 class, year "&amp;$H751,IF(AND(LEFT($L751,2)="09",OR($H751&lt;2000,$H751&gt;2010)),"FAIL - 2000-10 class, year "&amp;$H751,"OK")))))</f>
      </c>
      <c r="BF751" s="45">
        <f>IF($AD751="","",IF(ROUND($AO751+$AP751+$AQ751-$AD751,2)=0,"OK","FAIL - out by "&amp;TEXT($AO751+$AP751+$AQ751-$AD751,"$0.00")))</f>
      </c>
    </row>
    <row r="752" spans="1:58" ht="18.75" customHeight="1" x14ac:dyDescent="0.25">
      <c r="A752" s="46" t="inlineStr">
        <is>
          <t xml:space="preserve">CANON-202606-009436</t>
        </is>
      </c>
      <c r="B752" s="46" t="inlineStr">
        <is>
          <t xml:space="preserve">Mireille Rourke</t>
        </is>
      </c>
      <c r="C752" s="47">
        <v>46187</v>
      </c>
      <c r="D752" s="48" t="inlineStr">
        <is>
          <t xml:space="preserve">Bound - within authority</t>
        </is>
      </c>
      <c r="E752" s="48" t="inlineStr">
        <is>
          <t xml:space="preserve">New business</t>
        </is>
      </c>
      <c r="F752" s="46" t="inlineStr">
        <is>
          <t xml:space="preserve">B1234EXOTIC26</t>
        </is>
      </c>
      <c r="G752" s="33">
        <f>IF($A752="","",IF($C752="","",YEAR($C752)))</f>
      </c>
      <c r="H752" s="49">
        <v>2005</v>
      </c>
      <c r="I752" s="46" t="inlineStr">
        <is>
          <t xml:space="preserve">Lamborghini</t>
        </is>
      </c>
      <c r="J752" s="46" t="inlineStr">
        <is>
          <t xml:space="preserve">Huracan EVO</t>
        </is>
      </c>
      <c r="K752" s="46" t="inlineStr">
        <is>
          <t xml:space="preserve">V0R42W8ZK0V66LG93</t>
        </is>
      </c>
      <c r="L752" s="48" t="inlineStr">
        <is>
          <t xml:space="preserve">03 - Supercar</t>
        </is>
      </c>
      <c r="M752" s="50">
        <v>875000</v>
      </c>
      <c r="N752" s="48" t="inlineStr">
        <is>
          <t xml:space="preserve">Personal</t>
        </is>
      </c>
      <c r="O752" s="46" t="inlineStr">
        <is>
          <t xml:space="preserve">Personal - regular use</t>
        </is>
      </c>
      <c r="P752" s="46" t="inlineStr">
        <is>
          <t xml:space="preserve">2,500 - 5,000</t>
        </is>
      </c>
      <c r="Q752" s="46" t="inlineStr">
        <is>
          <t xml:space="preserve">Rhode Island</t>
        </is>
      </c>
      <c r="R752" s="46" t="inlineStr">
        <is>
          <t xml:space="preserve">02903</t>
        </is>
      </c>
      <c r="S752" s="48" t="inlineStr">
        <is>
          <t xml:space="preserve">Tier 3 - Coastal wind (25-100 miles)</t>
        </is>
      </c>
      <c r="T752" s="36">
        <f>IF($A752="","",IF($S752="","",IFERROR(INDEX('[1]natural catastrophe'!$D$6:$D$17,MATCH($S752,'[1]natural catastrophe'!$B$6:$B$17,0)),"?")))</f>
      </c>
      <c r="U752" s="46" t="inlineStr">
        <is>
          <t xml:space="preserve">2% of agreed value, minimum $10,000</t>
        </is>
      </c>
      <c r="V752" s="48" t="inlineStr">
        <is>
          <t xml:space="preserve">Agreed Value</t>
        </is>
      </c>
      <c r="W752" s="46" t="inlineStr">
        <is>
          <t xml:space="preserve">$1,000</t>
        </is>
      </c>
      <c r="X752" s="48" t="inlineStr">
        <is>
          <t xml:space="preserve">$1,000,000 CSL</t>
        </is>
      </c>
      <c r="Y752" s="46"/>
      <c r="Z752" s="46"/>
      <c r="AA752" s="48" t="inlineStr">
        <is>
          <t xml:space="preserve">Surplus Lines</t>
        </is>
      </c>
      <c r="AB752" s="50">
        <v>16433.28</v>
      </c>
      <c r="AC752" s="51">
        <v>0</v>
      </c>
      <c r="AD752" s="38">
        <f>IF(ISNUMBER($AB752),$AB752*(1+N($AC752)),"")</f>
      </c>
      <c r="AE752" s="50">
        <v>350</v>
      </c>
      <c r="AF752" s="50">
        <v>0</v>
      </c>
      <c r="AG752" s="51"/>
      <c r="AH752" s="39">
        <f>IF(ISNUMBER($AD752),($AD752+$AE752+$AF752)*$AG752,"")</f>
      </c>
      <c r="AI752" s="50"/>
      <c r="AJ752" s="38">
        <f>IF(ISNUMBER($AD752),SUM($AD752:$AH752),"")</f>
      </c>
      <c r="AK752" s="40">
        <f>IF(AND(ISNUMBER($AB752),ISNUMBER($AD752)),IF($AB752&gt;0,$AD752/$AB752,""),"")</f>
      </c>
      <c r="AL752" s="48" t="inlineStr">
        <is>
          <t xml:space="preserve">At technical</t>
        </is>
      </c>
      <c r="AM752" s="41">
        <f>IF(ISNUMBER($AD752),Header!$I$3,"")</f>
      </c>
      <c r="AN752" s="39">
        <f>IF(ISNUMBER($AD752),$AO752+$AP752,"")</f>
      </c>
      <c r="AO752" s="39">
        <f>IF(ISNUMBER($AD752),ROUND($AD752*Header!$K$3,2),"")</f>
      </c>
      <c r="AP752" s="39">
        <f>IF(ISNUMBER($AD752),ROUND($AD752*Header!$M$3,2),"")</f>
      </c>
      <c r="AQ752" s="38">
        <f>IF(ISNUMBER($AD752),ROUND($AD752,2)-$AO752-$AP752,"")</f>
      </c>
      <c r="AR752" s="39">
        <f>IF(ISNUMBER($AD752),IF(Header!$D$34="","?",$AD752*Header!$D$34),"")</f>
      </c>
      <c r="AS752" s="39">
        <f>IF(ISNUMBER($AB752),IF(Header!$D$34="","?",$AB752*Header!$D$34),"")</f>
      </c>
      <c r="AT752" s="42">
        <f>IF(AND(ISNUMBER($AB752),$M752&gt;0),$AB752/$M752*100,"")</f>
      </c>
      <c r="AU752" s="42">
        <f>IF(AND(ISNUMBER($AD752),$M752&gt;0),$AD752/$M752*100,"")</f>
      </c>
      <c r="AV752" s="40">
        <f>IF(AND(ISNUMBER($AB752),ISNUMBER($AD752),ABS($AB752)&gt;0),$AD752/$AB752,"")</f>
      </c>
      <c r="AW752" s="39">
        <f>IF(ISNUMBER($AD752),MAX(0,(1-0.55-Header!$O$3)*Header!$Q$3*$AQ752),"")</f>
      </c>
      <c r="AX752" s="43">
        <f>IF($A752="","",IF(TRIM(IF($A752="","Missing certificate ref. ","") &amp; IF($C752="","Missing effective date. ","") &amp; IF($D752="","Missing binding status. ","") &amp; IF($E752="","Missing movement type. ","") &amp; IF($I752="","Missing make. ","") &amp; IF($L752="","Missing vehicle class. ","") &amp; IF($M752="","Missing agreed value. ","") &amp; IF($N752="","Missing policy type. ","") &amp; IF($Q752="","Missing garaging state. ","") &amp; IF($R752="","Missing garaging ZIP. ","") &amp; IF($S752="","Missing cat zone. ","") &amp; IF($V752="","Missing valuation basis. ","") &amp; IF($W752="","Missing PD deductible. ","") &amp; IF($X752="","Missing liability limit. ","") &amp; IF($AB752="","Missing technical premium. ","") &amp; IF($AF752="","Missing surplus lines tax %. ",""))="","PASS","FAIL: "&amp;TRIM(IF($A752="","Missing certificate ref. ","") &amp; IF($C752="","Missing effective date. ","") &amp; IF($D752="","Missing binding status. ","") &amp; IF($E752="","Missing movement type. ","") &amp; IF($I752="","Missing make. ","") &amp; IF($L752="","Missing vehicle class. ","") &amp; IF($M752="","Missing agreed value. ","") &amp; IF($N752="","Missing policy type. ","") &amp; IF($Q752="","Missing garaging state. ","") &amp; IF($R752="","Missing garaging ZIP. ","") &amp; IF($S752="","Missing cat zone. ","") &amp; IF($V752="","Missing valuation basis. ","") &amp; IF($W752="","Missing PD deductible. ","") &amp; IF($X752="","Missing liability limit. ","") &amp; IF($AB752="","Missing technical premium. ","") &amp; IF($AF752="","Missing surplus lines tax %. ",""))))</f>
      </c>
      <c r="AY752" s="44">
        <f>IF($M752="","",IF(ISNUMBER($M752),IF($M752&gt;=Header!$C$18,"YES — refer","No"),""))</f>
      </c>
      <c r="AZ752" s="44">
        <f>IF($AD752="","",IF(ISNUMBER($AD752),IF($AD752&lt;Header!$C$20,"BELOW MIN PREMIUM","OK"),""))</f>
      </c>
      <c r="BA752" s="48" t="inlineStr">
        <is>
          <t xml:space="preserve">Yes</t>
        </is>
      </c>
      <c r="BB752" s="48" t="inlineStr">
        <is>
          <t xml:space="preserve">Yes</t>
        </is>
      </c>
      <c r="BC752" s="46" t="inlineStr">
        <is>
          <t xml:space="preserve">Synthetic demo data</t>
        </is>
      </c>
      <c r="BE752" s="45">
        <f>IF(OR($A752="",$L752="",$H752=""),"",IF(AND(LEFT($L752,2)="06",$H752&gt;1945),"FAIL - pre-war class, year "&amp;$H752,IF(AND(LEFT($L752,2)="07",OR($H752&lt;1946,$H752&gt;1972)),"FAIL - 1946-72 class, year "&amp;$H752,IF(AND(LEFT($L752,2)="08",OR($H752&lt;1973,$H752&gt;1999)),"FAIL - 1973-99 class, year "&amp;$H752,IF(AND(LEFT($L752,2)="09",OR($H752&lt;2000,$H752&gt;2010)),"FAIL - 2000-10 class, year "&amp;$H752,"OK")))))</f>
      </c>
      <c r="BF752" s="45">
        <f>IF($AD752="","",IF(ROUND($AO752+$AP752+$AQ752-$AD752,2)=0,"OK","FAIL - out by "&amp;TEXT($AO752+$AP752+$AQ752-$AD752,"$0.00")))</f>
      </c>
    </row>
    <row r="753" spans="1:58" ht="18.75" customHeight="1" x14ac:dyDescent="0.25">
      <c r="A753" s="30" t="inlineStr">
        <is>
          <t xml:space="preserve">CANON-202606-009437</t>
        </is>
      </c>
      <c r="B753" s="30" t="inlineStr">
        <is>
          <t xml:space="preserve">Delphine Underwood</t>
        </is>
      </c>
      <c r="C753" s="31">
        <v>46190</v>
      </c>
      <c r="D753" s="32" t="inlineStr">
        <is>
          <t xml:space="preserve">Bound - within authority</t>
        </is>
      </c>
      <c r="E753" s="32" t="inlineStr">
        <is>
          <t xml:space="preserve">New business</t>
        </is>
      </c>
      <c r="F753" s="30" t="inlineStr">
        <is>
          <t xml:space="preserve">B1234EXOTIC26</t>
        </is>
      </c>
      <c r="G753" s="33">
        <f>IF($A753="","",IF($C753="","",YEAR($C753)))</f>
      </c>
      <c r="H753" s="34">
        <v>1964</v>
      </c>
      <c r="I753" s="30" t="inlineStr">
        <is>
          <t xml:space="preserve">Lamborghini</t>
        </is>
      </c>
      <c r="J753" s="30" t="inlineStr">
        <is>
          <t xml:space="preserve">Huracan EVO</t>
        </is>
      </c>
      <c r="K753" s="30" t="inlineStr">
        <is>
          <t xml:space="preserve">SW918FH1PY0K8JWRZ</t>
        </is>
      </c>
      <c r="L753" s="32" t="inlineStr">
        <is>
          <t xml:space="preserve">03 - Supercar</t>
        </is>
      </c>
      <c r="M753" s="35">
        <v>540000</v>
      </c>
      <c r="N753" s="32" t="inlineStr">
        <is>
          <t xml:space="preserve">Personal</t>
        </is>
      </c>
      <c r="O753" s="30" t="inlineStr">
        <is>
          <t xml:space="preserve">Personal - regular use</t>
        </is>
      </c>
      <c r="P753" s="30" t="inlineStr">
        <is>
          <t xml:space="preserve">Under 1,000</t>
        </is>
      </c>
      <c r="Q753" s="30" t="inlineStr">
        <is>
          <t xml:space="preserve">North Carolina</t>
        </is>
      </c>
      <c r="R753" s="30" t="inlineStr">
        <is>
          <t xml:space="preserve">28202</t>
        </is>
      </c>
      <c r="S753" s="32" t="inlineStr">
        <is>
          <t xml:space="preserve">Tier 2 - Coastal wind (1-25 miles)</t>
        </is>
      </c>
      <c r="T753" s="36">
        <f>IF($A753="","",IF($S753="","",IFERROR(INDEX('[1]natural catastrophe'!$D$6:$D$17,MATCH($S753,'[1]natural catastrophe'!$B$6:$B$17,0)),"?")))</f>
      </c>
      <c r="U753" s="30" t="inlineStr">
        <is>
          <t xml:space="preserve">2% of agreed value, minimum $10,000</t>
        </is>
      </c>
      <c r="V753" s="32" t="inlineStr">
        <is>
          <t xml:space="preserve">Agreed Value</t>
        </is>
      </c>
      <c r="W753" s="30" t="inlineStr">
        <is>
          <t xml:space="preserve">$1,000</t>
        </is>
      </c>
      <c r="X753" s="32" t="inlineStr">
        <is>
          <t xml:space="preserve">$1,000,000 CSL</t>
        </is>
      </c>
      <c r="Y753" s="30"/>
      <c r="Z753" s="30"/>
      <c r="AA753" s="32" t="inlineStr">
        <is>
          <t xml:space="preserve">Surplus Lines</t>
        </is>
      </c>
      <c r="AB753" s="35">
        <v>8513.09</v>
      </c>
      <c r="AC753" s="37">
        <v>0</v>
      </c>
      <c r="AD753" s="38">
        <f>IF(ISNUMBER($AB753),$AB753*(1+N($AC753)),"")</f>
      </c>
      <c r="AE753" s="35">
        <v>350</v>
      </c>
      <c r="AF753" s="35">
        <v>0</v>
      </c>
      <c r="AG753" s="37"/>
      <c r="AH753" s="39">
        <f>IF(ISNUMBER($AD753),($AD753+$AE753+$AF753)*$AG753,"")</f>
      </c>
      <c r="AI753" s="35"/>
      <c r="AJ753" s="38">
        <f>IF(ISNUMBER($AD753),SUM($AD753:$AH753),"")</f>
      </c>
      <c r="AK753" s="40">
        <f>IF(AND(ISNUMBER($AB753),ISNUMBER($AD753)),IF($AB753&gt;0,$AD753/$AB753,""),"")</f>
      </c>
      <c r="AL753" s="32" t="inlineStr">
        <is>
          <t xml:space="preserve">At technical</t>
        </is>
      </c>
      <c r="AM753" s="41">
        <f>IF(ISNUMBER($AD753),Header!$I$3,"")</f>
      </c>
      <c r="AN753" s="39">
        <f>IF(ISNUMBER($AD753),$AO753+$AP753,"")</f>
      </c>
      <c r="AO753" s="39">
        <f>IF(ISNUMBER($AD753),ROUND($AD753*Header!$K$3,2),"")</f>
      </c>
      <c r="AP753" s="39">
        <f>IF(ISNUMBER($AD753),ROUND($AD753*Header!$M$3,2),"")</f>
      </c>
      <c r="AQ753" s="38">
        <f>IF(ISNUMBER($AD753),ROUND($AD753,2)-$AO753-$AP753,"")</f>
      </c>
      <c r="AR753" s="39">
        <f>IF(ISNUMBER($AD753),IF(Header!$D$34="","?",$AD753*Header!$D$34),"")</f>
      </c>
      <c r="AS753" s="39">
        <f>IF(ISNUMBER($AB753),IF(Header!$D$34="","?",$AB753*Header!$D$34),"")</f>
      </c>
      <c r="AT753" s="42">
        <f>IF(AND(ISNUMBER($AB753),$M753&gt;0),$AB753/$M753*100,"")</f>
      </c>
      <c r="AU753" s="42">
        <f>IF(AND(ISNUMBER($AD753),$M753&gt;0),$AD753/$M753*100,"")</f>
      </c>
      <c r="AV753" s="40">
        <f>IF(AND(ISNUMBER($AB753),ISNUMBER($AD753),ABS($AB753)&gt;0),$AD753/$AB753,"")</f>
      </c>
      <c r="AW753" s="39">
        <f>IF(ISNUMBER($AD753),MAX(0,(1-0.55-Header!$O$3)*Header!$Q$3*$AQ753),"")</f>
      </c>
      <c r="AX753" s="43">
        <f>IF($A753="","",IF(TRIM(IF($A753="","Missing certificate ref. ","") &amp; IF($C753="","Missing effective date. ","") &amp; IF($D753="","Missing binding status. ","") &amp; IF($E753="","Missing movement type. ","") &amp; IF($I753="","Missing make. ","") &amp; IF($L753="","Missing vehicle class. ","") &amp; IF($M753="","Missing agreed value. ","") &amp; IF($N753="","Missing policy type. ","") &amp; IF($Q753="","Missing garaging state. ","") &amp; IF($R753="","Missing garaging ZIP. ","") &amp; IF($S753="","Missing cat zone. ","") &amp; IF($V753="","Missing valuation basis. ","") &amp; IF($W753="","Missing PD deductible. ","") &amp; IF($X753="","Missing liability limit. ","") &amp; IF($AB753="","Missing technical premium. ","") &amp; IF($AF753="","Missing surplus lines tax %. ",""))="","PASS","FAIL: "&amp;TRIM(IF($A753="","Missing certificate ref. ","") &amp; IF($C753="","Missing effective date. ","") &amp; IF($D753="","Missing binding status. ","") &amp; IF($E753="","Missing movement type. ","") &amp; IF($I753="","Missing make. ","") &amp; IF($L753="","Missing vehicle class. ","") &amp; IF($M753="","Missing agreed value. ","") &amp; IF($N753="","Missing policy type. ","") &amp; IF($Q753="","Missing garaging state. ","") &amp; IF($R753="","Missing garaging ZIP. ","") &amp; IF($S753="","Missing cat zone. ","") &amp; IF($V753="","Missing valuation basis. ","") &amp; IF($W753="","Missing PD deductible. ","") &amp; IF($X753="","Missing liability limit. ","") &amp; IF($AB753="","Missing technical premium. ","") &amp; IF($AF753="","Missing surplus lines tax %. ",""))))</f>
      </c>
      <c r="AY753" s="44">
        <f>IF($M753="","",IF(ISNUMBER($M753),IF($M753&gt;=Header!$C$18,"YES — refer","No"),""))</f>
      </c>
      <c r="AZ753" s="44">
        <f>IF($AD753="","",IF(ISNUMBER($AD753),IF($AD753&lt;Header!$C$20,"BELOW MIN PREMIUM","OK"),""))</f>
      </c>
      <c r="BA753" s="32" t="inlineStr">
        <is>
          <t xml:space="preserve">Yes</t>
        </is>
      </c>
      <c r="BB753" s="32" t="inlineStr">
        <is>
          <t xml:space="preserve">Yes</t>
        </is>
      </c>
      <c r="BC753" s="30" t="inlineStr">
        <is>
          <t xml:space="preserve">Synthetic demo data</t>
        </is>
      </c>
      <c r="BE753" s="45">
        <f>IF(OR($A753="",$L753="",$H753=""),"",IF(AND(LEFT($L753,2)="06",$H753&gt;1945),"FAIL - pre-war class, year "&amp;$H753,IF(AND(LEFT($L753,2)="07",OR($H753&lt;1946,$H753&gt;1972)),"FAIL - 1946-72 class, year "&amp;$H753,IF(AND(LEFT($L753,2)="08",OR($H753&lt;1973,$H753&gt;1999)),"FAIL - 1973-99 class, year "&amp;$H753,IF(AND(LEFT($L753,2)="09",OR($H753&lt;2000,$H753&gt;2010)),"FAIL - 2000-10 class, year "&amp;$H753,"OK")))))</f>
      </c>
      <c r="BF753" s="45">
        <f>IF($AD753="","",IF(ROUND($AO753+$AP753+$AQ753-$AD753,2)=0,"OK","FAIL - out by "&amp;TEXT($AO753+$AP753+$AQ753-$AD753,"$0.00")))</f>
      </c>
    </row>
    <row r="754" spans="1:58" ht="18.75" customHeight="1" x14ac:dyDescent="0.25">
      <c r="A754" s="46" t="inlineStr">
        <is>
          <t xml:space="preserve">CANON-202606-009438</t>
        </is>
      </c>
      <c r="B754" s="46" t="inlineStr">
        <is>
          <t xml:space="preserve">Saoirse Nakashima</t>
        </is>
      </c>
      <c r="C754" s="47">
        <v>46193</v>
      </c>
      <c r="D754" s="48" t="inlineStr">
        <is>
          <t xml:space="preserve">Bound - within authority</t>
        </is>
      </c>
      <c r="E754" s="48" t="inlineStr">
        <is>
          <t xml:space="preserve">New business</t>
        </is>
      </c>
      <c r="F754" s="46" t="inlineStr">
        <is>
          <t xml:space="preserve">B1234EXOTIC26</t>
        </is>
      </c>
      <c r="G754" s="33">
        <f>IF($A754="","",IF($C754="","",YEAR($C754)))</f>
      </c>
      <c r="H754" s="49">
        <v>2000</v>
      </c>
      <c r="I754" s="46" t="inlineStr">
        <is>
          <t xml:space="preserve">Ferrari</t>
        </is>
      </c>
      <c r="J754" s="46" t="inlineStr">
        <is>
          <t xml:space="preserve">296 GTB</t>
        </is>
      </c>
      <c r="K754" s="46" t="inlineStr">
        <is>
          <t xml:space="preserve">YWYE9XJDZG644T9VY</t>
        </is>
      </c>
      <c r="L754" s="48" t="inlineStr">
        <is>
          <t xml:space="preserve">03 - Supercar</t>
        </is>
      </c>
      <c r="M754" s="50">
        <v>720000</v>
      </c>
      <c r="N754" s="48" t="inlineStr">
        <is>
          <t xml:space="preserve">Personal</t>
        </is>
      </c>
      <c r="O754" s="46" t="inlineStr">
        <is>
          <t xml:space="preserve">Personal - regular use</t>
        </is>
      </c>
      <c r="P754" s="46" t="inlineStr">
        <is>
          <t xml:space="preserve">1,000 - 2,500</t>
        </is>
      </c>
      <c r="Q754" s="46" t="inlineStr">
        <is>
          <t xml:space="preserve">Illinois</t>
        </is>
      </c>
      <c r="R754" s="46" t="inlineStr">
        <is>
          <t xml:space="preserve">60601</t>
        </is>
      </c>
      <c r="S754" s="48" t="inlineStr">
        <is>
          <t xml:space="preserve">Severe convective - hail / tornado (moderate)</t>
        </is>
      </c>
      <c r="T754" s="36">
        <f>IF($A754="","",IF($S754="","",IFERROR(INDEX('[1]natural catastrophe'!$D$6:$D$17,MATCH($S754,'[1]natural catastrophe'!$B$6:$B$17,0)),"?")))</f>
      </c>
      <c r="U754" s="46" t="inlineStr">
        <is>
          <t xml:space="preserve">$5,000</t>
        </is>
      </c>
      <c r="V754" s="48" t="inlineStr">
        <is>
          <t xml:space="preserve">Agreed Value</t>
        </is>
      </c>
      <c r="W754" s="46" t="inlineStr">
        <is>
          <t xml:space="preserve">$1,000</t>
        </is>
      </c>
      <c r="X754" s="48" t="inlineStr">
        <is>
          <t xml:space="preserve">$1,000,000 CSL</t>
        </is>
      </c>
      <c r="Y754" s="46"/>
      <c r="Z754" s="46"/>
      <c r="AA754" s="48" t="inlineStr">
        <is>
          <t xml:space="preserve">Surplus Lines</t>
        </is>
      </c>
      <c r="AB754" s="50">
        <v>13423.54</v>
      </c>
      <c r="AC754" s="51">
        <v>0</v>
      </c>
      <c r="AD754" s="38">
        <f>IF(ISNUMBER($AB754),$AB754*(1+N($AC754)),"")</f>
      </c>
      <c r="AE754" s="50">
        <v>350</v>
      </c>
      <c r="AF754" s="50">
        <v>0</v>
      </c>
      <c r="AG754" s="51"/>
      <c r="AH754" s="39">
        <f>IF(ISNUMBER($AD754),($AD754+$AE754+$AF754)*$AG754,"")</f>
      </c>
      <c r="AI754" s="50"/>
      <c r="AJ754" s="38">
        <f>IF(ISNUMBER($AD754),SUM($AD754:$AH754),"")</f>
      </c>
      <c r="AK754" s="40">
        <f>IF(AND(ISNUMBER($AB754),ISNUMBER($AD754)),IF($AB754&gt;0,$AD754/$AB754,""),"")</f>
      </c>
      <c r="AL754" s="48" t="inlineStr">
        <is>
          <t xml:space="preserve">At technical</t>
        </is>
      </c>
      <c r="AM754" s="41">
        <f>IF(ISNUMBER($AD754),Header!$I$3,"")</f>
      </c>
      <c r="AN754" s="39">
        <f>IF(ISNUMBER($AD754),$AO754+$AP754,"")</f>
      </c>
      <c r="AO754" s="39">
        <f>IF(ISNUMBER($AD754),ROUND($AD754*Header!$K$3,2),"")</f>
      </c>
      <c r="AP754" s="39">
        <f>IF(ISNUMBER($AD754),ROUND($AD754*Header!$M$3,2),"")</f>
      </c>
      <c r="AQ754" s="38">
        <f>IF(ISNUMBER($AD754),ROUND($AD754,2)-$AO754-$AP754,"")</f>
      </c>
      <c r="AR754" s="39">
        <f>IF(ISNUMBER($AD754),IF(Header!$D$34="","?",$AD754*Header!$D$34),"")</f>
      </c>
      <c r="AS754" s="39">
        <f>IF(ISNUMBER($AB754),IF(Header!$D$34="","?",$AB754*Header!$D$34),"")</f>
      </c>
      <c r="AT754" s="42">
        <f>IF(AND(ISNUMBER($AB754),$M754&gt;0),$AB754/$M754*100,"")</f>
      </c>
      <c r="AU754" s="42">
        <f>IF(AND(ISNUMBER($AD754),$M754&gt;0),$AD754/$M754*100,"")</f>
      </c>
      <c r="AV754" s="40">
        <f>IF(AND(ISNUMBER($AB754),ISNUMBER($AD754),ABS($AB754)&gt;0),$AD754/$AB754,"")</f>
      </c>
      <c r="AW754" s="39">
        <f>IF(ISNUMBER($AD754),MAX(0,(1-0.55-Header!$O$3)*Header!$Q$3*$AQ754),"")</f>
      </c>
      <c r="AX754" s="43">
        <f>IF($A754="","",IF(TRIM(IF($A754="","Missing certificate ref. ","") &amp; IF($C754="","Missing effective date. ","") &amp; IF($D754="","Missing binding status. ","") &amp; IF($E754="","Missing movement type. ","") &amp; IF($I754="","Missing make. ","") &amp; IF($L754="","Missing vehicle class. ","") &amp; IF($M754="","Missing agreed value. ","") &amp; IF($N754="","Missing policy type. ","") &amp; IF($Q754="","Missing garaging state. ","") &amp; IF($R754="","Missing garaging ZIP. ","") &amp; IF($S754="","Missing cat zone. ","") &amp; IF($V754="","Missing valuation basis. ","") &amp; IF($W754="","Missing PD deductible. ","") &amp; IF($X754="","Missing liability limit. ","") &amp; IF($AB754="","Missing technical premium. ","") &amp; IF($AF754="","Missing surplus lines tax %. ",""))="","PASS","FAIL: "&amp;TRIM(IF($A754="","Missing certificate ref. ","") &amp; IF($C754="","Missing effective date. ","") &amp; IF($D754="","Missing binding status. ","") &amp; IF($E754="","Missing movement type. ","") &amp; IF($I754="","Missing make. ","") &amp; IF($L754="","Missing vehicle class. ","") &amp; IF($M754="","Missing agreed value. ","") &amp; IF($N754="","Missing policy type. ","") &amp; IF($Q754="","Missing garaging state. ","") &amp; IF($R754="","Missing garaging ZIP. ","") &amp; IF($S754="","Missing cat zone. ","") &amp; IF($V754="","Missing valuation basis. ","") &amp; IF($W754="","Missing PD deductible. ","") &amp; IF($X754="","Missing liability limit. ","") &amp; IF($AB754="","Missing technical premium. ","") &amp; IF($AF754="","Missing surplus lines tax %. ",""))))</f>
      </c>
      <c r="AY754" s="44">
        <f>IF($M754="","",IF(ISNUMBER($M754),IF($M754&gt;=Header!$C$18,"YES — refer","No"),""))</f>
      </c>
      <c r="AZ754" s="44">
        <f>IF($AD754="","",IF(ISNUMBER($AD754),IF($AD754&lt;Header!$C$20,"BELOW MIN PREMIUM","OK"),""))</f>
      </c>
      <c r="BA754" s="48" t="inlineStr">
        <is>
          <t xml:space="preserve">Yes</t>
        </is>
      </c>
      <c r="BB754" s="48" t="inlineStr">
        <is>
          <t xml:space="preserve">Yes</t>
        </is>
      </c>
      <c r="BC754" s="46" t="inlineStr">
        <is>
          <t xml:space="preserve">Synthetic demo data</t>
        </is>
      </c>
      <c r="BE754" s="45">
        <f>IF(OR($A754="",$L754="",$H754=""),"",IF(AND(LEFT($L754,2)="06",$H754&gt;1945),"FAIL - pre-war class, year "&amp;$H754,IF(AND(LEFT($L754,2)="07",OR($H754&lt;1946,$H754&gt;1972)),"FAIL - 1946-72 class, year "&amp;$H754,IF(AND(LEFT($L754,2)="08",OR($H754&lt;1973,$H754&gt;1999)),"FAIL - 1973-99 class, year "&amp;$H754,IF(AND(LEFT($L754,2)="09",OR($H754&lt;2000,$H754&gt;2010)),"FAIL - 2000-10 class, year "&amp;$H754,"OK")))))</f>
      </c>
      <c r="BF754" s="45">
        <f>IF($AD754="","",IF(ROUND($AO754+$AP754+$AQ754-$AD754,2)=0,"OK","FAIL - out by "&amp;TEXT($AO754+$AP754+$AQ754-$AD754,"$0.00")))</f>
      </c>
    </row>
    <row r="755" spans="1:58" ht="18.75" customHeight="1" x14ac:dyDescent="0.25">
      <c r="A755" s="30" t="inlineStr">
        <is>
          <t xml:space="preserve">CANON-202606-009439</t>
        </is>
      </c>
      <c r="B755" s="30" t="inlineStr">
        <is>
          <t xml:space="preserve">Beatrix Fairweather</t>
        </is>
      </c>
      <c r="C755" s="31">
        <v>46192</v>
      </c>
      <c r="D755" s="32" t="inlineStr">
        <is>
          <t xml:space="preserve">Bound - within authority</t>
        </is>
      </c>
      <c r="E755" s="32" t="inlineStr">
        <is>
          <t xml:space="preserve">New business</t>
        </is>
      </c>
      <c r="F755" s="30" t="inlineStr">
        <is>
          <t xml:space="preserve">B1234EXOTIC26</t>
        </is>
      </c>
      <c r="G755" s="33">
        <f>IF($A755="","",IF($C755="","",YEAR($C755)))</f>
      </c>
      <c r="H755" s="34">
        <v>1998</v>
      </c>
      <c r="I755" s="30" t="inlineStr">
        <is>
          <t xml:space="preserve">Bentley</t>
        </is>
      </c>
      <c r="J755" s="30" t="inlineStr">
        <is>
          <t xml:space="preserve">4.5 Litre</t>
        </is>
      </c>
      <c r="K755" s="30" t="inlineStr">
        <is>
          <t xml:space="preserve">0GJ7YLK31MHT4Y8GG</t>
        </is>
      </c>
      <c r="L755" s="32" t="inlineStr">
        <is>
          <t xml:space="preserve">08 - Modern Classic (1973-1999)</t>
        </is>
      </c>
      <c r="M755" s="35">
        <v>540000</v>
      </c>
      <c r="N755" s="32" t="inlineStr">
        <is>
          <t xml:space="preserve">Personal</t>
        </is>
      </c>
      <c r="O755" s="30" t="inlineStr">
        <is>
          <t xml:space="preserve">Personal - regular use</t>
        </is>
      </c>
      <c r="P755" s="30" t="inlineStr">
        <is>
          <t xml:space="preserve">Under 1,000</t>
        </is>
      </c>
      <c r="Q755" s="30" t="inlineStr">
        <is>
          <t xml:space="preserve">North Dakota</t>
        </is>
      </c>
      <c r="R755" s="30" t="inlineStr">
        <is>
          <t xml:space="preserve">58501</t>
        </is>
      </c>
      <c r="S755" s="32" t="inlineStr">
        <is>
          <t xml:space="preserve">Severe convective - hail alley (high)</t>
        </is>
      </c>
      <c r="T755" s="36">
        <f>IF($A755="","",IF($S755="","",IFERROR(INDEX('[1]natural catastrophe'!$D$6:$D$17,MATCH($S755,'[1]natural catastrophe'!$B$6:$B$17,0)),"?")))</f>
      </c>
      <c r="U755" s="30" t="inlineStr">
        <is>
          <t xml:space="preserve">$5,000</t>
        </is>
      </c>
      <c r="V755" s="32" t="inlineStr">
        <is>
          <t xml:space="preserve">Agreed Value</t>
        </is>
      </c>
      <c r="W755" s="30" t="inlineStr">
        <is>
          <t xml:space="preserve">$1,000</t>
        </is>
      </c>
      <c r="X755" s="32" t="inlineStr">
        <is>
          <t xml:space="preserve">$1,000,000 CSL</t>
        </is>
      </c>
      <c r="Y755" s="30"/>
      <c r="Z755" s="30"/>
      <c r="AA755" s="32" t="inlineStr">
        <is>
          <t xml:space="preserve">Surplus Lines</t>
        </is>
      </c>
      <c r="AB755" s="35">
        <v>3020.29</v>
      </c>
      <c r="AC755" s="37">
        <v>0</v>
      </c>
      <c r="AD755" s="38">
        <f>IF(ISNUMBER($AB755),$AB755*(1+N($AC755)),"")</f>
      </c>
      <c r="AE755" s="35">
        <v>350</v>
      </c>
      <c r="AF755" s="35">
        <v>0</v>
      </c>
      <c r="AG755" s="37"/>
      <c r="AH755" s="39">
        <f>IF(ISNUMBER($AD755),($AD755+$AE755+$AF755)*$AG755,"")</f>
      </c>
      <c r="AI755" s="35"/>
      <c r="AJ755" s="38">
        <f>IF(ISNUMBER($AD755),SUM($AD755:$AH755),"")</f>
      </c>
      <c r="AK755" s="40">
        <f>IF(AND(ISNUMBER($AB755),ISNUMBER($AD755)),IF($AB755&gt;0,$AD755/$AB755,""),"")</f>
      </c>
      <c r="AL755" s="32" t="inlineStr">
        <is>
          <t xml:space="preserve">At technical</t>
        </is>
      </c>
      <c r="AM755" s="41">
        <f>IF(ISNUMBER($AD755),Header!$I$3,"")</f>
      </c>
      <c r="AN755" s="39">
        <f>IF(ISNUMBER($AD755),$AO755+$AP755,"")</f>
      </c>
      <c r="AO755" s="39">
        <f>IF(ISNUMBER($AD755),ROUND($AD755*Header!$K$3,2),"")</f>
      </c>
      <c r="AP755" s="39">
        <f>IF(ISNUMBER($AD755),ROUND($AD755*Header!$M$3,2),"")</f>
      </c>
      <c r="AQ755" s="38">
        <f>IF(ISNUMBER($AD755),ROUND($AD755,2)-$AO755-$AP755,"")</f>
      </c>
      <c r="AR755" s="39">
        <f>IF(ISNUMBER($AD755),IF(Header!$D$34="","?",$AD755*Header!$D$34),"")</f>
      </c>
      <c r="AS755" s="39">
        <f>IF(ISNUMBER($AB755),IF(Header!$D$34="","?",$AB755*Header!$D$34),"")</f>
      </c>
      <c r="AT755" s="42">
        <f>IF(AND(ISNUMBER($AB755),$M755&gt;0),$AB755/$M755*100,"")</f>
      </c>
      <c r="AU755" s="42">
        <f>IF(AND(ISNUMBER($AD755),$M755&gt;0),$AD755/$M755*100,"")</f>
      </c>
      <c r="AV755" s="40">
        <f>IF(AND(ISNUMBER($AB755),ISNUMBER($AD755),ABS($AB755)&gt;0),$AD755/$AB755,"")</f>
      </c>
      <c r="AW755" s="39">
        <f>IF(ISNUMBER($AD755),MAX(0,(1-0.55-Header!$O$3)*Header!$Q$3*$AQ755),"")</f>
      </c>
      <c r="AX755" s="43">
        <f>IF($A755="","",IF(TRIM(IF($A755="","Missing certificate ref. ","") &amp; IF($C755="","Missing effective date. ","") &amp; IF($D755="","Missing binding status. ","") &amp; IF($E755="","Missing movement type. ","") &amp; IF($I755="","Missing make. ","") &amp; IF($L755="","Missing vehicle class. ","") &amp; IF($M755="","Missing agreed value. ","") &amp; IF($N755="","Missing policy type. ","") &amp; IF($Q755="","Missing garaging state. ","") &amp; IF($R755="","Missing garaging ZIP. ","") &amp; IF($S755="","Missing cat zone. ","") &amp; IF($V755="","Missing valuation basis. ","") &amp; IF($W755="","Missing PD deductible. ","") &amp; IF($X755="","Missing liability limit. ","") &amp; IF($AB755="","Missing technical premium. ","") &amp; IF($AF755="","Missing surplus lines tax %. ",""))="","PASS","FAIL: "&amp;TRIM(IF($A755="","Missing certificate ref. ","") &amp; IF($C755="","Missing effective date. ","") &amp; IF($D755="","Missing binding status. ","") &amp; IF($E755="","Missing movement type. ","") &amp; IF($I755="","Missing make. ","") &amp; IF($L755="","Missing vehicle class. ","") &amp; IF($M755="","Missing agreed value. ","") &amp; IF($N755="","Missing policy type. ","") &amp; IF($Q755="","Missing garaging state. ","") &amp; IF($R755="","Missing garaging ZIP. ","") &amp; IF($S755="","Missing cat zone. ","") &amp; IF($V755="","Missing valuation basis. ","") &amp; IF($W755="","Missing PD deductible. ","") &amp; IF($X755="","Missing liability limit. ","") &amp; IF($AB755="","Missing technical premium. ","") &amp; IF($AF755="","Missing surplus lines tax %. ",""))))</f>
      </c>
      <c r="AY755" s="44">
        <f>IF($M755="","",IF(ISNUMBER($M755),IF($M755&gt;=Header!$C$18,"YES — refer","No"),""))</f>
      </c>
      <c r="AZ755" s="44">
        <f>IF($AD755="","",IF(ISNUMBER($AD755),IF($AD755&lt;Header!$C$20,"BELOW MIN PREMIUM","OK"),""))</f>
      </c>
      <c r="BA755" s="32" t="inlineStr">
        <is>
          <t xml:space="preserve">Yes</t>
        </is>
      </c>
      <c r="BB755" s="32" t="inlineStr">
        <is>
          <t xml:space="preserve">Yes</t>
        </is>
      </c>
      <c r="BC755" s="30" t="inlineStr">
        <is>
          <t xml:space="preserve">Synthetic demo data</t>
        </is>
      </c>
      <c r="BE755" s="45">
        <f>IF(OR($A755="",$L755="",$H755=""),"",IF(AND(LEFT($L755,2)="06",$H755&gt;1945),"FAIL - pre-war class, year "&amp;$H755,IF(AND(LEFT($L755,2)="07",OR($H755&lt;1946,$H755&gt;1972)),"FAIL - 1946-72 class, year "&amp;$H755,IF(AND(LEFT($L755,2)="08",OR($H755&lt;1973,$H755&gt;1999)),"FAIL - 1973-99 class, year "&amp;$H755,IF(AND(LEFT($L755,2)="09",OR($H755&lt;2000,$H755&gt;2010)),"FAIL - 2000-10 class, year "&amp;$H755,"OK")))))</f>
      </c>
      <c r="BF755" s="45">
        <f>IF($AD755="","",IF(ROUND($AO755+$AP755+$AQ755-$AD755,2)=0,"OK","FAIL - out by "&amp;TEXT($AO755+$AP755+$AQ755-$AD755,"$0.00")))</f>
      </c>
    </row>
    <row r="756" spans="1:58" ht="18.75" customHeight="1" x14ac:dyDescent="0.25">
      <c r="A756" s="46" t="inlineStr">
        <is>
          <t xml:space="preserve">CANON-202606-009440</t>
        </is>
      </c>
      <c r="B756" s="46" t="inlineStr">
        <is>
          <t xml:space="preserve">Ramona Ashcombe</t>
        </is>
      </c>
      <c r="C756" s="47">
        <v>46201</v>
      </c>
      <c r="D756" s="48" t="inlineStr">
        <is>
          <t xml:space="preserve">Bound - within authority</t>
        </is>
      </c>
      <c r="E756" s="48" t="inlineStr">
        <is>
          <t xml:space="preserve">New business</t>
        </is>
      </c>
      <c r="F756" s="46" t="inlineStr">
        <is>
          <t xml:space="preserve">B1234EXOTIC26</t>
        </is>
      </c>
      <c r="G756" s="33">
        <f>IF($A756="","",IF($C756="","",YEAR($C756)))</f>
      </c>
      <c r="H756" s="49">
        <v>1968</v>
      </c>
      <c r="I756" s="46" t="inlineStr">
        <is>
          <t xml:space="preserve">BMW</t>
        </is>
      </c>
      <c r="J756" s="46" t="inlineStr">
        <is>
          <t xml:space="preserve">M8 Competition</t>
        </is>
      </c>
      <c r="K756" s="46" t="inlineStr">
        <is>
          <t xml:space="preserve">TV707APZPR9LWMDUV</t>
        </is>
      </c>
      <c r="L756" s="48" t="inlineStr">
        <is>
          <t xml:space="preserve">02 - Sports / GT</t>
        </is>
      </c>
      <c r="M756" s="50">
        <v>525000</v>
      </c>
      <c r="N756" s="48" t="inlineStr">
        <is>
          <t xml:space="preserve">Personal</t>
        </is>
      </c>
      <c r="O756" s="46" t="inlineStr">
        <is>
          <t xml:space="preserve">Personal - regular use</t>
        </is>
      </c>
      <c r="P756" s="46" t="inlineStr">
        <is>
          <t xml:space="preserve">1,000 - 2,500</t>
        </is>
      </c>
      <c r="Q756" s="46" t="inlineStr">
        <is>
          <t xml:space="preserve">Massachusetts</t>
        </is>
      </c>
      <c r="R756" s="46" t="inlineStr">
        <is>
          <t xml:space="preserve">02108</t>
        </is>
      </c>
      <c r="S756" s="48" t="inlineStr">
        <is>
          <t xml:space="preserve">Tier 3 - Coastal wind (25-100 miles)</t>
        </is>
      </c>
      <c r="T756" s="36">
        <f>IF($A756="","",IF($S756="","",IFERROR(INDEX('[1]natural catastrophe'!$D$6:$D$17,MATCH($S756,'[1]natural catastrophe'!$B$6:$B$17,0)),"?")))</f>
      </c>
      <c r="U756" s="46" t="inlineStr">
        <is>
          <t xml:space="preserve">2% of agreed value, minimum $10,000</t>
        </is>
      </c>
      <c r="V756" s="48" t="inlineStr">
        <is>
          <t xml:space="preserve">Agreed Value</t>
        </is>
      </c>
      <c r="W756" s="46" t="inlineStr">
        <is>
          <t xml:space="preserve">$1,000</t>
        </is>
      </c>
      <c r="X756" s="48" t="inlineStr">
        <is>
          <t xml:space="preserve">$1,000,000 CSL</t>
        </is>
      </c>
      <c r="Y756" s="46"/>
      <c r="Z756" s="46"/>
      <c r="AA756" s="48" t="inlineStr">
        <is>
          <t xml:space="preserve">Surplus Lines</t>
        </is>
      </c>
      <c r="AB756" s="50">
        <v>6155.38</v>
      </c>
      <c r="AC756" s="51">
        <v>0</v>
      </c>
      <c r="AD756" s="38">
        <f>IF(ISNUMBER($AB756),$AB756*(1+N($AC756)),"")</f>
      </c>
      <c r="AE756" s="50">
        <v>350</v>
      </c>
      <c r="AF756" s="50">
        <v>0</v>
      </c>
      <c r="AG756" s="51"/>
      <c r="AH756" s="39">
        <f>IF(ISNUMBER($AD756),($AD756+$AE756+$AF756)*$AG756,"")</f>
      </c>
      <c r="AI756" s="50"/>
      <c r="AJ756" s="38">
        <f>IF(ISNUMBER($AD756),SUM($AD756:$AH756),"")</f>
      </c>
      <c r="AK756" s="40">
        <f>IF(AND(ISNUMBER($AB756),ISNUMBER($AD756)),IF($AB756&gt;0,$AD756/$AB756,""),"")</f>
      </c>
      <c r="AL756" s="48" t="inlineStr">
        <is>
          <t xml:space="preserve">At technical</t>
        </is>
      </c>
      <c r="AM756" s="41">
        <f>IF(ISNUMBER($AD756),Header!$I$3,"")</f>
      </c>
      <c r="AN756" s="39">
        <f>IF(ISNUMBER($AD756),$AO756+$AP756,"")</f>
      </c>
      <c r="AO756" s="39">
        <f>IF(ISNUMBER($AD756),ROUND($AD756*Header!$K$3,2),"")</f>
      </c>
      <c r="AP756" s="39">
        <f>IF(ISNUMBER($AD756),ROUND($AD756*Header!$M$3,2),"")</f>
      </c>
      <c r="AQ756" s="38">
        <f>IF(ISNUMBER($AD756),ROUND($AD756,2)-$AO756-$AP756,"")</f>
      </c>
      <c r="AR756" s="39">
        <f>IF(ISNUMBER($AD756),IF(Header!$D$34="","?",$AD756*Header!$D$34),"")</f>
      </c>
      <c r="AS756" s="39">
        <f>IF(ISNUMBER($AB756),IF(Header!$D$34="","?",$AB756*Header!$D$34),"")</f>
      </c>
      <c r="AT756" s="42">
        <f>IF(AND(ISNUMBER($AB756),$M756&gt;0),$AB756/$M756*100,"")</f>
      </c>
      <c r="AU756" s="42">
        <f>IF(AND(ISNUMBER($AD756),$M756&gt;0),$AD756/$M756*100,"")</f>
      </c>
      <c r="AV756" s="40">
        <f>IF(AND(ISNUMBER($AB756),ISNUMBER($AD756),ABS($AB756)&gt;0),$AD756/$AB756,"")</f>
      </c>
      <c r="AW756" s="39">
        <f>IF(ISNUMBER($AD756),MAX(0,(1-0.55-Header!$O$3)*Header!$Q$3*$AQ756),"")</f>
      </c>
      <c r="AX756" s="43">
        <f>IF($A756="","",IF(TRIM(IF($A756="","Missing certificate ref. ","") &amp; IF($C756="","Missing effective date. ","") &amp; IF($D756="","Missing binding status. ","") &amp; IF($E756="","Missing movement type. ","") &amp; IF($I756="","Missing make. ","") &amp; IF($L756="","Missing vehicle class. ","") &amp; IF($M756="","Missing agreed value. ","") &amp; IF($N756="","Missing policy type. ","") &amp; IF($Q756="","Missing garaging state. ","") &amp; IF($R756="","Missing garaging ZIP. ","") &amp; IF($S756="","Missing cat zone. ","") &amp; IF($V756="","Missing valuation basis. ","") &amp; IF($W756="","Missing PD deductible. ","") &amp; IF($X756="","Missing liability limit. ","") &amp; IF($AB756="","Missing technical premium. ","") &amp; IF($AF756="","Missing surplus lines tax %. ",""))="","PASS","FAIL: "&amp;TRIM(IF($A756="","Missing certificate ref. ","") &amp; IF($C756="","Missing effective date. ","") &amp; IF($D756="","Missing binding status. ","") &amp; IF($E756="","Missing movement type. ","") &amp; IF($I756="","Missing make. ","") &amp; IF($L756="","Missing vehicle class. ","") &amp; IF($M756="","Missing agreed value. ","") &amp; IF($N756="","Missing policy type. ","") &amp; IF($Q756="","Missing garaging state. ","") &amp; IF($R756="","Missing garaging ZIP. ","") &amp; IF($S756="","Missing cat zone. ","") &amp; IF($V756="","Missing valuation basis. ","") &amp; IF($W756="","Missing PD deductible. ","") &amp; IF($X756="","Missing liability limit. ","") &amp; IF($AB756="","Missing technical premium. ","") &amp; IF($AF756="","Missing surplus lines tax %. ",""))))</f>
      </c>
      <c r="AY756" s="44">
        <f>IF($M756="","",IF(ISNUMBER($M756),IF($M756&gt;=Header!$C$18,"YES — refer","No"),""))</f>
      </c>
      <c r="AZ756" s="44">
        <f>IF($AD756="","",IF(ISNUMBER($AD756),IF($AD756&lt;Header!$C$20,"BELOW MIN PREMIUM","OK"),""))</f>
      </c>
      <c r="BA756" s="48" t="inlineStr">
        <is>
          <t xml:space="preserve">Yes</t>
        </is>
      </c>
      <c r="BB756" s="48" t="inlineStr">
        <is>
          <t xml:space="preserve">Yes</t>
        </is>
      </c>
      <c r="BC756" s="46" t="inlineStr">
        <is>
          <t xml:space="preserve">Synthetic demo data</t>
        </is>
      </c>
      <c r="BE756" s="45">
        <f>IF(OR($A756="",$L756="",$H756=""),"",IF(AND(LEFT($L756,2)="06",$H756&gt;1945),"FAIL - pre-war class, year "&amp;$H756,IF(AND(LEFT($L756,2)="07",OR($H756&lt;1946,$H756&gt;1972)),"FAIL - 1946-72 class, year "&amp;$H756,IF(AND(LEFT($L756,2)="08",OR($H756&lt;1973,$H756&gt;1999)),"FAIL - 1973-99 class, year "&amp;$H756,IF(AND(LEFT($L756,2)="09",OR($H756&lt;2000,$H756&gt;2010)),"FAIL - 2000-10 class, year "&amp;$H756,"OK")))))</f>
      </c>
      <c r="BF756" s="45">
        <f>IF($AD756="","",IF(ROUND($AO756+$AP756+$AQ756-$AD756,2)=0,"OK","FAIL - out by "&amp;TEXT($AO756+$AP756+$AQ756-$AD756,"$0.00")))</f>
      </c>
    </row>
    <row r="757" spans="1:58" ht="18.75" customHeight="1" x14ac:dyDescent="0.25">
      <c r="A757" s="30" t="inlineStr">
        <is>
          <t xml:space="preserve">CANON-202606-009441</t>
        </is>
      </c>
      <c r="B757" s="30" t="inlineStr">
        <is>
          <t xml:space="preserve">Callum Harrington</t>
        </is>
      </c>
      <c r="C757" s="31">
        <v>46200</v>
      </c>
      <c r="D757" s="32" t="inlineStr">
        <is>
          <t xml:space="preserve">Bound - within authority</t>
        </is>
      </c>
      <c r="E757" s="32" t="inlineStr">
        <is>
          <t xml:space="preserve">New business</t>
        </is>
      </c>
      <c r="F757" s="30" t="inlineStr">
        <is>
          <t xml:space="preserve">B1234EXOTIC26</t>
        </is>
      </c>
      <c r="G757" s="33">
        <f>IF($A757="","",IF($C757="","",YEAR($C757)))</f>
      </c>
      <c r="H757" s="34">
        <v>2002</v>
      </c>
      <c r="I757" s="30" t="inlineStr">
        <is>
          <t xml:space="preserve">Ferrari</t>
        </is>
      </c>
      <c r="J757" s="30" t="inlineStr">
        <is>
          <t xml:space="preserve">275 GTB/4</t>
        </is>
      </c>
      <c r="K757" s="30" t="inlineStr">
        <is>
          <t xml:space="preserve">F1GEBX65L98MU8WP4</t>
        </is>
      </c>
      <c r="L757" s="32" t="inlineStr">
        <is>
          <t xml:space="preserve">09 - Youngtimer / Collectible (2000-2010)</t>
        </is>
      </c>
      <c r="M757" s="35">
        <v>280000</v>
      </c>
      <c r="N757" s="32" t="inlineStr">
        <is>
          <t xml:space="preserve">Personal</t>
        </is>
      </c>
      <c r="O757" s="30" t="inlineStr">
        <is>
          <t xml:space="preserve">Personal - regular use</t>
        </is>
      </c>
      <c r="P757" s="30" t="inlineStr">
        <is>
          <t xml:space="preserve">1,000 - 2,500</t>
        </is>
      </c>
      <c r="Q757" s="30" t="inlineStr">
        <is>
          <t xml:space="preserve">Maine</t>
        </is>
      </c>
      <c r="R757" s="30" t="inlineStr">
        <is>
          <t xml:space="preserve">04101</t>
        </is>
      </c>
      <c r="S757" s="32" t="inlineStr">
        <is>
          <t xml:space="preserve">Tier 3 - Coastal wind (25-100 miles)</t>
        </is>
      </c>
      <c r="T757" s="36">
        <f>IF($A757="","",IF($S757="","",IFERROR(INDEX('[1]natural catastrophe'!$D$6:$D$17,MATCH($S757,'[1]natural catastrophe'!$B$6:$B$17,0)),"?")))</f>
      </c>
      <c r="U757" s="30" t="inlineStr">
        <is>
          <t xml:space="preserve">2% of agreed value, minimum $10,000</t>
        </is>
      </c>
      <c r="V757" s="32" t="inlineStr">
        <is>
          <t xml:space="preserve">Agreed Value</t>
        </is>
      </c>
      <c r="W757" s="30" t="inlineStr">
        <is>
          <t xml:space="preserve">$1,000</t>
        </is>
      </c>
      <c r="X757" s="32" t="inlineStr">
        <is>
          <t xml:space="preserve">$1,000,000 CSL</t>
        </is>
      </c>
      <c r="Y757" s="30"/>
      <c r="Z757" s="30"/>
      <c r="AA757" s="32" t="inlineStr">
        <is>
          <t xml:space="preserve">Surplus Lines</t>
        </is>
      </c>
      <c r="AB757" s="35">
        <v>2094.57</v>
      </c>
      <c r="AC757" s="37">
        <v>0</v>
      </c>
      <c r="AD757" s="38">
        <f>IF(ISNUMBER($AB757),$AB757*(1+N($AC757)),"")</f>
      </c>
      <c r="AE757" s="35">
        <v>350</v>
      </c>
      <c r="AF757" s="35">
        <v>0</v>
      </c>
      <c r="AG757" s="37"/>
      <c r="AH757" s="39">
        <f>IF(ISNUMBER($AD757),($AD757+$AE757+$AF757)*$AG757,"")</f>
      </c>
      <c r="AI757" s="35"/>
      <c r="AJ757" s="38">
        <f>IF(ISNUMBER($AD757),SUM($AD757:$AH757),"")</f>
      </c>
      <c r="AK757" s="40">
        <f>IF(AND(ISNUMBER($AB757),ISNUMBER($AD757)),IF($AB757&gt;0,$AD757/$AB757,""),"")</f>
      </c>
      <c r="AL757" s="32" t="inlineStr">
        <is>
          <t xml:space="preserve">At technical</t>
        </is>
      </c>
      <c r="AM757" s="41">
        <f>IF(ISNUMBER($AD757),Header!$I$3,"")</f>
      </c>
      <c r="AN757" s="39">
        <f>IF(ISNUMBER($AD757),$AO757+$AP757,"")</f>
      </c>
      <c r="AO757" s="39">
        <f>IF(ISNUMBER($AD757),ROUND($AD757*Header!$K$3,2),"")</f>
      </c>
      <c r="AP757" s="39">
        <f>IF(ISNUMBER($AD757),ROUND($AD757*Header!$M$3,2),"")</f>
      </c>
      <c r="AQ757" s="38">
        <f>IF(ISNUMBER($AD757),ROUND($AD757,2)-$AO757-$AP757,"")</f>
      </c>
      <c r="AR757" s="39">
        <f>IF(ISNUMBER($AD757),IF(Header!$D$34="","?",$AD757*Header!$D$34),"")</f>
      </c>
      <c r="AS757" s="39">
        <f>IF(ISNUMBER($AB757),IF(Header!$D$34="","?",$AB757*Header!$D$34),"")</f>
      </c>
      <c r="AT757" s="42">
        <f>IF(AND(ISNUMBER($AB757),$M757&gt;0),$AB757/$M757*100,"")</f>
      </c>
      <c r="AU757" s="42">
        <f>IF(AND(ISNUMBER($AD757),$M757&gt;0),$AD757/$M757*100,"")</f>
      </c>
      <c r="AV757" s="40">
        <f>IF(AND(ISNUMBER($AB757),ISNUMBER($AD757),ABS($AB757)&gt;0),$AD757/$AB757,"")</f>
      </c>
      <c r="AW757" s="39">
        <f>IF(ISNUMBER($AD757),MAX(0,(1-0.55-Header!$O$3)*Header!$Q$3*$AQ757),"")</f>
      </c>
      <c r="AX757" s="43">
        <f>IF($A757="","",IF(TRIM(IF($A757="","Missing certificate ref. ","") &amp; IF($C757="","Missing effective date. ","") &amp; IF($D757="","Missing binding status. ","") &amp; IF($E757="","Missing movement type. ","") &amp; IF($I757="","Missing make. ","") &amp; IF($L757="","Missing vehicle class. ","") &amp; IF($M757="","Missing agreed value. ","") &amp; IF($N757="","Missing policy type. ","") &amp; IF($Q757="","Missing garaging state. ","") &amp; IF($R757="","Missing garaging ZIP. ","") &amp; IF($S757="","Missing cat zone. ","") &amp; IF($V757="","Missing valuation basis. ","") &amp; IF($W757="","Missing PD deductible. ","") &amp; IF($X757="","Missing liability limit. ","") &amp; IF($AB757="","Missing technical premium. ","") &amp; IF($AF757="","Missing surplus lines tax %. ",""))="","PASS","FAIL: "&amp;TRIM(IF($A757="","Missing certificate ref. ","") &amp; IF($C757="","Missing effective date. ","") &amp; IF($D757="","Missing binding status. ","") &amp; IF($E757="","Missing movement type. ","") &amp; IF($I757="","Missing make. ","") &amp; IF($L757="","Missing vehicle class. ","") &amp; IF($M757="","Missing agreed value. ","") &amp; IF($N757="","Missing policy type. ","") &amp; IF($Q757="","Missing garaging state. ","") &amp; IF($R757="","Missing garaging ZIP. ","") &amp; IF($S757="","Missing cat zone. ","") &amp; IF($V757="","Missing valuation basis. ","") &amp; IF($W757="","Missing PD deductible. ","") &amp; IF($X757="","Missing liability limit. ","") &amp; IF($AB757="","Missing technical premium. ","") &amp; IF($AF757="","Missing surplus lines tax %. ",""))))</f>
      </c>
      <c r="AY757" s="44">
        <f>IF($M757="","",IF(ISNUMBER($M757),IF($M757&gt;=Header!$C$18,"YES — refer","No"),""))</f>
      </c>
      <c r="AZ757" s="44">
        <f>IF($AD757="","",IF(ISNUMBER($AD757),IF($AD757&lt;Header!$C$20,"BELOW MIN PREMIUM","OK"),""))</f>
      </c>
      <c r="BA757" s="32" t="inlineStr">
        <is>
          <t xml:space="preserve">Yes</t>
        </is>
      </c>
      <c r="BB757" s="32" t="inlineStr">
        <is>
          <t xml:space="preserve">Yes</t>
        </is>
      </c>
      <c r="BC757" s="30" t="inlineStr">
        <is>
          <t xml:space="preserve">Synthetic demo data</t>
        </is>
      </c>
      <c r="BE757" s="45">
        <f>IF(OR($A757="",$L757="",$H757=""),"",IF(AND(LEFT($L757,2)="06",$H757&gt;1945),"FAIL - pre-war class, year "&amp;$H757,IF(AND(LEFT($L757,2)="07",OR($H757&lt;1946,$H757&gt;1972)),"FAIL - 1946-72 class, year "&amp;$H757,IF(AND(LEFT($L757,2)="08",OR($H757&lt;1973,$H757&gt;1999)),"FAIL - 1973-99 class, year "&amp;$H757,IF(AND(LEFT($L757,2)="09",OR($H757&lt;2000,$H757&gt;2010)),"FAIL - 2000-10 class, year "&amp;$H757,"OK")))))</f>
      </c>
      <c r="BF757" s="45">
        <f>IF($AD757="","",IF(ROUND($AO757+$AP757+$AQ757-$AD757,2)=0,"OK","FAIL - out by "&amp;TEXT($AO757+$AP757+$AQ757-$AD757,"$0.00")))</f>
      </c>
    </row>
    <row r="758" spans="1:58" ht="18.75" customHeight="1" x14ac:dyDescent="0.25">
      <c r="A758" s="46" t="inlineStr">
        <is>
          <t xml:space="preserve">CANON-202606-009442</t>
        </is>
      </c>
      <c r="B758" s="46" t="inlineStr">
        <is>
          <t xml:space="preserve">Lorenzo Nakashima</t>
        </is>
      </c>
      <c r="C758" s="47">
        <v>46192</v>
      </c>
      <c r="D758" s="48" t="inlineStr">
        <is>
          <t xml:space="preserve">Bound - within authority</t>
        </is>
      </c>
      <c r="E758" s="48" t="inlineStr">
        <is>
          <t xml:space="preserve">New business</t>
        </is>
      </c>
      <c r="F758" s="46" t="inlineStr">
        <is>
          <t xml:space="preserve">B1234EXOTIC26</t>
        </is>
      </c>
      <c r="G758" s="33">
        <f>IF($A758="","",IF($C758="","",YEAR($C758)))</f>
      </c>
      <c r="H758" s="49">
        <v>2011</v>
      </c>
      <c r="I758" s="46" t="inlineStr">
        <is>
          <t xml:space="preserve">Ferrari</t>
        </is>
      </c>
      <c r="J758" s="46" t="inlineStr">
        <is>
          <t xml:space="preserve">SF90 Stradale</t>
        </is>
      </c>
      <c r="K758" s="46" t="inlineStr">
        <is>
          <t xml:space="preserve">PPS59ZFA742VRU42P</t>
        </is>
      </c>
      <c r="L758" s="48" t="inlineStr">
        <is>
          <t xml:space="preserve">03 - Supercar</t>
        </is>
      </c>
      <c r="M758" s="50">
        <v>305000</v>
      </c>
      <c r="N758" s="48" t="inlineStr">
        <is>
          <t xml:space="preserve">Personal</t>
        </is>
      </c>
      <c r="O758" s="46" t="inlineStr">
        <is>
          <t xml:space="preserve">Personal - regular use</t>
        </is>
      </c>
      <c r="P758" s="46" t="inlineStr">
        <is>
          <t xml:space="preserve">2,500 - 5,000</t>
        </is>
      </c>
      <c r="Q758" s="46" t="inlineStr">
        <is>
          <t xml:space="preserve">Washington</t>
        </is>
      </c>
      <c r="R758" s="46" t="inlineStr">
        <is>
          <t xml:space="preserve">98101</t>
        </is>
      </c>
      <c r="S758" s="48" t="inlineStr">
        <is>
          <t xml:space="preserve">Earthquake - high (CA, Cascadia, New Madrid)</t>
        </is>
      </c>
      <c r="T758" s="36">
        <f>IF($A758="","",IF($S758="","",IFERROR(INDEX('[1]natural catastrophe'!$D$6:$D$17,MATCH($S758,'[1]natural catastrophe'!$B$6:$B$17,0)),"?")))</f>
      </c>
      <c r="U758" s="46" t="inlineStr">
        <is>
          <t xml:space="preserve">$5,000</t>
        </is>
      </c>
      <c r="V758" s="48" t="inlineStr">
        <is>
          <t xml:space="preserve">Agreed Value</t>
        </is>
      </c>
      <c r="W758" s="46" t="inlineStr">
        <is>
          <t xml:space="preserve">$1,000</t>
        </is>
      </c>
      <c r="X758" s="48" t="inlineStr">
        <is>
          <t xml:space="preserve">$1,000,000 CSL</t>
        </is>
      </c>
      <c r="Y758" s="46"/>
      <c r="Z758" s="46"/>
      <c r="AA758" s="48" t="inlineStr">
        <is>
          <t xml:space="preserve">Surplus Lines</t>
        </is>
      </c>
      <c r="AB758" s="50">
        <v>4858.94</v>
      </c>
      <c r="AC758" s="51">
        <v>0</v>
      </c>
      <c r="AD758" s="38">
        <f>IF(ISNUMBER($AB758),$AB758*(1+N($AC758)),"")</f>
      </c>
      <c r="AE758" s="50">
        <v>350</v>
      </c>
      <c r="AF758" s="50">
        <v>0</v>
      </c>
      <c r="AG758" s="51"/>
      <c r="AH758" s="39">
        <f>IF(ISNUMBER($AD758),($AD758+$AE758+$AF758)*$AG758,"")</f>
      </c>
      <c r="AI758" s="50"/>
      <c r="AJ758" s="38">
        <f>IF(ISNUMBER($AD758),SUM($AD758:$AH758),"")</f>
      </c>
      <c r="AK758" s="40">
        <f>IF(AND(ISNUMBER($AB758),ISNUMBER($AD758)),IF($AB758&gt;0,$AD758/$AB758,""),"")</f>
      </c>
      <c r="AL758" s="48" t="inlineStr">
        <is>
          <t xml:space="preserve">At technical</t>
        </is>
      </c>
      <c r="AM758" s="41">
        <f>IF(ISNUMBER($AD758),Header!$I$3,"")</f>
      </c>
      <c r="AN758" s="39">
        <f>IF(ISNUMBER($AD758),$AO758+$AP758,"")</f>
      </c>
      <c r="AO758" s="39">
        <f>IF(ISNUMBER($AD758),ROUND($AD758*Header!$K$3,2),"")</f>
      </c>
      <c r="AP758" s="39">
        <f>IF(ISNUMBER($AD758),ROUND($AD758*Header!$M$3,2),"")</f>
      </c>
      <c r="AQ758" s="38">
        <f>IF(ISNUMBER($AD758),ROUND($AD758,2)-$AO758-$AP758,"")</f>
      </c>
      <c r="AR758" s="39">
        <f>IF(ISNUMBER($AD758),IF(Header!$D$34="","?",$AD758*Header!$D$34),"")</f>
      </c>
      <c r="AS758" s="39">
        <f>IF(ISNUMBER($AB758),IF(Header!$D$34="","?",$AB758*Header!$D$34),"")</f>
      </c>
      <c r="AT758" s="42">
        <f>IF(AND(ISNUMBER($AB758),$M758&gt;0),$AB758/$M758*100,"")</f>
      </c>
      <c r="AU758" s="42">
        <f>IF(AND(ISNUMBER($AD758),$M758&gt;0),$AD758/$M758*100,"")</f>
      </c>
      <c r="AV758" s="40">
        <f>IF(AND(ISNUMBER($AB758),ISNUMBER($AD758),ABS($AB758)&gt;0),$AD758/$AB758,"")</f>
      </c>
      <c r="AW758" s="39">
        <f>IF(ISNUMBER($AD758),MAX(0,(1-0.55-Header!$O$3)*Header!$Q$3*$AQ758),"")</f>
      </c>
      <c r="AX758" s="43">
        <f>IF($A758="","",IF(TRIM(IF($A758="","Missing certificate ref. ","") &amp; IF($C758="","Missing effective date. ","") &amp; IF($D758="","Missing binding status. ","") &amp; IF($E758="","Missing movement type. ","") &amp; IF($I758="","Missing make. ","") &amp; IF($L758="","Missing vehicle class. ","") &amp; IF($M758="","Missing agreed value. ","") &amp; IF($N758="","Missing policy type. ","") &amp; IF($Q758="","Missing garaging state. ","") &amp; IF($R758="","Missing garaging ZIP. ","") &amp; IF($S758="","Missing cat zone. ","") &amp; IF($V758="","Missing valuation basis. ","") &amp; IF($W758="","Missing PD deductible. ","") &amp; IF($X758="","Missing liability limit. ","") &amp; IF($AB758="","Missing technical premium. ","") &amp; IF($AF758="","Missing surplus lines tax %. ",""))="","PASS","FAIL: "&amp;TRIM(IF($A758="","Missing certificate ref. ","") &amp; IF($C758="","Missing effective date. ","") &amp; IF($D758="","Missing binding status. ","") &amp; IF($E758="","Missing movement type. ","") &amp; IF($I758="","Missing make. ","") &amp; IF($L758="","Missing vehicle class. ","") &amp; IF($M758="","Missing agreed value. ","") &amp; IF($N758="","Missing policy type. ","") &amp; IF($Q758="","Missing garaging state. ","") &amp; IF($R758="","Missing garaging ZIP. ","") &amp; IF($S758="","Missing cat zone. ","") &amp; IF($V758="","Missing valuation basis. ","") &amp; IF($W758="","Missing PD deductible. ","") &amp; IF($X758="","Missing liability limit. ","") &amp; IF($AB758="","Missing technical premium. ","") &amp; IF($AF758="","Missing surplus lines tax %. ",""))))</f>
      </c>
      <c r="AY758" s="44">
        <f>IF($M758="","",IF(ISNUMBER($M758),IF($M758&gt;=Header!$C$18,"YES — refer","No"),""))</f>
      </c>
      <c r="AZ758" s="44">
        <f>IF($AD758="","",IF(ISNUMBER($AD758),IF($AD758&lt;Header!$C$20,"BELOW MIN PREMIUM","OK"),""))</f>
      </c>
      <c r="BA758" s="48" t="inlineStr">
        <is>
          <t xml:space="preserve">Yes</t>
        </is>
      </c>
      <c r="BB758" s="48" t="inlineStr">
        <is>
          <t xml:space="preserve">Yes</t>
        </is>
      </c>
      <c r="BC758" s="46" t="inlineStr">
        <is>
          <t xml:space="preserve">Synthetic demo data</t>
        </is>
      </c>
      <c r="BE758" s="45">
        <f>IF(OR($A758="",$L758="",$H758=""),"",IF(AND(LEFT($L758,2)="06",$H758&gt;1945),"FAIL - pre-war class, year "&amp;$H758,IF(AND(LEFT($L758,2)="07",OR($H758&lt;1946,$H758&gt;1972)),"FAIL - 1946-72 class, year "&amp;$H758,IF(AND(LEFT($L758,2)="08",OR($H758&lt;1973,$H758&gt;1999)),"FAIL - 1973-99 class, year "&amp;$H758,IF(AND(LEFT($L758,2)="09",OR($H758&lt;2000,$H758&gt;2010)),"FAIL - 2000-10 class, year "&amp;$H758,"OK")))))</f>
      </c>
      <c r="BF758" s="45">
        <f>IF($AD758="","",IF(ROUND($AO758+$AP758+$AQ758-$AD758,2)=0,"OK","FAIL - out by "&amp;TEXT($AO758+$AP758+$AQ758-$AD758,"$0.00")))</f>
      </c>
    </row>
    <row r="759" spans="1:58" ht="18.75" customHeight="1" x14ac:dyDescent="0.25">
      <c r="A759" s="30" t="inlineStr">
        <is>
          <t xml:space="preserve">CANON-202606-009443</t>
        </is>
      </c>
      <c r="B759" s="30" t="inlineStr">
        <is>
          <t xml:space="preserve">Anouk Blackwood</t>
        </is>
      </c>
      <c r="C759" s="31">
        <v>46188</v>
      </c>
      <c r="D759" s="32" t="inlineStr">
        <is>
          <t xml:space="preserve">Bound - within authority</t>
        </is>
      </c>
      <c r="E759" s="32" t="inlineStr">
        <is>
          <t xml:space="preserve">New business</t>
        </is>
      </c>
      <c r="F759" s="30" t="inlineStr">
        <is>
          <t xml:space="preserve">B1234EXOTIC26</t>
        </is>
      </c>
      <c r="G759" s="33">
        <f>IF($A759="","",IF($C759="","",YEAR($C759)))</f>
      </c>
      <c r="H759" s="34">
        <v>1981</v>
      </c>
      <c r="I759" s="30" t="inlineStr">
        <is>
          <t xml:space="preserve">Bentley</t>
        </is>
      </c>
      <c r="J759" s="30" t="inlineStr">
        <is>
          <t xml:space="preserve">Continental GT</t>
        </is>
      </c>
      <c r="K759" s="30" t="inlineStr">
        <is>
          <t xml:space="preserve">VMBVUBHRX7AHPX3ST</t>
        </is>
      </c>
      <c r="L759" s="32" t="inlineStr">
        <is>
          <t xml:space="preserve">02 - Sports / GT</t>
        </is>
      </c>
      <c r="M759" s="35">
        <v>415000</v>
      </c>
      <c r="N759" s="32" t="inlineStr">
        <is>
          <t xml:space="preserve">Personal</t>
        </is>
      </c>
      <c r="O759" s="30" t="inlineStr">
        <is>
          <t xml:space="preserve">Personal - regular use</t>
        </is>
      </c>
      <c r="P759" s="30" t="inlineStr">
        <is>
          <t xml:space="preserve">1,000 - 2,500</t>
        </is>
      </c>
      <c r="Q759" s="30" t="inlineStr">
        <is>
          <t xml:space="preserve">Utah</t>
        </is>
      </c>
      <c r="R759" s="30" t="inlineStr">
        <is>
          <t xml:space="preserve">84101</t>
        </is>
      </c>
      <c r="S759" s="32" t="inlineStr">
        <is>
          <t xml:space="preserve">Wildfire - WUI high hazard</t>
        </is>
      </c>
      <c r="T759" s="36">
        <f>IF($A759="","",IF($S759="","",IFERROR(INDEX('[1]natural catastrophe'!$D$6:$D$17,MATCH($S759,'[1]natural catastrophe'!$B$6:$B$17,0)),"?")))</f>
      </c>
      <c r="U759" s="30" t="inlineStr">
        <is>
          <t xml:space="preserve">$5,000</t>
        </is>
      </c>
      <c r="V759" s="32" t="inlineStr">
        <is>
          <t xml:space="preserve">Agreed Value</t>
        </is>
      </c>
      <c r="W759" s="30" t="inlineStr">
        <is>
          <t xml:space="preserve">$1,000</t>
        </is>
      </c>
      <c r="X759" s="32" t="inlineStr">
        <is>
          <t xml:space="preserve">$1,000,000 CSL</t>
        </is>
      </c>
      <c r="Y759" s="30"/>
      <c r="Z759" s="30"/>
      <c r="AA759" s="32" t="inlineStr">
        <is>
          <t xml:space="preserve">Surplus Lines</t>
        </is>
      </c>
      <c r="AB759" s="35">
        <v>6063.39</v>
      </c>
      <c r="AC759" s="37">
        <v>0</v>
      </c>
      <c r="AD759" s="38">
        <f>IF(ISNUMBER($AB759),$AB759*(1+N($AC759)),"")</f>
      </c>
      <c r="AE759" s="35">
        <v>350</v>
      </c>
      <c r="AF759" s="35">
        <v>0</v>
      </c>
      <c r="AG759" s="37"/>
      <c r="AH759" s="39">
        <f>IF(ISNUMBER($AD759),($AD759+$AE759+$AF759)*$AG759,"")</f>
      </c>
      <c r="AI759" s="35"/>
      <c r="AJ759" s="38">
        <f>IF(ISNUMBER($AD759),SUM($AD759:$AH759),"")</f>
      </c>
      <c r="AK759" s="40">
        <f>IF(AND(ISNUMBER($AB759),ISNUMBER($AD759)),IF($AB759&gt;0,$AD759/$AB759,""),"")</f>
      </c>
      <c r="AL759" s="32" t="inlineStr">
        <is>
          <t xml:space="preserve">At technical</t>
        </is>
      </c>
      <c r="AM759" s="41">
        <f>IF(ISNUMBER($AD759),Header!$I$3,"")</f>
      </c>
      <c r="AN759" s="39">
        <f>IF(ISNUMBER($AD759),$AO759+$AP759,"")</f>
      </c>
      <c r="AO759" s="39">
        <f>IF(ISNUMBER($AD759),ROUND($AD759*Header!$K$3,2),"")</f>
      </c>
      <c r="AP759" s="39">
        <f>IF(ISNUMBER($AD759),ROUND($AD759*Header!$M$3,2),"")</f>
      </c>
      <c r="AQ759" s="38">
        <f>IF(ISNUMBER($AD759),ROUND($AD759,2)-$AO759-$AP759,"")</f>
      </c>
      <c r="AR759" s="39">
        <f>IF(ISNUMBER($AD759),IF(Header!$D$34="","?",$AD759*Header!$D$34),"")</f>
      </c>
      <c r="AS759" s="39">
        <f>IF(ISNUMBER($AB759),IF(Header!$D$34="","?",$AB759*Header!$D$34),"")</f>
      </c>
      <c r="AT759" s="42">
        <f>IF(AND(ISNUMBER($AB759),$M759&gt;0),$AB759/$M759*100,"")</f>
      </c>
      <c r="AU759" s="42">
        <f>IF(AND(ISNUMBER($AD759),$M759&gt;0),$AD759/$M759*100,"")</f>
      </c>
      <c r="AV759" s="40">
        <f>IF(AND(ISNUMBER($AB759),ISNUMBER($AD759),ABS($AB759)&gt;0),$AD759/$AB759,"")</f>
      </c>
      <c r="AW759" s="39">
        <f>IF(ISNUMBER($AD759),MAX(0,(1-0.55-Header!$O$3)*Header!$Q$3*$AQ759),"")</f>
      </c>
      <c r="AX759" s="43">
        <f>IF($A759="","",IF(TRIM(IF($A759="","Missing certificate ref. ","") &amp; IF($C759="","Missing effective date. ","") &amp; IF($D759="","Missing binding status. ","") &amp; IF($E759="","Missing movement type. ","") &amp; IF($I759="","Missing make. ","") &amp; IF($L759="","Missing vehicle class. ","") &amp; IF($M759="","Missing agreed value. ","") &amp; IF($N759="","Missing policy type. ","") &amp; IF($Q759="","Missing garaging state. ","") &amp; IF($R759="","Missing garaging ZIP. ","") &amp; IF($S759="","Missing cat zone. ","") &amp; IF($V759="","Missing valuation basis. ","") &amp; IF($W759="","Missing PD deductible. ","") &amp; IF($X759="","Missing liability limit. ","") &amp; IF($AB759="","Missing technical premium. ","") &amp; IF($AF759="","Missing surplus lines tax %. ",""))="","PASS","FAIL: "&amp;TRIM(IF($A759="","Missing certificate ref. ","") &amp; IF($C759="","Missing effective date. ","") &amp; IF($D759="","Missing binding status. ","") &amp; IF($E759="","Missing movement type. ","") &amp; IF($I759="","Missing make. ","") &amp; IF($L759="","Missing vehicle class. ","") &amp; IF($M759="","Missing agreed value. ","") &amp; IF($N759="","Missing policy type. ","") &amp; IF($Q759="","Missing garaging state. ","") &amp; IF($R759="","Missing garaging ZIP. ","") &amp; IF($S759="","Missing cat zone. ","") &amp; IF($V759="","Missing valuation basis. ","") &amp; IF($W759="","Missing PD deductible. ","") &amp; IF($X759="","Missing liability limit. ","") &amp; IF($AB759="","Missing technical premium. ","") &amp; IF($AF759="","Missing surplus lines tax %. ",""))))</f>
      </c>
      <c r="AY759" s="44">
        <f>IF($M759="","",IF(ISNUMBER($M759),IF($M759&gt;=Header!$C$18,"YES — refer","No"),""))</f>
      </c>
      <c r="AZ759" s="44">
        <f>IF($AD759="","",IF(ISNUMBER($AD759),IF($AD759&lt;Header!$C$20,"BELOW MIN PREMIUM","OK"),""))</f>
      </c>
      <c r="BA759" s="32" t="inlineStr">
        <is>
          <t xml:space="preserve">Yes</t>
        </is>
      </c>
      <c r="BB759" s="32" t="inlineStr">
        <is>
          <t xml:space="preserve">Yes</t>
        </is>
      </c>
      <c r="BC759" s="30" t="inlineStr">
        <is>
          <t xml:space="preserve">Synthetic demo data</t>
        </is>
      </c>
      <c r="BE759" s="45">
        <f>IF(OR($A759="",$L759="",$H759=""),"",IF(AND(LEFT($L759,2)="06",$H759&gt;1945),"FAIL - pre-war class, year "&amp;$H759,IF(AND(LEFT($L759,2)="07",OR($H759&lt;1946,$H759&gt;1972)),"FAIL - 1946-72 class, year "&amp;$H759,IF(AND(LEFT($L759,2)="08",OR($H759&lt;1973,$H759&gt;1999)),"FAIL - 1973-99 class, year "&amp;$H759,IF(AND(LEFT($L759,2)="09",OR($H759&lt;2000,$H759&gt;2010)),"FAIL - 2000-10 class, year "&amp;$H759,"OK")))))</f>
      </c>
      <c r="BF759" s="45">
        <f>IF($AD759="","",IF(ROUND($AO759+$AP759+$AQ759-$AD759,2)=0,"OK","FAIL - out by "&amp;TEXT($AO759+$AP759+$AQ759-$AD759,"$0.00")))</f>
      </c>
    </row>
    <row r="760" spans="1:58" ht="18.75" customHeight="1" x14ac:dyDescent="0.25">
      <c r="A760" s="46" t="inlineStr">
        <is>
          <t xml:space="preserve">CANON-202606-009444</t>
        </is>
      </c>
      <c r="B760" s="46" t="inlineStr">
        <is>
          <t xml:space="preserve">Mireille Larsson</t>
        </is>
      </c>
      <c r="C760" s="47">
        <v>46196</v>
      </c>
      <c r="D760" s="48" t="inlineStr">
        <is>
          <t xml:space="preserve">Bound - within authority</t>
        </is>
      </c>
      <c r="E760" s="48" t="inlineStr">
        <is>
          <t xml:space="preserve">New business</t>
        </is>
      </c>
      <c r="F760" s="46" t="inlineStr">
        <is>
          <t xml:space="preserve">B1234EXOTIC26</t>
        </is>
      </c>
      <c r="G760" s="33">
        <f>IF($A760="","",IF($C760="","",YEAR($C760)))</f>
      </c>
      <c r="H760" s="49">
        <v>1963</v>
      </c>
      <c r="I760" s="46" t="inlineStr">
        <is>
          <t xml:space="preserve">Bentley</t>
        </is>
      </c>
      <c r="J760" s="46" t="inlineStr">
        <is>
          <t xml:space="preserve">Continental GT</t>
        </is>
      </c>
      <c r="K760" s="46" t="inlineStr">
        <is>
          <t xml:space="preserve">B5VN33HX0SLDSN9JH</t>
        </is>
      </c>
      <c r="L760" s="48" t="inlineStr">
        <is>
          <t xml:space="preserve">02 - Sports / GT</t>
        </is>
      </c>
      <c r="M760" s="50">
        <v>305000</v>
      </c>
      <c r="N760" s="48" t="inlineStr">
        <is>
          <t xml:space="preserve">Personal</t>
        </is>
      </c>
      <c r="O760" s="46" t="inlineStr">
        <is>
          <t xml:space="preserve">Personal - regular use</t>
        </is>
      </c>
      <c r="P760" s="46" t="inlineStr">
        <is>
          <t xml:space="preserve">1,000 - 2,500</t>
        </is>
      </c>
      <c r="Q760" s="46" t="inlineStr">
        <is>
          <t xml:space="preserve">New York</t>
        </is>
      </c>
      <c r="R760" s="46" t="inlineStr">
        <is>
          <t xml:space="preserve">10022</t>
        </is>
      </c>
      <c r="S760" s="48" t="inlineStr">
        <is>
          <t xml:space="preserve">Tier 3 - Coastal wind (25-100 miles)</t>
        </is>
      </c>
      <c r="T760" s="36">
        <f>IF($A760="","",IF($S760="","",IFERROR(INDEX('[1]natural catastrophe'!$D$6:$D$17,MATCH($S760,'[1]natural catastrophe'!$B$6:$B$17,0)),"?")))</f>
      </c>
      <c r="U760" s="46" t="inlineStr">
        <is>
          <t xml:space="preserve">2% of agreed value, minimum $10,000</t>
        </is>
      </c>
      <c r="V760" s="48" t="inlineStr">
        <is>
          <t xml:space="preserve">Agreed Value</t>
        </is>
      </c>
      <c r="W760" s="46" t="inlineStr">
        <is>
          <t xml:space="preserve">$1,000</t>
        </is>
      </c>
      <c r="X760" s="48" t="inlineStr">
        <is>
          <t xml:space="preserve">$1,000,000 CSL</t>
        </is>
      </c>
      <c r="Y760" s="46"/>
      <c r="Z760" s="46"/>
      <c r="AA760" s="48" t="inlineStr">
        <is>
          <t xml:space="preserve">Surplus Lines</t>
        </is>
      </c>
      <c r="AB760" s="50">
        <v>4225.16</v>
      </c>
      <c r="AC760" s="51">
        <v>0</v>
      </c>
      <c r="AD760" s="38">
        <f>IF(ISNUMBER($AB760),$AB760*(1+N($AC760)),"")</f>
      </c>
      <c r="AE760" s="50">
        <v>350</v>
      </c>
      <c r="AF760" s="50">
        <v>0</v>
      </c>
      <c r="AG760" s="51"/>
      <c r="AH760" s="39">
        <f>IF(ISNUMBER($AD760),($AD760+$AE760+$AF760)*$AG760,"")</f>
      </c>
      <c r="AI760" s="50"/>
      <c r="AJ760" s="38">
        <f>IF(ISNUMBER($AD760),SUM($AD760:$AH760),"")</f>
      </c>
      <c r="AK760" s="40">
        <f>IF(AND(ISNUMBER($AB760),ISNUMBER($AD760)),IF($AB760&gt;0,$AD760/$AB760,""),"")</f>
      </c>
      <c r="AL760" s="48" t="inlineStr">
        <is>
          <t xml:space="preserve">At technical</t>
        </is>
      </c>
      <c r="AM760" s="41">
        <f>IF(ISNUMBER($AD760),Header!$I$3,"")</f>
      </c>
      <c r="AN760" s="39">
        <f>IF(ISNUMBER($AD760),$AO760+$AP760,"")</f>
      </c>
      <c r="AO760" s="39">
        <f>IF(ISNUMBER($AD760),ROUND($AD760*Header!$K$3,2),"")</f>
      </c>
      <c r="AP760" s="39">
        <f>IF(ISNUMBER($AD760),ROUND($AD760*Header!$M$3,2),"")</f>
      </c>
      <c r="AQ760" s="38">
        <f>IF(ISNUMBER($AD760),ROUND($AD760,2)-$AO760-$AP760,"")</f>
      </c>
      <c r="AR760" s="39">
        <f>IF(ISNUMBER($AD760),IF(Header!$D$34="","?",$AD760*Header!$D$34),"")</f>
      </c>
      <c r="AS760" s="39">
        <f>IF(ISNUMBER($AB760),IF(Header!$D$34="","?",$AB760*Header!$D$34),"")</f>
      </c>
      <c r="AT760" s="42">
        <f>IF(AND(ISNUMBER($AB760),$M760&gt;0),$AB760/$M760*100,"")</f>
      </c>
      <c r="AU760" s="42">
        <f>IF(AND(ISNUMBER($AD760),$M760&gt;0),$AD760/$M760*100,"")</f>
      </c>
      <c r="AV760" s="40">
        <f>IF(AND(ISNUMBER($AB760),ISNUMBER($AD760),ABS($AB760)&gt;0),$AD760/$AB760,"")</f>
      </c>
      <c r="AW760" s="39">
        <f>IF(ISNUMBER($AD760),MAX(0,(1-0.55-Header!$O$3)*Header!$Q$3*$AQ760),"")</f>
      </c>
      <c r="AX760" s="43">
        <f>IF($A760="","",IF(TRIM(IF($A760="","Missing certificate ref. ","") &amp; IF($C760="","Missing effective date. ","") &amp; IF($D760="","Missing binding status. ","") &amp; IF($E760="","Missing movement type. ","") &amp; IF($I760="","Missing make. ","") &amp; IF($L760="","Missing vehicle class. ","") &amp; IF($M760="","Missing agreed value. ","") &amp; IF($N760="","Missing policy type. ","") &amp; IF($Q760="","Missing garaging state. ","") &amp; IF($R760="","Missing garaging ZIP. ","") &amp; IF($S760="","Missing cat zone. ","") &amp; IF($V760="","Missing valuation basis. ","") &amp; IF($W760="","Missing PD deductible. ","") &amp; IF($X760="","Missing liability limit. ","") &amp; IF($AB760="","Missing technical premium. ","") &amp; IF($AF760="","Missing surplus lines tax %. ",""))="","PASS","FAIL: "&amp;TRIM(IF($A760="","Missing certificate ref. ","") &amp; IF($C760="","Missing effective date. ","") &amp; IF($D760="","Missing binding status. ","") &amp; IF($E760="","Missing movement type. ","") &amp; IF($I760="","Missing make. ","") &amp; IF($L760="","Missing vehicle class. ","") &amp; IF($M760="","Missing agreed value. ","") &amp; IF($N760="","Missing policy type. ","") &amp; IF($Q760="","Missing garaging state. ","") &amp; IF($R760="","Missing garaging ZIP. ","") &amp; IF($S760="","Missing cat zone. ","") &amp; IF($V760="","Missing valuation basis. ","") &amp; IF($W760="","Missing PD deductible. ","") &amp; IF($X760="","Missing liability limit. ","") &amp; IF($AB760="","Missing technical premium. ","") &amp; IF($AF760="","Missing surplus lines tax %. ",""))))</f>
      </c>
      <c r="AY760" s="44">
        <f>IF($M760="","",IF(ISNUMBER($M760),IF($M760&gt;=Header!$C$18,"YES — refer","No"),""))</f>
      </c>
      <c r="AZ760" s="44">
        <f>IF($AD760="","",IF(ISNUMBER($AD760),IF($AD760&lt;Header!$C$20,"BELOW MIN PREMIUM","OK"),""))</f>
      </c>
      <c r="BA760" s="48" t="inlineStr">
        <is>
          <t xml:space="preserve">Yes</t>
        </is>
      </c>
      <c r="BB760" s="48" t="inlineStr">
        <is>
          <t xml:space="preserve">Yes</t>
        </is>
      </c>
      <c r="BC760" s="46" t="inlineStr">
        <is>
          <t xml:space="preserve">Synthetic demo data</t>
        </is>
      </c>
      <c r="BE760" s="45">
        <f>IF(OR($A760="",$L760="",$H760=""),"",IF(AND(LEFT($L760,2)="06",$H760&gt;1945),"FAIL - pre-war class, year "&amp;$H760,IF(AND(LEFT($L760,2)="07",OR($H760&lt;1946,$H760&gt;1972)),"FAIL - 1946-72 class, year "&amp;$H760,IF(AND(LEFT($L760,2)="08",OR($H760&lt;1973,$H760&gt;1999)),"FAIL - 1973-99 class, year "&amp;$H760,IF(AND(LEFT($L760,2)="09",OR($H760&lt;2000,$H760&gt;2010)),"FAIL - 2000-10 class, year "&amp;$H760,"OK")))))</f>
      </c>
      <c r="BF760" s="45">
        <f>IF($AD760="","",IF(ROUND($AO760+$AP760+$AQ760-$AD760,2)=0,"OK","FAIL - out by "&amp;TEXT($AO760+$AP760+$AQ760-$AD760,"$0.00")))</f>
      </c>
    </row>
    <row r="761" spans="1:58" ht="18.75" customHeight="1" x14ac:dyDescent="0.25">
      <c r="A761" s="30" t="inlineStr">
        <is>
          <t xml:space="preserve">CANON-202606-009445</t>
        </is>
      </c>
      <c r="B761" s="30" t="inlineStr">
        <is>
          <t xml:space="preserve">Wilhelmina Larsson</t>
        </is>
      </c>
      <c r="C761" s="31">
        <v>46194</v>
      </c>
      <c r="D761" s="32" t="inlineStr">
        <is>
          <t xml:space="preserve">Bound - within authority</t>
        </is>
      </c>
      <c r="E761" s="32" t="inlineStr">
        <is>
          <t xml:space="preserve">New business</t>
        </is>
      </c>
      <c r="F761" s="30" t="inlineStr">
        <is>
          <t xml:space="preserve">B1234EXOTIC26</t>
        </is>
      </c>
      <c r="G761" s="33">
        <f>IF($A761="","",IF($C761="","",YEAR($C761)))</f>
      </c>
      <c r="H761" s="34">
        <v>1989</v>
      </c>
      <c r="I761" s="30" t="inlineStr">
        <is>
          <t xml:space="preserve">Ferrari</t>
        </is>
      </c>
      <c r="J761" s="30" t="inlineStr">
        <is>
          <t xml:space="preserve">SF90 Stradale</t>
        </is>
      </c>
      <c r="K761" s="30" t="inlineStr">
        <is>
          <t xml:space="preserve">TMCU0ZCANPBXT3Y6F</t>
        </is>
      </c>
      <c r="L761" s="32" t="inlineStr">
        <is>
          <t xml:space="preserve">03 - Supercar</t>
        </is>
      </c>
      <c r="M761" s="35">
        <v>1935000</v>
      </c>
      <c r="N761" s="32" t="inlineStr">
        <is>
          <t xml:space="preserve">Personal</t>
        </is>
      </c>
      <c r="O761" s="30" t="inlineStr">
        <is>
          <t xml:space="preserve">Personal - regular use</t>
        </is>
      </c>
      <c r="P761" s="30" t="inlineStr">
        <is>
          <t xml:space="preserve">1,000 - 2,500</t>
        </is>
      </c>
      <c r="Q761" s="30" t="inlineStr">
        <is>
          <t xml:space="preserve">Kentucky</t>
        </is>
      </c>
      <c r="R761" s="30" t="inlineStr">
        <is>
          <t xml:space="preserve">40202</t>
        </is>
      </c>
      <c r="S761" s="32" t="inlineStr">
        <is>
          <t xml:space="preserve">Severe convective - hail / tornado (moderate)</t>
        </is>
      </c>
      <c r="T761" s="36">
        <f>IF($A761="","",IF($S761="","",IFERROR(INDEX('[1]natural catastrophe'!$D$6:$D$17,MATCH($S761,'[1]natural catastrophe'!$B$6:$B$17,0)),"?")))</f>
      </c>
      <c r="U761" s="30" t="inlineStr">
        <is>
          <t xml:space="preserve">$5,000</t>
        </is>
      </c>
      <c r="V761" s="32" t="inlineStr">
        <is>
          <t xml:space="preserve">Agreed Value</t>
        </is>
      </c>
      <c r="W761" s="30" t="inlineStr">
        <is>
          <t xml:space="preserve">$1,000</t>
        </is>
      </c>
      <c r="X761" s="32" t="inlineStr">
        <is>
          <t xml:space="preserve">$1,000,000 CSL</t>
        </is>
      </c>
      <c r="Y761" s="30"/>
      <c r="Z761" s="30"/>
      <c r="AA761" s="32" t="inlineStr">
        <is>
          <t xml:space="preserve">Surplus Lines</t>
        </is>
      </c>
      <c r="AB761" s="35">
        <v>29932.83</v>
      </c>
      <c r="AC761" s="37">
        <v>0</v>
      </c>
      <c r="AD761" s="38">
        <f>IF(ISNUMBER($AB761),$AB761*(1+N($AC761)),"")</f>
      </c>
      <c r="AE761" s="35">
        <v>350</v>
      </c>
      <c r="AF761" s="35">
        <v>250</v>
      </c>
      <c r="AG761" s="37"/>
      <c r="AH761" s="39">
        <f>IF(ISNUMBER($AD761),($AD761+$AE761+$AF761)*$AG761,"")</f>
      </c>
      <c r="AI761" s="35"/>
      <c r="AJ761" s="38">
        <f>IF(ISNUMBER($AD761),SUM($AD761:$AH761),"")</f>
      </c>
      <c r="AK761" s="40">
        <f>IF(AND(ISNUMBER($AB761),ISNUMBER($AD761)),IF($AB761&gt;0,$AD761/$AB761,""),"")</f>
      </c>
      <c r="AL761" s="32" t="inlineStr">
        <is>
          <t xml:space="preserve">At technical</t>
        </is>
      </c>
      <c r="AM761" s="41">
        <f>IF(ISNUMBER($AD761),Header!$I$3,"")</f>
      </c>
      <c r="AN761" s="39">
        <f>IF(ISNUMBER($AD761),$AO761+$AP761,"")</f>
      </c>
      <c r="AO761" s="39">
        <f>IF(ISNUMBER($AD761),ROUND($AD761*Header!$K$3,2),"")</f>
      </c>
      <c r="AP761" s="39">
        <f>IF(ISNUMBER($AD761),ROUND($AD761*Header!$M$3,2),"")</f>
      </c>
      <c r="AQ761" s="38">
        <f>IF(ISNUMBER($AD761),ROUND($AD761,2)-$AO761-$AP761,"")</f>
      </c>
      <c r="AR761" s="39">
        <f>IF(ISNUMBER($AD761),IF(Header!$D$34="","?",$AD761*Header!$D$34),"")</f>
      </c>
      <c r="AS761" s="39">
        <f>IF(ISNUMBER($AB761),IF(Header!$D$34="","?",$AB761*Header!$D$34),"")</f>
      </c>
      <c r="AT761" s="42">
        <f>IF(AND(ISNUMBER($AB761),$M761&gt;0),$AB761/$M761*100,"")</f>
      </c>
      <c r="AU761" s="42">
        <f>IF(AND(ISNUMBER($AD761),$M761&gt;0),$AD761/$M761*100,"")</f>
      </c>
      <c r="AV761" s="40">
        <f>IF(AND(ISNUMBER($AB761),ISNUMBER($AD761),ABS($AB761)&gt;0),$AD761/$AB761,"")</f>
      </c>
      <c r="AW761" s="39">
        <f>IF(ISNUMBER($AD761),MAX(0,(1-0.55-Header!$O$3)*Header!$Q$3*$AQ761),"")</f>
      </c>
      <c r="AX761" s="43">
        <f>IF($A761="","",IF(TRIM(IF($A761="","Missing certificate ref. ","") &amp; IF($C761="","Missing effective date. ","") &amp; IF($D761="","Missing binding status. ","") &amp; IF($E761="","Missing movement type. ","") &amp; IF($I761="","Missing make. ","") &amp; IF($L761="","Missing vehicle class. ","") &amp; IF($M761="","Missing agreed value. ","") &amp; IF($N761="","Missing policy type. ","") &amp; IF($Q761="","Missing garaging state. ","") &amp; IF($R761="","Missing garaging ZIP. ","") &amp; IF($S761="","Missing cat zone. ","") &amp; IF($V761="","Missing valuation basis. ","") &amp; IF($W761="","Missing PD deductible. ","") &amp; IF($X761="","Missing liability limit. ","") &amp; IF($AB761="","Missing technical premium. ","") &amp; IF($AF761="","Missing surplus lines tax %. ",""))="","PASS","FAIL: "&amp;TRIM(IF($A761="","Missing certificate ref. ","") &amp; IF($C761="","Missing effective date. ","") &amp; IF($D761="","Missing binding status. ","") &amp; IF($E761="","Missing movement type. ","") &amp; IF($I761="","Missing make. ","") &amp; IF($L761="","Missing vehicle class. ","") &amp; IF($M761="","Missing agreed value. ","") &amp; IF($N761="","Missing policy type. ","") &amp; IF($Q761="","Missing garaging state. ","") &amp; IF($R761="","Missing garaging ZIP. ","") &amp; IF($S761="","Missing cat zone. ","") &amp; IF($V761="","Missing valuation basis. ","") &amp; IF($W761="","Missing PD deductible. ","") &amp; IF($X761="","Missing liability limit. ","") &amp; IF($AB761="","Missing technical premium. ","") &amp; IF($AF761="","Missing surplus lines tax %. ",""))))</f>
      </c>
      <c r="AY761" s="44">
        <f>IF($M761="","",IF(ISNUMBER($M761),IF($M761&gt;=Header!$C$18,"YES — refer","No"),""))</f>
      </c>
      <c r="AZ761" s="44">
        <f>IF($AD761="","",IF(ISNUMBER($AD761),IF($AD761&lt;Header!$C$20,"BELOW MIN PREMIUM","OK"),""))</f>
      </c>
      <c r="BA761" s="32" t="inlineStr">
        <is>
          <t xml:space="preserve">Yes</t>
        </is>
      </c>
      <c r="BB761" s="32" t="inlineStr">
        <is>
          <t xml:space="preserve">Yes</t>
        </is>
      </c>
      <c r="BC761" s="30" t="inlineStr">
        <is>
          <t xml:space="preserve">Synthetic demo data</t>
        </is>
      </c>
      <c r="BE761" s="45">
        <f>IF(OR($A761="",$L761="",$H761=""),"",IF(AND(LEFT($L761,2)="06",$H761&gt;1945),"FAIL - pre-war class, year "&amp;$H761,IF(AND(LEFT($L761,2)="07",OR($H761&lt;1946,$H761&gt;1972)),"FAIL - 1946-72 class, year "&amp;$H761,IF(AND(LEFT($L761,2)="08",OR($H761&lt;1973,$H761&gt;1999)),"FAIL - 1973-99 class, year "&amp;$H761,IF(AND(LEFT($L761,2)="09",OR($H761&lt;2000,$H761&gt;2010)),"FAIL - 2000-10 class, year "&amp;$H761,"OK")))))</f>
      </c>
      <c r="BF761" s="45">
        <f>IF($AD761="","",IF(ROUND($AO761+$AP761+$AQ761-$AD761,2)=0,"OK","FAIL - out by "&amp;TEXT($AO761+$AP761+$AQ761-$AD761,"$0.00")))</f>
      </c>
    </row>
    <row r="762" spans="1:58" ht="18.75" customHeight="1" x14ac:dyDescent="0.25">
      <c r="A762" s="46" t="inlineStr">
        <is>
          <t xml:space="preserve">CANON-202606-009446</t>
        </is>
      </c>
      <c r="B762" s="46" t="inlineStr">
        <is>
          <t xml:space="preserve">Priya Farkas</t>
        </is>
      </c>
      <c r="C762" s="47">
        <v>46201</v>
      </c>
      <c r="D762" s="48" t="inlineStr">
        <is>
          <t xml:space="preserve">Bound - within authority</t>
        </is>
      </c>
      <c r="E762" s="48" t="inlineStr">
        <is>
          <t xml:space="preserve">New business</t>
        </is>
      </c>
      <c r="F762" s="46" t="inlineStr">
        <is>
          <t xml:space="preserve">B1234EXOTIC26</t>
        </is>
      </c>
      <c r="G762" s="33">
        <f>IF($A762="","",IF($C762="","",YEAR($C762)))</f>
      </c>
      <c r="H762" s="49">
        <v>1974</v>
      </c>
      <c r="I762" s="46" t="inlineStr">
        <is>
          <t xml:space="preserve">McLaren</t>
        </is>
      </c>
      <c r="J762" s="46" t="inlineStr">
        <is>
          <t xml:space="preserve">750S</t>
        </is>
      </c>
      <c r="K762" s="46" t="inlineStr">
        <is>
          <t xml:space="preserve">Y1ECA23XMKS8JLEU9</t>
        </is>
      </c>
      <c r="L762" s="48" t="inlineStr">
        <is>
          <t xml:space="preserve">03 - Supercar</t>
        </is>
      </c>
      <c r="M762" s="50">
        <v>1025000</v>
      </c>
      <c r="N762" s="48" t="inlineStr">
        <is>
          <t xml:space="preserve">Personal</t>
        </is>
      </c>
      <c r="O762" s="46" t="inlineStr">
        <is>
          <t xml:space="preserve">Personal - regular use</t>
        </is>
      </c>
      <c r="P762" s="46" t="inlineStr">
        <is>
          <t xml:space="preserve">2,500 - 5,000</t>
        </is>
      </c>
      <c r="Q762" s="46" t="inlineStr">
        <is>
          <t xml:space="preserve">Arizona</t>
        </is>
      </c>
      <c r="R762" s="46" t="inlineStr">
        <is>
          <t xml:space="preserve">85001</t>
        </is>
      </c>
      <c r="S762" s="48" t="inlineStr">
        <is>
          <t xml:space="preserve">Wildfire - WUI high hazard</t>
        </is>
      </c>
      <c r="T762" s="36">
        <f>IF($A762="","",IF($S762="","",IFERROR(INDEX('[1]natural catastrophe'!$D$6:$D$17,MATCH($S762,'[1]natural catastrophe'!$B$6:$B$17,0)),"?")))</f>
      </c>
      <c r="U762" s="46" t="inlineStr">
        <is>
          <t xml:space="preserve">$5,000</t>
        </is>
      </c>
      <c r="V762" s="48" t="inlineStr">
        <is>
          <t xml:space="preserve">Agreed Value</t>
        </is>
      </c>
      <c r="W762" s="46" t="inlineStr">
        <is>
          <t xml:space="preserve">$1,000</t>
        </is>
      </c>
      <c r="X762" s="48" t="inlineStr">
        <is>
          <t xml:space="preserve">$1,000,000 CSL</t>
        </is>
      </c>
      <c r="Y762" s="46"/>
      <c r="Z762" s="46"/>
      <c r="AA762" s="48" t="inlineStr">
        <is>
          <t xml:space="preserve">Surplus Lines</t>
        </is>
      </c>
      <c r="AB762" s="50">
        <v>11951.09</v>
      </c>
      <c r="AC762" s="51">
        <v>0</v>
      </c>
      <c r="AD762" s="38">
        <f>IF(ISNUMBER($AB762),$AB762*(1+N($AC762)),"")</f>
      </c>
      <c r="AE762" s="50">
        <v>350</v>
      </c>
      <c r="AF762" s="50">
        <v>250</v>
      </c>
      <c r="AG762" s="51"/>
      <c r="AH762" s="39">
        <f>IF(ISNUMBER($AD762),($AD762+$AE762+$AF762)*$AG762,"")</f>
      </c>
      <c r="AI762" s="50"/>
      <c r="AJ762" s="38">
        <f>IF(ISNUMBER($AD762),SUM($AD762:$AH762),"")</f>
      </c>
      <c r="AK762" s="40">
        <f>IF(AND(ISNUMBER($AB762),ISNUMBER($AD762)),IF($AB762&gt;0,$AD762/$AB762,""),"")</f>
      </c>
      <c r="AL762" s="48" t="inlineStr">
        <is>
          <t xml:space="preserve">At technical</t>
        </is>
      </c>
      <c r="AM762" s="41">
        <f>IF(ISNUMBER($AD762),Header!$I$3,"")</f>
      </c>
      <c r="AN762" s="39">
        <f>IF(ISNUMBER($AD762),$AO762+$AP762,"")</f>
      </c>
      <c r="AO762" s="39">
        <f>IF(ISNUMBER($AD762),ROUND($AD762*Header!$K$3,2),"")</f>
      </c>
      <c r="AP762" s="39">
        <f>IF(ISNUMBER($AD762),ROUND($AD762*Header!$M$3,2),"")</f>
      </c>
      <c r="AQ762" s="38">
        <f>IF(ISNUMBER($AD762),ROUND($AD762,2)-$AO762-$AP762,"")</f>
      </c>
      <c r="AR762" s="39">
        <f>IF(ISNUMBER($AD762),IF(Header!$D$34="","?",$AD762*Header!$D$34),"")</f>
      </c>
      <c r="AS762" s="39">
        <f>IF(ISNUMBER($AB762),IF(Header!$D$34="","?",$AB762*Header!$D$34),"")</f>
      </c>
      <c r="AT762" s="42">
        <f>IF(AND(ISNUMBER($AB762),$M762&gt;0),$AB762/$M762*100,"")</f>
      </c>
      <c r="AU762" s="42">
        <f>IF(AND(ISNUMBER($AD762),$M762&gt;0),$AD762/$M762*100,"")</f>
      </c>
      <c r="AV762" s="40">
        <f>IF(AND(ISNUMBER($AB762),ISNUMBER($AD762),ABS($AB762)&gt;0),$AD762/$AB762,"")</f>
      </c>
      <c r="AW762" s="39">
        <f>IF(ISNUMBER($AD762),MAX(0,(1-0.55-Header!$O$3)*Header!$Q$3*$AQ762),"")</f>
      </c>
      <c r="AX762" s="43">
        <f>IF($A762="","",IF(TRIM(IF($A762="","Missing certificate ref. ","") &amp; IF($C762="","Missing effective date. ","") &amp; IF($D762="","Missing binding status. ","") &amp; IF($E762="","Missing movement type. ","") &amp; IF($I762="","Missing make. ","") &amp; IF($L762="","Missing vehicle class. ","") &amp; IF($M762="","Missing agreed value. ","") &amp; IF($N762="","Missing policy type. ","") &amp; IF($Q762="","Missing garaging state. ","") &amp; IF($R762="","Missing garaging ZIP. ","") &amp; IF($S762="","Missing cat zone. ","") &amp; IF($V762="","Missing valuation basis. ","") &amp; IF($W762="","Missing PD deductible. ","") &amp; IF($X762="","Missing liability limit. ","") &amp; IF($AB762="","Missing technical premium. ","") &amp; IF($AF762="","Missing surplus lines tax %. ",""))="","PASS","FAIL: "&amp;TRIM(IF($A762="","Missing certificate ref. ","") &amp; IF($C762="","Missing effective date. ","") &amp; IF($D762="","Missing binding status. ","") &amp; IF($E762="","Missing movement type. ","") &amp; IF($I762="","Missing make. ","") &amp; IF($L762="","Missing vehicle class. ","") &amp; IF($M762="","Missing agreed value. ","") &amp; IF($N762="","Missing policy type. ","") &amp; IF($Q762="","Missing garaging state. ","") &amp; IF($R762="","Missing garaging ZIP. ","") &amp; IF($S762="","Missing cat zone. ","") &amp; IF($V762="","Missing valuation basis. ","") &amp; IF($W762="","Missing PD deductible. ","") &amp; IF($X762="","Missing liability limit. ","") &amp; IF($AB762="","Missing technical premium. ","") &amp; IF($AF762="","Missing surplus lines tax %. ",""))))</f>
      </c>
      <c r="AY762" s="44">
        <f>IF($M762="","",IF(ISNUMBER($M762),IF($M762&gt;=Header!$C$18,"YES — refer","No"),""))</f>
      </c>
      <c r="AZ762" s="44">
        <f>IF($AD762="","",IF(ISNUMBER($AD762),IF($AD762&lt;Header!$C$20,"BELOW MIN PREMIUM","OK"),""))</f>
      </c>
      <c r="BA762" s="48" t="inlineStr">
        <is>
          <t xml:space="preserve">Yes</t>
        </is>
      </c>
      <c r="BB762" s="48" t="inlineStr">
        <is>
          <t xml:space="preserve">Yes</t>
        </is>
      </c>
      <c r="BC762" s="46" t="inlineStr">
        <is>
          <t xml:space="preserve">Synthetic demo data</t>
        </is>
      </c>
      <c r="BE762" s="45">
        <f>IF(OR($A762="",$L762="",$H762=""),"",IF(AND(LEFT($L762,2)="06",$H762&gt;1945),"FAIL - pre-war class, year "&amp;$H762,IF(AND(LEFT($L762,2)="07",OR($H762&lt;1946,$H762&gt;1972)),"FAIL - 1946-72 class, year "&amp;$H762,IF(AND(LEFT($L762,2)="08",OR($H762&lt;1973,$H762&gt;1999)),"FAIL - 1973-99 class, year "&amp;$H762,IF(AND(LEFT($L762,2)="09",OR($H762&lt;2000,$H762&gt;2010)),"FAIL - 2000-10 class, year "&amp;$H762,"OK")))))</f>
      </c>
      <c r="BF762" s="45">
        <f>IF($AD762="","",IF(ROUND($AO762+$AP762+$AQ762-$AD762,2)=0,"OK","FAIL - out by "&amp;TEXT($AO762+$AP762+$AQ762-$AD762,"$0.00")))</f>
      </c>
    </row>
    <row r="763" spans="1:58" ht="18.75" customHeight="1" x14ac:dyDescent="0.25">
      <c r="A763" s="30" t="inlineStr">
        <is>
          <t xml:space="preserve">CANON-202606-009447</t>
        </is>
      </c>
      <c r="B763" s="30" t="inlineStr">
        <is>
          <t xml:space="preserve">Aurelio Rourke</t>
        </is>
      </c>
      <c r="C763" s="31">
        <v>46195</v>
      </c>
      <c r="D763" s="32" t="inlineStr">
        <is>
          <t xml:space="preserve">Bound - within authority</t>
        </is>
      </c>
      <c r="E763" s="32" t="inlineStr">
        <is>
          <t xml:space="preserve">New business</t>
        </is>
      </c>
      <c r="F763" s="30" t="inlineStr">
        <is>
          <t xml:space="preserve">B1234EXOTIC26</t>
        </is>
      </c>
      <c r="G763" s="33">
        <f>IF($A763="","",IF($C763="","",YEAR($C763)))</f>
      </c>
      <c r="H763" s="34">
        <v>2023</v>
      </c>
      <c r="I763" s="30" t="inlineStr">
        <is>
          <t xml:space="preserve">Bentley</t>
        </is>
      </c>
      <c r="J763" s="30" t="inlineStr">
        <is>
          <t xml:space="preserve">Continental GT</t>
        </is>
      </c>
      <c r="K763" s="30" t="inlineStr">
        <is>
          <t xml:space="preserve">DV6K8RSMBZGVWZB3L</t>
        </is>
      </c>
      <c r="L763" s="32" t="inlineStr">
        <is>
          <t xml:space="preserve">02 - Sports / GT</t>
        </is>
      </c>
      <c r="M763" s="35">
        <v>650000</v>
      </c>
      <c r="N763" s="32" t="inlineStr">
        <is>
          <t xml:space="preserve">Personal</t>
        </is>
      </c>
      <c r="O763" s="30" t="inlineStr">
        <is>
          <t xml:space="preserve">Personal - regular use</t>
        </is>
      </c>
      <c r="P763" s="30" t="inlineStr">
        <is>
          <t xml:space="preserve">1,000 - 2,500</t>
        </is>
      </c>
      <c r="Q763" s="30" t="inlineStr">
        <is>
          <t xml:space="preserve">Massachusetts</t>
        </is>
      </c>
      <c r="R763" s="30" t="inlineStr">
        <is>
          <t xml:space="preserve">02108</t>
        </is>
      </c>
      <c r="S763" s="32" t="inlineStr">
        <is>
          <t xml:space="preserve">Tier 3 - Coastal wind (25-100 miles)</t>
        </is>
      </c>
      <c r="T763" s="36">
        <f>IF($A763="","",IF($S763="","",IFERROR(INDEX('[1]natural catastrophe'!$D$6:$D$17,MATCH($S763,'[1]natural catastrophe'!$B$6:$B$17,0)),"?")))</f>
      </c>
      <c r="U763" s="30" t="inlineStr">
        <is>
          <t xml:space="preserve">2% of agreed value, minimum $10,000</t>
        </is>
      </c>
      <c r="V763" s="32" t="inlineStr">
        <is>
          <t xml:space="preserve">Agreed Value</t>
        </is>
      </c>
      <c r="W763" s="30" t="inlineStr">
        <is>
          <t xml:space="preserve">$1,000</t>
        </is>
      </c>
      <c r="X763" s="32" t="inlineStr">
        <is>
          <t xml:space="preserve">$1,000,000 CSL</t>
        </is>
      </c>
      <c r="Y763" s="30"/>
      <c r="Z763" s="30"/>
      <c r="AA763" s="32" t="inlineStr">
        <is>
          <t xml:space="preserve">Surplus Lines</t>
        </is>
      </c>
      <c r="AB763" s="35">
        <v>7620.94</v>
      </c>
      <c r="AC763" s="37">
        <v>0</v>
      </c>
      <c r="AD763" s="38">
        <f>IF(ISNUMBER($AB763),$AB763*(1+N($AC763)),"")</f>
      </c>
      <c r="AE763" s="35">
        <v>350</v>
      </c>
      <c r="AF763" s="35">
        <v>0</v>
      </c>
      <c r="AG763" s="37"/>
      <c r="AH763" s="39">
        <f>IF(ISNUMBER($AD763),($AD763+$AE763+$AF763)*$AG763,"")</f>
      </c>
      <c r="AI763" s="35"/>
      <c r="AJ763" s="38">
        <f>IF(ISNUMBER($AD763),SUM($AD763:$AH763),"")</f>
      </c>
      <c r="AK763" s="40">
        <f>IF(AND(ISNUMBER($AB763),ISNUMBER($AD763)),IF($AB763&gt;0,$AD763/$AB763,""),"")</f>
      </c>
      <c r="AL763" s="32" t="inlineStr">
        <is>
          <t xml:space="preserve">At technical</t>
        </is>
      </c>
      <c r="AM763" s="41">
        <f>IF(ISNUMBER($AD763),Header!$I$3,"")</f>
      </c>
      <c r="AN763" s="39">
        <f>IF(ISNUMBER($AD763),$AO763+$AP763,"")</f>
      </c>
      <c r="AO763" s="39">
        <f>IF(ISNUMBER($AD763),ROUND($AD763*Header!$K$3,2),"")</f>
      </c>
      <c r="AP763" s="39">
        <f>IF(ISNUMBER($AD763),ROUND($AD763*Header!$M$3,2),"")</f>
      </c>
      <c r="AQ763" s="38">
        <f>IF(ISNUMBER($AD763),ROUND($AD763,2)-$AO763-$AP763,"")</f>
      </c>
      <c r="AR763" s="39">
        <f>IF(ISNUMBER($AD763),IF(Header!$D$34="","?",$AD763*Header!$D$34),"")</f>
      </c>
      <c r="AS763" s="39">
        <f>IF(ISNUMBER($AB763),IF(Header!$D$34="","?",$AB763*Header!$D$34),"")</f>
      </c>
      <c r="AT763" s="42">
        <f>IF(AND(ISNUMBER($AB763),$M763&gt;0),$AB763/$M763*100,"")</f>
      </c>
      <c r="AU763" s="42">
        <f>IF(AND(ISNUMBER($AD763),$M763&gt;0),$AD763/$M763*100,"")</f>
      </c>
      <c r="AV763" s="40">
        <f>IF(AND(ISNUMBER($AB763),ISNUMBER($AD763),ABS($AB763)&gt;0),$AD763/$AB763,"")</f>
      </c>
      <c r="AW763" s="39">
        <f>IF(ISNUMBER($AD763),MAX(0,(1-0.55-Header!$O$3)*Header!$Q$3*$AQ763),"")</f>
      </c>
      <c r="AX763" s="43">
        <f>IF($A763="","",IF(TRIM(IF($A763="","Missing certificate ref. ","") &amp; IF($C763="","Missing effective date. ","") &amp; IF($D763="","Missing binding status. ","") &amp; IF($E763="","Missing movement type. ","") &amp; IF($I763="","Missing make. ","") &amp; IF($L763="","Missing vehicle class. ","") &amp; IF($M763="","Missing agreed value. ","") &amp; IF($N763="","Missing policy type. ","") &amp; IF($Q763="","Missing garaging state. ","") &amp; IF($R763="","Missing garaging ZIP. ","") &amp; IF($S763="","Missing cat zone. ","") &amp; IF($V763="","Missing valuation basis. ","") &amp; IF($W763="","Missing PD deductible. ","") &amp; IF($X763="","Missing liability limit. ","") &amp; IF($AB763="","Missing technical premium. ","") &amp; IF($AF763="","Missing surplus lines tax %. ",""))="","PASS","FAIL: "&amp;TRIM(IF($A763="","Missing certificate ref. ","") &amp; IF($C763="","Missing effective date. ","") &amp; IF($D763="","Missing binding status. ","") &amp; IF($E763="","Missing movement type. ","") &amp; IF($I763="","Missing make. ","") &amp; IF($L763="","Missing vehicle class. ","") &amp; IF($M763="","Missing agreed value. ","") &amp; IF($N763="","Missing policy type. ","") &amp; IF($Q763="","Missing garaging state. ","") &amp; IF($R763="","Missing garaging ZIP. ","") &amp; IF($S763="","Missing cat zone. ","") &amp; IF($V763="","Missing valuation basis. ","") &amp; IF($W763="","Missing PD deductible. ","") &amp; IF($X763="","Missing liability limit. ","") &amp; IF($AB763="","Missing technical premium. ","") &amp; IF($AF763="","Missing surplus lines tax %. ",""))))</f>
      </c>
      <c r="AY763" s="44">
        <f>IF($M763="","",IF(ISNUMBER($M763),IF($M763&gt;=Header!$C$18,"YES — refer","No"),""))</f>
      </c>
      <c r="AZ763" s="44">
        <f>IF($AD763="","",IF(ISNUMBER($AD763),IF($AD763&lt;Header!$C$20,"BELOW MIN PREMIUM","OK"),""))</f>
      </c>
      <c r="BA763" s="32" t="inlineStr">
        <is>
          <t xml:space="preserve">Yes</t>
        </is>
      </c>
      <c r="BB763" s="32" t="inlineStr">
        <is>
          <t xml:space="preserve">Yes</t>
        </is>
      </c>
      <c r="BC763" s="30" t="inlineStr">
        <is>
          <t xml:space="preserve">Synthetic demo data</t>
        </is>
      </c>
      <c r="BE763" s="45">
        <f>IF(OR($A763="",$L763="",$H763=""),"",IF(AND(LEFT($L763,2)="06",$H763&gt;1945),"FAIL - pre-war class, year "&amp;$H763,IF(AND(LEFT($L763,2)="07",OR($H763&lt;1946,$H763&gt;1972)),"FAIL - 1946-72 class, year "&amp;$H763,IF(AND(LEFT($L763,2)="08",OR($H763&lt;1973,$H763&gt;1999)),"FAIL - 1973-99 class, year "&amp;$H763,IF(AND(LEFT($L763,2)="09",OR($H763&lt;2000,$H763&gt;2010)),"FAIL - 2000-10 class, year "&amp;$H763,"OK")))))</f>
      </c>
      <c r="BF763" s="45">
        <f>IF($AD763="","",IF(ROUND($AO763+$AP763+$AQ763-$AD763,2)=0,"OK","FAIL - out by "&amp;TEXT($AO763+$AP763+$AQ763-$AD763,"$0.00")))</f>
      </c>
    </row>
    <row r="764" spans="1:58" ht="18.75" customHeight="1" x14ac:dyDescent="0.25">
      <c r="A764" s="46" t="inlineStr">
        <is>
          <t xml:space="preserve">CANON-202606-009448</t>
        </is>
      </c>
      <c r="B764" s="46" t="inlineStr">
        <is>
          <t xml:space="preserve">Ramona Pennington</t>
        </is>
      </c>
      <c r="C764" s="47">
        <v>46192</v>
      </c>
      <c r="D764" s="48" t="inlineStr">
        <is>
          <t xml:space="preserve">Bound - within authority</t>
        </is>
      </c>
      <c r="E764" s="48" t="inlineStr">
        <is>
          <t xml:space="preserve">New business</t>
        </is>
      </c>
      <c r="F764" s="46" t="inlineStr">
        <is>
          <t xml:space="preserve">B1234EXOTIC26</t>
        </is>
      </c>
      <c r="G764" s="33">
        <f>IF($A764="","",IF($C764="","",YEAR($C764)))</f>
      </c>
      <c r="H764" s="49">
        <v>1976</v>
      </c>
      <c r="I764" s="46" t="inlineStr">
        <is>
          <t xml:space="preserve">Bentley</t>
        </is>
      </c>
      <c r="J764" s="46" t="inlineStr">
        <is>
          <t xml:space="preserve">Continental GT</t>
        </is>
      </c>
      <c r="K764" s="46" t="inlineStr">
        <is>
          <t xml:space="preserve">0JURG14WDBMYHR2CV</t>
        </is>
      </c>
      <c r="L764" s="48" t="inlineStr">
        <is>
          <t xml:space="preserve">02 - Sports / GT</t>
        </is>
      </c>
      <c r="M764" s="50">
        <v>725000</v>
      </c>
      <c r="N764" s="48" t="inlineStr">
        <is>
          <t xml:space="preserve">Personal</t>
        </is>
      </c>
      <c r="O764" s="46" t="inlineStr">
        <is>
          <t xml:space="preserve">Personal - regular use</t>
        </is>
      </c>
      <c r="P764" s="46" t="inlineStr">
        <is>
          <t xml:space="preserve">Under 1,000</t>
        </is>
      </c>
      <c r="Q764" s="46" t="inlineStr">
        <is>
          <t xml:space="preserve">Montana</t>
        </is>
      </c>
      <c r="R764" s="46" t="inlineStr">
        <is>
          <t xml:space="preserve">59601</t>
        </is>
      </c>
      <c r="S764" s="48" t="inlineStr">
        <is>
          <t xml:space="preserve">Wildfire - WUI high hazard</t>
        </is>
      </c>
      <c r="T764" s="36">
        <f>IF($A764="","",IF($S764="","",IFERROR(INDEX('[1]natural catastrophe'!$D$6:$D$17,MATCH($S764,'[1]natural catastrophe'!$B$6:$B$17,0)),"?")))</f>
      </c>
      <c r="U764" s="46" t="inlineStr">
        <is>
          <t xml:space="preserve">$5,000</t>
        </is>
      </c>
      <c r="V764" s="48" t="inlineStr">
        <is>
          <t xml:space="preserve">Agreed Value</t>
        </is>
      </c>
      <c r="W764" s="46" t="inlineStr">
        <is>
          <t xml:space="preserve">$1,000</t>
        </is>
      </c>
      <c r="X764" s="48" t="inlineStr">
        <is>
          <t xml:space="preserve">$1,000,000 CSL</t>
        </is>
      </c>
      <c r="Y764" s="46"/>
      <c r="Z764" s="46"/>
      <c r="AA764" s="48" t="inlineStr">
        <is>
          <t xml:space="preserve">Surplus Lines</t>
        </is>
      </c>
      <c r="AB764" s="50">
        <v>6324.21</v>
      </c>
      <c r="AC764" s="51">
        <v>0</v>
      </c>
      <c r="AD764" s="38">
        <f>IF(ISNUMBER($AB764),$AB764*(1+N($AC764)),"")</f>
      </c>
      <c r="AE764" s="50">
        <v>350</v>
      </c>
      <c r="AF764" s="50">
        <v>0</v>
      </c>
      <c r="AG764" s="51"/>
      <c r="AH764" s="39">
        <f>IF(ISNUMBER($AD764),($AD764+$AE764+$AF764)*$AG764,"")</f>
      </c>
      <c r="AI764" s="50"/>
      <c r="AJ764" s="38">
        <f>IF(ISNUMBER($AD764),SUM($AD764:$AH764),"")</f>
      </c>
      <c r="AK764" s="40">
        <f>IF(AND(ISNUMBER($AB764),ISNUMBER($AD764)),IF($AB764&gt;0,$AD764/$AB764,""),"")</f>
      </c>
      <c r="AL764" s="48" t="inlineStr">
        <is>
          <t xml:space="preserve">At technical</t>
        </is>
      </c>
      <c r="AM764" s="41">
        <f>IF(ISNUMBER($AD764),Header!$I$3,"")</f>
      </c>
      <c r="AN764" s="39">
        <f>IF(ISNUMBER($AD764),$AO764+$AP764,"")</f>
      </c>
      <c r="AO764" s="39">
        <f>IF(ISNUMBER($AD764),ROUND($AD764*Header!$K$3,2),"")</f>
      </c>
      <c r="AP764" s="39">
        <f>IF(ISNUMBER($AD764),ROUND($AD764*Header!$M$3,2),"")</f>
      </c>
      <c r="AQ764" s="38">
        <f>IF(ISNUMBER($AD764),ROUND($AD764,2)-$AO764-$AP764,"")</f>
      </c>
      <c r="AR764" s="39">
        <f>IF(ISNUMBER($AD764),IF(Header!$D$34="","?",$AD764*Header!$D$34),"")</f>
      </c>
      <c r="AS764" s="39">
        <f>IF(ISNUMBER($AB764),IF(Header!$D$34="","?",$AB764*Header!$D$34),"")</f>
      </c>
      <c r="AT764" s="42">
        <f>IF(AND(ISNUMBER($AB764),$M764&gt;0),$AB764/$M764*100,"")</f>
      </c>
      <c r="AU764" s="42">
        <f>IF(AND(ISNUMBER($AD764),$M764&gt;0),$AD764/$M764*100,"")</f>
      </c>
      <c r="AV764" s="40">
        <f>IF(AND(ISNUMBER($AB764),ISNUMBER($AD764),ABS($AB764)&gt;0),$AD764/$AB764,"")</f>
      </c>
      <c r="AW764" s="39">
        <f>IF(ISNUMBER($AD764),MAX(0,(1-0.55-Header!$O$3)*Header!$Q$3*$AQ764),"")</f>
      </c>
      <c r="AX764" s="43">
        <f>IF($A764="","",IF(TRIM(IF($A764="","Missing certificate ref. ","") &amp; IF($C764="","Missing effective date. ","") &amp; IF($D764="","Missing binding status. ","") &amp; IF($E764="","Missing movement type. ","") &amp; IF($I764="","Missing make. ","") &amp; IF($L764="","Missing vehicle class. ","") &amp; IF($M764="","Missing agreed value. ","") &amp; IF($N764="","Missing policy type. ","") &amp; IF($Q764="","Missing garaging state. ","") &amp; IF($R764="","Missing garaging ZIP. ","") &amp; IF($S764="","Missing cat zone. ","") &amp; IF($V764="","Missing valuation basis. ","") &amp; IF($W764="","Missing PD deductible. ","") &amp; IF($X764="","Missing liability limit. ","") &amp; IF($AB764="","Missing technical premium. ","") &amp; IF($AF764="","Missing surplus lines tax %. ",""))="","PASS","FAIL: "&amp;TRIM(IF($A764="","Missing certificate ref. ","") &amp; IF($C764="","Missing effective date. ","") &amp; IF($D764="","Missing binding status. ","") &amp; IF($E764="","Missing movement type. ","") &amp; IF($I764="","Missing make. ","") &amp; IF($L764="","Missing vehicle class. ","") &amp; IF($M764="","Missing agreed value. ","") &amp; IF($N764="","Missing policy type. ","") &amp; IF($Q764="","Missing garaging state. ","") &amp; IF($R764="","Missing garaging ZIP. ","") &amp; IF($S764="","Missing cat zone. ","") &amp; IF($V764="","Missing valuation basis. ","") &amp; IF($W764="","Missing PD deductible. ","") &amp; IF($X764="","Missing liability limit. ","") &amp; IF($AB764="","Missing technical premium. ","") &amp; IF($AF764="","Missing surplus lines tax %. ",""))))</f>
      </c>
      <c r="AY764" s="44">
        <f>IF($M764="","",IF(ISNUMBER($M764),IF($M764&gt;=Header!$C$18,"YES — refer","No"),""))</f>
      </c>
      <c r="AZ764" s="44">
        <f>IF($AD764="","",IF(ISNUMBER($AD764),IF($AD764&lt;Header!$C$20,"BELOW MIN PREMIUM","OK"),""))</f>
      </c>
      <c r="BA764" s="48" t="inlineStr">
        <is>
          <t xml:space="preserve">Yes</t>
        </is>
      </c>
      <c r="BB764" s="48" t="inlineStr">
        <is>
          <t xml:space="preserve">Yes</t>
        </is>
      </c>
      <c r="BC764" s="46" t="inlineStr">
        <is>
          <t xml:space="preserve">Synthetic demo data</t>
        </is>
      </c>
      <c r="BE764" s="45">
        <f>IF(OR($A764="",$L764="",$H764=""),"",IF(AND(LEFT($L764,2)="06",$H764&gt;1945),"FAIL - pre-war class, year "&amp;$H764,IF(AND(LEFT($L764,2)="07",OR($H764&lt;1946,$H764&gt;1972)),"FAIL - 1946-72 class, year "&amp;$H764,IF(AND(LEFT($L764,2)="08",OR($H764&lt;1973,$H764&gt;1999)),"FAIL - 1973-99 class, year "&amp;$H764,IF(AND(LEFT($L764,2)="09",OR($H764&lt;2000,$H764&gt;2010)),"FAIL - 2000-10 class, year "&amp;$H764,"OK")))))</f>
      </c>
      <c r="BF764" s="45">
        <f>IF($AD764="","",IF(ROUND($AO764+$AP764+$AQ764-$AD764,2)=0,"OK","FAIL - out by "&amp;TEXT($AO764+$AP764+$AQ764-$AD764,"$0.00")))</f>
      </c>
    </row>
    <row r="765" spans="1:58" ht="18.75" customHeight="1" x14ac:dyDescent="0.25">
      <c r="A765" s="30" t="inlineStr">
        <is>
          <t xml:space="preserve">CANON-202606-009449</t>
        </is>
      </c>
      <c r="B765" s="30" t="inlineStr">
        <is>
          <t xml:space="preserve">Horace Vasquez</t>
        </is>
      </c>
      <c r="C765" s="31">
        <v>46195</v>
      </c>
      <c r="D765" s="32" t="inlineStr">
        <is>
          <t xml:space="preserve">Bound - within authority</t>
        </is>
      </c>
      <c r="E765" s="32" t="inlineStr">
        <is>
          <t xml:space="preserve">New business</t>
        </is>
      </c>
      <c r="F765" s="30" t="inlineStr">
        <is>
          <t xml:space="preserve">B1234EXOTIC26</t>
        </is>
      </c>
      <c r="G765" s="33">
        <f>IF($A765="","",IF($C765="","",YEAR($C765)))</f>
      </c>
      <c r="H765" s="34">
        <v>2020</v>
      </c>
      <c r="I765" s="30" t="inlineStr">
        <is>
          <t xml:space="preserve">Aston Martin</t>
        </is>
      </c>
      <c r="J765" s="30" t="inlineStr">
        <is>
          <t xml:space="preserve">DB12</t>
        </is>
      </c>
      <c r="K765" s="30" t="inlineStr">
        <is>
          <t xml:space="preserve">58BPFLAF9NLLML0XF</t>
        </is>
      </c>
      <c r="L765" s="32" t="inlineStr">
        <is>
          <t xml:space="preserve">02 - Sports / GT</t>
        </is>
      </c>
      <c r="M765" s="35">
        <v>295000</v>
      </c>
      <c r="N765" s="32" t="inlineStr">
        <is>
          <t xml:space="preserve">Personal</t>
        </is>
      </c>
      <c r="O765" s="30" t="inlineStr">
        <is>
          <t xml:space="preserve">Personal - regular use</t>
        </is>
      </c>
      <c r="P765" s="30" t="inlineStr">
        <is>
          <t xml:space="preserve">1,000 - 2,500</t>
        </is>
      </c>
      <c r="Q765" s="30" t="inlineStr">
        <is>
          <t xml:space="preserve">Texas</t>
        </is>
      </c>
      <c r="R765" s="30" t="inlineStr">
        <is>
          <t xml:space="preserve">75201</t>
        </is>
      </c>
      <c r="S765" s="32" t="inlineStr">
        <is>
          <t xml:space="preserve">Tier 2 - Coastal wind (1-25 miles)</t>
        </is>
      </c>
      <c r="T765" s="36">
        <f>IF($A765="","",IF($S765="","",IFERROR(INDEX('[1]natural catastrophe'!$D$6:$D$17,MATCH($S765,'[1]natural catastrophe'!$B$6:$B$17,0)),"?")))</f>
      </c>
      <c r="U765" s="30" t="inlineStr">
        <is>
          <t xml:space="preserve">2% of agreed value, minimum $10,000</t>
        </is>
      </c>
      <c r="V765" s="32" t="inlineStr">
        <is>
          <t xml:space="preserve">Agreed Value</t>
        </is>
      </c>
      <c r="W765" s="30" t="inlineStr">
        <is>
          <t xml:space="preserve">$1,000</t>
        </is>
      </c>
      <c r="X765" s="32" t="inlineStr">
        <is>
          <t xml:space="preserve">$1,000,000 CSL</t>
        </is>
      </c>
      <c r="Y765" s="30"/>
      <c r="Z765" s="30"/>
      <c r="AA765" s="32" t="inlineStr">
        <is>
          <t xml:space="preserve">Surplus Lines</t>
        </is>
      </c>
      <c r="AB765" s="35">
        <v>3671.58</v>
      </c>
      <c r="AC765" s="37">
        <v>0</v>
      </c>
      <c r="AD765" s="38">
        <f>IF(ISNUMBER($AB765),$AB765*(1+N($AC765)),"")</f>
      </c>
      <c r="AE765" s="35">
        <v>350</v>
      </c>
      <c r="AF765" s="35">
        <v>0</v>
      </c>
      <c r="AG765" s="37"/>
      <c r="AH765" s="39">
        <f>IF(ISNUMBER($AD765),($AD765+$AE765+$AF765)*$AG765,"")</f>
      </c>
      <c r="AI765" s="35"/>
      <c r="AJ765" s="38">
        <f>IF(ISNUMBER($AD765),SUM($AD765:$AH765),"")</f>
      </c>
      <c r="AK765" s="40">
        <f>IF(AND(ISNUMBER($AB765),ISNUMBER($AD765)),IF($AB765&gt;0,$AD765/$AB765,""),"")</f>
      </c>
      <c r="AL765" s="32" t="inlineStr">
        <is>
          <t xml:space="preserve">At technical</t>
        </is>
      </c>
      <c r="AM765" s="41">
        <f>IF(ISNUMBER($AD765),Header!$I$3,"")</f>
      </c>
      <c r="AN765" s="39">
        <f>IF(ISNUMBER($AD765),$AO765+$AP765,"")</f>
      </c>
      <c r="AO765" s="39">
        <f>IF(ISNUMBER($AD765),ROUND($AD765*Header!$K$3,2),"")</f>
      </c>
      <c r="AP765" s="39">
        <f>IF(ISNUMBER($AD765),ROUND($AD765*Header!$M$3,2),"")</f>
      </c>
      <c r="AQ765" s="38">
        <f>IF(ISNUMBER($AD765),ROUND($AD765,2)-$AO765-$AP765,"")</f>
      </c>
      <c r="AR765" s="39">
        <f>IF(ISNUMBER($AD765),IF(Header!$D$34="","?",$AD765*Header!$D$34),"")</f>
      </c>
      <c r="AS765" s="39">
        <f>IF(ISNUMBER($AB765),IF(Header!$D$34="","?",$AB765*Header!$D$34),"")</f>
      </c>
      <c r="AT765" s="42">
        <f>IF(AND(ISNUMBER($AB765),$M765&gt;0),$AB765/$M765*100,"")</f>
      </c>
      <c r="AU765" s="42">
        <f>IF(AND(ISNUMBER($AD765),$M765&gt;0),$AD765/$M765*100,"")</f>
      </c>
      <c r="AV765" s="40">
        <f>IF(AND(ISNUMBER($AB765),ISNUMBER($AD765),ABS($AB765)&gt;0),$AD765/$AB765,"")</f>
      </c>
      <c r="AW765" s="39">
        <f>IF(ISNUMBER($AD765),MAX(0,(1-0.55-Header!$O$3)*Header!$Q$3*$AQ765),"")</f>
      </c>
      <c r="AX765" s="43">
        <f>IF($A765="","",IF(TRIM(IF($A765="","Missing certificate ref. ","") &amp; IF($C765="","Missing effective date. ","") &amp; IF($D765="","Missing binding status. ","") &amp; IF($E765="","Missing movement type. ","") &amp; IF($I765="","Missing make. ","") &amp; IF($L765="","Missing vehicle class. ","") &amp; IF($M765="","Missing agreed value. ","") &amp; IF($N765="","Missing policy type. ","") &amp; IF($Q765="","Missing garaging state. ","") &amp; IF($R765="","Missing garaging ZIP. ","") &amp; IF($S765="","Missing cat zone. ","") &amp; IF($V765="","Missing valuation basis. ","") &amp; IF($W765="","Missing PD deductible. ","") &amp; IF($X765="","Missing liability limit. ","") &amp; IF($AB765="","Missing technical premium. ","") &amp; IF($AF765="","Missing surplus lines tax %. ",""))="","PASS","FAIL: "&amp;TRIM(IF($A765="","Missing certificate ref. ","") &amp; IF($C765="","Missing effective date. ","") &amp; IF($D765="","Missing binding status. ","") &amp; IF($E765="","Missing movement type. ","") &amp; IF($I765="","Missing make. ","") &amp; IF($L765="","Missing vehicle class. ","") &amp; IF($M765="","Missing agreed value. ","") &amp; IF($N765="","Missing policy type. ","") &amp; IF($Q765="","Missing garaging state. ","") &amp; IF($R765="","Missing garaging ZIP. ","") &amp; IF($S765="","Missing cat zone. ","") &amp; IF($V765="","Missing valuation basis. ","") &amp; IF($W765="","Missing PD deductible. ","") &amp; IF($X765="","Missing liability limit. ","") &amp; IF($AB765="","Missing technical premium. ","") &amp; IF($AF765="","Missing surplus lines tax %. ",""))))</f>
      </c>
      <c r="AY765" s="44">
        <f>IF($M765="","",IF(ISNUMBER($M765),IF($M765&gt;=Header!$C$18,"YES — refer","No"),""))</f>
      </c>
      <c r="AZ765" s="44">
        <f>IF($AD765="","",IF(ISNUMBER($AD765),IF($AD765&lt;Header!$C$20,"BELOW MIN PREMIUM","OK"),""))</f>
      </c>
      <c r="BA765" s="32" t="inlineStr">
        <is>
          <t xml:space="preserve">Yes</t>
        </is>
      </c>
      <c r="BB765" s="32" t="inlineStr">
        <is>
          <t xml:space="preserve">Yes</t>
        </is>
      </c>
      <c r="BC765" s="30" t="inlineStr">
        <is>
          <t xml:space="preserve">Synthetic demo data</t>
        </is>
      </c>
      <c r="BE765" s="45">
        <f>IF(OR($A765="",$L765="",$H765=""),"",IF(AND(LEFT($L765,2)="06",$H765&gt;1945),"FAIL - pre-war class, year "&amp;$H765,IF(AND(LEFT($L765,2)="07",OR($H765&lt;1946,$H765&gt;1972)),"FAIL - 1946-72 class, year "&amp;$H765,IF(AND(LEFT($L765,2)="08",OR($H765&lt;1973,$H765&gt;1999)),"FAIL - 1973-99 class, year "&amp;$H765,IF(AND(LEFT($L765,2)="09",OR($H765&lt;2000,$H765&gt;2010)),"FAIL - 2000-10 class, year "&amp;$H765,"OK")))))</f>
      </c>
      <c r="BF765" s="45">
        <f>IF($AD765="","",IF(ROUND($AO765+$AP765+$AQ765-$AD765,2)=0,"OK","FAIL - out by "&amp;TEXT($AO765+$AP765+$AQ765-$AD765,"$0.00")))</f>
      </c>
    </row>
    <row r="766" spans="1:58" ht="18.75" customHeight="1" x14ac:dyDescent="0.25">
      <c r="A766" s="46" t="inlineStr">
        <is>
          <t xml:space="preserve">CANON-202606-009451</t>
        </is>
      </c>
      <c r="B766" s="46" t="inlineStr">
        <is>
          <t xml:space="preserve">Ottilie Vasquez</t>
        </is>
      </c>
      <c r="C766" s="47">
        <v>46197</v>
      </c>
      <c r="D766" s="48" t="inlineStr">
        <is>
          <t xml:space="preserve">Bound - within authority</t>
        </is>
      </c>
      <c r="E766" s="48" t="inlineStr">
        <is>
          <t xml:space="preserve">New business</t>
        </is>
      </c>
      <c r="F766" s="46" t="inlineStr">
        <is>
          <t xml:space="preserve">B1234EXOTIC26</t>
        </is>
      </c>
      <c r="G766" s="33">
        <f>IF($A766="","",IF($C766="","",YEAR($C766)))</f>
      </c>
      <c r="H766" s="49">
        <v>1975</v>
      </c>
      <c r="I766" s="46" t="inlineStr">
        <is>
          <t xml:space="preserve">Aston Martin</t>
        </is>
      </c>
      <c r="J766" s="46" t="inlineStr">
        <is>
          <t xml:space="preserve">DB5</t>
        </is>
      </c>
      <c r="K766" s="46" t="inlineStr">
        <is>
          <t xml:space="preserve">JDE8DFS0EPS6JUDL8</t>
        </is>
      </c>
      <c r="L766" s="48" t="inlineStr">
        <is>
          <t xml:space="preserve">08 - Modern Classic (1973-1999)</t>
        </is>
      </c>
      <c r="M766" s="50">
        <v>430000</v>
      </c>
      <c r="N766" s="48" t="inlineStr">
        <is>
          <t xml:space="preserve">Personal</t>
        </is>
      </c>
      <c r="O766" s="46" t="inlineStr">
        <is>
          <t xml:space="preserve">Personal - regular use</t>
        </is>
      </c>
      <c r="P766" s="46" t="inlineStr">
        <is>
          <t xml:space="preserve">Under 1,000</t>
        </is>
      </c>
      <c r="Q766" s="46" t="inlineStr">
        <is>
          <t xml:space="preserve">Oklahoma</t>
        </is>
      </c>
      <c r="R766" s="46" t="inlineStr">
        <is>
          <t xml:space="preserve">73102</t>
        </is>
      </c>
      <c r="S766" s="48" t="inlineStr">
        <is>
          <t xml:space="preserve">Severe convective - hail alley (high)</t>
        </is>
      </c>
      <c r="T766" s="36">
        <f>IF($A766="","",IF($S766="","",IFERROR(INDEX('[1]natural catastrophe'!$D$6:$D$17,MATCH($S766,'[1]natural catastrophe'!$B$6:$B$17,0)),"?")))</f>
      </c>
      <c r="U766" s="46" t="inlineStr">
        <is>
          <t xml:space="preserve">$5,000</t>
        </is>
      </c>
      <c r="V766" s="48" t="inlineStr">
        <is>
          <t xml:space="preserve">Agreed Value</t>
        </is>
      </c>
      <c r="W766" s="46" t="inlineStr">
        <is>
          <t xml:space="preserve">$1,000</t>
        </is>
      </c>
      <c r="X766" s="48" t="inlineStr">
        <is>
          <t xml:space="preserve">$1,000,000 CSL</t>
        </is>
      </c>
      <c r="Y766" s="46"/>
      <c r="Z766" s="46"/>
      <c r="AA766" s="48" t="inlineStr">
        <is>
          <t xml:space="preserve">Surplus Lines</t>
        </is>
      </c>
      <c r="AB766" s="50">
        <v>3752.77</v>
      </c>
      <c r="AC766" s="51">
        <v>0</v>
      </c>
      <c r="AD766" s="38">
        <f>IF(ISNUMBER($AB766),$AB766*(1+N($AC766)),"")</f>
      </c>
      <c r="AE766" s="50">
        <v>350</v>
      </c>
      <c r="AF766" s="50">
        <v>0</v>
      </c>
      <c r="AG766" s="51"/>
      <c r="AH766" s="39">
        <f>IF(ISNUMBER($AD766),($AD766+$AE766+$AF766)*$AG766,"")</f>
      </c>
      <c r="AI766" s="50"/>
      <c r="AJ766" s="38">
        <f>IF(ISNUMBER($AD766),SUM($AD766:$AH766),"")</f>
      </c>
      <c r="AK766" s="40">
        <f>IF(AND(ISNUMBER($AB766),ISNUMBER($AD766)),IF($AB766&gt;0,$AD766/$AB766,""),"")</f>
      </c>
      <c r="AL766" s="48" t="inlineStr">
        <is>
          <t xml:space="preserve">At technical</t>
        </is>
      </c>
      <c r="AM766" s="41">
        <f>IF(ISNUMBER($AD766),Header!$I$3,"")</f>
      </c>
      <c r="AN766" s="39">
        <f>IF(ISNUMBER($AD766),$AO766+$AP766,"")</f>
      </c>
      <c r="AO766" s="39">
        <f>IF(ISNUMBER($AD766),ROUND($AD766*Header!$K$3,2),"")</f>
      </c>
      <c r="AP766" s="39">
        <f>IF(ISNUMBER($AD766),ROUND($AD766*Header!$M$3,2),"")</f>
      </c>
      <c r="AQ766" s="38">
        <f>IF(ISNUMBER($AD766),ROUND($AD766,2)-$AO766-$AP766,"")</f>
      </c>
      <c r="AR766" s="39">
        <f>IF(ISNUMBER($AD766),IF(Header!$D$34="","?",$AD766*Header!$D$34),"")</f>
      </c>
      <c r="AS766" s="39">
        <f>IF(ISNUMBER($AB766),IF(Header!$D$34="","?",$AB766*Header!$D$34),"")</f>
      </c>
      <c r="AT766" s="42">
        <f>IF(AND(ISNUMBER($AB766),$M766&gt;0),$AB766/$M766*100,"")</f>
      </c>
      <c r="AU766" s="42">
        <f>IF(AND(ISNUMBER($AD766),$M766&gt;0),$AD766/$M766*100,"")</f>
      </c>
      <c r="AV766" s="40">
        <f>IF(AND(ISNUMBER($AB766),ISNUMBER($AD766),ABS($AB766)&gt;0),$AD766/$AB766,"")</f>
      </c>
      <c r="AW766" s="39">
        <f>IF(ISNUMBER($AD766),MAX(0,(1-0.55-Header!$O$3)*Header!$Q$3*$AQ766),"")</f>
      </c>
      <c r="AX766" s="43">
        <f>IF($A766="","",IF(TRIM(IF($A766="","Missing certificate ref. ","") &amp; IF($C766="","Missing effective date. ","") &amp; IF($D766="","Missing binding status. ","") &amp; IF($E766="","Missing movement type. ","") &amp; IF($I766="","Missing make. ","") &amp; IF($L766="","Missing vehicle class. ","") &amp; IF($M766="","Missing agreed value. ","") &amp; IF($N766="","Missing policy type. ","") &amp; IF($Q766="","Missing garaging state. ","") &amp; IF($R766="","Missing garaging ZIP. ","") &amp; IF($S766="","Missing cat zone. ","") &amp; IF($V766="","Missing valuation basis. ","") &amp; IF($W766="","Missing PD deductible. ","") &amp; IF($X766="","Missing liability limit. ","") &amp; IF($AB766="","Missing technical premium. ","") &amp; IF($AF766="","Missing surplus lines tax %. ",""))="","PASS","FAIL: "&amp;TRIM(IF($A766="","Missing certificate ref. ","") &amp; IF($C766="","Missing effective date. ","") &amp; IF($D766="","Missing binding status. ","") &amp; IF($E766="","Missing movement type. ","") &amp; IF($I766="","Missing make. ","") &amp; IF($L766="","Missing vehicle class. ","") &amp; IF($M766="","Missing agreed value. ","") &amp; IF($N766="","Missing policy type. ","") &amp; IF($Q766="","Missing garaging state. ","") &amp; IF($R766="","Missing garaging ZIP. ","") &amp; IF($S766="","Missing cat zone. ","") &amp; IF($V766="","Missing valuation basis. ","") &amp; IF($W766="","Missing PD deductible. ","") &amp; IF($X766="","Missing liability limit. ","") &amp; IF($AB766="","Missing technical premium. ","") &amp; IF($AF766="","Missing surplus lines tax %. ",""))))</f>
      </c>
      <c r="AY766" s="44">
        <f>IF($M766="","",IF(ISNUMBER($M766),IF($M766&gt;=Header!$C$18,"YES — refer","No"),""))</f>
      </c>
      <c r="AZ766" s="44">
        <f>IF($AD766="","",IF(ISNUMBER($AD766),IF($AD766&lt;Header!$C$20,"BELOW MIN PREMIUM","OK"),""))</f>
      </c>
      <c r="BA766" s="48" t="inlineStr">
        <is>
          <t xml:space="preserve">Yes</t>
        </is>
      </c>
      <c r="BB766" s="48" t="inlineStr">
        <is>
          <t xml:space="preserve">Yes</t>
        </is>
      </c>
      <c r="BC766" s="46" t="inlineStr">
        <is>
          <t xml:space="preserve">Synthetic demo data</t>
        </is>
      </c>
      <c r="BE766" s="45">
        <f>IF(OR($A766="",$L766="",$H766=""),"",IF(AND(LEFT($L766,2)="06",$H766&gt;1945),"FAIL - pre-war class, year "&amp;$H766,IF(AND(LEFT($L766,2)="07",OR($H766&lt;1946,$H766&gt;1972)),"FAIL - 1946-72 class, year "&amp;$H766,IF(AND(LEFT($L766,2)="08",OR($H766&lt;1973,$H766&gt;1999)),"FAIL - 1973-99 class, year "&amp;$H766,IF(AND(LEFT($L766,2)="09",OR($H766&lt;2000,$H766&gt;2010)),"FAIL - 2000-10 class, year "&amp;$H766,"OK")))))</f>
      </c>
      <c r="BF766" s="45">
        <f>IF($AD766="","",IF(ROUND($AO766+$AP766+$AQ766-$AD766,2)=0,"OK","FAIL - out by "&amp;TEXT($AO766+$AP766+$AQ766-$AD766,"$0.00")))</f>
      </c>
    </row>
    <row r="767" spans="1:58" ht="18.75" customHeight="1" x14ac:dyDescent="0.25">
      <c r="A767" s="30" t="inlineStr">
        <is>
          <t xml:space="preserve">CANON-202606-009452</t>
        </is>
      </c>
      <c r="B767" s="30" t="inlineStr">
        <is>
          <t xml:space="preserve">Priya Thistlewood</t>
        </is>
      </c>
      <c r="C767" s="31">
        <v>46195</v>
      </c>
      <c r="D767" s="32" t="inlineStr">
        <is>
          <t xml:space="preserve">Bound - within authority</t>
        </is>
      </c>
      <c r="E767" s="32" t="inlineStr">
        <is>
          <t xml:space="preserve">New business</t>
        </is>
      </c>
      <c r="F767" s="30" t="inlineStr">
        <is>
          <t xml:space="preserve">B1234EXOTIC26</t>
        </is>
      </c>
      <c r="G767" s="33">
        <f>IF($A767="","",IF($C767="","",YEAR($C767)))</f>
      </c>
      <c r="H767" s="34">
        <v>1955</v>
      </c>
      <c r="I767" s="30" t="inlineStr">
        <is>
          <t xml:space="preserve">Lamborghini</t>
        </is>
      </c>
      <c r="J767" s="30" t="inlineStr">
        <is>
          <t xml:space="preserve">Huracan EVO</t>
        </is>
      </c>
      <c r="K767" s="30" t="inlineStr">
        <is>
          <t xml:space="preserve">NVH9ZWNRZV2DPHFCA</t>
        </is>
      </c>
      <c r="L767" s="32" t="inlineStr">
        <is>
          <t xml:space="preserve">03 - Supercar</t>
        </is>
      </c>
      <c r="M767" s="35">
        <v>300000</v>
      </c>
      <c r="N767" s="32" t="inlineStr">
        <is>
          <t xml:space="preserve">Personal</t>
        </is>
      </c>
      <c r="O767" s="30" t="inlineStr">
        <is>
          <t xml:space="preserve">Personal - regular use</t>
        </is>
      </c>
      <c r="P767" s="30" t="inlineStr">
        <is>
          <t xml:space="preserve">Under 1,000</t>
        </is>
      </c>
      <c r="Q767" s="30" t="inlineStr">
        <is>
          <t xml:space="preserve">Alaska</t>
        </is>
      </c>
      <c r="R767" s="30" t="inlineStr">
        <is>
          <t xml:space="preserve">99501</t>
        </is>
      </c>
      <c r="S767" s="32" t="inlineStr">
        <is>
          <t xml:space="preserve">Earthquake - high (CA, Cascadia, New Madrid)</t>
        </is>
      </c>
      <c r="T767" s="36">
        <f>IF($A767="","",IF($S767="","",IFERROR(INDEX('[1]natural catastrophe'!$D$6:$D$17,MATCH($S767,'[1]natural catastrophe'!$B$6:$B$17,0)),"?")))</f>
      </c>
      <c r="U767" s="30" t="inlineStr">
        <is>
          <t xml:space="preserve">$5,000</t>
        </is>
      </c>
      <c r="V767" s="32" t="inlineStr">
        <is>
          <t xml:space="preserve">Agreed Value</t>
        </is>
      </c>
      <c r="W767" s="30" t="inlineStr">
        <is>
          <t xml:space="preserve">$1,000</t>
        </is>
      </c>
      <c r="X767" s="32" t="inlineStr">
        <is>
          <t xml:space="preserve">$1,000,000 CSL</t>
        </is>
      </c>
      <c r="Y767" s="30"/>
      <c r="Z767" s="30"/>
      <c r="AA767" s="32" t="inlineStr">
        <is>
          <t xml:space="preserve">Surplus Lines</t>
        </is>
      </c>
      <c r="AB767" s="35">
        <v>5675.39</v>
      </c>
      <c r="AC767" s="37">
        <v>0</v>
      </c>
      <c r="AD767" s="38">
        <f>IF(ISNUMBER($AB767),$AB767*(1+N($AC767)),"")</f>
      </c>
      <c r="AE767" s="35">
        <v>350</v>
      </c>
      <c r="AF767" s="35">
        <v>0</v>
      </c>
      <c r="AG767" s="37"/>
      <c r="AH767" s="39">
        <f>IF(ISNUMBER($AD767),($AD767+$AE767+$AF767)*$AG767,"")</f>
      </c>
      <c r="AI767" s="35"/>
      <c r="AJ767" s="38">
        <f>IF(ISNUMBER($AD767),SUM($AD767:$AH767),"")</f>
      </c>
      <c r="AK767" s="40">
        <f>IF(AND(ISNUMBER($AB767),ISNUMBER($AD767)),IF($AB767&gt;0,$AD767/$AB767,""),"")</f>
      </c>
      <c r="AL767" s="32" t="inlineStr">
        <is>
          <t xml:space="preserve">At technical</t>
        </is>
      </c>
      <c r="AM767" s="41">
        <f>IF(ISNUMBER($AD767),Header!$I$3,"")</f>
      </c>
      <c r="AN767" s="39">
        <f>IF(ISNUMBER($AD767),$AO767+$AP767,"")</f>
      </c>
      <c r="AO767" s="39">
        <f>IF(ISNUMBER($AD767),ROUND($AD767*Header!$K$3,2),"")</f>
      </c>
      <c r="AP767" s="39">
        <f>IF(ISNUMBER($AD767),ROUND($AD767*Header!$M$3,2),"")</f>
      </c>
      <c r="AQ767" s="38">
        <f>IF(ISNUMBER($AD767),ROUND($AD767,2)-$AO767-$AP767,"")</f>
      </c>
      <c r="AR767" s="39">
        <f>IF(ISNUMBER($AD767),IF(Header!$D$34="","?",$AD767*Header!$D$34),"")</f>
      </c>
      <c r="AS767" s="39">
        <f>IF(ISNUMBER($AB767),IF(Header!$D$34="","?",$AB767*Header!$D$34),"")</f>
      </c>
      <c r="AT767" s="42">
        <f>IF(AND(ISNUMBER($AB767),$M767&gt;0),$AB767/$M767*100,"")</f>
      </c>
      <c r="AU767" s="42">
        <f>IF(AND(ISNUMBER($AD767),$M767&gt;0),$AD767/$M767*100,"")</f>
      </c>
      <c r="AV767" s="40">
        <f>IF(AND(ISNUMBER($AB767),ISNUMBER($AD767),ABS($AB767)&gt;0),$AD767/$AB767,"")</f>
      </c>
      <c r="AW767" s="39">
        <f>IF(ISNUMBER($AD767),MAX(0,(1-0.55-Header!$O$3)*Header!$Q$3*$AQ767),"")</f>
      </c>
      <c r="AX767" s="43">
        <f>IF($A767="","",IF(TRIM(IF($A767="","Missing certificate ref. ","") &amp; IF($C767="","Missing effective date. ","") &amp; IF($D767="","Missing binding status. ","") &amp; IF($E767="","Missing movement type. ","") &amp; IF($I767="","Missing make. ","") &amp; IF($L767="","Missing vehicle class. ","") &amp; IF($M767="","Missing agreed value. ","") &amp; IF($N767="","Missing policy type. ","") &amp; IF($Q767="","Missing garaging state. ","") &amp; IF($R767="","Missing garaging ZIP. ","") &amp; IF($S767="","Missing cat zone. ","") &amp; IF($V767="","Missing valuation basis. ","") &amp; IF($W767="","Missing PD deductible. ","") &amp; IF($X767="","Missing liability limit. ","") &amp; IF($AB767="","Missing technical premium. ","") &amp; IF($AF767="","Missing surplus lines tax %. ",""))="","PASS","FAIL: "&amp;TRIM(IF($A767="","Missing certificate ref. ","") &amp; IF($C767="","Missing effective date. ","") &amp; IF($D767="","Missing binding status. ","") &amp; IF($E767="","Missing movement type. ","") &amp; IF($I767="","Missing make. ","") &amp; IF($L767="","Missing vehicle class. ","") &amp; IF($M767="","Missing agreed value. ","") &amp; IF($N767="","Missing policy type. ","") &amp; IF($Q767="","Missing garaging state. ","") &amp; IF($R767="","Missing garaging ZIP. ","") &amp; IF($S767="","Missing cat zone. ","") &amp; IF($V767="","Missing valuation basis. ","") &amp; IF($W767="","Missing PD deductible. ","") &amp; IF($X767="","Missing liability limit. ","") &amp; IF($AB767="","Missing technical premium. ","") &amp; IF($AF767="","Missing surplus lines tax %. ",""))))</f>
      </c>
      <c r="AY767" s="44">
        <f>IF($M767="","",IF(ISNUMBER($M767),IF($M767&gt;=Header!$C$18,"YES — refer","No"),""))</f>
      </c>
      <c r="AZ767" s="44">
        <f>IF($AD767="","",IF(ISNUMBER($AD767),IF($AD767&lt;Header!$C$20,"BELOW MIN PREMIUM","OK"),""))</f>
      </c>
      <c r="BA767" s="32" t="inlineStr">
        <is>
          <t xml:space="preserve">Yes</t>
        </is>
      </c>
      <c r="BB767" s="32" t="inlineStr">
        <is>
          <t xml:space="preserve">Yes</t>
        </is>
      </c>
      <c r="BC767" s="30" t="inlineStr">
        <is>
          <t xml:space="preserve">Synthetic demo data</t>
        </is>
      </c>
      <c r="BE767" s="45">
        <f>IF(OR($A767="",$L767="",$H767=""),"",IF(AND(LEFT($L767,2)="06",$H767&gt;1945),"FAIL - pre-war class, year "&amp;$H767,IF(AND(LEFT($L767,2)="07",OR($H767&lt;1946,$H767&gt;1972)),"FAIL - 1946-72 class, year "&amp;$H767,IF(AND(LEFT($L767,2)="08",OR($H767&lt;1973,$H767&gt;1999)),"FAIL - 1973-99 class, year "&amp;$H767,IF(AND(LEFT($L767,2)="09",OR($H767&lt;2000,$H767&gt;2010)),"FAIL - 2000-10 class, year "&amp;$H767,"OK")))))</f>
      </c>
      <c r="BF767" s="45">
        <f>IF($AD767="","",IF(ROUND($AO767+$AP767+$AQ767-$AD767,2)=0,"OK","FAIL - out by "&amp;TEXT($AO767+$AP767+$AQ767-$AD767,"$0.00")))</f>
      </c>
    </row>
    <row r="768" spans="1:58" ht="18.75" customHeight="1" x14ac:dyDescent="0.25">
      <c r="A768" s="46" t="inlineStr">
        <is>
          <t xml:space="preserve">CANON-202606-009454</t>
        </is>
      </c>
      <c r="B768" s="46" t="inlineStr">
        <is>
          <t xml:space="preserve">Sunniva Ashcombe</t>
        </is>
      </c>
      <c r="C768" s="47">
        <v>46196</v>
      </c>
      <c r="D768" s="48" t="inlineStr">
        <is>
          <t xml:space="preserve">Bound - within authority</t>
        </is>
      </c>
      <c r="E768" s="48" t="inlineStr">
        <is>
          <t xml:space="preserve">New business</t>
        </is>
      </c>
      <c r="F768" s="46" t="inlineStr">
        <is>
          <t xml:space="preserve">B1234EXOTIC26</t>
        </is>
      </c>
      <c r="G768" s="33">
        <f>IF($A768="","",IF($C768="","",YEAR($C768)))</f>
      </c>
      <c r="H768" s="49">
        <v>2017</v>
      </c>
      <c r="I768" s="46" t="inlineStr">
        <is>
          <t xml:space="preserve">Lamborghini</t>
        </is>
      </c>
      <c r="J768" s="46" t="inlineStr">
        <is>
          <t xml:space="preserve">Huracan EVO</t>
        </is>
      </c>
      <c r="K768" s="46" t="inlineStr">
        <is>
          <t xml:space="preserve">7ZM287V196KHMTAWU</t>
        </is>
      </c>
      <c r="L768" s="48" t="inlineStr">
        <is>
          <t xml:space="preserve">03 - Supercar</t>
        </is>
      </c>
      <c r="M768" s="50">
        <v>535000</v>
      </c>
      <c r="N768" s="48" t="inlineStr">
        <is>
          <t xml:space="preserve">Personal</t>
        </is>
      </c>
      <c r="O768" s="46" t="inlineStr">
        <is>
          <t xml:space="preserve">Personal - regular use</t>
        </is>
      </c>
      <c r="P768" s="46" t="inlineStr">
        <is>
          <t xml:space="preserve">1,000 - 2,500</t>
        </is>
      </c>
      <c r="Q768" s="46" t="inlineStr">
        <is>
          <t xml:space="preserve">Utah</t>
        </is>
      </c>
      <c r="R768" s="46" t="inlineStr">
        <is>
          <t xml:space="preserve">84101</t>
        </is>
      </c>
      <c r="S768" s="48" t="inlineStr">
        <is>
          <t xml:space="preserve">Wildfire - WUI high hazard</t>
        </is>
      </c>
      <c r="T768" s="36">
        <f>IF($A768="","",IF($S768="","",IFERROR(INDEX('[1]natural catastrophe'!$D$6:$D$17,MATCH($S768,'[1]natural catastrophe'!$B$6:$B$17,0)),"?")))</f>
      </c>
      <c r="U768" s="46" t="inlineStr">
        <is>
          <t xml:space="preserve">$5,000</t>
        </is>
      </c>
      <c r="V768" s="48" t="inlineStr">
        <is>
          <t xml:space="preserve">Agreed Value</t>
        </is>
      </c>
      <c r="W768" s="46" t="inlineStr">
        <is>
          <t xml:space="preserve">$1,000</t>
        </is>
      </c>
      <c r="X768" s="48" t="inlineStr">
        <is>
          <t xml:space="preserve">$1,000,000 CSL</t>
        </is>
      </c>
      <c r="Y768" s="46"/>
      <c r="Z768" s="46"/>
      <c r="AA768" s="48" t="inlineStr">
        <is>
          <t xml:space="preserve">Surplus Lines</t>
        </is>
      </c>
      <c r="AB768" s="50">
        <v>9901.09</v>
      </c>
      <c r="AC768" s="51">
        <v>0</v>
      </c>
      <c r="AD768" s="38">
        <f>IF(ISNUMBER($AB768),$AB768*(1+N($AC768)),"")</f>
      </c>
      <c r="AE768" s="50">
        <v>350</v>
      </c>
      <c r="AF768" s="50">
        <v>0</v>
      </c>
      <c r="AG768" s="51"/>
      <c r="AH768" s="39">
        <f>IF(ISNUMBER($AD768),($AD768+$AE768+$AF768)*$AG768,"")</f>
      </c>
      <c r="AI768" s="50"/>
      <c r="AJ768" s="38">
        <f>IF(ISNUMBER($AD768),SUM($AD768:$AH768),"")</f>
      </c>
      <c r="AK768" s="40">
        <f>IF(AND(ISNUMBER($AB768),ISNUMBER($AD768)),IF($AB768&gt;0,$AD768/$AB768,""),"")</f>
      </c>
      <c r="AL768" s="48" t="inlineStr">
        <is>
          <t xml:space="preserve">At technical</t>
        </is>
      </c>
      <c r="AM768" s="41">
        <f>IF(ISNUMBER($AD768),Header!$I$3,"")</f>
      </c>
      <c r="AN768" s="39">
        <f>IF(ISNUMBER($AD768),$AO768+$AP768,"")</f>
      </c>
      <c r="AO768" s="39">
        <f>IF(ISNUMBER($AD768),ROUND($AD768*Header!$K$3,2),"")</f>
      </c>
      <c r="AP768" s="39">
        <f>IF(ISNUMBER($AD768),ROUND($AD768*Header!$M$3,2),"")</f>
      </c>
      <c r="AQ768" s="38">
        <f>IF(ISNUMBER($AD768),ROUND($AD768,2)-$AO768-$AP768,"")</f>
      </c>
      <c r="AR768" s="39">
        <f>IF(ISNUMBER($AD768),IF(Header!$D$34="","?",$AD768*Header!$D$34),"")</f>
      </c>
      <c r="AS768" s="39">
        <f>IF(ISNUMBER($AB768),IF(Header!$D$34="","?",$AB768*Header!$D$34),"")</f>
      </c>
      <c r="AT768" s="42">
        <f>IF(AND(ISNUMBER($AB768),$M768&gt;0),$AB768/$M768*100,"")</f>
      </c>
      <c r="AU768" s="42">
        <f>IF(AND(ISNUMBER($AD768),$M768&gt;0),$AD768/$M768*100,"")</f>
      </c>
      <c r="AV768" s="40">
        <f>IF(AND(ISNUMBER($AB768),ISNUMBER($AD768),ABS($AB768)&gt;0),$AD768/$AB768,"")</f>
      </c>
      <c r="AW768" s="39">
        <f>IF(ISNUMBER($AD768),MAX(0,(1-0.55-Header!$O$3)*Header!$Q$3*$AQ768),"")</f>
      </c>
      <c r="AX768" s="43">
        <f>IF($A768="","",IF(TRIM(IF($A768="","Missing certificate ref. ","") &amp; IF($C768="","Missing effective date. ","") &amp; IF($D768="","Missing binding status. ","") &amp; IF($E768="","Missing movement type. ","") &amp; IF($I768="","Missing make. ","") &amp; IF($L768="","Missing vehicle class. ","") &amp; IF($M768="","Missing agreed value. ","") &amp; IF($N768="","Missing policy type. ","") &amp; IF($Q768="","Missing garaging state. ","") &amp; IF($R768="","Missing garaging ZIP. ","") &amp; IF($S768="","Missing cat zone. ","") &amp; IF($V768="","Missing valuation basis. ","") &amp; IF($W768="","Missing PD deductible. ","") &amp; IF($X768="","Missing liability limit. ","") &amp; IF($AB768="","Missing technical premium. ","") &amp; IF($AF768="","Missing surplus lines tax %. ",""))="","PASS","FAIL: "&amp;TRIM(IF($A768="","Missing certificate ref. ","") &amp; IF($C768="","Missing effective date. ","") &amp; IF($D768="","Missing binding status. ","") &amp; IF($E768="","Missing movement type. ","") &amp; IF($I768="","Missing make. ","") &amp; IF($L768="","Missing vehicle class. ","") &amp; IF($M768="","Missing agreed value. ","") &amp; IF($N768="","Missing policy type. ","") &amp; IF($Q768="","Missing garaging state. ","") &amp; IF($R768="","Missing garaging ZIP. ","") &amp; IF($S768="","Missing cat zone. ","") &amp; IF($V768="","Missing valuation basis. ","") &amp; IF($W768="","Missing PD deductible. ","") &amp; IF($X768="","Missing liability limit. ","") &amp; IF($AB768="","Missing technical premium. ","") &amp; IF($AF768="","Missing surplus lines tax %. ",""))))</f>
      </c>
      <c r="AY768" s="44">
        <f>IF($M768="","",IF(ISNUMBER($M768),IF($M768&gt;=Header!$C$18,"YES — refer","No"),""))</f>
      </c>
      <c r="AZ768" s="44">
        <f>IF($AD768="","",IF(ISNUMBER($AD768),IF($AD768&lt;Header!$C$20,"BELOW MIN PREMIUM","OK"),""))</f>
      </c>
      <c r="BA768" s="48" t="inlineStr">
        <is>
          <t xml:space="preserve">Yes</t>
        </is>
      </c>
      <c r="BB768" s="48" t="inlineStr">
        <is>
          <t xml:space="preserve">Yes</t>
        </is>
      </c>
      <c r="BC768" s="46" t="inlineStr">
        <is>
          <t xml:space="preserve">Synthetic demo data</t>
        </is>
      </c>
      <c r="BE768" s="45">
        <f>IF(OR($A768="",$L768="",$H768=""),"",IF(AND(LEFT($L768,2)="06",$H768&gt;1945),"FAIL - pre-war class, year "&amp;$H768,IF(AND(LEFT($L768,2)="07",OR($H768&lt;1946,$H768&gt;1972)),"FAIL - 1946-72 class, year "&amp;$H768,IF(AND(LEFT($L768,2)="08",OR($H768&lt;1973,$H768&gt;1999)),"FAIL - 1973-99 class, year "&amp;$H768,IF(AND(LEFT($L768,2)="09",OR($H768&lt;2000,$H768&gt;2010)),"FAIL - 2000-10 class, year "&amp;$H768,"OK")))))</f>
      </c>
      <c r="BF768" s="45">
        <f>IF($AD768="","",IF(ROUND($AO768+$AP768+$AQ768-$AD768,2)=0,"OK","FAIL - out by "&amp;TEXT($AO768+$AP768+$AQ768-$AD768,"$0.00")))</f>
      </c>
    </row>
    <row r="769" spans="1:58" ht="18.75" customHeight="1" x14ac:dyDescent="0.25">
      <c r="A769" s="30" t="inlineStr">
        <is>
          <t xml:space="preserve">CANON-202606-009457</t>
        </is>
      </c>
      <c r="B769" s="30" t="inlineStr">
        <is>
          <t xml:space="preserve">Ingrid Underwood</t>
        </is>
      </c>
      <c r="C769" s="31">
        <v>46182</v>
      </c>
      <c r="D769" s="32" t="inlineStr">
        <is>
          <t xml:space="preserve">Bound - within authority</t>
        </is>
      </c>
      <c r="E769" s="32" t="inlineStr">
        <is>
          <t xml:space="preserve">New business</t>
        </is>
      </c>
      <c r="F769" s="30" t="inlineStr">
        <is>
          <t xml:space="preserve">B1234EXOTIC26</t>
        </is>
      </c>
      <c r="G769" s="33">
        <f>IF($A769="","",IF($C769="","",YEAR($C769)))</f>
      </c>
      <c r="H769" s="34">
        <v>1999</v>
      </c>
      <c r="I769" s="30" t="inlineStr">
        <is>
          <t xml:space="preserve">Aston Martin</t>
        </is>
      </c>
      <c r="J769" s="30" t="inlineStr">
        <is>
          <t xml:space="preserve">DB12</t>
        </is>
      </c>
      <c r="K769" s="30" t="inlineStr">
        <is>
          <t xml:space="preserve">J28JC809VCMU8M1S9</t>
        </is>
      </c>
      <c r="L769" s="32" t="inlineStr">
        <is>
          <t xml:space="preserve">02 - Sports / GT</t>
        </is>
      </c>
      <c r="M769" s="35">
        <v>780000</v>
      </c>
      <c r="N769" s="32" t="inlineStr">
        <is>
          <t xml:space="preserve">Personal</t>
        </is>
      </c>
      <c r="O769" s="30" t="inlineStr">
        <is>
          <t xml:space="preserve">Personal - regular use</t>
        </is>
      </c>
      <c r="P769" s="30" t="inlineStr">
        <is>
          <t xml:space="preserve">1,000 - 2,500</t>
        </is>
      </c>
      <c r="Q769" s="30" t="inlineStr">
        <is>
          <t xml:space="preserve">North Dakota</t>
        </is>
      </c>
      <c r="R769" s="30" t="inlineStr">
        <is>
          <t xml:space="preserve">58501</t>
        </is>
      </c>
      <c r="S769" s="32" t="inlineStr">
        <is>
          <t xml:space="preserve">Severe convective - hail alley (high)</t>
        </is>
      </c>
      <c r="T769" s="36">
        <f>IF($A769="","",IF($S769="","",IFERROR(INDEX('[1]natural catastrophe'!$D$6:$D$17,MATCH($S769,'[1]natural catastrophe'!$B$6:$B$17,0)),"?")))</f>
      </c>
      <c r="U769" s="30" t="inlineStr">
        <is>
          <t xml:space="preserve">$5,000</t>
        </is>
      </c>
      <c r="V769" s="32" t="inlineStr">
        <is>
          <t xml:space="preserve">Agreed Value</t>
        </is>
      </c>
      <c r="W769" s="30" t="inlineStr">
        <is>
          <t xml:space="preserve">$1,000</t>
        </is>
      </c>
      <c r="X769" s="32" t="inlineStr">
        <is>
          <t xml:space="preserve">$1,000,000 CSL</t>
        </is>
      </c>
      <c r="Y769" s="30"/>
      <c r="Z769" s="30"/>
      <c r="AA769" s="32" t="inlineStr">
        <is>
          <t xml:space="preserve">Surplus Lines</t>
        </is>
      </c>
      <c r="AB769" s="35">
        <v>7462.43</v>
      </c>
      <c r="AC769" s="37">
        <v>0</v>
      </c>
      <c r="AD769" s="38">
        <f>IF(ISNUMBER($AB769),$AB769*(1+N($AC769)),"")</f>
      </c>
      <c r="AE769" s="35">
        <v>350</v>
      </c>
      <c r="AF769" s="35">
        <v>0</v>
      </c>
      <c r="AG769" s="37"/>
      <c r="AH769" s="39">
        <f>IF(ISNUMBER($AD769),($AD769+$AE769+$AF769)*$AG769,"")</f>
      </c>
      <c r="AI769" s="35"/>
      <c r="AJ769" s="38">
        <f>IF(ISNUMBER($AD769),SUM($AD769:$AH769),"")</f>
      </c>
      <c r="AK769" s="40">
        <f>IF(AND(ISNUMBER($AB769),ISNUMBER($AD769)),IF($AB769&gt;0,$AD769/$AB769,""),"")</f>
      </c>
      <c r="AL769" s="32" t="inlineStr">
        <is>
          <t xml:space="preserve">At technical</t>
        </is>
      </c>
      <c r="AM769" s="41">
        <f>IF(ISNUMBER($AD769),Header!$I$3,"")</f>
      </c>
      <c r="AN769" s="39">
        <f>IF(ISNUMBER($AD769),$AO769+$AP769,"")</f>
      </c>
      <c r="AO769" s="39">
        <f>IF(ISNUMBER($AD769),ROUND($AD769*Header!$K$3,2),"")</f>
      </c>
      <c r="AP769" s="39">
        <f>IF(ISNUMBER($AD769),ROUND($AD769*Header!$M$3,2),"")</f>
      </c>
      <c r="AQ769" s="38">
        <f>IF(ISNUMBER($AD769),ROUND($AD769,2)-$AO769-$AP769,"")</f>
      </c>
      <c r="AR769" s="39">
        <f>IF(ISNUMBER($AD769),IF(Header!$D$34="","?",$AD769*Header!$D$34),"")</f>
      </c>
      <c r="AS769" s="39">
        <f>IF(ISNUMBER($AB769),IF(Header!$D$34="","?",$AB769*Header!$D$34),"")</f>
      </c>
      <c r="AT769" s="42">
        <f>IF(AND(ISNUMBER($AB769),$M769&gt;0),$AB769/$M769*100,"")</f>
      </c>
      <c r="AU769" s="42">
        <f>IF(AND(ISNUMBER($AD769),$M769&gt;0),$AD769/$M769*100,"")</f>
      </c>
      <c r="AV769" s="40">
        <f>IF(AND(ISNUMBER($AB769),ISNUMBER($AD769),ABS($AB769)&gt;0),$AD769/$AB769,"")</f>
      </c>
      <c r="AW769" s="39">
        <f>IF(ISNUMBER($AD769),MAX(0,(1-0.55-Header!$O$3)*Header!$Q$3*$AQ769),"")</f>
      </c>
      <c r="AX769" s="43">
        <f>IF($A769="","",IF(TRIM(IF($A769="","Missing certificate ref. ","") &amp; IF($C769="","Missing effective date. ","") &amp; IF($D769="","Missing binding status. ","") &amp; IF($E769="","Missing movement type. ","") &amp; IF($I769="","Missing make. ","") &amp; IF($L769="","Missing vehicle class. ","") &amp; IF($M769="","Missing agreed value. ","") &amp; IF($N769="","Missing policy type. ","") &amp; IF($Q769="","Missing garaging state. ","") &amp; IF($R769="","Missing garaging ZIP. ","") &amp; IF($S769="","Missing cat zone. ","") &amp; IF($V769="","Missing valuation basis. ","") &amp; IF($W769="","Missing PD deductible. ","") &amp; IF($X769="","Missing liability limit. ","") &amp; IF($AB769="","Missing technical premium. ","") &amp; IF($AF769="","Missing surplus lines tax %. ",""))="","PASS","FAIL: "&amp;TRIM(IF($A769="","Missing certificate ref. ","") &amp; IF($C769="","Missing effective date. ","") &amp; IF($D769="","Missing binding status. ","") &amp; IF($E769="","Missing movement type. ","") &amp; IF($I769="","Missing make. ","") &amp; IF($L769="","Missing vehicle class. ","") &amp; IF($M769="","Missing agreed value. ","") &amp; IF($N769="","Missing policy type. ","") &amp; IF($Q769="","Missing garaging state. ","") &amp; IF($R769="","Missing garaging ZIP. ","") &amp; IF($S769="","Missing cat zone. ","") &amp; IF($V769="","Missing valuation basis. ","") &amp; IF($W769="","Missing PD deductible. ","") &amp; IF($X769="","Missing liability limit. ","") &amp; IF($AB769="","Missing technical premium. ","") &amp; IF($AF769="","Missing surplus lines tax %. ",""))))</f>
      </c>
      <c r="AY769" s="44">
        <f>IF($M769="","",IF(ISNUMBER($M769),IF($M769&gt;=Header!$C$18,"YES — refer","No"),""))</f>
      </c>
      <c r="AZ769" s="44">
        <f>IF($AD769="","",IF(ISNUMBER($AD769),IF($AD769&lt;Header!$C$20,"BELOW MIN PREMIUM","OK"),""))</f>
      </c>
      <c r="BA769" s="32" t="inlineStr">
        <is>
          <t xml:space="preserve">Yes</t>
        </is>
      </c>
      <c r="BB769" s="32" t="inlineStr">
        <is>
          <t xml:space="preserve">Yes</t>
        </is>
      </c>
      <c r="BC769" s="30" t="inlineStr">
        <is>
          <t xml:space="preserve">Synthetic demo data</t>
        </is>
      </c>
      <c r="BE769" s="45">
        <f>IF(OR($A769="",$L769="",$H769=""),"",IF(AND(LEFT($L769,2)="06",$H769&gt;1945),"FAIL - pre-war class, year "&amp;$H769,IF(AND(LEFT($L769,2)="07",OR($H769&lt;1946,$H769&gt;1972)),"FAIL - 1946-72 class, year "&amp;$H769,IF(AND(LEFT($L769,2)="08",OR($H769&lt;1973,$H769&gt;1999)),"FAIL - 1973-99 class, year "&amp;$H769,IF(AND(LEFT($L769,2)="09",OR($H769&lt;2000,$H769&gt;2010)),"FAIL - 2000-10 class, year "&amp;$H769,"OK")))))</f>
      </c>
      <c r="BF769" s="45">
        <f>IF($AD769="","",IF(ROUND($AO769+$AP769+$AQ769-$AD769,2)=0,"OK","FAIL - out by "&amp;TEXT($AO769+$AP769+$AQ769-$AD769,"$0.00")))</f>
      </c>
    </row>
    <row r="770" spans="1:58" ht="18.75" customHeight="1" x14ac:dyDescent="0.25">
      <c r="A770" s="46" t="inlineStr">
        <is>
          <t xml:space="preserve">CANON-202606-009460</t>
        </is>
      </c>
      <c r="B770" s="46" t="inlineStr">
        <is>
          <t xml:space="preserve">Cassius Underwood</t>
        </is>
      </c>
      <c r="C770" s="47">
        <v>46176</v>
      </c>
      <c r="D770" s="48" t="inlineStr">
        <is>
          <t xml:space="preserve">Bound - within authority</t>
        </is>
      </c>
      <c r="E770" s="48" t="inlineStr">
        <is>
          <t xml:space="preserve">New business</t>
        </is>
      </c>
      <c r="F770" s="46" t="inlineStr">
        <is>
          <t xml:space="preserve">B1234EXOTIC26</t>
        </is>
      </c>
      <c r="G770" s="33">
        <f>IF($A770="","",IF($C770="","",YEAR($C770)))</f>
      </c>
      <c r="H770" s="49">
        <v>2015</v>
      </c>
      <c r="I770" s="46" t="inlineStr">
        <is>
          <t xml:space="preserve">Ferrari</t>
        </is>
      </c>
      <c r="J770" s="46" t="inlineStr">
        <is>
          <t xml:space="preserve">SF90 Stradale</t>
        </is>
      </c>
      <c r="K770" s="46" t="inlineStr">
        <is>
          <t xml:space="preserve">1X8WTSN9S8FGP4J3U</t>
        </is>
      </c>
      <c r="L770" s="48" t="inlineStr">
        <is>
          <t xml:space="preserve">03 - Supercar</t>
        </is>
      </c>
      <c r="M770" s="50">
        <v>1440000</v>
      </c>
      <c r="N770" s="48" t="inlineStr">
        <is>
          <t xml:space="preserve">Personal</t>
        </is>
      </c>
      <c r="O770" s="46" t="inlineStr">
        <is>
          <t xml:space="preserve">Personal - regular use</t>
        </is>
      </c>
      <c r="P770" s="46" t="inlineStr">
        <is>
          <t xml:space="preserve">2,500 - 5,000</t>
        </is>
      </c>
      <c r="Q770" s="46" t="inlineStr">
        <is>
          <t xml:space="preserve">Montana</t>
        </is>
      </c>
      <c r="R770" s="46" t="inlineStr">
        <is>
          <t xml:space="preserve">59601</t>
        </is>
      </c>
      <c r="S770" s="48" t="inlineStr">
        <is>
          <t xml:space="preserve">Wildfire - WUI high hazard</t>
        </is>
      </c>
      <c r="T770" s="36">
        <f>IF($A770="","",IF($S770="","",IFERROR(INDEX('[1]natural catastrophe'!$D$6:$D$17,MATCH($S770,'[1]natural catastrophe'!$B$6:$B$17,0)),"?")))</f>
      </c>
      <c r="U770" s="46" t="inlineStr">
        <is>
          <t xml:space="preserve">$5,000</t>
        </is>
      </c>
      <c r="V770" s="48" t="inlineStr">
        <is>
          <t xml:space="preserve">Agreed Value</t>
        </is>
      </c>
      <c r="W770" s="46" t="inlineStr">
        <is>
          <t xml:space="preserve">$1,000</t>
        </is>
      </c>
      <c r="X770" s="48" t="inlineStr">
        <is>
          <t xml:space="preserve">$1,000,000 CSL</t>
        </is>
      </c>
      <c r="Y770" s="46"/>
      <c r="Z770" s="46"/>
      <c r="AA770" s="48" t="inlineStr">
        <is>
          <t xml:space="preserve">Surplus Lines</t>
        </is>
      </c>
      <c r="AB770" s="50">
        <v>15459.93</v>
      </c>
      <c r="AC770" s="51">
        <v>0</v>
      </c>
      <c r="AD770" s="38">
        <f>IF(ISNUMBER($AB770),$AB770*(1+N($AC770)),"")</f>
      </c>
      <c r="AE770" s="50">
        <v>350</v>
      </c>
      <c r="AF770" s="50">
        <v>250</v>
      </c>
      <c r="AG770" s="51"/>
      <c r="AH770" s="39">
        <f>IF(ISNUMBER($AD770),($AD770+$AE770+$AF770)*$AG770,"")</f>
      </c>
      <c r="AI770" s="50"/>
      <c r="AJ770" s="38">
        <f>IF(ISNUMBER($AD770),SUM($AD770:$AH770),"")</f>
      </c>
      <c r="AK770" s="40">
        <f>IF(AND(ISNUMBER($AB770),ISNUMBER($AD770)),IF($AB770&gt;0,$AD770/$AB770,""),"")</f>
      </c>
      <c r="AL770" s="48" t="inlineStr">
        <is>
          <t xml:space="preserve">At technical</t>
        </is>
      </c>
      <c r="AM770" s="41">
        <f>IF(ISNUMBER($AD770),Header!$I$3,"")</f>
      </c>
      <c r="AN770" s="39">
        <f>IF(ISNUMBER($AD770),$AO770+$AP770,"")</f>
      </c>
      <c r="AO770" s="39">
        <f>IF(ISNUMBER($AD770),ROUND($AD770*Header!$K$3,2),"")</f>
      </c>
      <c r="AP770" s="39">
        <f>IF(ISNUMBER($AD770),ROUND($AD770*Header!$M$3,2),"")</f>
      </c>
      <c r="AQ770" s="38">
        <f>IF(ISNUMBER($AD770),ROUND($AD770,2)-$AO770-$AP770,"")</f>
      </c>
      <c r="AR770" s="39">
        <f>IF(ISNUMBER($AD770),IF(Header!$D$34="","?",$AD770*Header!$D$34),"")</f>
      </c>
      <c r="AS770" s="39">
        <f>IF(ISNUMBER($AB770),IF(Header!$D$34="","?",$AB770*Header!$D$34),"")</f>
      </c>
      <c r="AT770" s="42">
        <f>IF(AND(ISNUMBER($AB770),$M770&gt;0),$AB770/$M770*100,"")</f>
      </c>
      <c r="AU770" s="42">
        <f>IF(AND(ISNUMBER($AD770),$M770&gt;0),$AD770/$M770*100,"")</f>
      </c>
      <c r="AV770" s="40">
        <f>IF(AND(ISNUMBER($AB770),ISNUMBER($AD770),ABS($AB770)&gt;0),$AD770/$AB770,"")</f>
      </c>
      <c r="AW770" s="39">
        <f>IF(ISNUMBER($AD770),MAX(0,(1-0.55-Header!$O$3)*Header!$Q$3*$AQ770),"")</f>
      </c>
      <c r="AX770" s="43">
        <f>IF($A770="","",IF(TRIM(IF($A770="","Missing certificate ref. ","") &amp; IF($C770="","Missing effective date. ","") &amp; IF($D770="","Missing binding status. ","") &amp; IF($E770="","Missing movement type. ","") &amp; IF($I770="","Missing make. ","") &amp; IF($L770="","Missing vehicle class. ","") &amp; IF($M770="","Missing agreed value. ","") &amp; IF($N770="","Missing policy type. ","") &amp; IF($Q770="","Missing garaging state. ","") &amp; IF($R770="","Missing garaging ZIP. ","") &amp; IF($S770="","Missing cat zone. ","") &amp; IF($V770="","Missing valuation basis. ","") &amp; IF($W770="","Missing PD deductible. ","") &amp; IF($X770="","Missing liability limit. ","") &amp; IF($AB770="","Missing technical premium. ","") &amp; IF($AF770="","Missing surplus lines tax %. ",""))="","PASS","FAIL: "&amp;TRIM(IF($A770="","Missing certificate ref. ","") &amp; IF($C770="","Missing effective date. ","") &amp; IF($D770="","Missing binding status. ","") &amp; IF($E770="","Missing movement type. ","") &amp; IF($I770="","Missing make. ","") &amp; IF($L770="","Missing vehicle class. ","") &amp; IF($M770="","Missing agreed value. ","") &amp; IF($N770="","Missing policy type. ","") &amp; IF($Q770="","Missing garaging state. ","") &amp; IF($R770="","Missing garaging ZIP. ","") &amp; IF($S770="","Missing cat zone. ","") &amp; IF($V770="","Missing valuation basis. ","") &amp; IF($W770="","Missing PD deductible. ","") &amp; IF($X770="","Missing liability limit. ","") &amp; IF($AB770="","Missing technical premium. ","") &amp; IF($AF770="","Missing surplus lines tax %. ",""))))</f>
      </c>
      <c r="AY770" s="44">
        <f>IF($M770="","",IF(ISNUMBER($M770),IF($M770&gt;=Header!$C$18,"YES — refer","No"),""))</f>
      </c>
      <c r="AZ770" s="44">
        <f>IF($AD770="","",IF(ISNUMBER($AD770),IF($AD770&lt;Header!$C$20,"BELOW MIN PREMIUM","OK"),""))</f>
      </c>
      <c r="BA770" s="48" t="inlineStr">
        <is>
          <t xml:space="preserve">Yes</t>
        </is>
      </c>
      <c r="BB770" s="48" t="inlineStr">
        <is>
          <t xml:space="preserve">Yes</t>
        </is>
      </c>
      <c r="BC770" s="46" t="inlineStr">
        <is>
          <t xml:space="preserve">Synthetic demo data</t>
        </is>
      </c>
      <c r="BE770" s="45">
        <f>IF(OR($A770="",$L770="",$H770=""),"",IF(AND(LEFT($L770,2)="06",$H770&gt;1945),"FAIL - pre-war class, year "&amp;$H770,IF(AND(LEFT($L770,2)="07",OR($H770&lt;1946,$H770&gt;1972)),"FAIL - 1946-72 class, year "&amp;$H770,IF(AND(LEFT($L770,2)="08",OR($H770&lt;1973,$H770&gt;1999)),"FAIL - 1973-99 class, year "&amp;$H770,IF(AND(LEFT($L770,2)="09",OR($H770&lt;2000,$H770&gt;2010)),"FAIL - 2000-10 class, year "&amp;$H770,"OK")))))</f>
      </c>
      <c r="BF770" s="45">
        <f>IF($AD770="","",IF(ROUND($AO770+$AP770+$AQ770-$AD770,2)=0,"OK","FAIL - out by "&amp;TEXT($AO770+$AP770+$AQ770-$AD770,"$0.00")))</f>
      </c>
    </row>
    <row r="771" spans="1:58" ht="18.75" customHeight="1" x14ac:dyDescent="0.25">
      <c r="A771" s="30" t="inlineStr">
        <is>
          <t xml:space="preserve">CANON-202606-009461</t>
        </is>
      </c>
      <c r="B771" s="30" t="inlineStr">
        <is>
          <t xml:space="preserve">Mireille Nakashima</t>
        </is>
      </c>
      <c r="C771" s="31">
        <v>46178</v>
      </c>
      <c r="D771" s="32" t="inlineStr">
        <is>
          <t xml:space="preserve">Bound - within authority</t>
        </is>
      </c>
      <c r="E771" s="32" t="inlineStr">
        <is>
          <t xml:space="preserve">New business</t>
        </is>
      </c>
      <c r="F771" s="30" t="inlineStr">
        <is>
          <t xml:space="preserve">B1234EXOTIC26</t>
        </is>
      </c>
      <c r="G771" s="33">
        <f>IF($A771="","",IF($C771="","",YEAR($C771)))</f>
      </c>
      <c r="H771" s="34">
        <v>1962</v>
      </c>
      <c r="I771" s="30" t="inlineStr">
        <is>
          <t xml:space="preserve">Maserati</t>
        </is>
      </c>
      <c r="J771" s="30" t="inlineStr">
        <is>
          <t xml:space="preserve">GranTurismo</t>
        </is>
      </c>
      <c r="K771" s="30" t="inlineStr">
        <is>
          <t xml:space="preserve">JENE9W9KZZLR6ECLM</t>
        </is>
      </c>
      <c r="L771" s="32" t="inlineStr">
        <is>
          <t xml:space="preserve">02 - Sports / GT</t>
        </is>
      </c>
      <c r="M771" s="35">
        <v>395000</v>
      </c>
      <c r="N771" s="32" t="inlineStr">
        <is>
          <t xml:space="preserve">Personal</t>
        </is>
      </c>
      <c r="O771" s="30" t="inlineStr">
        <is>
          <t xml:space="preserve">Personal - regular use</t>
        </is>
      </c>
      <c r="P771" s="30" t="inlineStr">
        <is>
          <t xml:space="preserve">1,000 - 2,500</t>
        </is>
      </c>
      <c r="Q771" s="30" t="inlineStr">
        <is>
          <t xml:space="preserve">California</t>
        </is>
      </c>
      <c r="R771" s="30" t="inlineStr">
        <is>
          <t xml:space="preserve">90012</t>
        </is>
      </c>
      <c r="S771" s="32" t="inlineStr">
        <is>
          <t xml:space="preserve">Earthquake - high (CA, Cascadia, New Madrid)</t>
        </is>
      </c>
      <c r="T771" s="36">
        <f>IF($A771="","",IF($S771="","",IFERROR(INDEX('[1]natural catastrophe'!$D$6:$D$17,MATCH($S771,'[1]natural catastrophe'!$B$6:$B$17,0)),"?")))</f>
      </c>
      <c r="U771" s="30" t="inlineStr">
        <is>
          <t xml:space="preserve">$5,000</t>
        </is>
      </c>
      <c r="V771" s="32" t="inlineStr">
        <is>
          <t xml:space="preserve">Agreed Value</t>
        </is>
      </c>
      <c r="W771" s="30" t="inlineStr">
        <is>
          <t xml:space="preserve">$1,000</t>
        </is>
      </c>
      <c r="X771" s="32" t="inlineStr">
        <is>
          <t xml:space="preserve">$1,000,000 CSL</t>
        </is>
      </c>
      <c r="Y771" s="30"/>
      <c r="Z771" s="30"/>
      <c r="AA771" s="32" t="inlineStr">
        <is>
          <t xml:space="preserve">Surplus Lines</t>
        </is>
      </c>
      <c r="AB771" s="35">
        <v>5771.17</v>
      </c>
      <c r="AC771" s="37">
        <v>0</v>
      </c>
      <c r="AD771" s="38">
        <f>IF(ISNUMBER($AB771),$AB771*(1+N($AC771)),"")</f>
      </c>
      <c r="AE771" s="35">
        <v>350</v>
      </c>
      <c r="AF771" s="35">
        <v>0</v>
      </c>
      <c r="AG771" s="37"/>
      <c r="AH771" s="39">
        <f>IF(ISNUMBER($AD771),($AD771+$AE771+$AF771)*$AG771,"")</f>
      </c>
      <c r="AI771" s="35"/>
      <c r="AJ771" s="38">
        <f>IF(ISNUMBER($AD771),SUM($AD771:$AH771),"")</f>
      </c>
      <c r="AK771" s="40">
        <f>IF(AND(ISNUMBER($AB771),ISNUMBER($AD771)),IF($AB771&gt;0,$AD771/$AB771,""),"")</f>
      </c>
      <c r="AL771" s="32" t="inlineStr">
        <is>
          <t xml:space="preserve">At technical</t>
        </is>
      </c>
      <c r="AM771" s="41">
        <f>IF(ISNUMBER($AD771),Header!$I$3,"")</f>
      </c>
      <c r="AN771" s="39">
        <f>IF(ISNUMBER($AD771),$AO771+$AP771,"")</f>
      </c>
      <c r="AO771" s="39">
        <f>IF(ISNUMBER($AD771),ROUND($AD771*Header!$K$3,2),"")</f>
      </c>
      <c r="AP771" s="39">
        <f>IF(ISNUMBER($AD771),ROUND($AD771*Header!$M$3,2),"")</f>
      </c>
      <c r="AQ771" s="38">
        <f>IF(ISNUMBER($AD771),ROUND($AD771,2)-$AO771-$AP771,"")</f>
      </c>
      <c r="AR771" s="39">
        <f>IF(ISNUMBER($AD771),IF(Header!$D$34="","?",$AD771*Header!$D$34),"")</f>
      </c>
      <c r="AS771" s="39">
        <f>IF(ISNUMBER($AB771),IF(Header!$D$34="","?",$AB771*Header!$D$34),"")</f>
      </c>
      <c r="AT771" s="42">
        <f>IF(AND(ISNUMBER($AB771),$M771&gt;0),$AB771/$M771*100,"")</f>
      </c>
      <c r="AU771" s="42">
        <f>IF(AND(ISNUMBER($AD771),$M771&gt;0),$AD771/$M771*100,"")</f>
      </c>
      <c r="AV771" s="40">
        <f>IF(AND(ISNUMBER($AB771),ISNUMBER($AD771),ABS($AB771)&gt;0),$AD771/$AB771,"")</f>
      </c>
      <c r="AW771" s="39">
        <f>IF(ISNUMBER($AD771),MAX(0,(1-0.55-Header!$O$3)*Header!$Q$3*$AQ771),"")</f>
      </c>
      <c r="AX771" s="43">
        <f>IF($A771="","",IF(TRIM(IF($A771="","Missing certificate ref. ","") &amp; IF($C771="","Missing effective date. ","") &amp; IF($D771="","Missing binding status. ","") &amp; IF($E771="","Missing movement type. ","") &amp; IF($I771="","Missing make. ","") &amp; IF($L771="","Missing vehicle class. ","") &amp; IF($M771="","Missing agreed value. ","") &amp; IF($N771="","Missing policy type. ","") &amp; IF($Q771="","Missing garaging state. ","") &amp; IF($R771="","Missing garaging ZIP. ","") &amp; IF($S771="","Missing cat zone. ","") &amp; IF($V771="","Missing valuation basis. ","") &amp; IF($W771="","Missing PD deductible. ","") &amp; IF($X771="","Missing liability limit. ","") &amp; IF($AB771="","Missing technical premium. ","") &amp; IF($AF771="","Missing surplus lines tax %. ",""))="","PASS","FAIL: "&amp;TRIM(IF($A771="","Missing certificate ref. ","") &amp; IF($C771="","Missing effective date. ","") &amp; IF($D771="","Missing binding status. ","") &amp; IF($E771="","Missing movement type. ","") &amp; IF($I771="","Missing make. ","") &amp; IF($L771="","Missing vehicle class. ","") &amp; IF($M771="","Missing agreed value. ","") &amp; IF($N771="","Missing policy type. ","") &amp; IF($Q771="","Missing garaging state. ","") &amp; IF($R771="","Missing garaging ZIP. ","") &amp; IF($S771="","Missing cat zone. ","") &amp; IF($V771="","Missing valuation basis. ","") &amp; IF($W771="","Missing PD deductible. ","") &amp; IF($X771="","Missing liability limit. ","") &amp; IF($AB771="","Missing technical premium. ","") &amp; IF($AF771="","Missing surplus lines tax %. ",""))))</f>
      </c>
      <c r="AY771" s="44">
        <f>IF($M771="","",IF(ISNUMBER($M771),IF($M771&gt;=Header!$C$18,"YES — refer","No"),""))</f>
      </c>
      <c r="AZ771" s="44">
        <f>IF($AD771="","",IF(ISNUMBER($AD771),IF($AD771&lt;Header!$C$20,"BELOW MIN PREMIUM","OK"),""))</f>
      </c>
      <c r="BA771" s="32" t="inlineStr">
        <is>
          <t xml:space="preserve">Yes</t>
        </is>
      </c>
      <c r="BB771" s="32" t="inlineStr">
        <is>
          <t xml:space="preserve">Yes</t>
        </is>
      </c>
      <c r="BC771" s="30" t="inlineStr">
        <is>
          <t xml:space="preserve">Synthetic demo data</t>
        </is>
      </c>
      <c r="BE771" s="45">
        <f>IF(OR($A771="",$L771="",$H771=""),"",IF(AND(LEFT($L771,2)="06",$H771&gt;1945),"FAIL - pre-war class, year "&amp;$H771,IF(AND(LEFT($L771,2)="07",OR($H771&lt;1946,$H771&gt;1972)),"FAIL - 1946-72 class, year "&amp;$H771,IF(AND(LEFT($L771,2)="08",OR($H771&lt;1973,$H771&gt;1999)),"FAIL - 1973-99 class, year "&amp;$H771,IF(AND(LEFT($L771,2)="09",OR($H771&lt;2000,$H771&gt;2010)),"FAIL - 2000-10 class, year "&amp;$H771,"OK")))))</f>
      </c>
      <c r="BF771" s="45">
        <f>IF($AD771="","",IF(ROUND($AO771+$AP771+$AQ771-$AD771,2)=0,"OK","FAIL - out by "&amp;TEXT($AO771+$AP771+$AQ771-$AD771,"$0.00")))</f>
      </c>
    </row>
    <row r="772" spans="1:58" ht="18.75" customHeight="1" x14ac:dyDescent="0.25">
      <c r="A772" s="46" t="inlineStr">
        <is>
          <t xml:space="preserve">CANON-202606-009462</t>
        </is>
      </c>
      <c r="B772" s="46" t="inlineStr">
        <is>
          <t xml:space="preserve">Ottilie Underwood</t>
        </is>
      </c>
      <c r="C772" s="47">
        <v>46199</v>
      </c>
      <c r="D772" s="48" t="inlineStr">
        <is>
          <t xml:space="preserve">Bound - within authority</t>
        </is>
      </c>
      <c r="E772" s="48" t="inlineStr">
        <is>
          <t xml:space="preserve">New business</t>
        </is>
      </c>
      <c r="F772" s="46" t="inlineStr">
        <is>
          <t xml:space="preserve">B1234EXOTIC26</t>
        </is>
      </c>
      <c r="G772" s="33">
        <f>IF($A772="","",IF($C772="","",YEAR($C772)))</f>
      </c>
      <c r="H772" s="49">
        <v>1956</v>
      </c>
      <c r="I772" s="46" t="inlineStr">
        <is>
          <t xml:space="preserve">Bentley</t>
        </is>
      </c>
      <c r="J772" s="46" t="inlineStr">
        <is>
          <t xml:space="preserve">Continental GT</t>
        </is>
      </c>
      <c r="K772" s="46" t="inlineStr">
        <is>
          <t xml:space="preserve">35AY5LA3B2S13EZM9</t>
        </is>
      </c>
      <c r="L772" s="48" t="inlineStr">
        <is>
          <t xml:space="preserve">02 - Sports / GT</t>
        </is>
      </c>
      <c r="M772" s="50">
        <v>590000</v>
      </c>
      <c r="N772" s="48" t="inlineStr">
        <is>
          <t xml:space="preserve">Personal</t>
        </is>
      </c>
      <c r="O772" s="46" t="inlineStr">
        <is>
          <t xml:space="preserve">Personal - regular use</t>
        </is>
      </c>
      <c r="P772" s="46" t="inlineStr">
        <is>
          <t xml:space="preserve">2,500 - 5,000</t>
        </is>
      </c>
      <c r="Q772" s="46" t="inlineStr">
        <is>
          <t xml:space="preserve">Colorado</t>
        </is>
      </c>
      <c r="R772" s="46" t="inlineStr">
        <is>
          <t xml:space="preserve">80202</t>
        </is>
      </c>
      <c r="S772" s="48" t="inlineStr">
        <is>
          <t xml:space="preserve">Severe convective - hail alley (high)</t>
        </is>
      </c>
      <c r="T772" s="36">
        <f>IF($A772="","",IF($S772="","",IFERROR(INDEX('[1]natural catastrophe'!$D$6:$D$17,MATCH($S772,'[1]natural catastrophe'!$B$6:$B$17,0)),"?")))</f>
      </c>
      <c r="U772" s="46" t="inlineStr">
        <is>
          <t xml:space="preserve">$5,000</t>
        </is>
      </c>
      <c r="V772" s="48" t="inlineStr">
        <is>
          <t xml:space="preserve">Agreed Value</t>
        </is>
      </c>
      <c r="W772" s="46" t="inlineStr">
        <is>
          <t xml:space="preserve">$1,000</t>
        </is>
      </c>
      <c r="X772" s="48" t="inlineStr">
        <is>
          <t xml:space="preserve">$1,000,000 CSL</t>
        </is>
      </c>
      <c r="Y772" s="46"/>
      <c r="Z772" s="46"/>
      <c r="AA772" s="48" t="inlineStr">
        <is>
          <t xml:space="preserve">Surplus Lines</t>
        </is>
      </c>
      <c r="AB772" s="50">
        <v>6087.37</v>
      </c>
      <c r="AC772" s="51">
        <v>0</v>
      </c>
      <c r="AD772" s="38">
        <f>IF(ISNUMBER($AB772),$AB772*(1+N($AC772)),"")</f>
      </c>
      <c r="AE772" s="50">
        <v>350</v>
      </c>
      <c r="AF772" s="50">
        <v>0</v>
      </c>
      <c r="AG772" s="51"/>
      <c r="AH772" s="39">
        <f>IF(ISNUMBER($AD772),($AD772+$AE772+$AF772)*$AG772,"")</f>
      </c>
      <c r="AI772" s="50"/>
      <c r="AJ772" s="38">
        <f>IF(ISNUMBER($AD772),SUM($AD772:$AH772),"")</f>
      </c>
      <c r="AK772" s="40">
        <f>IF(AND(ISNUMBER($AB772),ISNUMBER($AD772)),IF($AB772&gt;0,$AD772/$AB772,""),"")</f>
      </c>
      <c r="AL772" s="48" t="inlineStr">
        <is>
          <t xml:space="preserve">At technical</t>
        </is>
      </c>
      <c r="AM772" s="41">
        <f>IF(ISNUMBER($AD772),Header!$I$3,"")</f>
      </c>
      <c r="AN772" s="39">
        <f>IF(ISNUMBER($AD772),$AO772+$AP772,"")</f>
      </c>
      <c r="AO772" s="39">
        <f>IF(ISNUMBER($AD772),ROUND($AD772*Header!$K$3,2),"")</f>
      </c>
      <c r="AP772" s="39">
        <f>IF(ISNUMBER($AD772),ROUND($AD772*Header!$M$3,2),"")</f>
      </c>
      <c r="AQ772" s="38">
        <f>IF(ISNUMBER($AD772),ROUND($AD772,2)-$AO772-$AP772,"")</f>
      </c>
      <c r="AR772" s="39">
        <f>IF(ISNUMBER($AD772),IF(Header!$D$34="","?",$AD772*Header!$D$34),"")</f>
      </c>
      <c r="AS772" s="39">
        <f>IF(ISNUMBER($AB772),IF(Header!$D$34="","?",$AB772*Header!$D$34),"")</f>
      </c>
      <c r="AT772" s="42">
        <f>IF(AND(ISNUMBER($AB772),$M772&gt;0),$AB772/$M772*100,"")</f>
      </c>
      <c r="AU772" s="42">
        <f>IF(AND(ISNUMBER($AD772),$M772&gt;0),$AD772/$M772*100,"")</f>
      </c>
      <c r="AV772" s="40">
        <f>IF(AND(ISNUMBER($AB772),ISNUMBER($AD772),ABS($AB772)&gt;0),$AD772/$AB772,"")</f>
      </c>
      <c r="AW772" s="39">
        <f>IF(ISNUMBER($AD772),MAX(0,(1-0.55-Header!$O$3)*Header!$Q$3*$AQ772),"")</f>
      </c>
      <c r="AX772" s="43">
        <f>IF($A772="","",IF(TRIM(IF($A772="","Missing certificate ref. ","") &amp; IF($C772="","Missing effective date. ","") &amp; IF($D772="","Missing binding status. ","") &amp; IF($E772="","Missing movement type. ","") &amp; IF($I772="","Missing make. ","") &amp; IF($L772="","Missing vehicle class. ","") &amp; IF($M772="","Missing agreed value. ","") &amp; IF($N772="","Missing policy type. ","") &amp; IF($Q772="","Missing garaging state. ","") &amp; IF($R772="","Missing garaging ZIP. ","") &amp; IF($S772="","Missing cat zone. ","") &amp; IF($V772="","Missing valuation basis. ","") &amp; IF($W772="","Missing PD deductible. ","") &amp; IF($X772="","Missing liability limit. ","") &amp; IF($AB772="","Missing technical premium. ","") &amp; IF($AF772="","Missing surplus lines tax %. ",""))="","PASS","FAIL: "&amp;TRIM(IF($A772="","Missing certificate ref. ","") &amp; IF($C772="","Missing effective date. ","") &amp; IF($D772="","Missing binding status. ","") &amp; IF($E772="","Missing movement type. ","") &amp; IF($I772="","Missing make. ","") &amp; IF($L772="","Missing vehicle class. ","") &amp; IF($M772="","Missing agreed value. ","") &amp; IF($N772="","Missing policy type. ","") &amp; IF($Q772="","Missing garaging state. ","") &amp; IF($R772="","Missing garaging ZIP. ","") &amp; IF($S772="","Missing cat zone. ","") &amp; IF($V772="","Missing valuation basis. ","") &amp; IF($W772="","Missing PD deductible. ","") &amp; IF($X772="","Missing liability limit. ","") &amp; IF($AB772="","Missing technical premium. ","") &amp; IF($AF772="","Missing surplus lines tax %. ",""))))</f>
      </c>
      <c r="AY772" s="44">
        <f>IF($M772="","",IF(ISNUMBER($M772),IF($M772&gt;=Header!$C$18,"YES — refer","No"),""))</f>
      </c>
      <c r="AZ772" s="44">
        <f>IF($AD772="","",IF(ISNUMBER($AD772),IF($AD772&lt;Header!$C$20,"BELOW MIN PREMIUM","OK"),""))</f>
      </c>
      <c r="BA772" s="48" t="inlineStr">
        <is>
          <t xml:space="preserve">Yes</t>
        </is>
      </c>
      <c r="BB772" s="48" t="inlineStr">
        <is>
          <t xml:space="preserve">Yes</t>
        </is>
      </c>
      <c r="BC772" s="46" t="inlineStr">
        <is>
          <t xml:space="preserve">Synthetic demo data</t>
        </is>
      </c>
      <c r="BE772" s="45">
        <f>IF(OR($A772="",$L772="",$H772=""),"",IF(AND(LEFT($L772,2)="06",$H772&gt;1945),"FAIL - pre-war class, year "&amp;$H772,IF(AND(LEFT($L772,2)="07",OR($H772&lt;1946,$H772&gt;1972)),"FAIL - 1946-72 class, year "&amp;$H772,IF(AND(LEFT($L772,2)="08",OR($H772&lt;1973,$H772&gt;1999)),"FAIL - 1973-99 class, year "&amp;$H772,IF(AND(LEFT($L772,2)="09",OR($H772&lt;2000,$H772&gt;2010)),"FAIL - 2000-10 class, year "&amp;$H772,"OK")))))</f>
      </c>
      <c r="BF772" s="45">
        <f>IF($AD772="","",IF(ROUND($AO772+$AP772+$AQ772-$AD772,2)=0,"OK","FAIL - out by "&amp;TEXT($AO772+$AP772+$AQ772-$AD772,"$0.00")))</f>
      </c>
    </row>
    <row r="773" spans="1:58" ht="18.75" customHeight="1" x14ac:dyDescent="0.25">
      <c r="A773" s="30" t="inlineStr">
        <is>
          <t xml:space="preserve">CANON-202606-009463</t>
        </is>
      </c>
      <c r="B773" s="30" t="inlineStr">
        <is>
          <t xml:space="preserve">Fitzgerald Pennington</t>
        </is>
      </c>
      <c r="C773" s="31">
        <v>46176</v>
      </c>
      <c r="D773" s="32" t="inlineStr">
        <is>
          <t xml:space="preserve">Bound - within authority</t>
        </is>
      </c>
      <c r="E773" s="32" t="inlineStr">
        <is>
          <t xml:space="preserve">New business</t>
        </is>
      </c>
      <c r="F773" s="30" t="inlineStr">
        <is>
          <t xml:space="preserve">B1234EXOTIC26</t>
        </is>
      </c>
      <c r="G773" s="33">
        <f>IF($A773="","",IF($C773="","",YEAR($C773)))</f>
      </c>
      <c r="H773" s="34">
        <v>2024</v>
      </c>
      <c r="I773" s="30" t="inlineStr">
        <is>
          <t xml:space="preserve">Jaguar</t>
        </is>
      </c>
      <c r="J773" s="30" t="inlineStr">
        <is>
          <t xml:space="preserve">E-Type Series 1</t>
        </is>
      </c>
      <c r="K773" s="30" t="inlineStr">
        <is>
          <t xml:space="preserve">AMZH2W8VK3N4X0AV3</t>
        </is>
      </c>
      <c r="L773" s="32" t="inlineStr">
        <is>
          <t xml:space="preserve">02 - Sports / GT</t>
        </is>
      </c>
      <c r="M773" s="35">
        <v>1950000</v>
      </c>
      <c r="N773" s="32" t="inlineStr">
        <is>
          <t xml:space="preserve">Personal</t>
        </is>
      </c>
      <c r="O773" s="30" t="inlineStr">
        <is>
          <t xml:space="preserve">Personal - regular use</t>
        </is>
      </c>
      <c r="P773" s="30" t="inlineStr">
        <is>
          <t xml:space="preserve">1,000 - 2,500</t>
        </is>
      </c>
      <c r="Q773" s="30" t="inlineStr">
        <is>
          <t xml:space="preserve">Virginia</t>
        </is>
      </c>
      <c r="R773" s="30" t="inlineStr">
        <is>
          <t xml:space="preserve">23219</t>
        </is>
      </c>
      <c r="S773" s="32" t="inlineStr">
        <is>
          <t xml:space="preserve">Tier 3 - Coastal wind (25-100 miles)</t>
        </is>
      </c>
      <c r="T773" s="36">
        <f>IF($A773="","",IF($S773="","",IFERROR(INDEX('[1]natural catastrophe'!$D$6:$D$17,MATCH($S773,'[1]natural catastrophe'!$B$6:$B$17,0)),"?")))</f>
      </c>
      <c r="U773" s="30" t="inlineStr">
        <is>
          <t xml:space="preserve">2% of agreed value, minimum $10,000</t>
        </is>
      </c>
      <c r="V773" s="32" t="inlineStr">
        <is>
          <t xml:space="preserve">Agreed Value</t>
        </is>
      </c>
      <c r="W773" s="30" t="inlineStr">
        <is>
          <t xml:space="preserve">$1,000</t>
        </is>
      </c>
      <c r="X773" s="32" t="inlineStr">
        <is>
          <t xml:space="preserve">$1,000,000 CSL</t>
        </is>
      </c>
      <c r="Y773" s="30"/>
      <c r="Z773" s="30"/>
      <c r="AA773" s="32" t="inlineStr">
        <is>
          <t xml:space="preserve">Surplus Lines</t>
        </is>
      </c>
      <c r="AB773" s="35">
        <v>11655.12</v>
      </c>
      <c r="AC773" s="37">
        <v>0</v>
      </c>
      <c r="AD773" s="38">
        <f>IF(ISNUMBER($AB773),$AB773*(1+N($AC773)),"")</f>
      </c>
      <c r="AE773" s="35">
        <v>350</v>
      </c>
      <c r="AF773" s="35">
        <v>250</v>
      </c>
      <c r="AG773" s="37"/>
      <c r="AH773" s="39">
        <f>IF(ISNUMBER($AD773),($AD773+$AE773+$AF773)*$AG773,"")</f>
      </c>
      <c r="AI773" s="35"/>
      <c r="AJ773" s="38">
        <f>IF(ISNUMBER($AD773),SUM($AD773:$AH773),"")</f>
      </c>
      <c r="AK773" s="40">
        <f>IF(AND(ISNUMBER($AB773),ISNUMBER($AD773)),IF($AB773&gt;0,$AD773/$AB773,""),"")</f>
      </c>
      <c r="AL773" s="32" t="inlineStr">
        <is>
          <t xml:space="preserve">At technical</t>
        </is>
      </c>
      <c r="AM773" s="41">
        <f>IF(ISNUMBER($AD773),Header!$I$3,"")</f>
      </c>
      <c r="AN773" s="39">
        <f>IF(ISNUMBER($AD773),$AO773+$AP773,"")</f>
      </c>
      <c r="AO773" s="39">
        <f>IF(ISNUMBER($AD773),ROUND($AD773*Header!$K$3,2),"")</f>
      </c>
      <c r="AP773" s="39">
        <f>IF(ISNUMBER($AD773),ROUND($AD773*Header!$M$3,2),"")</f>
      </c>
      <c r="AQ773" s="38">
        <f>IF(ISNUMBER($AD773),ROUND($AD773,2)-$AO773-$AP773,"")</f>
      </c>
      <c r="AR773" s="39">
        <f>IF(ISNUMBER($AD773),IF(Header!$D$34="","?",$AD773*Header!$D$34),"")</f>
      </c>
      <c r="AS773" s="39">
        <f>IF(ISNUMBER($AB773),IF(Header!$D$34="","?",$AB773*Header!$D$34),"")</f>
      </c>
      <c r="AT773" s="42">
        <f>IF(AND(ISNUMBER($AB773),$M773&gt;0),$AB773/$M773*100,"")</f>
      </c>
      <c r="AU773" s="42">
        <f>IF(AND(ISNUMBER($AD773),$M773&gt;0),$AD773/$M773*100,"")</f>
      </c>
      <c r="AV773" s="40">
        <f>IF(AND(ISNUMBER($AB773),ISNUMBER($AD773),ABS($AB773)&gt;0),$AD773/$AB773,"")</f>
      </c>
      <c r="AW773" s="39">
        <f>IF(ISNUMBER($AD773),MAX(0,(1-0.55-Header!$O$3)*Header!$Q$3*$AQ773),"")</f>
      </c>
      <c r="AX773" s="43">
        <f>IF($A773="","",IF(TRIM(IF($A773="","Missing certificate ref. ","") &amp; IF($C773="","Missing effective date. ","") &amp; IF($D773="","Missing binding status. ","") &amp; IF($E773="","Missing movement type. ","") &amp; IF($I773="","Missing make. ","") &amp; IF($L773="","Missing vehicle class. ","") &amp; IF($M773="","Missing agreed value. ","") &amp; IF($N773="","Missing policy type. ","") &amp; IF($Q773="","Missing garaging state. ","") &amp; IF($R773="","Missing garaging ZIP. ","") &amp; IF($S773="","Missing cat zone. ","") &amp; IF($V773="","Missing valuation basis. ","") &amp; IF($W773="","Missing PD deductible. ","") &amp; IF($X773="","Missing liability limit. ","") &amp; IF($AB773="","Missing technical premium. ","") &amp; IF($AF773="","Missing surplus lines tax %. ",""))="","PASS","FAIL: "&amp;TRIM(IF($A773="","Missing certificate ref. ","") &amp; IF($C773="","Missing effective date. ","") &amp; IF($D773="","Missing binding status. ","") &amp; IF($E773="","Missing movement type. ","") &amp; IF($I773="","Missing make. ","") &amp; IF($L773="","Missing vehicle class. ","") &amp; IF($M773="","Missing agreed value. ","") &amp; IF($N773="","Missing policy type. ","") &amp; IF($Q773="","Missing garaging state. ","") &amp; IF($R773="","Missing garaging ZIP. ","") &amp; IF($S773="","Missing cat zone. ","") &amp; IF($V773="","Missing valuation basis. ","") &amp; IF($W773="","Missing PD deductible. ","") &amp; IF($X773="","Missing liability limit. ","") &amp; IF($AB773="","Missing technical premium. ","") &amp; IF($AF773="","Missing surplus lines tax %. ",""))))</f>
      </c>
      <c r="AY773" s="44">
        <f>IF($M773="","",IF(ISNUMBER($M773),IF($M773&gt;=Header!$C$18,"YES — refer","No"),""))</f>
      </c>
      <c r="AZ773" s="44">
        <f>IF($AD773="","",IF(ISNUMBER($AD773),IF($AD773&lt;Header!$C$20,"BELOW MIN PREMIUM","OK"),""))</f>
      </c>
      <c r="BA773" s="32" t="inlineStr">
        <is>
          <t xml:space="preserve">Yes</t>
        </is>
      </c>
      <c r="BB773" s="32" t="inlineStr">
        <is>
          <t xml:space="preserve">Yes</t>
        </is>
      </c>
      <c r="BC773" s="30" t="inlineStr">
        <is>
          <t xml:space="preserve">Synthetic demo data</t>
        </is>
      </c>
      <c r="BE773" s="45">
        <f>IF(OR($A773="",$L773="",$H773=""),"",IF(AND(LEFT($L773,2)="06",$H773&gt;1945),"FAIL - pre-war class, year "&amp;$H773,IF(AND(LEFT($L773,2)="07",OR($H773&lt;1946,$H773&gt;1972)),"FAIL - 1946-72 class, year "&amp;$H773,IF(AND(LEFT($L773,2)="08",OR($H773&lt;1973,$H773&gt;1999)),"FAIL - 1973-99 class, year "&amp;$H773,IF(AND(LEFT($L773,2)="09",OR($H773&lt;2000,$H773&gt;2010)),"FAIL - 2000-10 class, year "&amp;$H773,"OK")))))</f>
      </c>
      <c r="BF773" s="45">
        <f>IF($AD773="","",IF(ROUND($AO773+$AP773+$AQ773-$AD773,2)=0,"OK","FAIL - out by "&amp;TEXT($AO773+$AP773+$AQ773-$AD773,"$0.00")))</f>
      </c>
    </row>
    <row r="774" spans="1:58" ht="18.75" customHeight="1" x14ac:dyDescent="0.25">
      <c r="A774" s="46" t="inlineStr">
        <is>
          <t xml:space="preserve">CANON-202606-009465</t>
        </is>
      </c>
      <c r="B774" s="46" t="inlineStr">
        <is>
          <t xml:space="preserve">Desmond Vandermeer</t>
        </is>
      </c>
      <c r="C774" s="47">
        <v>46189</v>
      </c>
      <c r="D774" s="48" t="inlineStr">
        <is>
          <t xml:space="preserve">Bound - within authority</t>
        </is>
      </c>
      <c r="E774" s="48" t="inlineStr">
        <is>
          <t xml:space="preserve">New business</t>
        </is>
      </c>
      <c r="F774" s="46" t="inlineStr">
        <is>
          <t xml:space="preserve">B1234EXOTIC26</t>
        </is>
      </c>
      <c r="G774" s="33">
        <f>IF($A774="","",IF($C774="","",YEAR($C774)))</f>
      </c>
      <c r="H774" s="49">
        <v>2022</v>
      </c>
      <c r="I774" s="46" t="inlineStr">
        <is>
          <t xml:space="preserve">Porsche</t>
        </is>
      </c>
      <c r="J774" s="46" t="inlineStr">
        <is>
          <t xml:space="preserve">911 Turbo S</t>
        </is>
      </c>
      <c r="K774" s="46" t="inlineStr">
        <is>
          <t xml:space="preserve">9E261W48VEX7V9ZDR</t>
        </is>
      </c>
      <c r="L774" s="48" t="inlineStr">
        <is>
          <t xml:space="preserve">02 - Sports / GT</t>
        </is>
      </c>
      <c r="M774" s="50">
        <v>815000</v>
      </c>
      <c r="N774" s="48" t="inlineStr">
        <is>
          <t xml:space="preserve">Personal</t>
        </is>
      </c>
      <c r="O774" s="46" t="inlineStr">
        <is>
          <t xml:space="preserve">Personal - regular use</t>
        </is>
      </c>
      <c r="P774" s="46" t="inlineStr">
        <is>
          <t xml:space="preserve">2,500 - 5,000</t>
        </is>
      </c>
      <c r="Q774" s="46" t="inlineStr">
        <is>
          <t xml:space="preserve">Montana</t>
        </is>
      </c>
      <c r="R774" s="46" t="inlineStr">
        <is>
          <t xml:space="preserve">59601</t>
        </is>
      </c>
      <c r="S774" s="48" t="inlineStr">
        <is>
          <t xml:space="preserve">Wildfire - WUI high hazard</t>
        </is>
      </c>
      <c r="T774" s="36">
        <f>IF($A774="","",IF($S774="","",IFERROR(INDEX('[1]natural catastrophe'!$D$6:$D$17,MATCH($S774,'[1]natural catastrophe'!$B$6:$B$17,0)),"?")))</f>
      </c>
      <c r="U774" s="46" t="inlineStr">
        <is>
          <t xml:space="preserve">$5,000</t>
        </is>
      </c>
      <c r="V774" s="48" t="inlineStr">
        <is>
          <t xml:space="preserve">Agreed Value</t>
        </is>
      </c>
      <c r="W774" s="46" t="inlineStr">
        <is>
          <t xml:space="preserve">$1,000</t>
        </is>
      </c>
      <c r="X774" s="48" t="inlineStr">
        <is>
          <t xml:space="preserve">$1,000,000 CSL</t>
        </is>
      </c>
      <c r="Y774" s="46"/>
      <c r="Z774" s="46"/>
      <c r="AA774" s="48" t="inlineStr">
        <is>
          <t xml:space="preserve">Surplus Lines</t>
        </is>
      </c>
      <c r="AB774" s="50">
        <v>7109.28</v>
      </c>
      <c r="AC774" s="51">
        <v>0</v>
      </c>
      <c r="AD774" s="38">
        <f>IF(ISNUMBER($AB774),$AB774*(1+N($AC774)),"")</f>
      </c>
      <c r="AE774" s="50">
        <v>350</v>
      </c>
      <c r="AF774" s="50">
        <v>0</v>
      </c>
      <c r="AG774" s="51"/>
      <c r="AH774" s="39">
        <f>IF(ISNUMBER($AD774),($AD774+$AE774+$AF774)*$AG774,"")</f>
      </c>
      <c r="AI774" s="50"/>
      <c r="AJ774" s="38">
        <f>IF(ISNUMBER($AD774),SUM($AD774:$AH774),"")</f>
      </c>
      <c r="AK774" s="40">
        <f>IF(AND(ISNUMBER($AB774),ISNUMBER($AD774)),IF($AB774&gt;0,$AD774/$AB774,""),"")</f>
      </c>
      <c r="AL774" s="48" t="inlineStr">
        <is>
          <t xml:space="preserve">At technical</t>
        </is>
      </c>
      <c r="AM774" s="41">
        <f>IF(ISNUMBER($AD774),Header!$I$3,"")</f>
      </c>
      <c r="AN774" s="39">
        <f>IF(ISNUMBER($AD774),$AO774+$AP774,"")</f>
      </c>
      <c r="AO774" s="39">
        <f>IF(ISNUMBER($AD774),ROUND($AD774*Header!$K$3,2),"")</f>
      </c>
      <c r="AP774" s="39">
        <f>IF(ISNUMBER($AD774),ROUND($AD774*Header!$M$3,2),"")</f>
      </c>
      <c r="AQ774" s="38">
        <f>IF(ISNUMBER($AD774),ROUND($AD774,2)-$AO774-$AP774,"")</f>
      </c>
      <c r="AR774" s="39">
        <f>IF(ISNUMBER($AD774),IF(Header!$D$34="","?",$AD774*Header!$D$34),"")</f>
      </c>
      <c r="AS774" s="39">
        <f>IF(ISNUMBER($AB774),IF(Header!$D$34="","?",$AB774*Header!$D$34),"")</f>
      </c>
      <c r="AT774" s="42">
        <f>IF(AND(ISNUMBER($AB774),$M774&gt;0),$AB774/$M774*100,"")</f>
      </c>
      <c r="AU774" s="42">
        <f>IF(AND(ISNUMBER($AD774),$M774&gt;0),$AD774/$M774*100,"")</f>
      </c>
      <c r="AV774" s="40">
        <f>IF(AND(ISNUMBER($AB774),ISNUMBER($AD774),ABS($AB774)&gt;0),$AD774/$AB774,"")</f>
      </c>
      <c r="AW774" s="39">
        <f>IF(ISNUMBER($AD774),MAX(0,(1-0.55-Header!$O$3)*Header!$Q$3*$AQ774),"")</f>
      </c>
      <c r="AX774" s="43">
        <f>IF($A774="","",IF(TRIM(IF($A774="","Missing certificate ref. ","") &amp; IF($C774="","Missing effective date. ","") &amp; IF($D774="","Missing binding status. ","") &amp; IF($E774="","Missing movement type. ","") &amp; IF($I774="","Missing make. ","") &amp; IF($L774="","Missing vehicle class. ","") &amp; IF($M774="","Missing agreed value. ","") &amp; IF($N774="","Missing policy type. ","") &amp; IF($Q774="","Missing garaging state. ","") &amp; IF($R774="","Missing garaging ZIP. ","") &amp; IF($S774="","Missing cat zone. ","") &amp; IF($V774="","Missing valuation basis. ","") &amp; IF($W774="","Missing PD deductible. ","") &amp; IF($X774="","Missing liability limit. ","") &amp; IF($AB774="","Missing technical premium. ","") &amp; IF($AF774="","Missing surplus lines tax %. ",""))="","PASS","FAIL: "&amp;TRIM(IF($A774="","Missing certificate ref. ","") &amp; IF($C774="","Missing effective date. ","") &amp; IF($D774="","Missing binding status. ","") &amp; IF($E774="","Missing movement type. ","") &amp; IF($I774="","Missing make. ","") &amp; IF($L774="","Missing vehicle class. ","") &amp; IF($M774="","Missing agreed value. ","") &amp; IF($N774="","Missing policy type. ","") &amp; IF($Q774="","Missing garaging state. ","") &amp; IF($R774="","Missing garaging ZIP. ","") &amp; IF($S774="","Missing cat zone. ","") &amp; IF($V774="","Missing valuation basis. ","") &amp; IF($W774="","Missing PD deductible. ","") &amp; IF($X774="","Missing liability limit. ","") &amp; IF($AB774="","Missing technical premium. ","") &amp; IF($AF774="","Missing surplus lines tax %. ",""))))</f>
      </c>
      <c r="AY774" s="44">
        <f>IF($M774="","",IF(ISNUMBER($M774),IF($M774&gt;=Header!$C$18,"YES — refer","No"),""))</f>
      </c>
      <c r="AZ774" s="44">
        <f>IF($AD774="","",IF(ISNUMBER($AD774),IF($AD774&lt;Header!$C$20,"BELOW MIN PREMIUM","OK"),""))</f>
      </c>
      <c r="BA774" s="48" t="inlineStr">
        <is>
          <t xml:space="preserve">Yes</t>
        </is>
      </c>
      <c r="BB774" s="48" t="inlineStr">
        <is>
          <t xml:space="preserve">Yes</t>
        </is>
      </c>
      <c r="BC774" s="46" t="inlineStr">
        <is>
          <t xml:space="preserve">Synthetic demo data</t>
        </is>
      </c>
      <c r="BE774" s="45">
        <f>IF(OR($A774="",$L774="",$H774=""),"",IF(AND(LEFT($L774,2)="06",$H774&gt;1945),"FAIL - pre-war class, year "&amp;$H774,IF(AND(LEFT($L774,2)="07",OR($H774&lt;1946,$H774&gt;1972)),"FAIL - 1946-72 class, year "&amp;$H774,IF(AND(LEFT($L774,2)="08",OR($H774&lt;1973,$H774&gt;1999)),"FAIL - 1973-99 class, year "&amp;$H774,IF(AND(LEFT($L774,2)="09",OR($H774&lt;2000,$H774&gt;2010)),"FAIL - 2000-10 class, year "&amp;$H774,"OK")))))</f>
      </c>
      <c r="BF774" s="45">
        <f>IF($AD774="","",IF(ROUND($AO774+$AP774+$AQ774-$AD774,2)=0,"OK","FAIL - out by "&amp;TEXT($AO774+$AP774+$AQ774-$AD774,"$0.00")))</f>
      </c>
    </row>
    <row r="775" spans="1:58" ht="18.75" customHeight="1" x14ac:dyDescent="0.25">
      <c r="A775" s="30" t="inlineStr">
        <is>
          <t xml:space="preserve">CANON-202606-009466</t>
        </is>
      </c>
      <c r="B775" s="30" t="inlineStr">
        <is>
          <t xml:space="preserve">Anouk Fairweather</t>
        </is>
      </c>
      <c r="C775" s="31">
        <v>46184</v>
      </c>
      <c r="D775" s="32" t="inlineStr">
        <is>
          <t xml:space="preserve">Bound - within authority</t>
        </is>
      </c>
      <c r="E775" s="32" t="inlineStr">
        <is>
          <t xml:space="preserve">New business</t>
        </is>
      </c>
      <c r="F775" s="30" t="inlineStr">
        <is>
          <t xml:space="preserve">B1234EXOTIC26</t>
        </is>
      </c>
      <c r="G775" s="33">
        <f>IF($A775="","",IF($C775="","",YEAR($C775)))</f>
      </c>
      <c r="H775" s="34">
        <v>1990</v>
      </c>
      <c r="I775" s="30" t="inlineStr">
        <is>
          <t xml:space="preserve">Ferrari</t>
        </is>
      </c>
      <c r="J775" s="30" t="inlineStr">
        <is>
          <t xml:space="preserve">SF90 Stradale</t>
        </is>
      </c>
      <c r="K775" s="30" t="inlineStr">
        <is>
          <t xml:space="preserve">78MC6S18HP3GHCX4A</t>
        </is>
      </c>
      <c r="L775" s="32" t="inlineStr">
        <is>
          <t xml:space="preserve">03 - Supercar</t>
        </is>
      </c>
      <c r="M775" s="35">
        <v>995000</v>
      </c>
      <c r="N775" s="32" t="inlineStr">
        <is>
          <t xml:space="preserve">Personal</t>
        </is>
      </c>
      <c r="O775" s="30" t="inlineStr">
        <is>
          <t xml:space="preserve">Personal - regular use</t>
        </is>
      </c>
      <c r="P775" s="30" t="inlineStr">
        <is>
          <t xml:space="preserve">1,000 - 2,500</t>
        </is>
      </c>
      <c r="Q775" s="30" t="inlineStr">
        <is>
          <t xml:space="preserve">Colorado</t>
        </is>
      </c>
      <c r="R775" s="30" t="inlineStr">
        <is>
          <t xml:space="preserve">80202</t>
        </is>
      </c>
      <c r="S775" s="32" t="inlineStr">
        <is>
          <t xml:space="preserve">Severe convective - hail alley (high)</t>
        </is>
      </c>
      <c r="T775" s="36">
        <f>IF($A775="","",IF($S775="","",IFERROR(INDEX('[1]natural catastrophe'!$D$6:$D$17,MATCH($S775,'[1]natural catastrophe'!$B$6:$B$17,0)),"?")))</f>
      </c>
      <c r="U775" s="30" t="inlineStr">
        <is>
          <t xml:space="preserve">$5,000</t>
        </is>
      </c>
      <c r="V775" s="32" t="inlineStr">
        <is>
          <t xml:space="preserve">Agreed Value</t>
        </is>
      </c>
      <c r="W775" s="30" t="inlineStr">
        <is>
          <t xml:space="preserve">$1,000</t>
        </is>
      </c>
      <c r="X775" s="32" t="inlineStr">
        <is>
          <t xml:space="preserve">$1,000,000 CSL</t>
        </is>
      </c>
      <c r="Y775" s="30"/>
      <c r="Z775" s="30"/>
      <c r="AA775" s="32" t="inlineStr">
        <is>
          <t xml:space="preserve">Surplus Lines</t>
        </is>
      </c>
      <c r="AB775" s="35">
        <v>15004.15</v>
      </c>
      <c r="AC775" s="37">
        <v>0</v>
      </c>
      <c r="AD775" s="38">
        <f>IF(ISNUMBER($AB775),$AB775*(1+N($AC775)),"")</f>
      </c>
      <c r="AE775" s="35">
        <v>350</v>
      </c>
      <c r="AF775" s="35">
        <v>0</v>
      </c>
      <c r="AG775" s="37"/>
      <c r="AH775" s="39">
        <f>IF(ISNUMBER($AD775),($AD775+$AE775+$AF775)*$AG775,"")</f>
      </c>
      <c r="AI775" s="35"/>
      <c r="AJ775" s="38">
        <f>IF(ISNUMBER($AD775),SUM($AD775:$AH775),"")</f>
      </c>
      <c r="AK775" s="40">
        <f>IF(AND(ISNUMBER($AB775),ISNUMBER($AD775)),IF($AB775&gt;0,$AD775/$AB775,""),"")</f>
      </c>
      <c r="AL775" s="32" t="inlineStr">
        <is>
          <t xml:space="preserve">At technical</t>
        </is>
      </c>
      <c r="AM775" s="41">
        <f>IF(ISNUMBER($AD775),Header!$I$3,"")</f>
      </c>
      <c r="AN775" s="39">
        <f>IF(ISNUMBER($AD775),$AO775+$AP775,"")</f>
      </c>
      <c r="AO775" s="39">
        <f>IF(ISNUMBER($AD775),ROUND($AD775*Header!$K$3,2),"")</f>
      </c>
      <c r="AP775" s="39">
        <f>IF(ISNUMBER($AD775),ROUND($AD775*Header!$M$3,2),"")</f>
      </c>
      <c r="AQ775" s="38">
        <f>IF(ISNUMBER($AD775),ROUND($AD775,2)-$AO775-$AP775,"")</f>
      </c>
      <c r="AR775" s="39">
        <f>IF(ISNUMBER($AD775),IF(Header!$D$34="","?",$AD775*Header!$D$34),"")</f>
      </c>
      <c r="AS775" s="39">
        <f>IF(ISNUMBER($AB775),IF(Header!$D$34="","?",$AB775*Header!$D$34),"")</f>
      </c>
      <c r="AT775" s="42">
        <f>IF(AND(ISNUMBER($AB775),$M775&gt;0),$AB775/$M775*100,"")</f>
      </c>
      <c r="AU775" s="42">
        <f>IF(AND(ISNUMBER($AD775),$M775&gt;0),$AD775/$M775*100,"")</f>
      </c>
      <c r="AV775" s="40">
        <f>IF(AND(ISNUMBER($AB775),ISNUMBER($AD775),ABS($AB775)&gt;0),$AD775/$AB775,"")</f>
      </c>
      <c r="AW775" s="39">
        <f>IF(ISNUMBER($AD775),MAX(0,(1-0.55-Header!$O$3)*Header!$Q$3*$AQ775),"")</f>
      </c>
      <c r="AX775" s="43">
        <f>IF($A775="","",IF(TRIM(IF($A775="","Missing certificate ref. ","") &amp; IF($C775="","Missing effective date. ","") &amp; IF($D775="","Missing binding status. ","") &amp; IF($E775="","Missing movement type. ","") &amp; IF($I775="","Missing make. ","") &amp; IF($L775="","Missing vehicle class. ","") &amp; IF($M775="","Missing agreed value. ","") &amp; IF($N775="","Missing policy type. ","") &amp; IF($Q775="","Missing garaging state. ","") &amp; IF($R775="","Missing garaging ZIP. ","") &amp; IF($S775="","Missing cat zone. ","") &amp; IF($V775="","Missing valuation basis. ","") &amp; IF($W775="","Missing PD deductible. ","") &amp; IF($X775="","Missing liability limit. ","") &amp; IF($AB775="","Missing technical premium. ","") &amp; IF($AF775="","Missing surplus lines tax %. ",""))="","PASS","FAIL: "&amp;TRIM(IF($A775="","Missing certificate ref. ","") &amp; IF($C775="","Missing effective date. ","") &amp; IF($D775="","Missing binding status. ","") &amp; IF($E775="","Missing movement type. ","") &amp; IF($I775="","Missing make. ","") &amp; IF($L775="","Missing vehicle class. ","") &amp; IF($M775="","Missing agreed value. ","") &amp; IF($N775="","Missing policy type. ","") &amp; IF($Q775="","Missing garaging state. ","") &amp; IF($R775="","Missing garaging ZIP. ","") &amp; IF($S775="","Missing cat zone. ","") &amp; IF($V775="","Missing valuation basis. ","") &amp; IF($W775="","Missing PD deductible. ","") &amp; IF($X775="","Missing liability limit. ","") &amp; IF($AB775="","Missing technical premium. ","") &amp; IF($AF775="","Missing surplus lines tax %. ",""))))</f>
      </c>
      <c r="AY775" s="44">
        <f>IF($M775="","",IF(ISNUMBER($M775),IF($M775&gt;=Header!$C$18,"YES — refer","No"),""))</f>
      </c>
      <c r="AZ775" s="44">
        <f>IF($AD775="","",IF(ISNUMBER($AD775),IF($AD775&lt;Header!$C$20,"BELOW MIN PREMIUM","OK"),""))</f>
      </c>
      <c r="BA775" s="32" t="inlineStr">
        <is>
          <t xml:space="preserve">Yes</t>
        </is>
      </c>
      <c r="BB775" s="32" t="inlineStr">
        <is>
          <t xml:space="preserve">Yes</t>
        </is>
      </c>
      <c r="BC775" s="30" t="inlineStr">
        <is>
          <t xml:space="preserve">Synthetic demo data</t>
        </is>
      </c>
      <c r="BE775" s="45">
        <f>IF(OR($A775="",$L775="",$H775=""),"",IF(AND(LEFT($L775,2)="06",$H775&gt;1945),"FAIL - pre-war class, year "&amp;$H775,IF(AND(LEFT($L775,2)="07",OR($H775&lt;1946,$H775&gt;1972)),"FAIL - 1946-72 class, year "&amp;$H775,IF(AND(LEFT($L775,2)="08",OR($H775&lt;1973,$H775&gt;1999)),"FAIL - 1973-99 class, year "&amp;$H775,IF(AND(LEFT($L775,2)="09",OR($H775&lt;2000,$H775&gt;2010)),"FAIL - 2000-10 class, year "&amp;$H775,"OK")))))</f>
      </c>
      <c r="BF775" s="45">
        <f>IF($AD775="","",IF(ROUND($AO775+$AP775+$AQ775-$AD775,2)=0,"OK","FAIL - out by "&amp;TEXT($AO775+$AP775+$AQ775-$AD775,"$0.00")))</f>
      </c>
    </row>
    <row r="776" spans="1:58" ht="18.75" customHeight="1" x14ac:dyDescent="0.25">
      <c r="A776" s="46" t="inlineStr">
        <is>
          <t xml:space="preserve">CANON-202606-009467</t>
        </is>
      </c>
      <c r="B776" s="46" t="inlineStr">
        <is>
          <t xml:space="preserve">Horace Harrington</t>
        </is>
      </c>
      <c r="C776" s="47">
        <v>46190</v>
      </c>
      <c r="D776" s="48" t="inlineStr">
        <is>
          <t xml:space="preserve">Bound - within authority</t>
        </is>
      </c>
      <c r="E776" s="48" t="inlineStr">
        <is>
          <t xml:space="preserve">New business</t>
        </is>
      </c>
      <c r="F776" s="46" t="inlineStr">
        <is>
          <t xml:space="preserve">B1234EXOTIC26</t>
        </is>
      </c>
      <c r="G776" s="33">
        <f>IF($A776="","",IF($C776="","",YEAR($C776)))</f>
      </c>
      <c r="H776" s="49">
        <v>2002</v>
      </c>
      <c r="I776" s="46" t="inlineStr">
        <is>
          <t xml:space="preserve">Mercedes-Benz</t>
        </is>
      </c>
      <c r="J776" s="46" t="inlineStr">
        <is>
          <t xml:space="preserve">280SL Pagoda</t>
        </is>
      </c>
      <c r="K776" s="46" t="inlineStr">
        <is>
          <t xml:space="preserve">P8W81B0LFECYFH1W8</t>
        </is>
      </c>
      <c r="L776" s="48" t="inlineStr">
        <is>
          <t xml:space="preserve">09 - Youngtimer / Collectible (2000-2010)</t>
        </is>
      </c>
      <c r="M776" s="50">
        <v>260000</v>
      </c>
      <c r="N776" s="48" t="inlineStr">
        <is>
          <t xml:space="preserve">Personal</t>
        </is>
      </c>
      <c r="O776" s="46" t="inlineStr">
        <is>
          <t xml:space="preserve">Personal - regular use</t>
        </is>
      </c>
      <c r="P776" s="46" t="inlineStr">
        <is>
          <t xml:space="preserve">Under 1,000</t>
        </is>
      </c>
      <c r="Q776" s="46" t="inlineStr">
        <is>
          <t xml:space="preserve">Virginia</t>
        </is>
      </c>
      <c r="R776" s="46" t="inlineStr">
        <is>
          <t xml:space="preserve">23219</t>
        </is>
      </c>
      <c r="S776" s="48" t="inlineStr">
        <is>
          <t xml:space="preserve">Tier 3 - Coastal wind (25-100 miles)</t>
        </is>
      </c>
      <c r="T776" s="36">
        <f>IF($A776="","",IF($S776="","",IFERROR(INDEX('[1]natural catastrophe'!$D$6:$D$17,MATCH($S776,'[1]natural catastrophe'!$B$6:$B$17,0)),"?")))</f>
      </c>
      <c r="U776" s="46" t="inlineStr">
        <is>
          <t xml:space="preserve">2% of agreed value, minimum $10,000</t>
        </is>
      </c>
      <c r="V776" s="48" t="inlineStr">
        <is>
          <t xml:space="preserve">Agreed Value</t>
        </is>
      </c>
      <c r="W776" s="46" t="inlineStr">
        <is>
          <t xml:space="preserve">$1,000</t>
        </is>
      </c>
      <c r="X776" s="48" t="inlineStr">
        <is>
          <t xml:space="preserve">$1,000,000 CSL</t>
        </is>
      </c>
      <c r="Y776" s="46"/>
      <c r="Z776" s="46"/>
      <c r="AA776" s="48" t="inlineStr">
        <is>
          <t xml:space="preserve">Surplus Lines</t>
        </is>
      </c>
      <c r="AB776" s="50">
        <v>1962.97</v>
      </c>
      <c r="AC776" s="51">
        <v>0</v>
      </c>
      <c r="AD776" s="38">
        <f>IF(ISNUMBER($AB776),$AB776*(1+N($AC776)),"")</f>
      </c>
      <c r="AE776" s="50">
        <v>350</v>
      </c>
      <c r="AF776" s="50">
        <v>0</v>
      </c>
      <c r="AG776" s="51"/>
      <c r="AH776" s="39">
        <f>IF(ISNUMBER($AD776),($AD776+$AE776+$AF776)*$AG776,"")</f>
      </c>
      <c r="AI776" s="50"/>
      <c r="AJ776" s="38">
        <f>IF(ISNUMBER($AD776),SUM($AD776:$AH776),"")</f>
      </c>
      <c r="AK776" s="40">
        <f>IF(AND(ISNUMBER($AB776),ISNUMBER($AD776)),IF($AB776&gt;0,$AD776/$AB776,""),"")</f>
      </c>
      <c r="AL776" s="48" t="inlineStr">
        <is>
          <t xml:space="preserve">At technical</t>
        </is>
      </c>
      <c r="AM776" s="41">
        <f>IF(ISNUMBER($AD776),Header!$I$3,"")</f>
      </c>
      <c r="AN776" s="39">
        <f>IF(ISNUMBER($AD776),$AO776+$AP776,"")</f>
      </c>
      <c r="AO776" s="39">
        <f>IF(ISNUMBER($AD776),ROUND($AD776*Header!$K$3,2),"")</f>
      </c>
      <c r="AP776" s="39">
        <f>IF(ISNUMBER($AD776),ROUND($AD776*Header!$M$3,2),"")</f>
      </c>
      <c r="AQ776" s="38">
        <f>IF(ISNUMBER($AD776),ROUND($AD776,2)-$AO776-$AP776,"")</f>
      </c>
      <c r="AR776" s="39">
        <f>IF(ISNUMBER($AD776),IF(Header!$D$34="","?",$AD776*Header!$D$34),"")</f>
      </c>
      <c r="AS776" s="39">
        <f>IF(ISNUMBER($AB776),IF(Header!$D$34="","?",$AB776*Header!$D$34),"")</f>
      </c>
      <c r="AT776" s="42">
        <f>IF(AND(ISNUMBER($AB776),$M776&gt;0),$AB776/$M776*100,"")</f>
      </c>
      <c r="AU776" s="42">
        <f>IF(AND(ISNUMBER($AD776),$M776&gt;0),$AD776/$M776*100,"")</f>
      </c>
      <c r="AV776" s="40">
        <f>IF(AND(ISNUMBER($AB776),ISNUMBER($AD776),ABS($AB776)&gt;0),$AD776/$AB776,"")</f>
      </c>
      <c r="AW776" s="39">
        <f>IF(ISNUMBER($AD776),MAX(0,(1-0.55-Header!$O$3)*Header!$Q$3*$AQ776),"")</f>
      </c>
      <c r="AX776" s="43">
        <f>IF($A776="","",IF(TRIM(IF($A776="","Missing certificate ref. ","") &amp; IF($C776="","Missing effective date. ","") &amp; IF($D776="","Missing binding status. ","") &amp; IF($E776="","Missing movement type. ","") &amp; IF($I776="","Missing make. ","") &amp; IF($L776="","Missing vehicle class. ","") &amp; IF($M776="","Missing agreed value. ","") &amp; IF($N776="","Missing policy type. ","") &amp; IF($Q776="","Missing garaging state. ","") &amp; IF($R776="","Missing garaging ZIP. ","") &amp; IF($S776="","Missing cat zone. ","") &amp; IF($V776="","Missing valuation basis. ","") &amp; IF($W776="","Missing PD deductible. ","") &amp; IF($X776="","Missing liability limit. ","") &amp; IF($AB776="","Missing technical premium. ","") &amp; IF($AF776="","Missing surplus lines tax %. ",""))="","PASS","FAIL: "&amp;TRIM(IF($A776="","Missing certificate ref. ","") &amp; IF($C776="","Missing effective date. ","") &amp; IF($D776="","Missing binding status. ","") &amp; IF($E776="","Missing movement type. ","") &amp; IF($I776="","Missing make. ","") &amp; IF($L776="","Missing vehicle class. ","") &amp; IF($M776="","Missing agreed value. ","") &amp; IF($N776="","Missing policy type. ","") &amp; IF($Q776="","Missing garaging state. ","") &amp; IF($R776="","Missing garaging ZIP. ","") &amp; IF($S776="","Missing cat zone. ","") &amp; IF($V776="","Missing valuation basis. ","") &amp; IF($W776="","Missing PD deductible. ","") &amp; IF($X776="","Missing liability limit. ","") &amp; IF($AB776="","Missing technical premium. ","") &amp; IF($AF776="","Missing surplus lines tax %. ",""))))</f>
      </c>
      <c r="AY776" s="44">
        <f>IF($M776="","",IF(ISNUMBER($M776),IF($M776&gt;=Header!$C$18,"YES — refer","No"),""))</f>
      </c>
      <c r="AZ776" s="44">
        <f>IF($AD776="","",IF(ISNUMBER($AD776),IF($AD776&lt;Header!$C$20,"BELOW MIN PREMIUM","OK"),""))</f>
      </c>
      <c r="BA776" s="48" t="inlineStr">
        <is>
          <t xml:space="preserve">Yes</t>
        </is>
      </c>
      <c r="BB776" s="48" t="inlineStr">
        <is>
          <t xml:space="preserve">Yes</t>
        </is>
      </c>
      <c r="BC776" s="46" t="inlineStr">
        <is>
          <t xml:space="preserve">Synthetic demo data</t>
        </is>
      </c>
      <c r="BE776" s="45">
        <f>IF(OR($A776="",$L776="",$H776=""),"",IF(AND(LEFT($L776,2)="06",$H776&gt;1945),"FAIL - pre-war class, year "&amp;$H776,IF(AND(LEFT($L776,2)="07",OR($H776&lt;1946,$H776&gt;1972)),"FAIL - 1946-72 class, year "&amp;$H776,IF(AND(LEFT($L776,2)="08",OR($H776&lt;1973,$H776&gt;1999)),"FAIL - 1973-99 class, year "&amp;$H776,IF(AND(LEFT($L776,2)="09",OR($H776&lt;2000,$H776&gt;2010)),"FAIL - 2000-10 class, year "&amp;$H776,"OK")))))</f>
      </c>
      <c r="BF776" s="45">
        <f>IF($AD776="","",IF(ROUND($AO776+$AP776+$AQ776-$AD776,2)=0,"OK","FAIL - out by "&amp;TEXT($AO776+$AP776+$AQ776-$AD776,"$0.00")))</f>
      </c>
    </row>
    <row r="777" spans="1:58" ht="18.75" customHeight="1" x14ac:dyDescent="0.25">
      <c r="A777" s="30" t="inlineStr">
        <is>
          <t xml:space="preserve">CANON-202606-009468</t>
        </is>
      </c>
      <c r="B777" s="30" t="inlineStr">
        <is>
          <t xml:space="preserve">Desmond Okonkwo</t>
        </is>
      </c>
      <c r="C777" s="31">
        <v>46175</v>
      </c>
      <c r="D777" s="32" t="inlineStr">
        <is>
          <t xml:space="preserve">Bound - within authority</t>
        </is>
      </c>
      <c r="E777" s="32" t="inlineStr">
        <is>
          <t xml:space="preserve">New business</t>
        </is>
      </c>
      <c r="F777" s="30" t="inlineStr">
        <is>
          <t xml:space="preserve">B1234EXOTIC26</t>
        </is>
      </c>
      <c r="G777" s="33">
        <f>IF($A777="","",IF($C777="","",YEAR($C777)))</f>
      </c>
      <c r="H777" s="34">
        <v>1960</v>
      </c>
      <c r="I777" s="30" t="inlineStr">
        <is>
          <t xml:space="preserve">Aston Martin</t>
        </is>
      </c>
      <c r="J777" s="30" t="inlineStr">
        <is>
          <t xml:space="preserve">DB5</t>
        </is>
      </c>
      <c r="K777" s="30" t="inlineStr">
        <is>
          <t xml:space="preserve">EXKB3PTSMEFP7K66E</t>
        </is>
      </c>
      <c r="L777" s="32" t="inlineStr">
        <is>
          <t xml:space="preserve">07 - Post-War Classic (1946-1972)</t>
        </is>
      </c>
      <c r="M777" s="35">
        <v>1625000</v>
      </c>
      <c r="N777" s="32" t="inlineStr">
        <is>
          <t xml:space="preserve">Personal</t>
        </is>
      </c>
      <c r="O777" s="30" t="inlineStr">
        <is>
          <t xml:space="preserve">Personal - regular use</t>
        </is>
      </c>
      <c r="P777" s="30" t="inlineStr">
        <is>
          <t xml:space="preserve">1,000 - 2,500</t>
        </is>
      </c>
      <c r="Q777" s="30" t="inlineStr">
        <is>
          <t xml:space="preserve">Pennsylvania</t>
        </is>
      </c>
      <c r="R777" s="30" t="inlineStr">
        <is>
          <t xml:space="preserve">19103</t>
        </is>
      </c>
      <c r="S777" s="32" t="inlineStr">
        <is>
          <t xml:space="preserve">Low hazard - inland benign</t>
        </is>
      </c>
      <c r="T777" s="36">
        <f>IF($A777="","",IF($S777="","",IFERROR(INDEX('[1]natural catastrophe'!$D$6:$D$17,MATCH($S777,'[1]natural catastrophe'!$B$6:$B$17,0)),"?")))</f>
      </c>
      <c r="U777" s="30" t="inlineStr">
        <is>
          <t xml:space="preserve">$5,000</t>
        </is>
      </c>
      <c r="V777" s="32" t="inlineStr">
        <is>
          <t xml:space="preserve">Agreed Value</t>
        </is>
      </c>
      <c r="W777" s="30" t="inlineStr">
        <is>
          <t xml:space="preserve">$1,000</t>
        </is>
      </c>
      <c r="X777" s="32" t="inlineStr">
        <is>
          <t xml:space="preserve">$1,000,000 CSL</t>
        </is>
      </c>
      <c r="Y777" s="30"/>
      <c r="Z777" s="30"/>
      <c r="AA777" s="32" t="inlineStr">
        <is>
          <t xml:space="preserve">Surplus Lines</t>
        </is>
      </c>
      <c r="AB777" s="35">
        <v>8910.64</v>
      </c>
      <c r="AC777" s="37">
        <v>0</v>
      </c>
      <c r="AD777" s="38">
        <f>IF(ISNUMBER($AB777),$AB777*(1+N($AC777)),"")</f>
      </c>
      <c r="AE777" s="35">
        <v>350</v>
      </c>
      <c r="AF777" s="35">
        <v>250</v>
      </c>
      <c r="AG777" s="37"/>
      <c r="AH777" s="39">
        <f>IF(ISNUMBER($AD777),($AD777+$AE777+$AF777)*$AG777,"")</f>
      </c>
      <c r="AI777" s="35"/>
      <c r="AJ777" s="38">
        <f>IF(ISNUMBER($AD777),SUM($AD777:$AH777),"")</f>
      </c>
      <c r="AK777" s="40">
        <f>IF(AND(ISNUMBER($AB777),ISNUMBER($AD777)),IF($AB777&gt;0,$AD777/$AB777,""),"")</f>
      </c>
      <c r="AL777" s="32" t="inlineStr">
        <is>
          <t xml:space="preserve">At technical</t>
        </is>
      </c>
      <c r="AM777" s="41">
        <f>IF(ISNUMBER($AD777),Header!$I$3,"")</f>
      </c>
      <c r="AN777" s="39">
        <f>IF(ISNUMBER($AD777),$AO777+$AP777,"")</f>
      </c>
      <c r="AO777" s="39">
        <f>IF(ISNUMBER($AD777),ROUND($AD777*Header!$K$3,2),"")</f>
      </c>
      <c r="AP777" s="39">
        <f>IF(ISNUMBER($AD777),ROUND($AD777*Header!$M$3,2),"")</f>
      </c>
      <c r="AQ777" s="38">
        <f>IF(ISNUMBER($AD777),ROUND($AD777,2)-$AO777-$AP777,"")</f>
      </c>
      <c r="AR777" s="39">
        <f>IF(ISNUMBER($AD777),IF(Header!$D$34="","?",$AD777*Header!$D$34),"")</f>
      </c>
      <c r="AS777" s="39">
        <f>IF(ISNUMBER($AB777),IF(Header!$D$34="","?",$AB777*Header!$D$34),"")</f>
      </c>
      <c r="AT777" s="42">
        <f>IF(AND(ISNUMBER($AB777),$M777&gt;0),$AB777/$M777*100,"")</f>
      </c>
      <c r="AU777" s="42">
        <f>IF(AND(ISNUMBER($AD777),$M777&gt;0),$AD777/$M777*100,"")</f>
      </c>
      <c r="AV777" s="40">
        <f>IF(AND(ISNUMBER($AB777),ISNUMBER($AD777),ABS($AB777)&gt;0),$AD777/$AB777,"")</f>
      </c>
      <c r="AW777" s="39">
        <f>IF(ISNUMBER($AD777),MAX(0,(1-0.55-Header!$O$3)*Header!$Q$3*$AQ777),"")</f>
      </c>
      <c r="AX777" s="43">
        <f>IF($A777="","",IF(TRIM(IF($A777="","Missing certificate ref. ","") &amp; IF($C777="","Missing effective date. ","") &amp; IF($D777="","Missing binding status. ","") &amp; IF($E777="","Missing movement type. ","") &amp; IF($I777="","Missing make. ","") &amp; IF($L777="","Missing vehicle class. ","") &amp; IF($M777="","Missing agreed value. ","") &amp; IF($N777="","Missing policy type. ","") &amp; IF($Q777="","Missing garaging state. ","") &amp; IF($R777="","Missing garaging ZIP. ","") &amp; IF($S777="","Missing cat zone. ","") &amp; IF($V777="","Missing valuation basis. ","") &amp; IF($W777="","Missing PD deductible. ","") &amp; IF($X777="","Missing liability limit. ","") &amp; IF($AB777="","Missing technical premium. ","") &amp; IF($AF777="","Missing surplus lines tax %. ",""))="","PASS","FAIL: "&amp;TRIM(IF($A777="","Missing certificate ref. ","") &amp; IF($C777="","Missing effective date. ","") &amp; IF($D777="","Missing binding status. ","") &amp; IF($E777="","Missing movement type. ","") &amp; IF($I777="","Missing make. ","") &amp; IF($L777="","Missing vehicle class. ","") &amp; IF($M777="","Missing agreed value. ","") &amp; IF($N777="","Missing policy type. ","") &amp; IF($Q777="","Missing garaging state. ","") &amp; IF($R777="","Missing garaging ZIP. ","") &amp; IF($S777="","Missing cat zone. ","") &amp; IF($V777="","Missing valuation basis. ","") &amp; IF($W777="","Missing PD deductible. ","") &amp; IF($X777="","Missing liability limit. ","") &amp; IF($AB777="","Missing technical premium. ","") &amp; IF($AF777="","Missing surplus lines tax %. ",""))))</f>
      </c>
      <c r="AY777" s="44">
        <f>IF($M777="","",IF(ISNUMBER($M777),IF($M777&gt;=Header!$C$18,"YES — refer","No"),""))</f>
      </c>
      <c r="AZ777" s="44">
        <f>IF($AD777="","",IF(ISNUMBER($AD777),IF($AD777&lt;Header!$C$20,"BELOW MIN PREMIUM","OK"),""))</f>
      </c>
      <c r="BA777" s="32" t="inlineStr">
        <is>
          <t xml:space="preserve">Yes</t>
        </is>
      </c>
      <c r="BB777" s="32" t="inlineStr">
        <is>
          <t xml:space="preserve">Yes</t>
        </is>
      </c>
      <c r="BC777" s="30" t="inlineStr">
        <is>
          <t xml:space="preserve">Synthetic demo data</t>
        </is>
      </c>
      <c r="BE777" s="45">
        <f>IF(OR($A777="",$L777="",$H777=""),"",IF(AND(LEFT($L777,2)="06",$H777&gt;1945),"FAIL - pre-war class, year "&amp;$H777,IF(AND(LEFT($L777,2)="07",OR($H777&lt;1946,$H777&gt;1972)),"FAIL - 1946-72 class, year "&amp;$H777,IF(AND(LEFT($L777,2)="08",OR($H777&lt;1973,$H777&gt;1999)),"FAIL - 1973-99 class, year "&amp;$H777,IF(AND(LEFT($L777,2)="09",OR($H777&lt;2000,$H777&gt;2010)),"FAIL - 2000-10 class, year "&amp;$H777,"OK")))))</f>
      </c>
      <c r="BF777" s="45">
        <f>IF($AD777="","",IF(ROUND($AO777+$AP777+$AQ777-$AD777,2)=0,"OK","FAIL - out by "&amp;TEXT($AO777+$AP777+$AQ777-$AD777,"$0.00")))</f>
      </c>
    </row>
    <row r="778" spans="1:58" ht="18.75" customHeight="1" x14ac:dyDescent="0.25">
      <c r="A778" s="46" t="inlineStr">
        <is>
          <t xml:space="preserve">CANON-202606-009469</t>
        </is>
      </c>
      <c r="B778" s="46" t="inlineStr">
        <is>
          <t xml:space="preserve">Marisol Thistlewood</t>
        </is>
      </c>
      <c r="C778" s="47">
        <v>46197</v>
      </c>
      <c r="D778" s="48" t="inlineStr">
        <is>
          <t xml:space="preserve">Bound - within authority</t>
        </is>
      </c>
      <c r="E778" s="48" t="inlineStr">
        <is>
          <t xml:space="preserve">New business</t>
        </is>
      </c>
      <c r="F778" s="46" t="inlineStr">
        <is>
          <t xml:space="preserve">B1234EXOTIC26</t>
        </is>
      </c>
      <c r="G778" s="33">
        <f>IF($A778="","",IF($C778="","",YEAR($C778)))</f>
      </c>
      <c r="H778" s="49">
        <v>1984</v>
      </c>
      <c r="I778" s="46" t="inlineStr">
        <is>
          <t xml:space="preserve">Aston Martin</t>
        </is>
      </c>
      <c r="J778" s="46" t="inlineStr">
        <is>
          <t xml:space="preserve">DB12</t>
        </is>
      </c>
      <c r="K778" s="46" t="inlineStr">
        <is>
          <t xml:space="preserve">VHDRA2GYPKNYXSDT1</t>
        </is>
      </c>
      <c r="L778" s="48" t="inlineStr">
        <is>
          <t xml:space="preserve">02 - Sports / GT</t>
        </is>
      </c>
      <c r="M778" s="50">
        <v>200000</v>
      </c>
      <c r="N778" s="48" t="inlineStr">
        <is>
          <t xml:space="preserve">Personal</t>
        </is>
      </c>
      <c r="O778" s="46" t="inlineStr">
        <is>
          <t xml:space="preserve">Personal - regular use</t>
        </is>
      </c>
      <c r="P778" s="46" t="inlineStr">
        <is>
          <t xml:space="preserve">2,500 - 5,000</t>
        </is>
      </c>
      <c r="Q778" s="46" t="inlineStr">
        <is>
          <t xml:space="preserve">Illinois</t>
        </is>
      </c>
      <c r="R778" s="46" t="inlineStr">
        <is>
          <t xml:space="preserve">60601</t>
        </is>
      </c>
      <c r="S778" s="48" t="inlineStr">
        <is>
          <t xml:space="preserve">Severe convective - hail / tornado (moderate)</t>
        </is>
      </c>
      <c r="T778" s="36">
        <f>IF($A778="","",IF($S778="","",IFERROR(INDEX('[1]natural catastrophe'!$D$6:$D$17,MATCH($S778,'[1]natural catastrophe'!$B$6:$B$17,0)),"?")))</f>
      </c>
      <c r="U778" s="46" t="inlineStr">
        <is>
          <t xml:space="preserve">$5,000</t>
        </is>
      </c>
      <c r="V778" s="48" t="inlineStr">
        <is>
          <t xml:space="preserve">Agreed Value</t>
        </is>
      </c>
      <c r="W778" s="46" t="inlineStr">
        <is>
          <t xml:space="preserve">$1,000</t>
        </is>
      </c>
      <c r="X778" s="48" t="inlineStr">
        <is>
          <t xml:space="preserve">$1,000,000 CSL</t>
        </is>
      </c>
      <c r="Y778" s="46"/>
      <c r="Z778" s="46"/>
      <c r="AA778" s="48" t="inlineStr">
        <is>
          <t xml:space="preserve">Surplus Lines</t>
        </is>
      </c>
      <c r="AB778" s="50">
        <v>3611.01</v>
      </c>
      <c r="AC778" s="51">
        <v>0</v>
      </c>
      <c r="AD778" s="38">
        <f>IF(ISNUMBER($AB778),$AB778*(1+N($AC778)),"")</f>
      </c>
      <c r="AE778" s="50">
        <v>350</v>
      </c>
      <c r="AF778" s="50">
        <v>0</v>
      </c>
      <c r="AG778" s="51"/>
      <c r="AH778" s="39">
        <f>IF(ISNUMBER($AD778),($AD778+$AE778+$AF778)*$AG778,"")</f>
      </c>
      <c r="AI778" s="50"/>
      <c r="AJ778" s="38">
        <f>IF(ISNUMBER($AD778),SUM($AD778:$AH778),"")</f>
      </c>
      <c r="AK778" s="40">
        <f>IF(AND(ISNUMBER($AB778),ISNUMBER($AD778)),IF($AB778&gt;0,$AD778/$AB778,""),"")</f>
      </c>
      <c r="AL778" s="48" t="inlineStr">
        <is>
          <t xml:space="preserve">At technical</t>
        </is>
      </c>
      <c r="AM778" s="41">
        <f>IF(ISNUMBER($AD778),Header!$I$3,"")</f>
      </c>
      <c r="AN778" s="39">
        <f>IF(ISNUMBER($AD778),$AO778+$AP778,"")</f>
      </c>
      <c r="AO778" s="39">
        <f>IF(ISNUMBER($AD778),ROUND($AD778*Header!$K$3,2),"")</f>
      </c>
      <c r="AP778" s="39">
        <f>IF(ISNUMBER($AD778),ROUND($AD778*Header!$M$3,2),"")</f>
      </c>
      <c r="AQ778" s="38">
        <f>IF(ISNUMBER($AD778),ROUND($AD778,2)-$AO778-$AP778,"")</f>
      </c>
      <c r="AR778" s="39">
        <f>IF(ISNUMBER($AD778),IF(Header!$D$34="","?",$AD778*Header!$D$34),"")</f>
      </c>
      <c r="AS778" s="39">
        <f>IF(ISNUMBER($AB778),IF(Header!$D$34="","?",$AB778*Header!$D$34),"")</f>
      </c>
      <c r="AT778" s="42">
        <f>IF(AND(ISNUMBER($AB778),$M778&gt;0),$AB778/$M778*100,"")</f>
      </c>
      <c r="AU778" s="42">
        <f>IF(AND(ISNUMBER($AD778),$M778&gt;0),$AD778/$M778*100,"")</f>
      </c>
      <c r="AV778" s="40">
        <f>IF(AND(ISNUMBER($AB778),ISNUMBER($AD778),ABS($AB778)&gt;0),$AD778/$AB778,"")</f>
      </c>
      <c r="AW778" s="39">
        <f>IF(ISNUMBER($AD778),MAX(0,(1-0.55-Header!$O$3)*Header!$Q$3*$AQ778),"")</f>
      </c>
      <c r="AX778" s="43">
        <f>IF($A778="","",IF(TRIM(IF($A778="","Missing certificate ref. ","") &amp; IF($C778="","Missing effective date. ","") &amp; IF($D778="","Missing binding status. ","") &amp; IF($E778="","Missing movement type. ","") &amp; IF($I778="","Missing make. ","") &amp; IF($L778="","Missing vehicle class. ","") &amp; IF($M778="","Missing agreed value. ","") &amp; IF($N778="","Missing policy type. ","") &amp; IF($Q778="","Missing garaging state. ","") &amp; IF($R778="","Missing garaging ZIP. ","") &amp; IF($S778="","Missing cat zone. ","") &amp; IF($V778="","Missing valuation basis. ","") &amp; IF($W778="","Missing PD deductible. ","") &amp; IF($X778="","Missing liability limit. ","") &amp; IF($AB778="","Missing technical premium. ","") &amp; IF($AF778="","Missing surplus lines tax %. ",""))="","PASS","FAIL: "&amp;TRIM(IF($A778="","Missing certificate ref. ","") &amp; IF($C778="","Missing effective date. ","") &amp; IF($D778="","Missing binding status. ","") &amp; IF($E778="","Missing movement type. ","") &amp; IF($I778="","Missing make. ","") &amp; IF($L778="","Missing vehicle class. ","") &amp; IF($M778="","Missing agreed value. ","") &amp; IF($N778="","Missing policy type. ","") &amp; IF($Q778="","Missing garaging state. ","") &amp; IF($R778="","Missing garaging ZIP. ","") &amp; IF($S778="","Missing cat zone. ","") &amp; IF($V778="","Missing valuation basis. ","") &amp; IF($W778="","Missing PD deductible. ","") &amp; IF($X778="","Missing liability limit. ","") &amp; IF($AB778="","Missing technical premium. ","") &amp; IF($AF778="","Missing surplus lines tax %. ",""))))</f>
      </c>
      <c r="AY778" s="44">
        <f>IF($M778="","",IF(ISNUMBER($M778),IF($M778&gt;=Header!$C$18,"YES — refer","No"),""))</f>
      </c>
      <c r="AZ778" s="44">
        <f>IF($AD778="","",IF(ISNUMBER($AD778),IF($AD778&lt;Header!$C$20,"BELOW MIN PREMIUM","OK"),""))</f>
      </c>
      <c r="BA778" s="48" t="inlineStr">
        <is>
          <t xml:space="preserve">Yes</t>
        </is>
      </c>
      <c r="BB778" s="48" t="inlineStr">
        <is>
          <t xml:space="preserve">Yes</t>
        </is>
      </c>
      <c r="BC778" s="46" t="inlineStr">
        <is>
          <t xml:space="preserve">Synthetic demo data</t>
        </is>
      </c>
      <c r="BE778" s="45">
        <f>IF(OR($A778="",$L778="",$H778=""),"",IF(AND(LEFT($L778,2)="06",$H778&gt;1945),"FAIL - pre-war class, year "&amp;$H778,IF(AND(LEFT($L778,2)="07",OR($H778&lt;1946,$H778&gt;1972)),"FAIL - 1946-72 class, year "&amp;$H778,IF(AND(LEFT($L778,2)="08",OR($H778&lt;1973,$H778&gt;1999)),"FAIL - 1973-99 class, year "&amp;$H778,IF(AND(LEFT($L778,2)="09",OR($H778&lt;2000,$H778&gt;2010)),"FAIL - 2000-10 class, year "&amp;$H778,"OK")))))</f>
      </c>
      <c r="BF778" s="45">
        <f>IF($AD778="","",IF(ROUND($AO778+$AP778+$AQ778-$AD778,2)=0,"OK","FAIL - out by "&amp;TEXT($AO778+$AP778+$AQ778-$AD778,"$0.00")))</f>
      </c>
    </row>
    <row r="779" spans="1:58" ht="18.75" customHeight="1" x14ac:dyDescent="0.25">
      <c r="A779" s="30" t="inlineStr">
        <is>
          <t xml:space="preserve">CANON-202606-009472</t>
        </is>
      </c>
      <c r="B779" s="30" t="inlineStr">
        <is>
          <t xml:space="preserve">Priya Bellandi</t>
        </is>
      </c>
      <c r="C779" s="31">
        <v>46182</v>
      </c>
      <c r="D779" s="32" t="inlineStr">
        <is>
          <t xml:space="preserve">Bound - within authority</t>
        </is>
      </c>
      <c r="E779" s="32" t="inlineStr">
        <is>
          <t xml:space="preserve">New business</t>
        </is>
      </c>
      <c r="F779" s="30" t="inlineStr">
        <is>
          <t xml:space="preserve">B1234EXOTIC26</t>
        </is>
      </c>
      <c r="G779" s="33">
        <f>IF($A779="","",IF($C779="","",YEAR($C779)))</f>
      </c>
      <c r="H779" s="34">
        <v>1986</v>
      </c>
      <c r="I779" s="30" t="inlineStr">
        <is>
          <t xml:space="preserve">Ferrari</t>
        </is>
      </c>
      <c r="J779" s="30" t="inlineStr">
        <is>
          <t xml:space="preserve">296 GTB</t>
        </is>
      </c>
      <c r="K779" s="30" t="inlineStr">
        <is>
          <t xml:space="preserve">J5PFDAUCYX82W71RT</t>
        </is>
      </c>
      <c r="L779" s="32" t="inlineStr">
        <is>
          <t xml:space="preserve">03 - Supercar</t>
        </is>
      </c>
      <c r="M779" s="35">
        <v>1950000</v>
      </c>
      <c r="N779" s="32" t="inlineStr">
        <is>
          <t xml:space="preserve">Personal</t>
        </is>
      </c>
      <c r="O779" s="30" t="inlineStr">
        <is>
          <t xml:space="preserve">Personal - regular use</t>
        </is>
      </c>
      <c r="P779" s="30" t="inlineStr">
        <is>
          <t xml:space="preserve">1,000 - 2,500</t>
        </is>
      </c>
      <c r="Q779" s="30" t="inlineStr">
        <is>
          <t xml:space="preserve">South Carolina</t>
        </is>
      </c>
      <c r="R779" s="30" t="inlineStr">
        <is>
          <t xml:space="preserve">29401</t>
        </is>
      </c>
      <c r="S779" s="32" t="inlineStr">
        <is>
          <t xml:space="preserve">Tier 2 - Coastal wind (1-25 miles)</t>
        </is>
      </c>
      <c r="T779" s="36">
        <f>IF($A779="","",IF($S779="","",IFERROR(INDEX('[1]natural catastrophe'!$D$6:$D$17,MATCH($S779,'[1]natural catastrophe'!$B$6:$B$17,0)),"?")))</f>
      </c>
      <c r="U779" s="30" t="inlineStr">
        <is>
          <t xml:space="preserve">2% of agreed value, minimum $10,000</t>
        </is>
      </c>
      <c r="V779" s="32" t="inlineStr">
        <is>
          <t xml:space="preserve">Agreed Value</t>
        </is>
      </c>
      <c r="W779" s="30" t="inlineStr">
        <is>
          <t xml:space="preserve">$1,000</t>
        </is>
      </c>
      <c r="X779" s="32" t="inlineStr">
        <is>
          <t xml:space="preserve">$1,000,000 CSL</t>
        </is>
      </c>
      <c r="Y779" s="30"/>
      <c r="Z779" s="30"/>
      <c r="AA779" s="32" t="inlineStr">
        <is>
          <t xml:space="preserve">Surplus Lines</t>
        </is>
      </c>
      <c r="AB779" s="35">
        <v>27913.75</v>
      </c>
      <c r="AC779" s="37">
        <v>0</v>
      </c>
      <c r="AD779" s="38">
        <f>IF(ISNUMBER($AB779),$AB779*(1+N($AC779)),"")</f>
      </c>
      <c r="AE779" s="35">
        <v>350</v>
      </c>
      <c r="AF779" s="35">
        <v>250</v>
      </c>
      <c r="AG779" s="37"/>
      <c r="AH779" s="39">
        <f>IF(ISNUMBER($AD779),($AD779+$AE779+$AF779)*$AG779,"")</f>
      </c>
      <c r="AI779" s="35"/>
      <c r="AJ779" s="38">
        <f>IF(ISNUMBER($AD779),SUM($AD779:$AH779),"")</f>
      </c>
      <c r="AK779" s="40">
        <f>IF(AND(ISNUMBER($AB779),ISNUMBER($AD779)),IF($AB779&gt;0,$AD779/$AB779,""),"")</f>
      </c>
      <c r="AL779" s="32" t="inlineStr">
        <is>
          <t xml:space="preserve">At technical</t>
        </is>
      </c>
      <c r="AM779" s="41">
        <f>IF(ISNUMBER($AD779),Header!$I$3,"")</f>
      </c>
      <c r="AN779" s="39">
        <f>IF(ISNUMBER($AD779),$AO779+$AP779,"")</f>
      </c>
      <c r="AO779" s="39">
        <f>IF(ISNUMBER($AD779),ROUND($AD779*Header!$K$3,2),"")</f>
      </c>
      <c r="AP779" s="39">
        <f>IF(ISNUMBER($AD779),ROUND($AD779*Header!$M$3,2),"")</f>
      </c>
      <c r="AQ779" s="38">
        <f>IF(ISNUMBER($AD779),ROUND($AD779,2)-$AO779-$AP779,"")</f>
      </c>
      <c r="AR779" s="39">
        <f>IF(ISNUMBER($AD779),IF(Header!$D$34="","?",$AD779*Header!$D$34),"")</f>
      </c>
      <c r="AS779" s="39">
        <f>IF(ISNUMBER($AB779),IF(Header!$D$34="","?",$AB779*Header!$D$34),"")</f>
      </c>
      <c r="AT779" s="42">
        <f>IF(AND(ISNUMBER($AB779),$M779&gt;0),$AB779/$M779*100,"")</f>
      </c>
      <c r="AU779" s="42">
        <f>IF(AND(ISNUMBER($AD779),$M779&gt;0),$AD779/$M779*100,"")</f>
      </c>
      <c r="AV779" s="40">
        <f>IF(AND(ISNUMBER($AB779),ISNUMBER($AD779),ABS($AB779)&gt;0),$AD779/$AB779,"")</f>
      </c>
      <c r="AW779" s="39">
        <f>IF(ISNUMBER($AD779),MAX(0,(1-0.55-Header!$O$3)*Header!$Q$3*$AQ779),"")</f>
      </c>
      <c r="AX779" s="43">
        <f>IF($A779="","",IF(TRIM(IF($A779="","Missing certificate ref. ","") &amp; IF($C779="","Missing effective date. ","") &amp; IF($D779="","Missing binding status. ","") &amp; IF($E779="","Missing movement type. ","") &amp; IF($I779="","Missing make. ","") &amp; IF($L779="","Missing vehicle class. ","") &amp; IF($M779="","Missing agreed value. ","") &amp; IF($N779="","Missing policy type. ","") &amp; IF($Q779="","Missing garaging state. ","") &amp; IF($R779="","Missing garaging ZIP. ","") &amp; IF($S779="","Missing cat zone. ","") &amp; IF($V779="","Missing valuation basis. ","") &amp; IF($W779="","Missing PD deductible. ","") &amp; IF($X779="","Missing liability limit. ","") &amp; IF($AB779="","Missing technical premium. ","") &amp; IF($AF779="","Missing surplus lines tax %. ",""))="","PASS","FAIL: "&amp;TRIM(IF($A779="","Missing certificate ref. ","") &amp; IF($C779="","Missing effective date. ","") &amp; IF($D779="","Missing binding status. ","") &amp; IF($E779="","Missing movement type. ","") &amp; IF($I779="","Missing make. ","") &amp; IF($L779="","Missing vehicle class. ","") &amp; IF($M779="","Missing agreed value. ","") &amp; IF($N779="","Missing policy type. ","") &amp; IF($Q779="","Missing garaging state. ","") &amp; IF($R779="","Missing garaging ZIP. ","") &amp; IF($S779="","Missing cat zone. ","") &amp; IF($V779="","Missing valuation basis. ","") &amp; IF($W779="","Missing PD deductible. ","") &amp; IF($X779="","Missing liability limit. ","") &amp; IF($AB779="","Missing technical premium. ","") &amp; IF($AF779="","Missing surplus lines tax %. ",""))))</f>
      </c>
      <c r="AY779" s="44">
        <f>IF($M779="","",IF(ISNUMBER($M779),IF($M779&gt;=Header!$C$18,"YES — refer","No"),""))</f>
      </c>
      <c r="AZ779" s="44">
        <f>IF($AD779="","",IF(ISNUMBER($AD779),IF($AD779&lt;Header!$C$20,"BELOW MIN PREMIUM","OK"),""))</f>
      </c>
      <c r="BA779" s="32" t="inlineStr">
        <is>
          <t xml:space="preserve">Yes</t>
        </is>
      </c>
      <c r="BB779" s="32" t="inlineStr">
        <is>
          <t xml:space="preserve">Yes</t>
        </is>
      </c>
      <c r="BC779" s="30" t="inlineStr">
        <is>
          <t xml:space="preserve">Synthetic demo data</t>
        </is>
      </c>
      <c r="BE779" s="45">
        <f>IF(OR($A779="",$L779="",$H779=""),"",IF(AND(LEFT($L779,2)="06",$H779&gt;1945),"FAIL - pre-war class, year "&amp;$H779,IF(AND(LEFT($L779,2)="07",OR($H779&lt;1946,$H779&gt;1972)),"FAIL - 1946-72 class, year "&amp;$H779,IF(AND(LEFT($L779,2)="08",OR($H779&lt;1973,$H779&gt;1999)),"FAIL - 1973-99 class, year "&amp;$H779,IF(AND(LEFT($L779,2)="09",OR($H779&lt;2000,$H779&gt;2010)),"FAIL - 2000-10 class, year "&amp;$H779,"OK")))))</f>
      </c>
      <c r="BF779" s="45">
        <f>IF($AD779="","",IF(ROUND($AO779+$AP779+$AQ779-$AD779,2)=0,"OK","FAIL - out by "&amp;TEXT($AO779+$AP779+$AQ779-$AD779,"$0.00")))</f>
      </c>
    </row>
    <row r="780" spans="1:58" ht="18.75" customHeight="1" x14ac:dyDescent="0.25">
      <c r="A780" s="46" t="inlineStr">
        <is>
          <t xml:space="preserve">CANON-202606-009474</t>
        </is>
      </c>
      <c r="B780" s="46" t="inlineStr">
        <is>
          <t xml:space="preserve">Thaddeus Pennington</t>
        </is>
      </c>
      <c r="C780" s="47">
        <v>46196</v>
      </c>
      <c r="D780" s="48" t="inlineStr">
        <is>
          <t xml:space="preserve">Bound - within authority</t>
        </is>
      </c>
      <c r="E780" s="48" t="inlineStr">
        <is>
          <t xml:space="preserve">New business</t>
        </is>
      </c>
      <c r="F780" s="46" t="inlineStr">
        <is>
          <t xml:space="preserve">B1234EXOTIC26</t>
        </is>
      </c>
      <c r="G780" s="33">
        <f>IF($A780="","",IF($C780="","",YEAR($C780)))</f>
      </c>
      <c r="H780" s="49">
        <v>2021</v>
      </c>
      <c r="I780" s="46" t="inlineStr">
        <is>
          <t xml:space="preserve">Icon</t>
        </is>
      </c>
      <c r="J780" s="46" t="inlineStr">
        <is>
          <t xml:space="preserve">Derelict</t>
        </is>
      </c>
      <c r="K780" s="46" t="inlineStr">
        <is>
          <t xml:space="preserve">LX0D91RM9SK7V6LS8</t>
        </is>
      </c>
      <c r="L780" s="48" t="inlineStr">
        <is>
          <t xml:space="preserve">11 - Restomod / Coachbuilt / Bespoke</t>
        </is>
      </c>
      <c r="M780" s="50">
        <v>370000</v>
      </c>
      <c r="N780" s="48" t="inlineStr">
        <is>
          <t xml:space="preserve">Personal</t>
        </is>
      </c>
      <c r="O780" s="46" t="inlineStr">
        <is>
          <t xml:space="preserve">Personal - regular use</t>
        </is>
      </c>
      <c r="P780" s="46" t="inlineStr">
        <is>
          <t xml:space="preserve">Under 1,000</t>
        </is>
      </c>
      <c r="Q780" s="46" t="inlineStr">
        <is>
          <t xml:space="preserve">Idaho</t>
        </is>
      </c>
      <c r="R780" s="46" t="inlineStr">
        <is>
          <t xml:space="preserve">83702</t>
        </is>
      </c>
      <c r="S780" s="48" t="inlineStr">
        <is>
          <t xml:space="preserve">Wildfire - WUI high hazard</t>
        </is>
      </c>
      <c r="T780" s="36">
        <f>IF($A780="","",IF($S780="","",IFERROR(INDEX('[1]natural catastrophe'!$D$6:$D$17,MATCH($S780,'[1]natural catastrophe'!$B$6:$B$17,0)),"?")))</f>
      </c>
      <c r="U780" s="46" t="inlineStr">
        <is>
          <t xml:space="preserve">$5,000</t>
        </is>
      </c>
      <c r="V780" s="48" t="inlineStr">
        <is>
          <t xml:space="preserve">Agreed Value</t>
        </is>
      </c>
      <c r="W780" s="46" t="inlineStr">
        <is>
          <t xml:space="preserve">$1,000</t>
        </is>
      </c>
      <c r="X780" s="48" t="inlineStr">
        <is>
          <t xml:space="preserve">$1,000,000 CSL</t>
        </is>
      </c>
      <c r="Y780" s="46"/>
      <c r="Z780" s="46"/>
      <c r="AA780" s="48" t="inlineStr">
        <is>
          <t xml:space="preserve">Surplus Lines</t>
        </is>
      </c>
      <c r="AB780" s="50">
        <v>4651.48</v>
      </c>
      <c r="AC780" s="51">
        <v>0</v>
      </c>
      <c r="AD780" s="38">
        <f>IF(ISNUMBER($AB780),$AB780*(1+N($AC780)),"")</f>
      </c>
      <c r="AE780" s="50">
        <v>350</v>
      </c>
      <c r="AF780" s="50">
        <v>0</v>
      </c>
      <c r="AG780" s="51"/>
      <c r="AH780" s="39">
        <f>IF(ISNUMBER($AD780),($AD780+$AE780+$AF780)*$AG780,"")</f>
      </c>
      <c r="AI780" s="50"/>
      <c r="AJ780" s="38">
        <f>IF(ISNUMBER($AD780),SUM($AD780:$AH780),"")</f>
      </c>
      <c r="AK780" s="40">
        <f>IF(AND(ISNUMBER($AB780),ISNUMBER($AD780)),IF($AB780&gt;0,$AD780/$AB780,""),"")</f>
      </c>
      <c r="AL780" s="48" t="inlineStr">
        <is>
          <t xml:space="preserve">At technical</t>
        </is>
      </c>
      <c r="AM780" s="41">
        <f>IF(ISNUMBER($AD780),Header!$I$3,"")</f>
      </c>
      <c r="AN780" s="39">
        <f>IF(ISNUMBER($AD780),$AO780+$AP780,"")</f>
      </c>
      <c r="AO780" s="39">
        <f>IF(ISNUMBER($AD780),ROUND($AD780*Header!$K$3,2),"")</f>
      </c>
      <c r="AP780" s="39">
        <f>IF(ISNUMBER($AD780),ROUND($AD780*Header!$M$3,2),"")</f>
      </c>
      <c r="AQ780" s="38">
        <f>IF(ISNUMBER($AD780),ROUND($AD780,2)-$AO780-$AP780,"")</f>
      </c>
      <c r="AR780" s="39">
        <f>IF(ISNUMBER($AD780),IF(Header!$D$34="","?",$AD780*Header!$D$34),"")</f>
      </c>
      <c r="AS780" s="39">
        <f>IF(ISNUMBER($AB780),IF(Header!$D$34="","?",$AB780*Header!$D$34),"")</f>
      </c>
      <c r="AT780" s="42">
        <f>IF(AND(ISNUMBER($AB780),$M780&gt;0),$AB780/$M780*100,"")</f>
      </c>
      <c r="AU780" s="42">
        <f>IF(AND(ISNUMBER($AD780),$M780&gt;0),$AD780/$M780*100,"")</f>
      </c>
      <c r="AV780" s="40">
        <f>IF(AND(ISNUMBER($AB780),ISNUMBER($AD780),ABS($AB780)&gt;0),$AD780/$AB780,"")</f>
      </c>
      <c r="AW780" s="39">
        <f>IF(ISNUMBER($AD780),MAX(0,(1-0.55-Header!$O$3)*Header!$Q$3*$AQ780),"")</f>
      </c>
      <c r="AX780" s="43">
        <f>IF($A780="","",IF(TRIM(IF($A780="","Missing certificate ref. ","") &amp; IF($C780="","Missing effective date. ","") &amp; IF($D780="","Missing binding status. ","") &amp; IF($E780="","Missing movement type. ","") &amp; IF($I780="","Missing make. ","") &amp; IF($L780="","Missing vehicle class. ","") &amp; IF($M780="","Missing agreed value. ","") &amp; IF($N780="","Missing policy type. ","") &amp; IF($Q780="","Missing garaging state. ","") &amp; IF($R780="","Missing garaging ZIP. ","") &amp; IF($S780="","Missing cat zone. ","") &amp; IF($V780="","Missing valuation basis. ","") &amp; IF($W780="","Missing PD deductible. ","") &amp; IF($X780="","Missing liability limit. ","") &amp; IF($AB780="","Missing technical premium. ","") &amp; IF($AF780="","Missing surplus lines tax %. ",""))="","PASS","FAIL: "&amp;TRIM(IF($A780="","Missing certificate ref. ","") &amp; IF($C780="","Missing effective date. ","") &amp; IF($D780="","Missing binding status. ","") &amp; IF($E780="","Missing movement type. ","") &amp; IF($I780="","Missing make. ","") &amp; IF($L780="","Missing vehicle class. ","") &amp; IF($M780="","Missing agreed value. ","") &amp; IF($N780="","Missing policy type. ","") &amp; IF($Q780="","Missing garaging state. ","") &amp; IF($R780="","Missing garaging ZIP. ","") &amp; IF($S780="","Missing cat zone. ","") &amp; IF($V780="","Missing valuation basis. ","") &amp; IF($W780="","Missing PD deductible. ","") &amp; IF($X780="","Missing liability limit. ","") &amp; IF($AB780="","Missing technical premium. ","") &amp; IF($AF780="","Missing surplus lines tax %. ",""))))</f>
      </c>
      <c r="AY780" s="44">
        <f>IF($M780="","",IF(ISNUMBER($M780),IF($M780&gt;=Header!$C$18,"YES — refer","No"),""))</f>
      </c>
      <c r="AZ780" s="44">
        <f>IF($AD780="","",IF(ISNUMBER($AD780),IF($AD780&lt;Header!$C$20,"BELOW MIN PREMIUM","OK"),""))</f>
      </c>
      <c r="BA780" s="48" t="inlineStr">
        <is>
          <t xml:space="preserve">Yes</t>
        </is>
      </c>
      <c r="BB780" s="48" t="inlineStr">
        <is>
          <t xml:space="preserve">Yes</t>
        </is>
      </c>
      <c r="BC780" s="46" t="inlineStr">
        <is>
          <t xml:space="preserve">Synthetic demo data</t>
        </is>
      </c>
      <c r="BE780" s="45">
        <f>IF(OR($A780="",$L780="",$H780=""),"",IF(AND(LEFT($L780,2)="06",$H780&gt;1945),"FAIL - pre-war class, year "&amp;$H780,IF(AND(LEFT($L780,2)="07",OR($H780&lt;1946,$H780&gt;1972)),"FAIL - 1946-72 class, year "&amp;$H780,IF(AND(LEFT($L780,2)="08",OR($H780&lt;1973,$H780&gt;1999)),"FAIL - 1973-99 class, year "&amp;$H780,IF(AND(LEFT($L780,2)="09",OR($H780&lt;2000,$H780&gt;2010)),"FAIL - 2000-10 class, year "&amp;$H780,"OK")))))</f>
      </c>
      <c r="BF780" s="45">
        <f>IF($AD780="","",IF(ROUND($AO780+$AP780+$AQ780-$AD780,2)=0,"OK","FAIL - out by "&amp;TEXT($AO780+$AP780+$AQ780-$AD780,"$0.00")))</f>
      </c>
    </row>
    <row r="781" spans="1:58" ht="18.75" customHeight="1" x14ac:dyDescent="0.25">
      <c r="A781" s="30" t="inlineStr">
        <is>
          <t xml:space="preserve">CANON-202606-009475</t>
        </is>
      </c>
      <c r="B781" s="30" t="inlineStr">
        <is>
          <t xml:space="preserve">Ottilie Pennington</t>
        </is>
      </c>
      <c r="C781" s="31">
        <v>46185</v>
      </c>
      <c r="D781" s="32" t="inlineStr">
        <is>
          <t xml:space="preserve">Bound - within authority</t>
        </is>
      </c>
      <c r="E781" s="32" t="inlineStr">
        <is>
          <t xml:space="preserve">New business</t>
        </is>
      </c>
      <c r="F781" s="30" t="inlineStr">
        <is>
          <t xml:space="preserve">B1234EXOTIC26</t>
        </is>
      </c>
      <c r="G781" s="33">
        <f>IF($A781="","",IF($C781="","",YEAR($C781)))</f>
      </c>
      <c r="H781" s="34">
        <v>1956</v>
      </c>
      <c r="I781" s="30" t="inlineStr">
        <is>
          <t xml:space="preserve">BMW</t>
        </is>
      </c>
      <c r="J781" s="30" t="inlineStr">
        <is>
          <t xml:space="preserve">M8 Competition</t>
        </is>
      </c>
      <c r="K781" s="30" t="inlineStr">
        <is>
          <t xml:space="preserve">GWWW2PFRS1UPSD0ZL</t>
        </is>
      </c>
      <c r="L781" s="32" t="inlineStr">
        <is>
          <t xml:space="preserve">02 - Sports / GT</t>
        </is>
      </c>
      <c r="M781" s="35">
        <v>280000</v>
      </c>
      <c r="N781" s="32" t="inlineStr">
        <is>
          <t xml:space="preserve">Personal</t>
        </is>
      </c>
      <c r="O781" s="30" t="inlineStr">
        <is>
          <t xml:space="preserve">Personal - regular use</t>
        </is>
      </c>
      <c r="P781" s="30" t="inlineStr">
        <is>
          <t xml:space="preserve">1,000 - 2,500</t>
        </is>
      </c>
      <c r="Q781" s="30" t="inlineStr">
        <is>
          <t xml:space="preserve">Colorado</t>
        </is>
      </c>
      <c r="R781" s="30" t="inlineStr">
        <is>
          <t xml:space="preserve">80202</t>
        </is>
      </c>
      <c r="S781" s="32" t="inlineStr">
        <is>
          <t xml:space="preserve">Severe convective - hail alley (high)</t>
        </is>
      </c>
      <c r="T781" s="36">
        <f>IF($A781="","",IF($S781="","",IFERROR(INDEX('[1]natural catastrophe'!$D$6:$D$17,MATCH($S781,'[1]natural catastrophe'!$B$6:$B$17,0)),"?")))</f>
      </c>
      <c r="U781" s="30" t="inlineStr">
        <is>
          <t xml:space="preserve">$5,000</t>
        </is>
      </c>
      <c r="V781" s="32" t="inlineStr">
        <is>
          <t xml:space="preserve">Agreed Value</t>
        </is>
      </c>
      <c r="W781" s="30" t="inlineStr">
        <is>
          <t xml:space="preserve">$1,000</t>
        </is>
      </c>
      <c r="X781" s="32" t="inlineStr">
        <is>
          <t xml:space="preserve">$1,000,000 CSL</t>
        </is>
      </c>
      <c r="Y781" s="30"/>
      <c r="Z781" s="30"/>
      <c r="AA781" s="32" t="inlineStr">
        <is>
          <t xml:space="preserve">Surplus Lines</t>
        </is>
      </c>
      <c r="AB781" s="35">
        <v>3333.37</v>
      </c>
      <c r="AC781" s="37">
        <v>0</v>
      </c>
      <c r="AD781" s="38">
        <f>IF(ISNUMBER($AB781),$AB781*(1+N($AC781)),"")</f>
      </c>
      <c r="AE781" s="35">
        <v>350</v>
      </c>
      <c r="AF781" s="35">
        <v>0</v>
      </c>
      <c r="AG781" s="37"/>
      <c r="AH781" s="39">
        <f>IF(ISNUMBER($AD781),($AD781+$AE781+$AF781)*$AG781,"")</f>
      </c>
      <c r="AI781" s="35"/>
      <c r="AJ781" s="38">
        <f>IF(ISNUMBER($AD781),SUM($AD781:$AH781),"")</f>
      </c>
      <c r="AK781" s="40">
        <f>IF(AND(ISNUMBER($AB781),ISNUMBER($AD781)),IF($AB781&gt;0,$AD781/$AB781,""),"")</f>
      </c>
      <c r="AL781" s="32" t="inlineStr">
        <is>
          <t xml:space="preserve">At technical</t>
        </is>
      </c>
      <c r="AM781" s="41">
        <f>IF(ISNUMBER($AD781),Header!$I$3,"")</f>
      </c>
      <c r="AN781" s="39">
        <f>IF(ISNUMBER($AD781),$AO781+$AP781,"")</f>
      </c>
      <c r="AO781" s="39">
        <f>IF(ISNUMBER($AD781),ROUND($AD781*Header!$K$3,2),"")</f>
      </c>
      <c r="AP781" s="39">
        <f>IF(ISNUMBER($AD781),ROUND($AD781*Header!$M$3,2),"")</f>
      </c>
      <c r="AQ781" s="38">
        <f>IF(ISNUMBER($AD781),ROUND($AD781,2)-$AO781-$AP781,"")</f>
      </c>
      <c r="AR781" s="39">
        <f>IF(ISNUMBER($AD781),IF(Header!$D$34="","?",$AD781*Header!$D$34),"")</f>
      </c>
      <c r="AS781" s="39">
        <f>IF(ISNUMBER($AB781),IF(Header!$D$34="","?",$AB781*Header!$D$34),"")</f>
      </c>
      <c r="AT781" s="42">
        <f>IF(AND(ISNUMBER($AB781),$M781&gt;0),$AB781/$M781*100,"")</f>
      </c>
      <c r="AU781" s="42">
        <f>IF(AND(ISNUMBER($AD781),$M781&gt;0),$AD781/$M781*100,"")</f>
      </c>
      <c r="AV781" s="40">
        <f>IF(AND(ISNUMBER($AB781),ISNUMBER($AD781),ABS($AB781)&gt;0),$AD781/$AB781,"")</f>
      </c>
      <c r="AW781" s="39">
        <f>IF(ISNUMBER($AD781),MAX(0,(1-0.55-Header!$O$3)*Header!$Q$3*$AQ781),"")</f>
      </c>
      <c r="AX781" s="43">
        <f>IF($A781="","",IF(TRIM(IF($A781="","Missing certificate ref. ","") &amp; IF($C781="","Missing effective date. ","") &amp; IF($D781="","Missing binding status. ","") &amp; IF($E781="","Missing movement type. ","") &amp; IF($I781="","Missing make. ","") &amp; IF($L781="","Missing vehicle class. ","") &amp; IF($M781="","Missing agreed value. ","") &amp; IF($N781="","Missing policy type. ","") &amp; IF($Q781="","Missing garaging state. ","") &amp; IF($R781="","Missing garaging ZIP. ","") &amp; IF($S781="","Missing cat zone. ","") &amp; IF($V781="","Missing valuation basis. ","") &amp; IF($W781="","Missing PD deductible. ","") &amp; IF($X781="","Missing liability limit. ","") &amp; IF($AB781="","Missing technical premium. ","") &amp; IF($AF781="","Missing surplus lines tax %. ",""))="","PASS","FAIL: "&amp;TRIM(IF($A781="","Missing certificate ref. ","") &amp; IF($C781="","Missing effective date. ","") &amp; IF($D781="","Missing binding status. ","") &amp; IF($E781="","Missing movement type. ","") &amp; IF($I781="","Missing make. ","") &amp; IF($L781="","Missing vehicle class. ","") &amp; IF($M781="","Missing agreed value. ","") &amp; IF($N781="","Missing policy type. ","") &amp; IF($Q781="","Missing garaging state. ","") &amp; IF($R781="","Missing garaging ZIP. ","") &amp; IF($S781="","Missing cat zone. ","") &amp; IF($V781="","Missing valuation basis. ","") &amp; IF($W781="","Missing PD deductible. ","") &amp; IF($X781="","Missing liability limit. ","") &amp; IF($AB781="","Missing technical premium. ","") &amp; IF($AF781="","Missing surplus lines tax %. ",""))))</f>
      </c>
      <c r="AY781" s="44">
        <f>IF($M781="","",IF(ISNUMBER($M781),IF($M781&gt;=Header!$C$18,"YES — refer","No"),""))</f>
      </c>
      <c r="AZ781" s="44">
        <f>IF($AD781="","",IF(ISNUMBER($AD781),IF($AD781&lt;Header!$C$20,"BELOW MIN PREMIUM","OK"),""))</f>
      </c>
      <c r="BA781" s="32" t="inlineStr">
        <is>
          <t xml:space="preserve">Yes</t>
        </is>
      </c>
      <c r="BB781" s="32" t="inlineStr">
        <is>
          <t xml:space="preserve">Yes</t>
        </is>
      </c>
      <c r="BC781" s="30" t="inlineStr">
        <is>
          <t xml:space="preserve">Synthetic demo data</t>
        </is>
      </c>
      <c r="BE781" s="45">
        <f>IF(OR($A781="",$L781="",$H781=""),"",IF(AND(LEFT($L781,2)="06",$H781&gt;1945),"FAIL - pre-war class, year "&amp;$H781,IF(AND(LEFT($L781,2)="07",OR($H781&lt;1946,$H781&gt;1972)),"FAIL - 1946-72 class, year "&amp;$H781,IF(AND(LEFT($L781,2)="08",OR($H781&lt;1973,$H781&gt;1999)),"FAIL - 1973-99 class, year "&amp;$H781,IF(AND(LEFT($L781,2)="09",OR($H781&lt;2000,$H781&gt;2010)),"FAIL - 2000-10 class, year "&amp;$H781,"OK")))))</f>
      </c>
      <c r="BF781" s="45">
        <f>IF($AD781="","",IF(ROUND($AO781+$AP781+$AQ781-$AD781,2)=0,"OK","FAIL - out by "&amp;TEXT($AO781+$AP781+$AQ781-$AD781,"$0.00")))</f>
      </c>
    </row>
    <row r="782" spans="1:58" ht="18.75" customHeight="1" x14ac:dyDescent="0.25">
      <c r="A782" s="46" t="inlineStr">
        <is>
          <t xml:space="preserve">CANON-202606-009476</t>
        </is>
      </c>
      <c r="B782" s="46" t="inlineStr">
        <is>
          <t xml:space="preserve">Wilhelmina Ashcombe</t>
        </is>
      </c>
      <c r="C782" s="47">
        <v>46177</v>
      </c>
      <c r="D782" s="48" t="inlineStr">
        <is>
          <t xml:space="preserve">Bound - within authority</t>
        </is>
      </c>
      <c r="E782" s="48" t="inlineStr">
        <is>
          <t xml:space="preserve">New business</t>
        </is>
      </c>
      <c r="F782" s="46" t="inlineStr">
        <is>
          <t xml:space="preserve">B1234EXOTIC26</t>
        </is>
      </c>
      <c r="G782" s="33">
        <f>IF($A782="","",IF($C782="","",YEAR($C782)))</f>
      </c>
      <c r="H782" s="49">
        <v>1991</v>
      </c>
      <c r="I782" s="46" t="inlineStr">
        <is>
          <t xml:space="preserve">Maserati</t>
        </is>
      </c>
      <c r="J782" s="46" t="inlineStr">
        <is>
          <t xml:space="preserve">GranTurismo</t>
        </is>
      </c>
      <c r="K782" s="46" t="inlineStr">
        <is>
          <t xml:space="preserve">UEF5HR5SVFX0SZT48</t>
        </is>
      </c>
      <c r="L782" s="48" t="inlineStr">
        <is>
          <t xml:space="preserve">02 - Sports / GT</t>
        </is>
      </c>
      <c r="M782" s="50">
        <v>250000</v>
      </c>
      <c r="N782" s="48" t="inlineStr">
        <is>
          <t xml:space="preserve">Personal</t>
        </is>
      </c>
      <c r="O782" s="46" t="inlineStr">
        <is>
          <t xml:space="preserve">Personal - regular use</t>
        </is>
      </c>
      <c r="P782" s="46" t="inlineStr">
        <is>
          <t xml:space="preserve">Under 1,000</t>
        </is>
      </c>
      <c r="Q782" s="46" t="inlineStr">
        <is>
          <t xml:space="preserve">Maine</t>
        </is>
      </c>
      <c r="R782" s="46" t="inlineStr">
        <is>
          <t xml:space="preserve">04101</t>
        </is>
      </c>
      <c r="S782" s="48" t="inlineStr">
        <is>
          <t xml:space="preserve">Tier 3 - Coastal wind (25-100 miles)</t>
        </is>
      </c>
      <c r="T782" s="36">
        <f>IF($A782="","",IF($S782="","",IFERROR(INDEX('[1]natural catastrophe'!$D$6:$D$17,MATCH($S782,'[1]natural catastrophe'!$B$6:$B$17,0)),"?")))</f>
      </c>
      <c r="U782" s="46" t="inlineStr">
        <is>
          <t xml:space="preserve">2% of agreed value, minimum $10,000</t>
        </is>
      </c>
      <c r="V782" s="48" t="inlineStr">
        <is>
          <t xml:space="preserve">Agreed Value</t>
        </is>
      </c>
      <c r="W782" s="46" t="inlineStr">
        <is>
          <t xml:space="preserve">$1,000</t>
        </is>
      </c>
      <c r="X782" s="48" t="inlineStr">
        <is>
          <t xml:space="preserve">$1,000,000 CSL</t>
        </is>
      </c>
      <c r="Y782" s="46"/>
      <c r="Z782" s="46"/>
      <c r="AA782" s="48" t="inlineStr">
        <is>
          <t xml:space="preserve">Surplus Lines</t>
        </is>
      </c>
      <c r="AB782" s="50">
        <v>2922.11</v>
      </c>
      <c r="AC782" s="51">
        <v>0</v>
      </c>
      <c r="AD782" s="38">
        <f>IF(ISNUMBER($AB782),$AB782*(1+N($AC782)),"")</f>
      </c>
      <c r="AE782" s="50">
        <v>350</v>
      </c>
      <c r="AF782" s="50">
        <v>0</v>
      </c>
      <c r="AG782" s="51"/>
      <c r="AH782" s="39">
        <f>IF(ISNUMBER($AD782),($AD782+$AE782+$AF782)*$AG782,"")</f>
      </c>
      <c r="AI782" s="50"/>
      <c r="AJ782" s="38">
        <f>IF(ISNUMBER($AD782),SUM($AD782:$AH782),"")</f>
      </c>
      <c r="AK782" s="40">
        <f>IF(AND(ISNUMBER($AB782),ISNUMBER($AD782)),IF($AB782&gt;0,$AD782/$AB782,""),"")</f>
      </c>
      <c r="AL782" s="48" t="inlineStr">
        <is>
          <t xml:space="preserve">At technical</t>
        </is>
      </c>
      <c r="AM782" s="41">
        <f>IF(ISNUMBER($AD782),Header!$I$3,"")</f>
      </c>
      <c r="AN782" s="39">
        <f>IF(ISNUMBER($AD782),$AO782+$AP782,"")</f>
      </c>
      <c r="AO782" s="39">
        <f>IF(ISNUMBER($AD782),ROUND($AD782*Header!$K$3,2),"")</f>
      </c>
      <c r="AP782" s="39">
        <f>IF(ISNUMBER($AD782),ROUND($AD782*Header!$M$3,2),"")</f>
      </c>
      <c r="AQ782" s="38">
        <f>IF(ISNUMBER($AD782),ROUND($AD782,2)-$AO782-$AP782,"")</f>
      </c>
      <c r="AR782" s="39">
        <f>IF(ISNUMBER($AD782),IF(Header!$D$34="","?",$AD782*Header!$D$34),"")</f>
      </c>
      <c r="AS782" s="39">
        <f>IF(ISNUMBER($AB782),IF(Header!$D$34="","?",$AB782*Header!$D$34),"")</f>
      </c>
      <c r="AT782" s="42">
        <f>IF(AND(ISNUMBER($AB782),$M782&gt;0),$AB782/$M782*100,"")</f>
      </c>
      <c r="AU782" s="42">
        <f>IF(AND(ISNUMBER($AD782),$M782&gt;0),$AD782/$M782*100,"")</f>
      </c>
      <c r="AV782" s="40">
        <f>IF(AND(ISNUMBER($AB782),ISNUMBER($AD782),ABS($AB782)&gt;0),$AD782/$AB782,"")</f>
      </c>
      <c r="AW782" s="39">
        <f>IF(ISNUMBER($AD782),MAX(0,(1-0.55-Header!$O$3)*Header!$Q$3*$AQ782),"")</f>
      </c>
      <c r="AX782" s="43">
        <f>IF($A782="","",IF(TRIM(IF($A782="","Missing certificate ref. ","") &amp; IF($C782="","Missing effective date. ","") &amp; IF($D782="","Missing binding status. ","") &amp; IF($E782="","Missing movement type. ","") &amp; IF($I782="","Missing make. ","") &amp; IF($L782="","Missing vehicle class. ","") &amp; IF($M782="","Missing agreed value. ","") &amp; IF($N782="","Missing policy type. ","") &amp; IF($Q782="","Missing garaging state. ","") &amp; IF($R782="","Missing garaging ZIP. ","") &amp; IF($S782="","Missing cat zone. ","") &amp; IF($V782="","Missing valuation basis. ","") &amp; IF($W782="","Missing PD deductible. ","") &amp; IF($X782="","Missing liability limit. ","") &amp; IF($AB782="","Missing technical premium. ","") &amp; IF($AF782="","Missing surplus lines tax %. ",""))="","PASS","FAIL: "&amp;TRIM(IF($A782="","Missing certificate ref. ","") &amp; IF($C782="","Missing effective date. ","") &amp; IF($D782="","Missing binding status. ","") &amp; IF($E782="","Missing movement type. ","") &amp; IF($I782="","Missing make. ","") &amp; IF($L782="","Missing vehicle class. ","") &amp; IF($M782="","Missing agreed value. ","") &amp; IF($N782="","Missing policy type. ","") &amp; IF($Q782="","Missing garaging state. ","") &amp; IF($R782="","Missing garaging ZIP. ","") &amp; IF($S782="","Missing cat zone. ","") &amp; IF($V782="","Missing valuation basis. ","") &amp; IF($W782="","Missing PD deductible. ","") &amp; IF($X782="","Missing liability limit. ","") &amp; IF($AB782="","Missing technical premium. ","") &amp; IF($AF782="","Missing surplus lines tax %. ",""))))</f>
      </c>
      <c r="AY782" s="44">
        <f>IF($M782="","",IF(ISNUMBER($M782),IF($M782&gt;=Header!$C$18,"YES — refer","No"),""))</f>
      </c>
      <c r="AZ782" s="44">
        <f>IF($AD782="","",IF(ISNUMBER($AD782),IF($AD782&lt;Header!$C$20,"BELOW MIN PREMIUM","OK"),""))</f>
      </c>
      <c r="BA782" s="48" t="inlineStr">
        <is>
          <t xml:space="preserve">Yes</t>
        </is>
      </c>
      <c r="BB782" s="48" t="inlineStr">
        <is>
          <t xml:space="preserve">Yes</t>
        </is>
      </c>
      <c r="BC782" s="46" t="inlineStr">
        <is>
          <t xml:space="preserve">Synthetic demo data</t>
        </is>
      </c>
      <c r="BE782" s="45">
        <f>IF(OR($A782="",$L782="",$H782=""),"",IF(AND(LEFT($L782,2)="06",$H782&gt;1945),"FAIL - pre-war class, year "&amp;$H782,IF(AND(LEFT($L782,2)="07",OR($H782&lt;1946,$H782&gt;1972)),"FAIL - 1946-72 class, year "&amp;$H782,IF(AND(LEFT($L782,2)="08",OR($H782&lt;1973,$H782&gt;1999)),"FAIL - 1973-99 class, year "&amp;$H782,IF(AND(LEFT($L782,2)="09",OR($H782&lt;2000,$H782&gt;2010)),"FAIL - 2000-10 class, year "&amp;$H782,"OK")))))</f>
      </c>
      <c r="BF782" s="45">
        <f>IF($AD782="","",IF(ROUND($AO782+$AP782+$AQ782-$AD782,2)=0,"OK","FAIL - out by "&amp;TEXT($AO782+$AP782+$AQ782-$AD782,"$0.00")))</f>
      </c>
    </row>
    <row r="783" spans="1:58" ht="18.75" customHeight="1" x14ac:dyDescent="0.25">
      <c r="A783" s="30" t="inlineStr">
        <is>
          <t xml:space="preserve">CANON-202606-009477</t>
        </is>
      </c>
      <c r="B783" s="30" t="inlineStr">
        <is>
          <t xml:space="preserve">Priya Nakashima</t>
        </is>
      </c>
      <c r="C783" s="31">
        <v>46198</v>
      </c>
      <c r="D783" s="32" t="inlineStr">
        <is>
          <t xml:space="preserve">Bound - within authority</t>
        </is>
      </c>
      <c r="E783" s="32" t="inlineStr">
        <is>
          <t xml:space="preserve">New business</t>
        </is>
      </c>
      <c r="F783" s="30" t="inlineStr">
        <is>
          <t xml:space="preserve">B1234EXOTIC26</t>
        </is>
      </c>
      <c r="G783" s="33">
        <f>IF($A783="","",IF($C783="","",YEAR($C783)))</f>
      </c>
      <c r="H783" s="34">
        <v>2022</v>
      </c>
      <c r="I783" s="30" t="inlineStr">
        <is>
          <t xml:space="preserve">Bentley</t>
        </is>
      </c>
      <c r="J783" s="30" t="inlineStr">
        <is>
          <t xml:space="preserve">Continental GT</t>
        </is>
      </c>
      <c r="K783" s="30" t="inlineStr">
        <is>
          <t xml:space="preserve">YKXKF26L0BHVY5VR8</t>
        </is>
      </c>
      <c r="L783" s="32" t="inlineStr">
        <is>
          <t xml:space="preserve">02 - Sports / GT</t>
        </is>
      </c>
      <c r="M783" s="35">
        <v>705000</v>
      </c>
      <c r="N783" s="32" t="inlineStr">
        <is>
          <t xml:space="preserve">Personal</t>
        </is>
      </c>
      <c r="O783" s="30" t="inlineStr">
        <is>
          <t xml:space="preserve">Personal - regular use</t>
        </is>
      </c>
      <c r="P783" s="30" t="inlineStr">
        <is>
          <t xml:space="preserve">1,000 - 2,500</t>
        </is>
      </c>
      <c r="Q783" s="30" t="inlineStr">
        <is>
          <t xml:space="preserve">Indiana</t>
        </is>
      </c>
      <c r="R783" s="30" t="inlineStr">
        <is>
          <t xml:space="preserve">46204</t>
        </is>
      </c>
      <c r="S783" s="32" t="inlineStr">
        <is>
          <t xml:space="preserve">Severe convective - hail / tornado (moderate)</t>
        </is>
      </c>
      <c r="T783" s="36">
        <f>IF($A783="","",IF($S783="","",IFERROR(INDEX('[1]natural catastrophe'!$D$6:$D$17,MATCH($S783,'[1]natural catastrophe'!$B$6:$B$17,0)),"?")))</f>
      </c>
      <c r="U783" s="30" t="inlineStr">
        <is>
          <t xml:space="preserve">$5,000</t>
        </is>
      </c>
      <c r="V783" s="32" t="inlineStr">
        <is>
          <t xml:space="preserve">Agreed Value</t>
        </is>
      </c>
      <c r="W783" s="30" t="inlineStr">
        <is>
          <t xml:space="preserve">$1,000</t>
        </is>
      </c>
      <c r="X783" s="32" t="inlineStr">
        <is>
          <t xml:space="preserve">$1,000,000 CSL</t>
        </is>
      </c>
      <c r="Y783" s="30"/>
      <c r="Z783" s="30"/>
      <c r="AA783" s="32" t="inlineStr">
        <is>
          <t xml:space="preserve">Surplus Lines</t>
        </is>
      </c>
      <c r="AB783" s="35">
        <v>8133.54</v>
      </c>
      <c r="AC783" s="37">
        <v>0</v>
      </c>
      <c r="AD783" s="38">
        <f>IF(ISNUMBER($AB783),$AB783*(1+N($AC783)),"")</f>
      </c>
      <c r="AE783" s="35">
        <v>350</v>
      </c>
      <c r="AF783" s="35">
        <v>0</v>
      </c>
      <c r="AG783" s="37"/>
      <c r="AH783" s="39">
        <f>IF(ISNUMBER($AD783),($AD783+$AE783+$AF783)*$AG783,"")</f>
      </c>
      <c r="AI783" s="35"/>
      <c r="AJ783" s="38">
        <f>IF(ISNUMBER($AD783),SUM($AD783:$AH783),"")</f>
      </c>
      <c r="AK783" s="40">
        <f>IF(AND(ISNUMBER($AB783),ISNUMBER($AD783)),IF($AB783&gt;0,$AD783/$AB783,""),"")</f>
      </c>
      <c r="AL783" s="32" t="inlineStr">
        <is>
          <t xml:space="preserve">At technical</t>
        </is>
      </c>
      <c r="AM783" s="41">
        <f>IF(ISNUMBER($AD783),Header!$I$3,"")</f>
      </c>
      <c r="AN783" s="39">
        <f>IF(ISNUMBER($AD783),$AO783+$AP783,"")</f>
      </c>
      <c r="AO783" s="39">
        <f>IF(ISNUMBER($AD783),ROUND($AD783*Header!$K$3,2),"")</f>
      </c>
      <c r="AP783" s="39">
        <f>IF(ISNUMBER($AD783),ROUND($AD783*Header!$M$3,2),"")</f>
      </c>
      <c r="AQ783" s="38">
        <f>IF(ISNUMBER($AD783),ROUND($AD783,2)-$AO783-$AP783,"")</f>
      </c>
      <c r="AR783" s="39">
        <f>IF(ISNUMBER($AD783),IF(Header!$D$34="","?",$AD783*Header!$D$34),"")</f>
      </c>
      <c r="AS783" s="39">
        <f>IF(ISNUMBER($AB783),IF(Header!$D$34="","?",$AB783*Header!$D$34),"")</f>
      </c>
      <c r="AT783" s="42">
        <f>IF(AND(ISNUMBER($AB783),$M783&gt;0),$AB783/$M783*100,"")</f>
      </c>
      <c r="AU783" s="42">
        <f>IF(AND(ISNUMBER($AD783),$M783&gt;0),$AD783/$M783*100,"")</f>
      </c>
      <c r="AV783" s="40">
        <f>IF(AND(ISNUMBER($AB783),ISNUMBER($AD783),ABS($AB783)&gt;0),$AD783/$AB783,"")</f>
      </c>
      <c r="AW783" s="39">
        <f>IF(ISNUMBER($AD783),MAX(0,(1-0.55-Header!$O$3)*Header!$Q$3*$AQ783),"")</f>
      </c>
      <c r="AX783" s="43">
        <f>IF($A783="","",IF(TRIM(IF($A783="","Missing certificate ref. ","") &amp; IF($C783="","Missing effective date. ","") &amp; IF($D783="","Missing binding status. ","") &amp; IF($E783="","Missing movement type. ","") &amp; IF($I783="","Missing make. ","") &amp; IF($L783="","Missing vehicle class. ","") &amp; IF($M783="","Missing agreed value. ","") &amp; IF($N783="","Missing policy type. ","") &amp; IF($Q783="","Missing garaging state. ","") &amp; IF($R783="","Missing garaging ZIP. ","") &amp; IF($S783="","Missing cat zone. ","") &amp; IF($V783="","Missing valuation basis. ","") &amp; IF($W783="","Missing PD deductible. ","") &amp; IF($X783="","Missing liability limit. ","") &amp; IF($AB783="","Missing technical premium. ","") &amp; IF($AF783="","Missing surplus lines tax %. ",""))="","PASS","FAIL: "&amp;TRIM(IF($A783="","Missing certificate ref. ","") &amp; IF($C783="","Missing effective date. ","") &amp; IF($D783="","Missing binding status. ","") &amp; IF($E783="","Missing movement type. ","") &amp; IF($I783="","Missing make. ","") &amp; IF($L783="","Missing vehicle class. ","") &amp; IF($M783="","Missing agreed value. ","") &amp; IF($N783="","Missing policy type. ","") &amp; IF($Q783="","Missing garaging state. ","") &amp; IF($R783="","Missing garaging ZIP. ","") &amp; IF($S783="","Missing cat zone. ","") &amp; IF($V783="","Missing valuation basis. ","") &amp; IF($W783="","Missing PD deductible. ","") &amp; IF($X783="","Missing liability limit. ","") &amp; IF($AB783="","Missing technical premium. ","") &amp; IF($AF783="","Missing surplus lines tax %. ",""))))</f>
      </c>
      <c r="AY783" s="44">
        <f>IF($M783="","",IF(ISNUMBER($M783),IF($M783&gt;=Header!$C$18,"YES — refer","No"),""))</f>
      </c>
      <c r="AZ783" s="44">
        <f>IF($AD783="","",IF(ISNUMBER($AD783),IF($AD783&lt;Header!$C$20,"BELOW MIN PREMIUM","OK"),""))</f>
      </c>
      <c r="BA783" s="32" t="inlineStr">
        <is>
          <t xml:space="preserve">Yes</t>
        </is>
      </c>
      <c r="BB783" s="32" t="inlineStr">
        <is>
          <t xml:space="preserve">Yes</t>
        </is>
      </c>
      <c r="BC783" s="30" t="inlineStr">
        <is>
          <t xml:space="preserve">Synthetic demo data</t>
        </is>
      </c>
      <c r="BE783" s="45">
        <f>IF(OR($A783="",$L783="",$H783=""),"",IF(AND(LEFT($L783,2)="06",$H783&gt;1945),"FAIL - pre-war class, year "&amp;$H783,IF(AND(LEFT($L783,2)="07",OR($H783&lt;1946,$H783&gt;1972)),"FAIL - 1946-72 class, year "&amp;$H783,IF(AND(LEFT($L783,2)="08",OR($H783&lt;1973,$H783&gt;1999)),"FAIL - 1973-99 class, year "&amp;$H783,IF(AND(LEFT($L783,2)="09",OR($H783&lt;2000,$H783&gt;2010)),"FAIL - 2000-10 class, year "&amp;$H783,"OK")))))</f>
      </c>
      <c r="BF783" s="45">
        <f>IF($AD783="","",IF(ROUND($AO783+$AP783+$AQ783-$AD783,2)=0,"OK","FAIL - out by "&amp;TEXT($AO783+$AP783+$AQ783-$AD783,"$0.00")))</f>
      </c>
    </row>
    <row r="784" spans="1:58" ht="18.75" customHeight="1" x14ac:dyDescent="0.25">
      <c r="A784" s="46" t="inlineStr">
        <is>
          <t xml:space="preserve">CANON-202606-009478</t>
        </is>
      </c>
      <c r="B784" s="46" t="inlineStr">
        <is>
          <t xml:space="preserve">Anouk Castellanos</t>
        </is>
      </c>
      <c r="C784" s="47">
        <v>46203</v>
      </c>
      <c r="D784" s="48" t="inlineStr">
        <is>
          <t xml:space="preserve">Bound - within authority</t>
        </is>
      </c>
      <c r="E784" s="48" t="inlineStr">
        <is>
          <t xml:space="preserve">New business</t>
        </is>
      </c>
      <c r="F784" s="46" t="inlineStr">
        <is>
          <t xml:space="preserve">B1234EXOTIC26</t>
        </is>
      </c>
      <c r="G784" s="33">
        <f>IF($A784="","",IF($C784="","",YEAR($C784)))</f>
      </c>
      <c r="H784" s="49">
        <v>1969</v>
      </c>
      <c r="I784" s="46" t="inlineStr">
        <is>
          <t xml:space="preserve">Bentley</t>
        </is>
      </c>
      <c r="J784" s="46" t="inlineStr">
        <is>
          <t xml:space="preserve">Continental GT</t>
        </is>
      </c>
      <c r="K784" s="46" t="inlineStr">
        <is>
          <t xml:space="preserve">TCJFHZ0U25TWLY9M6</t>
        </is>
      </c>
      <c r="L784" s="48" t="inlineStr">
        <is>
          <t xml:space="preserve">02 - Sports / GT</t>
        </is>
      </c>
      <c r="M784" s="50">
        <v>380000</v>
      </c>
      <c r="N784" s="48" t="inlineStr">
        <is>
          <t xml:space="preserve">Personal</t>
        </is>
      </c>
      <c r="O784" s="46" t="inlineStr">
        <is>
          <t xml:space="preserve">Personal - regular use</t>
        </is>
      </c>
      <c r="P784" s="46" t="inlineStr">
        <is>
          <t xml:space="preserve">1,000 - 2,500</t>
        </is>
      </c>
      <c r="Q784" s="46" t="inlineStr">
        <is>
          <t xml:space="preserve">New Mexico</t>
        </is>
      </c>
      <c r="R784" s="46" t="inlineStr">
        <is>
          <t xml:space="preserve">87501</t>
        </is>
      </c>
      <c r="S784" s="48" t="inlineStr">
        <is>
          <t xml:space="preserve">Wildfire - WUI high hazard</t>
        </is>
      </c>
      <c r="T784" s="36">
        <f>IF($A784="","",IF($S784="","",IFERROR(INDEX('[1]natural catastrophe'!$D$6:$D$17,MATCH($S784,'[1]natural catastrophe'!$B$6:$B$17,0)),"?")))</f>
      </c>
      <c r="U784" s="46" t="inlineStr">
        <is>
          <t xml:space="preserve">$5,000</t>
        </is>
      </c>
      <c r="V784" s="48" t="inlineStr">
        <is>
          <t xml:space="preserve">Agreed Value</t>
        </is>
      </c>
      <c r="W784" s="46" t="inlineStr">
        <is>
          <t xml:space="preserve">$1,000</t>
        </is>
      </c>
      <c r="X784" s="48" t="inlineStr">
        <is>
          <t xml:space="preserve">$1,000,000 CSL</t>
        </is>
      </c>
      <c r="Y784" s="46"/>
      <c r="Z784" s="46"/>
      <c r="AA784" s="48" t="inlineStr">
        <is>
          <t xml:space="preserve">Surplus Lines</t>
        </is>
      </c>
      <c r="AB784" s="50">
        <v>5264.13</v>
      </c>
      <c r="AC784" s="51">
        <v>0</v>
      </c>
      <c r="AD784" s="38">
        <f>IF(ISNUMBER($AB784),$AB784*(1+N($AC784)),"")</f>
      </c>
      <c r="AE784" s="50">
        <v>350</v>
      </c>
      <c r="AF784" s="50">
        <v>0</v>
      </c>
      <c r="AG784" s="51"/>
      <c r="AH784" s="39">
        <f>IF(ISNUMBER($AD784),($AD784+$AE784+$AF784)*$AG784,"")</f>
      </c>
      <c r="AI784" s="50"/>
      <c r="AJ784" s="38">
        <f>IF(ISNUMBER($AD784),SUM($AD784:$AH784),"")</f>
      </c>
      <c r="AK784" s="40">
        <f>IF(AND(ISNUMBER($AB784),ISNUMBER($AD784)),IF($AB784&gt;0,$AD784/$AB784,""),"")</f>
      </c>
      <c r="AL784" s="48" t="inlineStr">
        <is>
          <t xml:space="preserve">At technical</t>
        </is>
      </c>
      <c r="AM784" s="41">
        <f>IF(ISNUMBER($AD784),Header!$I$3,"")</f>
      </c>
      <c r="AN784" s="39">
        <f>IF(ISNUMBER($AD784),$AO784+$AP784,"")</f>
      </c>
      <c r="AO784" s="39">
        <f>IF(ISNUMBER($AD784),ROUND($AD784*Header!$K$3,2),"")</f>
      </c>
      <c r="AP784" s="39">
        <f>IF(ISNUMBER($AD784),ROUND($AD784*Header!$M$3,2),"")</f>
      </c>
      <c r="AQ784" s="38">
        <f>IF(ISNUMBER($AD784),ROUND($AD784,2)-$AO784-$AP784,"")</f>
      </c>
      <c r="AR784" s="39">
        <f>IF(ISNUMBER($AD784),IF(Header!$D$34="","?",$AD784*Header!$D$34),"")</f>
      </c>
      <c r="AS784" s="39">
        <f>IF(ISNUMBER($AB784),IF(Header!$D$34="","?",$AB784*Header!$D$34),"")</f>
      </c>
      <c r="AT784" s="42">
        <f>IF(AND(ISNUMBER($AB784),$M784&gt;0),$AB784/$M784*100,"")</f>
      </c>
      <c r="AU784" s="42">
        <f>IF(AND(ISNUMBER($AD784),$M784&gt;0),$AD784/$M784*100,"")</f>
      </c>
      <c r="AV784" s="40">
        <f>IF(AND(ISNUMBER($AB784),ISNUMBER($AD784),ABS($AB784)&gt;0),$AD784/$AB784,"")</f>
      </c>
      <c r="AW784" s="39">
        <f>IF(ISNUMBER($AD784),MAX(0,(1-0.55-Header!$O$3)*Header!$Q$3*$AQ784),"")</f>
      </c>
      <c r="AX784" s="43">
        <f>IF($A784="","",IF(TRIM(IF($A784="","Missing certificate ref. ","") &amp; IF($C784="","Missing effective date. ","") &amp; IF($D784="","Missing binding status. ","") &amp; IF($E784="","Missing movement type. ","") &amp; IF($I784="","Missing make. ","") &amp; IF($L784="","Missing vehicle class. ","") &amp; IF($M784="","Missing agreed value. ","") &amp; IF($N784="","Missing policy type. ","") &amp; IF($Q784="","Missing garaging state. ","") &amp; IF($R784="","Missing garaging ZIP. ","") &amp; IF($S784="","Missing cat zone. ","") &amp; IF($V784="","Missing valuation basis. ","") &amp; IF($W784="","Missing PD deductible. ","") &amp; IF($X784="","Missing liability limit. ","") &amp; IF($AB784="","Missing technical premium. ","") &amp; IF($AF784="","Missing surplus lines tax %. ",""))="","PASS","FAIL: "&amp;TRIM(IF($A784="","Missing certificate ref. ","") &amp; IF($C784="","Missing effective date. ","") &amp; IF($D784="","Missing binding status. ","") &amp; IF($E784="","Missing movement type. ","") &amp; IF($I784="","Missing make. ","") &amp; IF($L784="","Missing vehicle class. ","") &amp; IF($M784="","Missing agreed value. ","") &amp; IF($N784="","Missing policy type. ","") &amp; IF($Q784="","Missing garaging state. ","") &amp; IF($R784="","Missing garaging ZIP. ","") &amp; IF($S784="","Missing cat zone. ","") &amp; IF($V784="","Missing valuation basis. ","") &amp; IF($W784="","Missing PD deductible. ","") &amp; IF($X784="","Missing liability limit. ","") &amp; IF($AB784="","Missing technical premium. ","") &amp; IF($AF784="","Missing surplus lines tax %. ",""))))</f>
      </c>
      <c r="AY784" s="44">
        <f>IF($M784="","",IF(ISNUMBER($M784),IF($M784&gt;=Header!$C$18,"YES — refer","No"),""))</f>
      </c>
      <c r="AZ784" s="44">
        <f>IF($AD784="","",IF(ISNUMBER($AD784),IF($AD784&lt;Header!$C$20,"BELOW MIN PREMIUM","OK"),""))</f>
      </c>
      <c r="BA784" s="48" t="inlineStr">
        <is>
          <t xml:space="preserve">Yes</t>
        </is>
      </c>
      <c r="BB784" s="48" t="inlineStr">
        <is>
          <t xml:space="preserve">Yes</t>
        </is>
      </c>
      <c r="BC784" s="46" t="inlineStr">
        <is>
          <t xml:space="preserve">Synthetic demo data</t>
        </is>
      </c>
      <c r="BE784" s="45">
        <f>IF(OR($A784="",$L784="",$H784=""),"",IF(AND(LEFT($L784,2)="06",$H784&gt;1945),"FAIL - pre-war class, year "&amp;$H784,IF(AND(LEFT($L784,2)="07",OR($H784&lt;1946,$H784&gt;1972)),"FAIL - 1946-72 class, year "&amp;$H784,IF(AND(LEFT($L784,2)="08",OR($H784&lt;1973,$H784&gt;1999)),"FAIL - 1973-99 class, year "&amp;$H784,IF(AND(LEFT($L784,2)="09",OR($H784&lt;2000,$H784&gt;2010)),"FAIL - 2000-10 class, year "&amp;$H784,"OK")))))</f>
      </c>
      <c r="BF784" s="45">
        <f>IF($AD784="","",IF(ROUND($AO784+$AP784+$AQ784-$AD784,2)=0,"OK","FAIL - out by "&amp;TEXT($AO784+$AP784+$AQ784-$AD784,"$0.00")))</f>
      </c>
    </row>
    <row r="785" spans="1:58" ht="18.75" customHeight="1" x14ac:dyDescent="0.25">
      <c r="A785" s="30" t="inlineStr">
        <is>
          <t xml:space="preserve">CANON-202606-009479</t>
        </is>
      </c>
      <c r="B785" s="30" t="inlineStr">
        <is>
          <t xml:space="preserve">Everett Farkas</t>
        </is>
      </c>
      <c r="C785" s="31">
        <v>46193</v>
      </c>
      <c r="D785" s="32" t="inlineStr">
        <is>
          <t xml:space="preserve">Bound - within authority</t>
        </is>
      </c>
      <c r="E785" s="32" t="inlineStr">
        <is>
          <t xml:space="preserve">New business</t>
        </is>
      </c>
      <c r="F785" s="30" t="inlineStr">
        <is>
          <t xml:space="preserve">B1234EXOTIC26</t>
        </is>
      </c>
      <c r="G785" s="33">
        <f>IF($A785="","",IF($C785="","",YEAR($C785)))</f>
      </c>
      <c r="H785" s="34">
        <v>1976</v>
      </c>
      <c r="I785" s="30" t="inlineStr">
        <is>
          <t xml:space="preserve">Ferrari</t>
        </is>
      </c>
      <c r="J785" s="30" t="inlineStr">
        <is>
          <t xml:space="preserve">SF90 Stradale</t>
        </is>
      </c>
      <c r="K785" s="30" t="inlineStr">
        <is>
          <t xml:space="preserve">SY5VMGBFM20ZW5B1B</t>
        </is>
      </c>
      <c r="L785" s="32" t="inlineStr">
        <is>
          <t xml:space="preserve">03 - Supercar</t>
        </is>
      </c>
      <c r="M785" s="35">
        <v>785000</v>
      </c>
      <c r="N785" s="32" t="inlineStr">
        <is>
          <t xml:space="preserve">Personal</t>
        </is>
      </c>
      <c r="O785" s="30" t="inlineStr">
        <is>
          <t xml:space="preserve">Personal - regular use</t>
        </is>
      </c>
      <c r="P785" s="30" t="inlineStr">
        <is>
          <t xml:space="preserve">1,000 - 2,500</t>
        </is>
      </c>
      <c r="Q785" s="30" t="inlineStr">
        <is>
          <t xml:space="preserve">Maine</t>
        </is>
      </c>
      <c r="R785" s="30" t="inlineStr">
        <is>
          <t xml:space="preserve">04101</t>
        </is>
      </c>
      <c r="S785" s="32" t="inlineStr">
        <is>
          <t xml:space="preserve">Tier 3 - Coastal wind (25-100 miles)</t>
        </is>
      </c>
      <c r="T785" s="36">
        <f>IF($A785="","",IF($S785="","",IFERROR(INDEX('[1]natural catastrophe'!$D$6:$D$17,MATCH($S785,'[1]natural catastrophe'!$B$6:$B$17,0)),"?")))</f>
      </c>
      <c r="U785" s="30" t="inlineStr">
        <is>
          <t xml:space="preserve">2% of agreed value, minimum $10,000</t>
        </is>
      </c>
      <c r="V785" s="32" t="inlineStr">
        <is>
          <t xml:space="preserve">Agreed Value</t>
        </is>
      </c>
      <c r="W785" s="30" t="inlineStr">
        <is>
          <t xml:space="preserve">$1,000</t>
        </is>
      </c>
      <c r="X785" s="32" t="inlineStr">
        <is>
          <t xml:space="preserve">$1,000,000 CSL</t>
        </is>
      </c>
      <c r="Y785" s="30"/>
      <c r="Z785" s="30"/>
      <c r="AA785" s="32" t="inlineStr">
        <is>
          <t xml:space="preserve">Surplus Lines</t>
        </is>
      </c>
      <c r="AB785" s="35">
        <v>11622.22</v>
      </c>
      <c r="AC785" s="37">
        <v>0</v>
      </c>
      <c r="AD785" s="38">
        <f>IF(ISNUMBER($AB785),$AB785*(1+N($AC785)),"")</f>
      </c>
      <c r="AE785" s="35">
        <v>350</v>
      </c>
      <c r="AF785" s="35">
        <v>0</v>
      </c>
      <c r="AG785" s="37"/>
      <c r="AH785" s="39">
        <f>IF(ISNUMBER($AD785),($AD785+$AE785+$AF785)*$AG785,"")</f>
      </c>
      <c r="AI785" s="35"/>
      <c r="AJ785" s="38">
        <f>IF(ISNUMBER($AD785),SUM($AD785:$AH785),"")</f>
      </c>
      <c r="AK785" s="40">
        <f>IF(AND(ISNUMBER($AB785),ISNUMBER($AD785)),IF($AB785&gt;0,$AD785/$AB785,""),"")</f>
      </c>
      <c r="AL785" s="32" t="inlineStr">
        <is>
          <t xml:space="preserve">At technical</t>
        </is>
      </c>
      <c r="AM785" s="41">
        <f>IF(ISNUMBER($AD785),Header!$I$3,"")</f>
      </c>
      <c r="AN785" s="39">
        <f>IF(ISNUMBER($AD785),$AO785+$AP785,"")</f>
      </c>
      <c r="AO785" s="39">
        <f>IF(ISNUMBER($AD785),ROUND($AD785*Header!$K$3,2),"")</f>
      </c>
      <c r="AP785" s="39">
        <f>IF(ISNUMBER($AD785),ROUND($AD785*Header!$M$3,2),"")</f>
      </c>
      <c r="AQ785" s="38">
        <f>IF(ISNUMBER($AD785),ROUND($AD785,2)-$AO785-$AP785,"")</f>
      </c>
      <c r="AR785" s="39">
        <f>IF(ISNUMBER($AD785),IF(Header!$D$34="","?",$AD785*Header!$D$34),"")</f>
      </c>
      <c r="AS785" s="39">
        <f>IF(ISNUMBER($AB785),IF(Header!$D$34="","?",$AB785*Header!$D$34),"")</f>
      </c>
      <c r="AT785" s="42">
        <f>IF(AND(ISNUMBER($AB785),$M785&gt;0),$AB785/$M785*100,"")</f>
      </c>
      <c r="AU785" s="42">
        <f>IF(AND(ISNUMBER($AD785),$M785&gt;0),$AD785/$M785*100,"")</f>
      </c>
      <c r="AV785" s="40">
        <f>IF(AND(ISNUMBER($AB785),ISNUMBER($AD785),ABS($AB785)&gt;0),$AD785/$AB785,"")</f>
      </c>
      <c r="AW785" s="39">
        <f>IF(ISNUMBER($AD785),MAX(0,(1-0.55-Header!$O$3)*Header!$Q$3*$AQ785),"")</f>
      </c>
      <c r="AX785" s="43">
        <f>IF($A785="","",IF(TRIM(IF($A785="","Missing certificate ref. ","") &amp; IF($C785="","Missing effective date. ","") &amp; IF($D785="","Missing binding status. ","") &amp; IF($E785="","Missing movement type. ","") &amp; IF($I785="","Missing make. ","") &amp; IF($L785="","Missing vehicle class. ","") &amp; IF($M785="","Missing agreed value. ","") &amp; IF($N785="","Missing policy type. ","") &amp; IF($Q785="","Missing garaging state. ","") &amp; IF($R785="","Missing garaging ZIP. ","") &amp; IF($S785="","Missing cat zone. ","") &amp; IF($V785="","Missing valuation basis. ","") &amp; IF($W785="","Missing PD deductible. ","") &amp; IF($X785="","Missing liability limit. ","") &amp; IF($AB785="","Missing technical premium. ","") &amp; IF($AF785="","Missing surplus lines tax %. ",""))="","PASS","FAIL: "&amp;TRIM(IF($A785="","Missing certificate ref. ","") &amp; IF($C785="","Missing effective date. ","") &amp; IF($D785="","Missing binding status. ","") &amp; IF($E785="","Missing movement type. ","") &amp; IF($I785="","Missing make. ","") &amp; IF($L785="","Missing vehicle class. ","") &amp; IF($M785="","Missing agreed value. ","") &amp; IF($N785="","Missing policy type. ","") &amp; IF($Q785="","Missing garaging state. ","") &amp; IF($R785="","Missing garaging ZIP. ","") &amp; IF($S785="","Missing cat zone. ","") &amp; IF($V785="","Missing valuation basis. ","") &amp; IF($W785="","Missing PD deductible. ","") &amp; IF($X785="","Missing liability limit. ","") &amp; IF($AB785="","Missing technical premium. ","") &amp; IF($AF785="","Missing surplus lines tax %. ",""))))</f>
      </c>
      <c r="AY785" s="44">
        <f>IF($M785="","",IF(ISNUMBER($M785),IF($M785&gt;=Header!$C$18,"YES — refer","No"),""))</f>
      </c>
      <c r="AZ785" s="44">
        <f>IF($AD785="","",IF(ISNUMBER($AD785),IF($AD785&lt;Header!$C$20,"BELOW MIN PREMIUM","OK"),""))</f>
      </c>
      <c r="BA785" s="32" t="inlineStr">
        <is>
          <t xml:space="preserve">Yes</t>
        </is>
      </c>
      <c r="BB785" s="32" t="inlineStr">
        <is>
          <t xml:space="preserve">Yes</t>
        </is>
      </c>
      <c r="BC785" s="30" t="inlineStr">
        <is>
          <t xml:space="preserve">Synthetic demo data</t>
        </is>
      </c>
      <c r="BE785" s="45">
        <f>IF(OR($A785="",$L785="",$H785=""),"",IF(AND(LEFT($L785,2)="06",$H785&gt;1945),"FAIL - pre-war class, year "&amp;$H785,IF(AND(LEFT($L785,2)="07",OR($H785&lt;1946,$H785&gt;1972)),"FAIL - 1946-72 class, year "&amp;$H785,IF(AND(LEFT($L785,2)="08",OR($H785&lt;1973,$H785&gt;1999)),"FAIL - 1973-99 class, year "&amp;$H785,IF(AND(LEFT($L785,2)="09",OR($H785&lt;2000,$H785&gt;2010)),"FAIL - 2000-10 class, year "&amp;$H785,"OK")))))</f>
      </c>
      <c r="BF785" s="45">
        <f>IF($AD785="","",IF(ROUND($AO785+$AP785+$AQ785-$AD785,2)=0,"OK","FAIL - out by "&amp;TEXT($AO785+$AP785+$AQ785-$AD785,"$0.00")))</f>
      </c>
    </row>
    <row r="786" spans="1:58" ht="18.75" customHeight="1" x14ac:dyDescent="0.25">
      <c r="A786" s="46" t="inlineStr">
        <is>
          <t xml:space="preserve">CANON-202606-009480</t>
        </is>
      </c>
      <c r="B786" s="46" t="inlineStr">
        <is>
          <t xml:space="preserve">Delphine Merriweather</t>
        </is>
      </c>
      <c r="C786" s="47">
        <v>46189</v>
      </c>
      <c r="D786" s="48" t="inlineStr">
        <is>
          <t xml:space="preserve">Bound - within authority</t>
        </is>
      </c>
      <c r="E786" s="48" t="inlineStr">
        <is>
          <t xml:space="preserve">New business</t>
        </is>
      </c>
      <c r="F786" s="46" t="inlineStr">
        <is>
          <t xml:space="preserve">B1234EXOTIC26</t>
        </is>
      </c>
      <c r="G786" s="33">
        <f>IF($A786="","",IF($C786="","",YEAR($C786)))</f>
      </c>
      <c r="H786" s="49">
        <v>1976</v>
      </c>
      <c r="I786" s="46" t="inlineStr">
        <is>
          <t xml:space="preserve">Maserati</t>
        </is>
      </c>
      <c r="J786" s="46" t="inlineStr">
        <is>
          <t xml:space="preserve">GranTurismo</t>
        </is>
      </c>
      <c r="K786" s="46" t="inlineStr">
        <is>
          <t xml:space="preserve">23518M0VZ8722KAS0</t>
        </is>
      </c>
      <c r="L786" s="48" t="inlineStr">
        <is>
          <t xml:space="preserve">02 - Sports / GT</t>
        </is>
      </c>
      <c r="M786" s="50">
        <v>305000</v>
      </c>
      <c r="N786" s="48" t="inlineStr">
        <is>
          <t xml:space="preserve">Personal</t>
        </is>
      </c>
      <c r="O786" s="46" t="inlineStr">
        <is>
          <t xml:space="preserve">Personal - regular use</t>
        </is>
      </c>
      <c r="P786" s="46" t="inlineStr">
        <is>
          <t xml:space="preserve">Under 1,000</t>
        </is>
      </c>
      <c r="Q786" s="46" t="inlineStr">
        <is>
          <t xml:space="preserve">Virginia</t>
        </is>
      </c>
      <c r="R786" s="46" t="inlineStr">
        <is>
          <t xml:space="preserve">23219</t>
        </is>
      </c>
      <c r="S786" s="48" t="inlineStr">
        <is>
          <t xml:space="preserve">Tier 3 - Coastal wind (25-100 miles)</t>
        </is>
      </c>
      <c r="T786" s="36">
        <f>IF($A786="","",IF($S786="","",IFERROR(INDEX('[1]natural catastrophe'!$D$6:$D$17,MATCH($S786,'[1]natural catastrophe'!$B$6:$B$17,0)),"?")))</f>
      </c>
      <c r="U786" s="46" t="inlineStr">
        <is>
          <t xml:space="preserve">2% of agreed value, minimum $10,000</t>
        </is>
      </c>
      <c r="V786" s="48" t="inlineStr">
        <is>
          <t xml:space="preserve">Agreed Value</t>
        </is>
      </c>
      <c r="W786" s="46" t="inlineStr">
        <is>
          <t xml:space="preserve">$1,000</t>
        </is>
      </c>
      <c r="X786" s="48" t="inlineStr">
        <is>
          <t xml:space="preserve">$1,000,000 CSL</t>
        </is>
      </c>
      <c r="Y786" s="46"/>
      <c r="Z786" s="46"/>
      <c r="AA786" s="48" t="inlineStr">
        <is>
          <t xml:space="preserve">Surplus Lines</t>
        </is>
      </c>
      <c r="AB786" s="50">
        <v>3597.99</v>
      </c>
      <c r="AC786" s="51">
        <v>0</v>
      </c>
      <c r="AD786" s="38">
        <f>IF(ISNUMBER($AB786),$AB786*(1+N($AC786)),"")</f>
      </c>
      <c r="AE786" s="50">
        <v>350</v>
      </c>
      <c r="AF786" s="50">
        <v>0</v>
      </c>
      <c r="AG786" s="51"/>
      <c r="AH786" s="39">
        <f>IF(ISNUMBER($AD786),($AD786+$AE786+$AF786)*$AG786,"")</f>
      </c>
      <c r="AI786" s="50"/>
      <c r="AJ786" s="38">
        <f>IF(ISNUMBER($AD786),SUM($AD786:$AH786),"")</f>
      </c>
      <c r="AK786" s="40">
        <f>IF(AND(ISNUMBER($AB786),ISNUMBER($AD786)),IF($AB786&gt;0,$AD786/$AB786,""),"")</f>
      </c>
      <c r="AL786" s="48" t="inlineStr">
        <is>
          <t xml:space="preserve">At technical</t>
        </is>
      </c>
      <c r="AM786" s="41">
        <f>IF(ISNUMBER($AD786),Header!$I$3,"")</f>
      </c>
      <c r="AN786" s="39">
        <f>IF(ISNUMBER($AD786),$AO786+$AP786,"")</f>
      </c>
      <c r="AO786" s="39">
        <f>IF(ISNUMBER($AD786),ROUND($AD786*Header!$K$3,2),"")</f>
      </c>
      <c r="AP786" s="39">
        <f>IF(ISNUMBER($AD786),ROUND($AD786*Header!$M$3,2),"")</f>
      </c>
      <c r="AQ786" s="38">
        <f>IF(ISNUMBER($AD786),ROUND($AD786,2)-$AO786-$AP786,"")</f>
      </c>
      <c r="AR786" s="39">
        <f>IF(ISNUMBER($AD786),IF(Header!$D$34="","?",$AD786*Header!$D$34),"")</f>
      </c>
      <c r="AS786" s="39">
        <f>IF(ISNUMBER($AB786),IF(Header!$D$34="","?",$AB786*Header!$D$34),"")</f>
      </c>
      <c r="AT786" s="42">
        <f>IF(AND(ISNUMBER($AB786),$M786&gt;0),$AB786/$M786*100,"")</f>
      </c>
      <c r="AU786" s="42">
        <f>IF(AND(ISNUMBER($AD786),$M786&gt;0),$AD786/$M786*100,"")</f>
      </c>
      <c r="AV786" s="40">
        <f>IF(AND(ISNUMBER($AB786),ISNUMBER($AD786),ABS($AB786)&gt;0),$AD786/$AB786,"")</f>
      </c>
      <c r="AW786" s="39">
        <f>IF(ISNUMBER($AD786),MAX(0,(1-0.55-Header!$O$3)*Header!$Q$3*$AQ786),"")</f>
      </c>
      <c r="AX786" s="43">
        <f>IF($A786="","",IF(TRIM(IF($A786="","Missing certificate ref. ","") &amp; IF($C786="","Missing effective date. ","") &amp; IF($D786="","Missing binding status. ","") &amp; IF($E786="","Missing movement type. ","") &amp; IF($I786="","Missing make. ","") &amp; IF($L786="","Missing vehicle class. ","") &amp; IF($M786="","Missing agreed value. ","") &amp; IF($N786="","Missing policy type. ","") &amp; IF($Q786="","Missing garaging state. ","") &amp; IF($R786="","Missing garaging ZIP. ","") &amp; IF($S786="","Missing cat zone. ","") &amp; IF($V786="","Missing valuation basis. ","") &amp; IF($W786="","Missing PD deductible. ","") &amp; IF($X786="","Missing liability limit. ","") &amp; IF($AB786="","Missing technical premium. ","") &amp; IF($AF786="","Missing surplus lines tax %. ",""))="","PASS","FAIL: "&amp;TRIM(IF($A786="","Missing certificate ref. ","") &amp; IF($C786="","Missing effective date. ","") &amp; IF($D786="","Missing binding status. ","") &amp; IF($E786="","Missing movement type. ","") &amp; IF($I786="","Missing make. ","") &amp; IF($L786="","Missing vehicle class. ","") &amp; IF($M786="","Missing agreed value. ","") &amp; IF($N786="","Missing policy type. ","") &amp; IF($Q786="","Missing garaging state. ","") &amp; IF($R786="","Missing garaging ZIP. ","") &amp; IF($S786="","Missing cat zone. ","") &amp; IF($V786="","Missing valuation basis. ","") &amp; IF($W786="","Missing PD deductible. ","") &amp; IF($X786="","Missing liability limit. ","") &amp; IF($AB786="","Missing technical premium. ","") &amp; IF($AF786="","Missing surplus lines tax %. ",""))))</f>
      </c>
      <c r="AY786" s="44">
        <f>IF($M786="","",IF(ISNUMBER($M786),IF($M786&gt;=Header!$C$18,"YES — refer","No"),""))</f>
      </c>
      <c r="AZ786" s="44">
        <f>IF($AD786="","",IF(ISNUMBER($AD786),IF($AD786&lt;Header!$C$20,"BELOW MIN PREMIUM","OK"),""))</f>
      </c>
      <c r="BA786" s="48" t="inlineStr">
        <is>
          <t xml:space="preserve">Yes</t>
        </is>
      </c>
      <c r="BB786" s="48" t="inlineStr">
        <is>
          <t xml:space="preserve">Yes</t>
        </is>
      </c>
      <c r="BC786" s="46" t="inlineStr">
        <is>
          <t xml:space="preserve">Synthetic demo data</t>
        </is>
      </c>
      <c r="BE786" s="45">
        <f>IF(OR($A786="",$L786="",$H786=""),"",IF(AND(LEFT($L786,2)="06",$H786&gt;1945),"FAIL - pre-war class, year "&amp;$H786,IF(AND(LEFT($L786,2)="07",OR($H786&lt;1946,$H786&gt;1972)),"FAIL - 1946-72 class, year "&amp;$H786,IF(AND(LEFT($L786,2)="08",OR($H786&lt;1973,$H786&gt;1999)),"FAIL - 1973-99 class, year "&amp;$H786,IF(AND(LEFT($L786,2)="09",OR($H786&lt;2000,$H786&gt;2010)),"FAIL - 2000-10 class, year "&amp;$H786,"OK")))))</f>
      </c>
      <c r="BF786" s="45">
        <f>IF($AD786="","",IF(ROUND($AO786+$AP786+$AQ786-$AD786,2)=0,"OK","FAIL - out by "&amp;TEXT($AO786+$AP786+$AQ786-$AD786,"$0.00")))</f>
      </c>
    </row>
    <row r="787" spans="1:58" ht="18.75" customHeight="1" x14ac:dyDescent="0.25">
      <c r="A787" s="30" t="inlineStr">
        <is>
          <t xml:space="preserve">CANON-202606-009482</t>
        </is>
      </c>
      <c r="B787" s="30" t="inlineStr">
        <is>
          <t xml:space="preserve">Noor Pennington</t>
        </is>
      </c>
      <c r="C787" s="31">
        <v>46200</v>
      </c>
      <c r="D787" s="32" t="inlineStr">
        <is>
          <t xml:space="preserve">Bound - within authority</t>
        </is>
      </c>
      <c r="E787" s="32" t="inlineStr">
        <is>
          <t xml:space="preserve">New business</t>
        </is>
      </c>
      <c r="F787" s="30" t="inlineStr">
        <is>
          <t xml:space="preserve">B1234EXOTIC26</t>
        </is>
      </c>
      <c r="G787" s="33">
        <f>IF($A787="","",IF($C787="","",YEAR($C787)))</f>
      </c>
      <c r="H787" s="34">
        <v>2006</v>
      </c>
      <c r="I787" s="30" t="inlineStr">
        <is>
          <t xml:space="preserve">Mercedes-Benz</t>
        </is>
      </c>
      <c r="J787" s="30" t="inlineStr">
        <is>
          <t xml:space="preserve">AMG GT</t>
        </is>
      </c>
      <c r="K787" s="30" t="inlineStr">
        <is>
          <t xml:space="preserve">K2VST68JKMXJ0CXAT</t>
        </is>
      </c>
      <c r="L787" s="32" t="inlineStr">
        <is>
          <t xml:space="preserve">02 - Sports / GT</t>
        </is>
      </c>
      <c r="M787" s="35">
        <v>1950000</v>
      </c>
      <c r="N787" s="32" t="inlineStr">
        <is>
          <t xml:space="preserve">Personal</t>
        </is>
      </c>
      <c r="O787" s="30" t="inlineStr">
        <is>
          <t xml:space="preserve">Personal - regular use</t>
        </is>
      </c>
      <c r="P787" s="30" t="inlineStr">
        <is>
          <t xml:space="preserve">Under 1,000</t>
        </is>
      </c>
      <c r="Q787" s="30" t="inlineStr">
        <is>
          <t xml:space="preserve">California</t>
        </is>
      </c>
      <c r="R787" s="30" t="inlineStr">
        <is>
          <t xml:space="preserve">90012</t>
        </is>
      </c>
      <c r="S787" s="32" t="inlineStr">
        <is>
          <t xml:space="preserve">Earthquake - high (CA, Cascadia, New Madrid)</t>
        </is>
      </c>
      <c r="T787" s="36">
        <f>IF($A787="","",IF($S787="","",IFERROR(INDEX('[1]natural catastrophe'!$D$6:$D$17,MATCH($S787,'[1]natural catastrophe'!$B$6:$B$17,0)),"?")))</f>
      </c>
      <c r="U787" s="30" t="inlineStr">
        <is>
          <t xml:space="preserve">$5,000</t>
        </is>
      </c>
      <c r="V787" s="32" t="inlineStr">
        <is>
          <t xml:space="preserve">Agreed Value</t>
        </is>
      </c>
      <c r="W787" s="30" t="inlineStr">
        <is>
          <t xml:space="preserve">$1,000</t>
        </is>
      </c>
      <c r="X787" s="32" t="inlineStr">
        <is>
          <t xml:space="preserve">$1,000,000 CSL</t>
        </is>
      </c>
      <c r="Y787" s="30"/>
      <c r="Z787" s="30"/>
      <c r="AA787" s="32" t="inlineStr">
        <is>
          <t xml:space="preserve">Surplus Lines</t>
        </is>
      </c>
      <c r="AB787" s="35">
        <v>20893.11</v>
      </c>
      <c r="AC787" s="37">
        <v>0</v>
      </c>
      <c r="AD787" s="38">
        <f>IF(ISNUMBER($AB787),$AB787*(1+N($AC787)),"")</f>
      </c>
      <c r="AE787" s="35">
        <v>350</v>
      </c>
      <c r="AF787" s="35">
        <v>250</v>
      </c>
      <c r="AG787" s="37"/>
      <c r="AH787" s="39">
        <f>IF(ISNUMBER($AD787),($AD787+$AE787+$AF787)*$AG787,"")</f>
      </c>
      <c r="AI787" s="35"/>
      <c r="AJ787" s="38">
        <f>IF(ISNUMBER($AD787),SUM($AD787:$AH787),"")</f>
      </c>
      <c r="AK787" s="40">
        <f>IF(AND(ISNUMBER($AB787),ISNUMBER($AD787)),IF($AB787&gt;0,$AD787/$AB787,""),"")</f>
      </c>
      <c r="AL787" s="32" t="inlineStr">
        <is>
          <t xml:space="preserve">At technical</t>
        </is>
      </c>
      <c r="AM787" s="41">
        <f>IF(ISNUMBER($AD787),Header!$I$3,"")</f>
      </c>
      <c r="AN787" s="39">
        <f>IF(ISNUMBER($AD787),$AO787+$AP787,"")</f>
      </c>
      <c r="AO787" s="39">
        <f>IF(ISNUMBER($AD787),ROUND($AD787*Header!$K$3,2),"")</f>
      </c>
      <c r="AP787" s="39">
        <f>IF(ISNUMBER($AD787),ROUND($AD787*Header!$M$3,2),"")</f>
      </c>
      <c r="AQ787" s="38">
        <f>IF(ISNUMBER($AD787),ROUND($AD787,2)-$AO787-$AP787,"")</f>
      </c>
      <c r="AR787" s="39">
        <f>IF(ISNUMBER($AD787),IF(Header!$D$34="","?",$AD787*Header!$D$34),"")</f>
      </c>
      <c r="AS787" s="39">
        <f>IF(ISNUMBER($AB787),IF(Header!$D$34="","?",$AB787*Header!$D$34),"")</f>
      </c>
      <c r="AT787" s="42">
        <f>IF(AND(ISNUMBER($AB787),$M787&gt;0),$AB787/$M787*100,"")</f>
      </c>
      <c r="AU787" s="42">
        <f>IF(AND(ISNUMBER($AD787),$M787&gt;0),$AD787/$M787*100,"")</f>
      </c>
      <c r="AV787" s="40">
        <f>IF(AND(ISNUMBER($AB787),ISNUMBER($AD787),ABS($AB787)&gt;0),$AD787/$AB787,"")</f>
      </c>
      <c r="AW787" s="39">
        <f>IF(ISNUMBER($AD787),MAX(0,(1-0.55-Header!$O$3)*Header!$Q$3*$AQ787),"")</f>
      </c>
      <c r="AX787" s="43">
        <f>IF($A787="","",IF(TRIM(IF($A787="","Missing certificate ref. ","") &amp; IF($C787="","Missing effective date. ","") &amp; IF($D787="","Missing binding status. ","") &amp; IF($E787="","Missing movement type. ","") &amp; IF($I787="","Missing make. ","") &amp; IF($L787="","Missing vehicle class. ","") &amp; IF($M787="","Missing agreed value. ","") &amp; IF($N787="","Missing policy type. ","") &amp; IF($Q787="","Missing garaging state. ","") &amp; IF($R787="","Missing garaging ZIP. ","") &amp; IF($S787="","Missing cat zone. ","") &amp; IF($V787="","Missing valuation basis. ","") &amp; IF($W787="","Missing PD deductible. ","") &amp; IF($X787="","Missing liability limit. ","") &amp; IF($AB787="","Missing technical premium. ","") &amp; IF($AF787="","Missing surplus lines tax %. ",""))="","PASS","FAIL: "&amp;TRIM(IF($A787="","Missing certificate ref. ","") &amp; IF($C787="","Missing effective date. ","") &amp; IF($D787="","Missing binding status. ","") &amp; IF($E787="","Missing movement type. ","") &amp; IF($I787="","Missing make. ","") &amp; IF($L787="","Missing vehicle class. ","") &amp; IF($M787="","Missing agreed value. ","") &amp; IF($N787="","Missing policy type. ","") &amp; IF($Q787="","Missing garaging state. ","") &amp; IF($R787="","Missing garaging ZIP. ","") &amp; IF($S787="","Missing cat zone. ","") &amp; IF($V787="","Missing valuation basis. ","") &amp; IF($W787="","Missing PD deductible. ","") &amp; IF($X787="","Missing liability limit. ","") &amp; IF($AB787="","Missing technical premium. ","") &amp; IF($AF787="","Missing surplus lines tax %. ",""))))</f>
      </c>
      <c r="AY787" s="44">
        <f>IF($M787="","",IF(ISNUMBER($M787),IF($M787&gt;=Header!$C$18,"YES — refer","No"),""))</f>
      </c>
      <c r="AZ787" s="44">
        <f>IF($AD787="","",IF(ISNUMBER($AD787),IF($AD787&lt;Header!$C$20,"BELOW MIN PREMIUM","OK"),""))</f>
      </c>
      <c r="BA787" s="32" t="inlineStr">
        <is>
          <t xml:space="preserve">Yes</t>
        </is>
      </c>
      <c r="BB787" s="32" t="inlineStr">
        <is>
          <t xml:space="preserve">Yes</t>
        </is>
      </c>
      <c r="BC787" s="30" t="inlineStr">
        <is>
          <t xml:space="preserve">Synthetic demo data</t>
        </is>
      </c>
      <c r="BE787" s="45">
        <f>IF(OR($A787="",$L787="",$H787=""),"",IF(AND(LEFT($L787,2)="06",$H787&gt;1945),"FAIL - pre-war class, year "&amp;$H787,IF(AND(LEFT($L787,2)="07",OR($H787&lt;1946,$H787&gt;1972)),"FAIL - 1946-72 class, year "&amp;$H787,IF(AND(LEFT($L787,2)="08",OR($H787&lt;1973,$H787&gt;1999)),"FAIL - 1973-99 class, year "&amp;$H787,IF(AND(LEFT($L787,2)="09",OR($H787&lt;2000,$H787&gt;2010)),"FAIL - 2000-10 class, year "&amp;$H787,"OK")))))</f>
      </c>
      <c r="BF787" s="45">
        <f>IF($AD787="","",IF(ROUND($AO787+$AP787+$AQ787-$AD787,2)=0,"OK","FAIL - out by "&amp;TEXT($AO787+$AP787+$AQ787-$AD787,"$0.00")))</f>
      </c>
    </row>
    <row r="788" spans="1:58" ht="18.75" customHeight="1" x14ac:dyDescent="0.25">
      <c r="A788" s="46" t="inlineStr">
        <is>
          <t xml:space="preserve">CANON-202606-009483</t>
        </is>
      </c>
      <c r="B788" s="46" t="inlineStr">
        <is>
          <t xml:space="preserve">Saoirse Thistlewood</t>
        </is>
      </c>
      <c r="C788" s="47">
        <v>46189</v>
      </c>
      <c r="D788" s="48" t="inlineStr">
        <is>
          <t xml:space="preserve">Bound - within authority</t>
        </is>
      </c>
      <c r="E788" s="48" t="inlineStr">
        <is>
          <t xml:space="preserve">New business</t>
        </is>
      </c>
      <c r="F788" s="46" t="inlineStr">
        <is>
          <t xml:space="preserve">B1234EXOTIC26</t>
        </is>
      </c>
      <c r="G788" s="33">
        <f>IF($A788="","",IF($C788="","",YEAR($C788)))</f>
      </c>
      <c r="H788" s="49">
        <v>1962</v>
      </c>
      <c r="I788" s="46" t="inlineStr">
        <is>
          <t xml:space="preserve">Bentley</t>
        </is>
      </c>
      <c r="J788" s="46" t="inlineStr">
        <is>
          <t xml:space="preserve">Continental GT</t>
        </is>
      </c>
      <c r="K788" s="46" t="inlineStr">
        <is>
          <t xml:space="preserve">VEEKZFEUWSRBLJPRX</t>
        </is>
      </c>
      <c r="L788" s="48" t="inlineStr">
        <is>
          <t xml:space="preserve">02 - Sports / GT</t>
        </is>
      </c>
      <c r="M788" s="50">
        <v>780000</v>
      </c>
      <c r="N788" s="48" t="inlineStr">
        <is>
          <t xml:space="preserve">Personal</t>
        </is>
      </c>
      <c r="O788" s="46" t="inlineStr">
        <is>
          <t xml:space="preserve">Personal - regular use</t>
        </is>
      </c>
      <c r="P788" s="46" t="inlineStr">
        <is>
          <t xml:space="preserve">Under 1,000</t>
        </is>
      </c>
      <c r="Q788" s="46" t="inlineStr">
        <is>
          <t xml:space="preserve">Massachusetts</t>
        </is>
      </c>
      <c r="R788" s="46" t="inlineStr">
        <is>
          <t xml:space="preserve">02108</t>
        </is>
      </c>
      <c r="S788" s="48" t="inlineStr">
        <is>
          <t xml:space="preserve">Tier 3 - Coastal wind (25-100 miles)</t>
        </is>
      </c>
      <c r="T788" s="36">
        <f>IF($A788="","",IF($S788="","",IFERROR(INDEX('[1]natural catastrophe'!$D$6:$D$17,MATCH($S788,'[1]natural catastrophe'!$B$6:$B$17,0)),"?")))</f>
      </c>
      <c r="U788" s="46" t="inlineStr">
        <is>
          <t xml:space="preserve">2% of agreed value, minimum $10,000</t>
        </is>
      </c>
      <c r="V788" s="48" t="inlineStr">
        <is>
          <t xml:space="preserve">Agreed Value</t>
        </is>
      </c>
      <c r="W788" s="46" t="inlineStr">
        <is>
          <t xml:space="preserve">$1,000</t>
        </is>
      </c>
      <c r="X788" s="48" t="inlineStr">
        <is>
          <t xml:space="preserve">$1,000,000 CSL</t>
        </is>
      </c>
      <c r="Y788" s="46"/>
      <c r="Z788" s="46"/>
      <c r="AA788" s="48" t="inlineStr">
        <is>
          <t xml:space="preserve">Surplus Lines</t>
        </is>
      </c>
      <c r="AB788" s="50">
        <v>9145.13</v>
      </c>
      <c r="AC788" s="51">
        <v>0</v>
      </c>
      <c r="AD788" s="38">
        <f>IF(ISNUMBER($AB788),$AB788*(1+N($AC788)),"")</f>
      </c>
      <c r="AE788" s="50">
        <v>350</v>
      </c>
      <c r="AF788" s="50">
        <v>0</v>
      </c>
      <c r="AG788" s="51"/>
      <c r="AH788" s="39">
        <f>IF(ISNUMBER($AD788),($AD788+$AE788+$AF788)*$AG788,"")</f>
      </c>
      <c r="AI788" s="50"/>
      <c r="AJ788" s="38">
        <f>IF(ISNUMBER($AD788),SUM($AD788:$AH788),"")</f>
      </c>
      <c r="AK788" s="40">
        <f>IF(AND(ISNUMBER($AB788),ISNUMBER($AD788)),IF($AB788&gt;0,$AD788/$AB788,""),"")</f>
      </c>
      <c r="AL788" s="48" t="inlineStr">
        <is>
          <t xml:space="preserve">At technical</t>
        </is>
      </c>
      <c r="AM788" s="41">
        <f>IF(ISNUMBER($AD788),Header!$I$3,"")</f>
      </c>
      <c r="AN788" s="39">
        <f>IF(ISNUMBER($AD788),$AO788+$AP788,"")</f>
      </c>
      <c r="AO788" s="39">
        <f>IF(ISNUMBER($AD788),ROUND($AD788*Header!$K$3,2),"")</f>
      </c>
      <c r="AP788" s="39">
        <f>IF(ISNUMBER($AD788),ROUND($AD788*Header!$M$3,2),"")</f>
      </c>
      <c r="AQ788" s="38">
        <f>IF(ISNUMBER($AD788),ROUND($AD788,2)-$AO788-$AP788,"")</f>
      </c>
      <c r="AR788" s="39">
        <f>IF(ISNUMBER($AD788),IF(Header!$D$34="","?",$AD788*Header!$D$34),"")</f>
      </c>
      <c r="AS788" s="39">
        <f>IF(ISNUMBER($AB788),IF(Header!$D$34="","?",$AB788*Header!$D$34),"")</f>
      </c>
      <c r="AT788" s="42">
        <f>IF(AND(ISNUMBER($AB788),$M788&gt;0),$AB788/$M788*100,"")</f>
      </c>
      <c r="AU788" s="42">
        <f>IF(AND(ISNUMBER($AD788),$M788&gt;0),$AD788/$M788*100,"")</f>
      </c>
      <c r="AV788" s="40">
        <f>IF(AND(ISNUMBER($AB788),ISNUMBER($AD788),ABS($AB788)&gt;0),$AD788/$AB788,"")</f>
      </c>
      <c r="AW788" s="39">
        <f>IF(ISNUMBER($AD788),MAX(0,(1-0.55-Header!$O$3)*Header!$Q$3*$AQ788),"")</f>
      </c>
      <c r="AX788" s="43">
        <f>IF($A788="","",IF(TRIM(IF($A788="","Missing certificate ref. ","") &amp; IF($C788="","Missing effective date. ","") &amp; IF($D788="","Missing binding status. ","") &amp; IF($E788="","Missing movement type. ","") &amp; IF($I788="","Missing make. ","") &amp; IF($L788="","Missing vehicle class. ","") &amp; IF($M788="","Missing agreed value. ","") &amp; IF($N788="","Missing policy type. ","") &amp; IF($Q788="","Missing garaging state. ","") &amp; IF($R788="","Missing garaging ZIP. ","") &amp; IF($S788="","Missing cat zone. ","") &amp; IF($V788="","Missing valuation basis. ","") &amp; IF($W788="","Missing PD deductible. ","") &amp; IF($X788="","Missing liability limit. ","") &amp; IF($AB788="","Missing technical premium. ","") &amp; IF($AF788="","Missing surplus lines tax %. ",""))="","PASS","FAIL: "&amp;TRIM(IF($A788="","Missing certificate ref. ","") &amp; IF($C788="","Missing effective date. ","") &amp; IF($D788="","Missing binding status. ","") &amp; IF($E788="","Missing movement type. ","") &amp; IF($I788="","Missing make. ","") &amp; IF($L788="","Missing vehicle class. ","") &amp; IF($M788="","Missing agreed value. ","") &amp; IF($N788="","Missing policy type. ","") &amp; IF($Q788="","Missing garaging state. ","") &amp; IF($R788="","Missing garaging ZIP. ","") &amp; IF($S788="","Missing cat zone. ","") &amp; IF($V788="","Missing valuation basis. ","") &amp; IF($W788="","Missing PD deductible. ","") &amp; IF($X788="","Missing liability limit. ","") &amp; IF($AB788="","Missing technical premium. ","") &amp; IF($AF788="","Missing surplus lines tax %. ",""))))</f>
      </c>
      <c r="AY788" s="44">
        <f>IF($M788="","",IF(ISNUMBER($M788),IF($M788&gt;=Header!$C$18,"YES — refer","No"),""))</f>
      </c>
      <c r="AZ788" s="44">
        <f>IF($AD788="","",IF(ISNUMBER($AD788),IF($AD788&lt;Header!$C$20,"BELOW MIN PREMIUM","OK"),""))</f>
      </c>
      <c r="BA788" s="48" t="inlineStr">
        <is>
          <t xml:space="preserve">Yes</t>
        </is>
      </c>
      <c r="BB788" s="48" t="inlineStr">
        <is>
          <t xml:space="preserve">Yes</t>
        </is>
      </c>
      <c r="BC788" s="46" t="inlineStr">
        <is>
          <t xml:space="preserve">Synthetic demo data</t>
        </is>
      </c>
      <c r="BE788" s="45">
        <f>IF(OR($A788="",$L788="",$H788=""),"",IF(AND(LEFT($L788,2)="06",$H788&gt;1945),"FAIL - pre-war class, year "&amp;$H788,IF(AND(LEFT($L788,2)="07",OR($H788&lt;1946,$H788&gt;1972)),"FAIL - 1946-72 class, year "&amp;$H788,IF(AND(LEFT($L788,2)="08",OR($H788&lt;1973,$H788&gt;1999)),"FAIL - 1973-99 class, year "&amp;$H788,IF(AND(LEFT($L788,2)="09",OR($H788&lt;2000,$H788&gt;2010)),"FAIL - 2000-10 class, year "&amp;$H788,"OK")))))</f>
      </c>
      <c r="BF788" s="45">
        <f>IF($AD788="","",IF(ROUND($AO788+$AP788+$AQ788-$AD788,2)=0,"OK","FAIL - out by "&amp;TEXT($AO788+$AP788+$AQ788-$AD788,"$0.00")))</f>
      </c>
    </row>
    <row r="789" spans="1:58" ht="18.75" customHeight="1" x14ac:dyDescent="0.25">
      <c r="A789" s="30" t="inlineStr">
        <is>
          <t xml:space="preserve">CANON-202606-009484</t>
        </is>
      </c>
      <c r="B789" s="30" t="inlineStr">
        <is>
          <t xml:space="preserve">Marisol Vasquez</t>
        </is>
      </c>
      <c r="C789" s="31">
        <v>46175</v>
      </c>
      <c r="D789" s="32" t="inlineStr">
        <is>
          <t xml:space="preserve">Bound - within authority</t>
        </is>
      </c>
      <c r="E789" s="32" t="inlineStr">
        <is>
          <t xml:space="preserve">New business</t>
        </is>
      </c>
      <c r="F789" s="30" t="inlineStr">
        <is>
          <t xml:space="preserve">B1234EXOTIC26</t>
        </is>
      </c>
      <c r="G789" s="33">
        <f>IF($A789="","",IF($C789="","",YEAR($C789)))</f>
      </c>
      <c r="H789" s="34">
        <v>2001</v>
      </c>
      <c r="I789" s="30" t="inlineStr">
        <is>
          <t xml:space="preserve">McLaren</t>
        </is>
      </c>
      <c r="J789" s="30" t="inlineStr">
        <is>
          <t xml:space="preserve">750S</t>
        </is>
      </c>
      <c r="K789" s="30" t="inlineStr">
        <is>
          <t xml:space="preserve">RXCV4DDSWHP459CK2</t>
        </is>
      </c>
      <c r="L789" s="32" t="inlineStr">
        <is>
          <t xml:space="preserve">03 - Supercar</t>
        </is>
      </c>
      <c r="M789" s="35">
        <v>735000</v>
      </c>
      <c r="N789" s="32" t="inlineStr">
        <is>
          <t xml:space="preserve">Personal</t>
        </is>
      </c>
      <c r="O789" s="30" t="inlineStr">
        <is>
          <t xml:space="preserve">Personal - regular use</t>
        </is>
      </c>
      <c r="P789" s="30" t="inlineStr">
        <is>
          <t xml:space="preserve">2,500 - 5,000</t>
        </is>
      </c>
      <c r="Q789" s="30" t="inlineStr">
        <is>
          <t xml:space="preserve">Montana</t>
        </is>
      </c>
      <c r="R789" s="30" t="inlineStr">
        <is>
          <t xml:space="preserve">59601</t>
        </is>
      </c>
      <c r="S789" s="32" t="inlineStr">
        <is>
          <t xml:space="preserve">Wildfire - WUI high hazard</t>
        </is>
      </c>
      <c r="T789" s="36">
        <f>IF($A789="","",IF($S789="","",IFERROR(INDEX('[1]natural catastrophe'!$D$6:$D$17,MATCH($S789,'[1]natural catastrophe'!$B$6:$B$17,0)),"?")))</f>
      </c>
      <c r="U789" s="30" t="inlineStr">
        <is>
          <t xml:space="preserve">$5,000</t>
        </is>
      </c>
      <c r="V789" s="32" t="inlineStr">
        <is>
          <t xml:space="preserve">Agreed Value</t>
        </is>
      </c>
      <c r="W789" s="30" t="inlineStr">
        <is>
          <t xml:space="preserve">$1,000</t>
        </is>
      </c>
      <c r="X789" s="32" t="inlineStr">
        <is>
          <t xml:space="preserve">$1,000,000 CSL</t>
        </is>
      </c>
      <c r="Y789" s="30"/>
      <c r="Z789" s="30"/>
      <c r="AA789" s="32" t="inlineStr">
        <is>
          <t xml:space="preserve">Surplus Lines</t>
        </is>
      </c>
      <c r="AB789" s="35">
        <v>9370.57</v>
      </c>
      <c r="AC789" s="37">
        <v>0</v>
      </c>
      <c r="AD789" s="38">
        <f>IF(ISNUMBER($AB789),$AB789*(1+N($AC789)),"")</f>
      </c>
      <c r="AE789" s="35">
        <v>350</v>
      </c>
      <c r="AF789" s="35">
        <v>0</v>
      </c>
      <c r="AG789" s="37"/>
      <c r="AH789" s="39">
        <f>IF(ISNUMBER($AD789),($AD789+$AE789+$AF789)*$AG789,"")</f>
      </c>
      <c r="AI789" s="35"/>
      <c r="AJ789" s="38">
        <f>IF(ISNUMBER($AD789),SUM($AD789:$AH789),"")</f>
      </c>
      <c r="AK789" s="40">
        <f>IF(AND(ISNUMBER($AB789),ISNUMBER($AD789)),IF($AB789&gt;0,$AD789/$AB789,""),"")</f>
      </c>
      <c r="AL789" s="32" t="inlineStr">
        <is>
          <t xml:space="preserve">At technical</t>
        </is>
      </c>
      <c r="AM789" s="41">
        <f>IF(ISNUMBER($AD789),Header!$I$3,"")</f>
      </c>
      <c r="AN789" s="39">
        <f>IF(ISNUMBER($AD789),$AO789+$AP789,"")</f>
      </c>
      <c r="AO789" s="39">
        <f>IF(ISNUMBER($AD789),ROUND($AD789*Header!$K$3,2),"")</f>
      </c>
      <c r="AP789" s="39">
        <f>IF(ISNUMBER($AD789),ROUND($AD789*Header!$M$3,2),"")</f>
      </c>
      <c r="AQ789" s="38">
        <f>IF(ISNUMBER($AD789),ROUND($AD789,2)-$AO789-$AP789,"")</f>
      </c>
      <c r="AR789" s="39">
        <f>IF(ISNUMBER($AD789),IF(Header!$D$34="","?",$AD789*Header!$D$34),"")</f>
      </c>
      <c r="AS789" s="39">
        <f>IF(ISNUMBER($AB789),IF(Header!$D$34="","?",$AB789*Header!$D$34),"")</f>
      </c>
      <c r="AT789" s="42">
        <f>IF(AND(ISNUMBER($AB789),$M789&gt;0),$AB789/$M789*100,"")</f>
      </c>
      <c r="AU789" s="42">
        <f>IF(AND(ISNUMBER($AD789),$M789&gt;0),$AD789/$M789*100,"")</f>
      </c>
      <c r="AV789" s="40">
        <f>IF(AND(ISNUMBER($AB789),ISNUMBER($AD789),ABS($AB789)&gt;0),$AD789/$AB789,"")</f>
      </c>
      <c r="AW789" s="39">
        <f>IF(ISNUMBER($AD789),MAX(0,(1-0.55-Header!$O$3)*Header!$Q$3*$AQ789),"")</f>
      </c>
      <c r="AX789" s="43">
        <f>IF($A789="","",IF(TRIM(IF($A789="","Missing certificate ref. ","") &amp; IF($C789="","Missing effective date. ","") &amp; IF($D789="","Missing binding status. ","") &amp; IF($E789="","Missing movement type. ","") &amp; IF($I789="","Missing make. ","") &amp; IF($L789="","Missing vehicle class. ","") &amp; IF($M789="","Missing agreed value. ","") &amp; IF($N789="","Missing policy type. ","") &amp; IF($Q789="","Missing garaging state. ","") &amp; IF($R789="","Missing garaging ZIP. ","") &amp; IF($S789="","Missing cat zone. ","") &amp; IF($V789="","Missing valuation basis. ","") &amp; IF($W789="","Missing PD deductible. ","") &amp; IF($X789="","Missing liability limit. ","") &amp; IF($AB789="","Missing technical premium. ","") &amp; IF($AF789="","Missing surplus lines tax %. ",""))="","PASS","FAIL: "&amp;TRIM(IF($A789="","Missing certificate ref. ","") &amp; IF($C789="","Missing effective date. ","") &amp; IF($D789="","Missing binding status. ","") &amp; IF($E789="","Missing movement type. ","") &amp; IF($I789="","Missing make. ","") &amp; IF($L789="","Missing vehicle class. ","") &amp; IF($M789="","Missing agreed value. ","") &amp; IF($N789="","Missing policy type. ","") &amp; IF($Q789="","Missing garaging state. ","") &amp; IF($R789="","Missing garaging ZIP. ","") &amp; IF($S789="","Missing cat zone. ","") &amp; IF($V789="","Missing valuation basis. ","") &amp; IF($W789="","Missing PD deductible. ","") &amp; IF($X789="","Missing liability limit. ","") &amp; IF($AB789="","Missing technical premium. ","") &amp; IF($AF789="","Missing surplus lines tax %. ",""))))</f>
      </c>
      <c r="AY789" s="44">
        <f>IF($M789="","",IF(ISNUMBER($M789),IF($M789&gt;=Header!$C$18,"YES — refer","No"),""))</f>
      </c>
      <c r="AZ789" s="44">
        <f>IF($AD789="","",IF(ISNUMBER($AD789),IF($AD789&lt;Header!$C$20,"BELOW MIN PREMIUM","OK"),""))</f>
      </c>
      <c r="BA789" s="32" t="inlineStr">
        <is>
          <t xml:space="preserve">Yes</t>
        </is>
      </c>
      <c r="BB789" s="32" t="inlineStr">
        <is>
          <t xml:space="preserve">Yes</t>
        </is>
      </c>
      <c r="BC789" s="30" t="inlineStr">
        <is>
          <t xml:space="preserve">Synthetic demo data</t>
        </is>
      </c>
      <c r="BE789" s="45">
        <f>IF(OR($A789="",$L789="",$H789=""),"",IF(AND(LEFT($L789,2)="06",$H789&gt;1945),"FAIL - pre-war class, year "&amp;$H789,IF(AND(LEFT($L789,2)="07",OR($H789&lt;1946,$H789&gt;1972)),"FAIL - 1946-72 class, year "&amp;$H789,IF(AND(LEFT($L789,2)="08",OR($H789&lt;1973,$H789&gt;1999)),"FAIL - 1973-99 class, year "&amp;$H789,IF(AND(LEFT($L789,2)="09",OR($H789&lt;2000,$H789&gt;2010)),"FAIL - 2000-10 class, year "&amp;$H789,"OK")))))</f>
      </c>
      <c r="BF789" s="45">
        <f>IF($AD789="","",IF(ROUND($AO789+$AP789+$AQ789-$AD789,2)=0,"OK","FAIL - out by "&amp;TEXT($AO789+$AP789+$AQ789-$AD789,"$0.00")))</f>
      </c>
    </row>
    <row r="790" spans="1:58" ht="18.75" customHeight="1" x14ac:dyDescent="0.25">
      <c r="A790" s="46" t="inlineStr">
        <is>
          <t xml:space="preserve">CANON-202606-009485</t>
        </is>
      </c>
      <c r="B790" s="46" t="inlineStr">
        <is>
          <t xml:space="preserve">Horace Underwood</t>
        </is>
      </c>
      <c r="C790" s="47">
        <v>46177</v>
      </c>
      <c r="D790" s="48" t="inlineStr">
        <is>
          <t xml:space="preserve">Bound - within authority</t>
        </is>
      </c>
      <c r="E790" s="48" t="inlineStr">
        <is>
          <t xml:space="preserve">New business</t>
        </is>
      </c>
      <c r="F790" s="46" t="inlineStr">
        <is>
          <t xml:space="preserve">B1234EXOTIC26</t>
        </is>
      </c>
      <c r="G790" s="33">
        <f>IF($A790="","",IF($C790="","",YEAR($C790)))</f>
      </c>
      <c r="H790" s="49">
        <v>1990</v>
      </c>
      <c r="I790" s="46" t="inlineStr">
        <is>
          <t xml:space="preserve">Ferrari</t>
        </is>
      </c>
      <c r="J790" s="46" t="inlineStr">
        <is>
          <t xml:space="preserve">296 GTB</t>
        </is>
      </c>
      <c r="K790" s="46" t="inlineStr">
        <is>
          <t xml:space="preserve">9J7Y6MZ7GYF56YXPS</t>
        </is>
      </c>
      <c r="L790" s="48" t="inlineStr">
        <is>
          <t xml:space="preserve">03 - Supercar</t>
        </is>
      </c>
      <c r="M790" s="50">
        <v>295000</v>
      </c>
      <c r="N790" s="48" t="inlineStr">
        <is>
          <t xml:space="preserve">Personal</t>
        </is>
      </c>
      <c r="O790" s="46" t="inlineStr">
        <is>
          <t xml:space="preserve">Personal - regular use</t>
        </is>
      </c>
      <c r="P790" s="46" t="inlineStr">
        <is>
          <t xml:space="preserve">Under 1,000</t>
        </is>
      </c>
      <c r="Q790" s="46" t="inlineStr">
        <is>
          <t xml:space="preserve">Connecticut</t>
        </is>
      </c>
      <c r="R790" s="46" t="inlineStr">
        <is>
          <t xml:space="preserve">06103</t>
        </is>
      </c>
      <c r="S790" s="48" t="inlineStr">
        <is>
          <t xml:space="preserve">Tier 3 - Coastal wind (25-100 miles)</t>
        </is>
      </c>
      <c r="T790" s="36">
        <f>IF($A790="","",IF($S790="","",IFERROR(INDEX('[1]natural catastrophe'!$D$6:$D$17,MATCH($S790,'[1]natural catastrophe'!$B$6:$B$17,0)),"?")))</f>
      </c>
      <c r="U790" s="46" t="inlineStr">
        <is>
          <t xml:space="preserve">2% of agreed value, minimum $10,000</t>
        </is>
      </c>
      <c r="V790" s="48" t="inlineStr">
        <is>
          <t xml:space="preserve">Agreed Value</t>
        </is>
      </c>
      <c r="W790" s="46" t="inlineStr">
        <is>
          <t xml:space="preserve">$1,000</t>
        </is>
      </c>
      <c r="X790" s="48" t="inlineStr">
        <is>
          <t xml:space="preserve">$1,000,000 CSL</t>
        </is>
      </c>
      <c r="Y790" s="46"/>
      <c r="Z790" s="46"/>
      <c r="AA790" s="48" t="inlineStr">
        <is>
          <t xml:space="preserve">Surplus Lines</t>
        </is>
      </c>
      <c r="AB790" s="50">
        <v>5482.9</v>
      </c>
      <c r="AC790" s="51">
        <v>0</v>
      </c>
      <c r="AD790" s="38">
        <f>IF(ISNUMBER($AB790),$AB790*(1+N($AC790)),"")</f>
      </c>
      <c r="AE790" s="50">
        <v>350</v>
      </c>
      <c r="AF790" s="50">
        <v>0</v>
      </c>
      <c r="AG790" s="51"/>
      <c r="AH790" s="39">
        <f>IF(ISNUMBER($AD790),($AD790+$AE790+$AF790)*$AG790,"")</f>
      </c>
      <c r="AI790" s="50"/>
      <c r="AJ790" s="38">
        <f>IF(ISNUMBER($AD790),SUM($AD790:$AH790),"")</f>
      </c>
      <c r="AK790" s="40">
        <f>IF(AND(ISNUMBER($AB790),ISNUMBER($AD790)),IF($AB790&gt;0,$AD790/$AB790,""),"")</f>
      </c>
      <c r="AL790" s="48" t="inlineStr">
        <is>
          <t xml:space="preserve">At technical</t>
        </is>
      </c>
      <c r="AM790" s="41">
        <f>IF(ISNUMBER($AD790),Header!$I$3,"")</f>
      </c>
      <c r="AN790" s="39">
        <f>IF(ISNUMBER($AD790),$AO790+$AP790,"")</f>
      </c>
      <c r="AO790" s="39">
        <f>IF(ISNUMBER($AD790),ROUND($AD790*Header!$K$3,2),"")</f>
      </c>
      <c r="AP790" s="39">
        <f>IF(ISNUMBER($AD790),ROUND($AD790*Header!$M$3,2),"")</f>
      </c>
      <c r="AQ790" s="38">
        <f>IF(ISNUMBER($AD790),ROUND($AD790,2)-$AO790-$AP790,"")</f>
      </c>
      <c r="AR790" s="39">
        <f>IF(ISNUMBER($AD790),IF(Header!$D$34="","?",$AD790*Header!$D$34),"")</f>
      </c>
      <c r="AS790" s="39">
        <f>IF(ISNUMBER($AB790),IF(Header!$D$34="","?",$AB790*Header!$D$34),"")</f>
      </c>
      <c r="AT790" s="42">
        <f>IF(AND(ISNUMBER($AB790),$M790&gt;0),$AB790/$M790*100,"")</f>
      </c>
      <c r="AU790" s="42">
        <f>IF(AND(ISNUMBER($AD790),$M790&gt;0),$AD790/$M790*100,"")</f>
      </c>
      <c r="AV790" s="40">
        <f>IF(AND(ISNUMBER($AB790),ISNUMBER($AD790),ABS($AB790)&gt;0),$AD790/$AB790,"")</f>
      </c>
      <c r="AW790" s="39">
        <f>IF(ISNUMBER($AD790),MAX(0,(1-0.55-Header!$O$3)*Header!$Q$3*$AQ790),"")</f>
      </c>
      <c r="AX790" s="43">
        <f>IF($A790="","",IF(TRIM(IF($A790="","Missing certificate ref. ","") &amp; IF($C790="","Missing effective date. ","") &amp; IF($D790="","Missing binding status. ","") &amp; IF($E790="","Missing movement type. ","") &amp; IF($I790="","Missing make. ","") &amp; IF($L790="","Missing vehicle class. ","") &amp; IF($M790="","Missing agreed value. ","") &amp; IF($N790="","Missing policy type. ","") &amp; IF($Q790="","Missing garaging state. ","") &amp; IF($R790="","Missing garaging ZIP. ","") &amp; IF($S790="","Missing cat zone. ","") &amp; IF($V790="","Missing valuation basis. ","") &amp; IF($W790="","Missing PD deductible. ","") &amp; IF($X790="","Missing liability limit. ","") &amp; IF($AB790="","Missing technical premium. ","") &amp; IF($AF790="","Missing surplus lines tax %. ",""))="","PASS","FAIL: "&amp;TRIM(IF($A790="","Missing certificate ref. ","") &amp; IF($C790="","Missing effective date. ","") &amp; IF($D790="","Missing binding status. ","") &amp; IF($E790="","Missing movement type. ","") &amp; IF($I790="","Missing make. ","") &amp; IF($L790="","Missing vehicle class. ","") &amp; IF($M790="","Missing agreed value. ","") &amp; IF($N790="","Missing policy type. ","") &amp; IF($Q790="","Missing garaging state. ","") &amp; IF($R790="","Missing garaging ZIP. ","") &amp; IF($S790="","Missing cat zone. ","") &amp; IF($V790="","Missing valuation basis. ","") &amp; IF($W790="","Missing PD deductible. ","") &amp; IF($X790="","Missing liability limit. ","") &amp; IF($AB790="","Missing technical premium. ","") &amp; IF($AF790="","Missing surplus lines tax %. ",""))))</f>
      </c>
      <c r="AY790" s="44">
        <f>IF($M790="","",IF(ISNUMBER($M790),IF($M790&gt;=Header!$C$18,"YES — refer","No"),""))</f>
      </c>
      <c r="AZ790" s="44">
        <f>IF($AD790="","",IF(ISNUMBER($AD790),IF($AD790&lt;Header!$C$20,"BELOW MIN PREMIUM","OK"),""))</f>
      </c>
      <c r="BA790" s="48" t="inlineStr">
        <is>
          <t xml:space="preserve">Yes</t>
        </is>
      </c>
      <c r="BB790" s="48" t="inlineStr">
        <is>
          <t xml:space="preserve">Yes</t>
        </is>
      </c>
      <c r="BC790" s="46" t="inlineStr">
        <is>
          <t xml:space="preserve">Synthetic demo data</t>
        </is>
      </c>
      <c r="BE790" s="45">
        <f>IF(OR($A790="",$L790="",$H790=""),"",IF(AND(LEFT($L790,2)="06",$H790&gt;1945),"FAIL - pre-war class, year "&amp;$H790,IF(AND(LEFT($L790,2)="07",OR($H790&lt;1946,$H790&gt;1972)),"FAIL - 1946-72 class, year "&amp;$H790,IF(AND(LEFT($L790,2)="08",OR($H790&lt;1973,$H790&gt;1999)),"FAIL - 1973-99 class, year "&amp;$H790,IF(AND(LEFT($L790,2)="09",OR($H790&lt;2000,$H790&gt;2010)),"FAIL - 2000-10 class, year "&amp;$H790,"OK")))))</f>
      </c>
      <c r="BF790" s="45">
        <f>IF($AD790="","",IF(ROUND($AO790+$AP790+$AQ790-$AD790,2)=0,"OK","FAIL - out by "&amp;TEXT($AO790+$AP790+$AQ790-$AD790,"$0.00")))</f>
      </c>
    </row>
    <row r="791" spans="1:58" ht="18.75" customHeight="1" x14ac:dyDescent="0.25">
      <c r="A791" s="30" t="inlineStr">
        <is>
          <t xml:space="preserve">CANON-202606-009486</t>
        </is>
      </c>
      <c r="B791" s="30" t="inlineStr">
        <is>
          <t xml:space="preserve">Leopold Merriweather</t>
        </is>
      </c>
      <c r="C791" s="31">
        <v>46179</v>
      </c>
      <c r="D791" s="32" t="inlineStr">
        <is>
          <t xml:space="preserve">Bound - within authority</t>
        </is>
      </c>
      <c r="E791" s="32" t="inlineStr">
        <is>
          <t xml:space="preserve">New business</t>
        </is>
      </c>
      <c r="F791" s="30" t="inlineStr">
        <is>
          <t xml:space="preserve">B1234EXOTIC26</t>
        </is>
      </c>
      <c r="G791" s="33">
        <f>IF($A791="","",IF($C791="","",YEAR($C791)))</f>
      </c>
      <c r="H791" s="34">
        <v>1978</v>
      </c>
      <c r="I791" s="30" t="inlineStr">
        <is>
          <t xml:space="preserve">Mercedes-Benz</t>
        </is>
      </c>
      <c r="J791" s="30" t="inlineStr">
        <is>
          <t xml:space="preserve">AMG GT</t>
        </is>
      </c>
      <c r="K791" s="30" t="inlineStr">
        <is>
          <t xml:space="preserve">A2J0FNGN0U3UFFS33</t>
        </is>
      </c>
      <c r="L791" s="32" t="inlineStr">
        <is>
          <t xml:space="preserve">02 - Sports / GT</t>
        </is>
      </c>
      <c r="M791" s="35">
        <v>470000</v>
      </c>
      <c r="N791" s="32" t="inlineStr">
        <is>
          <t xml:space="preserve">Personal</t>
        </is>
      </c>
      <c r="O791" s="30" t="inlineStr">
        <is>
          <t xml:space="preserve">Personal - regular use</t>
        </is>
      </c>
      <c r="P791" s="30" t="inlineStr">
        <is>
          <t xml:space="preserve">2,500 - 5,000</t>
        </is>
      </c>
      <c r="Q791" s="30" t="inlineStr">
        <is>
          <t xml:space="preserve">Washington</t>
        </is>
      </c>
      <c r="R791" s="30" t="inlineStr">
        <is>
          <t xml:space="preserve">98101</t>
        </is>
      </c>
      <c r="S791" s="32" t="inlineStr">
        <is>
          <t xml:space="preserve">Earthquake - high (CA, Cascadia, New Madrid)</t>
        </is>
      </c>
      <c r="T791" s="36">
        <f>IF($A791="","",IF($S791="","",IFERROR(INDEX('[1]natural catastrophe'!$D$6:$D$17,MATCH($S791,'[1]natural catastrophe'!$B$6:$B$17,0)),"?")))</f>
      </c>
      <c r="U791" s="30" t="inlineStr">
        <is>
          <t xml:space="preserve">$5,000</t>
        </is>
      </c>
      <c r="V791" s="32" t="inlineStr">
        <is>
          <t xml:space="preserve">Agreed Value</t>
        </is>
      </c>
      <c r="W791" s="30" t="inlineStr">
        <is>
          <t xml:space="preserve">$1,000</t>
        </is>
      </c>
      <c r="X791" s="32" t="inlineStr">
        <is>
          <t xml:space="preserve">$1,000,000 CSL</t>
        </is>
      </c>
      <c r="Y791" s="30"/>
      <c r="Z791" s="30"/>
      <c r="AA791" s="32" t="inlineStr">
        <is>
          <t xml:space="preserve">Surplus Lines</t>
        </is>
      </c>
      <c r="AB791" s="35">
        <v>4883.18</v>
      </c>
      <c r="AC791" s="37">
        <v>0</v>
      </c>
      <c r="AD791" s="38">
        <f>IF(ISNUMBER($AB791),$AB791*(1+N($AC791)),"")</f>
      </c>
      <c r="AE791" s="35">
        <v>350</v>
      </c>
      <c r="AF791" s="35">
        <v>0</v>
      </c>
      <c r="AG791" s="37"/>
      <c r="AH791" s="39">
        <f>IF(ISNUMBER($AD791),($AD791+$AE791+$AF791)*$AG791,"")</f>
      </c>
      <c r="AI791" s="35"/>
      <c r="AJ791" s="38">
        <f>IF(ISNUMBER($AD791),SUM($AD791:$AH791),"")</f>
      </c>
      <c r="AK791" s="40">
        <f>IF(AND(ISNUMBER($AB791),ISNUMBER($AD791)),IF($AB791&gt;0,$AD791/$AB791,""),"")</f>
      </c>
      <c r="AL791" s="32" t="inlineStr">
        <is>
          <t xml:space="preserve">At technical</t>
        </is>
      </c>
      <c r="AM791" s="41">
        <f>IF(ISNUMBER($AD791),Header!$I$3,"")</f>
      </c>
      <c r="AN791" s="39">
        <f>IF(ISNUMBER($AD791),$AO791+$AP791,"")</f>
      </c>
      <c r="AO791" s="39">
        <f>IF(ISNUMBER($AD791),ROUND($AD791*Header!$K$3,2),"")</f>
      </c>
      <c r="AP791" s="39">
        <f>IF(ISNUMBER($AD791),ROUND($AD791*Header!$M$3,2),"")</f>
      </c>
      <c r="AQ791" s="38">
        <f>IF(ISNUMBER($AD791),ROUND($AD791,2)-$AO791-$AP791,"")</f>
      </c>
      <c r="AR791" s="39">
        <f>IF(ISNUMBER($AD791),IF(Header!$D$34="","?",$AD791*Header!$D$34),"")</f>
      </c>
      <c r="AS791" s="39">
        <f>IF(ISNUMBER($AB791),IF(Header!$D$34="","?",$AB791*Header!$D$34),"")</f>
      </c>
      <c r="AT791" s="42">
        <f>IF(AND(ISNUMBER($AB791),$M791&gt;0),$AB791/$M791*100,"")</f>
      </c>
      <c r="AU791" s="42">
        <f>IF(AND(ISNUMBER($AD791),$M791&gt;0),$AD791/$M791*100,"")</f>
      </c>
      <c r="AV791" s="40">
        <f>IF(AND(ISNUMBER($AB791),ISNUMBER($AD791),ABS($AB791)&gt;0),$AD791/$AB791,"")</f>
      </c>
      <c r="AW791" s="39">
        <f>IF(ISNUMBER($AD791),MAX(0,(1-0.55-Header!$O$3)*Header!$Q$3*$AQ791),"")</f>
      </c>
      <c r="AX791" s="43">
        <f>IF($A791="","",IF(TRIM(IF($A791="","Missing certificate ref. ","") &amp; IF($C791="","Missing effective date. ","") &amp; IF($D791="","Missing binding status. ","") &amp; IF($E791="","Missing movement type. ","") &amp; IF($I791="","Missing make. ","") &amp; IF($L791="","Missing vehicle class. ","") &amp; IF($M791="","Missing agreed value. ","") &amp; IF($N791="","Missing policy type. ","") &amp; IF($Q791="","Missing garaging state. ","") &amp; IF($R791="","Missing garaging ZIP. ","") &amp; IF($S791="","Missing cat zone. ","") &amp; IF($V791="","Missing valuation basis. ","") &amp; IF($W791="","Missing PD deductible. ","") &amp; IF($X791="","Missing liability limit. ","") &amp; IF($AB791="","Missing technical premium. ","") &amp; IF($AF791="","Missing surplus lines tax %. ",""))="","PASS","FAIL: "&amp;TRIM(IF($A791="","Missing certificate ref. ","") &amp; IF($C791="","Missing effective date. ","") &amp; IF($D791="","Missing binding status. ","") &amp; IF($E791="","Missing movement type. ","") &amp; IF($I791="","Missing make. ","") &amp; IF($L791="","Missing vehicle class. ","") &amp; IF($M791="","Missing agreed value. ","") &amp; IF($N791="","Missing policy type. ","") &amp; IF($Q791="","Missing garaging state. ","") &amp; IF($R791="","Missing garaging ZIP. ","") &amp; IF($S791="","Missing cat zone. ","") &amp; IF($V791="","Missing valuation basis. ","") &amp; IF($W791="","Missing PD deductible. ","") &amp; IF($X791="","Missing liability limit. ","") &amp; IF($AB791="","Missing technical premium. ","") &amp; IF($AF791="","Missing surplus lines tax %. ",""))))</f>
      </c>
      <c r="AY791" s="44">
        <f>IF($M791="","",IF(ISNUMBER($M791),IF($M791&gt;=Header!$C$18,"YES — refer","No"),""))</f>
      </c>
      <c r="AZ791" s="44">
        <f>IF($AD791="","",IF(ISNUMBER($AD791),IF($AD791&lt;Header!$C$20,"BELOW MIN PREMIUM","OK"),""))</f>
      </c>
      <c r="BA791" s="32" t="inlineStr">
        <is>
          <t xml:space="preserve">Yes</t>
        </is>
      </c>
      <c r="BB791" s="32" t="inlineStr">
        <is>
          <t xml:space="preserve">Yes</t>
        </is>
      </c>
      <c r="BC791" s="30" t="inlineStr">
        <is>
          <t xml:space="preserve">Synthetic demo data</t>
        </is>
      </c>
      <c r="BE791" s="45">
        <f>IF(OR($A791="",$L791="",$H791=""),"",IF(AND(LEFT($L791,2)="06",$H791&gt;1945),"FAIL - pre-war class, year "&amp;$H791,IF(AND(LEFT($L791,2)="07",OR($H791&lt;1946,$H791&gt;1972)),"FAIL - 1946-72 class, year "&amp;$H791,IF(AND(LEFT($L791,2)="08",OR($H791&lt;1973,$H791&gt;1999)),"FAIL - 1973-99 class, year "&amp;$H791,IF(AND(LEFT($L791,2)="09",OR($H791&lt;2000,$H791&gt;2010)),"FAIL - 2000-10 class, year "&amp;$H791,"OK")))))</f>
      </c>
      <c r="BF791" s="45">
        <f>IF($AD791="","",IF(ROUND($AO791+$AP791+$AQ791-$AD791,2)=0,"OK","FAIL - out by "&amp;TEXT($AO791+$AP791+$AQ791-$AD791,"$0.00")))</f>
      </c>
    </row>
    <row r="792" spans="1:58" ht="18.75" customHeight="1" x14ac:dyDescent="0.25">
      <c r="A792" s="46" t="inlineStr">
        <is>
          <t xml:space="preserve">CANON-202606-009488</t>
        </is>
      </c>
      <c r="B792" s="46" t="inlineStr">
        <is>
          <t xml:space="preserve">Everett Farkas</t>
        </is>
      </c>
      <c r="C792" s="47">
        <v>46190</v>
      </c>
      <c r="D792" s="48" t="inlineStr">
        <is>
          <t xml:space="preserve">Bound - within authority</t>
        </is>
      </c>
      <c r="E792" s="48" t="inlineStr">
        <is>
          <t xml:space="preserve">New business</t>
        </is>
      </c>
      <c r="F792" s="46" t="inlineStr">
        <is>
          <t xml:space="preserve">B1234EXOTIC26</t>
        </is>
      </c>
      <c r="G792" s="33">
        <f>IF($A792="","",IF($C792="","",YEAR($C792)))</f>
      </c>
      <c r="H792" s="49">
        <v>2014</v>
      </c>
      <c r="I792" s="46" t="inlineStr">
        <is>
          <t xml:space="preserve">McLaren</t>
        </is>
      </c>
      <c r="J792" s="46" t="inlineStr">
        <is>
          <t xml:space="preserve">750S</t>
        </is>
      </c>
      <c r="K792" s="46" t="inlineStr">
        <is>
          <t xml:space="preserve">N51YY206EKKUY5GER</t>
        </is>
      </c>
      <c r="L792" s="48" t="inlineStr">
        <is>
          <t xml:space="preserve">03 - Supercar</t>
        </is>
      </c>
      <c r="M792" s="50">
        <v>1265000</v>
      </c>
      <c r="N792" s="48" t="inlineStr">
        <is>
          <t xml:space="preserve">Personal</t>
        </is>
      </c>
      <c r="O792" s="46" t="inlineStr">
        <is>
          <t xml:space="preserve">Personal - regular use</t>
        </is>
      </c>
      <c r="P792" s="46" t="inlineStr">
        <is>
          <t xml:space="preserve">2,500 - 5,000</t>
        </is>
      </c>
      <c r="Q792" s="46" t="inlineStr">
        <is>
          <t xml:space="preserve">New York</t>
        </is>
      </c>
      <c r="R792" s="46" t="inlineStr">
        <is>
          <t xml:space="preserve">10022</t>
        </is>
      </c>
      <c r="S792" s="48" t="inlineStr">
        <is>
          <t xml:space="preserve">Tier 3 - Coastal wind (25-100 miles)</t>
        </is>
      </c>
      <c r="T792" s="36">
        <f>IF($A792="","",IF($S792="","",IFERROR(INDEX('[1]natural catastrophe'!$D$6:$D$17,MATCH($S792,'[1]natural catastrophe'!$B$6:$B$17,0)),"?")))</f>
      </c>
      <c r="U792" s="46" t="inlineStr">
        <is>
          <t xml:space="preserve">2% of agreed value, minimum $10,000</t>
        </is>
      </c>
      <c r="V792" s="48" t="inlineStr">
        <is>
          <t xml:space="preserve">Agreed Value</t>
        </is>
      </c>
      <c r="W792" s="46" t="inlineStr">
        <is>
          <t xml:space="preserve">$1,000</t>
        </is>
      </c>
      <c r="X792" s="48" t="inlineStr">
        <is>
          <t xml:space="preserve">$1,000,000 CSL</t>
        </is>
      </c>
      <c r="Y792" s="46"/>
      <c r="Z792" s="46"/>
      <c r="AA792" s="48" t="inlineStr">
        <is>
          <t xml:space="preserve">Surplus Lines</t>
        </is>
      </c>
      <c r="AB792" s="50">
        <v>18692.29</v>
      </c>
      <c r="AC792" s="51">
        <v>0</v>
      </c>
      <c r="AD792" s="38">
        <f>IF(ISNUMBER($AB792),$AB792*(1+N($AC792)),"")</f>
      </c>
      <c r="AE792" s="50">
        <v>350</v>
      </c>
      <c r="AF792" s="50">
        <v>250</v>
      </c>
      <c r="AG792" s="51"/>
      <c r="AH792" s="39">
        <f>IF(ISNUMBER($AD792),($AD792+$AE792+$AF792)*$AG792,"")</f>
      </c>
      <c r="AI792" s="50"/>
      <c r="AJ792" s="38">
        <f>IF(ISNUMBER($AD792),SUM($AD792:$AH792),"")</f>
      </c>
      <c r="AK792" s="40">
        <f>IF(AND(ISNUMBER($AB792),ISNUMBER($AD792)),IF($AB792&gt;0,$AD792/$AB792,""),"")</f>
      </c>
      <c r="AL792" s="48" t="inlineStr">
        <is>
          <t xml:space="preserve">At technical</t>
        </is>
      </c>
      <c r="AM792" s="41">
        <f>IF(ISNUMBER($AD792),Header!$I$3,"")</f>
      </c>
      <c r="AN792" s="39">
        <f>IF(ISNUMBER($AD792),$AO792+$AP792,"")</f>
      </c>
      <c r="AO792" s="39">
        <f>IF(ISNUMBER($AD792),ROUND($AD792*Header!$K$3,2),"")</f>
      </c>
      <c r="AP792" s="39">
        <f>IF(ISNUMBER($AD792),ROUND($AD792*Header!$M$3,2),"")</f>
      </c>
      <c r="AQ792" s="38">
        <f>IF(ISNUMBER($AD792),ROUND($AD792,2)-$AO792-$AP792,"")</f>
      </c>
      <c r="AR792" s="39">
        <f>IF(ISNUMBER($AD792),IF(Header!$D$34="","?",$AD792*Header!$D$34),"")</f>
      </c>
      <c r="AS792" s="39">
        <f>IF(ISNUMBER($AB792),IF(Header!$D$34="","?",$AB792*Header!$D$34),"")</f>
      </c>
      <c r="AT792" s="42">
        <f>IF(AND(ISNUMBER($AB792),$M792&gt;0),$AB792/$M792*100,"")</f>
      </c>
      <c r="AU792" s="42">
        <f>IF(AND(ISNUMBER($AD792),$M792&gt;0),$AD792/$M792*100,"")</f>
      </c>
      <c r="AV792" s="40">
        <f>IF(AND(ISNUMBER($AB792),ISNUMBER($AD792),ABS($AB792)&gt;0),$AD792/$AB792,"")</f>
      </c>
      <c r="AW792" s="39">
        <f>IF(ISNUMBER($AD792),MAX(0,(1-0.55-Header!$O$3)*Header!$Q$3*$AQ792),"")</f>
      </c>
      <c r="AX792" s="43">
        <f>IF($A792="","",IF(TRIM(IF($A792="","Missing certificate ref. ","") &amp; IF($C792="","Missing effective date. ","") &amp; IF($D792="","Missing binding status. ","") &amp; IF($E792="","Missing movement type. ","") &amp; IF($I792="","Missing make. ","") &amp; IF($L792="","Missing vehicle class. ","") &amp; IF($M792="","Missing agreed value. ","") &amp; IF($N792="","Missing policy type. ","") &amp; IF($Q792="","Missing garaging state. ","") &amp; IF($R792="","Missing garaging ZIP. ","") &amp; IF($S792="","Missing cat zone. ","") &amp; IF($V792="","Missing valuation basis. ","") &amp; IF($W792="","Missing PD deductible. ","") &amp; IF($X792="","Missing liability limit. ","") &amp; IF($AB792="","Missing technical premium. ","") &amp; IF($AF792="","Missing surplus lines tax %. ",""))="","PASS","FAIL: "&amp;TRIM(IF($A792="","Missing certificate ref. ","") &amp; IF($C792="","Missing effective date. ","") &amp; IF($D792="","Missing binding status. ","") &amp; IF($E792="","Missing movement type. ","") &amp; IF($I792="","Missing make. ","") &amp; IF($L792="","Missing vehicle class. ","") &amp; IF($M792="","Missing agreed value. ","") &amp; IF($N792="","Missing policy type. ","") &amp; IF($Q792="","Missing garaging state. ","") &amp; IF($R792="","Missing garaging ZIP. ","") &amp; IF($S792="","Missing cat zone. ","") &amp; IF($V792="","Missing valuation basis. ","") &amp; IF($W792="","Missing PD deductible. ","") &amp; IF($X792="","Missing liability limit. ","") &amp; IF($AB792="","Missing technical premium. ","") &amp; IF($AF792="","Missing surplus lines tax %. ",""))))</f>
      </c>
      <c r="AY792" s="44">
        <f>IF($M792="","",IF(ISNUMBER($M792),IF($M792&gt;=Header!$C$18,"YES — refer","No"),""))</f>
      </c>
      <c r="AZ792" s="44">
        <f>IF($AD792="","",IF(ISNUMBER($AD792),IF($AD792&lt;Header!$C$20,"BELOW MIN PREMIUM","OK"),""))</f>
      </c>
      <c r="BA792" s="48" t="inlineStr">
        <is>
          <t xml:space="preserve">Yes</t>
        </is>
      </c>
      <c r="BB792" s="48" t="inlineStr">
        <is>
          <t xml:space="preserve">Yes</t>
        </is>
      </c>
      <c r="BC792" s="46" t="inlineStr">
        <is>
          <t xml:space="preserve">Synthetic demo data</t>
        </is>
      </c>
      <c r="BE792" s="45">
        <f>IF(OR($A792="",$L792="",$H792=""),"",IF(AND(LEFT($L792,2)="06",$H792&gt;1945),"FAIL - pre-war class, year "&amp;$H792,IF(AND(LEFT($L792,2)="07",OR($H792&lt;1946,$H792&gt;1972)),"FAIL - 1946-72 class, year "&amp;$H792,IF(AND(LEFT($L792,2)="08",OR($H792&lt;1973,$H792&gt;1999)),"FAIL - 1973-99 class, year "&amp;$H792,IF(AND(LEFT($L792,2)="09",OR($H792&lt;2000,$H792&gt;2010)),"FAIL - 2000-10 class, year "&amp;$H792,"OK")))))</f>
      </c>
      <c r="BF792" s="45">
        <f>IF($AD792="","",IF(ROUND($AO792+$AP792+$AQ792-$AD792,2)=0,"OK","FAIL - out by "&amp;TEXT($AO792+$AP792+$AQ792-$AD792,"$0.00")))</f>
      </c>
    </row>
    <row r="793" spans="1:58" ht="18.75" customHeight="1" x14ac:dyDescent="0.25">
      <c r="A793" s="30" t="inlineStr">
        <is>
          <t xml:space="preserve">CANON-202606-009489</t>
        </is>
      </c>
      <c r="B793" s="30" t="inlineStr">
        <is>
          <t xml:space="preserve">Ottilie Delacroix</t>
        </is>
      </c>
      <c r="C793" s="31">
        <v>46201</v>
      </c>
      <c r="D793" s="32" t="inlineStr">
        <is>
          <t xml:space="preserve">Bound - within authority</t>
        </is>
      </c>
      <c r="E793" s="32" t="inlineStr">
        <is>
          <t xml:space="preserve">New business</t>
        </is>
      </c>
      <c r="F793" s="30" t="inlineStr">
        <is>
          <t xml:space="preserve">B1234EXOTIC26</t>
        </is>
      </c>
      <c r="G793" s="33">
        <f>IF($A793="","",IF($C793="","",YEAR($C793)))</f>
      </c>
      <c r="H793" s="34">
        <v>2014</v>
      </c>
      <c r="I793" s="30" t="inlineStr">
        <is>
          <t xml:space="preserve">Mercedes-Benz</t>
        </is>
      </c>
      <c r="J793" s="30" t="inlineStr">
        <is>
          <t xml:space="preserve">AMG GT</t>
        </is>
      </c>
      <c r="K793" s="30" t="inlineStr">
        <is>
          <t xml:space="preserve">LPJNS3J6NE8U8CCE1</t>
        </is>
      </c>
      <c r="L793" s="32" t="inlineStr">
        <is>
          <t xml:space="preserve">02 - Sports / GT</t>
        </is>
      </c>
      <c r="M793" s="35">
        <v>770000</v>
      </c>
      <c r="N793" s="32" t="inlineStr">
        <is>
          <t xml:space="preserve">Personal</t>
        </is>
      </c>
      <c r="O793" s="30" t="inlineStr">
        <is>
          <t xml:space="preserve">Personal - regular use</t>
        </is>
      </c>
      <c r="P793" s="30" t="inlineStr">
        <is>
          <t xml:space="preserve">1,000 - 2,500</t>
        </is>
      </c>
      <c r="Q793" s="30" t="inlineStr">
        <is>
          <t xml:space="preserve">Virginia</t>
        </is>
      </c>
      <c r="R793" s="30" t="inlineStr">
        <is>
          <t xml:space="preserve">23219</t>
        </is>
      </c>
      <c r="S793" s="32" t="inlineStr">
        <is>
          <t xml:space="preserve">Tier 3 - Coastal wind (25-100 miles)</t>
        </is>
      </c>
      <c r="T793" s="36">
        <f>IF($A793="","",IF($S793="","",IFERROR(INDEX('[1]natural catastrophe'!$D$6:$D$17,MATCH($S793,'[1]natural catastrophe'!$B$6:$B$17,0)),"?")))</f>
      </c>
      <c r="U793" s="30" t="inlineStr">
        <is>
          <t xml:space="preserve">2% of agreed value, minimum $10,000</t>
        </is>
      </c>
      <c r="V793" s="32" t="inlineStr">
        <is>
          <t xml:space="preserve">Agreed Value</t>
        </is>
      </c>
      <c r="W793" s="30" t="inlineStr">
        <is>
          <t xml:space="preserve">$1,000</t>
        </is>
      </c>
      <c r="X793" s="32" t="inlineStr">
        <is>
          <t xml:space="preserve">$1,000,000 CSL</t>
        </is>
      </c>
      <c r="Y793" s="30"/>
      <c r="Z793" s="30"/>
      <c r="AA793" s="32" t="inlineStr">
        <is>
          <t xml:space="preserve">Surplus Lines</t>
        </is>
      </c>
      <c r="AB793" s="35">
        <v>7872.32</v>
      </c>
      <c r="AC793" s="37">
        <v>0</v>
      </c>
      <c r="AD793" s="38">
        <f>IF(ISNUMBER($AB793),$AB793*(1+N($AC793)),"")</f>
      </c>
      <c r="AE793" s="35">
        <v>350</v>
      </c>
      <c r="AF793" s="35">
        <v>0</v>
      </c>
      <c r="AG793" s="37"/>
      <c r="AH793" s="39">
        <f>IF(ISNUMBER($AD793),($AD793+$AE793+$AF793)*$AG793,"")</f>
      </c>
      <c r="AI793" s="35"/>
      <c r="AJ793" s="38">
        <f>IF(ISNUMBER($AD793),SUM($AD793:$AH793),"")</f>
      </c>
      <c r="AK793" s="40">
        <f>IF(AND(ISNUMBER($AB793),ISNUMBER($AD793)),IF($AB793&gt;0,$AD793/$AB793,""),"")</f>
      </c>
      <c r="AL793" s="32" t="inlineStr">
        <is>
          <t xml:space="preserve">At technical</t>
        </is>
      </c>
      <c r="AM793" s="41">
        <f>IF(ISNUMBER($AD793),Header!$I$3,"")</f>
      </c>
      <c r="AN793" s="39">
        <f>IF(ISNUMBER($AD793),$AO793+$AP793,"")</f>
      </c>
      <c r="AO793" s="39">
        <f>IF(ISNUMBER($AD793),ROUND($AD793*Header!$K$3,2),"")</f>
      </c>
      <c r="AP793" s="39">
        <f>IF(ISNUMBER($AD793),ROUND($AD793*Header!$M$3,2),"")</f>
      </c>
      <c r="AQ793" s="38">
        <f>IF(ISNUMBER($AD793),ROUND($AD793,2)-$AO793-$AP793,"")</f>
      </c>
      <c r="AR793" s="39">
        <f>IF(ISNUMBER($AD793),IF(Header!$D$34="","?",$AD793*Header!$D$34),"")</f>
      </c>
      <c r="AS793" s="39">
        <f>IF(ISNUMBER($AB793),IF(Header!$D$34="","?",$AB793*Header!$D$34),"")</f>
      </c>
      <c r="AT793" s="42">
        <f>IF(AND(ISNUMBER($AB793),$M793&gt;0),$AB793/$M793*100,"")</f>
      </c>
      <c r="AU793" s="42">
        <f>IF(AND(ISNUMBER($AD793),$M793&gt;0),$AD793/$M793*100,"")</f>
      </c>
      <c r="AV793" s="40">
        <f>IF(AND(ISNUMBER($AB793),ISNUMBER($AD793),ABS($AB793)&gt;0),$AD793/$AB793,"")</f>
      </c>
      <c r="AW793" s="39">
        <f>IF(ISNUMBER($AD793),MAX(0,(1-0.55-Header!$O$3)*Header!$Q$3*$AQ793),"")</f>
      </c>
      <c r="AX793" s="43">
        <f>IF($A793="","",IF(TRIM(IF($A793="","Missing certificate ref. ","") &amp; IF($C793="","Missing effective date. ","") &amp; IF($D793="","Missing binding status. ","") &amp; IF($E793="","Missing movement type. ","") &amp; IF($I793="","Missing make. ","") &amp; IF($L793="","Missing vehicle class. ","") &amp; IF($M793="","Missing agreed value. ","") &amp; IF($N793="","Missing policy type. ","") &amp; IF($Q793="","Missing garaging state. ","") &amp; IF($R793="","Missing garaging ZIP. ","") &amp; IF($S793="","Missing cat zone. ","") &amp; IF($V793="","Missing valuation basis. ","") &amp; IF($W793="","Missing PD deductible. ","") &amp; IF($X793="","Missing liability limit. ","") &amp; IF($AB793="","Missing technical premium. ","") &amp; IF($AF793="","Missing surplus lines tax %. ",""))="","PASS","FAIL: "&amp;TRIM(IF($A793="","Missing certificate ref. ","") &amp; IF($C793="","Missing effective date. ","") &amp; IF($D793="","Missing binding status. ","") &amp; IF($E793="","Missing movement type. ","") &amp; IF($I793="","Missing make. ","") &amp; IF($L793="","Missing vehicle class. ","") &amp; IF($M793="","Missing agreed value. ","") &amp; IF($N793="","Missing policy type. ","") &amp; IF($Q793="","Missing garaging state. ","") &amp; IF($R793="","Missing garaging ZIP. ","") &amp; IF($S793="","Missing cat zone. ","") &amp; IF($V793="","Missing valuation basis. ","") &amp; IF($W793="","Missing PD deductible. ","") &amp; IF($X793="","Missing liability limit. ","") &amp; IF($AB793="","Missing technical premium. ","") &amp; IF($AF793="","Missing surplus lines tax %. ",""))))</f>
      </c>
      <c r="AY793" s="44">
        <f>IF($M793="","",IF(ISNUMBER($M793),IF($M793&gt;=Header!$C$18,"YES — refer","No"),""))</f>
      </c>
      <c r="AZ793" s="44">
        <f>IF($AD793="","",IF(ISNUMBER($AD793),IF($AD793&lt;Header!$C$20,"BELOW MIN PREMIUM","OK"),""))</f>
      </c>
      <c r="BA793" s="32" t="inlineStr">
        <is>
          <t xml:space="preserve">Yes</t>
        </is>
      </c>
      <c r="BB793" s="32" t="inlineStr">
        <is>
          <t xml:space="preserve">Yes</t>
        </is>
      </c>
      <c r="BC793" s="30" t="inlineStr">
        <is>
          <t xml:space="preserve">Synthetic demo data</t>
        </is>
      </c>
      <c r="BE793" s="45">
        <f>IF(OR($A793="",$L793="",$H793=""),"",IF(AND(LEFT($L793,2)="06",$H793&gt;1945),"FAIL - pre-war class, year "&amp;$H793,IF(AND(LEFT($L793,2)="07",OR($H793&lt;1946,$H793&gt;1972)),"FAIL - 1946-72 class, year "&amp;$H793,IF(AND(LEFT($L793,2)="08",OR($H793&lt;1973,$H793&gt;1999)),"FAIL - 1973-99 class, year "&amp;$H793,IF(AND(LEFT($L793,2)="09",OR($H793&lt;2000,$H793&gt;2010)),"FAIL - 2000-10 class, year "&amp;$H793,"OK")))))</f>
      </c>
      <c r="BF793" s="45">
        <f>IF($AD793="","",IF(ROUND($AO793+$AP793+$AQ793-$AD793,2)=0,"OK","FAIL - out by "&amp;TEXT($AO793+$AP793+$AQ793-$AD793,"$0.00")))</f>
      </c>
    </row>
    <row r="794" spans="1:58" ht="18.75" customHeight="1" x14ac:dyDescent="0.25">
      <c r="A794" s="46" t="inlineStr">
        <is>
          <t xml:space="preserve">CANON-202606-009490</t>
        </is>
      </c>
      <c r="B794" s="46" t="inlineStr">
        <is>
          <t xml:space="preserve">Lorenzo Underwood</t>
        </is>
      </c>
      <c r="C794" s="47">
        <v>46174</v>
      </c>
      <c r="D794" s="48" t="inlineStr">
        <is>
          <t xml:space="preserve">Bound - within authority</t>
        </is>
      </c>
      <c r="E794" s="48" t="inlineStr">
        <is>
          <t xml:space="preserve">New business</t>
        </is>
      </c>
      <c r="F794" s="46" t="inlineStr">
        <is>
          <t xml:space="preserve">B1234EXOTIC26</t>
        </is>
      </c>
      <c r="G794" s="33">
        <f>IF($A794="","",IF($C794="","",YEAR($C794)))</f>
      </c>
      <c r="H794" s="49">
        <v>1968</v>
      </c>
      <c r="I794" s="46" t="inlineStr">
        <is>
          <t xml:space="preserve">Ferrari</t>
        </is>
      </c>
      <c r="J794" s="46" t="inlineStr">
        <is>
          <t xml:space="preserve">SF90 Stradale</t>
        </is>
      </c>
      <c r="K794" s="46" t="inlineStr">
        <is>
          <t xml:space="preserve">PJYHSY0WE3KPUTPVV</t>
        </is>
      </c>
      <c r="L794" s="48" t="inlineStr">
        <is>
          <t xml:space="preserve">03 - Supercar</t>
        </is>
      </c>
      <c r="M794" s="50">
        <v>825000</v>
      </c>
      <c r="N794" s="48" t="inlineStr">
        <is>
          <t xml:space="preserve">Personal</t>
        </is>
      </c>
      <c r="O794" s="46" t="inlineStr">
        <is>
          <t xml:space="preserve">Personal - regular use</t>
        </is>
      </c>
      <c r="P794" s="46" t="inlineStr">
        <is>
          <t xml:space="preserve">1,000 - 2,500</t>
        </is>
      </c>
      <c r="Q794" s="46" t="inlineStr">
        <is>
          <t xml:space="preserve">Colorado</t>
        </is>
      </c>
      <c r="R794" s="46" t="inlineStr">
        <is>
          <t xml:space="preserve">80202</t>
        </is>
      </c>
      <c r="S794" s="48" t="inlineStr">
        <is>
          <t xml:space="preserve">Severe convective - hail alley (high)</t>
        </is>
      </c>
      <c r="T794" s="36">
        <f>IF($A794="","",IF($S794="","",IFERROR(INDEX('[1]natural catastrophe'!$D$6:$D$17,MATCH($S794,'[1]natural catastrophe'!$B$6:$B$17,0)),"?")))</f>
      </c>
      <c r="U794" s="46" t="inlineStr">
        <is>
          <t xml:space="preserve">$5,000</t>
        </is>
      </c>
      <c r="V794" s="48" t="inlineStr">
        <is>
          <t xml:space="preserve">Agreed Value</t>
        </is>
      </c>
      <c r="W794" s="46" t="inlineStr">
        <is>
          <t xml:space="preserve">$1,000</t>
        </is>
      </c>
      <c r="X794" s="48" t="inlineStr">
        <is>
          <t xml:space="preserve">$1,000,000 CSL</t>
        </is>
      </c>
      <c r="Y794" s="46"/>
      <c r="Z794" s="46"/>
      <c r="AA794" s="48" t="inlineStr">
        <is>
          <t xml:space="preserve">Surplus Lines</t>
        </is>
      </c>
      <c r="AB794" s="50">
        <v>12440.63</v>
      </c>
      <c r="AC794" s="51">
        <v>0</v>
      </c>
      <c r="AD794" s="38">
        <f>IF(ISNUMBER($AB794),$AB794*(1+N($AC794)),"")</f>
      </c>
      <c r="AE794" s="50">
        <v>350</v>
      </c>
      <c r="AF794" s="50">
        <v>0</v>
      </c>
      <c r="AG794" s="51"/>
      <c r="AH794" s="39">
        <f>IF(ISNUMBER($AD794),($AD794+$AE794+$AF794)*$AG794,"")</f>
      </c>
      <c r="AI794" s="50"/>
      <c r="AJ794" s="38">
        <f>IF(ISNUMBER($AD794),SUM($AD794:$AH794),"")</f>
      </c>
      <c r="AK794" s="40">
        <f>IF(AND(ISNUMBER($AB794),ISNUMBER($AD794)),IF($AB794&gt;0,$AD794/$AB794,""),"")</f>
      </c>
      <c r="AL794" s="48" t="inlineStr">
        <is>
          <t xml:space="preserve">At technical</t>
        </is>
      </c>
      <c r="AM794" s="41">
        <f>IF(ISNUMBER($AD794),Header!$I$3,"")</f>
      </c>
      <c r="AN794" s="39">
        <f>IF(ISNUMBER($AD794),$AO794+$AP794,"")</f>
      </c>
      <c r="AO794" s="39">
        <f>IF(ISNUMBER($AD794),ROUND($AD794*Header!$K$3,2),"")</f>
      </c>
      <c r="AP794" s="39">
        <f>IF(ISNUMBER($AD794),ROUND($AD794*Header!$M$3,2),"")</f>
      </c>
      <c r="AQ794" s="38">
        <f>IF(ISNUMBER($AD794),ROUND($AD794,2)-$AO794-$AP794,"")</f>
      </c>
      <c r="AR794" s="39">
        <f>IF(ISNUMBER($AD794),IF(Header!$D$34="","?",$AD794*Header!$D$34),"")</f>
      </c>
      <c r="AS794" s="39">
        <f>IF(ISNUMBER($AB794),IF(Header!$D$34="","?",$AB794*Header!$D$34),"")</f>
      </c>
      <c r="AT794" s="42">
        <f>IF(AND(ISNUMBER($AB794),$M794&gt;0),$AB794/$M794*100,"")</f>
      </c>
      <c r="AU794" s="42">
        <f>IF(AND(ISNUMBER($AD794),$M794&gt;0),$AD794/$M794*100,"")</f>
      </c>
      <c r="AV794" s="40">
        <f>IF(AND(ISNUMBER($AB794),ISNUMBER($AD794),ABS($AB794)&gt;0),$AD794/$AB794,"")</f>
      </c>
      <c r="AW794" s="39">
        <f>IF(ISNUMBER($AD794),MAX(0,(1-0.55-Header!$O$3)*Header!$Q$3*$AQ794),"")</f>
      </c>
      <c r="AX794" s="43">
        <f>IF($A794="","",IF(TRIM(IF($A794="","Missing certificate ref. ","") &amp; IF($C794="","Missing effective date. ","") &amp; IF($D794="","Missing binding status. ","") &amp; IF($E794="","Missing movement type. ","") &amp; IF($I794="","Missing make. ","") &amp; IF($L794="","Missing vehicle class. ","") &amp; IF($M794="","Missing agreed value. ","") &amp; IF($N794="","Missing policy type. ","") &amp; IF($Q794="","Missing garaging state. ","") &amp; IF($R794="","Missing garaging ZIP. ","") &amp; IF($S794="","Missing cat zone. ","") &amp; IF($V794="","Missing valuation basis. ","") &amp; IF($W794="","Missing PD deductible. ","") &amp; IF($X794="","Missing liability limit. ","") &amp; IF($AB794="","Missing technical premium. ","") &amp; IF($AF794="","Missing surplus lines tax %. ",""))="","PASS","FAIL: "&amp;TRIM(IF($A794="","Missing certificate ref. ","") &amp; IF($C794="","Missing effective date. ","") &amp; IF($D794="","Missing binding status. ","") &amp; IF($E794="","Missing movement type. ","") &amp; IF($I794="","Missing make. ","") &amp; IF($L794="","Missing vehicle class. ","") &amp; IF($M794="","Missing agreed value. ","") &amp; IF($N794="","Missing policy type. ","") &amp; IF($Q794="","Missing garaging state. ","") &amp; IF($R794="","Missing garaging ZIP. ","") &amp; IF($S794="","Missing cat zone. ","") &amp; IF($V794="","Missing valuation basis. ","") &amp; IF($W794="","Missing PD deductible. ","") &amp; IF($X794="","Missing liability limit. ","") &amp; IF($AB794="","Missing technical premium. ","") &amp; IF($AF794="","Missing surplus lines tax %. ",""))))</f>
      </c>
      <c r="AY794" s="44">
        <f>IF($M794="","",IF(ISNUMBER($M794),IF($M794&gt;=Header!$C$18,"YES — refer","No"),""))</f>
      </c>
      <c r="AZ794" s="44">
        <f>IF($AD794="","",IF(ISNUMBER($AD794),IF($AD794&lt;Header!$C$20,"BELOW MIN PREMIUM","OK"),""))</f>
      </c>
      <c r="BA794" s="48" t="inlineStr">
        <is>
          <t xml:space="preserve">Yes</t>
        </is>
      </c>
      <c r="BB794" s="48" t="inlineStr">
        <is>
          <t xml:space="preserve">Yes</t>
        </is>
      </c>
      <c r="BC794" s="46" t="inlineStr">
        <is>
          <t xml:space="preserve">Synthetic demo data</t>
        </is>
      </c>
      <c r="BE794" s="45">
        <f>IF(OR($A794="",$L794="",$H794=""),"",IF(AND(LEFT($L794,2)="06",$H794&gt;1945),"FAIL - pre-war class, year "&amp;$H794,IF(AND(LEFT($L794,2)="07",OR($H794&lt;1946,$H794&gt;1972)),"FAIL - 1946-72 class, year "&amp;$H794,IF(AND(LEFT($L794,2)="08",OR($H794&lt;1973,$H794&gt;1999)),"FAIL - 1973-99 class, year "&amp;$H794,IF(AND(LEFT($L794,2)="09",OR($H794&lt;2000,$H794&gt;2010)),"FAIL - 2000-10 class, year "&amp;$H794,"OK")))))</f>
      </c>
      <c r="BF794" s="45">
        <f>IF($AD794="","",IF(ROUND($AO794+$AP794+$AQ794-$AD794,2)=0,"OK","FAIL - out by "&amp;TEXT($AO794+$AP794+$AQ794-$AD794,"$0.00")))</f>
      </c>
    </row>
    <row r="795" spans="1:58" ht="18.75" customHeight="1" x14ac:dyDescent="0.25">
      <c r="A795" s="30" t="inlineStr">
        <is>
          <t xml:space="preserve">CANON-202606-009493</t>
        </is>
      </c>
      <c r="B795" s="30" t="inlineStr">
        <is>
          <t xml:space="preserve">Fenwick Thistlewood</t>
        </is>
      </c>
      <c r="C795" s="31">
        <v>46184</v>
      </c>
      <c r="D795" s="32" t="inlineStr">
        <is>
          <t xml:space="preserve">Bound - within authority</t>
        </is>
      </c>
      <c r="E795" s="32" t="inlineStr">
        <is>
          <t xml:space="preserve">New business</t>
        </is>
      </c>
      <c r="F795" s="30" t="inlineStr">
        <is>
          <t xml:space="preserve">B1234EXOTIC26</t>
        </is>
      </c>
      <c r="G795" s="33">
        <f>IF($A795="","",IF($C795="","",YEAR($C795)))</f>
      </c>
      <c r="H795" s="34">
        <v>1972</v>
      </c>
      <c r="I795" s="30" t="inlineStr">
        <is>
          <t xml:space="preserve">Bentley</t>
        </is>
      </c>
      <c r="J795" s="30" t="inlineStr">
        <is>
          <t xml:space="preserve">Continental GT</t>
        </is>
      </c>
      <c r="K795" s="30" t="inlineStr">
        <is>
          <t xml:space="preserve">G9UFHAZ71J15XNZVK</t>
        </is>
      </c>
      <c r="L795" s="32" t="inlineStr">
        <is>
          <t xml:space="preserve">02 - Sports / GT</t>
        </is>
      </c>
      <c r="M795" s="35">
        <v>295000</v>
      </c>
      <c r="N795" s="32" t="inlineStr">
        <is>
          <t xml:space="preserve">Personal</t>
        </is>
      </c>
      <c r="O795" s="30" t="inlineStr">
        <is>
          <t xml:space="preserve">Personal - regular use</t>
        </is>
      </c>
      <c r="P795" s="30" t="inlineStr">
        <is>
          <t xml:space="preserve">1,000 - 2,500</t>
        </is>
      </c>
      <c r="Q795" s="30" t="inlineStr">
        <is>
          <t xml:space="preserve">West Virginia</t>
        </is>
      </c>
      <c r="R795" s="30" t="inlineStr">
        <is>
          <t xml:space="preserve">25301</t>
        </is>
      </c>
      <c r="S795" s="32" t="inlineStr">
        <is>
          <t xml:space="preserve">Low hazard - inland benign</t>
        </is>
      </c>
      <c r="T795" s="36">
        <f>IF($A795="","",IF($S795="","",IFERROR(INDEX('[1]natural catastrophe'!$D$6:$D$17,MATCH($S795,'[1]natural catastrophe'!$B$6:$B$17,0)),"?")))</f>
      </c>
      <c r="U795" s="30" t="inlineStr">
        <is>
          <t xml:space="preserve">$5,000</t>
        </is>
      </c>
      <c r="V795" s="32" t="inlineStr">
        <is>
          <t xml:space="preserve">Agreed Value</t>
        </is>
      </c>
      <c r="W795" s="30" t="inlineStr">
        <is>
          <t xml:space="preserve">$1,000</t>
        </is>
      </c>
      <c r="X795" s="32" t="inlineStr">
        <is>
          <t xml:space="preserve">$1,000,000 CSL</t>
        </is>
      </c>
      <c r="Y795" s="30"/>
      <c r="Z795" s="30"/>
      <c r="AA795" s="32" t="inlineStr">
        <is>
          <t xml:space="preserve">Surplus Lines</t>
        </is>
      </c>
      <c r="AB795" s="35">
        <v>4246.26</v>
      </c>
      <c r="AC795" s="37">
        <v>0</v>
      </c>
      <c r="AD795" s="38">
        <f>IF(ISNUMBER($AB795),$AB795*(1+N($AC795)),"")</f>
      </c>
      <c r="AE795" s="35">
        <v>350</v>
      </c>
      <c r="AF795" s="35">
        <v>0</v>
      </c>
      <c r="AG795" s="37"/>
      <c r="AH795" s="39">
        <f>IF(ISNUMBER($AD795),($AD795+$AE795+$AF795)*$AG795,"")</f>
      </c>
      <c r="AI795" s="35"/>
      <c r="AJ795" s="38">
        <f>IF(ISNUMBER($AD795),SUM($AD795:$AH795),"")</f>
      </c>
      <c r="AK795" s="40">
        <f>IF(AND(ISNUMBER($AB795),ISNUMBER($AD795)),IF($AB795&gt;0,$AD795/$AB795,""),"")</f>
      </c>
      <c r="AL795" s="32" t="inlineStr">
        <is>
          <t xml:space="preserve">At technical</t>
        </is>
      </c>
      <c r="AM795" s="41">
        <f>IF(ISNUMBER($AD795),Header!$I$3,"")</f>
      </c>
      <c r="AN795" s="39">
        <f>IF(ISNUMBER($AD795),$AO795+$AP795,"")</f>
      </c>
      <c r="AO795" s="39">
        <f>IF(ISNUMBER($AD795),ROUND($AD795*Header!$K$3,2),"")</f>
      </c>
      <c r="AP795" s="39">
        <f>IF(ISNUMBER($AD795),ROUND($AD795*Header!$M$3,2),"")</f>
      </c>
      <c r="AQ795" s="38">
        <f>IF(ISNUMBER($AD795),ROUND($AD795,2)-$AO795-$AP795,"")</f>
      </c>
      <c r="AR795" s="39">
        <f>IF(ISNUMBER($AD795),IF(Header!$D$34="","?",$AD795*Header!$D$34),"")</f>
      </c>
      <c r="AS795" s="39">
        <f>IF(ISNUMBER($AB795),IF(Header!$D$34="","?",$AB795*Header!$D$34),"")</f>
      </c>
      <c r="AT795" s="42">
        <f>IF(AND(ISNUMBER($AB795),$M795&gt;0),$AB795/$M795*100,"")</f>
      </c>
      <c r="AU795" s="42">
        <f>IF(AND(ISNUMBER($AD795),$M795&gt;0),$AD795/$M795*100,"")</f>
      </c>
      <c r="AV795" s="40">
        <f>IF(AND(ISNUMBER($AB795),ISNUMBER($AD795),ABS($AB795)&gt;0),$AD795/$AB795,"")</f>
      </c>
      <c r="AW795" s="39">
        <f>IF(ISNUMBER($AD795),MAX(0,(1-0.55-Header!$O$3)*Header!$Q$3*$AQ795),"")</f>
      </c>
      <c r="AX795" s="43">
        <f>IF($A795="","",IF(TRIM(IF($A795="","Missing certificate ref. ","") &amp; IF($C795="","Missing effective date. ","") &amp; IF($D795="","Missing binding status. ","") &amp; IF($E795="","Missing movement type. ","") &amp; IF($I795="","Missing make. ","") &amp; IF($L795="","Missing vehicle class. ","") &amp; IF($M795="","Missing agreed value. ","") &amp; IF($N795="","Missing policy type. ","") &amp; IF($Q795="","Missing garaging state. ","") &amp; IF($R795="","Missing garaging ZIP. ","") &amp; IF($S795="","Missing cat zone. ","") &amp; IF($V795="","Missing valuation basis. ","") &amp; IF($W795="","Missing PD deductible. ","") &amp; IF($X795="","Missing liability limit. ","") &amp; IF($AB795="","Missing technical premium. ","") &amp; IF($AF795="","Missing surplus lines tax %. ",""))="","PASS","FAIL: "&amp;TRIM(IF($A795="","Missing certificate ref. ","") &amp; IF($C795="","Missing effective date. ","") &amp; IF($D795="","Missing binding status. ","") &amp; IF($E795="","Missing movement type. ","") &amp; IF($I795="","Missing make. ","") &amp; IF($L795="","Missing vehicle class. ","") &amp; IF($M795="","Missing agreed value. ","") &amp; IF($N795="","Missing policy type. ","") &amp; IF($Q795="","Missing garaging state. ","") &amp; IF($R795="","Missing garaging ZIP. ","") &amp; IF($S795="","Missing cat zone. ","") &amp; IF($V795="","Missing valuation basis. ","") &amp; IF($W795="","Missing PD deductible. ","") &amp; IF($X795="","Missing liability limit. ","") &amp; IF($AB795="","Missing technical premium. ","") &amp; IF($AF795="","Missing surplus lines tax %. ",""))))</f>
      </c>
      <c r="AY795" s="44">
        <f>IF($M795="","",IF(ISNUMBER($M795),IF($M795&gt;=Header!$C$18,"YES — refer","No"),""))</f>
      </c>
      <c r="AZ795" s="44">
        <f>IF($AD795="","",IF(ISNUMBER($AD795),IF($AD795&lt;Header!$C$20,"BELOW MIN PREMIUM","OK"),""))</f>
      </c>
      <c r="BA795" s="32" t="inlineStr">
        <is>
          <t xml:space="preserve">Yes</t>
        </is>
      </c>
      <c r="BB795" s="32" t="inlineStr">
        <is>
          <t xml:space="preserve">Yes</t>
        </is>
      </c>
      <c r="BC795" s="30" t="inlineStr">
        <is>
          <t xml:space="preserve">Synthetic demo data</t>
        </is>
      </c>
      <c r="BE795" s="45">
        <f>IF(OR($A795="",$L795="",$H795=""),"",IF(AND(LEFT($L795,2)="06",$H795&gt;1945),"FAIL - pre-war class, year "&amp;$H795,IF(AND(LEFT($L795,2)="07",OR($H795&lt;1946,$H795&gt;1972)),"FAIL - 1946-72 class, year "&amp;$H795,IF(AND(LEFT($L795,2)="08",OR($H795&lt;1973,$H795&gt;1999)),"FAIL - 1973-99 class, year "&amp;$H795,IF(AND(LEFT($L795,2)="09",OR($H795&lt;2000,$H795&gt;2010)),"FAIL - 2000-10 class, year "&amp;$H795,"OK")))))</f>
      </c>
      <c r="BF795" s="45">
        <f>IF($AD795="","",IF(ROUND($AO795+$AP795+$AQ795-$AD795,2)=0,"OK","FAIL - out by "&amp;TEXT($AO795+$AP795+$AQ795-$AD795,"$0.00")))</f>
      </c>
    </row>
    <row r="796" spans="1:58" ht="18.75" customHeight="1" x14ac:dyDescent="0.25">
      <c r="A796" s="46" t="inlineStr">
        <is>
          <t xml:space="preserve">CANON-202606-009494</t>
        </is>
      </c>
      <c r="B796" s="46" t="inlineStr">
        <is>
          <t xml:space="preserve">Thaddeus Castellanos</t>
        </is>
      </c>
      <c r="C796" s="47">
        <v>46178</v>
      </c>
      <c r="D796" s="48" t="inlineStr">
        <is>
          <t xml:space="preserve">Bound - within authority</t>
        </is>
      </c>
      <c r="E796" s="48" t="inlineStr">
        <is>
          <t xml:space="preserve">New business</t>
        </is>
      </c>
      <c r="F796" s="46" t="inlineStr">
        <is>
          <t xml:space="preserve">B1234EXOTIC26</t>
        </is>
      </c>
      <c r="G796" s="33">
        <f>IF($A796="","",IF($C796="","",YEAR($C796)))</f>
      </c>
      <c r="H796" s="49">
        <v>1965</v>
      </c>
      <c r="I796" s="46" t="inlineStr">
        <is>
          <t xml:space="preserve">Mercedes-Benz</t>
        </is>
      </c>
      <c r="J796" s="46" t="inlineStr">
        <is>
          <t xml:space="preserve">280SL Pagoda</t>
        </is>
      </c>
      <c r="K796" s="46" t="inlineStr">
        <is>
          <t xml:space="preserve">XB992FTL0S3BP7DJ6</t>
        </is>
      </c>
      <c r="L796" s="48" t="inlineStr">
        <is>
          <t xml:space="preserve">07 - Post-War Classic (1946-1972)</t>
        </is>
      </c>
      <c r="M796" s="50">
        <v>620000</v>
      </c>
      <c r="N796" s="48" t="inlineStr">
        <is>
          <t xml:space="preserve">Personal</t>
        </is>
      </c>
      <c r="O796" s="46" t="inlineStr">
        <is>
          <t xml:space="preserve">Personal - regular use</t>
        </is>
      </c>
      <c r="P796" s="46" t="inlineStr">
        <is>
          <t xml:space="preserve">Under 1,000</t>
        </is>
      </c>
      <c r="Q796" s="46" t="inlineStr">
        <is>
          <t xml:space="preserve">Arizona</t>
        </is>
      </c>
      <c r="R796" s="46" t="inlineStr">
        <is>
          <t xml:space="preserve">85001</t>
        </is>
      </c>
      <c r="S796" s="48" t="inlineStr">
        <is>
          <t xml:space="preserve">Wildfire - WUI high hazard</t>
        </is>
      </c>
      <c r="T796" s="36">
        <f>IF($A796="","",IF($S796="","",IFERROR(INDEX('[1]natural catastrophe'!$D$6:$D$17,MATCH($S796,'[1]natural catastrophe'!$B$6:$B$17,0)),"?")))</f>
      </c>
      <c r="U796" s="46" t="inlineStr">
        <is>
          <t xml:space="preserve">$5,000</t>
        </is>
      </c>
      <c r="V796" s="48" t="inlineStr">
        <is>
          <t xml:space="preserve">Agreed Value</t>
        </is>
      </c>
      <c r="W796" s="46" t="inlineStr">
        <is>
          <t xml:space="preserve">$1,000</t>
        </is>
      </c>
      <c r="X796" s="48" t="inlineStr">
        <is>
          <t xml:space="preserve">$1,000,000 CSL</t>
        </is>
      </c>
      <c r="Y796" s="46"/>
      <c r="Z796" s="46"/>
      <c r="AA796" s="48" t="inlineStr">
        <is>
          <t xml:space="preserve">Surplus Lines</t>
        </is>
      </c>
      <c r="AB796" s="50">
        <v>3885.56</v>
      </c>
      <c r="AC796" s="51">
        <v>0</v>
      </c>
      <c r="AD796" s="38">
        <f>IF(ISNUMBER($AB796),$AB796*(1+N($AC796)),"")</f>
      </c>
      <c r="AE796" s="50">
        <v>350</v>
      </c>
      <c r="AF796" s="50">
        <v>0</v>
      </c>
      <c r="AG796" s="51"/>
      <c r="AH796" s="39">
        <f>IF(ISNUMBER($AD796),($AD796+$AE796+$AF796)*$AG796,"")</f>
      </c>
      <c r="AI796" s="50"/>
      <c r="AJ796" s="38">
        <f>IF(ISNUMBER($AD796),SUM($AD796:$AH796),"")</f>
      </c>
      <c r="AK796" s="40">
        <f>IF(AND(ISNUMBER($AB796),ISNUMBER($AD796)),IF($AB796&gt;0,$AD796/$AB796,""),"")</f>
      </c>
      <c r="AL796" s="48" t="inlineStr">
        <is>
          <t xml:space="preserve">At technical</t>
        </is>
      </c>
      <c r="AM796" s="41">
        <f>IF(ISNUMBER($AD796),Header!$I$3,"")</f>
      </c>
      <c r="AN796" s="39">
        <f>IF(ISNUMBER($AD796),$AO796+$AP796,"")</f>
      </c>
      <c r="AO796" s="39">
        <f>IF(ISNUMBER($AD796),ROUND($AD796*Header!$K$3,2),"")</f>
      </c>
      <c r="AP796" s="39">
        <f>IF(ISNUMBER($AD796),ROUND($AD796*Header!$M$3,2),"")</f>
      </c>
      <c r="AQ796" s="38">
        <f>IF(ISNUMBER($AD796),ROUND($AD796,2)-$AO796-$AP796,"")</f>
      </c>
      <c r="AR796" s="39">
        <f>IF(ISNUMBER($AD796),IF(Header!$D$34="","?",$AD796*Header!$D$34),"")</f>
      </c>
      <c r="AS796" s="39">
        <f>IF(ISNUMBER($AB796),IF(Header!$D$34="","?",$AB796*Header!$D$34),"")</f>
      </c>
      <c r="AT796" s="42">
        <f>IF(AND(ISNUMBER($AB796),$M796&gt;0),$AB796/$M796*100,"")</f>
      </c>
      <c r="AU796" s="42">
        <f>IF(AND(ISNUMBER($AD796),$M796&gt;0),$AD796/$M796*100,"")</f>
      </c>
      <c r="AV796" s="40">
        <f>IF(AND(ISNUMBER($AB796),ISNUMBER($AD796),ABS($AB796)&gt;0),$AD796/$AB796,"")</f>
      </c>
      <c r="AW796" s="39">
        <f>IF(ISNUMBER($AD796),MAX(0,(1-0.55-Header!$O$3)*Header!$Q$3*$AQ796),"")</f>
      </c>
      <c r="AX796" s="43">
        <f>IF($A796="","",IF(TRIM(IF($A796="","Missing certificate ref. ","") &amp; IF($C796="","Missing effective date. ","") &amp; IF($D796="","Missing binding status. ","") &amp; IF($E796="","Missing movement type. ","") &amp; IF($I796="","Missing make. ","") &amp; IF($L796="","Missing vehicle class. ","") &amp; IF($M796="","Missing agreed value. ","") &amp; IF($N796="","Missing policy type. ","") &amp; IF($Q796="","Missing garaging state. ","") &amp; IF($R796="","Missing garaging ZIP. ","") &amp; IF($S796="","Missing cat zone. ","") &amp; IF($V796="","Missing valuation basis. ","") &amp; IF($W796="","Missing PD deductible. ","") &amp; IF($X796="","Missing liability limit. ","") &amp; IF($AB796="","Missing technical premium. ","") &amp; IF($AF796="","Missing surplus lines tax %. ",""))="","PASS","FAIL: "&amp;TRIM(IF($A796="","Missing certificate ref. ","") &amp; IF($C796="","Missing effective date. ","") &amp; IF($D796="","Missing binding status. ","") &amp; IF($E796="","Missing movement type. ","") &amp; IF($I796="","Missing make. ","") &amp; IF($L796="","Missing vehicle class. ","") &amp; IF($M796="","Missing agreed value. ","") &amp; IF($N796="","Missing policy type. ","") &amp; IF($Q796="","Missing garaging state. ","") &amp; IF($R796="","Missing garaging ZIP. ","") &amp; IF($S796="","Missing cat zone. ","") &amp; IF($V796="","Missing valuation basis. ","") &amp; IF($W796="","Missing PD deductible. ","") &amp; IF($X796="","Missing liability limit. ","") &amp; IF($AB796="","Missing technical premium. ","") &amp; IF($AF796="","Missing surplus lines tax %. ",""))))</f>
      </c>
      <c r="AY796" s="44">
        <f>IF($M796="","",IF(ISNUMBER($M796),IF($M796&gt;=Header!$C$18,"YES — refer","No"),""))</f>
      </c>
      <c r="AZ796" s="44">
        <f>IF($AD796="","",IF(ISNUMBER($AD796),IF($AD796&lt;Header!$C$20,"BELOW MIN PREMIUM","OK"),""))</f>
      </c>
      <c r="BA796" s="48" t="inlineStr">
        <is>
          <t xml:space="preserve">Yes</t>
        </is>
      </c>
      <c r="BB796" s="48" t="inlineStr">
        <is>
          <t xml:space="preserve">Yes</t>
        </is>
      </c>
      <c r="BC796" s="46" t="inlineStr">
        <is>
          <t xml:space="preserve">Synthetic demo data</t>
        </is>
      </c>
      <c r="BE796" s="45">
        <f>IF(OR($A796="",$L796="",$H796=""),"",IF(AND(LEFT($L796,2)="06",$H796&gt;1945),"FAIL - pre-war class, year "&amp;$H796,IF(AND(LEFT($L796,2)="07",OR($H796&lt;1946,$H796&gt;1972)),"FAIL - 1946-72 class, year "&amp;$H796,IF(AND(LEFT($L796,2)="08",OR($H796&lt;1973,$H796&gt;1999)),"FAIL - 1973-99 class, year "&amp;$H796,IF(AND(LEFT($L796,2)="09",OR($H796&lt;2000,$H796&gt;2010)),"FAIL - 2000-10 class, year "&amp;$H796,"OK")))))</f>
      </c>
      <c r="BF796" s="45">
        <f>IF($AD796="","",IF(ROUND($AO796+$AP796+$AQ796-$AD796,2)=0,"OK","FAIL - out by "&amp;TEXT($AO796+$AP796+$AQ796-$AD796,"$0.00")))</f>
      </c>
    </row>
    <row r="797" spans="1:58" ht="18.75" customHeight="1" x14ac:dyDescent="0.25">
      <c r="A797" s="30" t="inlineStr">
        <is>
          <t xml:space="preserve">CANON-202606-009495</t>
        </is>
      </c>
      <c r="B797" s="30" t="inlineStr">
        <is>
          <t xml:space="preserve">Beatrix Ashcombe</t>
        </is>
      </c>
      <c r="C797" s="31">
        <v>46185</v>
      </c>
      <c r="D797" s="32" t="inlineStr">
        <is>
          <t xml:space="preserve">Bound - within authority</t>
        </is>
      </c>
      <c r="E797" s="32" t="inlineStr">
        <is>
          <t xml:space="preserve">New business</t>
        </is>
      </c>
      <c r="F797" s="30" t="inlineStr">
        <is>
          <t xml:space="preserve">B1234EXOTIC26</t>
        </is>
      </c>
      <c r="G797" s="33">
        <f>IF($A797="","",IF($C797="","",YEAR($C797)))</f>
      </c>
      <c r="H797" s="34">
        <v>2022</v>
      </c>
      <c r="I797" s="30" t="inlineStr">
        <is>
          <t xml:space="preserve">Aston Martin</t>
        </is>
      </c>
      <c r="J797" s="30" t="inlineStr">
        <is>
          <t xml:space="preserve">DB5</t>
        </is>
      </c>
      <c r="K797" s="30" t="inlineStr">
        <is>
          <t xml:space="preserve">C8UJ9X50J38UHBHLM</t>
        </is>
      </c>
      <c r="L797" s="32" t="inlineStr">
        <is>
          <t xml:space="preserve">02 - Sports / GT</t>
        </is>
      </c>
      <c r="M797" s="35">
        <v>930000</v>
      </c>
      <c r="N797" s="32" t="inlineStr">
        <is>
          <t xml:space="preserve">Personal</t>
        </is>
      </c>
      <c r="O797" s="30" t="inlineStr">
        <is>
          <t xml:space="preserve">Personal - regular use</t>
        </is>
      </c>
      <c r="P797" s="30" t="inlineStr">
        <is>
          <t xml:space="preserve">2,500 - 5,000</t>
        </is>
      </c>
      <c r="Q797" s="30" t="inlineStr">
        <is>
          <t xml:space="preserve">Delaware</t>
        </is>
      </c>
      <c r="R797" s="30" t="inlineStr">
        <is>
          <t xml:space="preserve">19801</t>
        </is>
      </c>
      <c r="S797" s="32" t="inlineStr">
        <is>
          <t xml:space="preserve">Tier 3 - Coastal wind (25-100 miles)</t>
        </is>
      </c>
      <c r="T797" s="36">
        <f>IF($A797="","",IF($S797="","",IFERROR(INDEX('[1]natural catastrophe'!$D$6:$D$17,MATCH($S797,'[1]natural catastrophe'!$B$6:$B$17,0)),"?")))</f>
      </c>
      <c r="U797" s="30" t="inlineStr">
        <is>
          <t xml:space="preserve">2% of agreed value, minimum $10,000</t>
        </is>
      </c>
      <c r="V797" s="32" t="inlineStr">
        <is>
          <t xml:space="preserve">Agreed Value</t>
        </is>
      </c>
      <c r="W797" s="30" t="inlineStr">
        <is>
          <t xml:space="preserve">$1,000</t>
        </is>
      </c>
      <c r="X797" s="32" t="inlineStr">
        <is>
          <t xml:space="preserve">$1,000,000 CSL</t>
        </is>
      </c>
      <c r="Y797" s="30"/>
      <c r="Z797" s="30"/>
      <c r="AA797" s="32" t="inlineStr">
        <is>
          <t xml:space="preserve">Surplus Lines</t>
        </is>
      </c>
      <c r="AB797" s="35">
        <v>7213.29</v>
      </c>
      <c r="AC797" s="37">
        <v>0</v>
      </c>
      <c r="AD797" s="38">
        <f>IF(ISNUMBER($AB797),$AB797*(1+N($AC797)),"")</f>
      </c>
      <c r="AE797" s="35">
        <v>350</v>
      </c>
      <c r="AF797" s="35">
        <v>0</v>
      </c>
      <c r="AG797" s="37"/>
      <c r="AH797" s="39">
        <f>IF(ISNUMBER($AD797),($AD797+$AE797+$AF797)*$AG797,"")</f>
      </c>
      <c r="AI797" s="35"/>
      <c r="AJ797" s="38">
        <f>IF(ISNUMBER($AD797),SUM($AD797:$AH797),"")</f>
      </c>
      <c r="AK797" s="40">
        <f>IF(AND(ISNUMBER($AB797),ISNUMBER($AD797)),IF($AB797&gt;0,$AD797/$AB797,""),"")</f>
      </c>
      <c r="AL797" s="32" t="inlineStr">
        <is>
          <t xml:space="preserve">At technical</t>
        </is>
      </c>
      <c r="AM797" s="41">
        <f>IF(ISNUMBER($AD797),Header!$I$3,"")</f>
      </c>
      <c r="AN797" s="39">
        <f>IF(ISNUMBER($AD797),$AO797+$AP797,"")</f>
      </c>
      <c r="AO797" s="39">
        <f>IF(ISNUMBER($AD797),ROUND($AD797*Header!$K$3,2),"")</f>
      </c>
      <c r="AP797" s="39">
        <f>IF(ISNUMBER($AD797),ROUND($AD797*Header!$M$3,2),"")</f>
      </c>
      <c r="AQ797" s="38">
        <f>IF(ISNUMBER($AD797),ROUND($AD797,2)-$AO797-$AP797,"")</f>
      </c>
      <c r="AR797" s="39">
        <f>IF(ISNUMBER($AD797),IF(Header!$D$34="","?",$AD797*Header!$D$34),"")</f>
      </c>
      <c r="AS797" s="39">
        <f>IF(ISNUMBER($AB797),IF(Header!$D$34="","?",$AB797*Header!$D$34),"")</f>
      </c>
      <c r="AT797" s="42">
        <f>IF(AND(ISNUMBER($AB797),$M797&gt;0),$AB797/$M797*100,"")</f>
      </c>
      <c r="AU797" s="42">
        <f>IF(AND(ISNUMBER($AD797),$M797&gt;0),$AD797/$M797*100,"")</f>
      </c>
      <c r="AV797" s="40">
        <f>IF(AND(ISNUMBER($AB797),ISNUMBER($AD797),ABS($AB797)&gt;0),$AD797/$AB797,"")</f>
      </c>
      <c r="AW797" s="39">
        <f>IF(ISNUMBER($AD797),MAX(0,(1-0.55-Header!$O$3)*Header!$Q$3*$AQ797),"")</f>
      </c>
      <c r="AX797" s="43">
        <f>IF($A797="","",IF(TRIM(IF($A797="","Missing certificate ref. ","") &amp; IF($C797="","Missing effective date. ","") &amp; IF($D797="","Missing binding status. ","") &amp; IF($E797="","Missing movement type. ","") &amp; IF($I797="","Missing make. ","") &amp; IF($L797="","Missing vehicle class. ","") &amp; IF($M797="","Missing agreed value. ","") &amp; IF($N797="","Missing policy type. ","") &amp; IF($Q797="","Missing garaging state. ","") &amp; IF($R797="","Missing garaging ZIP. ","") &amp; IF($S797="","Missing cat zone. ","") &amp; IF($V797="","Missing valuation basis. ","") &amp; IF($W797="","Missing PD deductible. ","") &amp; IF($X797="","Missing liability limit. ","") &amp; IF($AB797="","Missing technical premium. ","") &amp; IF($AF797="","Missing surplus lines tax %. ",""))="","PASS","FAIL: "&amp;TRIM(IF($A797="","Missing certificate ref. ","") &amp; IF($C797="","Missing effective date. ","") &amp; IF($D797="","Missing binding status. ","") &amp; IF($E797="","Missing movement type. ","") &amp; IF($I797="","Missing make. ","") &amp; IF($L797="","Missing vehicle class. ","") &amp; IF($M797="","Missing agreed value. ","") &amp; IF($N797="","Missing policy type. ","") &amp; IF($Q797="","Missing garaging state. ","") &amp; IF($R797="","Missing garaging ZIP. ","") &amp; IF($S797="","Missing cat zone. ","") &amp; IF($V797="","Missing valuation basis. ","") &amp; IF($W797="","Missing PD deductible. ","") &amp; IF($X797="","Missing liability limit. ","") &amp; IF($AB797="","Missing technical premium. ","") &amp; IF($AF797="","Missing surplus lines tax %. ",""))))</f>
      </c>
      <c r="AY797" s="44">
        <f>IF($M797="","",IF(ISNUMBER($M797),IF($M797&gt;=Header!$C$18,"YES — refer","No"),""))</f>
      </c>
      <c r="AZ797" s="44">
        <f>IF($AD797="","",IF(ISNUMBER($AD797),IF($AD797&lt;Header!$C$20,"BELOW MIN PREMIUM","OK"),""))</f>
      </c>
      <c r="BA797" s="32" t="inlineStr">
        <is>
          <t xml:space="preserve">Yes</t>
        </is>
      </c>
      <c r="BB797" s="32" t="inlineStr">
        <is>
          <t xml:space="preserve">Yes</t>
        </is>
      </c>
      <c r="BC797" s="30" t="inlineStr">
        <is>
          <t xml:space="preserve">Synthetic demo data</t>
        </is>
      </c>
      <c r="BE797" s="45">
        <f>IF(OR($A797="",$L797="",$H797=""),"",IF(AND(LEFT($L797,2)="06",$H797&gt;1945),"FAIL - pre-war class, year "&amp;$H797,IF(AND(LEFT($L797,2)="07",OR($H797&lt;1946,$H797&gt;1972)),"FAIL - 1946-72 class, year "&amp;$H797,IF(AND(LEFT($L797,2)="08",OR($H797&lt;1973,$H797&gt;1999)),"FAIL - 1973-99 class, year "&amp;$H797,IF(AND(LEFT($L797,2)="09",OR($H797&lt;2000,$H797&gt;2010)),"FAIL - 2000-10 class, year "&amp;$H797,"OK")))))</f>
      </c>
      <c r="BF797" s="45">
        <f>IF($AD797="","",IF(ROUND($AO797+$AP797+$AQ797-$AD797,2)=0,"OK","FAIL - out by "&amp;TEXT($AO797+$AP797+$AQ797-$AD797,"$0.00")))</f>
      </c>
    </row>
    <row r="798" spans="1:58" ht="18.75" customHeight="1" x14ac:dyDescent="0.25">
      <c r="A798" s="46" t="inlineStr">
        <is>
          <t xml:space="preserve">CANON-202606-009496</t>
        </is>
      </c>
      <c r="B798" s="46" t="inlineStr">
        <is>
          <t xml:space="preserve">Cassius Whitlock</t>
        </is>
      </c>
      <c r="C798" s="47">
        <v>46182</v>
      </c>
      <c r="D798" s="48" t="inlineStr">
        <is>
          <t xml:space="preserve">Bound - within authority</t>
        </is>
      </c>
      <c r="E798" s="48" t="inlineStr">
        <is>
          <t xml:space="preserve">New business</t>
        </is>
      </c>
      <c r="F798" s="46" t="inlineStr">
        <is>
          <t xml:space="preserve">B1234EXOTIC26</t>
        </is>
      </c>
      <c r="G798" s="33">
        <f>IF($A798="","",IF($C798="","",YEAR($C798)))</f>
      </c>
      <c r="H798" s="49">
        <v>1975</v>
      </c>
      <c r="I798" s="46" t="inlineStr">
        <is>
          <t xml:space="preserve">Porsche</t>
        </is>
      </c>
      <c r="J798" s="46" t="inlineStr">
        <is>
          <t xml:space="preserve">911 Turbo S</t>
        </is>
      </c>
      <c r="K798" s="46" t="inlineStr">
        <is>
          <t xml:space="preserve">AAYEGHHD0AGSDR12Z</t>
        </is>
      </c>
      <c r="L798" s="48" t="inlineStr">
        <is>
          <t xml:space="preserve">02 - Sports / GT</t>
        </is>
      </c>
      <c r="M798" s="50">
        <v>295000</v>
      </c>
      <c r="N798" s="48" t="inlineStr">
        <is>
          <t xml:space="preserve">Personal</t>
        </is>
      </c>
      <c r="O798" s="46" t="inlineStr">
        <is>
          <t xml:space="preserve">Personal - regular use</t>
        </is>
      </c>
      <c r="P798" s="46" t="inlineStr">
        <is>
          <t xml:space="preserve">1,000 - 2,500</t>
        </is>
      </c>
      <c r="Q798" s="46" t="inlineStr">
        <is>
          <t xml:space="preserve">Ohio</t>
        </is>
      </c>
      <c r="R798" s="46" t="inlineStr">
        <is>
          <t xml:space="preserve">43215</t>
        </is>
      </c>
      <c r="S798" s="48" t="inlineStr">
        <is>
          <t xml:space="preserve">Severe convective - hail / tornado (moderate)</t>
        </is>
      </c>
      <c r="T798" s="36">
        <f>IF($A798="","",IF($S798="","",IFERROR(INDEX('[1]natural catastrophe'!$D$6:$D$17,MATCH($S798,'[1]natural catastrophe'!$B$6:$B$17,0)),"?")))</f>
      </c>
      <c r="U798" s="46" t="inlineStr">
        <is>
          <t xml:space="preserve">$5,000</t>
        </is>
      </c>
      <c r="V798" s="48" t="inlineStr">
        <is>
          <t xml:space="preserve">Agreed Value</t>
        </is>
      </c>
      <c r="W798" s="46" t="inlineStr">
        <is>
          <t xml:space="preserve">$1,000</t>
        </is>
      </c>
      <c r="X798" s="48" t="inlineStr">
        <is>
          <t xml:space="preserve">$1,000,000 CSL</t>
        </is>
      </c>
      <c r="Y798" s="46"/>
      <c r="Z798" s="46"/>
      <c r="AA798" s="48" t="inlineStr">
        <is>
          <t xml:space="preserve">Surplus Lines</t>
        </is>
      </c>
      <c r="AB798" s="50">
        <v>4437.82</v>
      </c>
      <c r="AC798" s="51">
        <v>0</v>
      </c>
      <c r="AD798" s="38">
        <f>IF(ISNUMBER($AB798),$AB798*(1+N($AC798)),"")</f>
      </c>
      <c r="AE798" s="50">
        <v>350</v>
      </c>
      <c r="AF798" s="50">
        <v>0</v>
      </c>
      <c r="AG798" s="51"/>
      <c r="AH798" s="39">
        <f>IF(ISNUMBER($AD798),($AD798+$AE798+$AF798)*$AG798,"")</f>
      </c>
      <c r="AI798" s="50"/>
      <c r="AJ798" s="38">
        <f>IF(ISNUMBER($AD798),SUM($AD798:$AH798),"")</f>
      </c>
      <c r="AK798" s="40">
        <f>IF(AND(ISNUMBER($AB798),ISNUMBER($AD798)),IF($AB798&gt;0,$AD798/$AB798,""),"")</f>
      </c>
      <c r="AL798" s="48" t="inlineStr">
        <is>
          <t xml:space="preserve">At technical</t>
        </is>
      </c>
      <c r="AM798" s="41">
        <f>IF(ISNUMBER($AD798),Header!$I$3,"")</f>
      </c>
      <c r="AN798" s="39">
        <f>IF(ISNUMBER($AD798),$AO798+$AP798,"")</f>
      </c>
      <c r="AO798" s="39">
        <f>IF(ISNUMBER($AD798),ROUND($AD798*Header!$K$3,2),"")</f>
      </c>
      <c r="AP798" s="39">
        <f>IF(ISNUMBER($AD798),ROUND($AD798*Header!$M$3,2),"")</f>
      </c>
      <c r="AQ798" s="38">
        <f>IF(ISNUMBER($AD798),ROUND($AD798,2)-$AO798-$AP798,"")</f>
      </c>
      <c r="AR798" s="39">
        <f>IF(ISNUMBER($AD798),IF(Header!$D$34="","?",$AD798*Header!$D$34),"")</f>
      </c>
      <c r="AS798" s="39">
        <f>IF(ISNUMBER($AB798),IF(Header!$D$34="","?",$AB798*Header!$D$34),"")</f>
      </c>
      <c r="AT798" s="42">
        <f>IF(AND(ISNUMBER($AB798),$M798&gt;0),$AB798/$M798*100,"")</f>
      </c>
      <c r="AU798" s="42">
        <f>IF(AND(ISNUMBER($AD798),$M798&gt;0),$AD798/$M798*100,"")</f>
      </c>
      <c r="AV798" s="40">
        <f>IF(AND(ISNUMBER($AB798),ISNUMBER($AD798),ABS($AB798)&gt;0),$AD798/$AB798,"")</f>
      </c>
      <c r="AW798" s="39">
        <f>IF(ISNUMBER($AD798),MAX(0,(1-0.55-Header!$O$3)*Header!$Q$3*$AQ798),"")</f>
      </c>
      <c r="AX798" s="43">
        <f>IF($A798="","",IF(TRIM(IF($A798="","Missing certificate ref. ","") &amp; IF($C798="","Missing effective date. ","") &amp; IF($D798="","Missing binding status. ","") &amp; IF($E798="","Missing movement type. ","") &amp; IF($I798="","Missing make. ","") &amp; IF($L798="","Missing vehicle class. ","") &amp; IF($M798="","Missing agreed value. ","") &amp; IF($N798="","Missing policy type. ","") &amp; IF($Q798="","Missing garaging state. ","") &amp; IF($R798="","Missing garaging ZIP. ","") &amp; IF($S798="","Missing cat zone. ","") &amp; IF($V798="","Missing valuation basis. ","") &amp; IF($W798="","Missing PD deductible. ","") &amp; IF($X798="","Missing liability limit. ","") &amp; IF($AB798="","Missing technical premium. ","") &amp; IF($AF798="","Missing surplus lines tax %. ",""))="","PASS","FAIL: "&amp;TRIM(IF($A798="","Missing certificate ref. ","") &amp; IF($C798="","Missing effective date. ","") &amp; IF($D798="","Missing binding status. ","") &amp; IF($E798="","Missing movement type. ","") &amp; IF($I798="","Missing make. ","") &amp; IF($L798="","Missing vehicle class. ","") &amp; IF($M798="","Missing agreed value. ","") &amp; IF($N798="","Missing policy type. ","") &amp; IF($Q798="","Missing garaging state. ","") &amp; IF($R798="","Missing garaging ZIP. ","") &amp; IF($S798="","Missing cat zone. ","") &amp; IF($V798="","Missing valuation basis. ","") &amp; IF($W798="","Missing PD deductible. ","") &amp; IF($X798="","Missing liability limit. ","") &amp; IF($AB798="","Missing technical premium. ","") &amp; IF($AF798="","Missing surplus lines tax %. ",""))))</f>
      </c>
      <c r="AY798" s="44">
        <f>IF($M798="","",IF(ISNUMBER($M798),IF($M798&gt;=Header!$C$18,"YES — refer","No"),""))</f>
      </c>
      <c r="AZ798" s="44">
        <f>IF($AD798="","",IF(ISNUMBER($AD798),IF($AD798&lt;Header!$C$20,"BELOW MIN PREMIUM","OK"),""))</f>
      </c>
      <c r="BA798" s="48" t="inlineStr">
        <is>
          <t xml:space="preserve">Yes</t>
        </is>
      </c>
      <c r="BB798" s="48" t="inlineStr">
        <is>
          <t xml:space="preserve">Yes</t>
        </is>
      </c>
      <c r="BC798" s="46" t="inlineStr">
        <is>
          <t xml:space="preserve">Synthetic demo data</t>
        </is>
      </c>
      <c r="BE798" s="45">
        <f>IF(OR($A798="",$L798="",$H798=""),"",IF(AND(LEFT($L798,2)="06",$H798&gt;1945),"FAIL - pre-war class, year "&amp;$H798,IF(AND(LEFT($L798,2)="07",OR($H798&lt;1946,$H798&gt;1972)),"FAIL - 1946-72 class, year "&amp;$H798,IF(AND(LEFT($L798,2)="08",OR($H798&lt;1973,$H798&gt;1999)),"FAIL - 1973-99 class, year "&amp;$H798,IF(AND(LEFT($L798,2)="09",OR($H798&lt;2000,$H798&gt;2010)),"FAIL - 2000-10 class, year "&amp;$H798,"OK")))))</f>
      </c>
      <c r="BF798" s="45">
        <f>IF($AD798="","",IF(ROUND($AO798+$AP798+$AQ798-$AD798,2)=0,"OK","FAIL - out by "&amp;TEXT($AO798+$AP798+$AQ798-$AD798,"$0.00")))</f>
      </c>
    </row>
    <row r="799" spans="1:58" ht="18.75" customHeight="1" x14ac:dyDescent="0.25">
      <c r="A799" s="30" t="inlineStr">
        <is>
          <t xml:space="preserve">CANON-202606-009497</t>
        </is>
      </c>
      <c r="B799" s="30" t="inlineStr">
        <is>
          <t xml:space="preserve">Everett Montoya</t>
        </is>
      </c>
      <c r="C799" s="31">
        <v>46189</v>
      </c>
      <c r="D799" s="32" t="inlineStr">
        <is>
          <t xml:space="preserve">Bound - within authority</t>
        </is>
      </c>
      <c r="E799" s="32" t="inlineStr">
        <is>
          <t xml:space="preserve">New business</t>
        </is>
      </c>
      <c r="F799" s="30" t="inlineStr">
        <is>
          <t xml:space="preserve">B1234EXOTIC26</t>
        </is>
      </c>
      <c r="G799" s="33">
        <f>IF($A799="","",IF($C799="","",YEAR($C799)))</f>
      </c>
      <c r="H799" s="34">
        <v>1963</v>
      </c>
      <c r="I799" s="30" t="inlineStr">
        <is>
          <t xml:space="preserve">BMW</t>
        </is>
      </c>
      <c r="J799" s="30" t="inlineStr">
        <is>
          <t xml:space="preserve">M8 Competition</t>
        </is>
      </c>
      <c r="K799" s="30" t="inlineStr">
        <is>
          <t xml:space="preserve">F8FSWRKX8V4J2ACMW</t>
        </is>
      </c>
      <c r="L799" s="32" t="inlineStr">
        <is>
          <t xml:space="preserve">02 - Sports / GT</t>
        </is>
      </c>
      <c r="M799" s="35">
        <v>545000</v>
      </c>
      <c r="N799" s="32" t="inlineStr">
        <is>
          <t xml:space="preserve">Personal</t>
        </is>
      </c>
      <c r="O799" s="30" t="inlineStr">
        <is>
          <t xml:space="preserve">Personal - regular use</t>
        </is>
      </c>
      <c r="P799" s="30" t="inlineStr">
        <is>
          <t xml:space="preserve">Under 1,000</t>
        </is>
      </c>
      <c r="Q799" s="30" t="inlineStr">
        <is>
          <t xml:space="preserve">West Virginia</t>
        </is>
      </c>
      <c r="R799" s="30" t="inlineStr">
        <is>
          <t xml:space="preserve">25301</t>
        </is>
      </c>
      <c r="S799" s="32" t="inlineStr">
        <is>
          <t xml:space="preserve">Low hazard - inland benign</t>
        </is>
      </c>
      <c r="T799" s="36">
        <f>IF($A799="","",IF($S799="","",IFERROR(INDEX('[1]natural catastrophe'!$D$6:$D$17,MATCH($S799,'[1]natural catastrophe'!$B$6:$B$17,0)),"?")))</f>
      </c>
      <c r="U799" s="30" t="inlineStr">
        <is>
          <t xml:space="preserve">$5,000</t>
        </is>
      </c>
      <c r="V799" s="32" t="inlineStr">
        <is>
          <t xml:space="preserve">Agreed Value</t>
        </is>
      </c>
      <c r="W799" s="30" t="inlineStr">
        <is>
          <t xml:space="preserve">$1,000</t>
        </is>
      </c>
      <c r="X799" s="32" t="inlineStr">
        <is>
          <t xml:space="preserve">$1,000,000 CSL</t>
        </is>
      </c>
      <c r="Y799" s="30"/>
      <c r="Z799" s="30"/>
      <c r="AA799" s="32" t="inlineStr">
        <is>
          <t xml:space="preserve">Surplus Lines</t>
        </is>
      </c>
      <c r="AB799" s="35">
        <v>6798.82</v>
      </c>
      <c r="AC799" s="37">
        <v>0</v>
      </c>
      <c r="AD799" s="38">
        <f>IF(ISNUMBER($AB799),$AB799*(1+N($AC799)),"")</f>
      </c>
      <c r="AE799" s="35">
        <v>350</v>
      </c>
      <c r="AF799" s="35">
        <v>0</v>
      </c>
      <c r="AG799" s="37"/>
      <c r="AH799" s="39">
        <f>IF(ISNUMBER($AD799),($AD799+$AE799+$AF799)*$AG799,"")</f>
      </c>
      <c r="AI799" s="35"/>
      <c r="AJ799" s="38">
        <f>IF(ISNUMBER($AD799),SUM($AD799:$AH799),"")</f>
      </c>
      <c r="AK799" s="40">
        <f>IF(AND(ISNUMBER($AB799),ISNUMBER($AD799)),IF($AB799&gt;0,$AD799/$AB799,""),"")</f>
      </c>
      <c r="AL799" s="32" t="inlineStr">
        <is>
          <t xml:space="preserve">At technical</t>
        </is>
      </c>
      <c r="AM799" s="41">
        <f>IF(ISNUMBER($AD799),Header!$I$3,"")</f>
      </c>
      <c r="AN799" s="39">
        <f>IF(ISNUMBER($AD799),$AO799+$AP799,"")</f>
      </c>
      <c r="AO799" s="39">
        <f>IF(ISNUMBER($AD799),ROUND($AD799*Header!$K$3,2),"")</f>
      </c>
      <c r="AP799" s="39">
        <f>IF(ISNUMBER($AD799),ROUND($AD799*Header!$M$3,2),"")</f>
      </c>
      <c r="AQ799" s="38">
        <f>IF(ISNUMBER($AD799),ROUND($AD799,2)-$AO799-$AP799,"")</f>
      </c>
      <c r="AR799" s="39">
        <f>IF(ISNUMBER($AD799),IF(Header!$D$34="","?",$AD799*Header!$D$34),"")</f>
      </c>
      <c r="AS799" s="39">
        <f>IF(ISNUMBER($AB799),IF(Header!$D$34="","?",$AB799*Header!$D$34),"")</f>
      </c>
      <c r="AT799" s="42">
        <f>IF(AND(ISNUMBER($AB799),$M799&gt;0),$AB799/$M799*100,"")</f>
      </c>
      <c r="AU799" s="42">
        <f>IF(AND(ISNUMBER($AD799),$M799&gt;0),$AD799/$M799*100,"")</f>
      </c>
      <c r="AV799" s="40">
        <f>IF(AND(ISNUMBER($AB799),ISNUMBER($AD799),ABS($AB799)&gt;0),$AD799/$AB799,"")</f>
      </c>
      <c r="AW799" s="39">
        <f>IF(ISNUMBER($AD799),MAX(0,(1-0.55-Header!$O$3)*Header!$Q$3*$AQ799),"")</f>
      </c>
      <c r="AX799" s="43">
        <f>IF($A799="","",IF(TRIM(IF($A799="","Missing certificate ref. ","") &amp; IF($C799="","Missing effective date. ","") &amp; IF($D799="","Missing binding status. ","") &amp; IF($E799="","Missing movement type. ","") &amp; IF($I799="","Missing make. ","") &amp; IF($L799="","Missing vehicle class. ","") &amp; IF($M799="","Missing agreed value. ","") &amp; IF($N799="","Missing policy type. ","") &amp; IF($Q799="","Missing garaging state. ","") &amp; IF($R799="","Missing garaging ZIP. ","") &amp; IF($S799="","Missing cat zone. ","") &amp; IF($V799="","Missing valuation basis. ","") &amp; IF($W799="","Missing PD deductible. ","") &amp; IF($X799="","Missing liability limit. ","") &amp; IF($AB799="","Missing technical premium. ","") &amp; IF($AF799="","Missing surplus lines tax %. ",""))="","PASS","FAIL: "&amp;TRIM(IF($A799="","Missing certificate ref. ","") &amp; IF($C799="","Missing effective date. ","") &amp; IF($D799="","Missing binding status. ","") &amp; IF($E799="","Missing movement type. ","") &amp; IF($I799="","Missing make. ","") &amp; IF($L799="","Missing vehicle class. ","") &amp; IF($M799="","Missing agreed value. ","") &amp; IF($N799="","Missing policy type. ","") &amp; IF($Q799="","Missing garaging state. ","") &amp; IF($R799="","Missing garaging ZIP. ","") &amp; IF($S799="","Missing cat zone. ","") &amp; IF($V799="","Missing valuation basis. ","") &amp; IF($W799="","Missing PD deductible. ","") &amp; IF($X799="","Missing liability limit. ","") &amp; IF($AB799="","Missing technical premium. ","") &amp; IF($AF799="","Missing surplus lines tax %. ",""))))</f>
      </c>
      <c r="AY799" s="44">
        <f>IF($M799="","",IF(ISNUMBER($M799),IF($M799&gt;=Header!$C$18,"YES — refer","No"),""))</f>
      </c>
      <c r="AZ799" s="44">
        <f>IF($AD799="","",IF(ISNUMBER($AD799),IF($AD799&lt;Header!$C$20,"BELOW MIN PREMIUM","OK"),""))</f>
      </c>
      <c r="BA799" s="32" t="inlineStr">
        <is>
          <t xml:space="preserve">Yes</t>
        </is>
      </c>
      <c r="BB799" s="32" t="inlineStr">
        <is>
          <t xml:space="preserve">Yes</t>
        </is>
      </c>
      <c r="BC799" s="30" t="inlineStr">
        <is>
          <t xml:space="preserve">Synthetic demo data</t>
        </is>
      </c>
      <c r="BE799" s="45">
        <f>IF(OR($A799="",$L799="",$H799=""),"",IF(AND(LEFT($L799,2)="06",$H799&gt;1945),"FAIL - pre-war class, year "&amp;$H799,IF(AND(LEFT($L799,2)="07",OR($H799&lt;1946,$H799&gt;1972)),"FAIL - 1946-72 class, year "&amp;$H799,IF(AND(LEFT($L799,2)="08",OR($H799&lt;1973,$H799&gt;1999)),"FAIL - 1973-99 class, year "&amp;$H799,IF(AND(LEFT($L799,2)="09",OR($H799&lt;2000,$H799&gt;2010)),"FAIL - 2000-10 class, year "&amp;$H799,"OK")))))</f>
      </c>
      <c r="BF799" s="45">
        <f>IF($AD799="","",IF(ROUND($AO799+$AP799+$AQ799-$AD799,2)=0,"OK","FAIL - out by "&amp;TEXT($AO799+$AP799+$AQ799-$AD799,"$0.00")))</f>
      </c>
    </row>
    <row r="800" spans="1:58" ht="18.75" customHeight="1" x14ac:dyDescent="0.25">
      <c r="A800" s="46" t="inlineStr">
        <is>
          <t xml:space="preserve">CANON-202606-009498</t>
        </is>
      </c>
      <c r="B800" s="46" t="inlineStr">
        <is>
          <t xml:space="preserve">Anouk Thistlewood</t>
        </is>
      </c>
      <c r="C800" s="47">
        <v>46199</v>
      </c>
      <c r="D800" s="48" t="inlineStr">
        <is>
          <t xml:space="preserve">Bound - within authority</t>
        </is>
      </c>
      <c r="E800" s="48" t="inlineStr">
        <is>
          <t xml:space="preserve">New business</t>
        </is>
      </c>
      <c r="F800" s="46" t="inlineStr">
        <is>
          <t xml:space="preserve">B1234EXOTIC26</t>
        </is>
      </c>
      <c r="G800" s="33">
        <f>IF($A800="","",IF($C800="","",YEAR($C800)))</f>
      </c>
      <c r="H800" s="49">
        <v>2003</v>
      </c>
      <c r="I800" s="46" t="inlineStr">
        <is>
          <t xml:space="preserve">BMW</t>
        </is>
      </c>
      <c r="J800" s="46" t="inlineStr">
        <is>
          <t xml:space="preserve">M8 Competition</t>
        </is>
      </c>
      <c r="K800" s="46" t="inlineStr">
        <is>
          <t xml:space="preserve">5A7CEX3716RSYYXC9</t>
        </is>
      </c>
      <c r="L800" s="48" t="inlineStr">
        <is>
          <t xml:space="preserve">02 - Sports / GT</t>
        </is>
      </c>
      <c r="M800" s="50">
        <v>280000</v>
      </c>
      <c r="N800" s="48" t="inlineStr">
        <is>
          <t xml:space="preserve">Personal</t>
        </is>
      </c>
      <c r="O800" s="46" t="inlineStr">
        <is>
          <t xml:space="preserve">Personal - regular use</t>
        </is>
      </c>
      <c r="P800" s="46" t="inlineStr">
        <is>
          <t xml:space="preserve">2,500 - 5,000</t>
        </is>
      </c>
      <c r="Q800" s="46" t="inlineStr">
        <is>
          <t xml:space="preserve">South Carolina</t>
        </is>
      </c>
      <c r="R800" s="46" t="inlineStr">
        <is>
          <t xml:space="preserve">29401</t>
        </is>
      </c>
      <c r="S800" s="48" t="inlineStr">
        <is>
          <t xml:space="preserve">Tier 2 - Coastal wind (1-25 miles)</t>
        </is>
      </c>
      <c r="T800" s="36">
        <f>IF($A800="","",IF($S800="","",IFERROR(INDEX('[1]natural catastrophe'!$D$6:$D$17,MATCH($S800,'[1]natural catastrophe'!$B$6:$B$17,0)),"?")))</f>
      </c>
      <c r="U800" s="46" t="inlineStr">
        <is>
          <t xml:space="preserve">2% of agreed value, minimum $10,000</t>
        </is>
      </c>
      <c r="V800" s="48" t="inlineStr">
        <is>
          <t xml:space="preserve">Agreed Value</t>
        </is>
      </c>
      <c r="W800" s="46" t="inlineStr">
        <is>
          <t xml:space="preserve">$1,000</t>
        </is>
      </c>
      <c r="X800" s="48" t="inlineStr">
        <is>
          <t xml:space="preserve">$1,000,000 CSL</t>
        </is>
      </c>
      <c r="Y800" s="46"/>
      <c r="Z800" s="46"/>
      <c r="AA800" s="48" t="inlineStr">
        <is>
          <t xml:space="preserve">Surplus Lines</t>
        </is>
      </c>
      <c r="AB800" s="50">
        <v>3757.62</v>
      </c>
      <c r="AC800" s="51">
        <v>0</v>
      </c>
      <c r="AD800" s="38">
        <f>IF(ISNUMBER($AB800),$AB800*(1+N($AC800)),"")</f>
      </c>
      <c r="AE800" s="50">
        <v>350</v>
      </c>
      <c r="AF800" s="50">
        <v>0</v>
      </c>
      <c r="AG800" s="51"/>
      <c r="AH800" s="39">
        <f>IF(ISNUMBER($AD800),($AD800+$AE800+$AF800)*$AG800,"")</f>
      </c>
      <c r="AI800" s="50"/>
      <c r="AJ800" s="38">
        <f>IF(ISNUMBER($AD800),SUM($AD800:$AH800),"")</f>
      </c>
      <c r="AK800" s="40">
        <f>IF(AND(ISNUMBER($AB800),ISNUMBER($AD800)),IF($AB800&gt;0,$AD800/$AB800,""),"")</f>
      </c>
      <c r="AL800" s="48" t="inlineStr">
        <is>
          <t xml:space="preserve">At technical</t>
        </is>
      </c>
      <c r="AM800" s="41">
        <f>IF(ISNUMBER($AD800),Header!$I$3,"")</f>
      </c>
      <c r="AN800" s="39">
        <f>IF(ISNUMBER($AD800),$AO800+$AP800,"")</f>
      </c>
      <c r="AO800" s="39">
        <f>IF(ISNUMBER($AD800),ROUND($AD800*Header!$K$3,2),"")</f>
      </c>
      <c r="AP800" s="39">
        <f>IF(ISNUMBER($AD800),ROUND($AD800*Header!$M$3,2),"")</f>
      </c>
      <c r="AQ800" s="38">
        <f>IF(ISNUMBER($AD800),ROUND($AD800,2)-$AO800-$AP800,"")</f>
      </c>
      <c r="AR800" s="39">
        <f>IF(ISNUMBER($AD800),IF(Header!$D$34="","?",$AD800*Header!$D$34),"")</f>
      </c>
      <c r="AS800" s="39">
        <f>IF(ISNUMBER($AB800),IF(Header!$D$34="","?",$AB800*Header!$D$34),"")</f>
      </c>
      <c r="AT800" s="42">
        <f>IF(AND(ISNUMBER($AB800),$M800&gt;0),$AB800/$M800*100,"")</f>
      </c>
      <c r="AU800" s="42">
        <f>IF(AND(ISNUMBER($AD800),$M800&gt;0),$AD800/$M800*100,"")</f>
      </c>
      <c r="AV800" s="40">
        <f>IF(AND(ISNUMBER($AB800),ISNUMBER($AD800),ABS($AB800)&gt;0),$AD800/$AB800,"")</f>
      </c>
      <c r="AW800" s="39">
        <f>IF(ISNUMBER($AD800),MAX(0,(1-0.55-Header!$O$3)*Header!$Q$3*$AQ800),"")</f>
      </c>
      <c r="AX800" s="43">
        <f>IF($A800="","",IF(TRIM(IF($A800="","Missing certificate ref. ","") &amp; IF($C800="","Missing effective date. ","") &amp; IF($D800="","Missing binding status. ","") &amp; IF($E800="","Missing movement type. ","") &amp; IF($I800="","Missing make. ","") &amp; IF($L800="","Missing vehicle class. ","") &amp; IF($M800="","Missing agreed value. ","") &amp; IF($N800="","Missing policy type. ","") &amp; IF($Q800="","Missing garaging state. ","") &amp; IF($R800="","Missing garaging ZIP. ","") &amp; IF($S800="","Missing cat zone. ","") &amp; IF($V800="","Missing valuation basis. ","") &amp; IF($W800="","Missing PD deductible. ","") &amp; IF($X800="","Missing liability limit. ","") &amp; IF($AB800="","Missing technical premium. ","") &amp; IF($AF800="","Missing surplus lines tax %. ",""))="","PASS","FAIL: "&amp;TRIM(IF($A800="","Missing certificate ref. ","") &amp; IF($C800="","Missing effective date. ","") &amp; IF($D800="","Missing binding status. ","") &amp; IF($E800="","Missing movement type. ","") &amp; IF($I800="","Missing make. ","") &amp; IF($L800="","Missing vehicle class. ","") &amp; IF($M800="","Missing agreed value. ","") &amp; IF($N800="","Missing policy type. ","") &amp; IF($Q800="","Missing garaging state. ","") &amp; IF($R800="","Missing garaging ZIP. ","") &amp; IF($S800="","Missing cat zone. ","") &amp; IF($V800="","Missing valuation basis. ","") &amp; IF($W800="","Missing PD deductible. ","") &amp; IF($X800="","Missing liability limit. ","") &amp; IF($AB800="","Missing technical premium. ","") &amp; IF($AF800="","Missing surplus lines tax %. ",""))))</f>
      </c>
      <c r="AY800" s="44">
        <f>IF($M800="","",IF(ISNUMBER($M800),IF($M800&gt;=Header!$C$18,"YES — refer","No"),""))</f>
      </c>
      <c r="AZ800" s="44">
        <f>IF($AD800="","",IF(ISNUMBER($AD800),IF($AD800&lt;Header!$C$20,"BELOW MIN PREMIUM","OK"),""))</f>
      </c>
      <c r="BA800" s="48" t="inlineStr">
        <is>
          <t xml:space="preserve">Yes</t>
        </is>
      </c>
      <c r="BB800" s="48" t="inlineStr">
        <is>
          <t xml:space="preserve">Yes</t>
        </is>
      </c>
      <c r="BC800" s="46" t="inlineStr">
        <is>
          <t xml:space="preserve">Synthetic demo data</t>
        </is>
      </c>
      <c r="BE800" s="45">
        <f>IF(OR($A800="",$L800="",$H800=""),"",IF(AND(LEFT($L800,2)="06",$H800&gt;1945),"FAIL - pre-war class, year "&amp;$H800,IF(AND(LEFT($L800,2)="07",OR($H800&lt;1946,$H800&gt;1972)),"FAIL - 1946-72 class, year "&amp;$H800,IF(AND(LEFT($L800,2)="08",OR($H800&lt;1973,$H800&gt;1999)),"FAIL - 1973-99 class, year "&amp;$H800,IF(AND(LEFT($L800,2)="09",OR($H800&lt;2000,$H800&gt;2010)),"FAIL - 2000-10 class, year "&amp;$H800,"OK")))))</f>
      </c>
      <c r="BF800" s="45">
        <f>IF($AD800="","",IF(ROUND($AO800+$AP800+$AQ800-$AD800,2)=0,"OK","FAIL - out by "&amp;TEXT($AO800+$AP800+$AQ800-$AD800,"$0.00")))</f>
      </c>
    </row>
    <row r="801" spans="1:58" ht="18.75" customHeight="1" x14ac:dyDescent="0.25">
      <c r="A801" s="30" t="inlineStr">
        <is>
          <t xml:space="preserve">CANON-202606-009499</t>
        </is>
      </c>
      <c r="B801" s="30" t="inlineStr">
        <is>
          <t xml:space="preserve">Mireille Montoya</t>
        </is>
      </c>
      <c r="C801" s="31">
        <v>46188</v>
      </c>
      <c r="D801" s="32" t="inlineStr">
        <is>
          <t xml:space="preserve">Bound - within authority</t>
        </is>
      </c>
      <c r="E801" s="32" t="inlineStr">
        <is>
          <t xml:space="preserve">New business</t>
        </is>
      </c>
      <c r="F801" s="30" t="inlineStr">
        <is>
          <t xml:space="preserve">B1234EXOTIC26</t>
        </is>
      </c>
      <c r="G801" s="33">
        <f>IF($A801="","",IF($C801="","",YEAR($C801)))</f>
      </c>
      <c r="H801" s="34">
        <v>1986</v>
      </c>
      <c r="I801" s="30" t="inlineStr">
        <is>
          <t xml:space="preserve">Lamborghini</t>
        </is>
      </c>
      <c r="J801" s="30" t="inlineStr">
        <is>
          <t xml:space="preserve">Huracan EVO</t>
        </is>
      </c>
      <c r="K801" s="30" t="inlineStr">
        <is>
          <t xml:space="preserve">P1GLNGTBPP090239P</t>
        </is>
      </c>
      <c r="L801" s="32" t="inlineStr">
        <is>
          <t xml:space="preserve">03 - Supercar</t>
        </is>
      </c>
      <c r="M801" s="35">
        <v>695000</v>
      </c>
      <c r="N801" s="32" t="inlineStr">
        <is>
          <t xml:space="preserve">Personal</t>
        </is>
      </c>
      <c r="O801" s="30" t="inlineStr">
        <is>
          <t xml:space="preserve">Personal - regular use</t>
        </is>
      </c>
      <c r="P801" s="30" t="inlineStr">
        <is>
          <t xml:space="preserve">1,000 - 2,500</t>
        </is>
      </c>
      <c r="Q801" s="30" t="inlineStr">
        <is>
          <t xml:space="preserve">California</t>
        </is>
      </c>
      <c r="R801" s="30" t="inlineStr">
        <is>
          <t xml:space="preserve">90012</t>
        </is>
      </c>
      <c r="S801" s="32" t="inlineStr">
        <is>
          <t xml:space="preserve">Earthquake - high (CA, Cascadia, New Madrid)</t>
        </is>
      </c>
      <c r="T801" s="36">
        <f>IF($A801="","",IF($S801="","",IFERROR(INDEX('[1]natural catastrophe'!$D$6:$D$17,MATCH($S801,'[1]natural catastrophe'!$B$6:$B$17,0)),"?")))</f>
      </c>
      <c r="U801" s="30" t="inlineStr">
        <is>
          <t xml:space="preserve">$5,000</t>
        </is>
      </c>
      <c r="V801" s="32" t="inlineStr">
        <is>
          <t xml:space="preserve">Agreed Value</t>
        </is>
      </c>
      <c r="W801" s="30" t="inlineStr">
        <is>
          <t xml:space="preserve">$1,000</t>
        </is>
      </c>
      <c r="X801" s="32" t="inlineStr">
        <is>
          <t xml:space="preserve">$1,000,000 CSL</t>
        </is>
      </c>
      <c r="Y801" s="30"/>
      <c r="Z801" s="30"/>
      <c r="AA801" s="32" t="inlineStr">
        <is>
          <t xml:space="preserve">Surplus Lines</t>
        </is>
      </c>
      <c r="AB801" s="35">
        <v>12862.17</v>
      </c>
      <c r="AC801" s="37">
        <v>0</v>
      </c>
      <c r="AD801" s="38">
        <f>IF(ISNUMBER($AB801),$AB801*(1+N($AC801)),"")</f>
      </c>
      <c r="AE801" s="35">
        <v>350</v>
      </c>
      <c r="AF801" s="35">
        <v>0</v>
      </c>
      <c r="AG801" s="37"/>
      <c r="AH801" s="39">
        <f>IF(ISNUMBER($AD801),($AD801+$AE801+$AF801)*$AG801,"")</f>
      </c>
      <c r="AI801" s="35"/>
      <c r="AJ801" s="38">
        <f>IF(ISNUMBER($AD801),SUM($AD801:$AH801),"")</f>
      </c>
      <c r="AK801" s="40">
        <f>IF(AND(ISNUMBER($AB801),ISNUMBER($AD801)),IF($AB801&gt;0,$AD801/$AB801,""),"")</f>
      </c>
      <c r="AL801" s="32" t="inlineStr">
        <is>
          <t xml:space="preserve">At technical</t>
        </is>
      </c>
      <c r="AM801" s="41">
        <f>IF(ISNUMBER($AD801),Header!$I$3,"")</f>
      </c>
      <c r="AN801" s="39">
        <f>IF(ISNUMBER($AD801),$AO801+$AP801,"")</f>
      </c>
      <c r="AO801" s="39">
        <f>IF(ISNUMBER($AD801),ROUND($AD801*Header!$K$3,2),"")</f>
      </c>
      <c r="AP801" s="39">
        <f>IF(ISNUMBER($AD801),ROUND($AD801*Header!$M$3,2),"")</f>
      </c>
      <c r="AQ801" s="38">
        <f>IF(ISNUMBER($AD801),ROUND($AD801,2)-$AO801-$AP801,"")</f>
      </c>
      <c r="AR801" s="39">
        <f>IF(ISNUMBER($AD801),IF(Header!$D$34="","?",$AD801*Header!$D$34),"")</f>
      </c>
      <c r="AS801" s="39">
        <f>IF(ISNUMBER($AB801),IF(Header!$D$34="","?",$AB801*Header!$D$34),"")</f>
      </c>
      <c r="AT801" s="42">
        <f>IF(AND(ISNUMBER($AB801),$M801&gt;0),$AB801/$M801*100,"")</f>
      </c>
      <c r="AU801" s="42">
        <f>IF(AND(ISNUMBER($AD801),$M801&gt;0),$AD801/$M801*100,"")</f>
      </c>
      <c r="AV801" s="40">
        <f>IF(AND(ISNUMBER($AB801),ISNUMBER($AD801),ABS($AB801)&gt;0),$AD801/$AB801,"")</f>
      </c>
      <c r="AW801" s="39">
        <f>IF(ISNUMBER($AD801),MAX(0,(1-0.55-Header!$O$3)*Header!$Q$3*$AQ801),"")</f>
      </c>
      <c r="AX801" s="43">
        <f>IF($A801="","",IF(TRIM(IF($A801="","Missing certificate ref. ","") &amp; IF($C801="","Missing effective date. ","") &amp; IF($D801="","Missing binding status. ","") &amp; IF($E801="","Missing movement type. ","") &amp; IF($I801="","Missing make. ","") &amp; IF($L801="","Missing vehicle class. ","") &amp; IF($M801="","Missing agreed value. ","") &amp; IF($N801="","Missing policy type. ","") &amp; IF($Q801="","Missing garaging state. ","") &amp; IF($R801="","Missing garaging ZIP. ","") &amp; IF($S801="","Missing cat zone. ","") &amp; IF($V801="","Missing valuation basis. ","") &amp; IF($W801="","Missing PD deductible. ","") &amp; IF($X801="","Missing liability limit. ","") &amp; IF($AB801="","Missing technical premium. ","") &amp; IF($AF801="","Missing surplus lines tax %. ",""))="","PASS","FAIL: "&amp;TRIM(IF($A801="","Missing certificate ref. ","") &amp; IF($C801="","Missing effective date. ","") &amp; IF($D801="","Missing binding status. ","") &amp; IF($E801="","Missing movement type. ","") &amp; IF($I801="","Missing make. ","") &amp; IF($L801="","Missing vehicle class. ","") &amp; IF($M801="","Missing agreed value. ","") &amp; IF($N801="","Missing policy type. ","") &amp; IF($Q801="","Missing garaging state. ","") &amp; IF($R801="","Missing garaging ZIP. ","") &amp; IF($S801="","Missing cat zone. ","") &amp; IF($V801="","Missing valuation basis. ","") &amp; IF($W801="","Missing PD deductible. ","") &amp; IF($X801="","Missing liability limit. ","") &amp; IF($AB801="","Missing technical premium. ","") &amp; IF($AF801="","Missing surplus lines tax %. ",""))))</f>
      </c>
      <c r="AY801" s="44">
        <f>IF($M801="","",IF(ISNUMBER($M801),IF($M801&gt;=Header!$C$18,"YES — refer","No"),""))</f>
      </c>
      <c r="AZ801" s="44">
        <f>IF($AD801="","",IF(ISNUMBER($AD801),IF($AD801&lt;Header!$C$20,"BELOW MIN PREMIUM","OK"),""))</f>
      </c>
      <c r="BA801" s="32" t="inlineStr">
        <is>
          <t xml:space="preserve">Yes</t>
        </is>
      </c>
      <c r="BB801" s="32" t="inlineStr">
        <is>
          <t xml:space="preserve">Yes</t>
        </is>
      </c>
      <c r="BC801" s="30" t="inlineStr">
        <is>
          <t xml:space="preserve">Synthetic demo data</t>
        </is>
      </c>
      <c r="BE801" s="45">
        <f>IF(OR($A801="",$L801="",$H801=""),"",IF(AND(LEFT($L801,2)="06",$H801&gt;1945),"FAIL - pre-war class, year "&amp;$H801,IF(AND(LEFT($L801,2)="07",OR($H801&lt;1946,$H801&gt;1972)),"FAIL - 1946-72 class, year "&amp;$H801,IF(AND(LEFT($L801,2)="08",OR($H801&lt;1973,$H801&gt;1999)),"FAIL - 1973-99 class, year "&amp;$H801,IF(AND(LEFT($L801,2)="09",OR($H801&lt;2000,$H801&gt;2010)),"FAIL - 2000-10 class, year "&amp;$H801,"OK")))))</f>
      </c>
      <c r="BF801" s="45">
        <f>IF($AD801="","",IF(ROUND($AO801+$AP801+$AQ801-$AD801,2)=0,"OK","FAIL - out by "&amp;TEXT($AO801+$AP801+$AQ801-$AD801,"$0.00")))</f>
      </c>
    </row>
    <row r="802" spans="1:58" ht="18.75" customHeight="1" x14ac:dyDescent="0.25">
      <c r="A802" s="46" t="inlineStr">
        <is>
          <t xml:space="preserve">CANON-202606-009500</t>
        </is>
      </c>
      <c r="B802" s="46" t="inlineStr">
        <is>
          <t xml:space="preserve">Delphine Vasquez</t>
        </is>
      </c>
      <c r="C802" s="47">
        <v>46177</v>
      </c>
      <c r="D802" s="48" t="inlineStr">
        <is>
          <t xml:space="preserve">Bound - within authority</t>
        </is>
      </c>
      <c r="E802" s="48" t="inlineStr">
        <is>
          <t xml:space="preserve">New business</t>
        </is>
      </c>
      <c r="F802" s="46" t="inlineStr">
        <is>
          <t xml:space="preserve">B1234EXOTIC26</t>
        </is>
      </c>
      <c r="G802" s="33">
        <f>IF($A802="","",IF($C802="","",YEAR($C802)))</f>
      </c>
      <c r="H802" s="49">
        <v>1967</v>
      </c>
      <c r="I802" s="46" t="inlineStr">
        <is>
          <t xml:space="preserve">McLaren</t>
        </is>
      </c>
      <c r="J802" s="46" t="inlineStr">
        <is>
          <t xml:space="preserve">750S</t>
        </is>
      </c>
      <c r="K802" s="46" t="inlineStr">
        <is>
          <t xml:space="preserve">0A8LJUSZLREL7HXVE</t>
        </is>
      </c>
      <c r="L802" s="48" t="inlineStr">
        <is>
          <t xml:space="preserve">03 - Supercar</t>
        </is>
      </c>
      <c r="M802" s="50">
        <v>1290000</v>
      </c>
      <c r="N802" s="48" t="inlineStr">
        <is>
          <t xml:space="preserve">Personal</t>
        </is>
      </c>
      <c r="O802" s="46" t="inlineStr">
        <is>
          <t xml:space="preserve">Personal - regular use</t>
        </is>
      </c>
      <c r="P802" s="46" t="inlineStr">
        <is>
          <t xml:space="preserve">2,500 - 5,000</t>
        </is>
      </c>
      <c r="Q802" s="46" t="inlineStr">
        <is>
          <t xml:space="preserve">Connecticut</t>
        </is>
      </c>
      <c r="R802" s="46" t="inlineStr">
        <is>
          <t xml:space="preserve">06103</t>
        </is>
      </c>
      <c r="S802" s="48" t="inlineStr">
        <is>
          <t xml:space="preserve">Tier 3 - Coastal wind (25-100 miles)</t>
        </is>
      </c>
      <c r="T802" s="36">
        <f>IF($A802="","",IF($S802="","",IFERROR(INDEX('[1]natural catastrophe'!$D$6:$D$17,MATCH($S802,'[1]natural catastrophe'!$B$6:$B$17,0)),"?")))</f>
      </c>
      <c r="U802" s="46" t="inlineStr">
        <is>
          <t xml:space="preserve">2% of agreed value, minimum $10,000</t>
        </is>
      </c>
      <c r="V802" s="48" t="inlineStr">
        <is>
          <t xml:space="preserve">Agreed Value</t>
        </is>
      </c>
      <c r="W802" s="46" t="inlineStr">
        <is>
          <t xml:space="preserve">$1,000</t>
        </is>
      </c>
      <c r="X802" s="48" t="inlineStr">
        <is>
          <t xml:space="preserve">$1,000,000 CSL</t>
        </is>
      </c>
      <c r="Y802" s="46"/>
      <c r="Z802" s="46"/>
      <c r="AA802" s="48" t="inlineStr">
        <is>
          <t xml:space="preserve">Surplus Lines</t>
        </is>
      </c>
      <c r="AB802" s="50">
        <v>16678.99</v>
      </c>
      <c r="AC802" s="51">
        <v>0</v>
      </c>
      <c r="AD802" s="38">
        <f>IF(ISNUMBER($AB802),$AB802*(1+N($AC802)),"")</f>
      </c>
      <c r="AE802" s="50">
        <v>350</v>
      </c>
      <c r="AF802" s="50">
        <v>250</v>
      </c>
      <c r="AG802" s="51"/>
      <c r="AH802" s="39">
        <f>IF(ISNUMBER($AD802),($AD802+$AE802+$AF802)*$AG802,"")</f>
      </c>
      <c r="AI802" s="50"/>
      <c r="AJ802" s="38">
        <f>IF(ISNUMBER($AD802),SUM($AD802:$AH802),"")</f>
      </c>
      <c r="AK802" s="40">
        <f>IF(AND(ISNUMBER($AB802),ISNUMBER($AD802)),IF($AB802&gt;0,$AD802/$AB802,""),"")</f>
      </c>
      <c r="AL802" s="48" t="inlineStr">
        <is>
          <t xml:space="preserve">At technical</t>
        </is>
      </c>
      <c r="AM802" s="41">
        <f>IF(ISNUMBER($AD802),Header!$I$3,"")</f>
      </c>
      <c r="AN802" s="39">
        <f>IF(ISNUMBER($AD802),$AO802+$AP802,"")</f>
      </c>
      <c r="AO802" s="39">
        <f>IF(ISNUMBER($AD802),ROUND($AD802*Header!$K$3,2),"")</f>
      </c>
      <c r="AP802" s="39">
        <f>IF(ISNUMBER($AD802),ROUND($AD802*Header!$M$3,2),"")</f>
      </c>
      <c r="AQ802" s="38">
        <f>IF(ISNUMBER($AD802),ROUND($AD802,2)-$AO802-$AP802,"")</f>
      </c>
      <c r="AR802" s="39">
        <f>IF(ISNUMBER($AD802),IF(Header!$D$34="","?",$AD802*Header!$D$34),"")</f>
      </c>
      <c r="AS802" s="39">
        <f>IF(ISNUMBER($AB802),IF(Header!$D$34="","?",$AB802*Header!$D$34),"")</f>
      </c>
      <c r="AT802" s="42">
        <f>IF(AND(ISNUMBER($AB802),$M802&gt;0),$AB802/$M802*100,"")</f>
      </c>
      <c r="AU802" s="42">
        <f>IF(AND(ISNUMBER($AD802),$M802&gt;0),$AD802/$M802*100,"")</f>
      </c>
      <c r="AV802" s="40">
        <f>IF(AND(ISNUMBER($AB802),ISNUMBER($AD802),ABS($AB802)&gt;0),$AD802/$AB802,"")</f>
      </c>
      <c r="AW802" s="39">
        <f>IF(ISNUMBER($AD802),MAX(0,(1-0.55-Header!$O$3)*Header!$Q$3*$AQ802),"")</f>
      </c>
      <c r="AX802" s="43">
        <f>IF($A802="","",IF(TRIM(IF($A802="","Missing certificate ref. ","") &amp; IF($C802="","Missing effective date. ","") &amp; IF($D802="","Missing binding status. ","") &amp; IF($E802="","Missing movement type. ","") &amp; IF($I802="","Missing make. ","") &amp; IF($L802="","Missing vehicle class. ","") &amp; IF($M802="","Missing agreed value. ","") &amp; IF($N802="","Missing policy type. ","") &amp; IF($Q802="","Missing garaging state. ","") &amp; IF($R802="","Missing garaging ZIP. ","") &amp; IF($S802="","Missing cat zone. ","") &amp; IF($V802="","Missing valuation basis. ","") &amp; IF($W802="","Missing PD deductible. ","") &amp; IF($X802="","Missing liability limit. ","") &amp; IF($AB802="","Missing technical premium. ","") &amp; IF($AF802="","Missing surplus lines tax %. ",""))="","PASS","FAIL: "&amp;TRIM(IF($A802="","Missing certificate ref. ","") &amp; IF($C802="","Missing effective date. ","") &amp; IF($D802="","Missing binding status. ","") &amp; IF($E802="","Missing movement type. ","") &amp; IF($I802="","Missing make. ","") &amp; IF($L802="","Missing vehicle class. ","") &amp; IF($M802="","Missing agreed value. ","") &amp; IF($N802="","Missing policy type. ","") &amp; IF($Q802="","Missing garaging state. ","") &amp; IF($R802="","Missing garaging ZIP. ","") &amp; IF($S802="","Missing cat zone. ","") &amp; IF($V802="","Missing valuation basis. ","") &amp; IF($W802="","Missing PD deductible. ","") &amp; IF($X802="","Missing liability limit. ","") &amp; IF($AB802="","Missing technical premium. ","") &amp; IF($AF802="","Missing surplus lines tax %. ",""))))</f>
      </c>
      <c r="AY802" s="44">
        <f>IF($M802="","",IF(ISNUMBER($M802),IF($M802&gt;=Header!$C$18,"YES — refer","No"),""))</f>
      </c>
      <c r="AZ802" s="44">
        <f>IF($AD802="","",IF(ISNUMBER($AD802),IF($AD802&lt;Header!$C$20,"BELOW MIN PREMIUM","OK"),""))</f>
      </c>
      <c r="BA802" s="48" t="inlineStr">
        <is>
          <t xml:space="preserve">Yes</t>
        </is>
      </c>
      <c r="BB802" s="48" t="inlineStr">
        <is>
          <t xml:space="preserve">Yes</t>
        </is>
      </c>
      <c r="BC802" s="46" t="inlineStr">
        <is>
          <t xml:space="preserve">Synthetic demo data</t>
        </is>
      </c>
      <c r="BE802" s="45">
        <f>IF(OR($A802="",$L802="",$H802=""),"",IF(AND(LEFT($L802,2)="06",$H802&gt;1945),"FAIL - pre-war class, year "&amp;$H802,IF(AND(LEFT($L802,2)="07",OR($H802&lt;1946,$H802&gt;1972)),"FAIL - 1946-72 class, year "&amp;$H802,IF(AND(LEFT($L802,2)="08",OR($H802&lt;1973,$H802&gt;1999)),"FAIL - 1973-99 class, year "&amp;$H802,IF(AND(LEFT($L802,2)="09",OR($H802&lt;2000,$H802&gt;2010)),"FAIL - 2000-10 class, year "&amp;$H802,"OK")))))</f>
      </c>
      <c r="BF802" s="45">
        <f>IF($AD802="","",IF(ROUND($AO802+$AP802+$AQ802-$AD802,2)=0,"OK","FAIL - out by "&amp;TEXT($AO802+$AP802+$AQ802-$AD802,"$0.00")))</f>
      </c>
    </row>
    <row r="803" spans="1:58" ht="18.75" customHeight="1" x14ac:dyDescent="0.25">
      <c r="A803" s="30" t="inlineStr">
        <is>
          <t xml:space="preserve">CANON-202606-009501</t>
        </is>
      </c>
      <c r="B803" s="30" t="inlineStr">
        <is>
          <t xml:space="preserve">Noor Rourke</t>
        </is>
      </c>
      <c r="C803" s="31">
        <v>46186</v>
      </c>
      <c r="D803" s="32" t="inlineStr">
        <is>
          <t xml:space="preserve">Bound - within authority</t>
        </is>
      </c>
      <c r="E803" s="32" t="inlineStr">
        <is>
          <t xml:space="preserve">New business</t>
        </is>
      </c>
      <c r="F803" s="30" t="inlineStr">
        <is>
          <t xml:space="preserve">B1234EXOTIC26</t>
        </is>
      </c>
      <c r="G803" s="33">
        <f>IF($A803="","",IF($C803="","",YEAR($C803)))</f>
      </c>
      <c r="H803" s="34">
        <v>1987</v>
      </c>
      <c r="I803" s="30" t="inlineStr">
        <is>
          <t xml:space="preserve">Aston Martin</t>
        </is>
      </c>
      <c r="J803" s="30" t="inlineStr">
        <is>
          <t xml:space="preserve">DB12</t>
        </is>
      </c>
      <c r="K803" s="30" t="inlineStr">
        <is>
          <t xml:space="preserve">R0YWMCW4UTABMHDBD</t>
        </is>
      </c>
      <c r="L803" s="32" t="inlineStr">
        <is>
          <t xml:space="preserve">02 - Sports / GT</t>
        </is>
      </c>
      <c r="M803" s="35">
        <v>625000</v>
      </c>
      <c r="N803" s="32" t="inlineStr">
        <is>
          <t xml:space="preserve">Personal</t>
        </is>
      </c>
      <c r="O803" s="30" t="inlineStr">
        <is>
          <t xml:space="preserve">Personal - regular use</t>
        </is>
      </c>
      <c r="P803" s="30" t="inlineStr">
        <is>
          <t xml:space="preserve">2,500 - 5,000</t>
        </is>
      </c>
      <c r="Q803" s="30" t="inlineStr">
        <is>
          <t xml:space="preserve">Montana</t>
        </is>
      </c>
      <c r="R803" s="30" t="inlineStr">
        <is>
          <t xml:space="preserve">59601</t>
        </is>
      </c>
      <c r="S803" s="32" t="inlineStr">
        <is>
          <t xml:space="preserve">Wildfire - WUI high hazard</t>
        </is>
      </c>
      <c r="T803" s="36">
        <f>IF($A803="","",IF($S803="","",IFERROR(INDEX('[1]natural catastrophe'!$D$6:$D$17,MATCH($S803,'[1]natural catastrophe'!$B$6:$B$17,0)),"?")))</f>
      </c>
      <c r="U803" s="30" t="inlineStr">
        <is>
          <t xml:space="preserve">$5,000</t>
        </is>
      </c>
      <c r="V803" s="32" t="inlineStr">
        <is>
          <t xml:space="preserve">Agreed Value</t>
        </is>
      </c>
      <c r="W803" s="30" t="inlineStr">
        <is>
          <t xml:space="preserve">$1,000</t>
        </is>
      </c>
      <c r="X803" s="32" t="inlineStr">
        <is>
          <t xml:space="preserve">$1,000,000 CSL</t>
        </is>
      </c>
      <c r="Y803" s="30"/>
      <c r="Z803" s="30"/>
      <c r="AA803" s="32" t="inlineStr">
        <is>
          <t xml:space="preserve">Surplus Lines</t>
        </is>
      </c>
      <c r="AB803" s="35">
        <v>5451.91</v>
      </c>
      <c r="AC803" s="37">
        <v>0</v>
      </c>
      <c r="AD803" s="38">
        <f>IF(ISNUMBER($AB803),$AB803*(1+N($AC803)),"")</f>
      </c>
      <c r="AE803" s="35">
        <v>350</v>
      </c>
      <c r="AF803" s="35">
        <v>0</v>
      </c>
      <c r="AG803" s="37"/>
      <c r="AH803" s="39">
        <f>IF(ISNUMBER($AD803),($AD803+$AE803+$AF803)*$AG803,"")</f>
      </c>
      <c r="AI803" s="35"/>
      <c r="AJ803" s="38">
        <f>IF(ISNUMBER($AD803),SUM($AD803:$AH803),"")</f>
      </c>
      <c r="AK803" s="40">
        <f>IF(AND(ISNUMBER($AB803),ISNUMBER($AD803)),IF($AB803&gt;0,$AD803/$AB803,""),"")</f>
      </c>
      <c r="AL803" s="32" t="inlineStr">
        <is>
          <t xml:space="preserve">At technical</t>
        </is>
      </c>
      <c r="AM803" s="41">
        <f>IF(ISNUMBER($AD803),Header!$I$3,"")</f>
      </c>
      <c r="AN803" s="39">
        <f>IF(ISNUMBER($AD803),$AO803+$AP803,"")</f>
      </c>
      <c r="AO803" s="39">
        <f>IF(ISNUMBER($AD803),ROUND($AD803*Header!$K$3,2),"")</f>
      </c>
      <c r="AP803" s="39">
        <f>IF(ISNUMBER($AD803),ROUND($AD803*Header!$M$3,2),"")</f>
      </c>
      <c r="AQ803" s="38">
        <f>IF(ISNUMBER($AD803),ROUND($AD803,2)-$AO803-$AP803,"")</f>
      </c>
      <c r="AR803" s="39">
        <f>IF(ISNUMBER($AD803),IF(Header!$D$34="","?",$AD803*Header!$D$34),"")</f>
      </c>
      <c r="AS803" s="39">
        <f>IF(ISNUMBER($AB803),IF(Header!$D$34="","?",$AB803*Header!$D$34),"")</f>
      </c>
      <c r="AT803" s="42">
        <f>IF(AND(ISNUMBER($AB803),$M803&gt;0),$AB803/$M803*100,"")</f>
      </c>
      <c r="AU803" s="42">
        <f>IF(AND(ISNUMBER($AD803),$M803&gt;0),$AD803/$M803*100,"")</f>
      </c>
      <c r="AV803" s="40">
        <f>IF(AND(ISNUMBER($AB803),ISNUMBER($AD803),ABS($AB803)&gt;0),$AD803/$AB803,"")</f>
      </c>
      <c r="AW803" s="39">
        <f>IF(ISNUMBER($AD803),MAX(0,(1-0.55-Header!$O$3)*Header!$Q$3*$AQ803),"")</f>
      </c>
      <c r="AX803" s="43">
        <f>IF($A803="","",IF(TRIM(IF($A803="","Missing certificate ref. ","") &amp; IF($C803="","Missing effective date. ","") &amp; IF($D803="","Missing binding status. ","") &amp; IF($E803="","Missing movement type. ","") &amp; IF($I803="","Missing make. ","") &amp; IF($L803="","Missing vehicle class. ","") &amp; IF($M803="","Missing agreed value. ","") &amp; IF($N803="","Missing policy type. ","") &amp; IF($Q803="","Missing garaging state. ","") &amp; IF($R803="","Missing garaging ZIP. ","") &amp; IF($S803="","Missing cat zone. ","") &amp; IF($V803="","Missing valuation basis. ","") &amp; IF($W803="","Missing PD deductible. ","") &amp; IF($X803="","Missing liability limit. ","") &amp; IF($AB803="","Missing technical premium. ","") &amp; IF($AF803="","Missing surplus lines tax %. ",""))="","PASS","FAIL: "&amp;TRIM(IF($A803="","Missing certificate ref. ","") &amp; IF($C803="","Missing effective date. ","") &amp; IF($D803="","Missing binding status. ","") &amp; IF($E803="","Missing movement type. ","") &amp; IF($I803="","Missing make. ","") &amp; IF($L803="","Missing vehicle class. ","") &amp; IF($M803="","Missing agreed value. ","") &amp; IF($N803="","Missing policy type. ","") &amp; IF($Q803="","Missing garaging state. ","") &amp; IF($R803="","Missing garaging ZIP. ","") &amp; IF($S803="","Missing cat zone. ","") &amp; IF($V803="","Missing valuation basis. ","") &amp; IF($W803="","Missing PD deductible. ","") &amp; IF($X803="","Missing liability limit. ","") &amp; IF($AB803="","Missing technical premium. ","") &amp; IF($AF803="","Missing surplus lines tax %. ",""))))</f>
      </c>
      <c r="AY803" s="44">
        <f>IF($M803="","",IF(ISNUMBER($M803),IF($M803&gt;=Header!$C$18,"YES — refer","No"),""))</f>
      </c>
      <c r="AZ803" s="44">
        <f>IF($AD803="","",IF(ISNUMBER($AD803),IF($AD803&lt;Header!$C$20,"BELOW MIN PREMIUM","OK"),""))</f>
      </c>
      <c r="BA803" s="32" t="inlineStr">
        <is>
          <t xml:space="preserve">Yes</t>
        </is>
      </c>
      <c r="BB803" s="32" t="inlineStr">
        <is>
          <t xml:space="preserve">Yes</t>
        </is>
      </c>
      <c r="BC803" s="30" t="inlineStr">
        <is>
          <t xml:space="preserve">Synthetic demo data</t>
        </is>
      </c>
      <c r="BE803" s="45">
        <f>IF(OR($A803="",$L803="",$H803=""),"",IF(AND(LEFT($L803,2)="06",$H803&gt;1945),"FAIL - pre-war class, year "&amp;$H803,IF(AND(LEFT($L803,2)="07",OR($H803&lt;1946,$H803&gt;1972)),"FAIL - 1946-72 class, year "&amp;$H803,IF(AND(LEFT($L803,2)="08",OR($H803&lt;1973,$H803&gt;1999)),"FAIL - 1973-99 class, year "&amp;$H803,IF(AND(LEFT($L803,2)="09",OR($H803&lt;2000,$H803&gt;2010)),"FAIL - 2000-10 class, year "&amp;$H803,"OK")))))</f>
      </c>
      <c r="BF803" s="45">
        <f>IF($AD803="","",IF(ROUND($AO803+$AP803+$AQ803-$AD803,2)=0,"OK","FAIL - out by "&amp;TEXT($AO803+$AP803+$AQ803-$AD803,"$0.00")))</f>
      </c>
    </row>
    <row r="804" spans="1:58" ht="18.75" customHeight="1" x14ac:dyDescent="0.25">
      <c r="A804" s="46" t="inlineStr">
        <is>
          <t xml:space="preserve">CANON-202606-009502</t>
        </is>
      </c>
      <c r="B804" s="46" t="inlineStr">
        <is>
          <t xml:space="preserve">Ramona Blackwood</t>
        </is>
      </c>
      <c r="C804" s="47">
        <v>46180</v>
      </c>
      <c r="D804" s="48" t="inlineStr">
        <is>
          <t xml:space="preserve">Bound - within authority</t>
        </is>
      </c>
      <c r="E804" s="48" t="inlineStr">
        <is>
          <t xml:space="preserve">New business</t>
        </is>
      </c>
      <c r="F804" s="46" t="inlineStr">
        <is>
          <t xml:space="preserve">B1234EXOTIC26</t>
        </is>
      </c>
      <c r="G804" s="33">
        <f>IF($A804="","",IF($C804="","",YEAR($C804)))</f>
      </c>
      <c r="H804" s="49">
        <v>1975</v>
      </c>
      <c r="I804" s="46" t="inlineStr">
        <is>
          <t xml:space="preserve">Maserati</t>
        </is>
      </c>
      <c r="J804" s="46" t="inlineStr">
        <is>
          <t xml:space="preserve">GranTurismo</t>
        </is>
      </c>
      <c r="K804" s="46" t="inlineStr">
        <is>
          <t xml:space="preserve">2XFEMATTRT3VLKU1A</t>
        </is>
      </c>
      <c r="L804" s="48" t="inlineStr">
        <is>
          <t xml:space="preserve">02 - Sports / GT</t>
        </is>
      </c>
      <c r="M804" s="50">
        <v>245000</v>
      </c>
      <c r="N804" s="48" t="inlineStr">
        <is>
          <t xml:space="preserve">Personal</t>
        </is>
      </c>
      <c r="O804" s="46" t="inlineStr">
        <is>
          <t xml:space="preserve">Personal - regular use</t>
        </is>
      </c>
      <c r="P804" s="46" t="inlineStr">
        <is>
          <t xml:space="preserve">1,000 - 2,500</t>
        </is>
      </c>
      <c r="Q804" s="46" t="inlineStr">
        <is>
          <t xml:space="preserve">Virginia</t>
        </is>
      </c>
      <c r="R804" s="46" t="inlineStr">
        <is>
          <t xml:space="preserve">23219</t>
        </is>
      </c>
      <c r="S804" s="48" t="inlineStr">
        <is>
          <t xml:space="preserve">Tier 3 - Coastal wind (25-100 miles)</t>
        </is>
      </c>
      <c r="T804" s="36">
        <f>IF($A804="","",IF($S804="","",IFERROR(INDEX('[1]natural catastrophe'!$D$6:$D$17,MATCH($S804,'[1]natural catastrophe'!$B$6:$B$17,0)),"?")))</f>
      </c>
      <c r="U804" s="46" t="inlineStr">
        <is>
          <t xml:space="preserve">2% of agreed value, minimum $10,000</t>
        </is>
      </c>
      <c r="V804" s="48" t="inlineStr">
        <is>
          <t xml:space="preserve">Agreed Value</t>
        </is>
      </c>
      <c r="W804" s="46" t="inlineStr">
        <is>
          <t xml:space="preserve">$1,000</t>
        </is>
      </c>
      <c r="X804" s="48" t="inlineStr">
        <is>
          <t xml:space="preserve">$1,000,000 CSL</t>
        </is>
      </c>
      <c r="Y804" s="46"/>
      <c r="Z804" s="46"/>
      <c r="AA804" s="48" t="inlineStr">
        <is>
          <t xml:space="preserve">Surplus Lines</t>
        </is>
      </c>
      <c r="AB804" s="50">
        <v>3545.29</v>
      </c>
      <c r="AC804" s="51">
        <v>0</v>
      </c>
      <c r="AD804" s="38">
        <f>IF(ISNUMBER($AB804),$AB804*(1+N($AC804)),"")</f>
      </c>
      <c r="AE804" s="50">
        <v>350</v>
      </c>
      <c r="AF804" s="50">
        <v>0</v>
      </c>
      <c r="AG804" s="51"/>
      <c r="AH804" s="39">
        <f>IF(ISNUMBER($AD804),($AD804+$AE804+$AF804)*$AG804,"")</f>
      </c>
      <c r="AI804" s="50"/>
      <c r="AJ804" s="38">
        <f>IF(ISNUMBER($AD804),SUM($AD804:$AH804),"")</f>
      </c>
      <c r="AK804" s="40">
        <f>IF(AND(ISNUMBER($AB804),ISNUMBER($AD804)),IF($AB804&gt;0,$AD804/$AB804,""),"")</f>
      </c>
      <c r="AL804" s="48" t="inlineStr">
        <is>
          <t xml:space="preserve">At technical</t>
        </is>
      </c>
      <c r="AM804" s="41">
        <f>IF(ISNUMBER($AD804),Header!$I$3,"")</f>
      </c>
      <c r="AN804" s="39">
        <f>IF(ISNUMBER($AD804),$AO804+$AP804,"")</f>
      </c>
      <c r="AO804" s="39">
        <f>IF(ISNUMBER($AD804),ROUND($AD804*Header!$K$3,2),"")</f>
      </c>
      <c r="AP804" s="39">
        <f>IF(ISNUMBER($AD804),ROUND($AD804*Header!$M$3,2),"")</f>
      </c>
      <c r="AQ804" s="38">
        <f>IF(ISNUMBER($AD804),ROUND($AD804,2)-$AO804-$AP804,"")</f>
      </c>
      <c r="AR804" s="39">
        <f>IF(ISNUMBER($AD804),IF(Header!$D$34="","?",$AD804*Header!$D$34),"")</f>
      </c>
      <c r="AS804" s="39">
        <f>IF(ISNUMBER($AB804),IF(Header!$D$34="","?",$AB804*Header!$D$34),"")</f>
      </c>
      <c r="AT804" s="42">
        <f>IF(AND(ISNUMBER($AB804),$M804&gt;0),$AB804/$M804*100,"")</f>
      </c>
      <c r="AU804" s="42">
        <f>IF(AND(ISNUMBER($AD804),$M804&gt;0),$AD804/$M804*100,"")</f>
      </c>
      <c r="AV804" s="40">
        <f>IF(AND(ISNUMBER($AB804),ISNUMBER($AD804),ABS($AB804)&gt;0),$AD804/$AB804,"")</f>
      </c>
      <c r="AW804" s="39">
        <f>IF(ISNUMBER($AD804),MAX(0,(1-0.55-Header!$O$3)*Header!$Q$3*$AQ804),"")</f>
      </c>
      <c r="AX804" s="43">
        <f>IF($A804="","",IF(TRIM(IF($A804="","Missing certificate ref. ","") &amp; IF($C804="","Missing effective date. ","") &amp; IF($D804="","Missing binding status. ","") &amp; IF($E804="","Missing movement type. ","") &amp; IF($I804="","Missing make. ","") &amp; IF($L804="","Missing vehicle class. ","") &amp; IF($M804="","Missing agreed value. ","") &amp; IF($N804="","Missing policy type. ","") &amp; IF($Q804="","Missing garaging state. ","") &amp; IF($R804="","Missing garaging ZIP. ","") &amp; IF($S804="","Missing cat zone. ","") &amp; IF($V804="","Missing valuation basis. ","") &amp; IF($W804="","Missing PD deductible. ","") &amp; IF($X804="","Missing liability limit. ","") &amp; IF($AB804="","Missing technical premium. ","") &amp; IF($AF804="","Missing surplus lines tax %. ",""))="","PASS","FAIL: "&amp;TRIM(IF($A804="","Missing certificate ref. ","") &amp; IF($C804="","Missing effective date. ","") &amp; IF($D804="","Missing binding status. ","") &amp; IF($E804="","Missing movement type. ","") &amp; IF($I804="","Missing make. ","") &amp; IF($L804="","Missing vehicle class. ","") &amp; IF($M804="","Missing agreed value. ","") &amp; IF($N804="","Missing policy type. ","") &amp; IF($Q804="","Missing garaging state. ","") &amp; IF($R804="","Missing garaging ZIP. ","") &amp; IF($S804="","Missing cat zone. ","") &amp; IF($V804="","Missing valuation basis. ","") &amp; IF($W804="","Missing PD deductible. ","") &amp; IF($X804="","Missing liability limit. ","") &amp; IF($AB804="","Missing technical premium. ","") &amp; IF($AF804="","Missing surplus lines tax %. ",""))))</f>
      </c>
      <c r="AY804" s="44">
        <f>IF($M804="","",IF(ISNUMBER($M804),IF($M804&gt;=Header!$C$18,"YES — refer","No"),""))</f>
      </c>
      <c r="AZ804" s="44">
        <f>IF($AD804="","",IF(ISNUMBER($AD804),IF($AD804&lt;Header!$C$20,"BELOW MIN PREMIUM","OK"),""))</f>
      </c>
      <c r="BA804" s="48" t="inlineStr">
        <is>
          <t xml:space="preserve">Yes</t>
        </is>
      </c>
      <c r="BB804" s="48" t="inlineStr">
        <is>
          <t xml:space="preserve">Yes</t>
        </is>
      </c>
      <c r="BC804" s="46" t="inlineStr">
        <is>
          <t xml:space="preserve">Synthetic demo data</t>
        </is>
      </c>
      <c r="BE804" s="45">
        <f>IF(OR($A804="",$L804="",$H804=""),"",IF(AND(LEFT($L804,2)="06",$H804&gt;1945),"FAIL - pre-war class, year "&amp;$H804,IF(AND(LEFT($L804,2)="07",OR($H804&lt;1946,$H804&gt;1972)),"FAIL - 1946-72 class, year "&amp;$H804,IF(AND(LEFT($L804,2)="08",OR($H804&lt;1973,$H804&gt;1999)),"FAIL - 1973-99 class, year "&amp;$H804,IF(AND(LEFT($L804,2)="09",OR($H804&lt;2000,$H804&gt;2010)),"FAIL - 2000-10 class, year "&amp;$H804,"OK")))))</f>
      </c>
      <c r="BF804" s="45">
        <f>IF($AD804="","",IF(ROUND($AO804+$AP804+$AQ804-$AD804,2)=0,"OK","FAIL - out by "&amp;TEXT($AO804+$AP804+$AQ804-$AD804,"$0.00")))</f>
      </c>
    </row>
    <row r="805" spans="1:58" ht="18.75" customHeight="1" x14ac:dyDescent="0.25">
      <c r="A805" s="30" t="inlineStr">
        <is>
          <t xml:space="preserve">CANON-202606-009503</t>
        </is>
      </c>
      <c r="B805" s="30" t="inlineStr">
        <is>
          <t xml:space="preserve">Everett Vandermeer</t>
        </is>
      </c>
      <c r="C805" s="31">
        <v>46184</v>
      </c>
      <c r="D805" s="32" t="inlineStr">
        <is>
          <t xml:space="preserve">Bound - within authority</t>
        </is>
      </c>
      <c r="E805" s="32" t="inlineStr">
        <is>
          <t xml:space="preserve">New business</t>
        </is>
      </c>
      <c r="F805" s="30" t="inlineStr">
        <is>
          <t xml:space="preserve">B1234EXOTIC26</t>
        </is>
      </c>
      <c r="G805" s="33">
        <f>IF($A805="","",IF($C805="","",YEAR($C805)))</f>
      </c>
      <c r="H805" s="34">
        <v>1958</v>
      </c>
      <c r="I805" s="30" t="inlineStr">
        <is>
          <t xml:space="preserve">Porsche</t>
        </is>
      </c>
      <c r="J805" s="30" t="inlineStr">
        <is>
          <t xml:space="preserve">911 Turbo S</t>
        </is>
      </c>
      <c r="K805" s="30" t="inlineStr">
        <is>
          <t xml:space="preserve">4B7U1E8A945KBCGVS</t>
        </is>
      </c>
      <c r="L805" s="32" t="inlineStr">
        <is>
          <t xml:space="preserve">02 - Sports / GT</t>
        </is>
      </c>
      <c r="M805" s="35">
        <v>240000</v>
      </c>
      <c r="N805" s="32" t="inlineStr">
        <is>
          <t xml:space="preserve">Personal</t>
        </is>
      </c>
      <c r="O805" s="30" t="inlineStr">
        <is>
          <t xml:space="preserve">Personal - regular use</t>
        </is>
      </c>
      <c r="P805" s="30" t="inlineStr">
        <is>
          <t xml:space="preserve">2,500 - 5,000</t>
        </is>
      </c>
      <c r="Q805" s="30" t="inlineStr">
        <is>
          <t xml:space="preserve">Massachusetts</t>
        </is>
      </c>
      <c r="R805" s="30" t="inlineStr">
        <is>
          <t xml:space="preserve">02108</t>
        </is>
      </c>
      <c r="S805" s="32" t="inlineStr">
        <is>
          <t xml:space="preserve">Tier 3 - Coastal wind (25-100 miles)</t>
        </is>
      </c>
      <c r="T805" s="36">
        <f>IF($A805="","",IF($S805="","",IFERROR(INDEX('[1]natural catastrophe'!$D$6:$D$17,MATCH($S805,'[1]natural catastrophe'!$B$6:$B$17,0)),"?")))</f>
      </c>
      <c r="U805" s="30" t="inlineStr">
        <is>
          <t xml:space="preserve">2% of agreed value, minimum $10,000</t>
        </is>
      </c>
      <c r="V805" s="32" t="inlineStr">
        <is>
          <t xml:space="preserve">Agreed Value</t>
        </is>
      </c>
      <c r="W805" s="30" t="inlineStr">
        <is>
          <t xml:space="preserve">$1,000</t>
        </is>
      </c>
      <c r="X805" s="32" t="inlineStr">
        <is>
          <t xml:space="preserve">$1,000,000 CSL</t>
        </is>
      </c>
      <c r="Y805" s="30"/>
      <c r="Z805" s="30"/>
      <c r="AA805" s="32" t="inlineStr">
        <is>
          <t xml:space="preserve">Surplus Lines</t>
        </is>
      </c>
      <c r="AB805" s="35">
        <v>3982.73</v>
      </c>
      <c r="AC805" s="37">
        <v>0</v>
      </c>
      <c r="AD805" s="38">
        <f>IF(ISNUMBER($AB805),$AB805*(1+N($AC805)),"")</f>
      </c>
      <c r="AE805" s="35">
        <v>350</v>
      </c>
      <c r="AF805" s="35">
        <v>0</v>
      </c>
      <c r="AG805" s="37"/>
      <c r="AH805" s="39">
        <f>IF(ISNUMBER($AD805),($AD805+$AE805+$AF805)*$AG805,"")</f>
      </c>
      <c r="AI805" s="35"/>
      <c r="AJ805" s="38">
        <f>IF(ISNUMBER($AD805),SUM($AD805:$AH805),"")</f>
      </c>
      <c r="AK805" s="40">
        <f>IF(AND(ISNUMBER($AB805),ISNUMBER($AD805)),IF($AB805&gt;0,$AD805/$AB805,""),"")</f>
      </c>
      <c r="AL805" s="32" t="inlineStr">
        <is>
          <t xml:space="preserve">At technical</t>
        </is>
      </c>
      <c r="AM805" s="41">
        <f>IF(ISNUMBER($AD805),Header!$I$3,"")</f>
      </c>
      <c r="AN805" s="39">
        <f>IF(ISNUMBER($AD805),$AO805+$AP805,"")</f>
      </c>
      <c r="AO805" s="39">
        <f>IF(ISNUMBER($AD805),ROUND($AD805*Header!$K$3,2),"")</f>
      </c>
      <c r="AP805" s="39">
        <f>IF(ISNUMBER($AD805),ROUND($AD805*Header!$M$3,2),"")</f>
      </c>
      <c r="AQ805" s="38">
        <f>IF(ISNUMBER($AD805),ROUND($AD805,2)-$AO805-$AP805,"")</f>
      </c>
      <c r="AR805" s="39">
        <f>IF(ISNUMBER($AD805),IF(Header!$D$34="","?",$AD805*Header!$D$34),"")</f>
      </c>
      <c r="AS805" s="39">
        <f>IF(ISNUMBER($AB805),IF(Header!$D$34="","?",$AB805*Header!$D$34),"")</f>
      </c>
      <c r="AT805" s="42">
        <f>IF(AND(ISNUMBER($AB805),$M805&gt;0),$AB805/$M805*100,"")</f>
      </c>
      <c r="AU805" s="42">
        <f>IF(AND(ISNUMBER($AD805),$M805&gt;0),$AD805/$M805*100,"")</f>
      </c>
      <c r="AV805" s="40">
        <f>IF(AND(ISNUMBER($AB805),ISNUMBER($AD805),ABS($AB805)&gt;0),$AD805/$AB805,"")</f>
      </c>
      <c r="AW805" s="39">
        <f>IF(ISNUMBER($AD805),MAX(0,(1-0.55-Header!$O$3)*Header!$Q$3*$AQ805),"")</f>
      </c>
      <c r="AX805" s="43">
        <f>IF($A805="","",IF(TRIM(IF($A805="","Missing certificate ref. ","") &amp; IF($C805="","Missing effective date. ","") &amp; IF($D805="","Missing binding status. ","") &amp; IF($E805="","Missing movement type. ","") &amp; IF($I805="","Missing make. ","") &amp; IF($L805="","Missing vehicle class. ","") &amp; IF($M805="","Missing agreed value. ","") &amp; IF($N805="","Missing policy type. ","") &amp; IF($Q805="","Missing garaging state. ","") &amp; IF($R805="","Missing garaging ZIP. ","") &amp; IF($S805="","Missing cat zone. ","") &amp; IF($V805="","Missing valuation basis. ","") &amp; IF($W805="","Missing PD deductible. ","") &amp; IF($X805="","Missing liability limit. ","") &amp; IF($AB805="","Missing technical premium. ","") &amp; IF($AF805="","Missing surplus lines tax %. ",""))="","PASS","FAIL: "&amp;TRIM(IF($A805="","Missing certificate ref. ","") &amp; IF($C805="","Missing effective date. ","") &amp; IF($D805="","Missing binding status. ","") &amp; IF($E805="","Missing movement type. ","") &amp; IF($I805="","Missing make. ","") &amp; IF($L805="","Missing vehicle class. ","") &amp; IF($M805="","Missing agreed value. ","") &amp; IF($N805="","Missing policy type. ","") &amp; IF($Q805="","Missing garaging state. ","") &amp; IF($R805="","Missing garaging ZIP. ","") &amp; IF($S805="","Missing cat zone. ","") &amp; IF($V805="","Missing valuation basis. ","") &amp; IF($W805="","Missing PD deductible. ","") &amp; IF($X805="","Missing liability limit. ","") &amp; IF($AB805="","Missing technical premium. ","") &amp; IF($AF805="","Missing surplus lines tax %. ",""))))</f>
      </c>
      <c r="AY805" s="44">
        <f>IF($M805="","",IF(ISNUMBER($M805),IF($M805&gt;=Header!$C$18,"YES — refer","No"),""))</f>
      </c>
      <c r="AZ805" s="44">
        <f>IF($AD805="","",IF(ISNUMBER($AD805),IF($AD805&lt;Header!$C$20,"BELOW MIN PREMIUM","OK"),""))</f>
      </c>
      <c r="BA805" s="32" t="inlineStr">
        <is>
          <t xml:space="preserve">Yes</t>
        </is>
      </c>
      <c r="BB805" s="32" t="inlineStr">
        <is>
          <t xml:space="preserve">Yes</t>
        </is>
      </c>
      <c r="BC805" s="30" t="inlineStr">
        <is>
          <t xml:space="preserve">Synthetic demo data</t>
        </is>
      </c>
      <c r="BE805" s="45">
        <f>IF(OR($A805="",$L805="",$H805=""),"",IF(AND(LEFT($L805,2)="06",$H805&gt;1945),"FAIL - pre-war class, year "&amp;$H805,IF(AND(LEFT($L805,2)="07",OR($H805&lt;1946,$H805&gt;1972)),"FAIL - 1946-72 class, year "&amp;$H805,IF(AND(LEFT($L805,2)="08",OR($H805&lt;1973,$H805&gt;1999)),"FAIL - 1973-99 class, year "&amp;$H805,IF(AND(LEFT($L805,2)="09",OR($H805&lt;2000,$H805&gt;2010)),"FAIL - 2000-10 class, year "&amp;$H805,"OK")))))</f>
      </c>
      <c r="BF805" s="45">
        <f>IF($AD805="","",IF(ROUND($AO805+$AP805+$AQ805-$AD805,2)=0,"OK","FAIL - out by "&amp;TEXT($AO805+$AP805+$AQ805-$AD805,"$0.00")))</f>
      </c>
    </row>
    <row r="806" spans="1:58" ht="18.75" customHeight="1" x14ac:dyDescent="0.25">
      <c r="A806" s="46" t="inlineStr">
        <is>
          <t xml:space="preserve">CANON-202606-009504</t>
        </is>
      </c>
      <c r="B806" s="46" t="inlineStr">
        <is>
          <t xml:space="preserve">Fenwick Montoya</t>
        </is>
      </c>
      <c r="C806" s="47">
        <v>46192</v>
      </c>
      <c r="D806" s="48" t="inlineStr">
        <is>
          <t xml:space="preserve">Bound - within authority</t>
        </is>
      </c>
      <c r="E806" s="48" t="inlineStr">
        <is>
          <t xml:space="preserve">New business</t>
        </is>
      </c>
      <c r="F806" s="46" t="inlineStr">
        <is>
          <t xml:space="preserve">B1234EXOTIC26</t>
        </is>
      </c>
      <c r="G806" s="33">
        <f>IF($A806="","",IF($C806="","",YEAR($C806)))</f>
      </c>
      <c r="H806" s="49">
        <v>2016</v>
      </c>
      <c r="I806" s="46" t="inlineStr">
        <is>
          <t xml:space="preserve">BMW</t>
        </is>
      </c>
      <c r="J806" s="46" t="inlineStr">
        <is>
          <t xml:space="preserve">M8 Competition</t>
        </is>
      </c>
      <c r="K806" s="46" t="inlineStr">
        <is>
          <t xml:space="preserve">66WGMS1F8C9RKJJJA</t>
        </is>
      </c>
      <c r="L806" s="48" t="inlineStr">
        <is>
          <t xml:space="preserve">02 - Sports / GT</t>
        </is>
      </c>
      <c r="M806" s="50">
        <v>795000</v>
      </c>
      <c r="N806" s="48" t="inlineStr">
        <is>
          <t xml:space="preserve">Personal</t>
        </is>
      </c>
      <c r="O806" s="46" t="inlineStr">
        <is>
          <t xml:space="preserve">Personal - regular use</t>
        </is>
      </c>
      <c r="P806" s="46" t="inlineStr">
        <is>
          <t xml:space="preserve">Under 1,000</t>
        </is>
      </c>
      <c r="Q806" s="46" t="inlineStr">
        <is>
          <t xml:space="preserve">Utah</t>
        </is>
      </c>
      <c r="R806" s="46" t="inlineStr">
        <is>
          <t xml:space="preserve">84101</t>
        </is>
      </c>
      <c r="S806" s="48" t="inlineStr">
        <is>
          <t xml:space="preserve">Wildfire - WUI high hazard</t>
        </is>
      </c>
      <c r="T806" s="36">
        <f>IF($A806="","",IF($S806="","",IFERROR(INDEX('[1]natural catastrophe'!$D$6:$D$17,MATCH($S806,'[1]natural catastrophe'!$B$6:$B$17,0)),"?")))</f>
      </c>
      <c r="U806" s="46" t="inlineStr">
        <is>
          <t xml:space="preserve">$5,000</t>
        </is>
      </c>
      <c r="V806" s="48" t="inlineStr">
        <is>
          <t xml:space="preserve">Agreed Value</t>
        </is>
      </c>
      <c r="W806" s="46" t="inlineStr">
        <is>
          <t xml:space="preserve">$1,000</t>
        </is>
      </c>
      <c r="X806" s="48" t="inlineStr">
        <is>
          <t xml:space="preserve">$1,000,000 CSL</t>
        </is>
      </c>
      <c r="Y806" s="46"/>
      <c r="Z806" s="46"/>
      <c r="AA806" s="48" t="inlineStr">
        <is>
          <t xml:space="preserve">Surplus Lines</t>
        </is>
      </c>
      <c r="AB806" s="50">
        <v>10066.68</v>
      </c>
      <c r="AC806" s="51">
        <v>0</v>
      </c>
      <c r="AD806" s="38">
        <f>IF(ISNUMBER($AB806),$AB806*(1+N($AC806)),"")</f>
      </c>
      <c r="AE806" s="50">
        <v>350</v>
      </c>
      <c r="AF806" s="50">
        <v>0</v>
      </c>
      <c r="AG806" s="51"/>
      <c r="AH806" s="39">
        <f>IF(ISNUMBER($AD806),($AD806+$AE806+$AF806)*$AG806,"")</f>
      </c>
      <c r="AI806" s="50"/>
      <c r="AJ806" s="38">
        <f>IF(ISNUMBER($AD806),SUM($AD806:$AH806),"")</f>
      </c>
      <c r="AK806" s="40">
        <f>IF(AND(ISNUMBER($AB806),ISNUMBER($AD806)),IF($AB806&gt;0,$AD806/$AB806,""),"")</f>
      </c>
      <c r="AL806" s="48" t="inlineStr">
        <is>
          <t xml:space="preserve">At technical</t>
        </is>
      </c>
      <c r="AM806" s="41">
        <f>IF(ISNUMBER($AD806),Header!$I$3,"")</f>
      </c>
      <c r="AN806" s="39">
        <f>IF(ISNUMBER($AD806),$AO806+$AP806,"")</f>
      </c>
      <c r="AO806" s="39">
        <f>IF(ISNUMBER($AD806),ROUND($AD806*Header!$K$3,2),"")</f>
      </c>
      <c r="AP806" s="39">
        <f>IF(ISNUMBER($AD806),ROUND($AD806*Header!$M$3,2),"")</f>
      </c>
      <c r="AQ806" s="38">
        <f>IF(ISNUMBER($AD806),ROUND($AD806,2)-$AO806-$AP806,"")</f>
      </c>
      <c r="AR806" s="39">
        <f>IF(ISNUMBER($AD806),IF(Header!$D$34="","?",$AD806*Header!$D$34),"")</f>
      </c>
      <c r="AS806" s="39">
        <f>IF(ISNUMBER($AB806),IF(Header!$D$34="","?",$AB806*Header!$D$34),"")</f>
      </c>
      <c r="AT806" s="42">
        <f>IF(AND(ISNUMBER($AB806),$M806&gt;0),$AB806/$M806*100,"")</f>
      </c>
      <c r="AU806" s="42">
        <f>IF(AND(ISNUMBER($AD806),$M806&gt;0),$AD806/$M806*100,"")</f>
      </c>
      <c r="AV806" s="40">
        <f>IF(AND(ISNUMBER($AB806),ISNUMBER($AD806),ABS($AB806)&gt;0),$AD806/$AB806,"")</f>
      </c>
      <c r="AW806" s="39">
        <f>IF(ISNUMBER($AD806),MAX(0,(1-0.55-Header!$O$3)*Header!$Q$3*$AQ806),"")</f>
      </c>
      <c r="AX806" s="43">
        <f>IF($A806="","",IF(TRIM(IF($A806="","Missing certificate ref. ","") &amp; IF($C806="","Missing effective date. ","") &amp; IF($D806="","Missing binding status. ","") &amp; IF($E806="","Missing movement type. ","") &amp; IF($I806="","Missing make. ","") &amp; IF($L806="","Missing vehicle class. ","") &amp; IF($M806="","Missing agreed value. ","") &amp; IF($N806="","Missing policy type. ","") &amp; IF($Q806="","Missing garaging state. ","") &amp; IF($R806="","Missing garaging ZIP. ","") &amp; IF($S806="","Missing cat zone. ","") &amp; IF($V806="","Missing valuation basis. ","") &amp; IF($W806="","Missing PD deductible. ","") &amp; IF($X806="","Missing liability limit. ","") &amp; IF($AB806="","Missing technical premium. ","") &amp; IF($AF806="","Missing surplus lines tax %. ",""))="","PASS","FAIL: "&amp;TRIM(IF($A806="","Missing certificate ref. ","") &amp; IF($C806="","Missing effective date. ","") &amp; IF($D806="","Missing binding status. ","") &amp; IF($E806="","Missing movement type. ","") &amp; IF($I806="","Missing make. ","") &amp; IF($L806="","Missing vehicle class. ","") &amp; IF($M806="","Missing agreed value. ","") &amp; IF($N806="","Missing policy type. ","") &amp; IF($Q806="","Missing garaging state. ","") &amp; IF($R806="","Missing garaging ZIP. ","") &amp; IF($S806="","Missing cat zone. ","") &amp; IF($V806="","Missing valuation basis. ","") &amp; IF($W806="","Missing PD deductible. ","") &amp; IF($X806="","Missing liability limit. ","") &amp; IF($AB806="","Missing technical premium. ","") &amp; IF($AF806="","Missing surplus lines tax %. ",""))))</f>
      </c>
      <c r="AY806" s="44">
        <f>IF($M806="","",IF(ISNUMBER($M806),IF($M806&gt;=Header!$C$18,"YES — refer","No"),""))</f>
      </c>
      <c r="AZ806" s="44">
        <f>IF($AD806="","",IF(ISNUMBER($AD806),IF($AD806&lt;Header!$C$20,"BELOW MIN PREMIUM","OK"),""))</f>
      </c>
      <c r="BA806" s="48" t="inlineStr">
        <is>
          <t xml:space="preserve">Yes</t>
        </is>
      </c>
      <c r="BB806" s="48" t="inlineStr">
        <is>
          <t xml:space="preserve">Yes</t>
        </is>
      </c>
      <c r="BC806" s="46" t="inlineStr">
        <is>
          <t xml:space="preserve">Synthetic demo data</t>
        </is>
      </c>
      <c r="BE806" s="45">
        <f>IF(OR($A806="",$L806="",$H806=""),"",IF(AND(LEFT($L806,2)="06",$H806&gt;1945),"FAIL - pre-war class, year "&amp;$H806,IF(AND(LEFT($L806,2)="07",OR($H806&lt;1946,$H806&gt;1972)),"FAIL - 1946-72 class, year "&amp;$H806,IF(AND(LEFT($L806,2)="08",OR($H806&lt;1973,$H806&gt;1999)),"FAIL - 1973-99 class, year "&amp;$H806,IF(AND(LEFT($L806,2)="09",OR($H806&lt;2000,$H806&gt;2010)),"FAIL - 2000-10 class, year "&amp;$H806,"OK")))))</f>
      </c>
      <c r="BF806" s="45">
        <f>IF($AD806="","",IF(ROUND($AO806+$AP806+$AQ806-$AD806,2)=0,"OK","FAIL - out by "&amp;TEXT($AO806+$AP806+$AQ806-$AD806,"$0.00")))</f>
      </c>
    </row>
    <row r="807" spans="1:58" ht="18.75" customHeight="1" x14ac:dyDescent="0.25">
      <c r="A807" s="30" t="inlineStr">
        <is>
          <t xml:space="preserve">CANON-202606-009506</t>
        </is>
      </c>
      <c r="B807" s="30" t="inlineStr">
        <is>
          <t xml:space="preserve">Aurelio Montoya</t>
        </is>
      </c>
      <c r="C807" s="31">
        <v>46198</v>
      </c>
      <c r="D807" s="32" t="inlineStr">
        <is>
          <t xml:space="preserve">Bound - within authority</t>
        </is>
      </c>
      <c r="E807" s="32" t="inlineStr">
        <is>
          <t xml:space="preserve">New business</t>
        </is>
      </c>
      <c r="F807" s="30" t="inlineStr">
        <is>
          <t xml:space="preserve">B1234EXOTIC26</t>
        </is>
      </c>
      <c r="G807" s="33">
        <f>IF($A807="","",IF($C807="","",YEAR($C807)))</f>
      </c>
      <c r="H807" s="34">
        <v>2014</v>
      </c>
      <c r="I807" s="30" t="inlineStr">
        <is>
          <t xml:space="preserve">Maserati</t>
        </is>
      </c>
      <c r="J807" s="30" t="inlineStr">
        <is>
          <t xml:space="preserve">GranTurismo</t>
        </is>
      </c>
      <c r="K807" s="30" t="inlineStr">
        <is>
          <t xml:space="preserve">6DG4B9Y783MMWD8XV</t>
        </is>
      </c>
      <c r="L807" s="32" t="inlineStr">
        <is>
          <t xml:space="preserve">02 - Sports / GT</t>
        </is>
      </c>
      <c r="M807" s="35">
        <v>1680000</v>
      </c>
      <c r="N807" s="32" t="inlineStr">
        <is>
          <t xml:space="preserve">Personal</t>
        </is>
      </c>
      <c r="O807" s="30" t="inlineStr">
        <is>
          <t xml:space="preserve">Personal - regular use</t>
        </is>
      </c>
      <c r="P807" s="30" t="inlineStr">
        <is>
          <t xml:space="preserve">2,500 - 5,000</t>
        </is>
      </c>
      <c r="Q807" s="30" t="inlineStr">
        <is>
          <t xml:space="preserve">Illinois</t>
        </is>
      </c>
      <c r="R807" s="30" t="inlineStr">
        <is>
          <t xml:space="preserve">60601</t>
        </is>
      </c>
      <c r="S807" s="32" t="inlineStr">
        <is>
          <t xml:space="preserve">Severe convective - hail / tornado (moderate)</t>
        </is>
      </c>
      <c r="T807" s="36">
        <f>IF($A807="","",IF($S807="","",IFERROR(INDEX('[1]natural catastrophe'!$D$6:$D$17,MATCH($S807,'[1]natural catastrophe'!$B$6:$B$17,0)),"?")))</f>
      </c>
      <c r="U807" s="30" t="inlineStr">
        <is>
          <t xml:space="preserve">$5,000</t>
        </is>
      </c>
      <c r="V807" s="32" t="inlineStr">
        <is>
          <t xml:space="preserve">Agreed Value</t>
        </is>
      </c>
      <c r="W807" s="30" t="inlineStr">
        <is>
          <t xml:space="preserve">$1,000</t>
        </is>
      </c>
      <c r="X807" s="32" t="inlineStr">
        <is>
          <t xml:space="preserve">$1,000,000 CSL</t>
        </is>
      </c>
      <c r="Y807" s="30"/>
      <c r="Z807" s="30"/>
      <c r="AA807" s="32" t="inlineStr">
        <is>
          <t xml:space="preserve">Surplus Lines</t>
        </is>
      </c>
      <c r="AB807" s="35">
        <v>18133.55</v>
      </c>
      <c r="AC807" s="37">
        <v>0</v>
      </c>
      <c r="AD807" s="38">
        <f>IF(ISNUMBER($AB807),$AB807*(1+N($AC807)),"")</f>
      </c>
      <c r="AE807" s="35">
        <v>350</v>
      </c>
      <c r="AF807" s="35">
        <v>250</v>
      </c>
      <c r="AG807" s="37"/>
      <c r="AH807" s="39">
        <f>IF(ISNUMBER($AD807),($AD807+$AE807+$AF807)*$AG807,"")</f>
      </c>
      <c r="AI807" s="35"/>
      <c r="AJ807" s="38">
        <f>IF(ISNUMBER($AD807),SUM($AD807:$AH807),"")</f>
      </c>
      <c r="AK807" s="40">
        <f>IF(AND(ISNUMBER($AB807),ISNUMBER($AD807)),IF($AB807&gt;0,$AD807/$AB807,""),"")</f>
      </c>
      <c r="AL807" s="32" t="inlineStr">
        <is>
          <t xml:space="preserve">At technical</t>
        </is>
      </c>
      <c r="AM807" s="41">
        <f>IF(ISNUMBER($AD807),Header!$I$3,"")</f>
      </c>
      <c r="AN807" s="39">
        <f>IF(ISNUMBER($AD807),$AO807+$AP807,"")</f>
      </c>
      <c r="AO807" s="39">
        <f>IF(ISNUMBER($AD807),ROUND($AD807*Header!$K$3,2),"")</f>
      </c>
      <c r="AP807" s="39">
        <f>IF(ISNUMBER($AD807),ROUND($AD807*Header!$M$3,2),"")</f>
      </c>
      <c r="AQ807" s="38">
        <f>IF(ISNUMBER($AD807),ROUND($AD807,2)-$AO807-$AP807,"")</f>
      </c>
      <c r="AR807" s="39">
        <f>IF(ISNUMBER($AD807),IF(Header!$D$34="","?",$AD807*Header!$D$34),"")</f>
      </c>
      <c r="AS807" s="39">
        <f>IF(ISNUMBER($AB807),IF(Header!$D$34="","?",$AB807*Header!$D$34),"")</f>
      </c>
      <c r="AT807" s="42">
        <f>IF(AND(ISNUMBER($AB807),$M807&gt;0),$AB807/$M807*100,"")</f>
      </c>
      <c r="AU807" s="42">
        <f>IF(AND(ISNUMBER($AD807),$M807&gt;0),$AD807/$M807*100,"")</f>
      </c>
      <c r="AV807" s="40">
        <f>IF(AND(ISNUMBER($AB807),ISNUMBER($AD807),ABS($AB807)&gt;0),$AD807/$AB807,"")</f>
      </c>
      <c r="AW807" s="39">
        <f>IF(ISNUMBER($AD807),MAX(0,(1-0.55-Header!$O$3)*Header!$Q$3*$AQ807),"")</f>
      </c>
      <c r="AX807" s="43">
        <f>IF($A807="","",IF(TRIM(IF($A807="","Missing certificate ref. ","") &amp; IF($C807="","Missing effective date. ","") &amp; IF($D807="","Missing binding status. ","") &amp; IF($E807="","Missing movement type. ","") &amp; IF($I807="","Missing make. ","") &amp; IF($L807="","Missing vehicle class. ","") &amp; IF($M807="","Missing agreed value. ","") &amp; IF($N807="","Missing policy type. ","") &amp; IF($Q807="","Missing garaging state. ","") &amp; IF($R807="","Missing garaging ZIP. ","") &amp; IF($S807="","Missing cat zone. ","") &amp; IF($V807="","Missing valuation basis. ","") &amp; IF($W807="","Missing PD deductible. ","") &amp; IF($X807="","Missing liability limit. ","") &amp; IF($AB807="","Missing technical premium. ","") &amp; IF($AF807="","Missing surplus lines tax %. ",""))="","PASS","FAIL: "&amp;TRIM(IF($A807="","Missing certificate ref. ","") &amp; IF($C807="","Missing effective date. ","") &amp; IF($D807="","Missing binding status. ","") &amp; IF($E807="","Missing movement type. ","") &amp; IF($I807="","Missing make. ","") &amp; IF($L807="","Missing vehicle class. ","") &amp; IF($M807="","Missing agreed value. ","") &amp; IF($N807="","Missing policy type. ","") &amp; IF($Q807="","Missing garaging state. ","") &amp; IF($R807="","Missing garaging ZIP. ","") &amp; IF($S807="","Missing cat zone. ","") &amp; IF($V807="","Missing valuation basis. ","") &amp; IF($W807="","Missing PD deductible. ","") &amp; IF($X807="","Missing liability limit. ","") &amp; IF($AB807="","Missing technical premium. ","") &amp; IF($AF807="","Missing surplus lines tax %. ",""))))</f>
      </c>
      <c r="AY807" s="44">
        <f>IF($M807="","",IF(ISNUMBER($M807),IF($M807&gt;=Header!$C$18,"YES — refer","No"),""))</f>
      </c>
      <c r="AZ807" s="44">
        <f>IF($AD807="","",IF(ISNUMBER($AD807),IF($AD807&lt;Header!$C$20,"BELOW MIN PREMIUM","OK"),""))</f>
      </c>
      <c r="BA807" s="32" t="inlineStr">
        <is>
          <t xml:space="preserve">Yes</t>
        </is>
      </c>
      <c r="BB807" s="32" t="inlineStr">
        <is>
          <t xml:space="preserve">Yes</t>
        </is>
      </c>
      <c r="BC807" s="30" t="inlineStr">
        <is>
          <t xml:space="preserve">Synthetic demo data</t>
        </is>
      </c>
      <c r="BE807" s="45">
        <f>IF(OR($A807="",$L807="",$H807=""),"",IF(AND(LEFT($L807,2)="06",$H807&gt;1945),"FAIL - pre-war class, year "&amp;$H807,IF(AND(LEFT($L807,2)="07",OR($H807&lt;1946,$H807&gt;1972)),"FAIL - 1946-72 class, year "&amp;$H807,IF(AND(LEFT($L807,2)="08",OR($H807&lt;1973,$H807&gt;1999)),"FAIL - 1973-99 class, year "&amp;$H807,IF(AND(LEFT($L807,2)="09",OR($H807&lt;2000,$H807&gt;2010)),"FAIL - 2000-10 class, year "&amp;$H807,"OK")))))</f>
      </c>
      <c r="BF807" s="45">
        <f>IF($AD807="","",IF(ROUND($AO807+$AP807+$AQ807-$AD807,2)=0,"OK","FAIL - out by "&amp;TEXT($AO807+$AP807+$AQ807-$AD807,"$0.00")))</f>
      </c>
    </row>
    <row r="808" spans="1:58" ht="18.75" customHeight="1" x14ac:dyDescent="0.25">
      <c r="A808" s="46" t="inlineStr">
        <is>
          <t xml:space="preserve">CANON-202606-009507</t>
        </is>
      </c>
      <c r="B808" s="46" t="inlineStr">
        <is>
          <t xml:space="preserve">Delphine Vasquez</t>
        </is>
      </c>
      <c r="C808" s="47">
        <v>46194</v>
      </c>
      <c r="D808" s="48" t="inlineStr">
        <is>
          <t xml:space="preserve">Bound - within authority</t>
        </is>
      </c>
      <c r="E808" s="48" t="inlineStr">
        <is>
          <t xml:space="preserve">New business</t>
        </is>
      </c>
      <c r="F808" s="46" t="inlineStr">
        <is>
          <t xml:space="preserve">B1234EXOTIC26</t>
        </is>
      </c>
      <c r="G808" s="33">
        <f>IF($A808="","",IF($C808="","",YEAR($C808)))</f>
      </c>
      <c r="H808" s="49">
        <v>1983</v>
      </c>
      <c r="I808" s="46" t="inlineStr">
        <is>
          <t xml:space="preserve">BMW</t>
        </is>
      </c>
      <c r="J808" s="46" t="inlineStr">
        <is>
          <t xml:space="preserve">M8 Competition</t>
        </is>
      </c>
      <c r="K808" s="46" t="inlineStr">
        <is>
          <t xml:space="preserve">E86SRZVS5G9G0LYAD</t>
        </is>
      </c>
      <c r="L808" s="48" t="inlineStr">
        <is>
          <t xml:space="preserve">02 - Sports / GT</t>
        </is>
      </c>
      <c r="M808" s="50">
        <v>370000</v>
      </c>
      <c r="N808" s="48" t="inlineStr">
        <is>
          <t xml:space="preserve">Personal</t>
        </is>
      </c>
      <c r="O808" s="46" t="inlineStr">
        <is>
          <t xml:space="preserve">Personal - regular use</t>
        </is>
      </c>
      <c r="P808" s="46" t="inlineStr">
        <is>
          <t xml:space="preserve">Under 1,000</t>
        </is>
      </c>
      <c r="Q808" s="46" t="inlineStr">
        <is>
          <t xml:space="preserve">Massachusetts</t>
        </is>
      </c>
      <c r="R808" s="46" t="inlineStr">
        <is>
          <t xml:space="preserve">02108</t>
        </is>
      </c>
      <c r="S808" s="48" t="inlineStr">
        <is>
          <t xml:space="preserve">Tier 3 - Coastal wind (25-100 miles)</t>
        </is>
      </c>
      <c r="T808" s="36">
        <f>IF($A808="","",IF($S808="","",IFERROR(INDEX('[1]natural catastrophe'!$D$6:$D$17,MATCH($S808,'[1]natural catastrophe'!$B$6:$B$17,0)),"?")))</f>
      </c>
      <c r="U808" s="46" t="inlineStr">
        <is>
          <t xml:space="preserve">2% of agreed value, minimum $10,000</t>
        </is>
      </c>
      <c r="V808" s="48" t="inlineStr">
        <is>
          <t xml:space="preserve">Agreed Value</t>
        </is>
      </c>
      <c r="W808" s="46" t="inlineStr">
        <is>
          <t xml:space="preserve">$1,000</t>
        </is>
      </c>
      <c r="X808" s="48" t="inlineStr">
        <is>
          <t xml:space="preserve">$1,000,000 CSL</t>
        </is>
      </c>
      <c r="Y808" s="46"/>
      <c r="Z808" s="46"/>
      <c r="AA808" s="48" t="inlineStr">
        <is>
          <t xml:space="preserve">Surplus Lines</t>
        </is>
      </c>
      <c r="AB808" s="50">
        <v>5005.47</v>
      </c>
      <c r="AC808" s="51">
        <v>0</v>
      </c>
      <c r="AD808" s="38">
        <f>IF(ISNUMBER($AB808),$AB808*(1+N($AC808)),"")</f>
      </c>
      <c r="AE808" s="50">
        <v>350</v>
      </c>
      <c r="AF808" s="50">
        <v>0</v>
      </c>
      <c r="AG808" s="51"/>
      <c r="AH808" s="39">
        <f>IF(ISNUMBER($AD808),($AD808+$AE808+$AF808)*$AG808,"")</f>
      </c>
      <c r="AI808" s="50"/>
      <c r="AJ808" s="38">
        <f>IF(ISNUMBER($AD808),SUM($AD808:$AH808),"")</f>
      </c>
      <c r="AK808" s="40">
        <f>IF(AND(ISNUMBER($AB808),ISNUMBER($AD808)),IF($AB808&gt;0,$AD808/$AB808,""),"")</f>
      </c>
      <c r="AL808" s="48" t="inlineStr">
        <is>
          <t xml:space="preserve">At technical</t>
        </is>
      </c>
      <c r="AM808" s="41">
        <f>IF(ISNUMBER($AD808),Header!$I$3,"")</f>
      </c>
      <c r="AN808" s="39">
        <f>IF(ISNUMBER($AD808),$AO808+$AP808,"")</f>
      </c>
      <c r="AO808" s="39">
        <f>IF(ISNUMBER($AD808),ROUND($AD808*Header!$K$3,2),"")</f>
      </c>
      <c r="AP808" s="39">
        <f>IF(ISNUMBER($AD808),ROUND($AD808*Header!$M$3,2),"")</f>
      </c>
      <c r="AQ808" s="38">
        <f>IF(ISNUMBER($AD808),ROUND($AD808,2)-$AO808-$AP808,"")</f>
      </c>
      <c r="AR808" s="39">
        <f>IF(ISNUMBER($AD808),IF(Header!$D$34="","?",$AD808*Header!$D$34),"")</f>
      </c>
      <c r="AS808" s="39">
        <f>IF(ISNUMBER($AB808),IF(Header!$D$34="","?",$AB808*Header!$D$34),"")</f>
      </c>
      <c r="AT808" s="42">
        <f>IF(AND(ISNUMBER($AB808),$M808&gt;0),$AB808/$M808*100,"")</f>
      </c>
      <c r="AU808" s="42">
        <f>IF(AND(ISNUMBER($AD808),$M808&gt;0),$AD808/$M808*100,"")</f>
      </c>
      <c r="AV808" s="40">
        <f>IF(AND(ISNUMBER($AB808),ISNUMBER($AD808),ABS($AB808)&gt;0),$AD808/$AB808,"")</f>
      </c>
      <c r="AW808" s="39">
        <f>IF(ISNUMBER($AD808),MAX(0,(1-0.55-Header!$O$3)*Header!$Q$3*$AQ808),"")</f>
      </c>
      <c r="AX808" s="43">
        <f>IF($A808="","",IF(TRIM(IF($A808="","Missing certificate ref. ","") &amp; IF($C808="","Missing effective date. ","") &amp; IF($D808="","Missing binding status. ","") &amp; IF($E808="","Missing movement type. ","") &amp; IF($I808="","Missing make. ","") &amp; IF($L808="","Missing vehicle class. ","") &amp; IF($M808="","Missing agreed value. ","") &amp; IF($N808="","Missing policy type. ","") &amp; IF($Q808="","Missing garaging state. ","") &amp; IF($R808="","Missing garaging ZIP. ","") &amp; IF($S808="","Missing cat zone. ","") &amp; IF($V808="","Missing valuation basis. ","") &amp; IF($W808="","Missing PD deductible. ","") &amp; IF($X808="","Missing liability limit. ","") &amp; IF($AB808="","Missing technical premium. ","") &amp; IF($AF808="","Missing surplus lines tax %. ",""))="","PASS","FAIL: "&amp;TRIM(IF($A808="","Missing certificate ref. ","") &amp; IF($C808="","Missing effective date. ","") &amp; IF($D808="","Missing binding status. ","") &amp; IF($E808="","Missing movement type. ","") &amp; IF($I808="","Missing make. ","") &amp; IF($L808="","Missing vehicle class. ","") &amp; IF($M808="","Missing agreed value. ","") &amp; IF($N808="","Missing policy type. ","") &amp; IF($Q808="","Missing garaging state. ","") &amp; IF($R808="","Missing garaging ZIP. ","") &amp; IF($S808="","Missing cat zone. ","") &amp; IF($V808="","Missing valuation basis. ","") &amp; IF($W808="","Missing PD deductible. ","") &amp; IF($X808="","Missing liability limit. ","") &amp; IF($AB808="","Missing technical premium. ","") &amp; IF($AF808="","Missing surplus lines tax %. ",""))))</f>
      </c>
      <c r="AY808" s="44">
        <f>IF($M808="","",IF(ISNUMBER($M808),IF($M808&gt;=Header!$C$18,"YES — refer","No"),""))</f>
      </c>
      <c r="AZ808" s="44">
        <f>IF($AD808="","",IF(ISNUMBER($AD808),IF($AD808&lt;Header!$C$20,"BELOW MIN PREMIUM","OK"),""))</f>
      </c>
      <c r="BA808" s="48" t="inlineStr">
        <is>
          <t xml:space="preserve">Yes</t>
        </is>
      </c>
      <c r="BB808" s="48" t="inlineStr">
        <is>
          <t xml:space="preserve">Yes</t>
        </is>
      </c>
      <c r="BC808" s="46" t="inlineStr">
        <is>
          <t xml:space="preserve">Synthetic demo data</t>
        </is>
      </c>
      <c r="BE808" s="45">
        <f>IF(OR($A808="",$L808="",$H808=""),"",IF(AND(LEFT($L808,2)="06",$H808&gt;1945),"FAIL - pre-war class, year "&amp;$H808,IF(AND(LEFT($L808,2)="07",OR($H808&lt;1946,$H808&gt;1972)),"FAIL - 1946-72 class, year "&amp;$H808,IF(AND(LEFT($L808,2)="08",OR($H808&lt;1973,$H808&gt;1999)),"FAIL - 1973-99 class, year "&amp;$H808,IF(AND(LEFT($L808,2)="09",OR($H808&lt;2000,$H808&gt;2010)),"FAIL - 2000-10 class, year "&amp;$H808,"OK")))))</f>
      </c>
      <c r="BF808" s="45">
        <f>IF($AD808="","",IF(ROUND($AO808+$AP808+$AQ808-$AD808,2)=0,"OK","FAIL - out by "&amp;TEXT($AO808+$AP808+$AQ808-$AD808,"$0.00")))</f>
      </c>
    </row>
    <row r="809" spans="1:58" ht="18.75" customHeight="1" x14ac:dyDescent="0.25">
      <c r="A809" s="30" t="inlineStr">
        <is>
          <t xml:space="preserve">CANON-202606-009508</t>
        </is>
      </c>
      <c r="B809" s="30" t="inlineStr">
        <is>
          <t xml:space="preserve">Emiliano Thistlewood</t>
        </is>
      </c>
      <c r="C809" s="31">
        <v>46174</v>
      </c>
      <c r="D809" s="32" t="inlineStr">
        <is>
          <t xml:space="preserve">Bound - within authority</t>
        </is>
      </c>
      <c r="E809" s="32" t="inlineStr">
        <is>
          <t xml:space="preserve">New business</t>
        </is>
      </c>
      <c r="F809" s="30" t="inlineStr">
        <is>
          <t xml:space="preserve">B1234EXOTIC26</t>
        </is>
      </c>
      <c r="G809" s="33">
        <f>IF($A809="","",IF($C809="","",YEAR($C809)))</f>
      </c>
      <c r="H809" s="34">
        <v>1969</v>
      </c>
      <c r="I809" s="30" t="inlineStr">
        <is>
          <t xml:space="preserve">Porsche</t>
        </is>
      </c>
      <c r="J809" s="30" t="inlineStr">
        <is>
          <t xml:space="preserve">911 Turbo S</t>
        </is>
      </c>
      <c r="K809" s="30" t="inlineStr">
        <is>
          <t xml:space="preserve">STUGW2LSCNF6UJ3L7</t>
        </is>
      </c>
      <c r="L809" s="32" t="inlineStr">
        <is>
          <t xml:space="preserve">02 - Sports / GT</t>
        </is>
      </c>
      <c r="M809" s="35">
        <v>710000</v>
      </c>
      <c r="N809" s="32" t="inlineStr">
        <is>
          <t xml:space="preserve">Personal</t>
        </is>
      </c>
      <c r="O809" s="30" t="inlineStr">
        <is>
          <t xml:space="preserve">Personal - regular use</t>
        </is>
      </c>
      <c r="P809" s="30" t="inlineStr">
        <is>
          <t xml:space="preserve">Under 1,000</t>
        </is>
      </c>
      <c r="Q809" s="30" t="inlineStr">
        <is>
          <t xml:space="preserve">New York</t>
        </is>
      </c>
      <c r="R809" s="30" t="inlineStr">
        <is>
          <t xml:space="preserve">10022</t>
        </is>
      </c>
      <c r="S809" s="32" t="inlineStr">
        <is>
          <t xml:space="preserve">Tier 3 - Coastal wind (25-100 miles)</t>
        </is>
      </c>
      <c r="T809" s="36">
        <f>IF($A809="","",IF($S809="","",IFERROR(INDEX('[1]natural catastrophe'!$D$6:$D$17,MATCH($S809,'[1]natural catastrophe'!$B$6:$B$17,0)),"?")))</f>
      </c>
      <c r="U809" s="30" t="inlineStr">
        <is>
          <t xml:space="preserve">2% of agreed value, minimum $10,000</t>
        </is>
      </c>
      <c r="V809" s="32" t="inlineStr">
        <is>
          <t xml:space="preserve">Agreed Value</t>
        </is>
      </c>
      <c r="W809" s="30" t="inlineStr">
        <is>
          <t xml:space="preserve">$1,000</t>
        </is>
      </c>
      <c r="X809" s="32" t="inlineStr">
        <is>
          <t xml:space="preserve">$1,000,000 CSL</t>
        </is>
      </c>
      <c r="Y809" s="30"/>
      <c r="Z809" s="30"/>
      <c r="AA809" s="32" t="inlineStr">
        <is>
          <t xml:space="preserve">Surplus Lines</t>
        </is>
      </c>
      <c r="AB809" s="35">
        <v>8524.2</v>
      </c>
      <c r="AC809" s="37">
        <v>0</v>
      </c>
      <c r="AD809" s="38">
        <f>IF(ISNUMBER($AB809),$AB809*(1+N($AC809)),"")</f>
      </c>
      <c r="AE809" s="35">
        <v>350</v>
      </c>
      <c r="AF809" s="35">
        <v>0</v>
      </c>
      <c r="AG809" s="37"/>
      <c r="AH809" s="39">
        <f>IF(ISNUMBER($AD809),($AD809+$AE809+$AF809)*$AG809,"")</f>
      </c>
      <c r="AI809" s="35"/>
      <c r="AJ809" s="38">
        <f>IF(ISNUMBER($AD809),SUM($AD809:$AH809),"")</f>
      </c>
      <c r="AK809" s="40">
        <f>IF(AND(ISNUMBER($AB809),ISNUMBER($AD809)),IF($AB809&gt;0,$AD809/$AB809,""),"")</f>
      </c>
      <c r="AL809" s="32" t="inlineStr">
        <is>
          <t xml:space="preserve">At technical</t>
        </is>
      </c>
      <c r="AM809" s="41">
        <f>IF(ISNUMBER($AD809),Header!$I$3,"")</f>
      </c>
      <c r="AN809" s="39">
        <f>IF(ISNUMBER($AD809),$AO809+$AP809,"")</f>
      </c>
      <c r="AO809" s="39">
        <f>IF(ISNUMBER($AD809),ROUND($AD809*Header!$K$3,2),"")</f>
      </c>
      <c r="AP809" s="39">
        <f>IF(ISNUMBER($AD809),ROUND($AD809*Header!$M$3,2),"")</f>
      </c>
      <c r="AQ809" s="38">
        <f>IF(ISNUMBER($AD809),ROUND($AD809,2)-$AO809-$AP809,"")</f>
      </c>
      <c r="AR809" s="39">
        <f>IF(ISNUMBER($AD809),IF(Header!$D$34="","?",$AD809*Header!$D$34),"")</f>
      </c>
      <c r="AS809" s="39">
        <f>IF(ISNUMBER($AB809),IF(Header!$D$34="","?",$AB809*Header!$D$34),"")</f>
      </c>
      <c r="AT809" s="42">
        <f>IF(AND(ISNUMBER($AB809),$M809&gt;0),$AB809/$M809*100,"")</f>
      </c>
      <c r="AU809" s="42">
        <f>IF(AND(ISNUMBER($AD809),$M809&gt;0),$AD809/$M809*100,"")</f>
      </c>
      <c r="AV809" s="40">
        <f>IF(AND(ISNUMBER($AB809),ISNUMBER($AD809),ABS($AB809)&gt;0),$AD809/$AB809,"")</f>
      </c>
      <c r="AW809" s="39">
        <f>IF(ISNUMBER($AD809),MAX(0,(1-0.55-Header!$O$3)*Header!$Q$3*$AQ809),"")</f>
      </c>
      <c r="AX809" s="43">
        <f>IF($A809="","",IF(TRIM(IF($A809="","Missing certificate ref. ","") &amp; IF($C809="","Missing effective date. ","") &amp; IF($D809="","Missing binding status. ","") &amp; IF($E809="","Missing movement type. ","") &amp; IF($I809="","Missing make. ","") &amp; IF($L809="","Missing vehicle class. ","") &amp; IF($M809="","Missing agreed value. ","") &amp; IF($N809="","Missing policy type. ","") &amp; IF($Q809="","Missing garaging state. ","") &amp; IF($R809="","Missing garaging ZIP. ","") &amp; IF($S809="","Missing cat zone. ","") &amp; IF($V809="","Missing valuation basis. ","") &amp; IF($W809="","Missing PD deductible. ","") &amp; IF($X809="","Missing liability limit. ","") &amp; IF($AB809="","Missing technical premium. ","") &amp; IF($AF809="","Missing surplus lines tax %. ",""))="","PASS","FAIL: "&amp;TRIM(IF($A809="","Missing certificate ref. ","") &amp; IF($C809="","Missing effective date. ","") &amp; IF($D809="","Missing binding status. ","") &amp; IF($E809="","Missing movement type. ","") &amp; IF($I809="","Missing make. ","") &amp; IF($L809="","Missing vehicle class. ","") &amp; IF($M809="","Missing agreed value. ","") &amp; IF($N809="","Missing policy type. ","") &amp; IF($Q809="","Missing garaging state. ","") &amp; IF($R809="","Missing garaging ZIP. ","") &amp; IF($S809="","Missing cat zone. ","") &amp; IF($V809="","Missing valuation basis. ","") &amp; IF($W809="","Missing PD deductible. ","") &amp; IF($X809="","Missing liability limit. ","") &amp; IF($AB809="","Missing technical premium. ","") &amp; IF($AF809="","Missing surplus lines tax %. ",""))))</f>
      </c>
      <c r="AY809" s="44">
        <f>IF($M809="","",IF(ISNUMBER($M809),IF($M809&gt;=Header!$C$18,"YES — refer","No"),""))</f>
      </c>
      <c r="AZ809" s="44">
        <f>IF($AD809="","",IF(ISNUMBER($AD809),IF($AD809&lt;Header!$C$20,"BELOW MIN PREMIUM","OK"),""))</f>
      </c>
      <c r="BA809" s="32" t="inlineStr">
        <is>
          <t xml:space="preserve">Yes</t>
        </is>
      </c>
      <c r="BB809" s="32" t="inlineStr">
        <is>
          <t xml:space="preserve">Yes</t>
        </is>
      </c>
      <c r="BC809" s="30" t="inlineStr">
        <is>
          <t xml:space="preserve">Synthetic demo data</t>
        </is>
      </c>
      <c r="BE809" s="45">
        <f>IF(OR($A809="",$L809="",$H809=""),"",IF(AND(LEFT($L809,2)="06",$H809&gt;1945),"FAIL - pre-war class, year "&amp;$H809,IF(AND(LEFT($L809,2)="07",OR($H809&lt;1946,$H809&gt;1972)),"FAIL - 1946-72 class, year "&amp;$H809,IF(AND(LEFT($L809,2)="08",OR($H809&lt;1973,$H809&gt;1999)),"FAIL - 1973-99 class, year "&amp;$H809,IF(AND(LEFT($L809,2)="09",OR($H809&lt;2000,$H809&gt;2010)),"FAIL - 2000-10 class, year "&amp;$H809,"OK")))))</f>
      </c>
      <c r="BF809" s="45">
        <f>IF($AD809="","",IF(ROUND($AO809+$AP809+$AQ809-$AD809,2)=0,"OK","FAIL - out by "&amp;TEXT($AO809+$AP809+$AQ809-$AD809,"$0.00")))</f>
      </c>
    </row>
    <row r="810" spans="1:58" ht="18.75" customHeight="1" x14ac:dyDescent="0.25">
      <c r="A810" s="46" t="inlineStr">
        <is>
          <t xml:space="preserve">CANON-202606-009509</t>
        </is>
      </c>
      <c r="B810" s="46" t="inlineStr">
        <is>
          <t xml:space="preserve">Emiliano Vandermeer</t>
        </is>
      </c>
      <c r="C810" s="47">
        <v>46177</v>
      </c>
      <c r="D810" s="48" t="inlineStr">
        <is>
          <t xml:space="preserve">Bound - within authority</t>
        </is>
      </c>
      <c r="E810" s="48" t="inlineStr">
        <is>
          <t xml:space="preserve">New business</t>
        </is>
      </c>
      <c r="F810" s="46" t="inlineStr">
        <is>
          <t xml:space="preserve">B1234EXOTIC26</t>
        </is>
      </c>
      <c r="G810" s="33">
        <f>IF($A810="","",IF($C810="","",YEAR($C810)))</f>
      </c>
      <c r="H810" s="49">
        <v>1965</v>
      </c>
      <c r="I810" s="46" t="inlineStr">
        <is>
          <t xml:space="preserve">Ferrari</t>
        </is>
      </c>
      <c r="J810" s="46" t="inlineStr">
        <is>
          <t xml:space="preserve">296 GTB</t>
        </is>
      </c>
      <c r="K810" s="46" t="inlineStr">
        <is>
          <t xml:space="preserve">5SW5Y9NJNKD7AALF0</t>
        </is>
      </c>
      <c r="L810" s="48" t="inlineStr">
        <is>
          <t xml:space="preserve">03 - Supercar</t>
        </is>
      </c>
      <c r="M810" s="50">
        <v>460000</v>
      </c>
      <c r="N810" s="48" t="inlineStr">
        <is>
          <t xml:space="preserve">Personal</t>
        </is>
      </c>
      <c r="O810" s="46" t="inlineStr">
        <is>
          <t xml:space="preserve">Personal - regular use</t>
        </is>
      </c>
      <c r="P810" s="46" t="inlineStr">
        <is>
          <t xml:space="preserve">Under 1,000</t>
        </is>
      </c>
      <c r="Q810" s="46" t="inlineStr">
        <is>
          <t xml:space="preserve">Missouri</t>
        </is>
      </c>
      <c r="R810" s="46" t="inlineStr">
        <is>
          <t xml:space="preserve">63101</t>
        </is>
      </c>
      <c r="S810" s="48" t="inlineStr">
        <is>
          <t xml:space="preserve">Severe convective - hail / tornado (moderate)</t>
        </is>
      </c>
      <c r="T810" s="36">
        <f>IF($A810="","",IF($S810="","",IFERROR(INDEX('[1]natural catastrophe'!$D$6:$D$17,MATCH($S810,'[1]natural catastrophe'!$B$6:$B$17,0)),"?")))</f>
      </c>
      <c r="U810" s="46" t="inlineStr">
        <is>
          <t xml:space="preserve">$5,000</t>
        </is>
      </c>
      <c r="V810" s="48" t="inlineStr">
        <is>
          <t xml:space="preserve">Agreed Value</t>
        </is>
      </c>
      <c r="W810" s="46" t="inlineStr">
        <is>
          <t xml:space="preserve">$1,000</t>
        </is>
      </c>
      <c r="X810" s="48" t="inlineStr">
        <is>
          <t xml:space="preserve">$1,000,000 CSL</t>
        </is>
      </c>
      <c r="Y810" s="46"/>
      <c r="Z810" s="46"/>
      <c r="AA810" s="48" t="inlineStr">
        <is>
          <t xml:space="preserve">Surplus Lines</t>
        </is>
      </c>
      <c r="AB810" s="50">
        <v>8091.58</v>
      </c>
      <c r="AC810" s="51">
        <v>0</v>
      </c>
      <c r="AD810" s="38">
        <f>IF(ISNUMBER($AB810),$AB810*(1+N($AC810)),"")</f>
      </c>
      <c r="AE810" s="50">
        <v>350</v>
      </c>
      <c r="AF810" s="50">
        <v>0</v>
      </c>
      <c r="AG810" s="51"/>
      <c r="AH810" s="39">
        <f>IF(ISNUMBER($AD810),($AD810+$AE810+$AF810)*$AG810,"")</f>
      </c>
      <c r="AI810" s="50"/>
      <c r="AJ810" s="38">
        <f>IF(ISNUMBER($AD810),SUM($AD810:$AH810),"")</f>
      </c>
      <c r="AK810" s="40">
        <f>IF(AND(ISNUMBER($AB810),ISNUMBER($AD810)),IF($AB810&gt;0,$AD810/$AB810,""),"")</f>
      </c>
      <c r="AL810" s="48" t="inlineStr">
        <is>
          <t xml:space="preserve">At technical</t>
        </is>
      </c>
      <c r="AM810" s="41">
        <f>IF(ISNUMBER($AD810),Header!$I$3,"")</f>
      </c>
      <c r="AN810" s="39">
        <f>IF(ISNUMBER($AD810),$AO810+$AP810,"")</f>
      </c>
      <c r="AO810" s="39">
        <f>IF(ISNUMBER($AD810),ROUND($AD810*Header!$K$3,2),"")</f>
      </c>
      <c r="AP810" s="39">
        <f>IF(ISNUMBER($AD810),ROUND($AD810*Header!$M$3,2),"")</f>
      </c>
      <c r="AQ810" s="38">
        <f>IF(ISNUMBER($AD810),ROUND($AD810,2)-$AO810-$AP810,"")</f>
      </c>
      <c r="AR810" s="39">
        <f>IF(ISNUMBER($AD810),IF(Header!$D$34="","?",$AD810*Header!$D$34),"")</f>
      </c>
      <c r="AS810" s="39">
        <f>IF(ISNUMBER($AB810),IF(Header!$D$34="","?",$AB810*Header!$D$34),"")</f>
      </c>
      <c r="AT810" s="42">
        <f>IF(AND(ISNUMBER($AB810),$M810&gt;0),$AB810/$M810*100,"")</f>
      </c>
      <c r="AU810" s="42">
        <f>IF(AND(ISNUMBER($AD810),$M810&gt;0),$AD810/$M810*100,"")</f>
      </c>
      <c r="AV810" s="40">
        <f>IF(AND(ISNUMBER($AB810),ISNUMBER($AD810),ABS($AB810)&gt;0),$AD810/$AB810,"")</f>
      </c>
      <c r="AW810" s="39">
        <f>IF(ISNUMBER($AD810),MAX(0,(1-0.55-Header!$O$3)*Header!$Q$3*$AQ810),"")</f>
      </c>
      <c r="AX810" s="43">
        <f>IF($A810="","",IF(TRIM(IF($A810="","Missing certificate ref. ","") &amp; IF($C810="","Missing effective date. ","") &amp; IF($D810="","Missing binding status. ","") &amp; IF($E810="","Missing movement type. ","") &amp; IF($I810="","Missing make. ","") &amp; IF($L810="","Missing vehicle class. ","") &amp; IF($M810="","Missing agreed value. ","") &amp; IF($N810="","Missing policy type. ","") &amp; IF($Q810="","Missing garaging state. ","") &amp; IF($R810="","Missing garaging ZIP. ","") &amp; IF($S810="","Missing cat zone. ","") &amp; IF($V810="","Missing valuation basis. ","") &amp; IF($W810="","Missing PD deductible. ","") &amp; IF($X810="","Missing liability limit. ","") &amp; IF($AB810="","Missing technical premium. ","") &amp; IF($AF810="","Missing surplus lines tax %. ",""))="","PASS","FAIL: "&amp;TRIM(IF($A810="","Missing certificate ref. ","") &amp; IF($C810="","Missing effective date. ","") &amp; IF($D810="","Missing binding status. ","") &amp; IF($E810="","Missing movement type. ","") &amp; IF($I810="","Missing make. ","") &amp; IF($L810="","Missing vehicle class. ","") &amp; IF($M810="","Missing agreed value. ","") &amp; IF($N810="","Missing policy type. ","") &amp; IF($Q810="","Missing garaging state. ","") &amp; IF($R810="","Missing garaging ZIP. ","") &amp; IF($S810="","Missing cat zone. ","") &amp; IF($V810="","Missing valuation basis. ","") &amp; IF($W810="","Missing PD deductible. ","") &amp; IF($X810="","Missing liability limit. ","") &amp; IF($AB810="","Missing technical premium. ","") &amp; IF($AF810="","Missing surplus lines tax %. ",""))))</f>
      </c>
      <c r="AY810" s="44">
        <f>IF($M810="","",IF(ISNUMBER($M810),IF($M810&gt;=Header!$C$18,"YES — refer","No"),""))</f>
      </c>
      <c r="AZ810" s="44">
        <f>IF($AD810="","",IF(ISNUMBER($AD810),IF($AD810&lt;Header!$C$20,"BELOW MIN PREMIUM","OK"),""))</f>
      </c>
      <c r="BA810" s="48" t="inlineStr">
        <is>
          <t xml:space="preserve">Yes</t>
        </is>
      </c>
      <c r="BB810" s="48" t="inlineStr">
        <is>
          <t xml:space="preserve">Yes</t>
        </is>
      </c>
      <c r="BC810" s="46" t="inlineStr">
        <is>
          <t xml:space="preserve">Synthetic demo data</t>
        </is>
      </c>
      <c r="BE810" s="45">
        <f>IF(OR($A810="",$L810="",$H810=""),"",IF(AND(LEFT($L810,2)="06",$H810&gt;1945),"FAIL - pre-war class, year "&amp;$H810,IF(AND(LEFT($L810,2)="07",OR($H810&lt;1946,$H810&gt;1972)),"FAIL - 1946-72 class, year "&amp;$H810,IF(AND(LEFT($L810,2)="08",OR($H810&lt;1973,$H810&gt;1999)),"FAIL - 1973-99 class, year "&amp;$H810,IF(AND(LEFT($L810,2)="09",OR($H810&lt;2000,$H810&gt;2010)),"FAIL - 2000-10 class, year "&amp;$H810,"OK")))))</f>
      </c>
      <c r="BF810" s="45">
        <f>IF($AD810="","",IF(ROUND($AO810+$AP810+$AQ810-$AD810,2)=0,"OK","FAIL - out by "&amp;TEXT($AO810+$AP810+$AQ810-$AD810,"$0.00")))</f>
      </c>
    </row>
    <row r="811" spans="1:58" ht="18.75" customHeight="1" x14ac:dyDescent="0.25">
      <c r="A811" s="30" t="inlineStr">
        <is>
          <t xml:space="preserve">CANON-202606-009510</t>
        </is>
      </c>
      <c r="B811" s="30" t="inlineStr">
        <is>
          <t xml:space="preserve">Anouk Kingsford</t>
        </is>
      </c>
      <c r="C811" s="31">
        <v>46174</v>
      </c>
      <c r="D811" s="32" t="inlineStr">
        <is>
          <t xml:space="preserve">Bound - within authority</t>
        </is>
      </c>
      <c r="E811" s="32" t="inlineStr">
        <is>
          <t xml:space="preserve">New business</t>
        </is>
      </c>
      <c r="F811" s="30" t="inlineStr">
        <is>
          <t xml:space="preserve">B1234EXOTIC26</t>
        </is>
      </c>
      <c r="G811" s="33">
        <f>IF($A811="","",IF($C811="","",YEAR($C811)))</f>
      </c>
      <c r="H811" s="34">
        <v>1969</v>
      </c>
      <c r="I811" s="30" t="inlineStr">
        <is>
          <t xml:space="preserve">BMW</t>
        </is>
      </c>
      <c r="J811" s="30" t="inlineStr">
        <is>
          <t xml:space="preserve">M8 Competition</t>
        </is>
      </c>
      <c r="K811" s="30" t="inlineStr">
        <is>
          <t xml:space="preserve">9BV8HGG2RBMVU675V</t>
        </is>
      </c>
      <c r="L811" s="32" t="inlineStr">
        <is>
          <t xml:space="preserve">02 - Sports / GT</t>
        </is>
      </c>
      <c r="M811" s="35">
        <v>785000</v>
      </c>
      <c r="N811" s="32" t="inlineStr">
        <is>
          <t xml:space="preserve">Personal</t>
        </is>
      </c>
      <c r="O811" s="30" t="inlineStr">
        <is>
          <t xml:space="preserve">Personal - regular use</t>
        </is>
      </c>
      <c r="P811" s="30" t="inlineStr">
        <is>
          <t xml:space="preserve">Under 1,000</t>
        </is>
      </c>
      <c r="Q811" s="30" t="inlineStr">
        <is>
          <t xml:space="preserve">Utah</t>
        </is>
      </c>
      <c r="R811" s="30" t="inlineStr">
        <is>
          <t xml:space="preserve">84101</t>
        </is>
      </c>
      <c r="S811" s="32" t="inlineStr">
        <is>
          <t xml:space="preserve">Wildfire - WUI high hazard</t>
        </is>
      </c>
      <c r="T811" s="36">
        <f>IF($A811="","",IF($S811="","",IFERROR(INDEX('[1]natural catastrophe'!$D$6:$D$17,MATCH($S811,'[1]natural catastrophe'!$B$6:$B$17,0)),"?")))</f>
      </c>
      <c r="U811" s="30" t="inlineStr">
        <is>
          <t xml:space="preserve">$5,000</t>
        </is>
      </c>
      <c r="V811" s="32" t="inlineStr">
        <is>
          <t xml:space="preserve">Agreed Value</t>
        </is>
      </c>
      <c r="W811" s="30" t="inlineStr">
        <is>
          <t xml:space="preserve">$1,000</t>
        </is>
      </c>
      <c r="X811" s="32" t="inlineStr">
        <is>
          <t xml:space="preserve">$1,000,000 CSL</t>
        </is>
      </c>
      <c r="Y811" s="30"/>
      <c r="Z811" s="30"/>
      <c r="AA811" s="32" t="inlineStr">
        <is>
          <t xml:space="preserve">Surplus Lines</t>
        </is>
      </c>
      <c r="AB811" s="35">
        <v>9940.05</v>
      </c>
      <c r="AC811" s="37">
        <v>0</v>
      </c>
      <c r="AD811" s="38">
        <f>IF(ISNUMBER($AB811),$AB811*(1+N($AC811)),"")</f>
      </c>
      <c r="AE811" s="35">
        <v>350</v>
      </c>
      <c r="AF811" s="35">
        <v>0</v>
      </c>
      <c r="AG811" s="37"/>
      <c r="AH811" s="39">
        <f>IF(ISNUMBER($AD811),($AD811+$AE811+$AF811)*$AG811,"")</f>
      </c>
      <c r="AI811" s="35"/>
      <c r="AJ811" s="38">
        <f>IF(ISNUMBER($AD811),SUM($AD811:$AH811),"")</f>
      </c>
      <c r="AK811" s="40">
        <f>IF(AND(ISNUMBER($AB811),ISNUMBER($AD811)),IF($AB811&gt;0,$AD811/$AB811,""),"")</f>
      </c>
      <c r="AL811" s="32" t="inlineStr">
        <is>
          <t xml:space="preserve">At technical</t>
        </is>
      </c>
      <c r="AM811" s="41">
        <f>IF(ISNUMBER($AD811),Header!$I$3,"")</f>
      </c>
      <c r="AN811" s="39">
        <f>IF(ISNUMBER($AD811),$AO811+$AP811,"")</f>
      </c>
      <c r="AO811" s="39">
        <f>IF(ISNUMBER($AD811),ROUND($AD811*Header!$K$3,2),"")</f>
      </c>
      <c r="AP811" s="39">
        <f>IF(ISNUMBER($AD811),ROUND($AD811*Header!$M$3,2),"")</f>
      </c>
      <c r="AQ811" s="38">
        <f>IF(ISNUMBER($AD811),ROUND($AD811,2)-$AO811-$AP811,"")</f>
      </c>
      <c r="AR811" s="39">
        <f>IF(ISNUMBER($AD811),IF(Header!$D$34="","?",$AD811*Header!$D$34),"")</f>
      </c>
      <c r="AS811" s="39">
        <f>IF(ISNUMBER($AB811),IF(Header!$D$34="","?",$AB811*Header!$D$34),"")</f>
      </c>
      <c r="AT811" s="42">
        <f>IF(AND(ISNUMBER($AB811),$M811&gt;0),$AB811/$M811*100,"")</f>
      </c>
      <c r="AU811" s="42">
        <f>IF(AND(ISNUMBER($AD811),$M811&gt;0),$AD811/$M811*100,"")</f>
      </c>
      <c r="AV811" s="40">
        <f>IF(AND(ISNUMBER($AB811),ISNUMBER($AD811),ABS($AB811)&gt;0),$AD811/$AB811,"")</f>
      </c>
      <c r="AW811" s="39">
        <f>IF(ISNUMBER($AD811),MAX(0,(1-0.55-Header!$O$3)*Header!$Q$3*$AQ811),"")</f>
      </c>
      <c r="AX811" s="43">
        <f>IF($A811="","",IF(TRIM(IF($A811="","Missing certificate ref. ","") &amp; IF($C811="","Missing effective date. ","") &amp; IF($D811="","Missing binding status. ","") &amp; IF($E811="","Missing movement type. ","") &amp; IF($I811="","Missing make. ","") &amp; IF($L811="","Missing vehicle class. ","") &amp; IF($M811="","Missing agreed value. ","") &amp; IF($N811="","Missing policy type. ","") &amp; IF($Q811="","Missing garaging state. ","") &amp; IF($R811="","Missing garaging ZIP. ","") &amp; IF($S811="","Missing cat zone. ","") &amp; IF($V811="","Missing valuation basis. ","") &amp; IF($W811="","Missing PD deductible. ","") &amp; IF($X811="","Missing liability limit. ","") &amp; IF($AB811="","Missing technical premium. ","") &amp; IF($AF811="","Missing surplus lines tax %. ",""))="","PASS","FAIL: "&amp;TRIM(IF($A811="","Missing certificate ref. ","") &amp; IF($C811="","Missing effective date. ","") &amp; IF($D811="","Missing binding status. ","") &amp; IF($E811="","Missing movement type. ","") &amp; IF($I811="","Missing make. ","") &amp; IF($L811="","Missing vehicle class. ","") &amp; IF($M811="","Missing agreed value. ","") &amp; IF($N811="","Missing policy type. ","") &amp; IF($Q811="","Missing garaging state. ","") &amp; IF($R811="","Missing garaging ZIP. ","") &amp; IF($S811="","Missing cat zone. ","") &amp; IF($V811="","Missing valuation basis. ","") &amp; IF($W811="","Missing PD deductible. ","") &amp; IF($X811="","Missing liability limit. ","") &amp; IF($AB811="","Missing technical premium. ","") &amp; IF($AF811="","Missing surplus lines tax %. ",""))))</f>
      </c>
      <c r="AY811" s="44">
        <f>IF($M811="","",IF(ISNUMBER($M811),IF($M811&gt;=Header!$C$18,"YES — refer","No"),""))</f>
      </c>
      <c r="AZ811" s="44">
        <f>IF($AD811="","",IF(ISNUMBER($AD811),IF($AD811&lt;Header!$C$20,"BELOW MIN PREMIUM","OK"),""))</f>
      </c>
      <c r="BA811" s="32" t="inlineStr">
        <is>
          <t xml:space="preserve">Yes</t>
        </is>
      </c>
      <c r="BB811" s="32" t="inlineStr">
        <is>
          <t xml:space="preserve">Yes</t>
        </is>
      </c>
      <c r="BC811" s="30" t="inlineStr">
        <is>
          <t xml:space="preserve">Synthetic demo data</t>
        </is>
      </c>
      <c r="BE811" s="45">
        <f>IF(OR($A811="",$L811="",$H811=""),"",IF(AND(LEFT($L811,2)="06",$H811&gt;1945),"FAIL - pre-war class, year "&amp;$H811,IF(AND(LEFT($L811,2)="07",OR($H811&lt;1946,$H811&gt;1972)),"FAIL - 1946-72 class, year "&amp;$H811,IF(AND(LEFT($L811,2)="08",OR($H811&lt;1973,$H811&gt;1999)),"FAIL - 1973-99 class, year "&amp;$H811,IF(AND(LEFT($L811,2)="09",OR($H811&lt;2000,$H811&gt;2010)),"FAIL - 2000-10 class, year "&amp;$H811,"OK")))))</f>
      </c>
      <c r="BF811" s="45">
        <f>IF($AD811="","",IF(ROUND($AO811+$AP811+$AQ811-$AD811,2)=0,"OK","FAIL - out by "&amp;TEXT($AO811+$AP811+$AQ811-$AD811,"$0.00")))</f>
      </c>
    </row>
    <row r="812" spans="1:58" ht="18.75" customHeight="1" x14ac:dyDescent="0.25">
      <c r="A812" s="46" t="inlineStr">
        <is>
          <t xml:space="preserve">CANON-202606-009511</t>
        </is>
      </c>
      <c r="B812" s="46" t="inlineStr">
        <is>
          <t xml:space="preserve">Marisol Rourke</t>
        </is>
      </c>
      <c r="C812" s="47">
        <v>46199</v>
      </c>
      <c r="D812" s="48" t="inlineStr">
        <is>
          <t xml:space="preserve">Bound - within authority</t>
        </is>
      </c>
      <c r="E812" s="48" t="inlineStr">
        <is>
          <t xml:space="preserve">New business</t>
        </is>
      </c>
      <c r="F812" s="46" t="inlineStr">
        <is>
          <t xml:space="preserve">B1234EXOTIC26</t>
        </is>
      </c>
      <c r="G812" s="33">
        <f>IF($A812="","",IF($C812="","",YEAR($C812)))</f>
      </c>
      <c r="H812" s="49">
        <v>1974</v>
      </c>
      <c r="I812" s="46" t="inlineStr">
        <is>
          <t xml:space="preserve">Ferrari</t>
        </is>
      </c>
      <c r="J812" s="46" t="inlineStr">
        <is>
          <t xml:space="preserve">275 GTB/4</t>
        </is>
      </c>
      <c r="K812" s="46" t="inlineStr">
        <is>
          <t xml:space="preserve">9T0ET07MBNMPCBDSK</t>
        </is>
      </c>
      <c r="L812" s="48" t="inlineStr">
        <is>
          <t xml:space="preserve">08 - Modern Classic (1973-1999)</t>
        </is>
      </c>
      <c r="M812" s="50">
        <v>505000</v>
      </c>
      <c r="N812" s="48" t="inlineStr">
        <is>
          <t xml:space="preserve">Personal</t>
        </is>
      </c>
      <c r="O812" s="46" t="inlineStr">
        <is>
          <t xml:space="preserve">Personal - regular use</t>
        </is>
      </c>
      <c r="P812" s="46" t="inlineStr">
        <is>
          <t xml:space="preserve">1,000 - 2,500</t>
        </is>
      </c>
      <c r="Q812" s="46" t="inlineStr">
        <is>
          <t xml:space="preserve">Delaware</t>
        </is>
      </c>
      <c r="R812" s="46" t="inlineStr">
        <is>
          <t xml:space="preserve">19801</t>
        </is>
      </c>
      <c r="S812" s="48" t="inlineStr">
        <is>
          <t xml:space="preserve">Tier 3 - Coastal wind (25-100 miles)</t>
        </is>
      </c>
      <c r="T812" s="36">
        <f>IF($A812="","",IF($S812="","",IFERROR(INDEX('[1]natural catastrophe'!$D$6:$D$17,MATCH($S812,'[1]natural catastrophe'!$B$6:$B$17,0)),"?")))</f>
      </c>
      <c r="U812" s="46" t="inlineStr">
        <is>
          <t xml:space="preserve">2% of agreed value, minimum $10,000</t>
        </is>
      </c>
      <c r="V812" s="48" t="inlineStr">
        <is>
          <t xml:space="preserve">Agreed Value</t>
        </is>
      </c>
      <c r="W812" s="46" t="inlineStr">
        <is>
          <t xml:space="preserve">$1,000</t>
        </is>
      </c>
      <c r="X812" s="48" t="inlineStr">
        <is>
          <t xml:space="preserve">$1,000,000 CSL</t>
        </is>
      </c>
      <c r="Y812" s="46"/>
      <c r="Z812" s="46"/>
      <c r="AA812" s="48" t="inlineStr">
        <is>
          <t xml:space="preserve">Surplus Lines</t>
        </is>
      </c>
      <c r="AB812" s="50">
        <v>3916.89</v>
      </c>
      <c r="AC812" s="51">
        <v>0</v>
      </c>
      <c r="AD812" s="38">
        <f>IF(ISNUMBER($AB812),$AB812*(1+N($AC812)),"")</f>
      </c>
      <c r="AE812" s="50">
        <v>350</v>
      </c>
      <c r="AF812" s="50">
        <v>0</v>
      </c>
      <c r="AG812" s="51"/>
      <c r="AH812" s="39">
        <f>IF(ISNUMBER($AD812),($AD812+$AE812+$AF812)*$AG812,"")</f>
      </c>
      <c r="AI812" s="50"/>
      <c r="AJ812" s="38">
        <f>IF(ISNUMBER($AD812),SUM($AD812:$AH812),"")</f>
      </c>
      <c r="AK812" s="40">
        <f>IF(AND(ISNUMBER($AB812),ISNUMBER($AD812)),IF($AB812&gt;0,$AD812/$AB812,""),"")</f>
      </c>
      <c r="AL812" s="48" t="inlineStr">
        <is>
          <t xml:space="preserve">At technical</t>
        </is>
      </c>
      <c r="AM812" s="41">
        <f>IF(ISNUMBER($AD812),Header!$I$3,"")</f>
      </c>
      <c r="AN812" s="39">
        <f>IF(ISNUMBER($AD812),$AO812+$AP812,"")</f>
      </c>
      <c r="AO812" s="39">
        <f>IF(ISNUMBER($AD812),ROUND($AD812*Header!$K$3,2),"")</f>
      </c>
      <c r="AP812" s="39">
        <f>IF(ISNUMBER($AD812),ROUND($AD812*Header!$M$3,2),"")</f>
      </c>
      <c r="AQ812" s="38">
        <f>IF(ISNUMBER($AD812),ROUND($AD812,2)-$AO812-$AP812,"")</f>
      </c>
      <c r="AR812" s="39">
        <f>IF(ISNUMBER($AD812),IF(Header!$D$34="","?",$AD812*Header!$D$34),"")</f>
      </c>
      <c r="AS812" s="39">
        <f>IF(ISNUMBER($AB812),IF(Header!$D$34="","?",$AB812*Header!$D$34),"")</f>
      </c>
      <c r="AT812" s="42">
        <f>IF(AND(ISNUMBER($AB812),$M812&gt;0),$AB812/$M812*100,"")</f>
      </c>
      <c r="AU812" s="42">
        <f>IF(AND(ISNUMBER($AD812),$M812&gt;0),$AD812/$M812*100,"")</f>
      </c>
      <c r="AV812" s="40">
        <f>IF(AND(ISNUMBER($AB812),ISNUMBER($AD812),ABS($AB812)&gt;0),$AD812/$AB812,"")</f>
      </c>
      <c r="AW812" s="39">
        <f>IF(ISNUMBER($AD812),MAX(0,(1-0.55-Header!$O$3)*Header!$Q$3*$AQ812),"")</f>
      </c>
      <c r="AX812" s="43">
        <f>IF($A812="","",IF(TRIM(IF($A812="","Missing certificate ref. ","") &amp; IF($C812="","Missing effective date. ","") &amp; IF($D812="","Missing binding status. ","") &amp; IF($E812="","Missing movement type. ","") &amp; IF($I812="","Missing make. ","") &amp; IF($L812="","Missing vehicle class. ","") &amp; IF($M812="","Missing agreed value. ","") &amp; IF($N812="","Missing policy type. ","") &amp; IF($Q812="","Missing garaging state. ","") &amp; IF($R812="","Missing garaging ZIP. ","") &amp; IF($S812="","Missing cat zone. ","") &amp; IF($V812="","Missing valuation basis. ","") &amp; IF($W812="","Missing PD deductible. ","") &amp; IF($X812="","Missing liability limit. ","") &amp; IF($AB812="","Missing technical premium. ","") &amp; IF($AF812="","Missing surplus lines tax %. ",""))="","PASS","FAIL: "&amp;TRIM(IF($A812="","Missing certificate ref. ","") &amp; IF($C812="","Missing effective date. ","") &amp; IF($D812="","Missing binding status. ","") &amp; IF($E812="","Missing movement type. ","") &amp; IF($I812="","Missing make. ","") &amp; IF($L812="","Missing vehicle class. ","") &amp; IF($M812="","Missing agreed value. ","") &amp; IF($N812="","Missing policy type. ","") &amp; IF($Q812="","Missing garaging state. ","") &amp; IF($R812="","Missing garaging ZIP. ","") &amp; IF($S812="","Missing cat zone. ","") &amp; IF($V812="","Missing valuation basis. ","") &amp; IF($W812="","Missing PD deductible. ","") &amp; IF($X812="","Missing liability limit. ","") &amp; IF($AB812="","Missing technical premium. ","") &amp; IF($AF812="","Missing surplus lines tax %. ",""))))</f>
      </c>
      <c r="AY812" s="44">
        <f>IF($M812="","",IF(ISNUMBER($M812),IF($M812&gt;=Header!$C$18,"YES — refer","No"),""))</f>
      </c>
      <c r="AZ812" s="44">
        <f>IF($AD812="","",IF(ISNUMBER($AD812),IF($AD812&lt;Header!$C$20,"BELOW MIN PREMIUM","OK"),""))</f>
      </c>
      <c r="BA812" s="48" t="inlineStr">
        <is>
          <t xml:space="preserve">Yes</t>
        </is>
      </c>
      <c r="BB812" s="48" t="inlineStr">
        <is>
          <t xml:space="preserve">Yes</t>
        </is>
      </c>
      <c r="BC812" s="46" t="inlineStr">
        <is>
          <t xml:space="preserve">Synthetic demo data</t>
        </is>
      </c>
      <c r="BE812" s="45">
        <f>IF(OR($A812="",$L812="",$H812=""),"",IF(AND(LEFT($L812,2)="06",$H812&gt;1945),"FAIL - pre-war class, year "&amp;$H812,IF(AND(LEFT($L812,2)="07",OR($H812&lt;1946,$H812&gt;1972)),"FAIL - 1946-72 class, year "&amp;$H812,IF(AND(LEFT($L812,2)="08",OR($H812&lt;1973,$H812&gt;1999)),"FAIL - 1973-99 class, year "&amp;$H812,IF(AND(LEFT($L812,2)="09",OR($H812&lt;2000,$H812&gt;2010)),"FAIL - 2000-10 class, year "&amp;$H812,"OK")))))</f>
      </c>
      <c r="BF812" s="45">
        <f>IF($AD812="","",IF(ROUND($AO812+$AP812+$AQ812-$AD812,2)=0,"OK","FAIL - out by "&amp;TEXT($AO812+$AP812+$AQ812-$AD812,"$0.00")))</f>
      </c>
    </row>
    <row r="813" spans="1:58" ht="18.75" customHeight="1" x14ac:dyDescent="0.25">
      <c r="A813" s="30" t="inlineStr">
        <is>
          <t xml:space="preserve">CANON-202606-009512</t>
        </is>
      </c>
      <c r="B813" s="30" t="inlineStr">
        <is>
          <t xml:space="preserve">Priya Kingsford</t>
        </is>
      </c>
      <c r="C813" s="31">
        <v>46203</v>
      </c>
      <c r="D813" s="32" t="inlineStr">
        <is>
          <t xml:space="preserve">Bound - within authority</t>
        </is>
      </c>
      <c r="E813" s="32" t="inlineStr">
        <is>
          <t xml:space="preserve">New business</t>
        </is>
      </c>
      <c r="F813" s="30" t="inlineStr">
        <is>
          <t xml:space="preserve">B1234EXOTIC26</t>
        </is>
      </c>
      <c r="G813" s="33">
        <f>IF($A813="","",IF($C813="","",YEAR($C813)))</f>
      </c>
      <c r="H813" s="34">
        <v>1955</v>
      </c>
      <c r="I813" s="30" t="inlineStr">
        <is>
          <t xml:space="preserve">Ferrari</t>
        </is>
      </c>
      <c r="J813" s="30" t="inlineStr">
        <is>
          <t xml:space="preserve">SF90 Stradale</t>
        </is>
      </c>
      <c r="K813" s="30" t="inlineStr">
        <is>
          <t xml:space="preserve">YRT1BJ1STJ9L61YS2</t>
        </is>
      </c>
      <c r="L813" s="32" t="inlineStr">
        <is>
          <t xml:space="preserve">03 - Supercar</t>
        </is>
      </c>
      <c r="M813" s="35">
        <v>865000</v>
      </c>
      <c r="N813" s="32" t="inlineStr">
        <is>
          <t xml:space="preserve">Personal</t>
        </is>
      </c>
      <c r="O813" s="30" t="inlineStr">
        <is>
          <t xml:space="preserve">Personal - regular use</t>
        </is>
      </c>
      <c r="P813" s="30" t="inlineStr">
        <is>
          <t xml:space="preserve">Under 1,000</t>
        </is>
      </c>
      <c r="Q813" s="30" t="inlineStr">
        <is>
          <t xml:space="preserve">Mississippi</t>
        </is>
      </c>
      <c r="R813" s="30" t="inlineStr">
        <is>
          <t xml:space="preserve">39201</t>
        </is>
      </c>
      <c r="S813" s="32" t="inlineStr">
        <is>
          <t xml:space="preserve">Tier 2 - Coastal wind (1-25 miles)</t>
        </is>
      </c>
      <c r="T813" s="36">
        <f>IF($A813="","",IF($S813="","",IFERROR(INDEX('[1]natural catastrophe'!$D$6:$D$17,MATCH($S813,'[1]natural catastrophe'!$B$6:$B$17,0)),"?")))</f>
      </c>
      <c r="U813" s="30" t="inlineStr">
        <is>
          <t xml:space="preserve">2% of agreed value, minimum $10,000</t>
        </is>
      </c>
      <c r="V813" s="32" t="inlineStr">
        <is>
          <t xml:space="preserve">Agreed Value</t>
        </is>
      </c>
      <c r="W813" s="30" t="inlineStr">
        <is>
          <t xml:space="preserve">$1,000</t>
        </is>
      </c>
      <c r="X813" s="32" t="inlineStr">
        <is>
          <t xml:space="preserve">$1,000,000 CSL</t>
        </is>
      </c>
      <c r="Y813" s="30"/>
      <c r="Z813" s="30"/>
      <c r="AA813" s="32" t="inlineStr">
        <is>
          <t xml:space="preserve">Surplus Lines</t>
        </is>
      </c>
      <c r="AB813" s="35">
        <v>14111.03</v>
      </c>
      <c r="AC813" s="37">
        <v>0</v>
      </c>
      <c r="AD813" s="38">
        <f>IF(ISNUMBER($AB813),$AB813*(1+N($AC813)),"")</f>
      </c>
      <c r="AE813" s="35">
        <v>350</v>
      </c>
      <c r="AF813" s="35">
        <v>0</v>
      </c>
      <c r="AG813" s="37"/>
      <c r="AH813" s="39">
        <f>IF(ISNUMBER($AD813),($AD813+$AE813+$AF813)*$AG813,"")</f>
      </c>
      <c r="AI813" s="35"/>
      <c r="AJ813" s="38">
        <f>IF(ISNUMBER($AD813),SUM($AD813:$AH813),"")</f>
      </c>
      <c r="AK813" s="40">
        <f>IF(AND(ISNUMBER($AB813),ISNUMBER($AD813)),IF($AB813&gt;0,$AD813/$AB813,""),"")</f>
      </c>
      <c r="AL813" s="32" t="inlineStr">
        <is>
          <t xml:space="preserve">At technical</t>
        </is>
      </c>
      <c r="AM813" s="41">
        <f>IF(ISNUMBER($AD813),Header!$I$3,"")</f>
      </c>
      <c r="AN813" s="39">
        <f>IF(ISNUMBER($AD813),$AO813+$AP813,"")</f>
      </c>
      <c r="AO813" s="39">
        <f>IF(ISNUMBER($AD813),ROUND($AD813*Header!$K$3,2),"")</f>
      </c>
      <c r="AP813" s="39">
        <f>IF(ISNUMBER($AD813),ROUND($AD813*Header!$M$3,2),"")</f>
      </c>
      <c r="AQ813" s="38">
        <f>IF(ISNUMBER($AD813),ROUND($AD813,2)-$AO813-$AP813,"")</f>
      </c>
      <c r="AR813" s="39">
        <f>IF(ISNUMBER($AD813),IF(Header!$D$34="","?",$AD813*Header!$D$34),"")</f>
      </c>
      <c r="AS813" s="39">
        <f>IF(ISNUMBER($AB813),IF(Header!$D$34="","?",$AB813*Header!$D$34),"")</f>
      </c>
      <c r="AT813" s="42">
        <f>IF(AND(ISNUMBER($AB813),$M813&gt;0),$AB813/$M813*100,"")</f>
      </c>
      <c r="AU813" s="42">
        <f>IF(AND(ISNUMBER($AD813),$M813&gt;0),$AD813/$M813*100,"")</f>
      </c>
      <c r="AV813" s="40">
        <f>IF(AND(ISNUMBER($AB813),ISNUMBER($AD813),ABS($AB813)&gt;0),$AD813/$AB813,"")</f>
      </c>
      <c r="AW813" s="39">
        <f>IF(ISNUMBER($AD813),MAX(0,(1-0.55-Header!$O$3)*Header!$Q$3*$AQ813),"")</f>
      </c>
      <c r="AX813" s="43">
        <f>IF($A813="","",IF(TRIM(IF($A813="","Missing certificate ref. ","") &amp; IF($C813="","Missing effective date. ","") &amp; IF($D813="","Missing binding status. ","") &amp; IF($E813="","Missing movement type. ","") &amp; IF($I813="","Missing make. ","") &amp; IF($L813="","Missing vehicle class. ","") &amp; IF($M813="","Missing agreed value. ","") &amp; IF($N813="","Missing policy type. ","") &amp; IF($Q813="","Missing garaging state. ","") &amp; IF($R813="","Missing garaging ZIP. ","") &amp; IF($S813="","Missing cat zone. ","") &amp; IF($V813="","Missing valuation basis. ","") &amp; IF($W813="","Missing PD deductible. ","") &amp; IF($X813="","Missing liability limit. ","") &amp; IF($AB813="","Missing technical premium. ","") &amp; IF($AF813="","Missing surplus lines tax %. ",""))="","PASS","FAIL: "&amp;TRIM(IF($A813="","Missing certificate ref. ","") &amp; IF($C813="","Missing effective date. ","") &amp; IF($D813="","Missing binding status. ","") &amp; IF($E813="","Missing movement type. ","") &amp; IF($I813="","Missing make. ","") &amp; IF($L813="","Missing vehicle class. ","") &amp; IF($M813="","Missing agreed value. ","") &amp; IF($N813="","Missing policy type. ","") &amp; IF($Q813="","Missing garaging state. ","") &amp; IF($R813="","Missing garaging ZIP. ","") &amp; IF($S813="","Missing cat zone. ","") &amp; IF($V813="","Missing valuation basis. ","") &amp; IF($W813="","Missing PD deductible. ","") &amp; IF($X813="","Missing liability limit. ","") &amp; IF($AB813="","Missing technical premium. ","") &amp; IF($AF813="","Missing surplus lines tax %. ",""))))</f>
      </c>
      <c r="AY813" s="44">
        <f>IF($M813="","",IF(ISNUMBER($M813),IF($M813&gt;=Header!$C$18,"YES — refer","No"),""))</f>
      </c>
      <c r="AZ813" s="44">
        <f>IF($AD813="","",IF(ISNUMBER($AD813),IF($AD813&lt;Header!$C$20,"BELOW MIN PREMIUM","OK"),""))</f>
      </c>
      <c r="BA813" s="32" t="inlineStr">
        <is>
          <t xml:space="preserve">Yes</t>
        </is>
      </c>
      <c r="BB813" s="32" t="inlineStr">
        <is>
          <t xml:space="preserve">Yes</t>
        </is>
      </c>
      <c r="BC813" s="30" t="inlineStr">
        <is>
          <t xml:space="preserve">Synthetic demo data</t>
        </is>
      </c>
      <c r="BE813" s="45">
        <f>IF(OR($A813="",$L813="",$H813=""),"",IF(AND(LEFT($L813,2)="06",$H813&gt;1945),"FAIL - pre-war class, year "&amp;$H813,IF(AND(LEFT($L813,2)="07",OR($H813&lt;1946,$H813&gt;1972)),"FAIL - 1946-72 class, year "&amp;$H813,IF(AND(LEFT($L813,2)="08",OR($H813&lt;1973,$H813&gt;1999)),"FAIL - 1973-99 class, year "&amp;$H813,IF(AND(LEFT($L813,2)="09",OR($H813&lt;2000,$H813&gt;2010)),"FAIL - 2000-10 class, year "&amp;$H813,"OK")))))</f>
      </c>
      <c r="BF813" s="45">
        <f>IF($AD813="","",IF(ROUND($AO813+$AP813+$AQ813-$AD813,2)=0,"OK","FAIL - out by "&amp;TEXT($AO813+$AP813+$AQ813-$AD813,"$0.00")))</f>
      </c>
    </row>
    <row r="814" spans="1:58" ht="18.75" customHeight="1" x14ac:dyDescent="0.25">
      <c r="A814" s="46" t="inlineStr">
        <is>
          <t xml:space="preserve">CANON-202606-009513</t>
        </is>
      </c>
      <c r="B814" s="46" t="inlineStr">
        <is>
          <t xml:space="preserve">Delphine Vasquez</t>
        </is>
      </c>
      <c r="C814" s="47">
        <v>46189</v>
      </c>
      <c r="D814" s="48" t="inlineStr">
        <is>
          <t xml:space="preserve">Bound - within authority</t>
        </is>
      </c>
      <c r="E814" s="48" t="inlineStr">
        <is>
          <t xml:space="preserve">New business</t>
        </is>
      </c>
      <c r="F814" s="46" t="inlineStr">
        <is>
          <t xml:space="preserve">B1234EXOTIC26</t>
        </is>
      </c>
      <c r="G814" s="33">
        <f>IF($A814="","",IF($C814="","",YEAR($C814)))</f>
      </c>
      <c r="H814" s="49">
        <v>1965</v>
      </c>
      <c r="I814" s="46" t="inlineStr">
        <is>
          <t xml:space="preserve">Aston Martin</t>
        </is>
      </c>
      <c r="J814" s="46" t="inlineStr">
        <is>
          <t xml:space="preserve">DB12</t>
        </is>
      </c>
      <c r="K814" s="46" t="inlineStr">
        <is>
          <t xml:space="preserve">KD8G4MP1VT0W40NVY</t>
        </is>
      </c>
      <c r="L814" s="48" t="inlineStr">
        <is>
          <t xml:space="preserve">02 - Sports / GT</t>
        </is>
      </c>
      <c r="M814" s="50">
        <v>335000</v>
      </c>
      <c r="N814" s="48" t="inlineStr">
        <is>
          <t xml:space="preserve">Personal</t>
        </is>
      </c>
      <c r="O814" s="46" t="inlineStr">
        <is>
          <t xml:space="preserve">Personal - regular use</t>
        </is>
      </c>
      <c r="P814" s="46" t="inlineStr">
        <is>
          <t xml:space="preserve">2,500 - 5,000</t>
        </is>
      </c>
      <c r="Q814" s="46" t="inlineStr">
        <is>
          <t xml:space="preserve">New Mexico</t>
        </is>
      </c>
      <c r="R814" s="46" t="inlineStr">
        <is>
          <t xml:space="preserve">87501</t>
        </is>
      </c>
      <c r="S814" s="48" t="inlineStr">
        <is>
          <t xml:space="preserve">Wildfire - WUI high hazard</t>
        </is>
      </c>
      <c r="T814" s="36">
        <f>IF($A814="","",IF($S814="","",IFERROR(INDEX('[1]natural catastrophe'!$D$6:$D$17,MATCH($S814,'[1]natural catastrophe'!$B$6:$B$17,0)),"?")))</f>
      </c>
      <c r="U814" s="46" t="inlineStr">
        <is>
          <t xml:space="preserve">$5,000</t>
        </is>
      </c>
      <c r="V814" s="48" t="inlineStr">
        <is>
          <t xml:space="preserve">Agreed Value</t>
        </is>
      </c>
      <c r="W814" s="46" t="inlineStr">
        <is>
          <t xml:space="preserve">$1,000</t>
        </is>
      </c>
      <c r="X814" s="48" t="inlineStr">
        <is>
          <t xml:space="preserve">$1,000,000 CSL</t>
        </is>
      </c>
      <c r="Y814" s="46"/>
      <c r="Z814" s="46"/>
      <c r="AA814" s="48" t="inlineStr">
        <is>
          <t xml:space="preserve">Surplus Lines</t>
        </is>
      </c>
      <c r="AB814" s="50">
        <v>4640.75</v>
      </c>
      <c r="AC814" s="51">
        <v>0</v>
      </c>
      <c r="AD814" s="38">
        <f>IF(ISNUMBER($AB814),$AB814*(1+N($AC814)),"")</f>
      </c>
      <c r="AE814" s="50">
        <v>350</v>
      </c>
      <c r="AF814" s="50">
        <v>0</v>
      </c>
      <c r="AG814" s="51"/>
      <c r="AH814" s="39">
        <f>IF(ISNUMBER($AD814),($AD814+$AE814+$AF814)*$AG814,"")</f>
      </c>
      <c r="AI814" s="50"/>
      <c r="AJ814" s="38">
        <f>IF(ISNUMBER($AD814),SUM($AD814:$AH814),"")</f>
      </c>
      <c r="AK814" s="40">
        <f>IF(AND(ISNUMBER($AB814),ISNUMBER($AD814)),IF($AB814&gt;0,$AD814/$AB814,""),"")</f>
      </c>
      <c r="AL814" s="48" t="inlineStr">
        <is>
          <t xml:space="preserve">At technical</t>
        </is>
      </c>
      <c r="AM814" s="41">
        <f>IF(ISNUMBER($AD814),Header!$I$3,"")</f>
      </c>
      <c r="AN814" s="39">
        <f>IF(ISNUMBER($AD814),$AO814+$AP814,"")</f>
      </c>
      <c r="AO814" s="39">
        <f>IF(ISNUMBER($AD814),ROUND($AD814*Header!$K$3,2),"")</f>
      </c>
      <c r="AP814" s="39">
        <f>IF(ISNUMBER($AD814),ROUND($AD814*Header!$M$3,2),"")</f>
      </c>
      <c r="AQ814" s="38">
        <f>IF(ISNUMBER($AD814),ROUND($AD814,2)-$AO814-$AP814,"")</f>
      </c>
      <c r="AR814" s="39">
        <f>IF(ISNUMBER($AD814),IF(Header!$D$34="","?",$AD814*Header!$D$34),"")</f>
      </c>
      <c r="AS814" s="39">
        <f>IF(ISNUMBER($AB814),IF(Header!$D$34="","?",$AB814*Header!$D$34),"")</f>
      </c>
      <c r="AT814" s="42">
        <f>IF(AND(ISNUMBER($AB814),$M814&gt;0),$AB814/$M814*100,"")</f>
      </c>
      <c r="AU814" s="42">
        <f>IF(AND(ISNUMBER($AD814),$M814&gt;0),$AD814/$M814*100,"")</f>
      </c>
      <c r="AV814" s="40">
        <f>IF(AND(ISNUMBER($AB814),ISNUMBER($AD814),ABS($AB814)&gt;0),$AD814/$AB814,"")</f>
      </c>
      <c r="AW814" s="39">
        <f>IF(ISNUMBER($AD814),MAX(0,(1-0.55-Header!$O$3)*Header!$Q$3*$AQ814),"")</f>
      </c>
      <c r="AX814" s="43">
        <f>IF($A814="","",IF(TRIM(IF($A814="","Missing certificate ref. ","") &amp; IF($C814="","Missing effective date. ","") &amp; IF($D814="","Missing binding status. ","") &amp; IF($E814="","Missing movement type. ","") &amp; IF($I814="","Missing make. ","") &amp; IF($L814="","Missing vehicle class. ","") &amp; IF($M814="","Missing agreed value. ","") &amp; IF($N814="","Missing policy type. ","") &amp; IF($Q814="","Missing garaging state. ","") &amp; IF($R814="","Missing garaging ZIP. ","") &amp; IF($S814="","Missing cat zone. ","") &amp; IF($V814="","Missing valuation basis. ","") &amp; IF($W814="","Missing PD deductible. ","") &amp; IF($X814="","Missing liability limit. ","") &amp; IF($AB814="","Missing technical premium. ","") &amp; IF($AF814="","Missing surplus lines tax %. ",""))="","PASS","FAIL: "&amp;TRIM(IF($A814="","Missing certificate ref. ","") &amp; IF($C814="","Missing effective date. ","") &amp; IF($D814="","Missing binding status. ","") &amp; IF($E814="","Missing movement type. ","") &amp; IF($I814="","Missing make. ","") &amp; IF($L814="","Missing vehicle class. ","") &amp; IF($M814="","Missing agreed value. ","") &amp; IF($N814="","Missing policy type. ","") &amp; IF($Q814="","Missing garaging state. ","") &amp; IF($R814="","Missing garaging ZIP. ","") &amp; IF($S814="","Missing cat zone. ","") &amp; IF($V814="","Missing valuation basis. ","") &amp; IF($W814="","Missing PD deductible. ","") &amp; IF($X814="","Missing liability limit. ","") &amp; IF($AB814="","Missing technical premium. ","") &amp; IF($AF814="","Missing surplus lines tax %. ",""))))</f>
      </c>
      <c r="AY814" s="44">
        <f>IF($M814="","",IF(ISNUMBER($M814),IF($M814&gt;=Header!$C$18,"YES — refer","No"),""))</f>
      </c>
      <c r="AZ814" s="44">
        <f>IF($AD814="","",IF(ISNUMBER($AD814),IF($AD814&lt;Header!$C$20,"BELOW MIN PREMIUM","OK"),""))</f>
      </c>
      <c r="BA814" s="48" t="inlineStr">
        <is>
          <t xml:space="preserve">Yes</t>
        </is>
      </c>
      <c r="BB814" s="48" t="inlineStr">
        <is>
          <t xml:space="preserve">Yes</t>
        </is>
      </c>
      <c r="BC814" s="46" t="inlineStr">
        <is>
          <t xml:space="preserve">Synthetic demo data</t>
        </is>
      </c>
      <c r="BE814" s="45">
        <f>IF(OR($A814="",$L814="",$H814=""),"",IF(AND(LEFT($L814,2)="06",$H814&gt;1945),"FAIL - pre-war class, year "&amp;$H814,IF(AND(LEFT($L814,2)="07",OR($H814&lt;1946,$H814&gt;1972)),"FAIL - 1946-72 class, year "&amp;$H814,IF(AND(LEFT($L814,2)="08",OR($H814&lt;1973,$H814&gt;1999)),"FAIL - 1973-99 class, year "&amp;$H814,IF(AND(LEFT($L814,2)="09",OR($H814&lt;2000,$H814&gt;2010)),"FAIL - 2000-10 class, year "&amp;$H814,"OK")))))</f>
      </c>
      <c r="BF814" s="45">
        <f>IF($AD814="","",IF(ROUND($AO814+$AP814+$AQ814-$AD814,2)=0,"OK","FAIL - out by "&amp;TEXT($AO814+$AP814+$AQ814-$AD814,"$0.00")))</f>
      </c>
    </row>
    <row r="815" spans="1:58" ht="18.75" customHeight="1" x14ac:dyDescent="0.25">
      <c r="A815" s="30" t="inlineStr">
        <is>
          <t xml:space="preserve">CANON-202606-009514</t>
        </is>
      </c>
      <c r="B815" s="30" t="inlineStr">
        <is>
          <t xml:space="preserve">Ramona Ashcombe</t>
        </is>
      </c>
      <c r="C815" s="31">
        <v>46179</v>
      </c>
      <c r="D815" s="32" t="inlineStr">
        <is>
          <t xml:space="preserve">Bound - within authority</t>
        </is>
      </c>
      <c r="E815" s="32" t="inlineStr">
        <is>
          <t xml:space="preserve">New business</t>
        </is>
      </c>
      <c r="F815" s="30" t="inlineStr">
        <is>
          <t xml:space="preserve">B1234EXOTIC26</t>
        </is>
      </c>
      <c r="G815" s="33">
        <f>IF($A815="","",IF($C815="","",YEAR($C815)))</f>
      </c>
      <c r="H815" s="34">
        <v>1997</v>
      </c>
      <c r="I815" s="30" t="inlineStr">
        <is>
          <t xml:space="preserve">Ferrari</t>
        </is>
      </c>
      <c r="J815" s="30" t="inlineStr">
        <is>
          <t xml:space="preserve">SF90 Stradale</t>
        </is>
      </c>
      <c r="K815" s="30" t="inlineStr">
        <is>
          <t xml:space="preserve">9JP347466NGCFRZ3L</t>
        </is>
      </c>
      <c r="L815" s="32" t="inlineStr">
        <is>
          <t xml:space="preserve">03 - Supercar</t>
        </is>
      </c>
      <c r="M815" s="35">
        <v>1135000</v>
      </c>
      <c r="N815" s="32" t="inlineStr">
        <is>
          <t xml:space="preserve">Personal</t>
        </is>
      </c>
      <c r="O815" s="30" t="inlineStr">
        <is>
          <t xml:space="preserve">Personal - regular use</t>
        </is>
      </c>
      <c r="P815" s="30" t="inlineStr">
        <is>
          <t xml:space="preserve">Under 1,000</t>
        </is>
      </c>
      <c r="Q815" s="30" t="inlineStr">
        <is>
          <t xml:space="preserve">Illinois</t>
        </is>
      </c>
      <c r="R815" s="30" t="inlineStr">
        <is>
          <t xml:space="preserve">60601</t>
        </is>
      </c>
      <c r="S815" s="32" t="inlineStr">
        <is>
          <t xml:space="preserve">Severe convective - hail / tornado (moderate)</t>
        </is>
      </c>
      <c r="T815" s="36">
        <f>IF($A815="","",IF($S815="","",IFERROR(INDEX('[1]natural catastrophe'!$D$6:$D$17,MATCH($S815,'[1]natural catastrophe'!$B$6:$B$17,0)),"?")))</f>
      </c>
      <c r="U815" s="30" t="inlineStr">
        <is>
          <t xml:space="preserve">$5,000</t>
        </is>
      </c>
      <c r="V815" s="32" t="inlineStr">
        <is>
          <t xml:space="preserve">Agreed Value</t>
        </is>
      </c>
      <c r="W815" s="30" t="inlineStr">
        <is>
          <t xml:space="preserve">$1,000</t>
        </is>
      </c>
      <c r="X815" s="32" t="inlineStr">
        <is>
          <t xml:space="preserve">$1,000,000 CSL</t>
        </is>
      </c>
      <c r="Y815" s="30"/>
      <c r="Z815" s="30"/>
      <c r="AA815" s="32" t="inlineStr">
        <is>
          <t xml:space="preserve">Surplus Lines</t>
        </is>
      </c>
      <c r="AB815" s="35">
        <v>17819.55</v>
      </c>
      <c r="AC815" s="37">
        <v>0</v>
      </c>
      <c r="AD815" s="38">
        <f>IF(ISNUMBER($AB815),$AB815*(1+N($AC815)),"")</f>
      </c>
      <c r="AE815" s="35">
        <v>350</v>
      </c>
      <c r="AF815" s="35">
        <v>250</v>
      </c>
      <c r="AG815" s="37"/>
      <c r="AH815" s="39">
        <f>IF(ISNUMBER($AD815),($AD815+$AE815+$AF815)*$AG815,"")</f>
      </c>
      <c r="AI815" s="35"/>
      <c r="AJ815" s="38">
        <f>IF(ISNUMBER($AD815),SUM($AD815:$AH815),"")</f>
      </c>
      <c r="AK815" s="40">
        <f>IF(AND(ISNUMBER($AB815),ISNUMBER($AD815)),IF($AB815&gt;0,$AD815/$AB815,""),"")</f>
      </c>
      <c r="AL815" s="32" t="inlineStr">
        <is>
          <t xml:space="preserve">At technical</t>
        </is>
      </c>
      <c r="AM815" s="41">
        <f>IF(ISNUMBER($AD815),Header!$I$3,"")</f>
      </c>
      <c r="AN815" s="39">
        <f>IF(ISNUMBER($AD815),$AO815+$AP815,"")</f>
      </c>
      <c r="AO815" s="39">
        <f>IF(ISNUMBER($AD815),ROUND($AD815*Header!$K$3,2),"")</f>
      </c>
      <c r="AP815" s="39">
        <f>IF(ISNUMBER($AD815),ROUND($AD815*Header!$M$3,2),"")</f>
      </c>
      <c r="AQ815" s="38">
        <f>IF(ISNUMBER($AD815),ROUND($AD815,2)-$AO815-$AP815,"")</f>
      </c>
      <c r="AR815" s="39">
        <f>IF(ISNUMBER($AD815),IF(Header!$D$34="","?",$AD815*Header!$D$34),"")</f>
      </c>
      <c r="AS815" s="39">
        <f>IF(ISNUMBER($AB815),IF(Header!$D$34="","?",$AB815*Header!$D$34),"")</f>
      </c>
      <c r="AT815" s="42">
        <f>IF(AND(ISNUMBER($AB815),$M815&gt;0),$AB815/$M815*100,"")</f>
      </c>
      <c r="AU815" s="42">
        <f>IF(AND(ISNUMBER($AD815),$M815&gt;0),$AD815/$M815*100,"")</f>
      </c>
      <c r="AV815" s="40">
        <f>IF(AND(ISNUMBER($AB815),ISNUMBER($AD815),ABS($AB815)&gt;0),$AD815/$AB815,"")</f>
      </c>
      <c r="AW815" s="39">
        <f>IF(ISNUMBER($AD815),MAX(0,(1-0.55-Header!$O$3)*Header!$Q$3*$AQ815),"")</f>
      </c>
      <c r="AX815" s="43">
        <f>IF($A815="","",IF(TRIM(IF($A815="","Missing certificate ref. ","") &amp; IF($C815="","Missing effective date. ","") &amp; IF($D815="","Missing binding status. ","") &amp; IF($E815="","Missing movement type. ","") &amp; IF($I815="","Missing make. ","") &amp; IF($L815="","Missing vehicle class. ","") &amp; IF($M815="","Missing agreed value. ","") &amp; IF($N815="","Missing policy type. ","") &amp; IF($Q815="","Missing garaging state. ","") &amp; IF($R815="","Missing garaging ZIP. ","") &amp; IF($S815="","Missing cat zone. ","") &amp; IF($V815="","Missing valuation basis. ","") &amp; IF($W815="","Missing PD deductible. ","") &amp; IF($X815="","Missing liability limit. ","") &amp; IF($AB815="","Missing technical premium. ","") &amp; IF($AF815="","Missing surplus lines tax %. ",""))="","PASS","FAIL: "&amp;TRIM(IF($A815="","Missing certificate ref. ","") &amp; IF($C815="","Missing effective date. ","") &amp; IF($D815="","Missing binding status. ","") &amp; IF($E815="","Missing movement type. ","") &amp; IF($I815="","Missing make. ","") &amp; IF($L815="","Missing vehicle class. ","") &amp; IF($M815="","Missing agreed value. ","") &amp; IF($N815="","Missing policy type. ","") &amp; IF($Q815="","Missing garaging state. ","") &amp; IF($R815="","Missing garaging ZIP. ","") &amp; IF($S815="","Missing cat zone. ","") &amp; IF($V815="","Missing valuation basis. ","") &amp; IF($W815="","Missing PD deductible. ","") &amp; IF($X815="","Missing liability limit. ","") &amp; IF($AB815="","Missing technical premium. ","") &amp; IF($AF815="","Missing surplus lines tax %. ",""))))</f>
      </c>
      <c r="AY815" s="44">
        <f>IF($M815="","",IF(ISNUMBER($M815),IF($M815&gt;=Header!$C$18,"YES — refer","No"),""))</f>
      </c>
      <c r="AZ815" s="44">
        <f>IF($AD815="","",IF(ISNUMBER($AD815),IF($AD815&lt;Header!$C$20,"BELOW MIN PREMIUM","OK"),""))</f>
      </c>
      <c r="BA815" s="32" t="inlineStr">
        <is>
          <t xml:space="preserve">Yes</t>
        </is>
      </c>
      <c r="BB815" s="32" t="inlineStr">
        <is>
          <t xml:space="preserve">Yes</t>
        </is>
      </c>
      <c r="BC815" s="30" t="inlineStr">
        <is>
          <t xml:space="preserve">Synthetic demo data</t>
        </is>
      </c>
      <c r="BE815" s="45">
        <f>IF(OR($A815="",$L815="",$H815=""),"",IF(AND(LEFT($L815,2)="06",$H815&gt;1945),"FAIL - pre-war class, year "&amp;$H815,IF(AND(LEFT($L815,2)="07",OR($H815&lt;1946,$H815&gt;1972)),"FAIL - 1946-72 class, year "&amp;$H815,IF(AND(LEFT($L815,2)="08",OR($H815&lt;1973,$H815&gt;1999)),"FAIL - 1973-99 class, year "&amp;$H815,IF(AND(LEFT($L815,2)="09",OR($H815&lt;2000,$H815&gt;2010)),"FAIL - 2000-10 class, year "&amp;$H815,"OK")))))</f>
      </c>
      <c r="BF815" s="45">
        <f>IF($AD815="","",IF(ROUND($AO815+$AP815+$AQ815-$AD815,2)=0,"OK","FAIL - out by "&amp;TEXT($AO815+$AP815+$AQ815-$AD815,"$0.00")))</f>
      </c>
    </row>
    <row r="816" spans="1:58" ht="18.75" customHeight="1" x14ac:dyDescent="0.25">
      <c r="A816" s="46" t="inlineStr">
        <is>
          <t xml:space="preserve">CANON-202606-009515</t>
        </is>
      </c>
      <c r="B816" s="46" t="inlineStr">
        <is>
          <t xml:space="preserve">Delphine Okonkwo</t>
        </is>
      </c>
      <c r="C816" s="47">
        <v>46183</v>
      </c>
      <c r="D816" s="48" t="inlineStr">
        <is>
          <t xml:space="preserve">Bound - within authority</t>
        </is>
      </c>
      <c r="E816" s="48" t="inlineStr">
        <is>
          <t xml:space="preserve">New business</t>
        </is>
      </c>
      <c r="F816" s="46" t="inlineStr">
        <is>
          <t xml:space="preserve">B1234EXOTIC26</t>
        </is>
      </c>
      <c r="G816" s="33">
        <f>IF($A816="","",IF($C816="","",YEAR($C816)))</f>
      </c>
      <c r="H816" s="49">
        <v>2005</v>
      </c>
      <c r="I816" s="46" t="inlineStr">
        <is>
          <t xml:space="preserve">Porsche</t>
        </is>
      </c>
      <c r="J816" s="46" t="inlineStr">
        <is>
          <t xml:space="preserve">911 Turbo S</t>
        </is>
      </c>
      <c r="K816" s="46" t="inlineStr">
        <is>
          <t xml:space="preserve">YRDJWGWTESAPAEWJZ</t>
        </is>
      </c>
      <c r="L816" s="48" t="inlineStr">
        <is>
          <t xml:space="preserve">02 - Sports / GT</t>
        </is>
      </c>
      <c r="M816" s="50">
        <v>350000</v>
      </c>
      <c r="N816" s="48" t="inlineStr">
        <is>
          <t xml:space="preserve">Personal</t>
        </is>
      </c>
      <c r="O816" s="46" t="inlineStr">
        <is>
          <t xml:space="preserve">Personal - regular use</t>
        </is>
      </c>
      <c r="P816" s="46" t="inlineStr">
        <is>
          <t xml:space="preserve">Under 1,000</t>
        </is>
      </c>
      <c r="Q816" s="46" t="inlineStr">
        <is>
          <t xml:space="preserve">Arizona</t>
        </is>
      </c>
      <c r="R816" s="46" t="inlineStr">
        <is>
          <t xml:space="preserve">85001</t>
        </is>
      </c>
      <c r="S816" s="48" t="inlineStr">
        <is>
          <t xml:space="preserve">Wildfire - WUI high hazard</t>
        </is>
      </c>
      <c r="T816" s="36">
        <f>IF($A816="","",IF($S816="","",IFERROR(INDEX('[1]natural catastrophe'!$D$6:$D$17,MATCH($S816,'[1]natural catastrophe'!$B$6:$B$17,0)),"?")))</f>
      </c>
      <c r="U816" s="46" t="inlineStr">
        <is>
          <t xml:space="preserve">$5,000</t>
        </is>
      </c>
      <c r="V816" s="48" t="inlineStr">
        <is>
          <t xml:space="preserve">Agreed Value</t>
        </is>
      </c>
      <c r="W816" s="46" t="inlineStr">
        <is>
          <t xml:space="preserve">$1,000</t>
        </is>
      </c>
      <c r="X816" s="48" t="inlineStr">
        <is>
          <t xml:space="preserve">$1,000,000 CSL</t>
        </is>
      </c>
      <c r="Y816" s="46"/>
      <c r="Z816" s="46"/>
      <c r="AA816" s="48" t="inlineStr">
        <is>
          <t xml:space="preserve">Surplus Lines</t>
        </is>
      </c>
      <c r="AB816" s="50">
        <v>3825.8</v>
      </c>
      <c r="AC816" s="51">
        <v>0</v>
      </c>
      <c r="AD816" s="38">
        <f>IF(ISNUMBER($AB816),$AB816*(1+N($AC816)),"")</f>
      </c>
      <c r="AE816" s="50">
        <v>350</v>
      </c>
      <c r="AF816" s="50">
        <v>0</v>
      </c>
      <c r="AG816" s="51"/>
      <c r="AH816" s="39">
        <f>IF(ISNUMBER($AD816),($AD816+$AE816+$AF816)*$AG816,"")</f>
      </c>
      <c r="AI816" s="50"/>
      <c r="AJ816" s="38">
        <f>IF(ISNUMBER($AD816),SUM($AD816:$AH816),"")</f>
      </c>
      <c r="AK816" s="40">
        <f>IF(AND(ISNUMBER($AB816),ISNUMBER($AD816)),IF($AB816&gt;0,$AD816/$AB816,""),"")</f>
      </c>
      <c r="AL816" s="48" t="inlineStr">
        <is>
          <t xml:space="preserve">At technical</t>
        </is>
      </c>
      <c r="AM816" s="41">
        <f>IF(ISNUMBER($AD816),Header!$I$3,"")</f>
      </c>
      <c r="AN816" s="39">
        <f>IF(ISNUMBER($AD816),$AO816+$AP816,"")</f>
      </c>
      <c r="AO816" s="39">
        <f>IF(ISNUMBER($AD816),ROUND($AD816*Header!$K$3,2),"")</f>
      </c>
      <c r="AP816" s="39">
        <f>IF(ISNUMBER($AD816),ROUND($AD816*Header!$M$3,2),"")</f>
      </c>
      <c r="AQ816" s="38">
        <f>IF(ISNUMBER($AD816),ROUND($AD816,2)-$AO816-$AP816,"")</f>
      </c>
      <c r="AR816" s="39">
        <f>IF(ISNUMBER($AD816),IF(Header!$D$34="","?",$AD816*Header!$D$34),"")</f>
      </c>
      <c r="AS816" s="39">
        <f>IF(ISNUMBER($AB816),IF(Header!$D$34="","?",$AB816*Header!$D$34),"")</f>
      </c>
      <c r="AT816" s="42">
        <f>IF(AND(ISNUMBER($AB816),$M816&gt;0),$AB816/$M816*100,"")</f>
      </c>
      <c r="AU816" s="42">
        <f>IF(AND(ISNUMBER($AD816),$M816&gt;0),$AD816/$M816*100,"")</f>
      </c>
      <c r="AV816" s="40">
        <f>IF(AND(ISNUMBER($AB816),ISNUMBER($AD816),ABS($AB816)&gt;0),$AD816/$AB816,"")</f>
      </c>
      <c r="AW816" s="39">
        <f>IF(ISNUMBER($AD816),MAX(0,(1-0.55-Header!$O$3)*Header!$Q$3*$AQ816),"")</f>
      </c>
      <c r="AX816" s="43">
        <f>IF($A816="","",IF(TRIM(IF($A816="","Missing certificate ref. ","") &amp; IF($C816="","Missing effective date. ","") &amp; IF($D816="","Missing binding status. ","") &amp; IF($E816="","Missing movement type. ","") &amp; IF($I816="","Missing make. ","") &amp; IF($L816="","Missing vehicle class. ","") &amp; IF($M816="","Missing agreed value. ","") &amp; IF($N816="","Missing policy type. ","") &amp; IF($Q816="","Missing garaging state. ","") &amp; IF($R816="","Missing garaging ZIP. ","") &amp; IF($S816="","Missing cat zone. ","") &amp; IF($V816="","Missing valuation basis. ","") &amp; IF($W816="","Missing PD deductible. ","") &amp; IF($X816="","Missing liability limit. ","") &amp; IF($AB816="","Missing technical premium. ","") &amp; IF($AF816="","Missing surplus lines tax %. ",""))="","PASS","FAIL: "&amp;TRIM(IF($A816="","Missing certificate ref. ","") &amp; IF($C816="","Missing effective date. ","") &amp; IF($D816="","Missing binding status. ","") &amp; IF($E816="","Missing movement type. ","") &amp; IF($I816="","Missing make. ","") &amp; IF($L816="","Missing vehicle class. ","") &amp; IF($M816="","Missing agreed value. ","") &amp; IF($N816="","Missing policy type. ","") &amp; IF($Q816="","Missing garaging state. ","") &amp; IF($R816="","Missing garaging ZIP. ","") &amp; IF($S816="","Missing cat zone. ","") &amp; IF($V816="","Missing valuation basis. ","") &amp; IF($W816="","Missing PD deductible. ","") &amp; IF($X816="","Missing liability limit. ","") &amp; IF($AB816="","Missing technical premium. ","") &amp; IF($AF816="","Missing surplus lines tax %. ",""))))</f>
      </c>
      <c r="AY816" s="44">
        <f>IF($M816="","",IF(ISNUMBER($M816),IF($M816&gt;=Header!$C$18,"YES — refer","No"),""))</f>
      </c>
      <c r="AZ816" s="44">
        <f>IF($AD816="","",IF(ISNUMBER($AD816),IF($AD816&lt;Header!$C$20,"BELOW MIN PREMIUM","OK"),""))</f>
      </c>
      <c r="BA816" s="48" t="inlineStr">
        <is>
          <t xml:space="preserve">Yes</t>
        </is>
      </c>
      <c r="BB816" s="48" t="inlineStr">
        <is>
          <t xml:space="preserve">Yes</t>
        </is>
      </c>
      <c r="BC816" s="46" t="inlineStr">
        <is>
          <t xml:space="preserve">Synthetic demo data</t>
        </is>
      </c>
      <c r="BE816" s="45">
        <f>IF(OR($A816="",$L816="",$H816=""),"",IF(AND(LEFT($L816,2)="06",$H816&gt;1945),"FAIL - pre-war class, year "&amp;$H816,IF(AND(LEFT($L816,2)="07",OR($H816&lt;1946,$H816&gt;1972)),"FAIL - 1946-72 class, year "&amp;$H816,IF(AND(LEFT($L816,2)="08",OR($H816&lt;1973,$H816&gt;1999)),"FAIL - 1973-99 class, year "&amp;$H816,IF(AND(LEFT($L816,2)="09",OR($H816&lt;2000,$H816&gt;2010)),"FAIL - 2000-10 class, year "&amp;$H816,"OK")))))</f>
      </c>
      <c r="BF816" s="45">
        <f>IF($AD816="","",IF(ROUND($AO816+$AP816+$AQ816-$AD816,2)=0,"OK","FAIL - out by "&amp;TEXT($AO816+$AP816+$AQ816-$AD816,"$0.00")))</f>
      </c>
    </row>
    <row r="817" spans="1:58" ht="18.75" customHeight="1" x14ac:dyDescent="0.25">
      <c r="A817" s="30" t="inlineStr">
        <is>
          <t xml:space="preserve">CANON-202606-009517</t>
        </is>
      </c>
      <c r="B817" s="30" t="inlineStr">
        <is>
          <t xml:space="preserve">Marisol Underwood</t>
        </is>
      </c>
      <c r="C817" s="31">
        <v>46189</v>
      </c>
      <c r="D817" s="32" t="inlineStr">
        <is>
          <t xml:space="preserve">Bound - within authority</t>
        </is>
      </c>
      <c r="E817" s="32" t="inlineStr">
        <is>
          <t xml:space="preserve">New business</t>
        </is>
      </c>
      <c r="F817" s="30" t="inlineStr">
        <is>
          <t xml:space="preserve">B1234EXOTIC26</t>
        </is>
      </c>
      <c r="G817" s="33">
        <f>IF($A817="","",IF($C817="","",YEAR($C817)))</f>
      </c>
      <c r="H817" s="34">
        <v>1977</v>
      </c>
      <c r="I817" s="30" t="inlineStr">
        <is>
          <t xml:space="preserve">Bentley</t>
        </is>
      </c>
      <c r="J817" s="30" t="inlineStr">
        <is>
          <t xml:space="preserve">Continental GT</t>
        </is>
      </c>
      <c r="K817" s="30" t="inlineStr">
        <is>
          <t xml:space="preserve">C2K0BXGFVSU7M1FUS</t>
        </is>
      </c>
      <c r="L817" s="32" t="inlineStr">
        <is>
          <t xml:space="preserve">02 - Sports / GT</t>
        </is>
      </c>
      <c r="M817" s="35">
        <v>450000</v>
      </c>
      <c r="N817" s="32" t="inlineStr">
        <is>
          <t xml:space="preserve">Personal</t>
        </is>
      </c>
      <c r="O817" s="30" t="inlineStr">
        <is>
          <t xml:space="preserve">Personal - regular use</t>
        </is>
      </c>
      <c r="P817" s="30" t="inlineStr">
        <is>
          <t xml:space="preserve">1,000 - 2,500</t>
        </is>
      </c>
      <c r="Q817" s="30" t="inlineStr">
        <is>
          <t xml:space="preserve">New York</t>
        </is>
      </c>
      <c r="R817" s="30" t="inlineStr">
        <is>
          <t xml:space="preserve">10022</t>
        </is>
      </c>
      <c r="S817" s="32" t="inlineStr">
        <is>
          <t xml:space="preserve">Tier 3 - Coastal wind (25-100 miles)</t>
        </is>
      </c>
      <c r="T817" s="36">
        <f>IF($A817="","",IF($S817="","",IFERROR(INDEX('[1]natural catastrophe'!$D$6:$D$17,MATCH($S817,'[1]natural catastrophe'!$B$6:$B$17,0)),"?")))</f>
      </c>
      <c r="U817" s="30" t="inlineStr">
        <is>
          <t xml:space="preserve">2% of agreed value, minimum $10,000</t>
        </is>
      </c>
      <c r="V817" s="32" t="inlineStr">
        <is>
          <t xml:space="preserve">Agreed Value</t>
        </is>
      </c>
      <c r="W817" s="30" t="inlineStr">
        <is>
          <t xml:space="preserve">$1,000</t>
        </is>
      </c>
      <c r="X817" s="32" t="inlineStr">
        <is>
          <t xml:space="preserve">$1,000,000 CSL</t>
        </is>
      </c>
      <c r="Y817" s="30"/>
      <c r="Z817" s="30"/>
      <c r="AA817" s="32" t="inlineStr">
        <is>
          <t xml:space="preserve">Surplus Lines</t>
        </is>
      </c>
      <c r="AB817" s="35">
        <v>6233.84</v>
      </c>
      <c r="AC817" s="37">
        <v>0</v>
      </c>
      <c r="AD817" s="38">
        <f>IF(ISNUMBER($AB817),$AB817*(1+N($AC817)),"")</f>
      </c>
      <c r="AE817" s="35">
        <v>350</v>
      </c>
      <c r="AF817" s="35">
        <v>0</v>
      </c>
      <c r="AG817" s="37"/>
      <c r="AH817" s="39">
        <f>IF(ISNUMBER($AD817),($AD817+$AE817+$AF817)*$AG817,"")</f>
      </c>
      <c r="AI817" s="35"/>
      <c r="AJ817" s="38">
        <f>IF(ISNUMBER($AD817),SUM($AD817:$AH817),"")</f>
      </c>
      <c r="AK817" s="40">
        <f>IF(AND(ISNUMBER($AB817),ISNUMBER($AD817)),IF($AB817&gt;0,$AD817/$AB817,""),"")</f>
      </c>
      <c r="AL817" s="32" t="inlineStr">
        <is>
          <t xml:space="preserve">At technical</t>
        </is>
      </c>
      <c r="AM817" s="41">
        <f>IF(ISNUMBER($AD817),Header!$I$3,"")</f>
      </c>
      <c r="AN817" s="39">
        <f>IF(ISNUMBER($AD817),$AO817+$AP817,"")</f>
      </c>
      <c r="AO817" s="39">
        <f>IF(ISNUMBER($AD817),ROUND($AD817*Header!$K$3,2),"")</f>
      </c>
      <c r="AP817" s="39">
        <f>IF(ISNUMBER($AD817),ROUND($AD817*Header!$M$3,2),"")</f>
      </c>
      <c r="AQ817" s="38">
        <f>IF(ISNUMBER($AD817),ROUND($AD817,2)-$AO817-$AP817,"")</f>
      </c>
      <c r="AR817" s="39">
        <f>IF(ISNUMBER($AD817),IF(Header!$D$34="","?",$AD817*Header!$D$34),"")</f>
      </c>
      <c r="AS817" s="39">
        <f>IF(ISNUMBER($AB817),IF(Header!$D$34="","?",$AB817*Header!$D$34),"")</f>
      </c>
      <c r="AT817" s="42">
        <f>IF(AND(ISNUMBER($AB817),$M817&gt;0),$AB817/$M817*100,"")</f>
      </c>
      <c r="AU817" s="42">
        <f>IF(AND(ISNUMBER($AD817),$M817&gt;0),$AD817/$M817*100,"")</f>
      </c>
      <c r="AV817" s="40">
        <f>IF(AND(ISNUMBER($AB817),ISNUMBER($AD817),ABS($AB817)&gt;0),$AD817/$AB817,"")</f>
      </c>
      <c r="AW817" s="39">
        <f>IF(ISNUMBER($AD817),MAX(0,(1-0.55-Header!$O$3)*Header!$Q$3*$AQ817),"")</f>
      </c>
      <c r="AX817" s="43">
        <f>IF($A817="","",IF(TRIM(IF($A817="","Missing certificate ref. ","") &amp; IF($C817="","Missing effective date. ","") &amp; IF($D817="","Missing binding status. ","") &amp; IF($E817="","Missing movement type. ","") &amp; IF($I817="","Missing make. ","") &amp; IF($L817="","Missing vehicle class. ","") &amp; IF($M817="","Missing agreed value. ","") &amp; IF($N817="","Missing policy type. ","") &amp; IF($Q817="","Missing garaging state. ","") &amp; IF($R817="","Missing garaging ZIP. ","") &amp; IF($S817="","Missing cat zone. ","") &amp; IF($V817="","Missing valuation basis. ","") &amp; IF($W817="","Missing PD deductible. ","") &amp; IF($X817="","Missing liability limit. ","") &amp; IF($AB817="","Missing technical premium. ","") &amp; IF($AF817="","Missing surplus lines tax %. ",""))="","PASS","FAIL: "&amp;TRIM(IF($A817="","Missing certificate ref. ","") &amp; IF($C817="","Missing effective date. ","") &amp; IF($D817="","Missing binding status. ","") &amp; IF($E817="","Missing movement type. ","") &amp; IF($I817="","Missing make. ","") &amp; IF($L817="","Missing vehicle class. ","") &amp; IF($M817="","Missing agreed value. ","") &amp; IF($N817="","Missing policy type. ","") &amp; IF($Q817="","Missing garaging state. ","") &amp; IF($R817="","Missing garaging ZIP. ","") &amp; IF($S817="","Missing cat zone. ","") &amp; IF($V817="","Missing valuation basis. ","") &amp; IF($W817="","Missing PD deductible. ","") &amp; IF($X817="","Missing liability limit. ","") &amp; IF($AB817="","Missing technical premium. ","") &amp; IF($AF817="","Missing surplus lines tax %. ",""))))</f>
      </c>
      <c r="AY817" s="44">
        <f>IF($M817="","",IF(ISNUMBER($M817),IF($M817&gt;=Header!$C$18,"YES — refer","No"),""))</f>
      </c>
      <c r="AZ817" s="44">
        <f>IF($AD817="","",IF(ISNUMBER($AD817),IF($AD817&lt;Header!$C$20,"BELOW MIN PREMIUM","OK"),""))</f>
      </c>
      <c r="BA817" s="32" t="inlineStr">
        <is>
          <t xml:space="preserve">Yes</t>
        </is>
      </c>
      <c r="BB817" s="32" t="inlineStr">
        <is>
          <t xml:space="preserve">Yes</t>
        </is>
      </c>
      <c r="BC817" s="30" t="inlineStr">
        <is>
          <t xml:space="preserve">Synthetic demo data</t>
        </is>
      </c>
      <c r="BE817" s="45">
        <f>IF(OR($A817="",$L817="",$H817=""),"",IF(AND(LEFT($L817,2)="06",$H817&gt;1945),"FAIL - pre-war class, year "&amp;$H817,IF(AND(LEFT($L817,2)="07",OR($H817&lt;1946,$H817&gt;1972)),"FAIL - 1946-72 class, year "&amp;$H817,IF(AND(LEFT($L817,2)="08",OR($H817&lt;1973,$H817&gt;1999)),"FAIL - 1973-99 class, year "&amp;$H817,IF(AND(LEFT($L817,2)="09",OR($H817&lt;2000,$H817&gt;2010)),"FAIL - 2000-10 class, year "&amp;$H817,"OK")))))</f>
      </c>
      <c r="BF817" s="45">
        <f>IF($AD817="","",IF(ROUND($AO817+$AP817+$AQ817-$AD817,2)=0,"OK","FAIL - out by "&amp;TEXT($AO817+$AP817+$AQ817-$AD817,"$0.00")))</f>
      </c>
    </row>
    <row r="818" spans="1:58" ht="18.75" customHeight="1" x14ac:dyDescent="0.25">
      <c r="A818" s="46" t="inlineStr">
        <is>
          <t xml:space="preserve">CANON-202606-009518</t>
        </is>
      </c>
      <c r="B818" s="46" t="inlineStr">
        <is>
          <t xml:space="preserve">Thaddeus Castellanos</t>
        </is>
      </c>
      <c r="C818" s="47">
        <v>46203</v>
      </c>
      <c r="D818" s="48" t="inlineStr">
        <is>
          <t xml:space="preserve">Bound - within authority</t>
        </is>
      </c>
      <c r="E818" s="48" t="inlineStr">
        <is>
          <t xml:space="preserve">New business</t>
        </is>
      </c>
      <c r="F818" s="46" t="inlineStr">
        <is>
          <t xml:space="preserve">B1234EXOTIC26</t>
        </is>
      </c>
      <c r="G818" s="33">
        <f>IF($A818="","",IF($C818="","",YEAR($C818)))</f>
      </c>
      <c r="H818" s="49">
        <v>2017</v>
      </c>
      <c r="I818" s="46" t="inlineStr">
        <is>
          <t xml:space="preserve">Bentley</t>
        </is>
      </c>
      <c r="J818" s="46" t="inlineStr">
        <is>
          <t xml:space="preserve">Continental GT</t>
        </is>
      </c>
      <c r="K818" s="46" t="inlineStr">
        <is>
          <t xml:space="preserve">5368GYP9AFGZY3EHN</t>
        </is>
      </c>
      <c r="L818" s="48" t="inlineStr">
        <is>
          <t xml:space="preserve">02 - Sports / GT</t>
        </is>
      </c>
      <c r="M818" s="50">
        <v>520000</v>
      </c>
      <c r="N818" s="48" t="inlineStr">
        <is>
          <t xml:space="preserve">Personal</t>
        </is>
      </c>
      <c r="O818" s="46" t="inlineStr">
        <is>
          <t xml:space="preserve">Personal - regular use</t>
        </is>
      </c>
      <c r="P818" s="46" t="inlineStr">
        <is>
          <t xml:space="preserve">1,000 - 2,500</t>
        </is>
      </c>
      <c r="Q818" s="46" t="inlineStr">
        <is>
          <t xml:space="preserve">Indiana</t>
        </is>
      </c>
      <c r="R818" s="46" t="inlineStr">
        <is>
          <t xml:space="preserve">46204</t>
        </is>
      </c>
      <c r="S818" s="48" t="inlineStr">
        <is>
          <t xml:space="preserve">Severe convective - hail / tornado (moderate)</t>
        </is>
      </c>
      <c r="T818" s="36">
        <f>IF($A818="","",IF($S818="","",IFERROR(INDEX('[1]natural catastrophe'!$D$6:$D$17,MATCH($S818,'[1]natural catastrophe'!$B$6:$B$17,0)),"?")))</f>
      </c>
      <c r="U818" s="46" t="inlineStr">
        <is>
          <t xml:space="preserve">$5,000</t>
        </is>
      </c>
      <c r="V818" s="48" t="inlineStr">
        <is>
          <t xml:space="preserve">Agreed Value</t>
        </is>
      </c>
      <c r="W818" s="46" t="inlineStr">
        <is>
          <t xml:space="preserve">$1,000</t>
        </is>
      </c>
      <c r="X818" s="48" t="inlineStr">
        <is>
          <t xml:space="preserve">$1,000,000 CSL</t>
        </is>
      </c>
      <c r="Y818" s="46"/>
      <c r="Z818" s="46"/>
      <c r="AA818" s="48" t="inlineStr">
        <is>
          <t xml:space="preserve">Surplus Lines</t>
        </is>
      </c>
      <c r="AB818" s="50">
        <v>5999.21</v>
      </c>
      <c r="AC818" s="51">
        <v>0</v>
      </c>
      <c r="AD818" s="38">
        <f>IF(ISNUMBER($AB818),$AB818*(1+N($AC818)),"")</f>
      </c>
      <c r="AE818" s="50">
        <v>350</v>
      </c>
      <c r="AF818" s="50">
        <v>0</v>
      </c>
      <c r="AG818" s="51"/>
      <c r="AH818" s="39">
        <f>IF(ISNUMBER($AD818),($AD818+$AE818+$AF818)*$AG818,"")</f>
      </c>
      <c r="AI818" s="50"/>
      <c r="AJ818" s="38">
        <f>IF(ISNUMBER($AD818),SUM($AD818:$AH818),"")</f>
      </c>
      <c r="AK818" s="40">
        <f>IF(AND(ISNUMBER($AB818),ISNUMBER($AD818)),IF($AB818&gt;0,$AD818/$AB818,""),"")</f>
      </c>
      <c r="AL818" s="48" t="inlineStr">
        <is>
          <t xml:space="preserve">At technical</t>
        </is>
      </c>
      <c r="AM818" s="41">
        <f>IF(ISNUMBER($AD818),Header!$I$3,"")</f>
      </c>
      <c r="AN818" s="39">
        <f>IF(ISNUMBER($AD818),$AO818+$AP818,"")</f>
      </c>
      <c r="AO818" s="39">
        <f>IF(ISNUMBER($AD818),ROUND($AD818*Header!$K$3,2),"")</f>
      </c>
      <c r="AP818" s="39">
        <f>IF(ISNUMBER($AD818),ROUND($AD818*Header!$M$3,2),"")</f>
      </c>
      <c r="AQ818" s="38">
        <f>IF(ISNUMBER($AD818),ROUND($AD818,2)-$AO818-$AP818,"")</f>
      </c>
      <c r="AR818" s="39">
        <f>IF(ISNUMBER($AD818),IF(Header!$D$34="","?",$AD818*Header!$D$34),"")</f>
      </c>
      <c r="AS818" s="39">
        <f>IF(ISNUMBER($AB818),IF(Header!$D$34="","?",$AB818*Header!$D$34),"")</f>
      </c>
      <c r="AT818" s="42">
        <f>IF(AND(ISNUMBER($AB818),$M818&gt;0),$AB818/$M818*100,"")</f>
      </c>
      <c r="AU818" s="42">
        <f>IF(AND(ISNUMBER($AD818),$M818&gt;0),$AD818/$M818*100,"")</f>
      </c>
      <c r="AV818" s="40">
        <f>IF(AND(ISNUMBER($AB818),ISNUMBER($AD818),ABS($AB818)&gt;0),$AD818/$AB818,"")</f>
      </c>
      <c r="AW818" s="39">
        <f>IF(ISNUMBER($AD818),MAX(0,(1-0.55-Header!$O$3)*Header!$Q$3*$AQ818),"")</f>
      </c>
      <c r="AX818" s="43">
        <f>IF($A818="","",IF(TRIM(IF($A818="","Missing certificate ref. ","") &amp; IF($C818="","Missing effective date. ","") &amp; IF($D818="","Missing binding status. ","") &amp; IF($E818="","Missing movement type. ","") &amp; IF($I818="","Missing make. ","") &amp; IF($L818="","Missing vehicle class. ","") &amp; IF($M818="","Missing agreed value. ","") &amp; IF($N818="","Missing policy type. ","") &amp; IF($Q818="","Missing garaging state. ","") &amp; IF($R818="","Missing garaging ZIP. ","") &amp; IF($S818="","Missing cat zone. ","") &amp; IF($V818="","Missing valuation basis. ","") &amp; IF($W818="","Missing PD deductible. ","") &amp; IF($X818="","Missing liability limit. ","") &amp; IF($AB818="","Missing technical premium. ","") &amp; IF($AF818="","Missing surplus lines tax %. ",""))="","PASS","FAIL: "&amp;TRIM(IF($A818="","Missing certificate ref. ","") &amp; IF($C818="","Missing effective date. ","") &amp; IF($D818="","Missing binding status. ","") &amp; IF($E818="","Missing movement type. ","") &amp; IF($I818="","Missing make. ","") &amp; IF($L818="","Missing vehicle class. ","") &amp; IF($M818="","Missing agreed value. ","") &amp; IF($N818="","Missing policy type. ","") &amp; IF($Q818="","Missing garaging state. ","") &amp; IF($R818="","Missing garaging ZIP. ","") &amp; IF($S818="","Missing cat zone. ","") &amp; IF($V818="","Missing valuation basis. ","") &amp; IF($W818="","Missing PD deductible. ","") &amp; IF($X818="","Missing liability limit. ","") &amp; IF($AB818="","Missing technical premium. ","") &amp; IF($AF818="","Missing surplus lines tax %. ",""))))</f>
      </c>
      <c r="AY818" s="44">
        <f>IF($M818="","",IF(ISNUMBER($M818),IF($M818&gt;=Header!$C$18,"YES — refer","No"),""))</f>
      </c>
      <c r="AZ818" s="44">
        <f>IF($AD818="","",IF(ISNUMBER($AD818),IF($AD818&lt;Header!$C$20,"BELOW MIN PREMIUM","OK"),""))</f>
      </c>
      <c r="BA818" s="48" t="inlineStr">
        <is>
          <t xml:space="preserve">Yes</t>
        </is>
      </c>
      <c r="BB818" s="48" t="inlineStr">
        <is>
          <t xml:space="preserve">Yes</t>
        </is>
      </c>
      <c r="BC818" s="46" t="inlineStr">
        <is>
          <t xml:space="preserve">Synthetic demo data</t>
        </is>
      </c>
      <c r="BE818" s="45">
        <f>IF(OR($A818="",$L818="",$H818=""),"",IF(AND(LEFT($L818,2)="06",$H818&gt;1945),"FAIL - pre-war class, year "&amp;$H818,IF(AND(LEFT($L818,2)="07",OR($H818&lt;1946,$H818&gt;1972)),"FAIL - 1946-72 class, year "&amp;$H818,IF(AND(LEFT($L818,2)="08",OR($H818&lt;1973,$H818&gt;1999)),"FAIL - 1973-99 class, year "&amp;$H818,IF(AND(LEFT($L818,2)="09",OR($H818&lt;2000,$H818&gt;2010)),"FAIL - 2000-10 class, year "&amp;$H818,"OK")))))</f>
      </c>
      <c r="BF818" s="45">
        <f>IF($AD818="","",IF(ROUND($AO818+$AP818+$AQ818-$AD818,2)=0,"OK","FAIL - out by "&amp;TEXT($AO818+$AP818+$AQ818-$AD818,"$0.00")))</f>
      </c>
    </row>
    <row r="819" spans="1:58" ht="18.75" customHeight="1" x14ac:dyDescent="0.25">
      <c r="A819" s="30" t="inlineStr">
        <is>
          <t xml:space="preserve">CANON-202606-009519</t>
        </is>
      </c>
      <c r="B819" s="30" t="inlineStr">
        <is>
          <t xml:space="preserve">Aurelio Thistlewood</t>
        </is>
      </c>
      <c r="C819" s="31">
        <v>46193</v>
      </c>
      <c r="D819" s="32" t="inlineStr">
        <is>
          <t xml:space="preserve">Bound - within authority</t>
        </is>
      </c>
      <c r="E819" s="32" t="inlineStr">
        <is>
          <t xml:space="preserve">New business</t>
        </is>
      </c>
      <c r="F819" s="30" t="inlineStr">
        <is>
          <t xml:space="preserve">B1234EXOTIC26</t>
        </is>
      </c>
      <c r="G819" s="33">
        <f>IF($A819="","",IF($C819="","",YEAR($C819)))</f>
      </c>
      <c r="H819" s="34">
        <v>1973</v>
      </c>
      <c r="I819" s="30" t="inlineStr">
        <is>
          <t xml:space="preserve">Ferrari</t>
        </is>
      </c>
      <c r="J819" s="30" t="inlineStr">
        <is>
          <t xml:space="preserve">275 GTB/4</t>
        </is>
      </c>
      <c r="K819" s="30" t="inlineStr">
        <is>
          <t xml:space="preserve">SGY9Z056P9GGF6KCM</t>
        </is>
      </c>
      <c r="L819" s="32" t="inlineStr">
        <is>
          <t xml:space="preserve">08 - Modern Classic (1973-1999)</t>
        </is>
      </c>
      <c r="M819" s="35">
        <v>765000</v>
      </c>
      <c r="N819" s="32" t="inlineStr">
        <is>
          <t xml:space="preserve">Personal</t>
        </is>
      </c>
      <c r="O819" s="30" t="inlineStr">
        <is>
          <t xml:space="preserve">Personal - regular use</t>
        </is>
      </c>
      <c r="P819" s="30" t="inlineStr">
        <is>
          <t xml:space="preserve">1,000 - 2,500</t>
        </is>
      </c>
      <c r="Q819" s="30" t="inlineStr">
        <is>
          <t xml:space="preserve">California</t>
        </is>
      </c>
      <c r="R819" s="30" t="inlineStr">
        <is>
          <t xml:space="preserve">90012</t>
        </is>
      </c>
      <c r="S819" s="32" t="inlineStr">
        <is>
          <t xml:space="preserve">Earthquake - high (CA, Cascadia, New Madrid)</t>
        </is>
      </c>
      <c r="T819" s="36">
        <f>IF($A819="","",IF($S819="","",IFERROR(INDEX('[1]natural catastrophe'!$D$6:$D$17,MATCH($S819,'[1]natural catastrophe'!$B$6:$B$17,0)),"?")))</f>
      </c>
      <c r="U819" s="30" t="inlineStr">
        <is>
          <t xml:space="preserve">$5,000</t>
        </is>
      </c>
      <c r="V819" s="32" t="inlineStr">
        <is>
          <t xml:space="preserve">Agreed Value</t>
        </is>
      </c>
      <c r="W819" s="30" t="inlineStr">
        <is>
          <t xml:space="preserve">$1,000</t>
        </is>
      </c>
      <c r="X819" s="32" t="inlineStr">
        <is>
          <t xml:space="preserve">$1,000,000 CSL</t>
        </is>
      </c>
      <c r="Y819" s="30"/>
      <c r="Z819" s="30"/>
      <c r="AA819" s="32" t="inlineStr">
        <is>
          <t xml:space="preserve">Surplus Lines</t>
        </is>
      </c>
      <c r="AB819" s="35">
        <v>6408.2</v>
      </c>
      <c r="AC819" s="37">
        <v>0</v>
      </c>
      <c r="AD819" s="38">
        <f>IF(ISNUMBER($AB819),$AB819*(1+N($AC819)),"")</f>
      </c>
      <c r="AE819" s="35">
        <v>350</v>
      </c>
      <c r="AF819" s="35">
        <v>0</v>
      </c>
      <c r="AG819" s="37"/>
      <c r="AH819" s="39">
        <f>IF(ISNUMBER($AD819),($AD819+$AE819+$AF819)*$AG819,"")</f>
      </c>
      <c r="AI819" s="35"/>
      <c r="AJ819" s="38">
        <f>IF(ISNUMBER($AD819),SUM($AD819:$AH819),"")</f>
      </c>
      <c r="AK819" s="40">
        <f>IF(AND(ISNUMBER($AB819),ISNUMBER($AD819)),IF($AB819&gt;0,$AD819/$AB819,""),"")</f>
      </c>
      <c r="AL819" s="32" t="inlineStr">
        <is>
          <t xml:space="preserve">At technical</t>
        </is>
      </c>
      <c r="AM819" s="41">
        <f>IF(ISNUMBER($AD819),Header!$I$3,"")</f>
      </c>
      <c r="AN819" s="39">
        <f>IF(ISNUMBER($AD819),$AO819+$AP819,"")</f>
      </c>
      <c r="AO819" s="39">
        <f>IF(ISNUMBER($AD819),ROUND($AD819*Header!$K$3,2),"")</f>
      </c>
      <c r="AP819" s="39">
        <f>IF(ISNUMBER($AD819),ROUND($AD819*Header!$M$3,2),"")</f>
      </c>
      <c r="AQ819" s="38">
        <f>IF(ISNUMBER($AD819),ROUND($AD819,2)-$AO819-$AP819,"")</f>
      </c>
      <c r="AR819" s="39">
        <f>IF(ISNUMBER($AD819),IF(Header!$D$34="","?",$AD819*Header!$D$34),"")</f>
      </c>
      <c r="AS819" s="39">
        <f>IF(ISNUMBER($AB819),IF(Header!$D$34="","?",$AB819*Header!$D$34),"")</f>
      </c>
      <c r="AT819" s="42">
        <f>IF(AND(ISNUMBER($AB819),$M819&gt;0),$AB819/$M819*100,"")</f>
      </c>
      <c r="AU819" s="42">
        <f>IF(AND(ISNUMBER($AD819),$M819&gt;0),$AD819/$M819*100,"")</f>
      </c>
      <c r="AV819" s="40">
        <f>IF(AND(ISNUMBER($AB819),ISNUMBER($AD819),ABS($AB819)&gt;0),$AD819/$AB819,"")</f>
      </c>
      <c r="AW819" s="39">
        <f>IF(ISNUMBER($AD819),MAX(0,(1-0.55-Header!$O$3)*Header!$Q$3*$AQ819),"")</f>
      </c>
      <c r="AX819" s="43">
        <f>IF($A819="","",IF(TRIM(IF($A819="","Missing certificate ref. ","") &amp; IF($C819="","Missing effective date. ","") &amp; IF($D819="","Missing binding status. ","") &amp; IF($E819="","Missing movement type. ","") &amp; IF($I819="","Missing make. ","") &amp; IF($L819="","Missing vehicle class. ","") &amp; IF($M819="","Missing agreed value. ","") &amp; IF($N819="","Missing policy type. ","") &amp; IF($Q819="","Missing garaging state. ","") &amp; IF($R819="","Missing garaging ZIP. ","") &amp; IF($S819="","Missing cat zone. ","") &amp; IF($V819="","Missing valuation basis. ","") &amp; IF($W819="","Missing PD deductible. ","") &amp; IF($X819="","Missing liability limit. ","") &amp; IF($AB819="","Missing technical premium. ","") &amp; IF($AF819="","Missing surplus lines tax %. ",""))="","PASS","FAIL: "&amp;TRIM(IF($A819="","Missing certificate ref. ","") &amp; IF($C819="","Missing effective date. ","") &amp; IF($D819="","Missing binding status. ","") &amp; IF($E819="","Missing movement type. ","") &amp; IF($I819="","Missing make. ","") &amp; IF($L819="","Missing vehicle class. ","") &amp; IF($M819="","Missing agreed value. ","") &amp; IF($N819="","Missing policy type. ","") &amp; IF($Q819="","Missing garaging state. ","") &amp; IF($R819="","Missing garaging ZIP. ","") &amp; IF($S819="","Missing cat zone. ","") &amp; IF($V819="","Missing valuation basis. ","") &amp; IF($W819="","Missing PD deductible. ","") &amp; IF($X819="","Missing liability limit. ","") &amp; IF($AB819="","Missing technical premium. ","") &amp; IF($AF819="","Missing surplus lines tax %. ",""))))</f>
      </c>
      <c r="AY819" s="44">
        <f>IF($M819="","",IF(ISNUMBER($M819),IF($M819&gt;=Header!$C$18,"YES — refer","No"),""))</f>
      </c>
      <c r="AZ819" s="44">
        <f>IF($AD819="","",IF(ISNUMBER($AD819),IF($AD819&lt;Header!$C$20,"BELOW MIN PREMIUM","OK"),""))</f>
      </c>
      <c r="BA819" s="32" t="inlineStr">
        <is>
          <t xml:space="preserve">Yes</t>
        </is>
      </c>
      <c r="BB819" s="32" t="inlineStr">
        <is>
          <t xml:space="preserve">Yes</t>
        </is>
      </c>
      <c r="BC819" s="30" t="inlineStr">
        <is>
          <t xml:space="preserve">Synthetic demo data</t>
        </is>
      </c>
      <c r="BE819" s="45">
        <f>IF(OR($A819="",$L819="",$H819=""),"",IF(AND(LEFT($L819,2)="06",$H819&gt;1945),"FAIL - pre-war class, year "&amp;$H819,IF(AND(LEFT($L819,2)="07",OR($H819&lt;1946,$H819&gt;1972)),"FAIL - 1946-72 class, year "&amp;$H819,IF(AND(LEFT($L819,2)="08",OR($H819&lt;1973,$H819&gt;1999)),"FAIL - 1973-99 class, year "&amp;$H819,IF(AND(LEFT($L819,2)="09",OR($H819&lt;2000,$H819&gt;2010)),"FAIL - 2000-10 class, year "&amp;$H819,"OK")))))</f>
      </c>
      <c r="BF819" s="45">
        <f>IF($AD819="","",IF(ROUND($AO819+$AP819+$AQ819-$AD819,2)=0,"OK","FAIL - out by "&amp;TEXT($AO819+$AP819+$AQ819-$AD819,"$0.00")))</f>
      </c>
    </row>
    <row r="820" spans="1:58" ht="18.75" customHeight="1" x14ac:dyDescent="0.25">
      <c r="A820" s="46" t="inlineStr">
        <is>
          <t xml:space="preserve">CANON-202606-009520</t>
        </is>
      </c>
      <c r="B820" s="46" t="inlineStr">
        <is>
          <t xml:space="preserve">Beatrix Kingsford</t>
        </is>
      </c>
      <c r="C820" s="47">
        <v>46193</v>
      </c>
      <c r="D820" s="48" t="inlineStr">
        <is>
          <t xml:space="preserve">Bound - within authority</t>
        </is>
      </c>
      <c r="E820" s="48" t="inlineStr">
        <is>
          <t xml:space="preserve">New business</t>
        </is>
      </c>
      <c r="F820" s="46" t="inlineStr">
        <is>
          <t xml:space="preserve">B1234EXOTIC26</t>
        </is>
      </c>
      <c r="G820" s="33">
        <f>IF($A820="","",IF($C820="","",YEAR($C820)))</f>
      </c>
      <c r="H820" s="49">
        <v>1961</v>
      </c>
      <c r="I820" s="46" t="inlineStr">
        <is>
          <t xml:space="preserve">Mercedes-Benz</t>
        </is>
      </c>
      <c r="J820" s="46" t="inlineStr">
        <is>
          <t xml:space="preserve">AMG GT</t>
        </is>
      </c>
      <c r="K820" s="46" t="inlineStr">
        <is>
          <t xml:space="preserve">MCMNBY30VM5WLS7WE</t>
        </is>
      </c>
      <c r="L820" s="48" t="inlineStr">
        <is>
          <t xml:space="preserve">02 - Sports / GT</t>
        </is>
      </c>
      <c r="M820" s="50">
        <v>545000</v>
      </c>
      <c r="N820" s="48" t="inlineStr">
        <is>
          <t xml:space="preserve">Personal</t>
        </is>
      </c>
      <c r="O820" s="46" t="inlineStr">
        <is>
          <t xml:space="preserve">Personal - regular use</t>
        </is>
      </c>
      <c r="P820" s="46" t="inlineStr">
        <is>
          <t xml:space="preserve">2,500 - 5,000</t>
        </is>
      </c>
      <c r="Q820" s="46" t="inlineStr">
        <is>
          <t xml:space="preserve">Arizona</t>
        </is>
      </c>
      <c r="R820" s="46" t="inlineStr">
        <is>
          <t xml:space="preserve">85001</t>
        </is>
      </c>
      <c r="S820" s="48" t="inlineStr">
        <is>
          <t xml:space="preserve">Wildfire - WUI high hazard</t>
        </is>
      </c>
      <c r="T820" s="36">
        <f>IF($A820="","",IF($S820="","",IFERROR(INDEX('[1]natural catastrophe'!$D$6:$D$17,MATCH($S820,'[1]natural catastrophe'!$B$6:$B$17,0)),"?")))</f>
      </c>
      <c r="U820" s="46" t="inlineStr">
        <is>
          <t xml:space="preserve">$5,000</t>
        </is>
      </c>
      <c r="V820" s="48" t="inlineStr">
        <is>
          <t xml:space="preserve">Agreed Value</t>
        </is>
      </c>
      <c r="W820" s="46" t="inlineStr">
        <is>
          <t xml:space="preserve">$1,000</t>
        </is>
      </c>
      <c r="X820" s="48" t="inlineStr">
        <is>
          <t xml:space="preserve">$1,000,000 CSL</t>
        </is>
      </c>
      <c r="Y820" s="46"/>
      <c r="Z820" s="46"/>
      <c r="AA820" s="48" t="inlineStr">
        <is>
          <t xml:space="preserve">Surplus Lines</t>
        </is>
      </c>
      <c r="AB820" s="50">
        <v>5163.01</v>
      </c>
      <c r="AC820" s="51">
        <v>0</v>
      </c>
      <c r="AD820" s="38">
        <f>IF(ISNUMBER($AB820),$AB820*(1+N($AC820)),"")</f>
      </c>
      <c r="AE820" s="50">
        <v>350</v>
      </c>
      <c r="AF820" s="50">
        <v>0</v>
      </c>
      <c r="AG820" s="51"/>
      <c r="AH820" s="39">
        <f>IF(ISNUMBER($AD820),($AD820+$AE820+$AF820)*$AG820,"")</f>
      </c>
      <c r="AI820" s="50"/>
      <c r="AJ820" s="38">
        <f>IF(ISNUMBER($AD820),SUM($AD820:$AH820),"")</f>
      </c>
      <c r="AK820" s="40">
        <f>IF(AND(ISNUMBER($AB820),ISNUMBER($AD820)),IF($AB820&gt;0,$AD820/$AB820,""),"")</f>
      </c>
      <c r="AL820" s="48" t="inlineStr">
        <is>
          <t xml:space="preserve">At technical</t>
        </is>
      </c>
      <c r="AM820" s="41">
        <f>IF(ISNUMBER($AD820),Header!$I$3,"")</f>
      </c>
      <c r="AN820" s="39">
        <f>IF(ISNUMBER($AD820),$AO820+$AP820,"")</f>
      </c>
      <c r="AO820" s="39">
        <f>IF(ISNUMBER($AD820),ROUND($AD820*Header!$K$3,2),"")</f>
      </c>
      <c r="AP820" s="39">
        <f>IF(ISNUMBER($AD820),ROUND($AD820*Header!$M$3,2),"")</f>
      </c>
      <c r="AQ820" s="38">
        <f>IF(ISNUMBER($AD820),ROUND($AD820,2)-$AO820-$AP820,"")</f>
      </c>
      <c r="AR820" s="39">
        <f>IF(ISNUMBER($AD820),IF(Header!$D$34="","?",$AD820*Header!$D$34),"")</f>
      </c>
      <c r="AS820" s="39">
        <f>IF(ISNUMBER($AB820),IF(Header!$D$34="","?",$AB820*Header!$D$34),"")</f>
      </c>
      <c r="AT820" s="42">
        <f>IF(AND(ISNUMBER($AB820),$M820&gt;0),$AB820/$M820*100,"")</f>
      </c>
      <c r="AU820" s="42">
        <f>IF(AND(ISNUMBER($AD820),$M820&gt;0),$AD820/$M820*100,"")</f>
      </c>
      <c r="AV820" s="40">
        <f>IF(AND(ISNUMBER($AB820),ISNUMBER($AD820),ABS($AB820)&gt;0),$AD820/$AB820,"")</f>
      </c>
      <c r="AW820" s="39">
        <f>IF(ISNUMBER($AD820),MAX(0,(1-0.55-Header!$O$3)*Header!$Q$3*$AQ820),"")</f>
      </c>
      <c r="AX820" s="43">
        <f>IF($A820="","",IF(TRIM(IF($A820="","Missing certificate ref. ","") &amp; IF($C820="","Missing effective date. ","") &amp; IF($D820="","Missing binding status. ","") &amp; IF($E820="","Missing movement type. ","") &amp; IF($I820="","Missing make. ","") &amp; IF($L820="","Missing vehicle class. ","") &amp; IF($M820="","Missing agreed value. ","") &amp; IF($N820="","Missing policy type. ","") &amp; IF($Q820="","Missing garaging state. ","") &amp; IF($R820="","Missing garaging ZIP. ","") &amp; IF($S820="","Missing cat zone. ","") &amp; IF($V820="","Missing valuation basis. ","") &amp; IF($W820="","Missing PD deductible. ","") &amp; IF($X820="","Missing liability limit. ","") &amp; IF($AB820="","Missing technical premium. ","") &amp; IF($AF820="","Missing surplus lines tax %. ",""))="","PASS","FAIL: "&amp;TRIM(IF($A820="","Missing certificate ref. ","") &amp; IF($C820="","Missing effective date. ","") &amp; IF($D820="","Missing binding status. ","") &amp; IF($E820="","Missing movement type. ","") &amp; IF($I820="","Missing make. ","") &amp; IF($L820="","Missing vehicle class. ","") &amp; IF($M820="","Missing agreed value. ","") &amp; IF($N820="","Missing policy type. ","") &amp; IF($Q820="","Missing garaging state. ","") &amp; IF($R820="","Missing garaging ZIP. ","") &amp; IF($S820="","Missing cat zone. ","") &amp; IF($V820="","Missing valuation basis. ","") &amp; IF($W820="","Missing PD deductible. ","") &amp; IF($X820="","Missing liability limit. ","") &amp; IF($AB820="","Missing technical premium. ","") &amp; IF($AF820="","Missing surplus lines tax %. ",""))))</f>
      </c>
      <c r="AY820" s="44">
        <f>IF($M820="","",IF(ISNUMBER($M820),IF($M820&gt;=Header!$C$18,"YES — refer","No"),""))</f>
      </c>
      <c r="AZ820" s="44">
        <f>IF($AD820="","",IF(ISNUMBER($AD820),IF($AD820&lt;Header!$C$20,"BELOW MIN PREMIUM","OK"),""))</f>
      </c>
      <c r="BA820" s="48" t="inlineStr">
        <is>
          <t xml:space="preserve">Yes</t>
        </is>
      </c>
      <c r="BB820" s="48" t="inlineStr">
        <is>
          <t xml:space="preserve">Yes</t>
        </is>
      </c>
      <c r="BC820" s="46" t="inlineStr">
        <is>
          <t xml:space="preserve">Synthetic demo data</t>
        </is>
      </c>
      <c r="BE820" s="45">
        <f>IF(OR($A820="",$L820="",$H820=""),"",IF(AND(LEFT($L820,2)="06",$H820&gt;1945),"FAIL - pre-war class, year "&amp;$H820,IF(AND(LEFT($L820,2)="07",OR($H820&lt;1946,$H820&gt;1972)),"FAIL - 1946-72 class, year "&amp;$H820,IF(AND(LEFT($L820,2)="08",OR($H820&lt;1973,$H820&gt;1999)),"FAIL - 1973-99 class, year "&amp;$H820,IF(AND(LEFT($L820,2)="09",OR($H820&lt;2000,$H820&gt;2010)),"FAIL - 2000-10 class, year "&amp;$H820,"OK")))))</f>
      </c>
      <c r="BF820" s="45">
        <f>IF($AD820="","",IF(ROUND($AO820+$AP820+$AQ820-$AD820,2)=0,"OK","FAIL - out by "&amp;TEXT($AO820+$AP820+$AQ820-$AD820,"$0.00")))</f>
      </c>
    </row>
    <row r="821" spans="1:58" ht="18.75" customHeight="1" x14ac:dyDescent="0.25">
      <c r="A821" s="30" t="inlineStr">
        <is>
          <t xml:space="preserve">CANON-202606-009524</t>
        </is>
      </c>
      <c r="B821" s="30" t="inlineStr">
        <is>
          <t xml:space="preserve">Anouk Rourke</t>
        </is>
      </c>
      <c r="C821" s="31">
        <v>46200</v>
      </c>
      <c r="D821" s="32" t="inlineStr">
        <is>
          <t xml:space="preserve">Bound - within authority</t>
        </is>
      </c>
      <c r="E821" s="32" t="inlineStr">
        <is>
          <t xml:space="preserve">New business</t>
        </is>
      </c>
      <c r="F821" s="30" t="inlineStr">
        <is>
          <t xml:space="preserve">B1234EXOTIC26</t>
        </is>
      </c>
      <c r="G821" s="33">
        <f>IF($A821="","",IF($C821="","",YEAR($C821)))</f>
      </c>
      <c r="H821" s="34">
        <v>2016</v>
      </c>
      <c r="I821" s="30" t="inlineStr">
        <is>
          <t xml:space="preserve">BMW</t>
        </is>
      </c>
      <c r="J821" s="30" t="inlineStr">
        <is>
          <t xml:space="preserve">M8 Competition</t>
        </is>
      </c>
      <c r="K821" s="30" t="inlineStr">
        <is>
          <t xml:space="preserve">WYJEFKRVH01BWWW0M</t>
        </is>
      </c>
      <c r="L821" s="32" t="inlineStr">
        <is>
          <t xml:space="preserve">02 - Sports / GT</t>
        </is>
      </c>
      <c r="M821" s="35">
        <v>430000</v>
      </c>
      <c r="N821" s="32" t="inlineStr">
        <is>
          <t xml:space="preserve">Personal</t>
        </is>
      </c>
      <c r="O821" s="30" t="inlineStr">
        <is>
          <t xml:space="preserve">Personal - regular use</t>
        </is>
      </c>
      <c r="P821" s="30" t="inlineStr">
        <is>
          <t xml:space="preserve">Under 1,000</t>
        </is>
      </c>
      <c r="Q821" s="30" t="inlineStr">
        <is>
          <t xml:space="preserve">Texas</t>
        </is>
      </c>
      <c r="R821" s="30" t="inlineStr">
        <is>
          <t xml:space="preserve">75201</t>
        </is>
      </c>
      <c r="S821" s="32" t="inlineStr">
        <is>
          <t xml:space="preserve">Tier 2 - Coastal wind (1-25 miles)</t>
        </is>
      </c>
      <c r="T821" s="36">
        <f>IF($A821="","",IF($S821="","",IFERROR(INDEX('[1]natural catastrophe'!$D$6:$D$17,MATCH($S821,'[1]natural catastrophe'!$B$6:$B$17,0)),"?")))</f>
      </c>
      <c r="U821" s="30" t="inlineStr">
        <is>
          <t xml:space="preserve">2% of agreed value, minimum $10,000</t>
        </is>
      </c>
      <c r="V821" s="32" t="inlineStr">
        <is>
          <t xml:space="preserve">Agreed Value</t>
        </is>
      </c>
      <c r="W821" s="30" t="inlineStr">
        <is>
          <t xml:space="preserve">$1,000</t>
        </is>
      </c>
      <c r="X821" s="32" t="inlineStr">
        <is>
          <t xml:space="preserve">$1,000,000 CSL</t>
        </is>
      </c>
      <c r="Y821" s="30"/>
      <c r="Z821" s="30"/>
      <c r="AA821" s="32" t="inlineStr">
        <is>
          <t xml:space="preserve">Surplus Lines</t>
        </is>
      </c>
      <c r="AB821" s="35">
        <v>5351.8</v>
      </c>
      <c r="AC821" s="37">
        <v>0</v>
      </c>
      <c r="AD821" s="38">
        <f>IF(ISNUMBER($AB821),$AB821*(1+N($AC821)),"")</f>
      </c>
      <c r="AE821" s="35">
        <v>350</v>
      </c>
      <c r="AF821" s="35">
        <v>0</v>
      </c>
      <c r="AG821" s="37"/>
      <c r="AH821" s="39">
        <f>IF(ISNUMBER($AD821),($AD821+$AE821+$AF821)*$AG821,"")</f>
      </c>
      <c r="AI821" s="35"/>
      <c r="AJ821" s="38">
        <f>IF(ISNUMBER($AD821),SUM($AD821:$AH821),"")</f>
      </c>
      <c r="AK821" s="40">
        <f>IF(AND(ISNUMBER($AB821),ISNUMBER($AD821)),IF($AB821&gt;0,$AD821/$AB821,""),"")</f>
      </c>
      <c r="AL821" s="32" t="inlineStr">
        <is>
          <t xml:space="preserve">At technical</t>
        </is>
      </c>
      <c r="AM821" s="41">
        <f>IF(ISNUMBER($AD821),Header!$I$3,"")</f>
      </c>
      <c r="AN821" s="39">
        <f>IF(ISNUMBER($AD821),$AO821+$AP821,"")</f>
      </c>
      <c r="AO821" s="39">
        <f>IF(ISNUMBER($AD821),ROUND($AD821*Header!$K$3,2),"")</f>
      </c>
      <c r="AP821" s="39">
        <f>IF(ISNUMBER($AD821),ROUND($AD821*Header!$M$3,2),"")</f>
      </c>
      <c r="AQ821" s="38">
        <f>IF(ISNUMBER($AD821),ROUND($AD821,2)-$AO821-$AP821,"")</f>
      </c>
      <c r="AR821" s="39">
        <f>IF(ISNUMBER($AD821),IF(Header!$D$34="","?",$AD821*Header!$D$34),"")</f>
      </c>
      <c r="AS821" s="39">
        <f>IF(ISNUMBER($AB821),IF(Header!$D$34="","?",$AB821*Header!$D$34),"")</f>
      </c>
      <c r="AT821" s="42">
        <f>IF(AND(ISNUMBER($AB821),$M821&gt;0),$AB821/$M821*100,"")</f>
      </c>
      <c r="AU821" s="42">
        <f>IF(AND(ISNUMBER($AD821),$M821&gt;0),$AD821/$M821*100,"")</f>
      </c>
      <c r="AV821" s="40">
        <f>IF(AND(ISNUMBER($AB821),ISNUMBER($AD821),ABS($AB821)&gt;0),$AD821/$AB821,"")</f>
      </c>
      <c r="AW821" s="39">
        <f>IF(ISNUMBER($AD821),MAX(0,(1-0.55-Header!$O$3)*Header!$Q$3*$AQ821),"")</f>
      </c>
      <c r="AX821" s="43">
        <f>IF($A821="","",IF(TRIM(IF($A821="","Missing certificate ref. ","") &amp; IF($C821="","Missing effective date. ","") &amp; IF($D821="","Missing binding status. ","") &amp; IF($E821="","Missing movement type. ","") &amp; IF($I821="","Missing make. ","") &amp; IF($L821="","Missing vehicle class. ","") &amp; IF($M821="","Missing agreed value. ","") &amp; IF($N821="","Missing policy type. ","") &amp; IF($Q821="","Missing garaging state. ","") &amp; IF($R821="","Missing garaging ZIP. ","") &amp; IF($S821="","Missing cat zone. ","") &amp; IF($V821="","Missing valuation basis. ","") &amp; IF($W821="","Missing PD deductible. ","") &amp; IF($X821="","Missing liability limit. ","") &amp; IF($AB821="","Missing technical premium. ","") &amp; IF($AF821="","Missing surplus lines tax %. ",""))="","PASS","FAIL: "&amp;TRIM(IF($A821="","Missing certificate ref. ","") &amp; IF($C821="","Missing effective date. ","") &amp; IF($D821="","Missing binding status. ","") &amp; IF($E821="","Missing movement type. ","") &amp; IF($I821="","Missing make. ","") &amp; IF($L821="","Missing vehicle class. ","") &amp; IF($M821="","Missing agreed value. ","") &amp; IF($N821="","Missing policy type. ","") &amp; IF($Q821="","Missing garaging state. ","") &amp; IF($R821="","Missing garaging ZIP. ","") &amp; IF($S821="","Missing cat zone. ","") &amp; IF($V821="","Missing valuation basis. ","") &amp; IF($W821="","Missing PD deductible. ","") &amp; IF($X821="","Missing liability limit. ","") &amp; IF($AB821="","Missing technical premium. ","") &amp; IF($AF821="","Missing surplus lines tax %. ",""))))</f>
      </c>
      <c r="AY821" s="44">
        <f>IF($M821="","",IF(ISNUMBER($M821),IF($M821&gt;=Header!$C$18,"YES — refer","No"),""))</f>
      </c>
      <c r="AZ821" s="44">
        <f>IF($AD821="","",IF(ISNUMBER($AD821),IF($AD821&lt;Header!$C$20,"BELOW MIN PREMIUM","OK"),""))</f>
      </c>
      <c r="BA821" s="32" t="inlineStr">
        <is>
          <t xml:space="preserve">Yes</t>
        </is>
      </c>
      <c r="BB821" s="32" t="inlineStr">
        <is>
          <t xml:space="preserve">Yes</t>
        </is>
      </c>
      <c r="BC821" s="30" t="inlineStr">
        <is>
          <t xml:space="preserve">Synthetic demo data</t>
        </is>
      </c>
      <c r="BE821" s="45">
        <f>IF(OR($A821="",$L821="",$H821=""),"",IF(AND(LEFT($L821,2)="06",$H821&gt;1945),"FAIL - pre-war class, year "&amp;$H821,IF(AND(LEFT($L821,2)="07",OR($H821&lt;1946,$H821&gt;1972)),"FAIL - 1946-72 class, year "&amp;$H821,IF(AND(LEFT($L821,2)="08",OR($H821&lt;1973,$H821&gt;1999)),"FAIL - 1973-99 class, year "&amp;$H821,IF(AND(LEFT($L821,2)="09",OR($H821&lt;2000,$H821&gt;2010)),"FAIL - 2000-10 class, year "&amp;$H821,"OK")))))</f>
      </c>
      <c r="BF821" s="45">
        <f>IF($AD821="","",IF(ROUND($AO821+$AP821+$AQ821-$AD821,2)=0,"OK","FAIL - out by "&amp;TEXT($AO821+$AP821+$AQ821-$AD821,"$0.00")))</f>
      </c>
    </row>
    <row r="822" spans="1:58" ht="18.75" customHeight="1" x14ac:dyDescent="0.25">
      <c r="A822" s="46" t="inlineStr">
        <is>
          <t xml:space="preserve">CANON-202606-009525</t>
        </is>
      </c>
      <c r="B822" s="46" t="inlineStr">
        <is>
          <t xml:space="preserve">Thaddeus Blackwood</t>
        </is>
      </c>
      <c r="C822" s="47">
        <v>46197</v>
      </c>
      <c r="D822" s="48" t="inlineStr">
        <is>
          <t xml:space="preserve">Bound - within authority</t>
        </is>
      </c>
      <c r="E822" s="48" t="inlineStr">
        <is>
          <t xml:space="preserve">New business</t>
        </is>
      </c>
      <c r="F822" s="46" t="inlineStr">
        <is>
          <t xml:space="preserve">B1234EXOTIC26</t>
        </is>
      </c>
      <c r="G822" s="33">
        <f>IF($A822="","",IF($C822="","",YEAR($C822)))</f>
      </c>
      <c r="H822" s="49">
        <v>2019</v>
      </c>
      <c r="I822" s="46" t="inlineStr">
        <is>
          <t xml:space="preserve">Aston Martin</t>
        </is>
      </c>
      <c r="J822" s="46" t="inlineStr">
        <is>
          <t xml:space="preserve">DB12</t>
        </is>
      </c>
      <c r="K822" s="46" t="inlineStr">
        <is>
          <t xml:space="preserve">7N9RW8SGDRY5UT7UN</t>
        </is>
      </c>
      <c r="L822" s="48" t="inlineStr">
        <is>
          <t xml:space="preserve">02 - Sports / GT</t>
        </is>
      </c>
      <c r="M822" s="50">
        <v>245000</v>
      </c>
      <c r="N822" s="48" t="inlineStr">
        <is>
          <t xml:space="preserve">Personal</t>
        </is>
      </c>
      <c r="O822" s="46" t="inlineStr">
        <is>
          <t xml:space="preserve">Personal - regular use</t>
        </is>
      </c>
      <c r="P822" s="46" t="inlineStr">
        <is>
          <t xml:space="preserve">2,500 - 5,000</t>
        </is>
      </c>
      <c r="Q822" s="46" t="inlineStr">
        <is>
          <t xml:space="preserve">Minnesota</t>
        </is>
      </c>
      <c r="R822" s="46" t="inlineStr">
        <is>
          <t xml:space="preserve">55401</t>
        </is>
      </c>
      <c r="S822" s="48" t="inlineStr">
        <is>
          <t xml:space="preserve">Severe convective - hail / tornado (moderate)</t>
        </is>
      </c>
      <c r="T822" s="36">
        <f>IF($A822="","",IF($S822="","",IFERROR(INDEX('[1]natural catastrophe'!$D$6:$D$17,MATCH($S822,'[1]natural catastrophe'!$B$6:$B$17,0)),"?")))</f>
      </c>
      <c r="U822" s="46" t="inlineStr">
        <is>
          <t xml:space="preserve">$5,000</t>
        </is>
      </c>
      <c r="V822" s="48" t="inlineStr">
        <is>
          <t xml:space="preserve">Agreed Value</t>
        </is>
      </c>
      <c r="W822" s="46" t="inlineStr">
        <is>
          <t xml:space="preserve">$1,000</t>
        </is>
      </c>
      <c r="X822" s="48" t="inlineStr">
        <is>
          <t xml:space="preserve">$1,000,000 CSL</t>
        </is>
      </c>
      <c r="Y822" s="46"/>
      <c r="Z822" s="46"/>
      <c r="AA822" s="48" t="inlineStr">
        <is>
          <t xml:space="preserve">Surplus Lines</t>
        </is>
      </c>
      <c r="AB822" s="50">
        <v>4293.39</v>
      </c>
      <c r="AC822" s="51">
        <v>0</v>
      </c>
      <c r="AD822" s="38">
        <f>IF(ISNUMBER($AB822),$AB822*(1+N($AC822)),"")</f>
      </c>
      <c r="AE822" s="50">
        <v>350</v>
      </c>
      <c r="AF822" s="50">
        <v>0</v>
      </c>
      <c r="AG822" s="51"/>
      <c r="AH822" s="39">
        <f>IF(ISNUMBER($AD822),($AD822+$AE822+$AF822)*$AG822,"")</f>
      </c>
      <c r="AI822" s="50"/>
      <c r="AJ822" s="38">
        <f>IF(ISNUMBER($AD822),SUM($AD822:$AH822),"")</f>
      </c>
      <c r="AK822" s="40">
        <f>IF(AND(ISNUMBER($AB822),ISNUMBER($AD822)),IF($AB822&gt;0,$AD822/$AB822,""),"")</f>
      </c>
      <c r="AL822" s="48" t="inlineStr">
        <is>
          <t xml:space="preserve">At technical</t>
        </is>
      </c>
      <c r="AM822" s="41">
        <f>IF(ISNUMBER($AD822),Header!$I$3,"")</f>
      </c>
      <c r="AN822" s="39">
        <f>IF(ISNUMBER($AD822),$AO822+$AP822,"")</f>
      </c>
      <c r="AO822" s="39">
        <f>IF(ISNUMBER($AD822),ROUND($AD822*Header!$K$3,2),"")</f>
      </c>
      <c r="AP822" s="39">
        <f>IF(ISNUMBER($AD822),ROUND($AD822*Header!$M$3,2),"")</f>
      </c>
      <c r="AQ822" s="38">
        <f>IF(ISNUMBER($AD822),ROUND($AD822,2)-$AO822-$AP822,"")</f>
      </c>
      <c r="AR822" s="39">
        <f>IF(ISNUMBER($AD822),IF(Header!$D$34="","?",$AD822*Header!$D$34),"")</f>
      </c>
      <c r="AS822" s="39">
        <f>IF(ISNUMBER($AB822),IF(Header!$D$34="","?",$AB822*Header!$D$34),"")</f>
      </c>
      <c r="AT822" s="42">
        <f>IF(AND(ISNUMBER($AB822),$M822&gt;0),$AB822/$M822*100,"")</f>
      </c>
      <c r="AU822" s="42">
        <f>IF(AND(ISNUMBER($AD822),$M822&gt;0),$AD822/$M822*100,"")</f>
      </c>
      <c r="AV822" s="40">
        <f>IF(AND(ISNUMBER($AB822),ISNUMBER($AD822),ABS($AB822)&gt;0),$AD822/$AB822,"")</f>
      </c>
      <c r="AW822" s="39">
        <f>IF(ISNUMBER($AD822),MAX(0,(1-0.55-Header!$O$3)*Header!$Q$3*$AQ822),"")</f>
      </c>
      <c r="AX822" s="43">
        <f>IF($A822="","",IF(TRIM(IF($A822="","Missing certificate ref. ","") &amp; IF($C822="","Missing effective date. ","") &amp; IF($D822="","Missing binding status. ","") &amp; IF($E822="","Missing movement type. ","") &amp; IF($I822="","Missing make. ","") &amp; IF($L822="","Missing vehicle class. ","") &amp; IF($M822="","Missing agreed value. ","") &amp; IF($N822="","Missing policy type. ","") &amp; IF($Q822="","Missing garaging state. ","") &amp; IF($R822="","Missing garaging ZIP. ","") &amp; IF($S822="","Missing cat zone. ","") &amp; IF($V822="","Missing valuation basis. ","") &amp; IF($W822="","Missing PD deductible. ","") &amp; IF($X822="","Missing liability limit. ","") &amp; IF($AB822="","Missing technical premium. ","") &amp; IF($AF822="","Missing surplus lines tax %. ",""))="","PASS","FAIL: "&amp;TRIM(IF($A822="","Missing certificate ref. ","") &amp; IF($C822="","Missing effective date. ","") &amp; IF($D822="","Missing binding status. ","") &amp; IF($E822="","Missing movement type. ","") &amp; IF($I822="","Missing make. ","") &amp; IF($L822="","Missing vehicle class. ","") &amp; IF($M822="","Missing agreed value. ","") &amp; IF($N822="","Missing policy type. ","") &amp; IF($Q822="","Missing garaging state. ","") &amp; IF($R822="","Missing garaging ZIP. ","") &amp; IF($S822="","Missing cat zone. ","") &amp; IF($V822="","Missing valuation basis. ","") &amp; IF($W822="","Missing PD deductible. ","") &amp; IF($X822="","Missing liability limit. ","") &amp; IF($AB822="","Missing technical premium. ","") &amp; IF($AF822="","Missing surplus lines tax %. ",""))))</f>
      </c>
      <c r="AY822" s="44">
        <f>IF($M822="","",IF(ISNUMBER($M822),IF($M822&gt;=Header!$C$18,"YES — refer","No"),""))</f>
      </c>
      <c r="AZ822" s="44">
        <f>IF($AD822="","",IF(ISNUMBER($AD822),IF($AD822&lt;Header!$C$20,"BELOW MIN PREMIUM","OK"),""))</f>
      </c>
      <c r="BA822" s="48" t="inlineStr">
        <is>
          <t xml:space="preserve">Yes</t>
        </is>
      </c>
      <c r="BB822" s="48" t="inlineStr">
        <is>
          <t xml:space="preserve">Yes</t>
        </is>
      </c>
      <c r="BC822" s="46" t="inlineStr">
        <is>
          <t xml:space="preserve">Synthetic demo data</t>
        </is>
      </c>
      <c r="BE822" s="45">
        <f>IF(OR($A822="",$L822="",$H822=""),"",IF(AND(LEFT($L822,2)="06",$H822&gt;1945),"FAIL - pre-war class, year "&amp;$H822,IF(AND(LEFT($L822,2)="07",OR($H822&lt;1946,$H822&gt;1972)),"FAIL - 1946-72 class, year "&amp;$H822,IF(AND(LEFT($L822,2)="08",OR($H822&lt;1973,$H822&gt;1999)),"FAIL - 1973-99 class, year "&amp;$H822,IF(AND(LEFT($L822,2)="09",OR($H822&lt;2000,$H822&gt;2010)),"FAIL - 2000-10 class, year "&amp;$H822,"OK")))))</f>
      </c>
      <c r="BF822" s="45">
        <f>IF($AD822="","",IF(ROUND($AO822+$AP822+$AQ822-$AD822,2)=0,"OK","FAIL - out by "&amp;TEXT($AO822+$AP822+$AQ822-$AD822,"$0.00")))</f>
      </c>
    </row>
    <row r="823" spans="1:58" ht="18.75" customHeight="1" x14ac:dyDescent="0.25">
      <c r="A823" s="30" t="inlineStr">
        <is>
          <t xml:space="preserve">CANON-202606-009526</t>
        </is>
      </c>
      <c r="B823" s="30" t="inlineStr">
        <is>
          <t xml:space="preserve">Everett Nakashima</t>
        </is>
      </c>
      <c r="C823" s="31">
        <v>46197</v>
      </c>
      <c r="D823" s="32" t="inlineStr">
        <is>
          <t xml:space="preserve">Bound - within authority</t>
        </is>
      </c>
      <c r="E823" s="32" t="inlineStr">
        <is>
          <t xml:space="preserve">New business</t>
        </is>
      </c>
      <c r="F823" s="30" t="inlineStr">
        <is>
          <t xml:space="preserve">B1234EXOTIC26</t>
        </is>
      </c>
      <c r="G823" s="33">
        <f>IF($A823="","",IF($C823="","",YEAR($C823)))</f>
      </c>
      <c r="H823" s="34">
        <v>2011</v>
      </c>
      <c r="I823" s="30" t="inlineStr">
        <is>
          <t xml:space="preserve">Bentley</t>
        </is>
      </c>
      <c r="J823" s="30" t="inlineStr">
        <is>
          <t xml:space="preserve">Continental GT</t>
        </is>
      </c>
      <c r="K823" s="30" t="inlineStr">
        <is>
          <t xml:space="preserve">EWA69NE1K20RRCMJ4</t>
        </is>
      </c>
      <c r="L823" s="32" t="inlineStr">
        <is>
          <t xml:space="preserve">02 - Sports / GT</t>
        </is>
      </c>
      <c r="M823" s="35">
        <v>365000</v>
      </c>
      <c r="N823" s="32" t="inlineStr">
        <is>
          <t xml:space="preserve">Personal</t>
        </is>
      </c>
      <c r="O823" s="30" t="inlineStr">
        <is>
          <t xml:space="preserve">Personal - regular use</t>
        </is>
      </c>
      <c r="P823" s="30" t="inlineStr">
        <is>
          <t xml:space="preserve">Under 1,000</t>
        </is>
      </c>
      <c r="Q823" s="30" t="inlineStr">
        <is>
          <t xml:space="preserve">Maryland</t>
        </is>
      </c>
      <c r="R823" s="30" t="inlineStr">
        <is>
          <t xml:space="preserve">21201</t>
        </is>
      </c>
      <c r="S823" s="32" t="inlineStr">
        <is>
          <t xml:space="preserve">Tier 3 - Coastal wind (25-100 miles)</t>
        </is>
      </c>
      <c r="T823" s="36">
        <f>IF($A823="","",IF($S823="","",IFERROR(INDEX('[1]natural catastrophe'!$D$6:$D$17,MATCH($S823,'[1]natural catastrophe'!$B$6:$B$17,0)),"?")))</f>
      </c>
      <c r="U823" s="30" t="inlineStr">
        <is>
          <t xml:space="preserve">2% of agreed value, minimum $10,000</t>
        </is>
      </c>
      <c r="V823" s="32" t="inlineStr">
        <is>
          <t xml:space="preserve">Agreed Value</t>
        </is>
      </c>
      <c r="W823" s="30" t="inlineStr">
        <is>
          <t xml:space="preserve">$1,000</t>
        </is>
      </c>
      <c r="X823" s="32" t="inlineStr">
        <is>
          <t xml:space="preserve">$1,000,000 CSL</t>
        </is>
      </c>
      <c r="Y823" s="30"/>
      <c r="Z823" s="30"/>
      <c r="AA823" s="32" t="inlineStr">
        <is>
          <t xml:space="preserve">Surplus Lines</t>
        </is>
      </c>
      <c r="AB823" s="35">
        <v>3752.75</v>
      </c>
      <c r="AC823" s="37">
        <v>0</v>
      </c>
      <c r="AD823" s="38">
        <f>IF(ISNUMBER($AB823),$AB823*(1+N($AC823)),"")</f>
      </c>
      <c r="AE823" s="35">
        <v>350</v>
      </c>
      <c r="AF823" s="35">
        <v>0</v>
      </c>
      <c r="AG823" s="37"/>
      <c r="AH823" s="39">
        <f>IF(ISNUMBER($AD823),($AD823+$AE823+$AF823)*$AG823,"")</f>
      </c>
      <c r="AI823" s="35"/>
      <c r="AJ823" s="38">
        <f>IF(ISNUMBER($AD823),SUM($AD823:$AH823),"")</f>
      </c>
      <c r="AK823" s="40">
        <f>IF(AND(ISNUMBER($AB823),ISNUMBER($AD823)),IF($AB823&gt;0,$AD823/$AB823,""),"")</f>
      </c>
      <c r="AL823" s="32" t="inlineStr">
        <is>
          <t xml:space="preserve">At technical</t>
        </is>
      </c>
      <c r="AM823" s="41">
        <f>IF(ISNUMBER($AD823),Header!$I$3,"")</f>
      </c>
      <c r="AN823" s="39">
        <f>IF(ISNUMBER($AD823),$AO823+$AP823,"")</f>
      </c>
      <c r="AO823" s="39">
        <f>IF(ISNUMBER($AD823),ROUND($AD823*Header!$K$3,2),"")</f>
      </c>
      <c r="AP823" s="39">
        <f>IF(ISNUMBER($AD823),ROUND($AD823*Header!$M$3,2),"")</f>
      </c>
      <c r="AQ823" s="38">
        <f>IF(ISNUMBER($AD823),ROUND($AD823,2)-$AO823-$AP823,"")</f>
      </c>
      <c r="AR823" s="39">
        <f>IF(ISNUMBER($AD823),IF(Header!$D$34="","?",$AD823*Header!$D$34),"")</f>
      </c>
      <c r="AS823" s="39">
        <f>IF(ISNUMBER($AB823),IF(Header!$D$34="","?",$AB823*Header!$D$34),"")</f>
      </c>
      <c r="AT823" s="42">
        <f>IF(AND(ISNUMBER($AB823),$M823&gt;0),$AB823/$M823*100,"")</f>
      </c>
      <c r="AU823" s="42">
        <f>IF(AND(ISNUMBER($AD823),$M823&gt;0),$AD823/$M823*100,"")</f>
      </c>
      <c r="AV823" s="40">
        <f>IF(AND(ISNUMBER($AB823),ISNUMBER($AD823),ABS($AB823)&gt;0),$AD823/$AB823,"")</f>
      </c>
      <c r="AW823" s="39">
        <f>IF(ISNUMBER($AD823),MAX(0,(1-0.55-Header!$O$3)*Header!$Q$3*$AQ823),"")</f>
      </c>
      <c r="AX823" s="43">
        <f>IF($A823="","",IF(TRIM(IF($A823="","Missing certificate ref. ","") &amp; IF($C823="","Missing effective date. ","") &amp; IF($D823="","Missing binding status. ","") &amp; IF($E823="","Missing movement type. ","") &amp; IF($I823="","Missing make. ","") &amp; IF($L823="","Missing vehicle class. ","") &amp; IF($M823="","Missing agreed value. ","") &amp; IF($N823="","Missing policy type. ","") &amp; IF($Q823="","Missing garaging state. ","") &amp; IF($R823="","Missing garaging ZIP. ","") &amp; IF($S823="","Missing cat zone. ","") &amp; IF($V823="","Missing valuation basis. ","") &amp; IF($W823="","Missing PD deductible. ","") &amp; IF($X823="","Missing liability limit. ","") &amp; IF($AB823="","Missing technical premium. ","") &amp; IF($AF823="","Missing surplus lines tax %. ",""))="","PASS","FAIL: "&amp;TRIM(IF($A823="","Missing certificate ref. ","") &amp; IF($C823="","Missing effective date. ","") &amp; IF($D823="","Missing binding status. ","") &amp; IF($E823="","Missing movement type. ","") &amp; IF($I823="","Missing make. ","") &amp; IF($L823="","Missing vehicle class. ","") &amp; IF($M823="","Missing agreed value. ","") &amp; IF($N823="","Missing policy type. ","") &amp; IF($Q823="","Missing garaging state. ","") &amp; IF($R823="","Missing garaging ZIP. ","") &amp; IF($S823="","Missing cat zone. ","") &amp; IF($V823="","Missing valuation basis. ","") &amp; IF($W823="","Missing PD deductible. ","") &amp; IF($X823="","Missing liability limit. ","") &amp; IF($AB823="","Missing technical premium. ","") &amp; IF($AF823="","Missing surplus lines tax %. ",""))))</f>
      </c>
      <c r="AY823" s="44">
        <f>IF($M823="","",IF(ISNUMBER($M823),IF($M823&gt;=Header!$C$18,"YES — refer","No"),""))</f>
      </c>
      <c r="AZ823" s="44">
        <f>IF($AD823="","",IF(ISNUMBER($AD823),IF($AD823&lt;Header!$C$20,"BELOW MIN PREMIUM","OK"),""))</f>
      </c>
      <c r="BA823" s="32" t="inlineStr">
        <is>
          <t xml:space="preserve">Yes</t>
        </is>
      </c>
      <c r="BB823" s="32" t="inlineStr">
        <is>
          <t xml:space="preserve">Yes</t>
        </is>
      </c>
      <c r="BC823" s="30" t="inlineStr">
        <is>
          <t xml:space="preserve">Synthetic demo data</t>
        </is>
      </c>
      <c r="BE823" s="45">
        <f>IF(OR($A823="",$L823="",$H823=""),"",IF(AND(LEFT($L823,2)="06",$H823&gt;1945),"FAIL - pre-war class, year "&amp;$H823,IF(AND(LEFT($L823,2)="07",OR($H823&lt;1946,$H823&gt;1972)),"FAIL - 1946-72 class, year "&amp;$H823,IF(AND(LEFT($L823,2)="08",OR($H823&lt;1973,$H823&gt;1999)),"FAIL - 1973-99 class, year "&amp;$H823,IF(AND(LEFT($L823,2)="09",OR($H823&lt;2000,$H823&gt;2010)),"FAIL - 2000-10 class, year "&amp;$H823,"OK")))))</f>
      </c>
      <c r="BF823" s="45">
        <f>IF($AD823="","",IF(ROUND($AO823+$AP823+$AQ823-$AD823,2)=0,"OK","FAIL - out by "&amp;TEXT($AO823+$AP823+$AQ823-$AD823,"$0.00")))</f>
      </c>
    </row>
    <row r="824" spans="1:58" ht="18.75" customHeight="1" x14ac:dyDescent="0.25">
      <c r="A824" s="46" t="inlineStr">
        <is>
          <t xml:space="preserve">CANON-202606-009527</t>
        </is>
      </c>
      <c r="B824" s="46" t="inlineStr">
        <is>
          <t xml:space="preserve">Emiliano Bellandi</t>
        </is>
      </c>
      <c r="C824" s="47">
        <v>46184</v>
      </c>
      <c r="D824" s="48" t="inlineStr">
        <is>
          <t xml:space="preserve">Bound - within authority</t>
        </is>
      </c>
      <c r="E824" s="48" t="inlineStr">
        <is>
          <t xml:space="preserve">New business</t>
        </is>
      </c>
      <c r="F824" s="46" t="inlineStr">
        <is>
          <t xml:space="preserve">B1234EXOTIC26</t>
        </is>
      </c>
      <c r="G824" s="33">
        <f>IF($A824="","",IF($C824="","",YEAR($C824)))</f>
      </c>
      <c r="H824" s="49">
        <v>1980</v>
      </c>
      <c r="I824" s="46" t="inlineStr">
        <is>
          <t xml:space="preserve">Bentley</t>
        </is>
      </c>
      <c r="J824" s="46" t="inlineStr">
        <is>
          <t xml:space="preserve">Continental GT</t>
        </is>
      </c>
      <c r="K824" s="46" t="inlineStr">
        <is>
          <t xml:space="preserve">WATXLPW3X2WABEM6G</t>
        </is>
      </c>
      <c r="L824" s="48" t="inlineStr">
        <is>
          <t xml:space="preserve">02 - Sports / GT</t>
        </is>
      </c>
      <c r="M824" s="50">
        <v>585000</v>
      </c>
      <c r="N824" s="48" t="inlineStr">
        <is>
          <t xml:space="preserve">Personal</t>
        </is>
      </c>
      <c r="O824" s="46" t="inlineStr">
        <is>
          <t xml:space="preserve">Personal - regular use</t>
        </is>
      </c>
      <c r="P824" s="46" t="inlineStr">
        <is>
          <t xml:space="preserve">Under 1,000</t>
        </is>
      </c>
      <c r="Q824" s="46" t="inlineStr">
        <is>
          <t xml:space="preserve">California</t>
        </is>
      </c>
      <c r="R824" s="46" t="inlineStr">
        <is>
          <t xml:space="preserve">90012</t>
        </is>
      </c>
      <c r="S824" s="48" t="inlineStr">
        <is>
          <t xml:space="preserve">Earthquake - high (CA, Cascadia, New Madrid)</t>
        </is>
      </c>
      <c r="T824" s="36">
        <f>IF($A824="","",IF($S824="","",IFERROR(INDEX('[1]natural catastrophe'!$D$6:$D$17,MATCH($S824,'[1]natural catastrophe'!$B$6:$B$17,0)),"?")))</f>
      </c>
      <c r="U824" s="46" t="inlineStr">
        <is>
          <t xml:space="preserve">$5,000</t>
        </is>
      </c>
      <c r="V824" s="48" t="inlineStr">
        <is>
          <t xml:space="preserve">Agreed Value</t>
        </is>
      </c>
      <c r="W824" s="46" t="inlineStr">
        <is>
          <t xml:space="preserve">$1,000</t>
        </is>
      </c>
      <c r="X824" s="48" t="inlineStr">
        <is>
          <t xml:space="preserve">$1,000,000 CSL</t>
        </is>
      </c>
      <c r="Y824" s="46"/>
      <c r="Z824" s="46"/>
      <c r="AA824" s="48" t="inlineStr">
        <is>
          <t xml:space="preserve">Surplus Lines</t>
        </is>
      </c>
      <c r="AB824" s="50">
        <v>7407.55</v>
      </c>
      <c r="AC824" s="51">
        <v>0</v>
      </c>
      <c r="AD824" s="38">
        <f>IF(ISNUMBER($AB824),$AB824*(1+N($AC824)),"")</f>
      </c>
      <c r="AE824" s="50">
        <v>350</v>
      </c>
      <c r="AF824" s="50">
        <v>0</v>
      </c>
      <c r="AG824" s="51"/>
      <c r="AH824" s="39">
        <f>IF(ISNUMBER($AD824),($AD824+$AE824+$AF824)*$AG824,"")</f>
      </c>
      <c r="AI824" s="50"/>
      <c r="AJ824" s="38">
        <f>IF(ISNUMBER($AD824),SUM($AD824:$AH824),"")</f>
      </c>
      <c r="AK824" s="40">
        <f>IF(AND(ISNUMBER($AB824),ISNUMBER($AD824)),IF($AB824&gt;0,$AD824/$AB824,""),"")</f>
      </c>
      <c r="AL824" s="48" t="inlineStr">
        <is>
          <t xml:space="preserve">At technical</t>
        </is>
      </c>
      <c r="AM824" s="41">
        <f>IF(ISNUMBER($AD824),Header!$I$3,"")</f>
      </c>
      <c r="AN824" s="39">
        <f>IF(ISNUMBER($AD824),$AO824+$AP824,"")</f>
      </c>
      <c r="AO824" s="39">
        <f>IF(ISNUMBER($AD824),ROUND($AD824*Header!$K$3,2),"")</f>
      </c>
      <c r="AP824" s="39">
        <f>IF(ISNUMBER($AD824),ROUND($AD824*Header!$M$3,2),"")</f>
      </c>
      <c r="AQ824" s="38">
        <f>IF(ISNUMBER($AD824),ROUND($AD824,2)-$AO824-$AP824,"")</f>
      </c>
      <c r="AR824" s="39">
        <f>IF(ISNUMBER($AD824),IF(Header!$D$34="","?",$AD824*Header!$D$34),"")</f>
      </c>
      <c r="AS824" s="39">
        <f>IF(ISNUMBER($AB824),IF(Header!$D$34="","?",$AB824*Header!$D$34),"")</f>
      </c>
      <c r="AT824" s="42">
        <f>IF(AND(ISNUMBER($AB824),$M824&gt;0),$AB824/$M824*100,"")</f>
      </c>
      <c r="AU824" s="42">
        <f>IF(AND(ISNUMBER($AD824),$M824&gt;0),$AD824/$M824*100,"")</f>
      </c>
      <c r="AV824" s="40">
        <f>IF(AND(ISNUMBER($AB824),ISNUMBER($AD824),ABS($AB824)&gt;0),$AD824/$AB824,"")</f>
      </c>
      <c r="AW824" s="39">
        <f>IF(ISNUMBER($AD824),MAX(0,(1-0.55-Header!$O$3)*Header!$Q$3*$AQ824),"")</f>
      </c>
      <c r="AX824" s="43">
        <f>IF($A824="","",IF(TRIM(IF($A824="","Missing certificate ref. ","") &amp; IF($C824="","Missing effective date. ","") &amp; IF($D824="","Missing binding status. ","") &amp; IF($E824="","Missing movement type. ","") &amp; IF($I824="","Missing make. ","") &amp; IF($L824="","Missing vehicle class. ","") &amp; IF($M824="","Missing agreed value. ","") &amp; IF($N824="","Missing policy type. ","") &amp; IF($Q824="","Missing garaging state. ","") &amp; IF($R824="","Missing garaging ZIP. ","") &amp; IF($S824="","Missing cat zone. ","") &amp; IF($V824="","Missing valuation basis. ","") &amp; IF($W824="","Missing PD deductible. ","") &amp; IF($X824="","Missing liability limit. ","") &amp; IF($AB824="","Missing technical premium. ","") &amp; IF($AF824="","Missing surplus lines tax %. ",""))="","PASS","FAIL: "&amp;TRIM(IF($A824="","Missing certificate ref. ","") &amp; IF($C824="","Missing effective date. ","") &amp; IF($D824="","Missing binding status. ","") &amp; IF($E824="","Missing movement type. ","") &amp; IF($I824="","Missing make. ","") &amp; IF($L824="","Missing vehicle class. ","") &amp; IF($M824="","Missing agreed value. ","") &amp; IF($N824="","Missing policy type. ","") &amp; IF($Q824="","Missing garaging state. ","") &amp; IF($R824="","Missing garaging ZIP. ","") &amp; IF($S824="","Missing cat zone. ","") &amp; IF($V824="","Missing valuation basis. ","") &amp; IF($W824="","Missing PD deductible. ","") &amp; IF($X824="","Missing liability limit. ","") &amp; IF($AB824="","Missing technical premium. ","") &amp; IF($AF824="","Missing surplus lines tax %. ",""))))</f>
      </c>
      <c r="AY824" s="44">
        <f>IF($M824="","",IF(ISNUMBER($M824),IF($M824&gt;=Header!$C$18,"YES — refer","No"),""))</f>
      </c>
      <c r="AZ824" s="44">
        <f>IF($AD824="","",IF(ISNUMBER($AD824),IF($AD824&lt;Header!$C$20,"BELOW MIN PREMIUM","OK"),""))</f>
      </c>
      <c r="BA824" s="48" t="inlineStr">
        <is>
          <t xml:space="preserve">Yes</t>
        </is>
      </c>
      <c r="BB824" s="48" t="inlineStr">
        <is>
          <t xml:space="preserve">Yes</t>
        </is>
      </c>
      <c r="BC824" s="46" t="inlineStr">
        <is>
          <t xml:space="preserve">Synthetic demo data</t>
        </is>
      </c>
      <c r="BE824" s="45">
        <f>IF(OR($A824="",$L824="",$H824=""),"",IF(AND(LEFT($L824,2)="06",$H824&gt;1945),"FAIL - pre-war class, year "&amp;$H824,IF(AND(LEFT($L824,2)="07",OR($H824&lt;1946,$H824&gt;1972)),"FAIL - 1946-72 class, year "&amp;$H824,IF(AND(LEFT($L824,2)="08",OR($H824&lt;1973,$H824&gt;1999)),"FAIL - 1973-99 class, year "&amp;$H824,IF(AND(LEFT($L824,2)="09",OR($H824&lt;2000,$H824&gt;2010)),"FAIL - 2000-10 class, year "&amp;$H824,"OK")))))</f>
      </c>
      <c r="BF824" s="45">
        <f>IF($AD824="","",IF(ROUND($AO824+$AP824+$AQ824-$AD824,2)=0,"OK","FAIL - out by "&amp;TEXT($AO824+$AP824+$AQ824-$AD824,"$0.00")))</f>
      </c>
    </row>
    <row r="825" spans="1:58" ht="18.75" customHeight="1" x14ac:dyDescent="0.25">
      <c r="A825" s="30" t="inlineStr">
        <is>
          <t xml:space="preserve">CANON-202606-009528</t>
        </is>
      </c>
      <c r="B825" s="30" t="inlineStr">
        <is>
          <t xml:space="preserve">Beatrix Pennington</t>
        </is>
      </c>
      <c r="C825" s="31">
        <v>46187</v>
      </c>
      <c r="D825" s="32" t="inlineStr">
        <is>
          <t xml:space="preserve">Bound - within authority</t>
        </is>
      </c>
      <c r="E825" s="32" t="inlineStr">
        <is>
          <t xml:space="preserve">New business</t>
        </is>
      </c>
      <c r="F825" s="30" t="inlineStr">
        <is>
          <t xml:space="preserve">B1234EXOTIC26</t>
        </is>
      </c>
      <c r="G825" s="33">
        <f>IF($A825="","",IF($C825="","",YEAR($C825)))</f>
      </c>
      <c r="H825" s="34">
        <v>1971</v>
      </c>
      <c r="I825" s="30" t="inlineStr">
        <is>
          <t xml:space="preserve">Bentley</t>
        </is>
      </c>
      <c r="J825" s="30" t="inlineStr">
        <is>
          <t xml:space="preserve">Continental GT</t>
        </is>
      </c>
      <c r="K825" s="30" t="inlineStr">
        <is>
          <t xml:space="preserve">8LMUJPRJJM30Y2KNS</t>
        </is>
      </c>
      <c r="L825" s="32" t="inlineStr">
        <is>
          <t xml:space="preserve">02 - Sports / GT</t>
        </is>
      </c>
      <c r="M825" s="35">
        <v>1030000</v>
      </c>
      <c r="N825" s="32" t="inlineStr">
        <is>
          <t xml:space="preserve">Personal</t>
        </is>
      </c>
      <c r="O825" s="30" t="inlineStr">
        <is>
          <t xml:space="preserve">Personal - regular use</t>
        </is>
      </c>
      <c r="P825" s="30" t="inlineStr">
        <is>
          <t xml:space="preserve">Under 1,000</t>
        </is>
      </c>
      <c r="Q825" s="30" t="inlineStr">
        <is>
          <t xml:space="preserve">Hawaii</t>
        </is>
      </c>
      <c r="R825" s="30" t="inlineStr">
        <is>
          <t xml:space="preserve">96813</t>
        </is>
      </c>
      <c r="S825" s="32" t="inlineStr">
        <is>
          <t xml:space="preserve">Earthquake - high (CA, Cascadia, New Madrid)</t>
        </is>
      </c>
      <c r="T825" s="36">
        <f>IF($A825="","",IF($S825="","",IFERROR(INDEX('[1]natural catastrophe'!$D$6:$D$17,MATCH($S825,'[1]natural catastrophe'!$B$6:$B$17,0)),"?")))</f>
      </c>
      <c r="U825" s="30" t="inlineStr">
        <is>
          <t xml:space="preserve">$5,000</t>
        </is>
      </c>
      <c r="V825" s="32" t="inlineStr">
        <is>
          <t xml:space="preserve">Agreed Value</t>
        </is>
      </c>
      <c r="W825" s="30" t="inlineStr">
        <is>
          <t xml:space="preserve">$1,000</t>
        </is>
      </c>
      <c r="X825" s="32" t="inlineStr">
        <is>
          <t xml:space="preserve">$1,000,000 CSL</t>
        </is>
      </c>
      <c r="Y825" s="30"/>
      <c r="Z825" s="30"/>
      <c r="AA825" s="32" t="inlineStr">
        <is>
          <t xml:space="preserve">Surplus Lines</t>
        </is>
      </c>
      <c r="AB825" s="35">
        <v>10627.11</v>
      </c>
      <c r="AC825" s="37">
        <v>0</v>
      </c>
      <c r="AD825" s="38">
        <f>IF(ISNUMBER($AB825),$AB825*(1+N($AC825)),"")</f>
      </c>
      <c r="AE825" s="35">
        <v>350</v>
      </c>
      <c r="AF825" s="35">
        <v>250</v>
      </c>
      <c r="AG825" s="37"/>
      <c r="AH825" s="39">
        <f>IF(ISNUMBER($AD825),($AD825+$AE825+$AF825)*$AG825,"")</f>
      </c>
      <c r="AI825" s="35"/>
      <c r="AJ825" s="38">
        <f>IF(ISNUMBER($AD825),SUM($AD825:$AH825),"")</f>
      </c>
      <c r="AK825" s="40">
        <f>IF(AND(ISNUMBER($AB825),ISNUMBER($AD825)),IF($AB825&gt;0,$AD825/$AB825,""),"")</f>
      </c>
      <c r="AL825" s="32" t="inlineStr">
        <is>
          <t xml:space="preserve">At technical</t>
        </is>
      </c>
      <c r="AM825" s="41">
        <f>IF(ISNUMBER($AD825),Header!$I$3,"")</f>
      </c>
      <c r="AN825" s="39">
        <f>IF(ISNUMBER($AD825),$AO825+$AP825,"")</f>
      </c>
      <c r="AO825" s="39">
        <f>IF(ISNUMBER($AD825),ROUND($AD825*Header!$K$3,2),"")</f>
      </c>
      <c r="AP825" s="39">
        <f>IF(ISNUMBER($AD825),ROUND($AD825*Header!$M$3,2),"")</f>
      </c>
      <c r="AQ825" s="38">
        <f>IF(ISNUMBER($AD825),ROUND($AD825,2)-$AO825-$AP825,"")</f>
      </c>
      <c r="AR825" s="39">
        <f>IF(ISNUMBER($AD825),IF(Header!$D$34="","?",$AD825*Header!$D$34),"")</f>
      </c>
      <c r="AS825" s="39">
        <f>IF(ISNUMBER($AB825),IF(Header!$D$34="","?",$AB825*Header!$D$34),"")</f>
      </c>
      <c r="AT825" s="42">
        <f>IF(AND(ISNUMBER($AB825),$M825&gt;0),$AB825/$M825*100,"")</f>
      </c>
      <c r="AU825" s="42">
        <f>IF(AND(ISNUMBER($AD825),$M825&gt;0),$AD825/$M825*100,"")</f>
      </c>
      <c r="AV825" s="40">
        <f>IF(AND(ISNUMBER($AB825),ISNUMBER($AD825),ABS($AB825)&gt;0),$AD825/$AB825,"")</f>
      </c>
      <c r="AW825" s="39">
        <f>IF(ISNUMBER($AD825),MAX(0,(1-0.55-Header!$O$3)*Header!$Q$3*$AQ825),"")</f>
      </c>
      <c r="AX825" s="43">
        <f>IF($A825="","",IF(TRIM(IF($A825="","Missing certificate ref. ","") &amp; IF($C825="","Missing effective date. ","") &amp; IF($D825="","Missing binding status. ","") &amp; IF($E825="","Missing movement type. ","") &amp; IF($I825="","Missing make. ","") &amp; IF($L825="","Missing vehicle class. ","") &amp; IF($M825="","Missing agreed value. ","") &amp; IF($N825="","Missing policy type. ","") &amp; IF($Q825="","Missing garaging state. ","") &amp; IF($R825="","Missing garaging ZIP. ","") &amp; IF($S825="","Missing cat zone. ","") &amp; IF($V825="","Missing valuation basis. ","") &amp; IF($W825="","Missing PD deductible. ","") &amp; IF($X825="","Missing liability limit. ","") &amp; IF($AB825="","Missing technical premium. ","") &amp; IF($AF825="","Missing surplus lines tax %. ",""))="","PASS","FAIL: "&amp;TRIM(IF($A825="","Missing certificate ref. ","") &amp; IF($C825="","Missing effective date. ","") &amp; IF($D825="","Missing binding status. ","") &amp; IF($E825="","Missing movement type. ","") &amp; IF($I825="","Missing make. ","") &amp; IF($L825="","Missing vehicle class. ","") &amp; IF($M825="","Missing agreed value. ","") &amp; IF($N825="","Missing policy type. ","") &amp; IF($Q825="","Missing garaging state. ","") &amp; IF($R825="","Missing garaging ZIP. ","") &amp; IF($S825="","Missing cat zone. ","") &amp; IF($V825="","Missing valuation basis. ","") &amp; IF($W825="","Missing PD deductible. ","") &amp; IF($X825="","Missing liability limit. ","") &amp; IF($AB825="","Missing technical premium. ","") &amp; IF($AF825="","Missing surplus lines tax %. ",""))))</f>
      </c>
      <c r="AY825" s="44">
        <f>IF($M825="","",IF(ISNUMBER($M825),IF($M825&gt;=Header!$C$18,"YES — refer","No"),""))</f>
      </c>
      <c r="AZ825" s="44">
        <f>IF($AD825="","",IF(ISNUMBER($AD825),IF($AD825&lt;Header!$C$20,"BELOW MIN PREMIUM","OK"),""))</f>
      </c>
      <c r="BA825" s="32" t="inlineStr">
        <is>
          <t xml:space="preserve">Yes</t>
        </is>
      </c>
      <c r="BB825" s="32" t="inlineStr">
        <is>
          <t xml:space="preserve">Yes</t>
        </is>
      </c>
      <c r="BC825" s="30" t="inlineStr">
        <is>
          <t xml:space="preserve">Synthetic demo data</t>
        </is>
      </c>
      <c r="BE825" s="45">
        <f>IF(OR($A825="",$L825="",$H825=""),"",IF(AND(LEFT($L825,2)="06",$H825&gt;1945),"FAIL - pre-war class, year "&amp;$H825,IF(AND(LEFT($L825,2)="07",OR($H825&lt;1946,$H825&gt;1972)),"FAIL - 1946-72 class, year "&amp;$H825,IF(AND(LEFT($L825,2)="08",OR($H825&lt;1973,$H825&gt;1999)),"FAIL - 1973-99 class, year "&amp;$H825,IF(AND(LEFT($L825,2)="09",OR($H825&lt;2000,$H825&gt;2010)),"FAIL - 2000-10 class, year "&amp;$H825,"OK")))))</f>
      </c>
      <c r="BF825" s="45">
        <f>IF($AD825="","",IF(ROUND($AO825+$AP825+$AQ825-$AD825,2)=0,"OK","FAIL - out by "&amp;TEXT($AO825+$AP825+$AQ825-$AD825,"$0.00")))</f>
      </c>
    </row>
    <row r="826" spans="1:58" ht="18.75" customHeight="1" x14ac:dyDescent="0.25">
      <c r="A826" s="46" t="inlineStr">
        <is>
          <t xml:space="preserve">CANON-202606-009529</t>
        </is>
      </c>
      <c r="B826" s="46" t="inlineStr">
        <is>
          <t xml:space="preserve">Thaddeus Fairweather</t>
        </is>
      </c>
      <c r="C826" s="47">
        <v>46178</v>
      </c>
      <c r="D826" s="48" t="inlineStr">
        <is>
          <t xml:space="preserve">Bound - within authority</t>
        </is>
      </c>
      <c r="E826" s="48" t="inlineStr">
        <is>
          <t xml:space="preserve">New business</t>
        </is>
      </c>
      <c r="F826" s="46" t="inlineStr">
        <is>
          <t xml:space="preserve">B1234EXOTIC26</t>
        </is>
      </c>
      <c r="G826" s="33">
        <f>IF($A826="","",IF($C826="","",YEAR($C826)))</f>
      </c>
      <c r="H826" s="49">
        <v>2021</v>
      </c>
      <c r="I826" s="46" t="inlineStr">
        <is>
          <t xml:space="preserve">Bentley</t>
        </is>
      </c>
      <c r="J826" s="46" t="inlineStr">
        <is>
          <t xml:space="preserve">4.5 Litre</t>
        </is>
      </c>
      <c r="K826" s="46" t="inlineStr">
        <is>
          <t xml:space="preserve">WVE5V3BXM0FDNLKPS</t>
        </is>
      </c>
      <c r="L826" s="48" t="inlineStr">
        <is>
          <t xml:space="preserve">02 - Sports / GT</t>
        </is>
      </c>
      <c r="M826" s="50">
        <v>455000</v>
      </c>
      <c r="N826" s="48" t="inlineStr">
        <is>
          <t xml:space="preserve">Personal</t>
        </is>
      </c>
      <c r="O826" s="46" t="inlineStr">
        <is>
          <t xml:space="preserve">Personal - regular use</t>
        </is>
      </c>
      <c r="P826" s="46" t="inlineStr">
        <is>
          <t xml:space="preserve">1,000 - 2,500</t>
        </is>
      </c>
      <c r="Q826" s="46" t="inlineStr">
        <is>
          <t xml:space="preserve">Indiana</t>
        </is>
      </c>
      <c r="R826" s="46" t="inlineStr">
        <is>
          <t xml:space="preserve">46204</t>
        </is>
      </c>
      <c r="S826" s="48" t="inlineStr">
        <is>
          <t xml:space="preserve">Severe convective - hail / tornado (moderate)</t>
        </is>
      </c>
      <c r="T826" s="36">
        <f>IF($A826="","",IF($S826="","",IFERROR(INDEX('[1]natural catastrophe'!$D$6:$D$17,MATCH($S826,'[1]natural catastrophe'!$B$6:$B$17,0)),"?")))</f>
      </c>
      <c r="U826" s="46" t="inlineStr">
        <is>
          <t xml:space="preserve">$5,000</t>
        </is>
      </c>
      <c r="V826" s="48" t="inlineStr">
        <is>
          <t xml:space="preserve">Agreed Value</t>
        </is>
      </c>
      <c r="W826" s="46" t="inlineStr">
        <is>
          <t xml:space="preserve">$1,000</t>
        </is>
      </c>
      <c r="X826" s="48" t="inlineStr">
        <is>
          <t xml:space="preserve">$1,000,000 CSL</t>
        </is>
      </c>
      <c r="Y826" s="46"/>
      <c r="Z826" s="46"/>
      <c r="AA826" s="48" t="inlineStr">
        <is>
          <t xml:space="preserve">Surplus Lines</t>
        </is>
      </c>
      <c r="AB826" s="50">
        <v>3391.86</v>
      </c>
      <c r="AC826" s="51">
        <v>0</v>
      </c>
      <c r="AD826" s="38">
        <f>IF(ISNUMBER($AB826),$AB826*(1+N($AC826)),"")</f>
      </c>
      <c r="AE826" s="50">
        <v>350</v>
      </c>
      <c r="AF826" s="50">
        <v>0</v>
      </c>
      <c r="AG826" s="51"/>
      <c r="AH826" s="39">
        <f>IF(ISNUMBER($AD826),($AD826+$AE826+$AF826)*$AG826,"")</f>
      </c>
      <c r="AI826" s="50"/>
      <c r="AJ826" s="38">
        <f>IF(ISNUMBER($AD826),SUM($AD826:$AH826),"")</f>
      </c>
      <c r="AK826" s="40">
        <f>IF(AND(ISNUMBER($AB826),ISNUMBER($AD826)),IF($AB826&gt;0,$AD826/$AB826,""),"")</f>
      </c>
      <c r="AL826" s="48" t="inlineStr">
        <is>
          <t xml:space="preserve">At technical</t>
        </is>
      </c>
      <c r="AM826" s="41">
        <f>IF(ISNUMBER($AD826),Header!$I$3,"")</f>
      </c>
      <c r="AN826" s="39">
        <f>IF(ISNUMBER($AD826),$AO826+$AP826,"")</f>
      </c>
      <c r="AO826" s="39">
        <f>IF(ISNUMBER($AD826),ROUND($AD826*Header!$K$3,2),"")</f>
      </c>
      <c r="AP826" s="39">
        <f>IF(ISNUMBER($AD826),ROUND($AD826*Header!$M$3,2),"")</f>
      </c>
      <c r="AQ826" s="38">
        <f>IF(ISNUMBER($AD826),ROUND($AD826,2)-$AO826-$AP826,"")</f>
      </c>
      <c r="AR826" s="39">
        <f>IF(ISNUMBER($AD826),IF(Header!$D$34="","?",$AD826*Header!$D$34),"")</f>
      </c>
      <c r="AS826" s="39">
        <f>IF(ISNUMBER($AB826),IF(Header!$D$34="","?",$AB826*Header!$D$34),"")</f>
      </c>
      <c r="AT826" s="42">
        <f>IF(AND(ISNUMBER($AB826),$M826&gt;0),$AB826/$M826*100,"")</f>
      </c>
      <c r="AU826" s="42">
        <f>IF(AND(ISNUMBER($AD826),$M826&gt;0),$AD826/$M826*100,"")</f>
      </c>
      <c r="AV826" s="40">
        <f>IF(AND(ISNUMBER($AB826),ISNUMBER($AD826),ABS($AB826)&gt;0),$AD826/$AB826,"")</f>
      </c>
      <c r="AW826" s="39">
        <f>IF(ISNUMBER($AD826),MAX(0,(1-0.55-Header!$O$3)*Header!$Q$3*$AQ826),"")</f>
      </c>
      <c r="AX826" s="43">
        <f>IF($A826="","",IF(TRIM(IF($A826="","Missing certificate ref. ","") &amp; IF($C826="","Missing effective date. ","") &amp; IF($D826="","Missing binding status. ","") &amp; IF($E826="","Missing movement type. ","") &amp; IF($I826="","Missing make. ","") &amp; IF($L826="","Missing vehicle class. ","") &amp; IF($M826="","Missing agreed value. ","") &amp; IF($N826="","Missing policy type. ","") &amp; IF($Q826="","Missing garaging state. ","") &amp; IF($R826="","Missing garaging ZIP. ","") &amp; IF($S826="","Missing cat zone. ","") &amp; IF($V826="","Missing valuation basis. ","") &amp; IF($W826="","Missing PD deductible. ","") &amp; IF($X826="","Missing liability limit. ","") &amp; IF($AB826="","Missing technical premium. ","") &amp; IF($AF826="","Missing surplus lines tax %. ",""))="","PASS","FAIL: "&amp;TRIM(IF($A826="","Missing certificate ref. ","") &amp; IF($C826="","Missing effective date. ","") &amp; IF($D826="","Missing binding status. ","") &amp; IF($E826="","Missing movement type. ","") &amp; IF($I826="","Missing make. ","") &amp; IF($L826="","Missing vehicle class. ","") &amp; IF($M826="","Missing agreed value. ","") &amp; IF($N826="","Missing policy type. ","") &amp; IF($Q826="","Missing garaging state. ","") &amp; IF($R826="","Missing garaging ZIP. ","") &amp; IF($S826="","Missing cat zone. ","") &amp; IF($V826="","Missing valuation basis. ","") &amp; IF($W826="","Missing PD deductible. ","") &amp; IF($X826="","Missing liability limit. ","") &amp; IF($AB826="","Missing technical premium. ","") &amp; IF($AF826="","Missing surplus lines tax %. ",""))))</f>
      </c>
      <c r="AY826" s="44">
        <f>IF($M826="","",IF(ISNUMBER($M826),IF($M826&gt;=Header!$C$18,"YES — refer","No"),""))</f>
      </c>
      <c r="AZ826" s="44">
        <f>IF($AD826="","",IF(ISNUMBER($AD826),IF($AD826&lt;Header!$C$20,"BELOW MIN PREMIUM","OK"),""))</f>
      </c>
      <c r="BA826" s="48" t="inlineStr">
        <is>
          <t xml:space="preserve">Yes</t>
        </is>
      </c>
      <c r="BB826" s="48" t="inlineStr">
        <is>
          <t xml:space="preserve">Yes</t>
        </is>
      </c>
      <c r="BC826" s="46" t="inlineStr">
        <is>
          <t xml:space="preserve">Synthetic demo data</t>
        </is>
      </c>
      <c r="BE826" s="45">
        <f>IF(OR($A826="",$L826="",$H826=""),"",IF(AND(LEFT($L826,2)="06",$H826&gt;1945),"FAIL - pre-war class, year "&amp;$H826,IF(AND(LEFT($L826,2)="07",OR($H826&lt;1946,$H826&gt;1972)),"FAIL - 1946-72 class, year "&amp;$H826,IF(AND(LEFT($L826,2)="08",OR($H826&lt;1973,$H826&gt;1999)),"FAIL - 1973-99 class, year "&amp;$H826,IF(AND(LEFT($L826,2)="09",OR($H826&lt;2000,$H826&gt;2010)),"FAIL - 2000-10 class, year "&amp;$H826,"OK")))))</f>
      </c>
      <c r="BF826" s="45">
        <f>IF($AD826="","",IF(ROUND($AO826+$AP826+$AQ826-$AD826,2)=0,"OK","FAIL - out by "&amp;TEXT($AO826+$AP826+$AQ826-$AD826,"$0.00")))</f>
      </c>
    </row>
    <row r="827" spans="1:58" ht="18.75" customHeight="1" x14ac:dyDescent="0.25">
      <c r="A827" s="30" t="inlineStr">
        <is>
          <t xml:space="preserve">CANON-202606-009530</t>
        </is>
      </c>
      <c r="B827" s="30" t="inlineStr">
        <is>
          <t xml:space="preserve">Priya Vasquez</t>
        </is>
      </c>
      <c r="C827" s="31">
        <v>46199</v>
      </c>
      <c r="D827" s="32" t="inlineStr">
        <is>
          <t xml:space="preserve">Bound - within authority</t>
        </is>
      </c>
      <c r="E827" s="32" t="inlineStr">
        <is>
          <t xml:space="preserve">New business</t>
        </is>
      </c>
      <c r="F827" s="30" t="inlineStr">
        <is>
          <t xml:space="preserve">B1234EXOTIC26</t>
        </is>
      </c>
      <c r="G827" s="33">
        <f>IF($A827="","",IF($C827="","",YEAR($C827)))</f>
      </c>
      <c r="H827" s="34">
        <v>2005</v>
      </c>
      <c r="I827" s="30" t="inlineStr">
        <is>
          <t xml:space="preserve">Maserati</t>
        </is>
      </c>
      <c r="J827" s="30" t="inlineStr">
        <is>
          <t xml:space="preserve">GranTurismo</t>
        </is>
      </c>
      <c r="K827" s="30" t="inlineStr">
        <is>
          <t xml:space="preserve">GNT7D2K7LJ3LSG8GA</t>
        </is>
      </c>
      <c r="L827" s="32" t="inlineStr">
        <is>
          <t xml:space="preserve">02 - Sports / GT</t>
        </is>
      </c>
      <c r="M827" s="35">
        <v>220000</v>
      </c>
      <c r="N827" s="32" t="inlineStr">
        <is>
          <t xml:space="preserve">Personal</t>
        </is>
      </c>
      <c r="O827" s="30" t="inlineStr">
        <is>
          <t xml:space="preserve">Personal - regular use</t>
        </is>
      </c>
      <c r="P827" s="30" t="inlineStr">
        <is>
          <t xml:space="preserve">Under 1,000</t>
        </is>
      </c>
      <c r="Q827" s="30" t="inlineStr">
        <is>
          <t xml:space="preserve">Colorado</t>
        </is>
      </c>
      <c r="R827" s="30" t="inlineStr">
        <is>
          <t xml:space="preserve">80202</t>
        </is>
      </c>
      <c r="S827" s="32" t="inlineStr">
        <is>
          <t xml:space="preserve">Severe convective - hail alley (high)</t>
        </is>
      </c>
      <c r="T827" s="36">
        <f>IF($A827="","",IF($S827="","",IFERROR(INDEX('[1]natural catastrophe'!$D$6:$D$17,MATCH($S827,'[1]natural catastrophe'!$B$6:$B$17,0)),"?")))</f>
      </c>
      <c r="U827" s="30" t="inlineStr">
        <is>
          <t xml:space="preserve">$5,000</t>
        </is>
      </c>
      <c r="V827" s="32" t="inlineStr">
        <is>
          <t xml:space="preserve">Agreed Value</t>
        </is>
      </c>
      <c r="W827" s="30" t="inlineStr">
        <is>
          <t xml:space="preserve">$1,000</t>
        </is>
      </c>
      <c r="X827" s="32" t="inlineStr">
        <is>
          <t xml:space="preserve">$1,000,000 CSL</t>
        </is>
      </c>
      <c r="Y827" s="30"/>
      <c r="Z827" s="30"/>
      <c r="AA827" s="32" t="inlineStr">
        <is>
          <t xml:space="preserve">Surplus Lines</t>
        </is>
      </c>
      <c r="AB827" s="35">
        <v>3212.73</v>
      </c>
      <c r="AC827" s="37">
        <v>0</v>
      </c>
      <c r="AD827" s="38">
        <f>IF(ISNUMBER($AB827),$AB827*(1+N($AC827)),"")</f>
      </c>
      <c r="AE827" s="35">
        <v>350</v>
      </c>
      <c r="AF827" s="35">
        <v>0</v>
      </c>
      <c r="AG827" s="37"/>
      <c r="AH827" s="39">
        <f>IF(ISNUMBER($AD827),($AD827+$AE827+$AF827)*$AG827,"")</f>
      </c>
      <c r="AI827" s="35"/>
      <c r="AJ827" s="38">
        <f>IF(ISNUMBER($AD827),SUM($AD827:$AH827),"")</f>
      </c>
      <c r="AK827" s="40">
        <f>IF(AND(ISNUMBER($AB827),ISNUMBER($AD827)),IF($AB827&gt;0,$AD827/$AB827,""),"")</f>
      </c>
      <c r="AL827" s="32" t="inlineStr">
        <is>
          <t xml:space="preserve">At technical</t>
        </is>
      </c>
      <c r="AM827" s="41">
        <f>IF(ISNUMBER($AD827),Header!$I$3,"")</f>
      </c>
      <c r="AN827" s="39">
        <f>IF(ISNUMBER($AD827),$AO827+$AP827,"")</f>
      </c>
      <c r="AO827" s="39">
        <f>IF(ISNUMBER($AD827),ROUND($AD827*Header!$K$3,2),"")</f>
      </c>
      <c r="AP827" s="39">
        <f>IF(ISNUMBER($AD827),ROUND($AD827*Header!$M$3,2),"")</f>
      </c>
      <c r="AQ827" s="38">
        <f>IF(ISNUMBER($AD827),ROUND($AD827,2)-$AO827-$AP827,"")</f>
      </c>
      <c r="AR827" s="39">
        <f>IF(ISNUMBER($AD827),IF(Header!$D$34="","?",$AD827*Header!$D$34),"")</f>
      </c>
      <c r="AS827" s="39">
        <f>IF(ISNUMBER($AB827),IF(Header!$D$34="","?",$AB827*Header!$D$34),"")</f>
      </c>
      <c r="AT827" s="42">
        <f>IF(AND(ISNUMBER($AB827),$M827&gt;0),$AB827/$M827*100,"")</f>
      </c>
      <c r="AU827" s="42">
        <f>IF(AND(ISNUMBER($AD827),$M827&gt;0),$AD827/$M827*100,"")</f>
      </c>
      <c r="AV827" s="40">
        <f>IF(AND(ISNUMBER($AB827),ISNUMBER($AD827),ABS($AB827)&gt;0),$AD827/$AB827,"")</f>
      </c>
      <c r="AW827" s="39">
        <f>IF(ISNUMBER($AD827),MAX(0,(1-0.55-Header!$O$3)*Header!$Q$3*$AQ827),"")</f>
      </c>
      <c r="AX827" s="43">
        <f>IF($A827="","",IF(TRIM(IF($A827="","Missing certificate ref. ","") &amp; IF($C827="","Missing effective date. ","") &amp; IF($D827="","Missing binding status. ","") &amp; IF($E827="","Missing movement type. ","") &amp; IF($I827="","Missing make. ","") &amp; IF($L827="","Missing vehicle class. ","") &amp; IF($M827="","Missing agreed value. ","") &amp; IF($N827="","Missing policy type. ","") &amp; IF($Q827="","Missing garaging state. ","") &amp; IF($R827="","Missing garaging ZIP. ","") &amp; IF($S827="","Missing cat zone. ","") &amp; IF($V827="","Missing valuation basis. ","") &amp; IF($W827="","Missing PD deductible. ","") &amp; IF($X827="","Missing liability limit. ","") &amp; IF($AB827="","Missing technical premium. ","") &amp; IF($AF827="","Missing surplus lines tax %. ",""))="","PASS","FAIL: "&amp;TRIM(IF($A827="","Missing certificate ref. ","") &amp; IF($C827="","Missing effective date. ","") &amp; IF($D827="","Missing binding status. ","") &amp; IF($E827="","Missing movement type. ","") &amp; IF($I827="","Missing make. ","") &amp; IF($L827="","Missing vehicle class. ","") &amp; IF($M827="","Missing agreed value. ","") &amp; IF($N827="","Missing policy type. ","") &amp; IF($Q827="","Missing garaging state. ","") &amp; IF($R827="","Missing garaging ZIP. ","") &amp; IF($S827="","Missing cat zone. ","") &amp; IF($V827="","Missing valuation basis. ","") &amp; IF($W827="","Missing PD deductible. ","") &amp; IF($X827="","Missing liability limit. ","") &amp; IF($AB827="","Missing technical premium. ","") &amp; IF($AF827="","Missing surplus lines tax %. ",""))))</f>
      </c>
      <c r="AY827" s="44">
        <f>IF($M827="","",IF(ISNUMBER($M827),IF($M827&gt;=Header!$C$18,"YES — refer","No"),""))</f>
      </c>
      <c r="AZ827" s="44">
        <f>IF($AD827="","",IF(ISNUMBER($AD827),IF($AD827&lt;Header!$C$20,"BELOW MIN PREMIUM","OK"),""))</f>
      </c>
      <c r="BA827" s="32" t="inlineStr">
        <is>
          <t xml:space="preserve">Yes</t>
        </is>
      </c>
      <c r="BB827" s="32" t="inlineStr">
        <is>
          <t xml:space="preserve">Yes</t>
        </is>
      </c>
      <c r="BC827" s="30" t="inlineStr">
        <is>
          <t xml:space="preserve">Synthetic demo data</t>
        </is>
      </c>
      <c r="BE827" s="45">
        <f>IF(OR($A827="",$L827="",$H827=""),"",IF(AND(LEFT($L827,2)="06",$H827&gt;1945),"FAIL - pre-war class, year "&amp;$H827,IF(AND(LEFT($L827,2)="07",OR($H827&lt;1946,$H827&gt;1972)),"FAIL - 1946-72 class, year "&amp;$H827,IF(AND(LEFT($L827,2)="08",OR($H827&lt;1973,$H827&gt;1999)),"FAIL - 1973-99 class, year "&amp;$H827,IF(AND(LEFT($L827,2)="09",OR($H827&lt;2000,$H827&gt;2010)),"FAIL - 2000-10 class, year "&amp;$H827,"OK")))))</f>
      </c>
      <c r="BF827" s="45">
        <f>IF($AD827="","",IF(ROUND($AO827+$AP827+$AQ827-$AD827,2)=0,"OK","FAIL - out by "&amp;TEXT($AO827+$AP827+$AQ827-$AD827,"$0.00")))</f>
      </c>
    </row>
    <row r="828" spans="1:58" ht="18.75" customHeight="1" x14ac:dyDescent="0.25">
      <c r="A828" s="46" t="inlineStr">
        <is>
          <t xml:space="preserve">CANON-202606-009533</t>
        </is>
      </c>
      <c r="B828" s="46" t="inlineStr">
        <is>
          <t xml:space="preserve">Thaddeus Chattopadhyay</t>
        </is>
      </c>
      <c r="C828" s="47">
        <v>46193</v>
      </c>
      <c r="D828" s="48" t="inlineStr">
        <is>
          <t xml:space="preserve">Bound - within authority</t>
        </is>
      </c>
      <c r="E828" s="48" t="inlineStr">
        <is>
          <t xml:space="preserve">New business</t>
        </is>
      </c>
      <c r="F828" s="46" t="inlineStr">
        <is>
          <t xml:space="preserve">B1234EXOTIC26</t>
        </is>
      </c>
      <c r="G828" s="33">
        <f>IF($A828="","",IF($C828="","",YEAR($C828)))</f>
      </c>
      <c r="H828" s="49">
        <v>1994</v>
      </c>
      <c r="I828" s="46" t="inlineStr">
        <is>
          <t xml:space="preserve">Lamborghini</t>
        </is>
      </c>
      <c r="J828" s="46" t="inlineStr">
        <is>
          <t xml:space="preserve">Huracan EVO</t>
        </is>
      </c>
      <c r="K828" s="46" t="inlineStr">
        <is>
          <t xml:space="preserve">SZ7DC142ZD71T1CVD</t>
        </is>
      </c>
      <c r="L828" s="48" t="inlineStr">
        <is>
          <t xml:space="preserve">03 - Supercar</t>
        </is>
      </c>
      <c r="M828" s="50">
        <v>1055000</v>
      </c>
      <c r="N828" s="48" t="inlineStr">
        <is>
          <t xml:space="preserve">Personal</t>
        </is>
      </c>
      <c r="O828" s="46" t="inlineStr">
        <is>
          <t xml:space="preserve">Personal - regular use</t>
        </is>
      </c>
      <c r="P828" s="46" t="inlineStr">
        <is>
          <t xml:space="preserve">Under 1,000</t>
        </is>
      </c>
      <c r="Q828" s="46" t="inlineStr">
        <is>
          <t xml:space="preserve">Kentucky</t>
        </is>
      </c>
      <c r="R828" s="46" t="inlineStr">
        <is>
          <t xml:space="preserve">40202</t>
        </is>
      </c>
      <c r="S828" s="48" t="inlineStr">
        <is>
          <t xml:space="preserve">Severe convective - hail / tornado (moderate)</t>
        </is>
      </c>
      <c r="T828" s="36">
        <f>IF($A828="","",IF($S828="","",IFERROR(INDEX('[1]natural catastrophe'!$D$6:$D$17,MATCH($S828,'[1]natural catastrophe'!$B$6:$B$17,0)),"?")))</f>
      </c>
      <c r="U828" s="46" t="inlineStr">
        <is>
          <t xml:space="preserve">$5,000</t>
        </is>
      </c>
      <c r="V828" s="48" t="inlineStr">
        <is>
          <t xml:space="preserve">Agreed Value</t>
        </is>
      </c>
      <c r="W828" s="46" t="inlineStr">
        <is>
          <t xml:space="preserve">$1,000</t>
        </is>
      </c>
      <c r="X828" s="48" t="inlineStr">
        <is>
          <t xml:space="preserve">$1,000,000 CSL</t>
        </is>
      </c>
      <c r="Y828" s="46"/>
      <c r="Z828" s="46"/>
      <c r="AA828" s="48" t="inlineStr">
        <is>
          <t xml:space="preserve">Surplus Lines</t>
        </is>
      </c>
      <c r="AB828" s="50">
        <v>16319.97</v>
      </c>
      <c r="AC828" s="51">
        <v>0</v>
      </c>
      <c r="AD828" s="38">
        <f>IF(ISNUMBER($AB828),$AB828*(1+N($AC828)),"")</f>
      </c>
      <c r="AE828" s="50">
        <v>350</v>
      </c>
      <c r="AF828" s="50">
        <v>250</v>
      </c>
      <c r="AG828" s="51"/>
      <c r="AH828" s="39">
        <f>IF(ISNUMBER($AD828),($AD828+$AE828+$AF828)*$AG828,"")</f>
      </c>
      <c r="AI828" s="50"/>
      <c r="AJ828" s="38">
        <f>IF(ISNUMBER($AD828),SUM($AD828:$AH828),"")</f>
      </c>
      <c r="AK828" s="40">
        <f>IF(AND(ISNUMBER($AB828),ISNUMBER($AD828)),IF($AB828&gt;0,$AD828/$AB828,""),"")</f>
      </c>
      <c r="AL828" s="48" t="inlineStr">
        <is>
          <t xml:space="preserve">At technical</t>
        </is>
      </c>
      <c r="AM828" s="41">
        <f>IF(ISNUMBER($AD828),Header!$I$3,"")</f>
      </c>
      <c r="AN828" s="39">
        <f>IF(ISNUMBER($AD828),$AO828+$AP828,"")</f>
      </c>
      <c r="AO828" s="39">
        <f>IF(ISNUMBER($AD828),ROUND($AD828*Header!$K$3,2),"")</f>
      </c>
      <c r="AP828" s="39">
        <f>IF(ISNUMBER($AD828),ROUND($AD828*Header!$M$3,2),"")</f>
      </c>
      <c r="AQ828" s="38">
        <f>IF(ISNUMBER($AD828),ROUND($AD828,2)-$AO828-$AP828,"")</f>
      </c>
      <c r="AR828" s="39">
        <f>IF(ISNUMBER($AD828),IF(Header!$D$34="","?",$AD828*Header!$D$34),"")</f>
      </c>
      <c r="AS828" s="39">
        <f>IF(ISNUMBER($AB828),IF(Header!$D$34="","?",$AB828*Header!$D$34),"")</f>
      </c>
      <c r="AT828" s="42">
        <f>IF(AND(ISNUMBER($AB828),$M828&gt;0),$AB828/$M828*100,"")</f>
      </c>
      <c r="AU828" s="42">
        <f>IF(AND(ISNUMBER($AD828),$M828&gt;0),$AD828/$M828*100,"")</f>
      </c>
      <c r="AV828" s="40">
        <f>IF(AND(ISNUMBER($AB828),ISNUMBER($AD828),ABS($AB828)&gt;0),$AD828/$AB828,"")</f>
      </c>
      <c r="AW828" s="39">
        <f>IF(ISNUMBER($AD828),MAX(0,(1-0.55-Header!$O$3)*Header!$Q$3*$AQ828),"")</f>
      </c>
      <c r="AX828" s="43">
        <f>IF($A828="","",IF(TRIM(IF($A828="","Missing certificate ref. ","") &amp; IF($C828="","Missing effective date. ","") &amp; IF($D828="","Missing binding status. ","") &amp; IF($E828="","Missing movement type. ","") &amp; IF($I828="","Missing make. ","") &amp; IF($L828="","Missing vehicle class. ","") &amp; IF($M828="","Missing agreed value. ","") &amp; IF($N828="","Missing policy type. ","") &amp; IF($Q828="","Missing garaging state. ","") &amp; IF($R828="","Missing garaging ZIP. ","") &amp; IF($S828="","Missing cat zone. ","") &amp; IF($V828="","Missing valuation basis. ","") &amp; IF($W828="","Missing PD deductible. ","") &amp; IF($X828="","Missing liability limit. ","") &amp; IF($AB828="","Missing technical premium. ","") &amp; IF($AF828="","Missing surplus lines tax %. ",""))="","PASS","FAIL: "&amp;TRIM(IF($A828="","Missing certificate ref. ","") &amp; IF($C828="","Missing effective date. ","") &amp; IF($D828="","Missing binding status. ","") &amp; IF($E828="","Missing movement type. ","") &amp; IF($I828="","Missing make. ","") &amp; IF($L828="","Missing vehicle class. ","") &amp; IF($M828="","Missing agreed value. ","") &amp; IF($N828="","Missing policy type. ","") &amp; IF($Q828="","Missing garaging state. ","") &amp; IF($R828="","Missing garaging ZIP. ","") &amp; IF($S828="","Missing cat zone. ","") &amp; IF($V828="","Missing valuation basis. ","") &amp; IF($W828="","Missing PD deductible. ","") &amp; IF($X828="","Missing liability limit. ","") &amp; IF($AB828="","Missing technical premium. ","") &amp; IF($AF828="","Missing surplus lines tax %. ",""))))</f>
      </c>
      <c r="AY828" s="44">
        <f>IF($M828="","",IF(ISNUMBER($M828),IF($M828&gt;=Header!$C$18,"YES — refer","No"),""))</f>
      </c>
      <c r="AZ828" s="44">
        <f>IF($AD828="","",IF(ISNUMBER($AD828),IF($AD828&lt;Header!$C$20,"BELOW MIN PREMIUM","OK"),""))</f>
      </c>
      <c r="BA828" s="48" t="inlineStr">
        <is>
          <t xml:space="preserve">Yes</t>
        </is>
      </c>
      <c r="BB828" s="48" t="inlineStr">
        <is>
          <t xml:space="preserve">Yes</t>
        </is>
      </c>
      <c r="BC828" s="46" t="inlineStr">
        <is>
          <t xml:space="preserve">Synthetic demo data</t>
        </is>
      </c>
      <c r="BE828" s="45">
        <f>IF(OR($A828="",$L828="",$H828=""),"",IF(AND(LEFT($L828,2)="06",$H828&gt;1945),"FAIL - pre-war class, year "&amp;$H828,IF(AND(LEFT($L828,2)="07",OR($H828&lt;1946,$H828&gt;1972)),"FAIL - 1946-72 class, year "&amp;$H828,IF(AND(LEFT($L828,2)="08",OR($H828&lt;1973,$H828&gt;1999)),"FAIL - 1973-99 class, year "&amp;$H828,IF(AND(LEFT($L828,2)="09",OR($H828&lt;2000,$H828&gt;2010)),"FAIL - 2000-10 class, year "&amp;$H828,"OK")))))</f>
      </c>
      <c r="BF828" s="45">
        <f>IF($AD828="","",IF(ROUND($AO828+$AP828+$AQ828-$AD828,2)=0,"OK","FAIL - out by "&amp;TEXT($AO828+$AP828+$AQ828-$AD828,"$0.00")))</f>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D5:D828</xm:sqref>
        </x14:dataValidation>
        <x14:dataValidation type="list" allowBlank="1" xr:uid="{00000000-0002-0000-0200-000001000000}">
          <x14:formula1>
            <xm:f>Lists!$A$5:$A$11</xm:f>
          </x14:formula1>
          <x14:formula2>
            <xm:f>0</xm:f>
          </x14:formula2>
          <xm:sqref>E5:E828</xm:sqref>
        </x14:dataValidation>
        <x14:dataValidation type="list" allowBlank="1" xr:uid="{00000000-0002-0000-0200-000002000000}">
          <x14:formula1>
            <xm:f>Lists!$D$5:$D$16</xm:f>
          </x14:formula1>
          <x14:formula2>
            <xm:f>0</xm:f>
          </x14:formula2>
          <xm:sqref>L5:L828</xm:sqref>
        </x14:dataValidation>
        <x14:dataValidation type="list" allowBlank="1" xr:uid="{00000000-0002-0000-0200-000003000000}">
          <x14:formula1>
            <xm:f>Lists!$C$5:$C$6</xm:f>
          </x14:formula1>
          <x14:formula2>
            <xm:f>0</xm:f>
          </x14:formula2>
          <xm:sqref>N5:N828</xm:sqref>
        </x14:dataValidation>
        <x14:dataValidation type="list" allowBlank="1" xr:uid="{00000000-0002-0000-0200-000004000000}">
          <x14:formula1>
            <xm:f>Lists!$G$5:$G$16</xm:f>
          </x14:formula1>
          <x14:formula2>
            <xm:f>0</xm:f>
          </x14:formula2>
          <xm:sqref>S5:S828</xm:sqref>
        </x14:dataValidation>
        <x14:dataValidation type="list" allowBlank="1" xr:uid="{00000000-0002-0000-0200-000005000000}">
          <x14:formula1>
            <xm:f>Lists!$E$5:$E$8</xm:f>
          </x14:formula1>
          <x14:formula2>
            <xm:f>0</xm:f>
          </x14:formula2>
          <xm:sqref>V5:V828</xm:sqref>
        </x14:dataValidation>
        <x14:dataValidation type="list" allowBlank="1" xr:uid="{00000000-0002-0000-0200-000006000000}">
          <x14:formula1>
            <xm:f>Lists!$F$5:$F$10</xm:f>
          </x14:formula1>
          <x14:formula2>
            <xm:f>0</xm:f>
          </x14:formula2>
          <xm:sqref>X5:X828</xm:sqref>
        </x14:dataValidation>
        <x14:dataValidation type="list" allowBlank="1" xr:uid="{00000000-0002-0000-0200-000007000000}">
          <x14:formula1>
            <xm:f>Lists!$K$5:$K$7</xm:f>
          </x14:formula1>
          <x14:formula2>
            <xm:f>0</xm:f>
          </x14:formula2>
          <xm:sqref>AA5:AA828</xm:sqref>
        </x14:dataValidation>
        <x14:dataValidation type="list" allowBlank="1" xr:uid="{00000000-0002-0000-0200-000008000000}">
          <x14:formula1>
            <xm:f>Lists!$H$5:$H$8</xm:f>
          </x14:formula1>
          <x14:formula2>
            <xm:f>0</xm:f>
          </x14:formula2>
          <xm:sqref>AL5:AL828</xm:sqref>
        </x14:dataValidation>
        <x14:dataValidation type="list" allowBlank="1" xr:uid="{00000000-0002-0000-0200-000009000000}">
          <x14:formula1>
            <xm:f>Lists!$J$5:$J$6</xm:f>
          </x14:formula1>
          <x14:formula2>
            <xm:f>0</xm:f>
          </x14:formula2>
          <xm:sqref>BA5:BB828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Bordereaux'!$D$5:$D$828,"Bound*",'UW Bordereaux'!$AD$5:$AD$828)</f>
      </c>
    </row>
    <row r="6" spans="1:7" ht="15" customHeight="1" x14ac:dyDescent="0.25">
      <c r="B6" s="23" t="s">
        <v>264</v>
      </c>
      <c r="C6" s="52">
        <f>-SUMIF('UW Bordereaux'!$D$5:$D$828,"Bound*",'UW Bordereaux'!$AN$5:$AN$828)</f>
      </c>
    </row>
    <row r="7" spans="1:7" ht="15" customHeight="1" x14ac:dyDescent="0.25">
      <c r="B7" s="25" t="s">
        <v>265</v>
      </c>
      <c r="C7" s="22">
        <f>SUMIF('UW Bordereaux'!$D$5:$D$828,"Bound*",'UW Bordereaux'!$AQ$5:$AQ$828)</f>
      </c>
    </row>
    <row r="8" spans="1:7" ht="15" customHeight="1" x14ac:dyDescent="0.25">
      <c r="B8" s="23" t="s">
        <v>266</v>
      </c>
      <c r="C8" s="52">
        <f>C5+C6-C7</f>
      </c>
    </row>
    <row r="9" spans="1:7" ht="15" customHeight="1" x14ac:dyDescent="0.25">
      <c r="B9" s="23" t="s">
        <v>267</v>
      </c>
      <c r="C9" s="52">
        <f>C8</f>
      </c>
      <c r="D9" s="53" t="str">
        <f>IF(ABS(C9)&lt;1,"AGREES","INVESTIGATE — variance exceeds $1")</f>
      </c>
    </row>
    <row r="10" spans="1:7" ht="15" customHeight="1" x14ac:dyDescent="0.25">
      <c r="B10" s="23" t="s">
        <v>104</v>
      </c>
      <c r="C10" s="52">
        <f>SUMIF('UW Bordereaux'!$D$5:$D$828,"Bound*",'UW Bordereaux'!$AE$5:$AE$828)</f>
      </c>
    </row>
    <row r="11" spans="1:7" ht="15" customHeight="1" x14ac:dyDescent="0.25">
      <c r="B11" s="23" t="s">
        <v>105</v>
      </c>
      <c r="C11" s="52">
        <f>SUMIF('UW Bordereaux'!$D$5:$D$828,"Bound*",'UW Bordereaux'!$AH$5:$AH$828)</f>
      </c>
    </row>
    <row r="12" spans="1:7" ht="15" customHeight="1" x14ac:dyDescent="0.25">
      <c r="B12" s="25" t="s">
        <v>268</v>
      </c>
      <c r="C12" s="22">
        <f>SUMIF('UW Bordereaux'!$D$5:$D$828,"Bound*",'UW Bordereaux'!$AI$5:$AI$828)</f>
      </c>
    </row>
    <row r="13" spans="1:7" ht="15" customHeight="1" x14ac:dyDescent="0.25">
      <c r="B13" s="23" t="s">
        <v>269</v>
      </c>
      <c r="C13" s="52">
        <f>C5+C10+C11</f>
      </c>
    </row>
    <row r="14" spans="1:7" ht="15" customHeight="1" x14ac:dyDescent="0.25">
      <c r="B14" s="23" t="s">
        <v>267</v>
      </c>
      <c r="C14" s="54">
        <f>C12-C13</f>
      </c>
      <c r="D14" s="53" t="str">
        <f>IF(ABS(C14)&lt;1,"AGREES","INVESTIGATE — variance exceeds $1")</f>
      </c>
    </row>
    <row r="15" spans="1:7" ht="15" customHeight="1" x14ac:dyDescent="0.25">
      <c r="B15" s="23" t="s">
        <v>270</v>
      </c>
      <c r="C15" s="52">
        <f>SUMIF('UW Bordereaux'!$D$5:$D$828,"Bound*",'UW Bordereaux'!$AD$5:$AD$828)*Header!$D$24</f>
      </c>
    </row>
    <row r="16" spans="1:7" ht="15" customHeight="1" x14ac:dyDescent="0.25">
      <c r="B16" s="23" t="s">
        <v>271</v>
      </c>
      <c r="C16" s="52">
        <f>SUMIF('UW Bordereaux'!$D$5:$D$828,"Bound*",'UW Bordereaux'!$AD$5:$AD$828)*Header!$D$34</f>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Bordereaux'!$D$5:$D$828,"Bound*",'UW Bordereaux'!$A$5:$A$828,"")=0,"PASS","FAIL — "&amp;COUNTIFS('UW Bordereaux'!$D$5:$D$828,"Bound*",'UW Bordereaux'!$A$5:$A$828,"")&amp;" bound risks missing certificate")</f>
      </c>
      <c r="D20" s="76"/>
      <c r="E20" s="76"/>
      <c r="F20" s="78"/>
      <c r="G20" s="78"/>
    </row>
    <row r="21" spans="2:7" ht="25.5" customHeight="1" x14ac:dyDescent="0.25">
      <c r="B21" s="56" t="s">
        <v>276</v>
      </c>
      <c r="C21" s="75" t="str">
        <f>IF(SUMPRODUCT((LEN('UW Bordereaux'!$A$5:$A$828)&gt;0)*(LEN('UW Bordereaux'!$D$5:$D$828)=0))=0,"PASS","FAIL — "&amp;SUMPRODUCT((LEN('UW Bordereaux'!$A$5:$A$828)&gt;0)*(LEN('UW Bordereaux'!$D$5:$D$828)=0))&amp;" rows missing status")</f>
      </c>
      <c r="D21" s="75"/>
      <c r="E21" s="75"/>
      <c r="F21" s="79"/>
      <c r="G21" s="79"/>
    </row>
    <row r="22" spans="2:7" ht="25.5" customHeight="1" x14ac:dyDescent="0.25">
      <c r="B22" s="55" t="s">
        <v>277</v>
      </c>
      <c r="C22" s="76" t="str">
        <f>IF(COUNTIFS('UW Bordereaux'!$D$5:$D$828,"Bound*",'UW Bordereaux'!$C$5:$C$828,"")=0,"PASS","FAIL — "&amp;COUNTIFS('UW Bordereaux'!$D$5:$D$828,"Bound*",'UW Bordereaux'!$C$5:$C$828,"")&amp;" bound risks missing effective date")</f>
      </c>
      <c r="D22" s="76"/>
      <c r="E22" s="76"/>
      <c r="F22" s="78"/>
      <c r="G22" s="78"/>
    </row>
    <row r="23" spans="2:7" ht="25.5" customHeight="1" x14ac:dyDescent="0.25">
      <c r="B23" s="56" t="s">
        <v>278</v>
      </c>
      <c r="C23" s="75" t="str">
        <f>IF(COUNTIFS('UW Bordereaux'!$D$5:$D$828,"Bound*",'UW Bordereaux'!$AB$5:$AB$828,"")=0,"PASS","FAIL — "&amp;COUNTIFS('UW Bordereaux'!$D$5:$D$828,"Bound*",'UW Bordereaux'!$AB$5:$AB$828,"")&amp;" bound risks missing technical premium")</f>
      </c>
      <c r="D23" s="75"/>
      <c r="E23" s="75"/>
      <c r="F23" s="79"/>
      <c r="G23" s="79"/>
    </row>
    <row r="24" spans="2:7" ht="25.5" customHeight="1" x14ac:dyDescent="0.25">
      <c r="B24" s="55" t="s">
        <v>279</v>
      </c>
      <c r="C24" s="76" t="str">
        <f>IF(COUNTIFS('UW Bordereaux'!$D$5:$D$828,"Bound*",'UW Bordereaux'!$AF$5:$AF$828,"")=0,"PASS","FAIL — "&amp;COUNTIFS('UW Bordereaux'!$D$5:$D$828,"Bound*",'UW Bordereaux'!$AF$5:$AF$828,"")&amp;" bound risks missing SL tax rate")</f>
      </c>
      <c r="D24" s="76"/>
      <c r="E24" s="76"/>
      <c r="F24" s="78" t="s">
        <v>280</v>
      </c>
      <c r="G24" s="78"/>
    </row>
    <row r="25" spans="2:7" ht="25.5" customHeight="1" x14ac:dyDescent="0.25">
      <c r="B25" s="56" t="s">
        <v>281</v>
      </c>
      <c r="C25" s="75" t="str">
        <f>IF(SUMPRODUCT(('UW Bordereaux'!$M$5:$M$828&lt;0)*('UW Bordereaux'!$A$5:$A$828&lt;&gt;""))=0,"PASS","FAIL — negative agreed value detected")</f>
      </c>
      <c r="D25" s="75"/>
      <c r="E25" s="75"/>
      <c r="F25" s="79"/>
      <c r="G25" s="79"/>
    </row>
    <row r="26" spans="2:7" ht="25.5" customHeight="1" x14ac:dyDescent="0.25">
      <c r="B26" s="55" t="s">
        <v>282</v>
      </c>
      <c r="C26" s="76" t="str">
        <f>IF(SUMPRODUCT(('UW Bordereaux'!$M$5:$M$828&lt;100000)*('UW Bordereaux'!$M$5:$M$828&gt;0)*('UW Bordereaux'!$A$5:$A$828&lt;&gt;""))=0,"PASS","FAIL — "&amp;SUMPRODUCT(('UW Bordereaux'!$M$5:$M$828&lt;100000)*('UW Bordereaux'!$M$5:$M$828&gt;0)*('UW Bordereaux'!$A$5:$A$828&lt;&gt;""))&amp;" risks below $100,000 minimum")</f>
      </c>
      <c r="D26" s="76"/>
      <c r="E26" s="76"/>
      <c r="F26" s="78"/>
      <c r="G26" s="78"/>
    </row>
    <row r="27" spans="2:7" ht="25.5" customHeight="1" x14ac:dyDescent="0.25">
      <c r="B27" s="56" t="s">
        <v>283</v>
      </c>
      <c r="C27" s="75" t="str">
        <f>IF(ROUND(Header!$D$34,4)=1,"PASS","FAIL — panel signs "&amp;TEXT(Header!$D$34,"0.00%")&amp;", must equal 100%")</f>
      </c>
      <c r="D27" s="75"/>
      <c r="E27" s="75"/>
      <c r="F27" s="79"/>
      <c r="G27" s="79"/>
    </row>
    <row r="28" spans="2:7" ht="25.5" customHeight="1" x14ac:dyDescent="0.25">
      <c r="B28" s="55" t="s">
        <v>284</v>
      </c>
      <c r="C28" s="76" t="str">
        <f>IF(COUNTIFS('UW Bordereaux'!$AJ$5:$AJ$828,"&lt;0.85",'UW Bordereaux'!$D$5:$D$828,"Bound*")=0,"PASS","WARN — "&amp;COUNTIFS('UW Bordereaux'!$AJ$5:$AJ$828,"&lt;0.85",'UW Bordereaux'!$D$5:$D$828,"Bound*")&amp;" risks below 85% rate adequacy")</f>
      </c>
      <c r="D28" s="76"/>
      <c r="E28" s="76"/>
      <c r="F28" s="78" t="s">
        <v>285</v>
      </c>
      <c r="G28" s="78"/>
    </row>
    <row r="29" spans="2:7" ht="25.5" customHeight="1" x14ac:dyDescent="0.25">
      <c r="B29" s="56" t="s">
        <v>286</v>
      </c>
      <c r="C29" s="75" t="str">
        <f>COUNTIFS('UW Bordereaux'!$M$5:$M$828,"&gt;="&amp;Header!$C$18,'UW Bordereaux'!$D$5:$D$828,"Bound*")&amp;" risk(s) at or above $2m AV — confirm individual referral is on file"</f>
      </c>
      <c r="D29" s="75"/>
      <c r="E29" s="75"/>
      <c r="F29" s="79"/>
      <c r="G29" s="79"/>
    </row>
    <row r="30" spans="2:7" ht="25.5" customHeight="1" x14ac:dyDescent="0.25">
      <c r="B30" s="55" t="s">
        <v>287</v>
      </c>
      <c r="C30" s="76" t="str">
        <f>COUNTIF('UW Bordereaux'!$AK$5:$AK$828,"BEYOND AUTHORITY")&amp;" risk(s) — confirm approval is on file in the Referral Log"</f>
      </c>
      <c r="D30" s="76"/>
      <c r="E30" s="76"/>
      <c r="F30" s="78"/>
      <c r="G30" s="78"/>
    </row>
    <row r="31" spans="2:7" ht="25.5" customHeight="1" x14ac:dyDescent="0.25">
      <c r="B31" s="56" t="s">
        <v>288</v>
      </c>
      <c r="C31" s="75" t="str">
        <f>IF(COUNTIF('UW Bordereaux'!$AW$5:$AW$828,"FAIL*")=0,"PASS — all mandatory fields complete","FAIL — "&amp;COUNTIF('UW Bordereaux'!$AW$5:$AW$828,"FAIL*")&amp;" rows with missing mandatory fields")</f>
      </c>
      <c r="D31" s="75"/>
      <c r="E31" s="75"/>
      <c r="F31" s="79" t="s">
        <v>289</v>
      </c>
      <c r="G31" s="79"/>
    </row>
    <row r="33" spans="2:7" ht="25.5" customHeight="1" x14ac:dyDescent="0.25">
      <c r="B33" s="57" t="s">
        <v>290</v>
      </c>
      <c r="C33" s="76" t="str">
        <f>IF(COUNTIF('UW Bordereaux'!$BE$5:$BE$828,"FAIL*")=0,"PASS","FAIL - "&amp;COUNTIF('UW Bordereaux'!$BE$5:$BE$828,"FAIL*")&amp;" rows where vehicle year falls outside its class era")</f>
      </c>
      <c r="D33" s="76"/>
      <c r="E33" s="76"/>
    </row>
    <row r="34" spans="2:7" ht="25.5" customHeight="1" x14ac:dyDescent="0.25">
      <c r="B34" s="56" t="s">
        <v>291</v>
      </c>
      <c r="C34" s="75" t="str">
        <f>IF(COUNTIF('UW Bordereaux'!$BF$5:$BF$828,"FAIL*")=0,"PASS - all rows foot to the cent","FAIL - "&amp;COUNTIF('UW Bordereaux'!$BF$5:$BF$828,"FAIL*")&amp;" rows do not foot")</f>
      </c>
      <c r="D34" s="75"/>
      <c r="E34" s="75"/>
    </row>
    <row r="35" spans="2:7" ht="25.5" customHeight="1" x14ac:dyDescent="0.25">
      <c r="B35" s="55" t="s">
        <v>292</v>
      </c>
      <c r="C35" s="76" t="str">
        <f>IF(ROUND(Header!$K$3+Header!$M$3-Header!$I$3,6)=0,"PASS","FAIL - broker + Torque &lt;&gt; total ceding")</f>
      </c>
      <c r="D35" s="76"/>
      <c r="E35" s="76"/>
    </row>
    <row r="36" spans="2:7" ht="25.5" customHeight="1" x14ac:dyDescent="0.25">
      <c r="B36" s="56" t="s">
        <v>293</v>
      </c>
      <c r="C36" s="75" t="str">
        <f>IF(AND(ROUND(Header!$D$34,6)=1,COUNTIF(Header!$D$24:$D$33,0.1)=10),"PASS - 10 markets at 10% each","CHECK - lines are not 10 x 10%")</f>
      </c>
      <c r="D36" s="75"/>
      <c r="E36" s="75"/>
    </row>
    <row r="39" spans="2:7" x14ac:dyDescent="0.25">
      <c r="B39" s="68" t="s">
        <v>294</v>
      </c>
      <c r="C39" s="68"/>
      <c r="D39" s="68"/>
      <c r="E39" s="68"/>
      <c r="F39" s="68"/>
      <c r="G39" s="68"/>
    </row>
    <row r="40" spans="2:7" x14ac:dyDescent="0.25">
      <c r="B40" s="25" t="s">
        <v>295</v>
      </c>
      <c r="C40" s="58">
        <f>SUMIF('UW Bordereaux'!$D$5:$D$828,"Bound*",'UW Bordereaux'!$AD$5:$AD$828)</f>
      </c>
    </row>
    <row r="41" spans="2:7" x14ac:dyDescent="0.25">
      <c r="B41" s="55" t="s">
        <v>296</v>
      </c>
      <c r="C41" s="59">
        <f>SUMIF('UW Bordereaux'!$D$5:$D$828,"Bound*",'UW Bordereaux'!$AO$5:$AO$828)</f>
      </c>
    </row>
    <row r="42" spans="2:7" x14ac:dyDescent="0.25">
      <c r="B42" s="55" t="s">
        <v>297</v>
      </c>
      <c r="C42" s="59">
        <f>SUMIF('UW Bordereaux'!$D$5:$D$828,"Bound*",'UW Bordereaux'!$AP$5:$AP$828)</f>
      </c>
    </row>
    <row r="43" spans="2:7" x14ac:dyDescent="0.25">
      <c r="B43" s="55" t="s">
        <v>298</v>
      </c>
      <c r="C43" s="59">
        <f>SUMIF('UW Bordereaux'!$D$5:$D$828,"Bound*",'UW Bordereaux'!$AQ$5:$AQ$828)</f>
      </c>
    </row>
    <row r="44" spans="2:7" x14ac:dyDescent="0.25">
      <c r="B44" s="55" t="s">
        <v>299</v>
      </c>
      <c r="C44" s="59">
        <f>C41+C42+C43</f>
      </c>
    </row>
    <row r="45" spans="2:7" x14ac:dyDescent="0.25">
      <c r="B45" s="25" t="s">
        <v>300</v>
      </c>
      <c r="C45" s="58">
        <f>C44-C40</f>
      </c>
      <c r="D45" s="53" t="str">
        <f>IF(ABS(C45)&lt;0.005,"AGREES to the cent","INVESTIGATE - components do not foot")</f>
      </c>
    </row>
    <row r="46" spans="2:7" x14ac:dyDescent="0.25">
      <c r="B46" s="55" t="s">
        <v>301</v>
      </c>
      <c r="C46" s="60">
        <f>IFERROR(C41/C40,0)</f>
      </c>
    </row>
    <row r="47" spans="2:7" x14ac:dyDescent="0.25">
      <c r="B47" s="55" t="s">
        <v>302</v>
      </c>
      <c r="C47" s="60">
        <f>IFERROR(C42/C40,0)</f>
      </c>
    </row>
    <row r="48" spans="2:7" x14ac:dyDescent="0.25">
      <c r="B48" s="55" t="s">
        <v>303</v>
      </c>
      <c r="C48" s="60">
        <f>IFERROR(C43/C40,0)</f>
      </c>
    </row>
    <row r="49" spans="2:7" x14ac:dyDescent="0.25">
      <c r="B49" s="55" t="s">
        <v>304</v>
      </c>
      <c r="C49" s="60">
        <f>IFERROR(C43/C40*0.1,0)</f>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