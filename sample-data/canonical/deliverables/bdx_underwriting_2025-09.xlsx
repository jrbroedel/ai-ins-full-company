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Bordereau" sheetId="2" state="visible" r:id="rId4"/>
    <sheet name="Reconciliation" sheetId="3" state="visible" r:id="rId5"/>
  </sheets>
  <definedNames>
    <definedName function="false" hidden="true" localSheetId="1" name="_xlnm._FilterDatabase" vbProcedure="false">Bordereau!$A$4:$AB$381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<sst xmlns="http://schemas.openxmlformats.org/spreadsheetml/2006/main" count="3464" uniqueCount="1246">
  <si>
    <t xml:space="preserve">Underwriting BDX — 2025-09</t>
  </si>
  <si>
    <t xml:space="preserve">Source: canonical_dataset.json (ADR 0043), sha256 0a3d67e8774e8cd1… — verified against canonical_manifest.json. All figures derive read-only from that frozen artifact; no new numbers generated. Styling follows the MGA Program Master conventions (Arial; navy title banners; blue section headers; semantic tab colours; 1-dp percentages).</t>
  </si>
  <si>
    <t xml:space="preserve">Scope</t>
  </si>
  <si>
    <t xml:space="preserve">Bound business only (377 policies incepting 2025-09).</t>
  </si>
  <si>
    <t xml:space="preserve">Gross written premium</t>
  </si>
  <si>
    <t xml:space="preserve">$3,830,596.87</t>
  </si>
  <si>
    <t xml:space="preserve">Commission stack</t>
  </si>
  <si>
    <t xml:space="preserve">12.5% Broker + 12.5% MGA (Torque) + 75% to capacity (7.5% ×10 syndicates).</t>
  </si>
  <si>
    <t xml:space="preserve">Verifies against</t>
  </si>
  <si>
    <t xml:space="preserve">rater_sample_2025-09.xlsx (its GWP == that policy's Bordereau row).</t>
  </si>
  <si>
    <t xml:space="preserve">Underwriting Bordereau — 2025-09  (Bound business only)</t>
  </si>
  <si>
    <t xml:space="preserve">One row per bound policy incepting this month. Premium bordereau convention: declines and referrals never appear. Figures read-only from the frozen artifact.</t>
  </si>
  <si>
    <t xml:space="preserve">Certificate/Policy Ref</t>
  </si>
  <si>
    <t xml:space="preserve">Named Insured</t>
  </si>
  <si>
    <t xml:space="preserve">Effective Date</t>
  </si>
  <si>
    <t xml:space="preserve">Expiry Date</t>
  </si>
  <si>
    <t xml:space="preserve">Vehicle Year</t>
  </si>
  <si>
    <t xml:space="preserve">Make</t>
  </si>
  <si>
    <t xml:space="preserve">Model</t>
  </si>
  <si>
    <t xml:space="preserve">VIN</t>
  </si>
  <si>
    <t xml:space="preserve">Vehicle Class</t>
  </si>
  <si>
    <t xml:space="preserve">Agreed Value (USD)</t>
  </si>
  <si>
    <t xml:space="preserve">Garaging State</t>
  </si>
  <si>
    <t xml:space="preserve">Gross Written Premium</t>
  </si>
  <si>
    <t xml:space="preserve">Broker Commission 12.5%</t>
  </si>
  <si>
    <t xml:space="preserve">MGA (Torque) Commission 12.5%</t>
  </si>
  <si>
    <t xml:space="preserve">Net to Capacity 75%</t>
  </si>
  <si>
    <t xml:space="preserve">Beazley</t>
  </si>
  <si>
    <t xml:space="preserve">Hiscox</t>
  </si>
  <si>
    <t xml:space="preserve">Chaucer</t>
  </si>
  <si>
    <t xml:space="preserve">Ark</t>
  </si>
  <si>
    <t xml:space="preserve">Brit</t>
  </si>
  <si>
    <t xml:space="preserve">Canopius</t>
  </si>
  <si>
    <t xml:space="preserve">Apollo</t>
  </si>
  <si>
    <t xml:space="preserve">Antares</t>
  </si>
  <si>
    <t xml:space="preserve">MS Amlin</t>
  </si>
  <si>
    <t xml:space="preserve">Ascot</t>
  </si>
  <si>
    <t xml:space="preserve">Policy Fee</t>
  </si>
  <si>
    <t xml:space="preserve">Inspection Fee</t>
  </si>
  <si>
    <t xml:space="preserve">Total Fees</t>
  </si>
  <si>
    <t xml:space="preserve">CANON-202509-000565</t>
  </si>
  <si>
    <t xml:space="preserve">Emiliano Vasquez</t>
  </si>
  <si>
    <t xml:space="preserve">2025-09-11</t>
  </si>
  <si>
    <t xml:space="preserve">2026-09-11</t>
  </si>
  <si>
    <t xml:space="preserve">McLaren</t>
  </si>
  <si>
    <t xml:space="preserve">750S</t>
  </si>
  <si>
    <t xml:space="preserve">WDAWE1A5UR7J8EHEF</t>
  </si>
  <si>
    <t xml:space="preserve">03 - Supercar</t>
  </si>
  <si>
    <t xml:space="preserve">Maine</t>
  </si>
  <si>
    <t xml:space="preserve">CANON-202509-000566</t>
  </si>
  <si>
    <t xml:space="preserve">Thaddeus Nakashima</t>
  </si>
  <si>
    <t xml:space="preserve">2025-09-14</t>
  </si>
  <si>
    <t xml:space="preserve">2026-09-14</t>
  </si>
  <si>
    <t xml:space="preserve">Bentley</t>
  </si>
  <si>
    <t xml:space="preserve">Continental GT</t>
  </si>
  <si>
    <t xml:space="preserve">667YFKUF6FAGNU6ZL</t>
  </si>
  <si>
    <t xml:space="preserve">02 - Sports / GT</t>
  </si>
  <si>
    <t xml:space="preserve">North Carolina</t>
  </si>
  <si>
    <t xml:space="preserve">CANON-202509-000567</t>
  </si>
  <si>
    <t xml:space="preserve">Leopold Okonkwo</t>
  </si>
  <si>
    <t xml:space="preserve">2025-09-15</t>
  </si>
  <si>
    <t xml:space="preserve">2026-09-15</t>
  </si>
  <si>
    <t xml:space="preserve">Ferrari</t>
  </si>
  <si>
    <t xml:space="preserve">296 GTB</t>
  </si>
  <si>
    <t xml:space="preserve">TB94FPKVL9Z9WPBRF</t>
  </si>
  <si>
    <t xml:space="preserve">Pennsylvania</t>
  </si>
  <si>
    <t xml:space="preserve">CANON-202509-000568</t>
  </si>
  <si>
    <t xml:space="preserve">Mireille Vasquez</t>
  </si>
  <si>
    <t xml:space="preserve">2025-09-12</t>
  </si>
  <si>
    <t xml:space="preserve">2026-09-12</t>
  </si>
  <si>
    <t xml:space="preserve">Aston Martin</t>
  </si>
  <si>
    <t xml:space="preserve">DB12</t>
  </si>
  <si>
    <t xml:space="preserve">34RUHBHDEL6RK6P22</t>
  </si>
  <si>
    <t xml:space="preserve">Indiana</t>
  </si>
  <si>
    <t xml:space="preserve">CANON-202509-000569</t>
  </si>
  <si>
    <t xml:space="preserve">Everett Merriweather</t>
  </si>
  <si>
    <t xml:space="preserve">2025-09-09</t>
  </si>
  <si>
    <t xml:space="preserve">2026-09-09</t>
  </si>
  <si>
    <t xml:space="preserve">PSEW35MH9J2P33J28</t>
  </si>
  <si>
    <t xml:space="preserve">Kansas</t>
  </si>
  <si>
    <t xml:space="preserve">CANON-202509-000570</t>
  </si>
  <si>
    <t xml:space="preserve">Everett Fairweather</t>
  </si>
  <si>
    <t xml:space="preserve">2025-09-16</t>
  </si>
  <si>
    <t xml:space="preserve">2026-09-16</t>
  </si>
  <si>
    <t xml:space="preserve">8DU8SKKB9NGJW8DYE</t>
  </si>
  <si>
    <t xml:space="preserve">CANON-202509-000571</t>
  </si>
  <si>
    <t xml:space="preserve">Lorenzo Fairweather</t>
  </si>
  <si>
    <t xml:space="preserve">2025-09-21</t>
  </si>
  <si>
    <t xml:space="preserve">2026-09-21</t>
  </si>
  <si>
    <t xml:space="preserve">Ringbrothers</t>
  </si>
  <si>
    <t xml:space="preserve">Mustang</t>
  </si>
  <si>
    <t xml:space="preserve">ALNTHFVG8YF0SD92R</t>
  </si>
  <si>
    <t xml:space="preserve">11 - Restomod / Coachbuilt / Bespoke</t>
  </si>
  <si>
    <t xml:space="preserve">Michigan</t>
  </si>
  <si>
    <t xml:space="preserve">CANON-202509-000572</t>
  </si>
  <si>
    <t xml:space="preserve">Desmond Thistlewood</t>
  </si>
  <si>
    <t xml:space="preserve">2025-09-08</t>
  </si>
  <si>
    <t xml:space="preserve">2026-09-08</t>
  </si>
  <si>
    <t xml:space="preserve">SF90 Stradale</t>
  </si>
  <si>
    <t xml:space="preserve">NREU193XRKX4GY0TT</t>
  </si>
  <si>
    <t xml:space="preserve">Delaware</t>
  </si>
  <si>
    <t xml:space="preserve">CANON-202509-000573</t>
  </si>
  <si>
    <t xml:space="preserve">Mireille Delacroix</t>
  </si>
  <si>
    <t xml:space="preserve">2025-09-29</t>
  </si>
  <si>
    <t xml:space="preserve">2026-09-29</t>
  </si>
  <si>
    <t xml:space="preserve">275 GTB/4</t>
  </si>
  <si>
    <t xml:space="preserve">D6B5W4DJC0UN7XF5K</t>
  </si>
  <si>
    <t xml:space="preserve">07 - Post-War Classic (1946-1972)</t>
  </si>
  <si>
    <t xml:space="preserve">Illinois</t>
  </si>
  <si>
    <t xml:space="preserve">CANON-202509-000575</t>
  </si>
  <si>
    <t xml:space="preserve">Saoirse Delacroix</t>
  </si>
  <si>
    <t xml:space="preserve">2025-09-17</t>
  </si>
  <si>
    <t xml:space="preserve">2026-09-17</t>
  </si>
  <si>
    <t xml:space="preserve">Mercedes-Benz</t>
  </si>
  <si>
    <t xml:space="preserve">AMG GT</t>
  </si>
  <si>
    <t xml:space="preserve">20RTSFKCAWXXYR45R</t>
  </si>
  <si>
    <t xml:space="preserve">Idaho</t>
  </si>
  <si>
    <t xml:space="preserve">CANON-202509-000576</t>
  </si>
  <si>
    <t xml:space="preserve">Cassius Delacroix</t>
  </si>
  <si>
    <t xml:space="preserve">BMW</t>
  </si>
  <si>
    <t xml:space="preserve">M8 Competition</t>
  </si>
  <si>
    <t xml:space="preserve">DXLH3V2N4TCXGTW4V</t>
  </si>
  <si>
    <t xml:space="preserve">Arkansas</t>
  </si>
  <si>
    <t xml:space="preserve">CANON-202509-000579</t>
  </si>
  <si>
    <t xml:space="preserve">Fitzgerald Bellandi</t>
  </si>
  <si>
    <t xml:space="preserve">2025-09-23</t>
  </si>
  <si>
    <t xml:space="preserve">2026-09-23</t>
  </si>
  <si>
    <t xml:space="preserve">HCJZDHZZUA7J6S0RA</t>
  </si>
  <si>
    <t xml:space="preserve">Montana</t>
  </si>
  <si>
    <t xml:space="preserve">CANON-202509-000580</t>
  </si>
  <si>
    <t xml:space="preserve">Emiliano Bellandi</t>
  </si>
  <si>
    <t xml:space="preserve">2025-09-27</t>
  </si>
  <si>
    <t xml:space="preserve">2026-09-27</t>
  </si>
  <si>
    <t xml:space="preserve">LM71GF2CHFE305C5E</t>
  </si>
  <si>
    <t xml:space="preserve">New York</t>
  </si>
  <si>
    <t xml:space="preserve">CANON-202509-000581</t>
  </si>
  <si>
    <t xml:space="preserve">Thaddeus Kingsford</t>
  </si>
  <si>
    <t xml:space="preserve">2025-09-22</t>
  </si>
  <si>
    <t xml:space="preserve">2026-09-22</t>
  </si>
  <si>
    <t xml:space="preserve">280SL Pagoda</t>
  </si>
  <si>
    <t xml:space="preserve">TAWL4BPMSB3NGKM9X</t>
  </si>
  <si>
    <t xml:space="preserve">West Virginia</t>
  </si>
  <si>
    <t xml:space="preserve">CANON-202509-000584</t>
  </si>
  <si>
    <t xml:space="preserve">Horace Rourke</t>
  </si>
  <si>
    <t xml:space="preserve">2025-09-30</t>
  </si>
  <si>
    <t xml:space="preserve">2026-09-30</t>
  </si>
  <si>
    <t xml:space="preserve">Porsche</t>
  </si>
  <si>
    <t xml:space="preserve">911 Turbo S</t>
  </si>
  <si>
    <t xml:space="preserve">92ATHJ3NXS4Z6LCEJ</t>
  </si>
  <si>
    <t xml:space="preserve">Ohio</t>
  </si>
  <si>
    <t xml:space="preserve">CANON-202509-000585</t>
  </si>
  <si>
    <t xml:space="preserve">Aurelio Okonkwo</t>
  </si>
  <si>
    <t xml:space="preserve">XYX7CRYF8UAJPEUJU</t>
  </si>
  <si>
    <t xml:space="preserve">Texas</t>
  </si>
  <si>
    <t xml:space="preserve">CANON-202509-000586</t>
  </si>
  <si>
    <t xml:space="preserve">Marisol Okonkwo</t>
  </si>
  <si>
    <t xml:space="preserve">2025-09-10</t>
  </si>
  <si>
    <t xml:space="preserve">2026-09-10</t>
  </si>
  <si>
    <t xml:space="preserve">Maserati</t>
  </si>
  <si>
    <t xml:space="preserve">GranTurismo</t>
  </si>
  <si>
    <t xml:space="preserve">EXHWMNVTRU5ZWNLWT</t>
  </si>
  <si>
    <t xml:space="preserve">CANON-202509-000587</t>
  </si>
  <si>
    <t xml:space="preserve">Wilhelmina Nakashima</t>
  </si>
  <si>
    <t xml:space="preserve">2025-09-25</t>
  </si>
  <si>
    <t xml:space="preserve">2026-09-25</t>
  </si>
  <si>
    <t xml:space="preserve">JW8BVKUSTPUECCDR5</t>
  </si>
  <si>
    <t xml:space="preserve">Colorado</t>
  </si>
  <si>
    <t xml:space="preserve">CANON-202509-000588</t>
  </si>
  <si>
    <t xml:space="preserve">Callum Harrington</t>
  </si>
  <si>
    <t xml:space="preserve">KW7UMKXTV1BS4JM5U</t>
  </si>
  <si>
    <t xml:space="preserve">Massachusetts</t>
  </si>
  <si>
    <t xml:space="preserve">CANON-202509-000591</t>
  </si>
  <si>
    <t xml:space="preserve">Saoirse Underwood</t>
  </si>
  <si>
    <t xml:space="preserve">Jaguar</t>
  </si>
  <si>
    <t xml:space="preserve">E-Type Series 1</t>
  </si>
  <si>
    <t xml:space="preserve">53FBGUXD1UMVV8CDU</t>
  </si>
  <si>
    <t xml:space="preserve">CANON-202509-000592</t>
  </si>
  <si>
    <t xml:space="preserve">Ottilie Blackwood</t>
  </si>
  <si>
    <t xml:space="preserve">TP45VMSDKTDTKSHKM</t>
  </si>
  <si>
    <t xml:space="preserve">CANON-202509-000593</t>
  </si>
  <si>
    <t xml:space="preserve">Cassius Pennington</t>
  </si>
  <si>
    <t xml:space="preserve">Lamborghini</t>
  </si>
  <si>
    <t xml:space="preserve">Huracan EVO</t>
  </si>
  <si>
    <t xml:space="preserve">PNYCFJBM3M4RA70C1</t>
  </si>
  <si>
    <t xml:space="preserve">South Carolina</t>
  </si>
  <si>
    <t xml:space="preserve">CANON-202509-000596</t>
  </si>
  <si>
    <t xml:space="preserve">Desmond Kingsford</t>
  </si>
  <si>
    <t xml:space="preserve">2025-09-28</t>
  </si>
  <si>
    <t xml:space="preserve">2026-09-28</t>
  </si>
  <si>
    <t xml:space="preserve">VP7GCXA394739UJ5W</t>
  </si>
  <si>
    <t xml:space="preserve">CANON-202509-000597</t>
  </si>
  <si>
    <t xml:space="preserve">Beatrix Kingsford</t>
  </si>
  <si>
    <t xml:space="preserve">5SN6SAZ1SCPYW8608</t>
  </si>
  <si>
    <t xml:space="preserve">CANON-202509-000599</t>
  </si>
  <si>
    <t xml:space="preserve">Callum Montoya</t>
  </si>
  <si>
    <t xml:space="preserve">0YDY4LCNTWHPSJE2R</t>
  </si>
  <si>
    <t xml:space="preserve">CANON-202509-000600</t>
  </si>
  <si>
    <t xml:space="preserve">Fitzgerald Kingsford</t>
  </si>
  <si>
    <t xml:space="preserve">58P2ZJ2F0J27H658D</t>
  </si>
  <si>
    <t xml:space="preserve">CANON-202509-000604</t>
  </si>
  <si>
    <t xml:space="preserve">Wilhelmina Okonkwo</t>
  </si>
  <si>
    <t xml:space="preserve">18Y21WD2UP797J2FC</t>
  </si>
  <si>
    <t xml:space="preserve">CANON-202509-000608</t>
  </si>
  <si>
    <t xml:space="preserve">Leopold Whitlock</t>
  </si>
  <si>
    <t xml:space="preserve">P6J6GDBL3YYHYXZ1S</t>
  </si>
  <si>
    <t xml:space="preserve">CANON-202509-000609</t>
  </si>
  <si>
    <t xml:space="preserve">Horace Castellanos</t>
  </si>
  <si>
    <t xml:space="preserve">2025-09-13</t>
  </si>
  <si>
    <t xml:space="preserve">2026-09-13</t>
  </si>
  <si>
    <t xml:space="preserve">CAN5PA4X1N5459UNZ</t>
  </si>
  <si>
    <t xml:space="preserve">California</t>
  </si>
  <si>
    <t xml:space="preserve">CANON-202509-000610</t>
  </si>
  <si>
    <t xml:space="preserve">Horace Kingsford</t>
  </si>
  <si>
    <t xml:space="preserve">3D34S6Y6SKYGRBN1N</t>
  </si>
  <si>
    <t xml:space="preserve">CANON-202509-000612</t>
  </si>
  <si>
    <t xml:space="preserve">Horace Nakashima</t>
  </si>
  <si>
    <t xml:space="preserve">WB98D9HA1HK6TGJR5</t>
  </si>
  <si>
    <t xml:space="preserve">Tennessee</t>
  </si>
  <si>
    <t xml:space="preserve">CANON-202509-000613</t>
  </si>
  <si>
    <t xml:space="preserve">Noor Pennington</t>
  </si>
  <si>
    <t xml:space="preserve">Icon</t>
  </si>
  <si>
    <t xml:space="preserve">Derelict</t>
  </si>
  <si>
    <t xml:space="preserve">VK5LU1MLM7WKF3FYK</t>
  </si>
  <si>
    <t xml:space="preserve">CANON-202509-000614</t>
  </si>
  <si>
    <t xml:space="preserve">Desmond Larsson</t>
  </si>
  <si>
    <t xml:space="preserve">7AZHRDAP7JETFHV9Y</t>
  </si>
  <si>
    <t xml:space="preserve">CANON-202509-000615</t>
  </si>
  <si>
    <t xml:space="preserve">Anouk Farkas</t>
  </si>
  <si>
    <t xml:space="preserve">2140D0JW8VU4TLEXE</t>
  </si>
  <si>
    <t xml:space="preserve">New Jersey</t>
  </si>
  <si>
    <t xml:space="preserve">CANON-202509-000616</t>
  </si>
  <si>
    <t xml:space="preserve">Horace Harrington</t>
  </si>
  <si>
    <t xml:space="preserve">2025-09-20</t>
  </si>
  <si>
    <t xml:space="preserve">2026-09-20</t>
  </si>
  <si>
    <t xml:space="preserve">7533D8EXPP6EL95NT</t>
  </si>
  <si>
    <t xml:space="preserve">Nevada</t>
  </si>
  <si>
    <t xml:space="preserve">CANON-202509-000621</t>
  </si>
  <si>
    <t xml:space="preserve">Ramona Blackwood</t>
  </si>
  <si>
    <t xml:space="preserve">2025-09-05</t>
  </si>
  <si>
    <t xml:space="preserve">2026-09-05</t>
  </si>
  <si>
    <t xml:space="preserve">N1E9YNV28N89WHE7A</t>
  </si>
  <si>
    <t xml:space="preserve">CANON-202509-000622</t>
  </si>
  <si>
    <t xml:space="preserve">Leopold Bellandi</t>
  </si>
  <si>
    <t xml:space="preserve">4ELD15NBC920BHZ79</t>
  </si>
  <si>
    <t xml:space="preserve">CANON-202509-000623</t>
  </si>
  <si>
    <t xml:space="preserve">Callum Chattopadhyay</t>
  </si>
  <si>
    <t xml:space="preserve">Z7ALHTECN80FH2UTY</t>
  </si>
  <si>
    <t xml:space="preserve">CANON-202509-000624</t>
  </si>
  <si>
    <t xml:space="preserve">Fenwick Thistlewood</t>
  </si>
  <si>
    <t xml:space="preserve">2025-09-06</t>
  </si>
  <si>
    <t xml:space="preserve">2026-09-06</t>
  </si>
  <si>
    <t xml:space="preserve">MSFNFYTV0DBFADJAY</t>
  </si>
  <si>
    <t xml:space="preserve">Alaska</t>
  </si>
  <si>
    <t xml:space="preserve">CANON-202509-000625</t>
  </si>
  <si>
    <t xml:space="preserve">Sunniva Fairweather</t>
  </si>
  <si>
    <t xml:space="preserve">2025-09-19</t>
  </si>
  <si>
    <t xml:space="preserve">2026-09-19</t>
  </si>
  <si>
    <t xml:space="preserve">8VT8LBZ3YKWT4LNWM</t>
  </si>
  <si>
    <t xml:space="preserve">New Hampshire</t>
  </si>
  <si>
    <t xml:space="preserve">CANON-202509-000626</t>
  </si>
  <si>
    <t xml:space="preserve">Fenwick Bellandi</t>
  </si>
  <si>
    <t xml:space="preserve">1RFG3KVT7HU20BD87</t>
  </si>
  <si>
    <t xml:space="preserve">CANON-202509-000627</t>
  </si>
  <si>
    <t xml:space="preserve">Desmond Bellandi</t>
  </si>
  <si>
    <t xml:space="preserve">1R3C1J9BGN0MFMPMX</t>
  </si>
  <si>
    <t xml:space="preserve">Florida</t>
  </si>
  <si>
    <t xml:space="preserve">CANON-202509-000628</t>
  </si>
  <si>
    <t xml:space="preserve">Ottilie Montoya</t>
  </si>
  <si>
    <t xml:space="preserve">95KZCHGYSJS2CDXAA</t>
  </si>
  <si>
    <t xml:space="preserve">CANON-202509-000631</t>
  </si>
  <si>
    <t xml:space="preserve">Bugatti</t>
  </si>
  <si>
    <t xml:space="preserve">Type 57</t>
  </si>
  <si>
    <t xml:space="preserve">DENFLZ18YLYSBT1W7</t>
  </si>
  <si>
    <t xml:space="preserve">06 - Vintage Pre-War (pre-1946)</t>
  </si>
  <si>
    <t xml:space="preserve">CANON-202509-000632</t>
  </si>
  <si>
    <t xml:space="preserve">Everett Nakashima</t>
  </si>
  <si>
    <t xml:space="preserve">2025-09-07</t>
  </si>
  <si>
    <t xml:space="preserve">2026-09-07</t>
  </si>
  <si>
    <t xml:space="preserve">HXTNEVVLSW88BDS1N</t>
  </si>
  <si>
    <t xml:space="preserve">CANON-202509-000633</t>
  </si>
  <si>
    <t xml:space="preserve">Callum Vasquez</t>
  </si>
  <si>
    <t xml:space="preserve">8RWTHH148LR1NFD2A</t>
  </si>
  <si>
    <t xml:space="preserve">CANON-202509-000634</t>
  </si>
  <si>
    <t xml:space="preserve">Priya Thistlewood</t>
  </si>
  <si>
    <t xml:space="preserve">JXSD2UWFMYXB7TEGA</t>
  </si>
  <si>
    <t xml:space="preserve">CANON-202509-000639</t>
  </si>
  <si>
    <t xml:space="preserve">Noor Vandermeer</t>
  </si>
  <si>
    <t xml:space="preserve">HWZ3P2JZWDR3CWNL7</t>
  </si>
  <si>
    <t xml:space="preserve">CANON-202509-000641</t>
  </si>
  <si>
    <t xml:space="preserve">Beatrix Blackwood</t>
  </si>
  <si>
    <t xml:space="preserve">A6HJM78W4LWZZ1WLK</t>
  </si>
  <si>
    <t xml:space="preserve">Missouri</t>
  </si>
  <si>
    <t xml:space="preserve">CANON-202509-000642</t>
  </si>
  <si>
    <t xml:space="preserve">Thaddeus Delacroix</t>
  </si>
  <si>
    <t xml:space="preserve">KBPCVZDE226GXNA7A</t>
  </si>
  <si>
    <t xml:space="preserve">CANON-202509-000643</t>
  </si>
  <si>
    <t xml:space="preserve">Callum Underwood</t>
  </si>
  <si>
    <t xml:space="preserve">VT4V6CD4KSL6X92GZ</t>
  </si>
  <si>
    <t xml:space="preserve">CANON-202509-000644</t>
  </si>
  <si>
    <t xml:space="preserve">Ramona Whitlock</t>
  </si>
  <si>
    <t xml:space="preserve">XV6GMHCMZ5ZGTX1D4</t>
  </si>
  <si>
    <t xml:space="preserve">CANON-202509-000645</t>
  </si>
  <si>
    <t xml:space="preserve">6C912CMKBFPG1CPKR</t>
  </si>
  <si>
    <t xml:space="preserve">Connecticut</t>
  </si>
  <si>
    <t xml:space="preserve">CANON-202509-000647</t>
  </si>
  <si>
    <t xml:space="preserve">Wilhelmina Bellandi</t>
  </si>
  <si>
    <t xml:space="preserve">2025-09-04</t>
  </si>
  <si>
    <t xml:space="preserve">2026-09-04</t>
  </si>
  <si>
    <t xml:space="preserve">1LTWZTJWZE5A8ZH1V</t>
  </si>
  <si>
    <t xml:space="preserve">Rhode Island</t>
  </si>
  <si>
    <t xml:space="preserve">CANON-202509-000648</t>
  </si>
  <si>
    <t xml:space="preserve">Fenwick Rourke</t>
  </si>
  <si>
    <t xml:space="preserve">2025-09-24</t>
  </si>
  <si>
    <t xml:space="preserve">2026-09-24</t>
  </si>
  <si>
    <t xml:space="preserve">SK5HTE8LX7XWP2N8D</t>
  </si>
  <si>
    <t xml:space="preserve">Minnesota</t>
  </si>
  <si>
    <t xml:space="preserve">CANON-202509-000650</t>
  </si>
  <si>
    <t xml:space="preserve">Marisol Castellanos</t>
  </si>
  <si>
    <t xml:space="preserve">WC1SYY2DGDTEDTYR7</t>
  </si>
  <si>
    <t xml:space="preserve">Alabama</t>
  </si>
  <si>
    <t xml:space="preserve">CANON-202509-000651</t>
  </si>
  <si>
    <t xml:space="preserve">Desmond Castellanos</t>
  </si>
  <si>
    <t xml:space="preserve">8Y3DT034962R6FDHL</t>
  </si>
  <si>
    <t xml:space="preserve">CANON-202509-000654</t>
  </si>
  <si>
    <t xml:space="preserve">Fitzgerald Delacroix</t>
  </si>
  <si>
    <t xml:space="preserve">0ZGH1JZ8WHSW6UTA2</t>
  </si>
  <si>
    <t xml:space="preserve">CANON-202509-000655</t>
  </si>
  <si>
    <t xml:space="preserve">Priya Chattopadhyay</t>
  </si>
  <si>
    <t xml:space="preserve">2025-09-18</t>
  </si>
  <si>
    <t xml:space="preserve">2026-09-18</t>
  </si>
  <si>
    <t xml:space="preserve">UU3SXJPNKS85656E0</t>
  </si>
  <si>
    <t xml:space="preserve">CANON-202509-000656</t>
  </si>
  <si>
    <t xml:space="preserve">Noor Farkas</t>
  </si>
  <si>
    <t xml:space="preserve">492BJ8MDCU9RG0CFL</t>
  </si>
  <si>
    <t xml:space="preserve">CANON-202509-000659</t>
  </si>
  <si>
    <t xml:space="preserve">Fenwick Merriweather</t>
  </si>
  <si>
    <t xml:space="preserve">AHS24MVBU8SEXHTS7</t>
  </si>
  <si>
    <t xml:space="preserve">Utah</t>
  </si>
  <si>
    <t xml:space="preserve">CANON-202509-000660</t>
  </si>
  <si>
    <t xml:space="preserve">Mireille Underwood</t>
  </si>
  <si>
    <t xml:space="preserve">N3Y3BBP8PG7HJYE7R</t>
  </si>
  <si>
    <t xml:space="preserve">CANON-202509-000661</t>
  </si>
  <si>
    <t xml:space="preserve">Lorenzo Blackwood</t>
  </si>
  <si>
    <t xml:space="preserve">P4UK97CGZWT1YAPTW</t>
  </si>
  <si>
    <t xml:space="preserve">Hawaii</t>
  </si>
  <si>
    <t xml:space="preserve">CANON-202509-000662</t>
  </si>
  <si>
    <t xml:space="preserve">K1G9S5MWV70U1ZNBV</t>
  </si>
  <si>
    <t xml:space="preserve">CANON-202509-000663</t>
  </si>
  <si>
    <t xml:space="preserve">Sunniva Okonkwo</t>
  </si>
  <si>
    <t xml:space="preserve">JKG6W1YJVDJE85A3T</t>
  </si>
  <si>
    <t xml:space="preserve">Wyoming</t>
  </si>
  <si>
    <t xml:space="preserve">CANON-202509-000664</t>
  </si>
  <si>
    <t xml:space="preserve">Sunniva Pennington</t>
  </si>
  <si>
    <t xml:space="preserve">3WNHUWTD5E70RGZPA</t>
  </si>
  <si>
    <t xml:space="preserve">CANON-202509-000665</t>
  </si>
  <si>
    <t xml:space="preserve">Ramona Bellandi</t>
  </si>
  <si>
    <t xml:space="preserve">83L9AM43X761GPWA2</t>
  </si>
  <si>
    <t xml:space="preserve">CANON-202509-000667</t>
  </si>
  <si>
    <t xml:space="preserve">Fenwick Vandermeer</t>
  </si>
  <si>
    <t xml:space="preserve">JGADXXB2GK7J202WY</t>
  </si>
  <si>
    <t xml:space="preserve">Oregon</t>
  </si>
  <si>
    <t xml:space="preserve">CANON-202509-000669</t>
  </si>
  <si>
    <t xml:space="preserve">Thaddeus Larsson</t>
  </si>
  <si>
    <t xml:space="preserve">C8JWKUWT0NH8R1BLP</t>
  </si>
  <si>
    <t xml:space="preserve">CANON-202509-000670</t>
  </si>
  <si>
    <t xml:space="preserve">Anouk Nakashima</t>
  </si>
  <si>
    <t xml:space="preserve">2025-09-01</t>
  </si>
  <si>
    <t xml:space="preserve">2026-09-01</t>
  </si>
  <si>
    <t xml:space="preserve">T7MLYUVR221VJD57K</t>
  </si>
  <si>
    <t xml:space="preserve">CANON-202509-000671</t>
  </si>
  <si>
    <t xml:space="preserve">Lorenzo Okonkwo</t>
  </si>
  <si>
    <t xml:space="preserve">6D8G5SRUN4MB85N11</t>
  </si>
  <si>
    <t xml:space="preserve">CANON-202509-000672</t>
  </si>
  <si>
    <t xml:space="preserve">Noor Delacroix</t>
  </si>
  <si>
    <t xml:space="preserve">2025-09-03</t>
  </si>
  <si>
    <t xml:space="preserve">2026-09-03</t>
  </si>
  <si>
    <t xml:space="preserve">Singer</t>
  </si>
  <si>
    <t xml:space="preserve">911 Reimagined</t>
  </si>
  <si>
    <t xml:space="preserve">60753UTVAHDJH29YK</t>
  </si>
  <si>
    <t xml:space="preserve">Virginia</t>
  </si>
  <si>
    <t xml:space="preserve">CANON-202509-000673</t>
  </si>
  <si>
    <t xml:space="preserve">EMEBCH50056HNB3CX</t>
  </si>
  <si>
    <t xml:space="preserve">CANON-202509-000674</t>
  </si>
  <si>
    <t xml:space="preserve">Wilhelmina Pennington</t>
  </si>
  <si>
    <t xml:space="preserve">YRL9BZ1XD11HY7R6M</t>
  </si>
  <si>
    <t xml:space="preserve">Vermont</t>
  </si>
  <si>
    <t xml:space="preserve">CANON-202509-000675</t>
  </si>
  <si>
    <t xml:space="preserve">Wilhelmina Rourke</t>
  </si>
  <si>
    <t xml:space="preserve">H0BPZ7S0E1R6VLYVU</t>
  </si>
  <si>
    <t xml:space="preserve">CANON-202509-000676</t>
  </si>
  <si>
    <t xml:space="preserve">Sunniva Chattopadhyay</t>
  </si>
  <si>
    <t xml:space="preserve">EFRRUX7W5M48JRL8U</t>
  </si>
  <si>
    <t xml:space="preserve">CANON-202509-000677</t>
  </si>
  <si>
    <t xml:space="preserve">T9T8Z5VD8SCJH5ME8</t>
  </si>
  <si>
    <t xml:space="preserve">CANON-202509-000679</t>
  </si>
  <si>
    <t xml:space="preserve">Fenwick Harrington</t>
  </si>
  <si>
    <t xml:space="preserve">B06PH4K170BMRLY1F</t>
  </si>
  <si>
    <t xml:space="preserve">CANON-202509-000680</t>
  </si>
  <si>
    <t xml:space="preserve">Lorenzo Delacroix</t>
  </si>
  <si>
    <t xml:space="preserve">2025-09-02</t>
  </si>
  <si>
    <t xml:space="preserve">2026-09-02</t>
  </si>
  <si>
    <t xml:space="preserve">NDV8UL93ZHE3JSEZD</t>
  </si>
  <si>
    <t xml:space="preserve">CANON-202509-000681</t>
  </si>
  <si>
    <t xml:space="preserve">EE8Z67ADAUFL4S60T</t>
  </si>
  <si>
    <t xml:space="preserve">CANON-202509-000682</t>
  </si>
  <si>
    <t xml:space="preserve">Saoirse Castellanos</t>
  </si>
  <si>
    <t xml:space="preserve">R7KMZ79J8HWS9098K</t>
  </si>
  <si>
    <t xml:space="preserve">CANON-202509-000683</t>
  </si>
  <si>
    <t xml:space="preserve">Fitzgerald Montoya</t>
  </si>
  <si>
    <t xml:space="preserve">FXHR0G7EZKRF8Y4GV</t>
  </si>
  <si>
    <t xml:space="preserve">CANON-202509-000684</t>
  </si>
  <si>
    <t xml:space="preserve">Noor Larsson</t>
  </si>
  <si>
    <t xml:space="preserve">LEATEDYF30BHB8LHD</t>
  </si>
  <si>
    <t xml:space="preserve">CANON-202509-000685</t>
  </si>
  <si>
    <t xml:space="preserve">Ingrid Chattopadhyay</t>
  </si>
  <si>
    <t xml:space="preserve">8YH1WJ52GR39Y8D0N</t>
  </si>
  <si>
    <t xml:space="preserve">CANON-202509-000687</t>
  </si>
  <si>
    <t xml:space="preserve">Aurelio Pennington</t>
  </si>
  <si>
    <t xml:space="preserve">P6N7PT9A8XP58MZND</t>
  </si>
  <si>
    <t xml:space="preserve">CANON-202509-000688</t>
  </si>
  <si>
    <t xml:space="preserve">Leopold Underwood</t>
  </si>
  <si>
    <t xml:space="preserve">ESTJK5T2S3RCV0LU5</t>
  </si>
  <si>
    <t xml:space="preserve">CANON-202509-000689</t>
  </si>
  <si>
    <t xml:space="preserve">Beatrix Okonkwo</t>
  </si>
  <si>
    <t xml:space="preserve">Alfa Romeo</t>
  </si>
  <si>
    <t xml:space="preserve">8C 2900</t>
  </si>
  <si>
    <t xml:space="preserve">9LAUHZ64VNWM2V5XR</t>
  </si>
  <si>
    <t xml:space="preserve">CANON-202509-000692</t>
  </si>
  <si>
    <t xml:space="preserve">Leopold Thistlewood</t>
  </si>
  <si>
    <t xml:space="preserve">MSTVXW441K8JHFGAK</t>
  </si>
  <si>
    <t xml:space="preserve">CANON-202509-000693</t>
  </si>
  <si>
    <t xml:space="preserve">Anouk Chattopadhyay</t>
  </si>
  <si>
    <t xml:space="preserve">K81BJM29ZC2ZM65KU</t>
  </si>
  <si>
    <t xml:space="preserve">CANON-202509-000694</t>
  </si>
  <si>
    <t xml:space="preserve">TNMSB0RGNVZE5109P</t>
  </si>
  <si>
    <t xml:space="preserve">CANON-202509-000695</t>
  </si>
  <si>
    <t xml:space="preserve">Marisol Vasquez</t>
  </si>
  <si>
    <t xml:space="preserve">MHZPY33NUMFLB5H9G</t>
  </si>
  <si>
    <t xml:space="preserve">CANON-202509-000696</t>
  </si>
  <si>
    <t xml:space="preserve">Ottilie Pennington</t>
  </si>
  <si>
    <t xml:space="preserve">5V5DX5TH2MNJKL1Z9</t>
  </si>
  <si>
    <t xml:space="preserve">Washington</t>
  </si>
  <si>
    <t xml:space="preserve">CANON-202509-000697</t>
  </si>
  <si>
    <t xml:space="preserve">Ramona Ashcombe</t>
  </si>
  <si>
    <t xml:space="preserve">VJLC4PCHGWNTUYV4E</t>
  </si>
  <si>
    <t xml:space="preserve">CANON-202509-000698</t>
  </si>
  <si>
    <t xml:space="preserve">Anouk Delacroix</t>
  </si>
  <si>
    <t xml:space="preserve">LLCVYMKT80TVVPJ10</t>
  </si>
  <si>
    <t xml:space="preserve">CANON-202509-000699</t>
  </si>
  <si>
    <t xml:space="preserve">Ingrid Harrington</t>
  </si>
  <si>
    <t xml:space="preserve">G22MN99L7VKFYAP74</t>
  </si>
  <si>
    <t xml:space="preserve">CANON-202509-000700</t>
  </si>
  <si>
    <t xml:space="preserve">Marisol Ashcombe</t>
  </si>
  <si>
    <t xml:space="preserve">7BE2S26B5JHTRS3NG</t>
  </si>
  <si>
    <t xml:space="preserve">Wisconsin</t>
  </si>
  <si>
    <t xml:space="preserve">CANON-202509-000701</t>
  </si>
  <si>
    <t xml:space="preserve">Saoirse Fairweather</t>
  </si>
  <si>
    <t xml:space="preserve">3DESSKK97HA1HTUBC</t>
  </si>
  <si>
    <t xml:space="preserve">CANON-202509-000702</t>
  </si>
  <si>
    <t xml:space="preserve">Ramona Farkas</t>
  </si>
  <si>
    <t xml:space="preserve">XGS36BEFR6TB3GBBX</t>
  </si>
  <si>
    <t xml:space="preserve">Georgia</t>
  </si>
  <si>
    <t xml:space="preserve">CANON-202509-000703</t>
  </si>
  <si>
    <t xml:space="preserve">Mireille Chattopadhyay</t>
  </si>
  <si>
    <t xml:space="preserve">7XLR1Z4ZKXMMWMK2D</t>
  </si>
  <si>
    <t xml:space="preserve">CANON-202509-000704</t>
  </si>
  <si>
    <t xml:space="preserve">Aurelio Vasquez</t>
  </si>
  <si>
    <t xml:space="preserve">TWMM9N87W7TE05VWT</t>
  </si>
  <si>
    <t xml:space="preserve">CANON-202509-000706</t>
  </si>
  <si>
    <t xml:space="preserve">Thaddeus Vasquez</t>
  </si>
  <si>
    <t xml:space="preserve">5LDA5TNU1JB5ZZKVR</t>
  </si>
  <si>
    <t xml:space="preserve">CANON-202509-000707</t>
  </si>
  <si>
    <t xml:space="preserve">Callum Farkas</t>
  </si>
  <si>
    <t xml:space="preserve">2025-09-26</t>
  </si>
  <si>
    <t xml:space="preserve">2026-09-26</t>
  </si>
  <si>
    <t xml:space="preserve">HTN5HVEHBWY4AMA17</t>
  </si>
  <si>
    <t xml:space="preserve">CANON-202509-000708</t>
  </si>
  <si>
    <t xml:space="preserve">WVJNESFC0TSCFG3W9</t>
  </si>
  <si>
    <t xml:space="preserve">CANON-202509-000710</t>
  </si>
  <si>
    <t xml:space="preserve">EEJ2NE71N3P47G76V</t>
  </si>
  <si>
    <t xml:space="preserve">CANON-202509-000711</t>
  </si>
  <si>
    <t xml:space="preserve">Emiliano Harrington</t>
  </si>
  <si>
    <t xml:space="preserve">3CWEF4WJDC9YRY9SD</t>
  </si>
  <si>
    <t xml:space="preserve">CANON-202509-000713</t>
  </si>
  <si>
    <t xml:space="preserve">Fenwick Vasquez</t>
  </si>
  <si>
    <t xml:space="preserve">TR7RNPDAUEV08SHK1</t>
  </si>
  <si>
    <t xml:space="preserve">CANON-202509-000714</t>
  </si>
  <si>
    <t xml:space="preserve">Anouk Blackwood</t>
  </si>
  <si>
    <t xml:space="preserve">N7MUZFMCTGKTBBXJ5</t>
  </si>
  <si>
    <t xml:space="preserve">CANON-202509-000715</t>
  </si>
  <si>
    <t xml:space="preserve">Fitzgerald Okonkwo</t>
  </si>
  <si>
    <t xml:space="preserve">UUZZGXABSAJN7S0SS</t>
  </si>
  <si>
    <t xml:space="preserve">Oklahoma</t>
  </si>
  <si>
    <t xml:space="preserve">CANON-202509-000716</t>
  </si>
  <si>
    <t xml:space="preserve">Wilhelmina Chattopadhyay</t>
  </si>
  <si>
    <t xml:space="preserve">MREGLKRZVGPWPLYCS</t>
  </si>
  <si>
    <t xml:space="preserve">Nebraska</t>
  </si>
  <si>
    <t xml:space="preserve">CANON-202509-000717</t>
  </si>
  <si>
    <t xml:space="preserve">Everett Pennington</t>
  </si>
  <si>
    <t xml:space="preserve">SL38WSKYS7LJZBAT2</t>
  </si>
  <si>
    <t xml:space="preserve">CANON-202509-000718</t>
  </si>
  <si>
    <t xml:space="preserve">R5XNT126GK43HJ5RJ</t>
  </si>
  <si>
    <t xml:space="preserve">CANON-202509-000719</t>
  </si>
  <si>
    <t xml:space="preserve">Sunniva Nakashima</t>
  </si>
  <si>
    <t xml:space="preserve">AHM89Z9KBRFX94SPF</t>
  </si>
  <si>
    <t xml:space="preserve">CANON-202509-000720</t>
  </si>
  <si>
    <t xml:space="preserve">Ingrid Fairweather</t>
  </si>
  <si>
    <t xml:space="preserve">3Y3GKHXVENC0W54NW</t>
  </si>
  <si>
    <t xml:space="preserve">CANON-202509-000721</t>
  </si>
  <si>
    <t xml:space="preserve">Emiliano Pennington</t>
  </si>
  <si>
    <t xml:space="preserve">JMJN3X3R639RMCRTN</t>
  </si>
  <si>
    <t xml:space="preserve">CANON-202509-000722</t>
  </si>
  <si>
    <t xml:space="preserve">SL1Y89PBNWCVZ4LGZ</t>
  </si>
  <si>
    <t xml:space="preserve">CANON-202509-000724</t>
  </si>
  <si>
    <t xml:space="preserve">Fitzgerald Chattopadhyay</t>
  </si>
  <si>
    <t xml:space="preserve">1PKRZYN1UEJP54SCY</t>
  </si>
  <si>
    <t xml:space="preserve">CANON-202509-000726</t>
  </si>
  <si>
    <t xml:space="preserve">Callum Thistlewood</t>
  </si>
  <si>
    <t xml:space="preserve">21FKJGZDU07AYM54S</t>
  </si>
  <si>
    <t xml:space="preserve">Iowa</t>
  </si>
  <si>
    <t xml:space="preserve">CANON-202509-000727</t>
  </si>
  <si>
    <t xml:space="preserve">Callum Pennington</t>
  </si>
  <si>
    <t xml:space="preserve">GJ9WCKPVF0H87EZD3</t>
  </si>
  <si>
    <t xml:space="preserve">CANON-202509-000728</t>
  </si>
  <si>
    <t xml:space="preserve">Everett Ashcombe</t>
  </si>
  <si>
    <t xml:space="preserve">A84LY11D3V00CXTKZ</t>
  </si>
  <si>
    <t xml:space="preserve">CANON-202509-000729</t>
  </si>
  <si>
    <t xml:space="preserve">Aurelio Bellandi</t>
  </si>
  <si>
    <t xml:space="preserve">2M1XA1W82AYK17A6W</t>
  </si>
  <si>
    <t xml:space="preserve">CANON-202509-000730</t>
  </si>
  <si>
    <t xml:space="preserve">Lorenzo Chattopadhyay</t>
  </si>
  <si>
    <t xml:space="preserve">AFNJ37AZPSHN0S898</t>
  </si>
  <si>
    <t xml:space="preserve">CANON-202509-000731</t>
  </si>
  <si>
    <t xml:space="preserve">EX5FCT4L65H5XV67V</t>
  </si>
  <si>
    <t xml:space="preserve">CANON-202509-000732</t>
  </si>
  <si>
    <t xml:space="preserve">Noor Vasquez</t>
  </si>
  <si>
    <t xml:space="preserve">KPA99D744H8SFE6EL</t>
  </si>
  <si>
    <t xml:space="preserve">CANON-202509-000733</t>
  </si>
  <si>
    <t xml:space="preserve">Mireille Montoya</t>
  </si>
  <si>
    <t xml:space="preserve">TKLJ1VU4DWR6AGDCZ</t>
  </si>
  <si>
    <t xml:space="preserve">Maryland</t>
  </si>
  <si>
    <t xml:space="preserve">CANON-202509-000736</t>
  </si>
  <si>
    <t xml:space="preserve">Priya Blackwood</t>
  </si>
  <si>
    <t xml:space="preserve">TGZPR1XEJ21W45APH</t>
  </si>
  <si>
    <t xml:space="preserve">CANON-202509-000737</t>
  </si>
  <si>
    <t xml:space="preserve">Horace Chattopadhyay</t>
  </si>
  <si>
    <t xml:space="preserve">L5YD2KSN37446SVDY</t>
  </si>
  <si>
    <t xml:space="preserve">CANON-202509-000739</t>
  </si>
  <si>
    <t xml:space="preserve">Delphine Whitlock</t>
  </si>
  <si>
    <t xml:space="preserve">KDMH135PKA2188747</t>
  </si>
  <si>
    <t xml:space="preserve">CANON-202509-000740</t>
  </si>
  <si>
    <t xml:space="preserve">Wilhelmina Underwood</t>
  </si>
  <si>
    <t xml:space="preserve">2SE6LK6GY71S6RXGC</t>
  </si>
  <si>
    <t xml:space="preserve">CANON-202509-000742</t>
  </si>
  <si>
    <t xml:space="preserve">LTP8W6H7XR749L6D2</t>
  </si>
  <si>
    <t xml:space="preserve">CANON-202509-000743</t>
  </si>
  <si>
    <t xml:space="preserve">Emiliano Okonkwo</t>
  </si>
  <si>
    <t xml:space="preserve">DB5</t>
  </si>
  <si>
    <t xml:space="preserve">D10DZHBJVDHLW2A8A</t>
  </si>
  <si>
    <t xml:space="preserve">CANON-202509-000747</t>
  </si>
  <si>
    <t xml:space="preserve">Wilhelmina Thistlewood</t>
  </si>
  <si>
    <t xml:space="preserve">YYCWFWJP1EN6NA38H</t>
  </si>
  <si>
    <t xml:space="preserve">CANON-202509-000748</t>
  </si>
  <si>
    <t xml:space="preserve">Fitzgerald Blackwood</t>
  </si>
  <si>
    <t xml:space="preserve">3UD6YVK9HUM4EHGKW</t>
  </si>
  <si>
    <t xml:space="preserve">CANON-202509-000751</t>
  </si>
  <si>
    <t xml:space="preserve">Anouk Thistlewood</t>
  </si>
  <si>
    <t xml:space="preserve">39PK2S583ZTR3C52Y</t>
  </si>
  <si>
    <t xml:space="preserve">CANON-202509-000752</t>
  </si>
  <si>
    <t xml:space="preserve">Delphine Montoya</t>
  </si>
  <si>
    <t xml:space="preserve">UXU5DWRSDA6WFB575</t>
  </si>
  <si>
    <t xml:space="preserve">CANON-202509-000753</t>
  </si>
  <si>
    <t xml:space="preserve">4N4D3KLYBZ27LCU4A</t>
  </si>
  <si>
    <t xml:space="preserve">CANON-202509-000754</t>
  </si>
  <si>
    <t xml:space="preserve">Lorenzo Kingsford</t>
  </si>
  <si>
    <t xml:space="preserve">X8EJH80JM1GT9LSRR</t>
  </si>
  <si>
    <t xml:space="preserve">CANON-202509-000758</t>
  </si>
  <si>
    <t xml:space="preserve">Desmond Blackwood</t>
  </si>
  <si>
    <t xml:space="preserve">4.5 Litre</t>
  </si>
  <si>
    <t xml:space="preserve">3U2997EGUXKCKW5FB</t>
  </si>
  <si>
    <t xml:space="preserve">Arizona</t>
  </si>
  <si>
    <t xml:space="preserve">CANON-202509-000760</t>
  </si>
  <si>
    <t xml:space="preserve">Horace Delacroix</t>
  </si>
  <si>
    <t xml:space="preserve">LPEFTUFF79JMTKFFK</t>
  </si>
  <si>
    <t xml:space="preserve">CANON-202509-000762</t>
  </si>
  <si>
    <t xml:space="preserve">B2NCXBAWG0RVL3SNB</t>
  </si>
  <si>
    <t xml:space="preserve">CANON-202509-000763</t>
  </si>
  <si>
    <t xml:space="preserve">Ottilie Chattopadhyay</t>
  </si>
  <si>
    <t xml:space="preserve">889M034346Y05CESR</t>
  </si>
  <si>
    <t xml:space="preserve">CANON-202509-000765</t>
  </si>
  <si>
    <t xml:space="preserve">Priya Bellandi</t>
  </si>
  <si>
    <t xml:space="preserve">CDSS0TTFT39EJ5S8D</t>
  </si>
  <si>
    <t xml:space="preserve">CANON-202509-000766</t>
  </si>
  <si>
    <t xml:space="preserve">Wilhelmina Kingsford</t>
  </si>
  <si>
    <t xml:space="preserve">LKMAD1K7EKXYT3FMU</t>
  </si>
  <si>
    <t xml:space="preserve">CANON-202509-000767</t>
  </si>
  <si>
    <t xml:space="preserve">Cassius Fairweather</t>
  </si>
  <si>
    <t xml:space="preserve">Z78LJ6W7TNSBYUDEC</t>
  </si>
  <si>
    <t xml:space="preserve">CANON-202509-000768</t>
  </si>
  <si>
    <t xml:space="preserve">Priya Ashcombe</t>
  </si>
  <si>
    <t xml:space="preserve">7WXWFKULFA523ZCA4</t>
  </si>
  <si>
    <t xml:space="preserve">CANON-202509-000769</t>
  </si>
  <si>
    <t xml:space="preserve">Thaddeus Pennington</t>
  </si>
  <si>
    <t xml:space="preserve">S66KWV16SZFRD44W3</t>
  </si>
  <si>
    <t xml:space="preserve">CANON-202509-000772</t>
  </si>
  <si>
    <t xml:space="preserve">Horace Thistlewood</t>
  </si>
  <si>
    <t xml:space="preserve">TFHS459C1WFS6SB16</t>
  </si>
  <si>
    <t xml:space="preserve">CANON-202509-000773</t>
  </si>
  <si>
    <t xml:space="preserve">Aurelio Blackwood</t>
  </si>
  <si>
    <t xml:space="preserve">67KZZL3AV1Z6H2VN5</t>
  </si>
  <si>
    <t xml:space="preserve">CANON-202509-000774</t>
  </si>
  <si>
    <t xml:space="preserve">Leopold Montoya</t>
  </si>
  <si>
    <t xml:space="preserve">NPUHZVSWMKFR0877G</t>
  </si>
  <si>
    <t xml:space="preserve">CANON-202509-000775</t>
  </si>
  <si>
    <t xml:space="preserve">MYAH6C0G0PSSDD3WP</t>
  </si>
  <si>
    <t xml:space="preserve">CANON-202509-000776</t>
  </si>
  <si>
    <t xml:space="preserve">MAKATSNW7JN44E97J</t>
  </si>
  <si>
    <t xml:space="preserve">New Mexico</t>
  </si>
  <si>
    <t xml:space="preserve">CANON-202509-000777</t>
  </si>
  <si>
    <t xml:space="preserve">Everett Kingsford</t>
  </si>
  <si>
    <t xml:space="preserve">6HNYVC5TYZAZ1K56U</t>
  </si>
  <si>
    <t xml:space="preserve">CANON-202509-000779</t>
  </si>
  <si>
    <t xml:space="preserve">Everett Vandermeer</t>
  </si>
  <si>
    <t xml:space="preserve">CMBZ9GRUVCP6MR0VC</t>
  </si>
  <si>
    <t xml:space="preserve">CANON-202509-000780</t>
  </si>
  <si>
    <t xml:space="preserve">Beatrix Merriweather</t>
  </si>
  <si>
    <t xml:space="preserve">D8N0WDCSB3YGJW1SW</t>
  </si>
  <si>
    <t xml:space="preserve">CANON-202509-000781</t>
  </si>
  <si>
    <t xml:space="preserve">Everett Castellanos</t>
  </si>
  <si>
    <t xml:space="preserve">B4TR4XVH0JGC3X7NL</t>
  </si>
  <si>
    <t xml:space="preserve">CANON-202509-000782</t>
  </si>
  <si>
    <t xml:space="preserve">Desmond Chattopadhyay</t>
  </si>
  <si>
    <t xml:space="preserve">ZW5W24YDTR8ADPC5E</t>
  </si>
  <si>
    <t xml:space="preserve">CANON-202509-000783</t>
  </si>
  <si>
    <t xml:space="preserve">Priya Vandermeer</t>
  </si>
  <si>
    <t xml:space="preserve">RRC7TW08YSYDMSL7B</t>
  </si>
  <si>
    <t xml:space="preserve">Mississippi</t>
  </si>
  <si>
    <t xml:space="preserve">CANON-202509-000784</t>
  </si>
  <si>
    <t xml:space="preserve">Aurelio Montoya</t>
  </si>
  <si>
    <t xml:space="preserve">MKJ11MJ4EJ44BKLKM</t>
  </si>
  <si>
    <t xml:space="preserve">CANON-202509-000785</t>
  </si>
  <si>
    <t xml:space="preserve">Ramona Vasquez</t>
  </si>
  <si>
    <t xml:space="preserve">CT2CU64S7T65YLKJ9</t>
  </si>
  <si>
    <t xml:space="preserve">CANON-202509-000786</t>
  </si>
  <si>
    <t xml:space="preserve">R1K6DMDE8VX84D0R3</t>
  </si>
  <si>
    <t xml:space="preserve">CANON-202509-000791</t>
  </si>
  <si>
    <t xml:space="preserve">Beatrix Pennington</t>
  </si>
  <si>
    <t xml:space="preserve">R9N99RT0XDW18W6N7</t>
  </si>
  <si>
    <t xml:space="preserve">CANON-202509-000792</t>
  </si>
  <si>
    <t xml:space="preserve">Mireille Farkas</t>
  </si>
  <si>
    <t xml:space="preserve">0TSWDTJCNYESNB4JH</t>
  </si>
  <si>
    <t xml:space="preserve">CANON-202509-000793</t>
  </si>
  <si>
    <t xml:space="preserve">Sunniva Castellanos</t>
  </si>
  <si>
    <t xml:space="preserve">GVZ4DV7ABTBM9N741</t>
  </si>
  <si>
    <t xml:space="preserve">CANON-202509-000794</t>
  </si>
  <si>
    <t xml:space="preserve">CP3SSNVHP5BC3HPYE</t>
  </si>
  <si>
    <t xml:space="preserve">CANON-202509-000795</t>
  </si>
  <si>
    <t xml:space="preserve">Anouk Ashcombe</t>
  </si>
  <si>
    <t xml:space="preserve">B8BCYPCFBN1T568FK</t>
  </si>
  <si>
    <t xml:space="preserve">CANON-202509-000796</t>
  </si>
  <si>
    <t xml:space="preserve">N8GNLVLYW9V7GG43M</t>
  </si>
  <si>
    <t xml:space="preserve">CANON-202509-000797</t>
  </si>
  <si>
    <t xml:space="preserve">Wilhelmina Merriweather</t>
  </si>
  <si>
    <t xml:space="preserve">9TW32DFTPJ01VS5NX</t>
  </si>
  <si>
    <t xml:space="preserve">CANON-202509-000798</t>
  </si>
  <si>
    <t xml:space="preserve">UVY74D2MDJNPX1YWR</t>
  </si>
  <si>
    <t xml:space="preserve">CANON-202509-000799</t>
  </si>
  <si>
    <t xml:space="preserve">Saoirse Larsson</t>
  </si>
  <si>
    <t xml:space="preserve">SRD4TTGMHKCJEVWM7</t>
  </si>
  <si>
    <t xml:space="preserve">CANON-202509-000800</t>
  </si>
  <si>
    <t xml:space="preserve">Everett Montoya</t>
  </si>
  <si>
    <t xml:space="preserve">UMNT404PSHASZ7LBP</t>
  </si>
  <si>
    <t xml:space="preserve">CANON-202509-000802</t>
  </si>
  <si>
    <t xml:space="preserve">Ottilie Merriweather</t>
  </si>
  <si>
    <t xml:space="preserve">SEH409R1PK9Y387H7</t>
  </si>
  <si>
    <t xml:space="preserve">CANON-202509-000804</t>
  </si>
  <si>
    <t xml:space="preserve">Horace Farkas</t>
  </si>
  <si>
    <t xml:space="preserve">BCSVL6YKSAGAXNGN1</t>
  </si>
  <si>
    <t xml:space="preserve">CANON-202509-000805</t>
  </si>
  <si>
    <t xml:space="preserve">Noor Montoya</t>
  </si>
  <si>
    <t xml:space="preserve">RCN0KPXGJGB4ZLR0B</t>
  </si>
  <si>
    <t xml:space="preserve">CANON-202509-000806</t>
  </si>
  <si>
    <t xml:space="preserve">Mireille Bellandi</t>
  </si>
  <si>
    <t xml:space="preserve">N9KMVF718AB3G1G6U</t>
  </si>
  <si>
    <t xml:space="preserve">CANON-202509-000807</t>
  </si>
  <si>
    <t xml:space="preserve">Y16DYYAMVSBYCRB18</t>
  </si>
  <si>
    <t xml:space="preserve">CANON-202509-000812</t>
  </si>
  <si>
    <t xml:space="preserve">XJ0D628HF2S7TKDE8</t>
  </si>
  <si>
    <t xml:space="preserve">CANON-202509-000813</t>
  </si>
  <si>
    <t xml:space="preserve">Everett Larsson</t>
  </si>
  <si>
    <t xml:space="preserve">SE73L1BB9YJHZEPKD</t>
  </si>
  <si>
    <t xml:space="preserve">CANON-202509-000817</t>
  </si>
  <si>
    <t xml:space="preserve">R8CWA1FD44KB8T9ET</t>
  </si>
  <si>
    <t xml:space="preserve">CANON-202509-000819</t>
  </si>
  <si>
    <t xml:space="preserve">Beatrix Fairweather</t>
  </si>
  <si>
    <t xml:space="preserve">EJFZKAR9SMKNLJ0D3</t>
  </si>
  <si>
    <t xml:space="preserve">CANON-202509-000820</t>
  </si>
  <si>
    <t xml:space="preserve">Lorenzo Farkas</t>
  </si>
  <si>
    <t xml:space="preserve">86YY1DKMRY7ZKHCNP</t>
  </si>
  <si>
    <t xml:space="preserve">CANON-202509-000821</t>
  </si>
  <si>
    <t xml:space="preserve">Ramona Thistlewood</t>
  </si>
  <si>
    <t xml:space="preserve">W38LRSFG894Y9RV75</t>
  </si>
  <si>
    <t xml:space="preserve">CANON-202509-000822</t>
  </si>
  <si>
    <t xml:space="preserve">7GSPRJRRYE6M4XSPH</t>
  </si>
  <si>
    <t xml:space="preserve">CANON-202509-000823</t>
  </si>
  <si>
    <t xml:space="preserve">RE3ZL5YKMJC6EEG7U</t>
  </si>
  <si>
    <t xml:space="preserve">CANON-202509-000824</t>
  </si>
  <si>
    <t xml:space="preserve">Leopold Merriweather</t>
  </si>
  <si>
    <t xml:space="preserve">UVJHK7GAZT84RS4H4</t>
  </si>
  <si>
    <t xml:space="preserve">CANON-202509-000825</t>
  </si>
  <si>
    <t xml:space="preserve">Lorenzo Nakashima</t>
  </si>
  <si>
    <t xml:space="preserve">B9REFFNVNTXHZPZ54</t>
  </si>
  <si>
    <t xml:space="preserve">CANON-202509-000826</t>
  </si>
  <si>
    <t xml:space="preserve">Z8CH4ZRR87VTZ9JF8</t>
  </si>
  <si>
    <t xml:space="preserve">CANON-202509-000827</t>
  </si>
  <si>
    <t xml:space="preserve">AU6TKUYX1R2WYUB1M</t>
  </si>
  <si>
    <t xml:space="preserve">CANON-202509-000828</t>
  </si>
  <si>
    <t xml:space="preserve">Ramona Chattopadhyay</t>
  </si>
  <si>
    <t xml:space="preserve">SVMCADJYY3X6TNW2R</t>
  </si>
  <si>
    <t xml:space="preserve">CANON-202509-000829</t>
  </si>
  <si>
    <t xml:space="preserve">Everett Whitlock</t>
  </si>
  <si>
    <t xml:space="preserve">AT7V5VY0R6L8A9XHM</t>
  </si>
  <si>
    <t xml:space="preserve">CANON-202509-000830</t>
  </si>
  <si>
    <t xml:space="preserve">Thaddeus Vandermeer</t>
  </si>
  <si>
    <t xml:space="preserve">6BFDT2MP2J0R2AHMX</t>
  </si>
  <si>
    <t xml:space="preserve">Kentucky</t>
  </si>
  <si>
    <t xml:space="preserve">CANON-202509-000831</t>
  </si>
  <si>
    <t xml:space="preserve">JMGRASUG8VYKUGCJ3</t>
  </si>
  <si>
    <t xml:space="preserve">CANON-202509-000832</t>
  </si>
  <si>
    <t xml:space="preserve">Callum Fairweather</t>
  </si>
  <si>
    <t xml:space="preserve">GNDS767T97FZSZHG4</t>
  </si>
  <si>
    <t xml:space="preserve">CANON-202509-000834</t>
  </si>
  <si>
    <t xml:space="preserve">Ingrid Merriweather</t>
  </si>
  <si>
    <t xml:space="preserve">ZP47JWA9JF329KZH2</t>
  </si>
  <si>
    <t xml:space="preserve">CANON-202509-000835</t>
  </si>
  <si>
    <t xml:space="preserve">Everett Underwood</t>
  </si>
  <si>
    <t xml:space="preserve">BGDBD0TE04BDUZVUN</t>
  </si>
  <si>
    <t xml:space="preserve">CANON-202509-000836</t>
  </si>
  <si>
    <t xml:space="preserve">Cassius Larsson</t>
  </si>
  <si>
    <t xml:space="preserve">NLWJPSDBNLLM1GMX6</t>
  </si>
  <si>
    <t xml:space="preserve">CANON-202509-000837</t>
  </si>
  <si>
    <t xml:space="preserve">Aurelio Fairweather</t>
  </si>
  <si>
    <t xml:space="preserve">4ZX9CAG50T0XRZL0P</t>
  </si>
  <si>
    <t xml:space="preserve">CANON-202509-000838</t>
  </si>
  <si>
    <t xml:space="preserve">Sunniva Thistlewood</t>
  </si>
  <si>
    <t xml:space="preserve">R1RL2N02MC3UVXCFP</t>
  </si>
  <si>
    <t xml:space="preserve">CANON-202509-000839</t>
  </si>
  <si>
    <t xml:space="preserve">Mireille Kingsford</t>
  </si>
  <si>
    <t xml:space="preserve">GTZYZW4N0MU3RWMWJ</t>
  </si>
  <si>
    <t xml:space="preserve">CANON-202509-000840</t>
  </si>
  <si>
    <t xml:space="preserve">Leopold Fairweather</t>
  </si>
  <si>
    <t xml:space="preserve">VSK0XDPDY3H0EBLV0</t>
  </si>
  <si>
    <t xml:space="preserve">CANON-202509-000842</t>
  </si>
  <si>
    <t xml:space="preserve">329C7H5TSH7RXHRJD</t>
  </si>
  <si>
    <t xml:space="preserve">CANON-202509-000843</t>
  </si>
  <si>
    <t xml:space="preserve">Desmond Rourke</t>
  </si>
  <si>
    <t xml:space="preserve">D1JEX6PM5SMGKP002</t>
  </si>
  <si>
    <t xml:space="preserve">CANON-202509-000845</t>
  </si>
  <si>
    <t xml:space="preserve">Fitzgerald Vandermeer</t>
  </si>
  <si>
    <t xml:space="preserve">UXCX9F53R718NLK5R</t>
  </si>
  <si>
    <t xml:space="preserve">CANON-202509-000846</t>
  </si>
  <si>
    <t xml:space="preserve">Noor Bellandi</t>
  </si>
  <si>
    <t xml:space="preserve">N7P4957C0580809W4</t>
  </si>
  <si>
    <t xml:space="preserve">CANON-202509-000849</t>
  </si>
  <si>
    <t xml:space="preserve">Marisol Fairweather</t>
  </si>
  <si>
    <t xml:space="preserve">A6YNZ6EMJ5KM00AZW</t>
  </si>
  <si>
    <t xml:space="preserve">CANON-202509-000853</t>
  </si>
  <si>
    <t xml:space="preserve">Lorenzo Whitlock</t>
  </si>
  <si>
    <t xml:space="preserve">MXUULGNKB1DB3X9AA</t>
  </si>
  <si>
    <t xml:space="preserve">CANON-202509-000855</t>
  </si>
  <si>
    <t xml:space="preserve">Noor Fairweather</t>
  </si>
  <si>
    <t xml:space="preserve">LGZP1X5DJ2AN3L0XL</t>
  </si>
  <si>
    <t xml:space="preserve">CANON-202509-000856</t>
  </si>
  <si>
    <t xml:space="preserve">JFKLC4FK3BATB63WC</t>
  </si>
  <si>
    <t xml:space="preserve">CANON-202509-000858</t>
  </si>
  <si>
    <t xml:space="preserve">Everett Rourke</t>
  </si>
  <si>
    <t xml:space="preserve">3ECMPGPBUPA54F4X2</t>
  </si>
  <si>
    <t xml:space="preserve">CANON-202509-000859</t>
  </si>
  <si>
    <t xml:space="preserve">TDNN36Y88UN0HBCDV</t>
  </si>
  <si>
    <t xml:space="preserve">CANON-202509-000860</t>
  </si>
  <si>
    <t xml:space="preserve">GUCRSJMC9V1GACHLB</t>
  </si>
  <si>
    <t xml:space="preserve">CANON-202509-000861</t>
  </si>
  <si>
    <t xml:space="preserve">GV45XV37TDBRYUTJH</t>
  </si>
  <si>
    <t xml:space="preserve">CANON-202509-000862</t>
  </si>
  <si>
    <t xml:space="preserve">Delphine Blackwood</t>
  </si>
  <si>
    <t xml:space="preserve">VW1GY5RF7LLBD5RLG</t>
  </si>
  <si>
    <t xml:space="preserve">CANON-202509-000863</t>
  </si>
  <si>
    <t xml:space="preserve">Horace Montoya</t>
  </si>
  <si>
    <t xml:space="preserve">2R1NV8AALG4A41PX4</t>
  </si>
  <si>
    <t xml:space="preserve">CANON-202509-000864</t>
  </si>
  <si>
    <t xml:space="preserve">NNT29MSXCBNW25EK5</t>
  </si>
  <si>
    <t xml:space="preserve">CANON-202509-000865</t>
  </si>
  <si>
    <t xml:space="preserve">3KRMVS3NYC82Y8FA6</t>
  </si>
  <si>
    <t xml:space="preserve">CANON-202509-000866</t>
  </si>
  <si>
    <t xml:space="preserve">Priya Pennington</t>
  </si>
  <si>
    <t xml:space="preserve">P7MXWPHAUU7LDYELZ</t>
  </si>
  <si>
    <t xml:space="preserve">CANON-202509-000867</t>
  </si>
  <si>
    <t xml:space="preserve">4E7JW6RR3398HFGTY</t>
  </si>
  <si>
    <t xml:space="preserve">CANON-202509-000869</t>
  </si>
  <si>
    <t xml:space="preserve">Ottilie Harrington</t>
  </si>
  <si>
    <t xml:space="preserve">BN7ENED902C0YHDYX</t>
  </si>
  <si>
    <t xml:space="preserve">CANON-202509-000872</t>
  </si>
  <si>
    <t xml:space="preserve">Beatrix Vasquez</t>
  </si>
  <si>
    <t xml:space="preserve">KC56GHGBUPM4YHFJH</t>
  </si>
  <si>
    <t xml:space="preserve">CANON-202509-000873</t>
  </si>
  <si>
    <t xml:space="preserve">Ottilie Thistlewood</t>
  </si>
  <si>
    <t xml:space="preserve">ZXPW0537T5MJA76KJ</t>
  </si>
  <si>
    <t xml:space="preserve">CANON-202509-000874</t>
  </si>
  <si>
    <t xml:space="preserve">Aurelio Nakashima</t>
  </si>
  <si>
    <t xml:space="preserve">LC3EKGFR85MXJG67E</t>
  </si>
  <si>
    <t xml:space="preserve">CANON-202509-000875</t>
  </si>
  <si>
    <t xml:space="preserve">Fenwick Delacroix</t>
  </si>
  <si>
    <t xml:space="preserve">T668AA8DKTVXBLXD7</t>
  </si>
  <si>
    <t xml:space="preserve">CANON-202509-000876</t>
  </si>
  <si>
    <t xml:space="preserve">AVNMRHX2KBD9KV2YL</t>
  </si>
  <si>
    <t xml:space="preserve">CANON-202509-000877</t>
  </si>
  <si>
    <t xml:space="preserve">41H707W0RSJN0J5MA</t>
  </si>
  <si>
    <t xml:space="preserve">CANON-202509-000878</t>
  </si>
  <si>
    <t xml:space="preserve">Horace Blackwood</t>
  </si>
  <si>
    <t xml:space="preserve">HM5KFM1YCVC41P74V</t>
  </si>
  <si>
    <t xml:space="preserve">CANON-202509-000879</t>
  </si>
  <si>
    <t xml:space="preserve">Sunniva Vandermeer</t>
  </si>
  <si>
    <t xml:space="preserve">5UKA8J52P6V95LAHF</t>
  </si>
  <si>
    <t xml:space="preserve">CANON-202509-000880</t>
  </si>
  <si>
    <t xml:space="preserve">Sunniva Montoya</t>
  </si>
  <si>
    <t xml:space="preserve">YKJJZZ6NNRBY0JJXV</t>
  </si>
  <si>
    <t xml:space="preserve">CANON-202509-000881</t>
  </si>
  <si>
    <t xml:space="preserve">MB762VMWHJAFE2S0J</t>
  </si>
  <si>
    <t xml:space="preserve">CANON-202509-000884</t>
  </si>
  <si>
    <t xml:space="preserve">Anouk Okonkwo</t>
  </si>
  <si>
    <t xml:space="preserve">JHA9YG5UU03FNGWM7</t>
  </si>
  <si>
    <t xml:space="preserve">CANON-202509-000885</t>
  </si>
  <si>
    <t xml:space="preserve">Fitzgerald Rourke</t>
  </si>
  <si>
    <t xml:space="preserve">C3TT9ZS3N9KAVXCDH</t>
  </si>
  <si>
    <t xml:space="preserve">CANON-202509-000886</t>
  </si>
  <si>
    <t xml:space="preserve">Cassius Thistlewood</t>
  </si>
  <si>
    <t xml:space="preserve">W53SKHFGTECAJRW8B</t>
  </si>
  <si>
    <t xml:space="preserve">CANON-202509-000891</t>
  </si>
  <si>
    <t xml:space="preserve">Lorenzo Rourke</t>
  </si>
  <si>
    <t xml:space="preserve">FZYJKJSWXFRU9GTML</t>
  </si>
  <si>
    <t xml:space="preserve">CANON-202509-000893</t>
  </si>
  <si>
    <t xml:space="preserve">Marisol Larsson</t>
  </si>
  <si>
    <t xml:space="preserve">LMM9FCHNZKVY68W3D</t>
  </si>
  <si>
    <t xml:space="preserve">CANON-202509-000895</t>
  </si>
  <si>
    <t xml:space="preserve">AXMBH01R3GSAG3WV7</t>
  </si>
  <si>
    <t xml:space="preserve">CANON-202509-000897</t>
  </si>
  <si>
    <t xml:space="preserve">Saoirse Whitlock</t>
  </si>
  <si>
    <t xml:space="preserve">1VAX181X8ZZFX3T1B</t>
  </si>
  <si>
    <t xml:space="preserve">CANON-202509-000898</t>
  </si>
  <si>
    <t xml:space="preserve">Priya Harrington</t>
  </si>
  <si>
    <t xml:space="preserve">LSGYWKDKEU1AS75G7</t>
  </si>
  <si>
    <t xml:space="preserve">CANON-202509-000899</t>
  </si>
  <si>
    <t xml:space="preserve">B20EP7BT98S6KD96U</t>
  </si>
  <si>
    <t xml:space="preserve">CANON-202509-000900</t>
  </si>
  <si>
    <t xml:space="preserve">Desmond Farkas</t>
  </si>
  <si>
    <t xml:space="preserve">3735280MVZKLNKUXG</t>
  </si>
  <si>
    <t xml:space="preserve">CANON-202509-000902</t>
  </si>
  <si>
    <t xml:space="preserve">Wilhelmina Blackwood</t>
  </si>
  <si>
    <t xml:space="preserve">84BDNGA9DKR4GTX5A</t>
  </si>
  <si>
    <t xml:space="preserve">CANON-202509-000903</t>
  </si>
  <si>
    <t xml:space="preserve">Wilhelmina Ashcombe</t>
  </si>
  <si>
    <t xml:space="preserve">PTRV69H3R1AYTZ7TE</t>
  </si>
  <si>
    <t xml:space="preserve">CANON-202509-000904</t>
  </si>
  <si>
    <t xml:space="preserve">DU2B6CSDYB04MAHKW</t>
  </si>
  <si>
    <t xml:space="preserve">CANON-202509-000905</t>
  </si>
  <si>
    <t xml:space="preserve">Delphine Pennington</t>
  </si>
  <si>
    <t xml:space="preserve">8GVGNC2CKW0E6W9BL</t>
  </si>
  <si>
    <t xml:space="preserve">CANON-202509-000906</t>
  </si>
  <si>
    <t xml:space="preserve">Aurelio Chattopadhyay</t>
  </si>
  <si>
    <t xml:space="preserve">8NV28SZBHRWPPBZLB</t>
  </si>
  <si>
    <t xml:space="preserve">CANON-202509-000907</t>
  </si>
  <si>
    <t xml:space="preserve">Fenwick Montoya</t>
  </si>
  <si>
    <t xml:space="preserve">PEK0R78B9MZGBEABG</t>
  </si>
  <si>
    <t xml:space="preserve">CANON-202509-000908</t>
  </si>
  <si>
    <t xml:space="preserve">Anouk Harrington</t>
  </si>
  <si>
    <t xml:space="preserve">TF4ZC4PASS3V14CN6</t>
  </si>
  <si>
    <t xml:space="preserve">CANON-202509-000909</t>
  </si>
  <si>
    <t xml:space="preserve">Desmond Pennington</t>
  </si>
  <si>
    <t xml:space="preserve">N3NM1DZPVG3MGUJ3Z</t>
  </si>
  <si>
    <t xml:space="preserve">CANON-202509-000910</t>
  </si>
  <si>
    <t xml:space="preserve">Thaddeus Fairweather</t>
  </si>
  <si>
    <t xml:space="preserve">MHBE5NH3CVL5V7VFV</t>
  </si>
  <si>
    <t xml:space="preserve">CANON-202509-000911</t>
  </si>
  <si>
    <t xml:space="preserve">Delphine Farkas</t>
  </si>
  <si>
    <t xml:space="preserve">3TRC53AYC3HL989GJ</t>
  </si>
  <si>
    <t xml:space="preserve">CANON-202509-000912</t>
  </si>
  <si>
    <t xml:space="preserve">Aurelio Whitlock</t>
  </si>
  <si>
    <t xml:space="preserve">185M141BS54C4GH9D</t>
  </si>
  <si>
    <t xml:space="preserve">CANON-202509-000913</t>
  </si>
  <si>
    <t xml:space="preserve">Aurelio Castellanos</t>
  </si>
  <si>
    <t xml:space="preserve">TRK4WHTPRTK6B1G6Y</t>
  </si>
  <si>
    <t xml:space="preserve">CANON-202509-000914</t>
  </si>
  <si>
    <t xml:space="preserve">MGRU9FJN8GGTBZ86Z</t>
  </si>
  <si>
    <t xml:space="preserve">CANON-202509-000915</t>
  </si>
  <si>
    <t xml:space="preserve">Lorenzo Castellanos</t>
  </si>
  <si>
    <t xml:space="preserve">SP63Z6HP4NMG6UMM6</t>
  </si>
  <si>
    <t xml:space="preserve">CANON-202509-000916</t>
  </si>
  <si>
    <t xml:space="preserve">Leopold Ashcombe</t>
  </si>
  <si>
    <t xml:space="preserve">0DAJ3V6WHV363MRUM</t>
  </si>
  <si>
    <t xml:space="preserve">CANON-202509-000917</t>
  </si>
  <si>
    <t xml:space="preserve">Z512HZ77KX6XG2LMJ</t>
  </si>
  <si>
    <t xml:space="preserve">CANON-202509-000919</t>
  </si>
  <si>
    <t xml:space="preserve">0H5V7GC9SY1SVDUD9</t>
  </si>
  <si>
    <t xml:space="preserve">Louisiana</t>
  </si>
  <si>
    <t xml:space="preserve">CANON-202509-000920</t>
  </si>
  <si>
    <t xml:space="preserve">Thaddeus Rourke</t>
  </si>
  <si>
    <t xml:space="preserve">X4PHG612AJT591FMV</t>
  </si>
  <si>
    <t xml:space="preserve">CANON-202509-000921</t>
  </si>
  <si>
    <t xml:space="preserve">XXSGZ95ZYP493HRXG</t>
  </si>
  <si>
    <t xml:space="preserve">CANON-202509-000922</t>
  </si>
  <si>
    <t xml:space="preserve">XBE5HR5N0NLN97RAX</t>
  </si>
  <si>
    <t xml:space="preserve">CANON-202509-000923</t>
  </si>
  <si>
    <t xml:space="preserve">19XURV2AEFXX28ALX</t>
  </si>
  <si>
    <t xml:space="preserve">CANON-202509-000924</t>
  </si>
  <si>
    <t xml:space="preserve">Priya Castellanos</t>
  </si>
  <si>
    <t xml:space="preserve">NCD6MNSX9D1H9DZTY</t>
  </si>
  <si>
    <t xml:space="preserve">CANON-202509-000925</t>
  </si>
  <si>
    <t xml:space="preserve">W22Y5KW3HNVE0DNFX</t>
  </si>
  <si>
    <t xml:space="preserve">CANON-202509-000926</t>
  </si>
  <si>
    <t xml:space="preserve">Emiliano Chattopadhyay</t>
  </si>
  <si>
    <t xml:space="preserve">H053GHYVBZ4EDE555</t>
  </si>
  <si>
    <t xml:space="preserve">CANON-202509-000927</t>
  </si>
  <si>
    <t xml:space="preserve">C8URCX61HD891CNNK</t>
  </si>
  <si>
    <t xml:space="preserve">CANON-202509-000929</t>
  </si>
  <si>
    <t xml:space="preserve">SVZM86BCK56342D75</t>
  </si>
  <si>
    <t xml:space="preserve">CANON-202509-000930</t>
  </si>
  <si>
    <t xml:space="preserve">Marisol Delacroix</t>
  </si>
  <si>
    <t xml:space="preserve">1BCM13EMN1DZ796XJ</t>
  </si>
  <si>
    <t xml:space="preserve">CANON-202509-000931</t>
  </si>
  <si>
    <t xml:space="preserve">Thaddeus Ashcombe</t>
  </si>
  <si>
    <t xml:space="preserve">C86112TM624JVSH66</t>
  </si>
  <si>
    <t xml:space="preserve">CANON-202509-000933</t>
  </si>
  <si>
    <t xml:space="preserve">Marisol Kingsford</t>
  </si>
  <si>
    <t xml:space="preserve">KJUYADMMB8Z30JD7V</t>
  </si>
  <si>
    <t xml:space="preserve">CANON-202509-000934</t>
  </si>
  <si>
    <t xml:space="preserve">Anouk Whitlock</t>
  </si>
  <si>
    <t xml:space="preserve">L5AKHFVPZE17WHTRV</t>
  </si>
  <si>
    <t xml:space="preserve">CANON-202509-000935</t>
  </si>
  <si>
    <t xml:space="preserve">Marisol Montoya</t>
  </si>
  <si>
    <t xml:space="preserve">XDJFE57NF01BCF8AE</t>
  </si>
  <si>
    <t xml:space="preserve">North Dakota</t>
  </si>
  <si>
    <t xml:space="preserve">CANON-202509-000939</t>
  </si>
  <si>
    <t xml:space="preserve">50YM5CAG1JWGTNMRJ</t>
  </si>
  <si>
    <t xml:space="preserve">CANON-202509-000940</t>
  </si>
  <si>
    <t xml:space="preserve">JVDJ77ZLZ4M13ZKE7</t>
  </si>
  <si>
    <t xml:space="preserve">CANON-202509-000941</t>
  </si>
  <si>
    <t xml:space="preserve">Aurelio Larsson</t>
  </si>
  <si>
    <t xml:space="preserve">T54J7FGYF5ZURFED8</t>
  </si>
  <si>
    <t xml:space="preserve">CANON-202509-000942</t>
  </si>
  <si>
    <t xml:space="preserve">Lorenzo Larsson</t>
  </si>
  <si>
    <t xml:space="preserve">4VYYVE3LKLX5FHNMG</t>
  </si>
  <si>
    <t xml:space="preserve">CANON-202509-000943</t>
  </si>
  <si>
    <t xml:space="preserve">CMCLCY73BCBML12ZM</t>
  </si>
  <si>
    <t xml:space="preserve">CANON-202509-000944</t>
  </si>
  <si>
    <t xml:space="preserve">Everett Delacroix</t>
  </si>
  <si>
    <t xml:space="preserve">JBL3E98S8W0NL9FB4</t>
  </si>
  <si>
    <t xml:space="preserve">CANON-202509-000945</t>
  </si>
  <si>
    <t xml:space="preserve">SRNZ5FM8ZF6BWS3UH</t>
  </si>
  <si>
    <t xml:space="preserve">CANON-202509-000946</t>
  </si>
  <si>
    <t xml:space="preserve">Leopold Vasquez</t>
  </si>
  <si>
    <t xml:space="preserve">YPXTLML7E5WZ16EZD</t>
  </si>
  <si>
    <t xml:space="preserve">CANON-202509-000947</t>
  </si>
  <si>
    <t xml:space="preserve">4ZDMGHGWA1NUPG73D</t>
  </si>
  <si>
    <t xml:space="preserve">CANON-202509-000948</t>
  </si>
  <si>
    <t xml:space="preserve">Emiliano Whitlock</t>
  </si>
  <si>
    <t xml:space="preserve">M29EDUNZ9Y61MS1JC</t>
  </si>
  <si>
    <t xml:space="preserve">CANON-202509-000950</t>
  </si>
  <si>
    <t xml:space="preserve">SJFCA66TW8E3NCA6C</t>
  </si>
  <si>
    <t xml:space="preserve">CANON-202509-000951</t>
  </si>
  <si>
    <t xml:space="preserve">Marisol Rourke</t>
  </si>
  <si>
    <t xml:space="preserve">MXF9PHR3J97ZG9097</t>
  </si>
  <si>
    <t xml:space="preserve">CANON-202509-000952</t>
  </si>
  <si>
    <t xml:space="preserve">Lorenzo Vandermeer</t>
  </si>
  <si>
    <t xml:space="preserve">W0GXC8XP2YZNJ5UYL</t>
  </si>
  <si>
    <t xml:space="preserve">CANON-202509-000953</t>
  </si>
  <si>
    <t xml:space="preserve">NAGUV72JSLL4MZ4FS</t>
  </si>
  <si>
    <t xml:space="preserve">CANON-202509-000954</t>
  </si>
  <si>
    <t xml:space="preserve">Aurelio Rourke</t>
  </si>
  <si>
    <t xml:space="preserve">RW9L2D1SJFJN53L22</t>
  </si>
  <si>
    <t xml:space="preserve">CANON-202509-000955</t>
  </si>
  <si>
    <t xml:space="preserve">Mireille Nakashima</t>
  </si>
  <si>
    <t xml:space="preserve">B5JB0NPZZAKK3E3TL</t>
  </si>
  <si>
    <t xml:space="preserve">CANON-202509-000956</t>
  </si>
  <si>
    <t xml:space="preserve">Sunniva Rourke</t>
  </si>
  <si>
    <t xml:space="preserve">00XXTFG73RB7Z0X7G</t>
  </si>
  <si>
    <t xml:space="preserve">CANON-202509-000957</t>
  </si>
  <si>
    <t xml:space="preserve">Sunniva Larsson</t>
  </si>
  <si>
    <t xml:space="preserve">VXPE2ULPSS1BFPGFZ</t>
  </si>
  <si>
    <t xml:space="preserve">CANON-202509-000958</t>
  </si>
  <si>
    <t xml:space="preserve">Mireille Larsson</t>
  </si>
  <si>
    <t xml:space="preserve">284HS7LEVUCFV1H4V</t>
  </si>
  <si>
    <t xml:space="preserve">CANON-202509-000960</t>
  </si>
  <si>
    <t xml:space="preserve">HU18THSJLJZEFR69S</t>
  </si>
  <si>
    <t xml:space="preserve">CANON-202509-000961</t>
  </si>
  <si>
    <t xml:space="preserve">Cassius Vandermeer</t>
  </si>
  <si>
    <t xml:space="preserve">3K3F6YWDUNFWD8XKE</t>
  </si>
  <si>
    <t xml:space="preserve">CANON-202509-000963</t>
  </si>
  <si>
    <t xml:space="preserve">Sunniva Underwood</t>
  </si>
  <si>
    <t xml:space="preserve">XGA004PN1D0T1NE5J</t>
  </si>
  <si>
    <t xml:space="preserve">CANON-202509-000964</t>
  </si>
  <si>
    <t xml:space="preserve">Fenwick Chattopadhyay</t>
  </si>
  <si>
    <t xml:space="preserve">TGXAEN4A2533DPZM1</t>
  </si>
  <si>
    <t xml:space="preserve">CANON-202509-000965</t>
  </si>
  <si>
    <t xml:space="preserve">Ramona Merriweather</t>
  </si>
  <si>
    <t xml:space="preserve">T78VB93KMYA7WK5JS</t>
  </si>
  <si>
    <t xml:space="preserve">CANON-202509-000967</t>
  </si>
  <si>
    <t xml:space="preserve">MREMP0R05P0XJ536F</t>
  </si>
  <si>
    <t xml:space="preserve">CANON-202509-000970</t>
  </si>
  <si>
    <t xml:space="preserve">Ramona Harrington</t>
  </si>
  <si>
    <t xml:space="preserve">KSBWWR3NA3KYBWW8K</t>
  </si>
  <si>
    <t xml:space="preserve">CANON-202509-000971</t>
  </si>
  <si>
    <t xml:space="preserve">Anouk Vasquez</t>
  </si>
  <si>
    <t xml:space="preserve">P12LWLP9RU7AHH7P6</t>
  </si>
  <si>
    <t xml:space="preserve">CANON-202509-000972</t>
  </si>
  <si>
    <t xml:space="preserve">Delphine Okonkwo</t>
  </si>
  <si>
    <t xml:space="preserve">86K0DBEKL45CYM95C</t>
  </si>
  <si>
    <t xml:space="preserve">CANON-202509-000975</t>
  </si>
  <si>
    <t xml:space="preserve">LS7WF66KTDDV0RF4N</t>
  </si>
  <si>
    <t xml:space="preserve">CANON-202509-000976</t>
  </si>
  <si>
    <t xml:space="preserve">Ramona Castellanos</t>
  </si>
  <si>
    <t xml:space="preserve">WT2F0ZJ8Y6KD07T58</t>
  </si>
  <si>
    <t xml:space="preserve">CANON-202509-000980</t>
  </si>
  <si>
    <t xml:space="preserve">Emiliano Montoya</t>
  </si>
  <si>
    <t xml:space="preserve">R299KYDZJ3UY1UM88</t>
  </si>
  <si>
    <t xml:space="preserve">CANON-202509-000981</t>
  </si>
  <si>
    <t xml:space="preserve">Leopold Pennington</t>
  </si>
  <si>
    <t xml:space="preserve">WLAE5W2496H093C4W</t>
  </si>
  <si>
    <t xml:space="preserve">CANON-202509-000982</t>
  </si>
  <si>
    <t xml:space="preserve">Leopold Kingsford</t>
  </si>
  <si>
    <t xml:space="preserve">R5VV9DXRG2XHMS4WA</t>
  </si>
  <si>
    <t xml:space="preserve">CANON-202509-000983</t>
  </si>
  <si>
    <t xml:space="preserve">W6GKY0WA7S88NUWAW</t>
  </si>
  <si>
    <t xml:space="preserve">CANON-202509-000984</t>
  </si>
  <si>
    <t xml:space="preserve">Delphine Delacroix</t>
  </si>
  <si>
    <t xml:space="preserve">6AXUAGRMK0HHCE5DG</t>
  </si>
  <si>
    <t xml:space="preserve">CANON-202509-000986</t>
  </si>
  <si>
    <t xml:space="preserve">Mireille Blackwood</t>
  </si>
  <si>
    <t xml:space="preserve">GBTPR6XRVJK9WWGLD</t>
  </si>
  <si>
    <t xml:space="preserve">CANON-202509-000987</t>
  </si>
  <si>
    <t xml:space="preserve">9A1ZYH2JS8MUUY4V8</t>
  </si>
  <si>
    <t xml:space="preserve">CANON-202509-000988</t>
  </si>
  <si>
    <t xml:space="preserve">U2NM0RHJ4K2FLKF5H</t>
  </si>
  <si>
    <t xml:space="preserve">CANON-202509-000989</t>
  </si>
  <si>
    <t xml:space="preserve">Beatrix Montoya</t>
  </si>
  <si>
    <t xml:space="preserve">0XJD98CX6Y1YU8Y0F</t>
  </si>
  <si>
    <t xml:space="preserve">CANON-202509-000990</t>
  </si>
  <si>
    <t xml:space="preserve">Ingrid Castellanos</t>
  </si>
  <si>
    <t xml:space="preserve">GG9M7XKHRPYVL9GKA</t>
  </si>
  <si>
    <t xml:space="preserve">CANON-202509-000994</t>
  </si>
  <si>
    <t xml:space="preserve">F48F5214PGYEXC8R9</t>
  </si>
  <si>
    <t xml:space="preserve">CANON-202509-000998</t>
  </si>
  <si>
    <t xml:space="preserve">Ottilie Vasquez</t>
  </si>
  <si>
    <t xml:space="preserve">W6CZHJGHUN7KPNHGE</t>
  </si>
  <si>
    <t xml:space="preserve">CANON-202509-000999</t>
  </si>
  <si>
    <t xml:space="preserve">Mireille Merriweather</t>
  </si>
  <si>
    <t xml:space="preserve">GWNAPY3TKXEX9P12K</t>
  </si>
  <si>
    <t xml:space="preserve">CANON-202509-001000</t>
  </si>
  <si>
    <t xml:space="preserve">Horace Vandermeer</t>
  </si>
  <si>
    <t xml:space="preserve">HV3EJUUC3MVHWWJML</t>
  </si>
  <si>
    <t xml:space="preserve">CANON-202509-001001</t>
  </si>
  <si>
    <t xml:space="preserve">GE8RUHP1HX96ZMX61</t>
  </si>
  <si>
    <t xml:space="preserve">CANON-202509-001003</t>
  </si>
  <si>
    <t xml:space="preserve">9JYTUY3SNMHD9CZ7L</t>
  </si>
  <si>
    <t xml:space="preserve">CANON-202509-001005</t>
  </si>
  <si>
    <t xml:space="preserve">EJ9X5L9ABGC6BT6YW</t>
  </si>
  <si>
    <t xml:space="preserve">CANON-202509-001006</t>
  </si>
  <si>
    <t xml:space="preserve">Priya Farkas</t>
  </si>
  <si>
    <t xml:space="preserve">9HP19H0BVU4REF5SV</t>
  </si>
  <si>
    <t xml:space="preserve">CANON-202509-001008</t>
  </si>
  <si>
    <t xml:space="preserve">0UPL55K2PG3P12LCR</t>
  </si>
  <si>
    <t xml:space="preserve">CANON-202509-001009</t>
  </si>
  <si>
    <t xml:space="preserve">Fitzgerald Pennington</t>
  </si>
  <si>
    <t xml:space="preserve">Z9B5M7VBBCWZS4P6Z</t>
  </si>
  <si>
    <t xml:space="preserve">CANON-202509-001010</t>
  </si>
  <si>
    <t xml:space="preserve">Delphine Nakashima</t>
  </si>
  <si>
    <t xml:space="preserve">8UCJ95YSRDAUM9DR1</t>
  </si>
  <si>
    <t xml:space="preserve">CANON-202509-001012</t>
  </si>
  <si>
    <t xml:space="preserve">LM79RJPD6H217S1NC</t>
  </si>
  <si>
    <t xml:space="preserve">CANON-202509-001013</t>
  </si>
  <si>
    <t xml:space="preserve">3W4F3ZVY05S9VSZX5</t>
  </si>
  <si>
    <t xml:space="preserve">CANON-202509-001015</t>
  </si>
  <si>
    <t xml:space="preserve">Mireille Rourke</t>
  </si>
  <si>
    <t xml:space="preserve">ASZLKGK14JB01HFMC</t>
  </si>
  <si>
    <t xml:space="preserve">CANON-202509-001017</t>
  </si>
  <si>
    <t xml:space="preserve">95SHW3KMKCM0EG47N</t>
  </si>
  <si>
    <t xml:space="preserve">CANON-202509-001018</t>
  </si>
  <si>
    <t xml:space="preserve">DMZ1YMHB11D1GTVF5</t>
  </si>
  <si>
    <t xml:space="preserve">CANON-202509-001020</t>
  </si>
  <si>
    <t xml:space="preserve">Fenwick Farkas</t>
  </si>
  <si>
    <t xml:space="preserve">AXGDPBUT27ZTS7HG5</t>
  </si>
  <si>
    <t xml:space="preserve">CANON-202509-001021</t>
  </si>
  <si>
    <t xml:space="preserve">Saoirse Kingsford</t>
  </si>
  <si>
    <t xml:space="preserve">1KBYTZYRNR8MWAZ1S</t>
  </si>
  <si>
    <t xml:space="preserve">CANON-202509-001022</t>
  </si>
  <si>
    <t xml:space="preserve">HXJP9JD2D02URJ2V3</t>
  </si>
  <si>
    <t xml:space="preserve">CANON-202509-001026</t>
  </si>
  <si>
    <t xml:space="preserve">5Y9HRUSNV1DECEYB9</t>
  </si>
  <si>
    <t xml:space="preserve">CANON-202509-001027</t>
  </si>
  <si>
    <t xml:space="preserve">Ramona Rourke</t>
  </si>
  <si>
    <t xml:space="preserve">1R3X60HK7BYJVTBFC</t>
  </si>
  <si>
    <t xml:space="preserve">CANON-202509-001028</t>
  </si>
  <si>
    <t xml:space="preserve">Thaddeus Chattopadhyay</t>
  </si>
  <si>
    <t xml:space="preserve">8K0S5WL76GRP0AG6D</t>
  </si>
  <si>
    <t xml:space="preserve">CANON-202509-001031</t>
  </si>
  <si>
    <t xml:space="preserve">Ingrid Pennington</t>
  </si>
  <si>
    <t xml:space="preserve">SMR2TFBU27475JWXX</t>
  </si>
  <si>
    <t xml:space="preserve">CANON-202509-001032</t>
  </si>
  <si>
    <t xml:space="preserve">Emiliano Kingsford</t>
  </si>
  <si>
    <t xml:space="preserve">2GTH03AT68Y8W66XS</t>
  </si>
  <si>
    <t xml:space="preserve">CANON-202509-001033</t>
  </si>
  <si>
    <t xml:space="preserve">Priya Merriweather</t>
  </si>
  <si>
    <t xml:space="preserve">K81HVF0P61WMW1JLU</t>
  </si>
  <si>
    <t xml:space="preserve">CANON-202509-001034</t>
  </si>
  <si>
    <t xml:space="preserve">Delphine Castellanos</t>
  </si>
  <si>
    <t xml:space="preserve">XBU34D1UFA5BE5E9R</t>
  </si>
  <si>
    <t xml:space="preserve">CANON-202509-001035</t>
  </si>
  <si>
    <t xml:space="preserve">X5LZAPH0DFZRCEAX9</t>
  </si>
  <si>
    <t xml:space="preserve">CANON-202509-001036</t>
  </si>
  <si>
    <t xml:space="preserve">32JG5MFA8XGPEPZ7T</t>
  </si>
  <si>
    <t xml:space="preserve">CANON-202509-001037</t>
  </si>
  <si>
    <t xml:space="preserve">Cassius Nakashima</t>
  </si>
  <si>
    <t xml:space="preserve">0K1SJZVU1PCY6T98B</t>
  </si>
  <si>
    <t xml:space="preserve">CANON-202509-001038</t>
  </si>
  <si>
    <t xml:space="preserve">BL1F728VDU8UJ457X</t>
  </si>
  <si>
    <t xml:space="preserve">CANON-202509-001040</t>
  </si>
  <si>
    <t xml:space="preserve">VTV0HTXA87MGDC5MS</t>
  </si>
  <si>
    <t xml:space="preserve">CANON-202509-001042</t>
  </si>
  <si>
    <t xml:space="preserve">ZBMXS226J0MGRP38K</t>
  </si>
  <si>
    <t xml:space="preserve">South Dakota</t>
  </si>
  <si>
    <t xml:space="preserve">CANON-202509-001043</t>
  </si>
  <si>
    <t xml:space="preserve">1MZWH9WHTUBJVUFCE</t>
  </si>
  <si>
    <t xml:space="preserve">CANON-202509-001047</t>
  </si>
  <si>
    <t xml:space="preserve">Everett Farkas</t>
  </si>
  <si>
    <t xml:space="preserve">C6KH7YCFBR4PC8V29</t>
  </si>
  <si>
    <t xml:space="preserve">CANON-202509-001049</t>
  </si>
  <si>
    <t xml:space="preserve">U87F6AFCUB3M8FFXY</t>
  </si>
  <si>
    <t xml:space="preserve">CANON-202509-001052</t>
  </si>
  <si>
    <t xml:space="preserve">PGG5DXPRDLU9GJA4G</t>
  </si>
  <si>
    <t xml:space="preserve">CANON-202509-001053</t>
  </si>
  <si>
    <t xml:space="preserve">Cassius Farkas</t>
  </si>
  <si>
    <t xml:space="preserve">DBYPXZ00YEWGCKX57</t>
  </si>
  <si>
    <t xml:space="preserve">CANON-202509-001055</t>
  </si>
  <si>
    <t xml:space="preserve">SSDD3V75P1TMNGBN9</t>
  </si>
  <si>
    <t xml:space="preserve">CANON-202509-001056</t>
  </si>
  <si>
    <t xml:space="preserve">ZJ9L1MHJSLAWTEPZF</t>
  </si>
  <si>
    <t xml:space="preserve">CANON-202509-001057</t>
  </si>
  <si>
    <t xml:space="preserve">YT09JV9Y00X4JN763</t>
  </si>
  <si>
    <t xml:space="preserve">CANON-202509-001059</t>
  </si>
  <si>
    <t xml:space="preserve">Anouk Merriweather</t>
  </si>
  <si>
    <t xml:space="preserve">NEW42FCFBYNMLT3U3</t>
  </si>
  <si>
    <t xml:space="preserve">CANON-202509-001061</t>
  </si>
  <si>
    <t xml:space="preserve">Everett Harrington</t>
  </si>
  <si>
    <t xml:space="preserve">LEXTMYCF8Y7WKZY6F</t>
  </si>
  <si>
    <t xml:space="preserve">CANON-202509-001062</t>
  </si>
  <si>
    <t xml:space="preserve">Saoirse Okonkwo</t>
  </si>
  <si>
    <t xml:space="preserve">7N8G4YDLEY334W58R</t>
  </si>
  <si>
    <t xml:space="preserve">CANON-202509-001063</t>
  </si>
  <si>
    <t xml:space="preserve">NE63KLJC83K16AKF7</t>
  </si>
  <si>
    <t xml:space="preserve">CANON-202509-001064</t>
  </si>
  <si>
    <t xml:space="preserve">MP7N0NYPAWA0D5TB0</t>
  </si>
  <si>
    <t xml:space="preserve">CANON-202509-001065</t>
  </si>
  <si>
    <t xml:space="preserve">JBPTJCV9S99NHKX5U</t>
  </si>
  <si>
    <t xml:space="preserve">CANON-202509-001066</t>
  </si>
  <si>
    <t xml:space="preserve">Horace Okonkwo</t>
  </si>
  <si>
    <t xml:space="preserve">JLC2Y2JX7C69666D8</t>
  </si>
  <si>
    <t xml:space="preserve">CANON-202509-001067</t>
  </si>
  <si>
    <t xml:space="preserve">H2DDBRTUD1JT8SAPC</t>
  </si>
  <si>
    <t xml:space="preserve">CANON-202509-001068</t>
  </si>
  <si>
    <t xml:space="preserve">Callum Okonkwo</t>
  </si>
  <si>
    <t xml:space="preserve">J5M7M90XLJBD3AJPT</t>
  </si>
  <si>
    <t xml:space="preserve">CANON-202509-001069</t>
  </si>
  <si>
    <t xml:space="preserve">YK51V9L4YUHDX57DY</t>
  </si>
  <si>
    <t xml:space="preserve">CANON-202509-001071</t>
  </si>
  <si>
    <t xml:space="preserve">65FSCW5TNEKHRJLWV</t>
  </si>
  <si>
    <t xml:space="preserve">CANON-202509-001072</t>
  </si>
  <si>
    <t xml:space="preserve">CDN5DM0ZXNF86W15J</t>
  </si>
  <si>
    <t xml:space="preserve">CANON-202509-001073</t>
  </si>
  <si>
    <t xml:space="preserve">Ottilie Kingsford</t>
  </si>
  <si>
    <t xml:space="preserve">M8T2LREUU39F55VSJ</t>
  </si>
  <si>
    <t xml:space="preserve">CANON-202509-001074</t>
  </si>
  <si>
    <t xml:space="preserve">Ramona Delacroix</t>
  </si>
  <si>
    <t xml:space="preserve">6B57562Y20H2ENWDK</t>
  </si>
  <si>
    <t xml:space="preserve">CANON-202509-001075</t>
  </si>
  <si>
    <t xml:space="preserve">Leopold Castellanos</t>
  </si>
  <si>
    <t xml:space="preserve">MUJT9EZML0CL3CB8R</t>
  </si>
  <si>
    <t xml:space="preserve">CANON-202509-001076</t>
  </si>
  <si>
    <t xml:space="preserve">HYC8PT1U3ES1ZLY5M</t>
  </si>
  <si>
    <t xml:space="preserve">CANON-202509-001077</t>
  </si>
  <si>
    <t xml:space="preserve">Thaddeus Montoya</t>
  </si>
  <si>
    <t xml:space="preserve">9HJ4AN4R3557ZV52T</t>
  </si>
  <si>
    <t xml:space="preserve">CANON-202509-001078</t>
  </si>
  <si>
    <t xml:space="preserve">MWWC63TWN50FTCSA1</t>
  </si>
  <si>
    <t xml:space="preserve">CANON-202509-001079</t>
  </si>
  <si>
    <t xml:space="preserve">3RU7N0A1Z59N48M1D</t>
  </si>
  <si>
    <t xml:space="preserve">CANON-202509-001080</t>
  </si>
  <si>
    <t xml:space="preserve">Fitzgerald Thistlewood</t>
  </si>
  <si>
    <t xml:space="preserve">4PEPMSKML8T0CCK5K</t>
  </si>
  <si>
    <t xml:space="preserve">CANON-202509-001081</t>
  </si>
  <si>
    <t xml:space="preserve">Noor Underwood</t>
  </si>
  <si>
    <t xml:space="preserve">S31F8YN3L6LWNZH12</t>
  </si>
  <si>
    <t xml:space="preserve">CANON-202509-001082</t>
  </si>
  <si>
    <t xml:space="preserve">FEZF939HEV55WKSD2</t>
  </si>
  <si>
    <t xml:space="preserve">CANON-202509-001083</t>
  </si>
  <si>
    <t xml:space="preserve">7Y0WLWZEBXZGAPKVL</t>
  </si>
  <si>
    <t xml:space="preserve">CANON-202509-001084</t>
  </si>
  <si>
    <t xml:space="preserve">08PWYDM82B9GTHJ4N</t>
  </si>
  <si>
    <t xml:space="preserve">CANON-202509-001085</t>
  </si>
  <si>
    <t xml:space="preserve">M1WWPXDYZ5RN4XE0J</t>
  </si>
  <si>
    <t xml:space="preserve">CANON-202509-001087</t>
  </si>
  <si>
    <t xml:space="preserve">AHF83L6WHWXPHUEGW</t>
  </si>
  <si>
    <t xml:space="preserve">CANON-202509-001088</t>
  </si>
  <si>
    <t xml:space="preserve">Ramona Montoya</t>
  </si>
  <si>
    <t xml:space="preserve">VZXV0NR5G61HLCY2L</t>
  </si>
  <si>
    <t xml:space="preserve">CANON-202509-001090</t>
  </si>
  <si>
    <t xml:space="preserve">YGZD47V79MLHRE3CX</t>
  </si>
  <si>
    <t xml:space="preserve">CANON-202509-001091</t>
  </si>
  <si>
    <t xml:space="preserve">CTRK6U65FJXA3WJ4S</t>
  </si>
  <si>
    <t xml:space="preserve">TOTAL</t>
  </si>
  <si>
    <t xml:space="preserve">Commission (Broker + Torque + Σ10 syndicates)</t>
  </si>
  <si>
    <t xml:space="preserve">Commission rounding adjustment</t>
  </si>
  <si>
    <t xml:space="preserve">Footed commission (Broker+Torque+Σ10+adj) == GWP</t>
  </si>
  <si>
    <t xml:space="preserve">Bordereau Reconciliation — 2025-09</t>
  </si>
  <si>
    <t xml:space="preserve">Bordereau totals tie to monthly_aggregates and foot to GWP.</t>
  </si>
  <si>
    <t xml:space="preserve">Metric</t>
  </si>
  <si>
    <t xml:space="preserve">Bordereau total (live)</t>
  </si>
  <si>
    <t xml:space="preserve">Artifact (monthly_aggregates)</t>
  </si>
  <si>
    <t xml:space="preserve">Bound policy count</t>
  </si>
  <si>
    <t xml:space="preserve">Average bound premium</t>
  </si>
  <si>
    <t xml:space="preserve">Broker commission 12.5%</t>
  </si>
  <si>
    <t xml:space="preserve">MGA (Torque) commission 12.5%</t>
  </si>
  <si>
    <t xml:space="preserve">Net to capacity 75%</t>
  </si>
  <si>
    <t xml:space="preserve">  Beazley (7.5%)</t>
  </si>
  <si>
    <t xml:space="preserve">  Hiscox (7.5%)</t>
  </si>
  <si>
    <t xml:space="preserve">  Chaucer (7.5%)</t>
  </si>
  <si>
    <t xml:space="preserve">  Ark (7.5%)</t>
  </si>
  <si>
    <t xml:space="preserve">  Brit (7.5%)</t>
  </si>
  <si>
    <t xml:space="preserve">  Canopius (7.5%)</t>
  </si>
  <si>
    <t xml:space="preserve">  Apollo (7.5%)</t>
  </si>
  <si>
    <t xml:space="preserve">  Antares (7.5%)</t>
  </si>
  <si>
    <t xml:space="preserve">  MS Amlin (7.5%)</t>
  </si>
  <si>
    <t xml:space="preserve">  Ascot (7.5%)</t>
  </si>
  <si>
    <t xml:space="preserve">Policy fee income</t>
  </si>
  <si>
    <t xml:space="preserve">Inspection fee income</t>
  </si>
  <si>
    <t xml:space="preserve">Total fee income</t>
  </si>
  <si>
    <t xml:space="preserve">Foot: Broker + Torque + Net-to-capacity</t>
  </si>
  <si>
    <t xml:space="preserve">Footed commission (Broker+Torque+Net+adj) == GWP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</si>
</sst>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;\(#,##0.00\);\-"/>
    <numFmt numFmtId="166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F3864"/>
        <bgColor rgb="FF1F4E79"/>
      </patternFill>
    </fill>
    <fill>
      <patternFill patternType="solid">
        <fgColor rgb="FF2E5A88"/>
        <bgColor rgb="FF1F4E79"/>
      </patternFill>
    </fill>
    <fill>
      <patternFill patternType="solid">
        <fgColor rgb="FFEDEDED"/>
        <bgColor rgb="FFD9E1F2"/>
      </patternFill>
    </fill>
    <fill>
      <patternFill patternType="solid">
        <fgColor rgb="FFD9E1F2"/>
        <bgColor rgb="FFEDEDED"/>
      </patternFill>
    </fill>
    <fill>
      <patternFill patternType="solid">
        <fgColor rgb="FFFFF2CC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6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2E5A88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2E5A88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1F4E7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48235"/>
    <pageSetUpPr fitToPage="false"/>
  </sheetPr>
  <dimension ref="A1:H1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"/>
    <col collapsed="false" customWidth="true" hidden="false" outlineLevel="0" max="3" min="3" style="0" width="55"/>
  </cols>
  <sheetData>
    <row r="1" customFormat="false" ht="17.35" hidden="false" customHeight="false" outlineLevel="0" collapsed="false">
      <c r="A1" s="1" t="s">
        <v>0</v>
      </c>
    </row>
    <row r="2" customFormat="false" ht="69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" hidden="false" customHeight="false" outlineLevel="0" collapsed="false">
      <c r="A3" s="2"/>
      <c r="B3" s="2"/>
      <c r="C3" s="2"/>
      <c r="D3" s="2"/>
      <c r="E3" s="2"/>
      <c r="F3" s="2"/>
      <c r="G3" s="2"/>
      <c r="H3" s="2"/>
    </row>
    <row r="4" customFormat="false" ht="15" hidden="false" customHeight="false" outlineLevel="0" collapsed="false">
      <c r="A4" s="2"/>
      <c r="B4" s="2"/>
      <c r="C4" s="2"/>
      <c r="D4" s="2"/>
      <c r="E4" s="2"/>
      <c r="F4" s="2"/>
      <c r="G4" s="2"/>
      <c r="H4" s="2"/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2"/>
      <c r="B6" s="2"/>
      <c r="C6" s="2"/>
      <c r="D6" s="2"/>
      <c r="E6" s="2"/>
      <c r="F6" s="2"/>
      <c r="G6" s="2"/>
      <c r="H6" s="2"/>
    </row>
    <row r="8" customFormat="false" ht="15" hidden="false" customHeight="false" outlineLevel="0" collapsed="false">
      <c r="A8" s="3" t="s">
        <v>2</v>
      </c>
      <c r="C8" s="3" t="s">
        <v>3</v>
      </c>
    </row>
    <row r="9" customFormat="false" ht="15" hidden="false" customHeight="false" outlineLevel="0" collapsed="false">
      <c r="A9" s="3" t="s">
        <v>4</v>
      </c>
      <c r="C9" s="3" t="s">
        <v>5</v>
      </c>
    </row>
    <row r="10" customFormat="false" ht="15" hidden="false" customHeight="false" outlineLevel="0" collapsed="false">
      <c r="A10" s="3" t="s">
        <v>6</v>
      </c>
      <c r="C10" s="3" t="s">
        <v>7</v>
      </c>
    </row>
    <row r="11" customFormat="false" ht="15" hidden="false" customHeight="false" outlineLevel="0" collapsed="false">
      <c r="A11" s="3" t="s">
        <v>8</v>
      </c>
      <c r="C11" s="3" t="s">
        <v>9</v>
      </c>
    </row>
  </sheetData>
  <mergeCells count="1">
    <mergeCell ref="A2:H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AB38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4" min="3" style="0" width="13"/>
    <col collapsed="false" customWidth="true" hidden="false" outlineLevel="0" max="5" min="5" style="0" width="11"/>
    <col collapsed="false" customWidth="true" hidden="false" outlineLevel="0" max="6" min="6" style="0" width="16"/>
    <col collapsed="false" customWidth="true" hidden="false" outlineLevel="0" max="8" min="7" style="0" width="20"/>
    <col collapsed="false" customWidth="true" hidden="false" outlineLevel="0" max="9" min="9" style="0" width="26"/>
    <col collapsed="false" customWidth="true" hidden="false" outlineLevel="0" max="11" min="10" style="0" width="16"/>
    <col collapsed="false" customWidth="true" hidden="false" outlineLevel="0" max="13" min="12" style="0" width="18"/>
    <col collapsed="false" customWidth="true" hidden="false" outlineLevel="0" max="14" min="14" style="0" width="22"/>
    <col collapsed="false" customWidth="true" hidden="false" outlineLevel="0" max="15" min="15" style="0" width="18"/>
    <col collapsed="false" customWidth="true" hidden="false" outlineLevel="0" max="28" min="16" style="0" width="12"/>
  </cols>
  <sheetData>
    <row r="1" customFormat="false" ht="21.75" hidden="false" customHeight="true" outlineLevel="0" collapsed="false">
      <c r="A1" s="4" t="s">
        <v>10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customFormat="false" ht="15" hidden="false" customHeight="false" outlineLevel="0" collapsed="false">
      <c r="A2" s="5" t="s">
        <v>11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</row>
    <row r="4" customFormat="false" ht="15" hidden="false" customHeight="false" outlineLevel="0" collapsed="false">
      <c r="A4" s="6" t="s">
        <v>12</v>
      </c>
      <c r="B4" s="6" t="s">
        <v>13</v>
      </c>
      <c r="C4" s="6" t="s">
        <v>14</v>
      </c>
      <c r="D4" s="6" t="s">
        <v>15</v>
      </c>
      <c r="E4" s="6" t="s">
        <v>16</v>
      </c>
      <c r="F4" s="6" t="s">
        <v>17</v>
      </c>
      <c r="G4" s="6" t="s">
        <v>18</v>
      </c>
      <c r="H4" s="6" t="s">
        <v>19</v>
      </c>
      <c r="I4" s="6" t="s">
        <v>20</v>
      </c>
      <c r="J4" s="6" t="s">
        <v>21</v>
      </c>
      <c r="K4" s="6" t="s">
        <v>22</v>
      </c>
      <c r="L4" s="6" t="s">
        <v>23</v>
      </c>
      <c r="M4" s="6" t="s">
        <v>24</v>
      </c>
      <c r="N4" s="6" t="s">
        <v>25</v>
      </c>
      <c r="O4" s="6" t="s">
        <v>26</v>
      </c>
      <c r="P4" s="6" t="s">
        <v>27</v>
      </c>
      <c r="Q4" s="6" t="s">
        <v>28</v>
      </c>
      <c r="R4" s="6" t="s">
        <v>29</v>
      </c>
      <c r="S4" s="6" t="s">
        <v>30</v>
      </c>
      <c r="T4" s="6" t="s">
        <v>31</v>
      </c>
      <c r="U4" s="6" t="s">
        <v>32</v>
      </c>
      <c r="V4" s="6" t="s">
        <v>33</v>
      </c>
      <c r="W4" s="6" t="s">
        <v>34</v>
      </c>
      <c r="X4" s="6" t="s">
        <v>35</v>
      </c>
      <c r="Y4" s="6" t="s">
        <v>36</v>
      </c>
      <c r="Z4" s="6" t="s">
        <v>37</v>
      </c>
      <c r="AA4" s="6" t="s">
        <v>38</v>
      </c>
      <c r="AB4" s="6" t="s">
        <v>39</v>
      </c>
    </row>
    <row r="5" customFormat="false" ht="15" hidden="false" customHeight="false" outlineLevel="0" collapsed="false">
      <c r="A5" s="3" t="s">
        <v>40</v>
      </c>
      <c r="B5" s="3" t="s">
        <v>41</v>
      </c>
      <c r="C5" s="3" t="s">
        <v>42</v>
      </c>
      <c r="D5" s="3" t="s">
        <v>43</v>
      </c>
      <c r="E5" s="3" t="n">
        <v>1956</v>
      </c>
      <c r="F5" s="3" t="s">
        <v>44</v>
      </c>
      <c r="G5" s="3" t="s">
        <v>45</v>
      </c>
      <c r="H5" s="3" t="s">
        <v>46</v>
      </c>
      <c r="I5" s="3" t="s">
        <v>47</v>
      </c>
      <c r="J5" s="7" t="n">
        <v>875000</v>
      </c>
      <c r="K5" s="3" t="s">
        <v>48</v>
      </c>
      <c r="L5" s="7" t="n">
        <v>16245.89</v>
      </c>
      <c r="M5" s="7" t="n">
        <v>2030.74</v>
      </c>
      <c r="N5" s="7" t="n">
        <v>2030.74</v>
      </c>
      <c r="O5" s="7" t="n">
        <v>12184.4</v>
      </c>
      <c r="P5" s="7" t="n">
        <v>1218.44</v>
      </c>
      <c r="Q5" s="7" t="n">
        <v>1218.44</v>
      </c>
      <c r="R5" s="7" t="n">
        <v>1218.44</v>
      </c>
      <c r="S5" s="7" t="n">
        <v>1218.44</v>
      </c>
      <c r="T5" s="7" t="n">
        <v>1218.44</v>
      </c>
      <c r="U5" s="7" t="n">
        <v>1218.44</v>
      </c>
      <c r="V5" s="7" t="n">
        <v>1218.44</v>
      </c>
      <c r="W5" s="7" t="n">
        <v>1218.44</v>
      </c>
      <c r="X5" s="7" t="n">
        <v>1218.44</v>
      </c>
      <c r="Y5" s="7" t="n">
        <v>1218.44</v>
      </c>
      <c r="Z5" s="7" t="n">
        <v>350</v>
      </c>
      <c r="AA5" s="7" t="n">
        <v>0</v>
      </c>
      <c r="AB5" s="7" t="n">
        <v>350</v>
      </c>
    </row>
    <row r="6" customFormat="false" ht="15" hidden="false" customHeight="false" outlineLevel="0" collapsed="false">
      <c r="A6" s="8" t="s">
        <v>49</v>
      </c>
      <c r="B6" s="8" t="s">
        <v>50</v>
      </c>
      <c r="C6" s="8" t="s">
        <v>51</v>
      </c>
      <c r="D6" s="8" t="s">
        <v>52</v>
      </c>
      <c r="E6" s="8" t="n">
        <v>2023</v>
      </c>
      <c r="F6" s="8" t="s">
        <v>53</v>
      </c>
      <c r="G6" s="8" t="s">
        <v>54</v>
      </c>
      <c r="H6" s="8" t="s">
        <v>55</v>
      </c>
      <c r="I6" s="8" t="s">
        <v>56</v>
      </c>
      <c r="J6" s="9" t="n">
        <v>345000</v>
      </c>
      <c r="K6" s="8" t="s">
        <v>57</v>
      </c>
      <c r="L6" s="9" t="n">
        <v>5384.76</v>
      </c>
      <c r="M6" s="9" t="n">
        <v>673.1</v>
      </c>
      <c r="N6" s="9" t="n">
        <v>673.1</v>
      </c>
      <c r="O6" s="9" t="n">
        <v>4038.6</v>
      </c>
      <c r="P6" s="9" t="n">
        <v>403.86</v>
      </c>
      <c r="Q6" s="9" t="n">
        <v>403.86</v>
      </c>
      <c r="R6" s="9" t="n">
        <v>403.86</v>
      </c>
      <c r="S6" s="9" t="n">
        <v>403.86</v>
      </c>
      <c r="T6" s="9" t="n">
        <v>403.86</v>
      </c>
      <c r="U6" s="9" t="n">
        <v>403.86</v>
      </c>
      <c r="V6" s="9" t="n">
        <v>403.86</v>
      </c>
      <c r="W6" s="9" t="n">
        <v>403.86</v>
      </c>
      <c r="X6" s="9" t="n">
        <v>403.86</v>
      </c>
      <c r="Y6" s="9" t="n">
        <v>403.86</v>
      </c>
      <c r="Z6" s="9" t="n">
        <v>350</v>
      </c>
      <c r="AA6" s="9" t="n">
        <v>0</v>
      </c>
      <c r="AB6" s="9" t="n">
        <v>350</v>
      </c>
    </row>
    <row r="7" customFormat="false" ht="15" hidden="false" customHeight="false" outlineLevel="0" collapsed="false">
      <c r="A7" s="3" t="s">
        <v>58</v>
      </c>
      <c r="B7" s="3" t="s">
        <v>59</v>
      </c>
      <c r="C7" s="3" t="s">
        <v>60</v>
      </c>
      <c r="D7" s="3" t="s">
        <v>61</v>
      </c>
      <c r="E7" s="3" t="n">
        <v>1959</v>
      </c>
      <c r="F7" s="3" t="s">
        <v>62</v>
      </c>
      <c r="G7" s="3" t="s">
        <v>63</v>
      </c>
      <c r="H7" s="3" t="s">
        <v>64</v>
      </c>
      <c r="I7" s="3" t="s">
        <v>47</v>
      </c>
      <c r="J7" s="7" t="n">
        <v>925000</v>
      </c>
      <c r="K7" s="3" t="s">
        <v>65</v>
      </c>
      <c r="L7" s="7" t="n">
        <v>15902.06</v>
      </c>
      <c r="M7" s="7" t="n">
        <v>1987.76</v>
      </c>
      <c r="N7" s="7" t="n">
        <v>1987.76</v>
      </c>
      <c r="O7" s="7" t="n">
        <v>11926.5</v>
      </c>
      <c r="P7" s="7" t="n">
        <v>1192.65</v>
      </c>
      <c r="Q7" s="7" t="n">
        <v>1192.65</v>
      </c>
      <c r="R7" s="7" t="n">
        <v>1192.65</v>
      </c>
      <c r="S7" s="7" t="n">
        <v>1192.65</v>
      </c>
      <c r="T7" s="7" t="n">
        <v>1192.65</v>
      </c>
      <c r="U7" s="7" t="n">
        <v>1192.65</v>
      </c>
      <c r="V7" s="7" t="n">
        <v>1192.65</v>
      </c>
      <c r="W7" s="7" t="n">
        <v>1192.65</v>
      </c>
      <c r="X7" s="7" t="n">
        <v>1192.65</v>
      </c>
      <c r="Y7" s="7" t="n">
        <v>1192.65</v>
      </c>
      <c r="Z7" s="7" t="n">
        <v>350</v>
      </c>
      <c r="AA7" s="7" t="n">
        <v>0</v>
      </c>
      <c r="AB7" s="7" t="n">
        <v>350</v>
      </c>
    </row>
    <row r="8" customFormat="false" ht="15" hidden="false" customHeight="false" outlineLevel="0" collapsed="false">
      <c r="A8" s="8" t="s">
        <v>66</v>
      </c>
      <c r="B8" s="8" t="s">
        <v>67</v>
      </c>
      <c r="C8" s="8" t="s">
        <v>68</v>
      </c>
      <c r="D8" s="8" t="s">
        <v>69</v>
      </c>
      <c r="E8" s="8" t="n">
        <v>1957</v>
      </c>
      <c r="F8" s="8" t="s">
        <v>70</v>
      </c>
      <c r="G8" s="8" t="s">
        <v>71</v>
      </c>
      <c r="H8" s="8" t="s">
        <v>72</v>
      </c>
      <c r="I8" s="8" t="s">
        <v>56</v>
      </c>
      <c r="J8" s="9" t="n">
        <v>800000</v>
      </c>
      <c r="K8" s="8" t="s">
        <v>73</v>
      </c>
      <c r="L8" s="9" t="n">
        <v>11574.34</v>
      </c>
      <c r="M8" s="9" t="n">
        <v>1446.79</v>
      </c>
      <c r="N8" s="9" t="n">
        <v>1446.79</v>
      </c>
      <c r="O8" s="9" t="n">
        <v>8680.8</v>
      </c>
      <c r="P8" s="9" t="n">
        <v>868.08</v>
      </c>
      <c r="Q8" s="9" t="n">
        <v>868.08</v>
      </c>
      <c r="R8" s="9" t="n">
        <v>868.08</v>
      </c>
      <c r="S8" s="9" t="n">
        <v>868.08</v>
      </c>
      <c r="T8" s="9" t="n">
        <v>868.08</v>
      </c>
      <c r="U8" s="9" t="n">
        <v>868.08</v>
      </c>
      <c r="V8" s="9" t="n">
        <v>868.08</v>
      </c>
      <c r="W8" s="9" t="n">
        <v>868.08</v>
      </c>
      <c r="X8" s="9" t="n">
        <v>868.08</v>
      </c>
      <c r="Y8" s="9" t="n">
        <v>868.08</v>
      </c>
      <c r="Z8" s="9" t="n">
        <v>350</v>
      </c>
      <c r="AA8" s="9" t="n">
        <v>0</v>
      </c>
      <c r="AB8" s="9" t="n">
        <v>350</v>
      </c>
    </row>
    <row r="9" customFormat="false" ht="15" hidden="false" customHeight="false" outlineLevel="0" collapsed="false">
      <c r="A9" s="3" t="s">
        <v>74</v>
      </c>
      <c r="B9" s="3" t="s">
        <v>75</v>
      </c>
      <c r="C9" s="3" t="s">
        <v>76</v>
      </c>
      <c r="D9" s="3" t="s">
        <v>77</v>
      </c>
      <c r="E9" s="3" t="n">
        <v>2020</v>
      </c>
      <c r="F9" s="3" t="s">
        <v>70</v>
      </c>
      <c r="G9" s="3" t="s">
        <v>71</v>
      </c>
      <c r="H9" s="3" t="s">
        <v>78</v>
      </c>
      <c r="I9" s="3" t="s">
        <v>56</v>
      </c>
      <c r="J9" s="7" t="n">
        <v>1145000</v>
      </c>
      <c r="K9" s="3" t="s">
        <v>79</v>
      </c>
      <c r="L9" s="7" t="n">
        <v>11054.21</v>
      </c>
      <c r="M9" s="7" t="n">
        <v>1381.78</v>
      </c>
      <c r="N9" s="7" t="n">
        <v>1381.78</v>
      </c>
      <c r="O9" s="7" t="n">
        <v>8290.7</v>
      </c>
      <c r="P9" s="7" t="n">
        <v>829.07</v>
      </c>
      <c r="Q9" s="7" t="n">
        <v>829.07</v>
      </c>
      <c r="R9" s="7" t="n">
        <v>829.07</v>
      </c>
      <c r="S9" s="7" t="n">
        <v>829.07</v>
      </c>
      <c r="T9" s="7" t="n">
        <v>829.07</v>
      </c>
      <c r="U9" s="7" t="n">
        <v>829.07</v>
      </c>
      <c r="V9" s="7" t="n">
        <v>829.07</v>
      </c>
      <c r="W9" s="7" t="n">
        <v>829.07</v>
      </c>
      <c r="X9" s="7" t="n">
        <v>829.07</v>
      </c>
      <c r="Y9" s="7" t="n">
        <v>829.07</v>
      </c>
      <c r="Z9" s="7" t="n">
        <v>350</v>
      </c>
      <c r="AA9" s="7" t="n">
        <v>250</v>
      </c>
      <c r="AB9" s="7" t="n">
        <v>600</v>
      </c>
    </row>
    <row r="10" customFormat="false" ht="15" hidden="false" customHeight="false" outlineLevel="0" collapsed="false">
      <c r="A10" s="8" t="s">
        <v>80</v>
      </c>
      <c r="B10" s="8" t="s">
        <v>81</v>
      </c>
      <c r="C10" s="8" t="s">
        <v>82</v>
      </c>
      <c r="D10" s="8" t="s">
        <v>83</v>
      </c>
      <c r="E10" s="8" t="n">
        <v>2011</v>
      </c>
      <c r="F10" s="8" t="s">
        <v>70</v>
      </c>
      <c r="G10" s="8" t="s">
        <v>71</v>
      </c>
      <c r="H10" s="8" t="s">
        <v>84</v>
      </c>
      <c r="I10" s="8" t="s">
        <v>56</v>
      </c>
      <c r="J10" s="9" t="n">
        <v>270000</v>
      </c>
      <c r="K10" s="8" t="s">
        <v>57</v>
      </c>
      <c r="L10" s="9" t="n">
        <v>4214.16</v>
      </c>
      <c r="M10" s="9" t="n">
        <v>526.77</v>
      </c>
      <c r="N10" s="9" t="n">
        <v>526.77</v>
      </c>
      <c r="O10" s="9" t="n">
        <v>3160.6</v>
      </c>
      <c r="P10" s="9" t="n">
        <v>316.06</v>
      </c>
      <c r="Q10" s="9" t="n">
        <v>316.06</v>
      </c>
      <c r="R10" s="9" t="n">
        <v>316.06</v>
      </c>
      <c r="S10" s="9" t="n">
        <v>316.06</v>
      </c>
      <c r="T10" s="9" t="n">
        <v>316.06</v>
      </c>
      <c r="U10" s="9" t="n">
        <v>316.06</v>
      </c>
      <c r="V10" s="9" t="n">
        <v>316.06</v>
      </c>
      <c r="W10" s="9" t="n">
        <v>316.06</v>
      </c>
      <c r="X10" s="9" t="n">
        <v>316.06</v>
      </c>
      <c r="Y10" s="9" t="n">
        <v>316.06</v>
      </c>
      <c r="Z10" s="9" t="n">
        <v>350</v>
      </c>
      <c r="AA10" s="9" t="n">
        <v>0</v>
      </c>
      <c r="AB10" s="9" t="n">
        <v>350</v>
      </c>
    </row>
    <row r="11" customFormat="false" ht="15" hidden="false" customHeight="false" outlineLevel="0" collapsed="false">
      <c r="A11" s="3" t="s">
        <v>85</v>
      </c>
      <c r="B11" s="3" t="s">
        <v>86</v>
      </c>
      <c r="C11" s="3" t="s">
        <v>87</v>
      </c>
      <c r="D11" s="3" t="s">
        <v>88</v>
      </c>
      <c r="E11" s="3" t="n">
        <v>1963</v>
      </c>
      <c r="F11" s="3" t="s">
        <v>89</v>
      </c>
      <c r="G11" s="3" t="s">
        <v>90</v>
      </c>
      <c r="H11" s="3" t="s">
        <v>91</v>
      </c>
      <c r="I11" s="3" t="s">
        <v>92</v>
      </c>
      <c r="J11" s="7" t="n">
        <v>415000</v>
      </c>
      <c r="K11" s="3" t="s">
        <v>93</v>
      </c>
      <c r="L11" s="7" t="n">
        <v>10243.55</v>
      </c>
      <c r="M11" s="7" t="n">
        <v>1280.44</v>
      </c>
      <c r="N11" s="7" t="n">
        <v>1280.44</v>
      </c>
      <c r="O11" s="7" t="n">
        <v>7682.7</v>
      </c>
      <c r="P11" s="7" t="n">
        <v>768.27</v>
      </c>
      <c r="Q11" s="7" t="n">
        <v>768.27</v>
      </c>
      <c r="R11" s="7" t="n">
        <v>768.27</v>
      </c>
      <c r="S11" s="7" t="n">
        <v>768.27</v>
      </c>
      <c r="T11" s="7" t="n">
        <v>768.27</v>
      </c>
      <c r="U11" s="7" t="n">
        <v>768.27</v>
      </c>
      <c r="V11" s="7" t="n">
        <v>768.27</v>
      </c>
      <c r="W11" s="7" t="n">
        <v>768.27</v>
      </c>
      <c r="X11" s="7" t="n">
        <v>768.27</v>
      </c>
      <c r="Y11" s="7" t="n">
        <v>768.27</v>
      </c>
      <c r="Z11" s="7" t="n">
        <v>350</v>
      </c>
      <c r="AA11" s="7" t="n">
        <v>0</v>
      </c>
      <c r="AB11" s="7" t="n">
        <v>350</v>
      </c>
    </row>
    <row r="12" customFormat="false" ht="15" hidden="false" customHeight="false" outlineLevel="0" collapsed="false">
      <c r="A12" s="8" t="s">
        <v>94</v>
      </c>
      <c r="B12" s="8" t="s">
        <v>95</v>
      </c>
      <c r="C12" s="8" t="s">
        <v>96</v>
      </c>
      <c r="D12" s="8" t="s">
        <v>97</v>
      </c>
      <c r="E12" s="8" t="n">
        <v>2022</v>
      </c>
      <c r="F12" s="8" t="s">
        <v>62</v>
      </c>
      <c r="G12" s="8" t="s">
        <v>98</v>
      </c>
      <c r="H12" s="8" t="s">
        <v>99</v>
      </c>
      <c r="I12" s="8" t="s">
        <v>47</v>
      </c>
      <c r="J12" s="9" t="n">
        <v>1050000</v>
      </c>
      <c r="K12" s="8" t="s">
        <v>100</v>
      </c>
      <c r="L12" s="9" t="n">
        <v>19001.04</v>
      </c>
      <c r="M12" s="9" t="n">
        <v>2375.13</v>
      </c>
      <c r="N12" s="9" t="n">
        <v>2375.13</v>
      </c>
      <c r="O12" s="9" t="n">
        <v>14250.8</v>
      </c>
      <c r="P12" s="9" t="n">
        <v>1425.08</v>
      </c>
      <c r="Q12" s="9" t="n">
        <v>1425.08</v>
      </c>
      <c r="R12" s="9" t="n">
        <v>1425.08</v>
      </c>
      <c r="S12" s="9" t="n">
        <v>1425.08</v>
      </c>
      <c r="T12" s="9" t="n">
        <v>1425.08</v>
      </c>
      <c r="U12" s="9" t="n">
        <v>1425.08</v>
      </c>
      <c r="V12" s="9" t="n">
        <v>1425.08</v>
      </c>
      <c r="W12" s="9" t="n">
        <v>1425.08</v>
      </c>
      <c r="X12" s="9" t="n">
        <v>1425.08</v>
      </c>
      <c r="Y12" s="9" t="n">
        <v>1425.08</v>
      </c>
      <c r="Z12" s="9" t="n">
        <v>350</v>
      </c>
      <c r="AA12" s="9" t="n">
        <v>250</v>
      </c>
      <c r="AB12" s="9" t="n">
        <v>600</v>
      </c>
    </row>
    <row r="13" customFormat="false" ht="15" hidden="false" customHeight="false" outlineLevel="0" collapsed="false">
      <c r="A13" s="3" t="s">
        <v>101</v>
      </c>
      <c r="B13" s="3" t="s">
        <v>102</v>
      </c>
      <c r="C13" s="3" t="s">
        <v>103</v>
      </c>
      <c r="D13" s="3" t="s">
        <v>104</v>
      </c>
      <c r="E13" s="3" t="n">
        <v>1974</v>
      </c>
      <c r="F13" s="3" t="s">
        <v>62</v>
      </c>
      <c r="G13" s="3" t="s">
        <v>105</v>
      </c>
      <c r="H13" s="3" t="s">
        <v>106</v>
      </c>
      <c r="I13" s="3" t="s">
        <v>107</v>
      </c>
      <c r="J13" s="7" t="n">
        <v>1145000</v>
      </c>
      <c r="K13" s="3" t="s">
        <v>108</v>
      </c>
      <c r="L13" s="7" t="n">
        <v>10708.19</v>
      </c>
      <c r="M13" s="7" t="n">
        <v>1338.52</v>
      </c>
      <c r="N13" s="7" t="n">
        <v>1338.52</v>
      </c>
      <c r="O13" s="7" t="n">
        <v>8031.1</v>
      </c>
      <c r="P13" s="7" t="n">
        <v>803.11</v>
      </c>
      <c r="Q13" s="7" t="n">
        <v>803.11</v>
      </c>
      <c r="R13" s="7" t="n">
        <v>803.11</v>
      </c>
      <c r="S13" s="7" t="n">
        <v>803.11</v>
      </c>
      <c r="T13" s="7" t="n">
        <v>803.11</v>
      </c>
      <c r="U13" s="7" t="n">
        <v>803.11</v>
      </c>
      <c r="V13" s="7" t="n">
        <v>803.11</v>
      </c>
      <c r="W13" s="7" t="n">
        <v>803.11</v>
      </c>
      <c r="X13" s="7" t="n">
        <v>803.11</v>
      </c>
      <c r="Y13" s="7" t="n">
        <v>803.11</v>
      </c>
      <c r="Z13" s="7" t="n">
        <v>350</v>
      </c>
      <c r="AA13" s="7" t="n">
        <v>250</v>
      </c>
      <c r="AB13" s="7" t="n">
        <v>600</v>
      </c>
    </row>
    <row r="14" customFormat="false" ht="15" hidden="false" customHeight="false" outlineLevel="0" collapsed="false">
      <c r="A14" s="8" t="s">
        <v>109</v>
      </c>
      <c r="B14" s="8" t="s">
        <v>110</v>
      </c>
      <c r="C14" s="8" t="s">
        <v>111</v>
      </c>
      <c r="D14" s="8" t="s">
        <v>112</v>
      </c>
      <c r="E14" s="8" t="n">
        <v>1980</v>
      </c>
      <c r="F14" s="8" t="s">
        <v>113</v>
      </c>
      <c r="G14" s="8" t="s">
        <v>114</v>
      </c>
      <c r="H14" s="8" t="s">
        <v>115</v>
      </c>
      <c r="I14" s="8" t="s">
        <v>56</v>
      </c>
      <c r="J14" s="9" t="n">
        <v>1130000</v>
      </c>
      <c r="K14" s="8" t="s">
        <v>116</v>
      </c>
      <c r="L14" s="9" t="n">
        <v>11134.34</v>
      </c>
      <c r="M14" s="9" t="n">
        <v>1391.79</v>
      </c>
      <c r="N14" s="9" t="n">
        <v>1391.79</v>
      </c>
      <c r="O14" s="9" t="n">
        <v>8350.8</v>
      </c>
      <c r="P14" s="9" t="n">
        <v>835.08</v>
      </c>
      <c r="Q14" s="9" t="n">
        <v>835.08</v>
      </c>
      <c r="R14" s="9" t="n">
        <v>835.08</v>
      </c>
      <c r="S14" s="9" t="n">
        <v>835.08</v>
      </c>
      <c r="T14" s="9" t="n">
        <v>835.08</v>
      </c>
      <c r="U14" s="9" t="n">
        <v>835.08</v>
      </c>
      <c r="V14" s="9" t="n">
        <v>835.08</v>
      </c>
      <c r="W14" s="9" t="n">
        <v>835.08</v>
      </c>
      <c r="X14" s="9" t="n">
        <v>835.08</v>
      </c>
      <c r="Y14" s="9" t="n">
        <v>835.08</v>
      </c>
      <c r="Z14" s="9" t="n">
        <v>350</v>
      </c>
      <c r="AA14" s="9" t="n">
        <v>250</v>
      </c>
      <c r="AB14" s="9" t="n">
        <v>600</v>
      </c>
    </row>
    <row r="15" customFormat="false" ht="15" hidden="false" customHeight="false" outlineLevel="0" collapsed="false">
      <c r="A15" s="3" t="s">
        <v>117</v>
      </c>
      <c r="B15" s="3" t="s">
        <v>118</v>
      </c>
      <c r="C15" s="3" t="s">
        <v>60</v>
      </c>
      <c r="D15" s="3" t="s">
        <v>61</v>
      </c>
      <c r="E15" s="3" t="n">
        <v>1992</v>
      </c>
      <c r="F15" s="3" t="s">
        <v>119</v>
      </c>
      <c r="G15" s="3" t="s">
        <v>120</v>
      </c>
      <c r="H15" s="3" t="s">
        <v>121</v>
      </c>
      <c r="I15" s="3" t="s">
        <v>56</v>
      </c>
      <c r="J15" s="7" t="n">
        <v>500000</v>
      </c>
      <c r="K15" s="3" t="s">
        <v>122</v>
      </c>
      <c r="L15" s="7" t="n">
        <v>8116.15</v>
      </c>
      <c r="M15" s="7" t="n">
        <v>1014.52</v>
      </c>
      <c r="N15" s="7" t="n">
        <v>1014.52</v>
      </c>
      <c r="O15" s="7" t="n">
        <v>6087.1</v>
      </c>
      <c r="P15" s="7" t="n">
        <v>608.71</v>
      </c>
      <c r="Q15" s="7" t="n">
        <v>608.71</v>
      </c>
      <c r="R15" s="7" t="n">
        <v>608.71</v>
      </c>
      <c r="S15" s="7" t="n">
        <v>608.71</v>
      </c>
      <c r="T15" s="7" t="n">
        <v>608.71</v>
      </c>
      <c r="U15" s="7" t="n">
        <v>608.71</v>
      </c>
      <c r="V15" s="7" t="n">
        <v>608.71</v>
      </c>
      <c r="W15" s="7" t="n">
        <v>608.71</v>
      </c>
      <c r="X15" s="7" t="n">
        <v>608.71</v>
      </c>
      <c r="Y15" s="7" t="n">
        <v>608.71</v>
      </c>
      <c r="Z15" s="7" t="n">
        <v>350</v>
      </c>
      <c r="AA15" s="7" t="n">
        <v>0</v>
      </c>
      <c r="AB15" s="7" t="n">
        <v>350</v>
      </c>
    </row>
    <row r="16" customFormat="false" ht="15" hidden="false" customHeight="false" outlineLevel="0" collapsed="false">
      <c r="A16" s="8" t="s">
        <v>123</v>
      </c>
      <c r="B16" s="8" t="s">
        <v>124</v>
      </c>
      <c r="C16" s="8" t="s">
        <v>125</v>
      </c>
      <c r="D16" s="8" t="s">
        <v>126</v>
      </c>
      <c r="E16" s="8" t="n">
        <v>1995</v>
      </c>
      <c r="F16" s="8" t="s">
        <v>62</v>
      </c>
      <c r="G16" s="8" t="s">
        <v>63</v>
      </c>
      <c r="H16" s="8" t="s">
        <v>127</v>
      </c>
      <c r="I16" s="8" t="s">
        <v>47</v>
      </c>
      <c r="J16" s="9" t="n">
        <v>605000</v>
      </c>
      <c r="K16" s="8" t="s">
        <v>128</v>
      </c>
      <c r="L16" s="9" t="n">
        <v>9672.75</v>
      </c>
      <c r="M16" s="9" t="n">
        <v>1209.09</v>
      </c>
      <c r="N16" s="9" t="n">
        <v>1209.09</v>
      </c>
      <c r="O16" s="9" t="n">
        <v>7254.6</v>
      </c>
      <c r="P16" s="9" t="n">
        <v>725.46</v>
      </c>
      <c r="Q16" s="9" t="n">
        <v>725.46</v>
      </c>
      <c r="R16" s="9" t="n">
        <v>725.46</v>
      </c>
      <c r="S16" s="9" t="n">
        <v>725.46</v>
      </c>
      <c r="T16" s="9" t="n">
        <v>725.46</v>
      </c>
      <c r="U16" s="9" t="n">
        <v>725.46</v>
      </c>
      <c r="V16" s="9" t="n">
        <v>725.46</v>
      </c>
      <c r="W16" s="9" t="n">
        <v>725.46</v>
      </c>
      <c r="X16" s="9" t="n">
        <v>725.46</v>
      </c>
      <c r="Y16" s="9" t="n">
        <v>725.46</v>
      </c>
      <c r="Z16" s="9" t="n">
        <v>350</v>
      </c>
      <c r="AA16" s="9" t="n">
        <v>0</v>
      </c>
      <c r="AB16" s="9" t="n">
        <v>350</v>
      </c>
    </row>
    <row r="17" customFormat="false" ht="15" hidden="false" customHeight="false" outlineLevel="0" collapsed="false">
      <c r="A17" s="3" t="s">
        <v>129</v>
      </c>
      <c r="B17" s="3" t="s">
        <v>130</v>
      </c>
      <c r="C17" s="3" t="s">
        <v>131</v>
      </c>
      <c r="D17" s="3" t="s">
        <v>132</v>
      </c>
      <c r="E17" s="3" t="n">
        <v>1957</v>
      </c>
      <c r="F17" s="3" t="s">
        <v>44</v>
      </c>
      <c r="G17" s="3" t="s">
        <v>45</v>
      </c>
      <c r="H17" s="3" t="s">
        <v>133</v>
      </c>
      <c r="I17" s="3" t="s">
        <v>47</v>
      </c>
      <c r="J17" s="7" t="n">
        <v>655000</v>
      </c>
      <c r="K17" s="3" t="s">
        <v>134</v>
      </c>
      <c r="L17" s="7" t="n">
        <v>14413.28</v>
      </c>
      <c r="M17" s="7" t="n">
        <v>1801.66</v>
      </c>
      <c r="N17" s="7" t="n">
        <v>1801.66</v>
      </c>
      <c r="O17" s="7" t="n">
        <v>10810</v>
      </c>
      <c r="P17" s="7" t="n">
        <v>1081</v>
      </c>
      <c r="Q17" s="7" t="n">
        <v>1081</v>
      </c>
      <c r="R17" s="7" t="n">
        <v>1081</v>
      </c>
      <c r="S17" s="7" t="n">
        <v>1081</v>
      </c>
      <c r="T17" s="7" t="n">
        <v>1081</v>
      </c>
      <c r="U17" s="7" t="n">
        <v>1081</v>
      </c>
      <c r="V17" s="7" t="n">
        <v>1081</v>
      </c>
      <c r="W17" s="7" t="n">
        <v>1081</v>
      </c>
      <c r="X17" s="7" t="n">
        <v>1081</v>
      </c>
      <c r="Y17" s="7" t="n">
        <v>1081</v>
      </c>
      <c r="Z17" s="7" t="n">
        <v>350</v>
      </c>
      <c r="AA17" s="7" t="n">
        <v>0</v>
      </c>
      <c r="AB17" s="7" t="n">
        <v>350</v>
      </c>
    </row>
    <row r="18" customFormat="false" ht="15" hidden="false" customHeight="false" outlineLevel="0" collapsed="false">
      <c r="A18" s="8" t="s">
        <v>135</v>
      </c>
      <c r="B18" s="8" t="s">
        <v>136</v>
      </c>
      <c r="C18" s="8" t="s">
        <v>137</v>
      </c>
      <c r="D18" s="8" t="s">
        <v>138</v>
      </c>
      <c r="E18" s="8" t="n">
        <v>1958</v>
      </c>
      <c r="F18" s="8" t="s">
        <v>113</v>
      </c>
      <c r="G18" s="8" t="s">
        <v>139</v>
      </c>
      <c r="H18" s="8" t="s">
        <v>140</v>
      </c>
      <c r="I18" s="8" t="s">
        <v>107</v>
      </c>
      <c r="J18" s="9" t="n">
        <v>830000</v>
      </c>
      <c r="K18" s="8" t="s">
        <v>141</v>
      </c>
      <c r="L18" s="9" t="n">
        <v>8589.86</v>
      </c>
      <c r="M18" s="9" t="n">
        <v>1073.73</v>
      </c>
      <c r="N18" s="9" t="n">
        <v>1073.73</v>
      </c>
      <c r="O18" s="9" t="n">
        <v>6442.4</v>
      </c>
      <c r="P18" s="9" t="n">
        <v>644.24</v>
      </c>
      <c r="Q18" s="9" t="n">
        <v>644.24</v>
      </c>
      <c r="R18" s="9" t="n">
        <v>644.24</v>
      </c>
      <c r="S18" s="9" t="n">
        <v>644.24</v>
      </c>
      <c r="T18" s="9" t="n">
        <v>644.24</v>
      </c>
      <c r="U18" s="9" t="n">
        <v>644.24</v>
      </c>
      <c r="V18" s="9" t="n">
        <v>644.24</v>
      </c>
      <c r="W18" s="9" t="n">
        <v>644.24</v>
      </c>
      <c r="X18" s="9" t="n">
        <v>644.24</v>
      </c>
      <c r="Y18" s="9" t="n">
        <v>644.24</v>
      </c>
      <c r="Z18" s="9" t="n">
        <v>350</v>
      </c>
      <c r="AA18" s="9" t="n">
        <v>0</v>
      </c>
      <c r="AB18" s="9" t="n">
        <v>350</v>
      </c>
    </row>
    <row r="19" customFormat="false" ht="15" hidden="false" customHeight="false" outlineLevel="0" collapsed="false">
      <c r="A19" s="3" t="s">
        <v>142</v>
      </c>
      <c r="B19" s="3" t="s">
        <v>143</v>
      </c>
      <c r="C19" s="3" t="s">
        <v>144</v>
      </c>
      <c r="D19" s="3" t="s">
        <v>145</v>
      </c>
      <c r="E19" s="3" t="n">
        <v>1989</v>
      </c>
      <c r="F19" s="3" t="s">
        <v>146</v>
      </c>
      <c r="G19" s="3" t="s">
        <v>147</v>
      </c>
      <c r="H19" s="3" t="s">
        <v>148</v>
      </c>
      <c r="I19" s="3" t="s">
        <v>56</v>
      </c>
      <c r="J19" s="7" t="n">
        <v>650000</v>
      </c>
      <c r="K19" s="3" t="s">
        <v>149</v>
      </c>
      <c r="L19" s="7" t="n">
        <v>10627.46</v>
      </c>
      <c r="M19" s="7" t="n">
        <v>1328.43</v>
      </c>
      <c r="N19" s="7" t="n">
        <v>1328.43</v>
      </c>
      <c r="O19" s="7" t="n">
        <v>7970.6</v>
      </c>
      <c r="P19" s="7" t="n">
        <v>797.06</v>
      </c>
      <c r="Q19" s="7" t="n">
        <v>797.06</v>
      </c>
      <c r="R19" s="7" t="n">
        <v>797.06</v>
      </c>
      <c r="S19" s="7" t="n">
        <v>797.06</v>
      </c>
      <c r="T19" s="7" t="n">
        <v>797.06</v>
      </c>
      <c r="U19" s="7" t="n">
        <v>797.06</v>
      </c>
      <c r="V19" s="7" t="n">
        <v>797.06</v>
      </c>
      <c r="W19" s="7" t="n">
        <v>797.06</v>
      </c>
      <c r="X19" s="7" t="n">
        <v>797.06</v>
      </c>
      <c r="Y19" s="7" t="n">
        <v>797.06</v>
      </c>
      <c r="Z19" s="7" t="n">
        <v>350</v>
      </c>
      <c r="AA19" s="7" t="n">
        <v>0</v>
      </c>
      <c r="AB19" s="7" t="n">
        <v>350</v>
      </c>
    </row>
    <row r="20" customFormat="false" ht="15" hidden="false" customHeight="false" outlineLevel="0" collapsed="false">
      <c r="A20" s="8" t="s">
        <v>150</v>
      </c>
      <c r="B20" s="8" t="s">
        <v>151</v>
      </c>
      <c r="C20" s="8" t="s">
        <v>131</v>
      </c>
      <c r="D20" s="8" t="s">
        <v>132</v>
      </c>
      <c r="E20" s="8" t="n">
        <v>1993</v>
      </c>
      <c r="F20" s="8" t="s">
        <v>70</v>
      </c>
      <c r="G20" s="8" t="s">
        <v>71</v>
      </c>
      <c r="H20" s="8" t="s">
        <v>152</v>
      </c>
      <c r="I20" s="8" t="s">
        <v>56</v>
      </c>
      <c r="J20" s="9" t="n">
        <v>285000</v>
      </c>
      <c r="K20" s="8" t="s">
        <v>153</v>
      </c>
      <c r="L20" s="9" t="n">
        <v>4448.28</v>
      </c>
      <c r="M20" s="9" t="n">
        <v>556.03</v>
      </c>
      <c r="N20" s="9" t="n">
        <v>556.03</v>
      </c>
      <c r="O20" s="9" t="n">
        <v>3336.2</v>
      </c>
      <c r="P20" s="9" t="n">
        <v>333.62</v>
      </c>
      <c r="Q20" s="9" t="n">
        <v>333.62</v>
      </c>
      <c r="R20" s="9" t="n">
        <v>333.62</v>
      </c>
      <c r="S20" s="9" t="n">
        <v>333.62</v>
      </c>
      <c r="T20" s="9" t="n">
        <v>333.62</v>
      </c>
      <c r="U20" s="9" t="n">
        <v>333.62</v>
      </c>
      <c r="V20" s="9" t="n">
        <v>333.62</v>
      </c>
      <c r="W20" s="9" t="n">
        <v>333.62</v>
      </c>
      <c r="X20" s="9" t="n">
        <v>333.62</v>
      </c>
      <c r="Y20" s="9" t="n">
        <v>333.62</v>
      </c>
      <c r="Z20" s="9" t="n">
        <v>350</v>
      </c>
      <c r="AA20" s="9" t="n">
        <v>0</v>
      </c>
      <c r="AB20" s="9" t="n">
        <v>350</v>
      </c>
    </row>
    <row r="21" customFormat="false" ht="15" hidden="false" customHeight="false" outlineLevel="0" collapsed="false">
      <c r="A21" s="3" t="s">
        <v>154</v>
      </c>
      <c r="B21" s="3" t="s">
        <v>155</v>
      </c>
      <c r="C21" s="3" t="s">
        <v>156</v>
      </c>
      <c r="D21" s="3" t="s">
        <v>157</v>
      </c>
      <c r="E21" s="3" t="n">
        <v>1957</v>
      </c>
      <c r="F21" s="3" t="s">
        <v>158</v>
      </c>
      <c r="G21" s="3" t="s">
        <v>159</v>
      </c>
      <c r="H21" s="3" t="s">
        <v>160</v>
      </c>
      <c r="I21" s="3" t="s">
        <v>56</v>
      </c>
      <c r="J21" s="7" t="n">
        <v>285000</v>
      </c>
      <c r="K21" s="3" t="s">
        <v>116</v>
      </c>
      <c r="L21" s="7" t="n">
        <v>3829.39</v>
      </c>
      <c r="M21" s="7" t="n">
        <v>478.67</v>
      </c>
      <c r="N21" s="7" t="n">
        <v>478.67</v>
      </c>
      <c r="O21" s="7" t="n">
        <v>2872</v>
      </c>
      <c r="P21" s="7" t="n">
        <v>287.2</v>
      </c>
      <c r="Q21" s="7" t="n">
        <v>287.2</v>
      </c>
      <c r="R21" s="7" t="n">
        <v>287.2</v>
      </c>
      <c r="S21" s="7" t="n">
        <v>287.2</v>
      </c>
      <c r="T21" s="7" t="n">
        <v>287.2</v>
      </c>
      <c r="U21" s="7" t="n">
        <v>287.2</v>
      </c>
      <c r="V21" s="7" t="n">
        <v>287.2</v>
      </c>
      <c r="W21" s="7" t="n">
        <v>287.2</v>
      </c>
      <c r="X21" s="7" t="n">
        <v>287.2</v>
      </c>
      <c r="Y21" s="7" t="n">
        <v>287.2</v>
      </c>
      <c r="Z21" s="7" t="n">
        <v>350</v>
      </c>
      <c r="AA21" s="7" t="n">
        <v>0</v>
      </c>
      <c r="AB21" s="7" t="n">
        <v>350</v>
      </c>
    </row>
    <row r="22" customFormat="false" ht="15" hidden="false" customHeight="false" outlineLevel="0" collapsed="false">
      <c r="A22" s="8" t="s">
        <v>161</v>
      </c>
      <c r="B22" s="8" t="s">
        <v>162</v>
      </c>
      <c r="C22" s="8" t="s">
        <v>163</v>
      </c>
      <c r="D22" s="8" t="s">
        <v>164</v>
      </c>
      <c r="E22" s="8" t="n">
        <v>2003</v>
      </c>
      <c r="F22" s="8" t="s">
        <v>113</v>
      </c>
      <c r="G22" s="8" t="s">
        <v>114</v>
      </c>
      <c r="H22" s="8" t="s">
        <v>165</v>
      </c>
      <c r="I22" s="8" t="s">
        <v>56</v>
      </c>
      <c r="J22" s="9" t="n">
        <v>905000</v>
      </c>
      <c r="K22" s="8" t="s">
        <v>166</v>
      </c>
      <c r="L22" s="9" t="n">
        <v>11709.61</v>
      </c>
      <c r="M22" s="9" t="n">
        <v>1463.7</v>
      </c>
      <c r="N22" s="9" t="n">
        <v>1463.7</v>
      </c>
      <c r="O22" s="9" t="n">
        <v>8782.2</v>
      </c>
      <c r="P22" s="9" t="n">
        <v>878.22</v>
      </c>
      <c r="Q22" s="9" t="n">
        <v>878.22</v>
      </c>
      <c r="R22" s="9" t="n">
        <v>878.22</v>
      </c>
      <c r="S22" s="9" t="n">
        <v>878.22</v>
      </c>
      <c r="T22" s="9" t="n">
        <v>878.22</v>
      </c>
      <c r="U22" s="9" t="n">
        <v>878.22</v>
      </c>
      <c r="V22" s="9" t="n">
        <v>878.22</v>
      </c>
      <c r="W22" s="9" t="n">
        <v>878.22</v>
      </c>
      <c r="X22" s="9" t="n">
        <v>878.22</v>
      </c>
      <c r="Y22" s="9" t="n">
        <v>878.22</v>
      </c>
      <c r="Z22" s="9" t="n">
        <v>350</v>
      </c>
      <c r="AA22" s="9" t="n">
        <v>0</v>
      </c>
      <c r="AB22" s="9" t="n">
        <v>350</v>
      </c>
    </row>
    <row r="23" customFormat="false" ht="15" hidden="false" customHeight="false" outlineLevel="0" collapsed="false">
      <c r="A23" s="3" t="s">
        <v>167</v>
      </c>
      <c r="B23" s="3" t="s">
        <v>168</v>
      </c>
      <c r="C23" s="3" t="s">
        <v>76</v>
      </c>
      <c r="D23" s="3" t="s">
        <v>77</v>
      </c>
      <c r="E23" s="3" t="n">
        <v>2006</v>
      </c>
      <c r="F23" s="3" t="s">
        <v>70</v>
      </c>
      <c r="G23" s="3" t="s">
        <v>71</v>
      </c>
      <c r="H23" s="3" t="s">
        <v>169</v>
      </c>
      <c r="I23" s="3" t="s">
        <v>56</v>
      </c>
      <c r="J23" s="7" t="n">
        <v>465000</v>
      </c>
      <c r="K23" s="3" t="s">
        <v>170</v>
      </c>
      <c r="L23" s="7" t="n">
        <v>7888.83</v>
      </c>
      <c r="M23" s="7" t="n">
        <v>986.1</v>
      </c>
      <c r="N23" s="7" t="n">
        <v>986.1</v>
      </c>
      <c r="O23" s="7" t="n">
        <v>5916.6</v>
      </c>
      <c r="P23" s="7" t="n">
        <v>591.66</v>
      </c>
      <c r="Q23" s="7" t="n">
        <v>591.66</v>
      </c>
      <c r="R23" s="7" t="n">
        <v>591.66</v>
      </c>
      <c r="S23" s="7" t="n">
        <v>591.66</v>
      </c>
      <c r="T23" s="7" t="n">
        <v>591.66</v>
      </c>
      <c r="U23" s="7" t="n">
        <v>591.66</v>
      </c>
      <c r="V23" s="7" t="n">
        <v>591.66</v>
      </c>
      <c r="W23" s="7" t="n">
        <v>591.66</v>
      </c>
      <c r="X23" s="7" t="n">
        <v>591.66</v>
      </c>
      <c r="Y23" s="7" t="n">
        <v>591.66</v>
      </c>
      <c r="Z23" s="7" t="n">
        <v>350</v>
      </c>
      <c r="AA23" s="7" t="n">
        <v>0</v>
      </c>
      <c r="AB23" s="7" t="n">
        <v>350</v>
      </c>
    </row>
    <row r="24" customFormat="false" ht="15" hidden="false" customHeight="false" outlineLevel="0" collapsed="false">
      <c r="A24" s="8" t="s">
        <v>171</v>
      </c>
      <c r="B24" s="8" t="s">
        <v>172</v>
      </c>
      <c r="C24" s="8" t="s">
        <v>156</v>
      </c>
      <c r="D24" s="8" t="s">
        <v>157</v>
      </c>
      <c r="E24" s="8" t="n">
        <v>1994</v>
      </c>
      <c r="F24" s="8" t="s">
        <v>173</v>
      </c>
      <c r="G24" s="8" t="s">
        <v>174</v>
      </c>
      <c r="H24" s="8" t="s">
        <v>175</v>
      </c>
      <c r="I24" s="8" t="s">
        <v>107</v>
      </c>
      <c r="J24" s="9" t="n">
        <v>1095000</v>
      </c>
      <c r="K24" s="8" t="s">
        <v>93</v>
      </c>
      <c r="L24" s="9" t="n">
        <v>11671.25</v>
      </c>
      <c r="M24" s="9" t="n">
        <v>1458.91</v>
      </c>
      <c r="N24" s="9" t="n">
        <v>1458.91</v>
      </c>
      <c r="O24" s="9" t="n">
        <v>8753.4</v>
      </c>
      <c r="P24" s="9" t="n">
        <v>875.34</v>
      </c>
      <c r="Q24" s="9" t="n">
        <v>875.34</v>
      </c>
      <c r="R24" s="9" t="n">
        <v>875.34</v>
      </c>
      <c r="S24" s="9" t="n">
        <v>875.34</v>
      </c>
      <c r="T24" s="9" t="n">
        <v>875.34</v>
      </c>
      <c r="U24" s="9" t="n">
        <v>875.34</v>
      </c>
      <c r="V24" s="9" t="n">
        <v>875.34</v>
      </c>
      <c r="W24" s="9" t="n">
        <v>875.34</v>
      </c>
      <c r="X24" s="9" t="n">
        <v>875.34</v>
      </c>
      <c r="Y24" s="9" t="n">
        <v>875.34</v>
      </c>
      <c r="Z24" s="9" t="n">
        <v>350</v>
      </c>
      <c r="AA24" s="9" t="n">
        <v>250</v>
      </c>
      <c r="AB24" s="9" t="n">
        <v>600</v>
      </c>
    </row>
    <row r="25" customFormat="false" ht="15" hidden="false" customHeight="false" outlineLevel="0" collapsed="false">
      <c r="A25" s="3" t="s">
        <v>176</v>
      </c>
      <c r="B25" s="3" t="s">
        <v>177</v>
      </c>
      <c r="C25" s="3" t="s">
        <v>76</v>
      </c>
      <c r="D25" s="3" t="s">
        <v>77</v>
      </c>
      <c r="E25" s="3" t="n">
        <v>1990</v>
      </c>
      <c r="F25" s="3" t="s">
        <v>158</v>
      </c>
      <c r="G25" s="3" t="s">
        <v>159</v>
      </c>
      <c r="H25" s="3" t="s">
        <v>178</v>
      </c>
      <c r="I25" s="3" t="s">
        <v>56</v>
      </c>
      <c r="J25" s="7" t="n">
        <v>395000</v>
      </c>
      <c r="K25" s="3" t="s">
        <v>134</v>
      </c>
      <c r="L25" s="7" t="n">
        <v>6862.09</v>
      </c>
      <c r="M25" s="7" t="n">
        <v>857.76</v>
      </c>
      <c r="N25" s="7" t="n">
        <v>857.76</v>
      </c>
      <c r="O25" s="7" t="n">
        <v>5146.6</v>
      </c>
      <c r="P25" s="7" t="n">
        <v>514.66</v>
      </c>
      <c r="Q25" s="7" t="n">
        <v>514.66</v>
      </c>
      <c r="R25" s="7" t="n">
        <v>514.66</v>
      </c>
      <c r="S25" s="7" t="n">
        <v>514.66</v>
      </c>
      <c r="T25" s="7" t="n">
        <v>514.66</v>
      </c>
      <c r="U25" s="7" t="n">
        <v>514.66</v>
      </c>
      <c r="V25" s="7" t="n">
        <v>514.66</v>
      </c>
      <c r="W25" s="7" t="n">
        <v>514.66</v>
      </c>
      <c r="X25" s="7" t="n">
        <v>514.66</v>
      </c>
      <c r="Y25" s="7" t="n">
        <v>514.66</v>
      </c>
      <c r="Z25" s="7" t="n">
        <v>350</v>
      </c>
      <c r="AA25" s="7" t="n">
        <v>0</v>
      </c>
      <c r="AB25" s="7" t="n">
        <v>350</v>
      </c>
    </row>
    <row r="26" customFormat="false" ht="15" hidden="false" customHeight="false" outlineLevel="0" collapsed="false">
      <c r="A26" s="8" t="s">
        <v>179</v>
      </c>
      <c r="B26" s="8" t="s">
        <v>180</v>
      </c>
      <c r="C26" s="8" t="s">
        <v>42</v>
      </c>
      <c r="D26" s="8" t="s">
        <v>43</v>
      </c>
      <c r="E26" s="8" t="n">
        <v>1978</v>
      </c>
      <c r="F26" s="8" t="s">
        <v>181</v>
      </c>
      <c r="G26" s="8" t="s">
        <v>182</v>
      </c>
      <c r="H26" s="8" t="s">
        <v>183</v>
      </c>
      <c r="I26" s="8" t="s">
        <v>47</v>
      </c>
      <c r="J26" s="9" t="n">
        <v>1200000</v>
      </c>
      <c r="K26" s="8" t="s">
        <v>184</v>
      </c>
      <c r="L26" s="9" t="n">
        <v>21541.75</v>
      </c>
      <c r="M26" s="9" t="n">
        <v>2692.72</v>
      </c>
      <c r="N26" s="9" t="n">
        <v>2692.72</v>
      </c>
      <c r="O26" s="9" t="n">
        <v>16156.3</v>
      </c>
      <c r="P26" s="9" t="n">
        <v>1615.63</v>
      </c>
      <c r="Q26" s="9" t="n">
        <v>1615.63</v>
      </c>
      <c r="R26" s="9" t="n">
        <v>1615.63</v>
      </c>
      <c r="S26" s="9" t="n">
        <v>1615.63</v>
      </c>
      <c r="T26" s="9" t="n">
        <v>1615.63</v>
      </c>
      <c r="U26" s="9" t="n">
        <v>1615.63</v>
      </c>
      <c r="V26" s="9" t="n">
        <v>1615.63</v>
      </c>
      <c r="W26" s="9" t="n">
        <v>1615.63</v>
      </c>
      <c r="X26" s="9" t="n">
        <v>1615.63</v>
      </c>
      <c r="Y26" s="9" t="n">
        <v>1615.63</v>
      </c>
      <c r="Z26" s="9" t="n">
        <v>350</v>
      </c>
      <c r="AA26" s="9" t="n">
        <v>250</v>
      </c>
      <c r="AB26" s="9" t="n">
        <v>600</v>
      </c>
    </row>
    <row r="27" customFormat="false" ht="15" hidden="false" customHeight="false" outlineLevel="0" collapsed="false">
      <c r="A27" s="3" t="s">
        <v>185</v>
      </c>
      <c r="B27" s="3" t="s">
        <v>186</v>
      </c>
      <c r="C27" s="3" t="s">
        <v>187</v>
      </c>
      <c r="D27" s="3" t="s">
        <v>188</v>
      </c>
      <c r="E27" s="3" t="n">
        <v>1973</v>
      </c>
      <c r="F27" s="3" t="s">
        <v>113</v>
      </c>
      <c r="G27" s="3" t="s">
        <v>139</v>
      </c>
      <c r="H27" s="3" t="s">
        <v>189</v>
      </c>
      <c r="I27" s="3" t="s">
        <v>107</v>
      </c>
      <c r="J27" s="7" t="n">
        <v>1360000</v>
      </c>
      <c r="K27" s="3" t="s">
        <v>141</v>
      </c>
      <c r="L27" s="7" t="n">
        <v>12438.33</v>
      </c>
      <c r="M27" s="7" t="n">
        <v>1554.79</v>
      </c>
      <c r="N27" s="7" t="n">
        <v>1554.79</v>
      </c>
      <c r="O27" s="7" t="n">
        <v>9328.7</v>
      </c>
      <c r="P27" s="7" t="n">
        <v>932.87</v>
      </c>
      <c r="Q27" s="7" t="n">
        <v>932.87</v>
      </c>
      <c r="R27" s="7" t="n">
        <v>932.87</v>
      </c>
      <c r="S27" s="7" t="n">
        <v>932.87</v>
      </c>
      <c r="T27" s="7" t="n">
        <v>932.87</v>
      </c>
      <c r="U27" s="7" t="n">
        <v>932.87</v>
      </c>
      <c r="V27" s="7" t="n">
        <v>932.87</v>
      </c>
      <c r="W27" s="7" t="n">
        <v>932.87</v>
      </c>
      <c r="X27" s="7" t="n">
        <v>932.87</v>
      </c>
      <c r="Y27" s="7" t="n">
        <v>932.87</v>
      </c>
      <c r="Z27" s="7" t="n">
        <v>350</v>
      </c>
      <c r="AA27" s="7" t="n">
        <v>250</v>
      </c>
      <c r="AB27" s="7" t="n">
        <v>600</v>
      </c>
    </row>
    <row r="28" customFormat="false" ht="15" hidden="false" customHeight="false" outlineLevel="0" collapsed="false">
      <c r="A28" s="8" t="s">
        <v>190</v>
      </c>
      <c r="B28" s="8" t="s">
        <v>191</v>
      </c>
      <c r="C28" s="8" t="s">
        <v>51</v>
      </c>
      <c r="D28" s="8" t="s">
        <v>52</v>
      </c>
      <c r="E28" s="8" t="n">
        <v>1969</v>
      </c>
      <c r="F28" s="8" t="s">
        <v>113</v>
      </c>
      <c r="G28" s="8" t="s">
        <v>114</v>
      </c>
      <c r="H28" s="8" t="s">
        <v>192</v>
      </c>
      <c r="I28" s="8" t="s">
        <v>56</v>
      </c>
      <c r="J28" s="9" t="n">
        <v>850000</v>
      </c>
      <c r="K28" s="8" t="s">
        <v>141</v>
      </c>
      <c r="L28" s="9" t="n">
        <v>13297.56</v>
      </c>
      <c r="M28" s="9" t="n">
        <v>1662.19</v>
      </c>
      <c r="N28" s="9" t="n">
        <v>1662.19</v>
      </c>
      <c r="O28" s="9" t="n">
        <v>9973.2</v>
      </c>
      <c r="P28" s="9" t="n">
        <v>997.32</v>
      </c>
      <c r="Q28" s="9" t="n">
        <v>997.32</v>
      </c>
      <c r="R28" s="9" t="n">
        <v>997.32</v>
      </c>
      <c r="S28" s="9" t="n">
        <v>997.32</v>
      </c>
      <c r="T28" s="9" t="n">
        <v>997.32</v>
      </c>
      <c r="U28" s="9" t="n">
        <v>997.32</v>
      </c>
      <c r="V28" s="9" t="n">
        <v>997.32</v>
      </c>
      <c r="W28" s="9" t="n">
        <v>997.32</v>
      </c>
      <c r="X28" s="9" t="n">
        <v>997.32</v>
      </c>
      <c r="Y28" s="9" t="n">
        <v>997.32</v>
      </c>
      <c r="Z28" s="9" t="n">
        <v>350</v>
      </c>
      <c r="AA28" s="9" t="n">
        <v>0</v>
      </c>
      <c r="AB28" s="9" t="n">
        <v>350</v>
      </c>
    </row>
    <row r="29" customFormat="false" ht="15" hidden="false" customHeight="false" outlineLevel="0" collapsed="false">
      <c r="A29" s="3" t="s">
        <v>193</v>
      </c>
      <c r="B29" s="3" t="s">
        <v>194</v>
      </c>
      <c r="C29" s="3" t="s">
        <v>187</v>
      </c>
      <c r="D29" s="3" t="s">
        <v>188</v>
      </c>
      <c r="E29" s="3" t="n">
        <v>1981</v>
      </c>
      <c r="F29" s="3" t="s">
        <v>62</v>
      </c>
      <c r="G29" s="3" t="s">
        <v>63</v>
      </c>
      <c r="H29" s="3" t="s">
        <v>195</v>
      </c>
      <c r="I29" s="3" t="s">
        <v>47</v>
      </c>
      <c r="J29" s="7" t="n">
        <v>1215000</v>
      </c>
      <c r="K29" s="3" t="s">
        <v>122</v>
      </c>
      <c r="L29" s="7" t="n">
        <v>24273.55</v>
      </c>
      <c r="M29" s="7" t="n">
        <v>3034.19</v>
      </c>
      <c r="N29" s="7" t="n">
        <v>3034.19</v>
      </c>
      <c r="O29" s="7" t="n">
        <v>18205.2</v>
      </c>
      <c r="P29" s="7" t="n">
        <v>1820.52</v>
      </c>
      <c r="Q29" s="7" t="n">
        <v>1820.52</v>
      </c>
      <c r="R29" s="7" t="n">
        <v>1820.52</v>
      </c>
      <c r="S29" s="7" t="n">
        <v>1820.52</v>
      </c>
      <c r="T29" s="7" t="n">
        <v>1820.52</v>
      </c>
      <c r="U29" s="7" t="n">
        <v>1820.52</v>
      </c>
      <c r="V29" s="7" t="n">
        <v>1820.52</v>
      </c>
      <c r="W29" s="7" t="n">
        <v>1820.52</v>
      </c>
      <c r="X29" s="7" t="n">
        <v>1820.52</v>
      </c>
      <c r="Y29" s="7" t="n">
        <v>1820.52</v>
      </c>
      <c r="Z29" s="7" t="n">
        <v>350</v>
      </c>
      <c r="AA29" s="7" t="n">
        <v>250</v>
      </c>
      <c r="AB29" s="7" t="n">
        <v>600</v>
      </c>
    </row>
    <row r="30" customFormat="false" ht="15" hidden="false" customHeight="false" outlineLevel="0" collapsed="false">
      <c r="A30" s="8" t="s">
        <v>196</v>
      </c>
      <c r="B30" s="8" t="s">
        <v>197</v>
      </c>
      <c r="C30" s="8" t="s">
        <v>82</v>
      </c>
      <c r="D30" s="8" t="s">
        <v>83</v>
      </c>
      <c r="E30" s="8" t="n">
        <v>1990</v>
      </c>
      <c r="F30" s="8" t="s">
        <v>62</v>
      </c>
      <c r="G30" s="8" t="s">
        <v>63</v>
      </c>
      <c r="H30" s="8" t="s">
        <v>198</v>
      </c>
      <c r="I30" s="8" t="s">
        <v>47</v>
      </c>
      <c r="J30" s="9" t="n">
        <v>1950000</v>
      </c>
      <c r="K30" s="8" t="s">
        <v>93</v>
      </c>
      <c r="L30" s="9" t="n">
        <v>43756.67</v>
      </c>
      <c r="M30" s="9" t="n">
        <v>5469.58</v>
      </c>
      <c r="N30" s="9" t="n">
        <v>5469.58</v>
      </c>
      <c r="O30" s="9" t="n">
        <v>32817.5</v>
      </c>
      <c r="P30" s="9" t="n">
        <v>3281.75</v>
      </c>
      <c r="Q30" s="9" t="n">
        <v>3281.75</v>
      </c>
      <c r="R30" s="9" t="n">
        <v>3281.75</v>
      </c>
      <c r="S30" s="9" t="n">
        <v>3281.75</v>
      </c>
      <c r="T30" s="9" t="n">
        <v>3281.75</v>
      </c>
      <c r="U30" s="9" t="n">
        <v>3281.75</v>
      </c>
      <c r="V30" s="9" t="n">
        <v>3281.75</v>
      </c>
      <c r="W30" s="9" t="n">
        <v>3281.75</v>
      </c>
      <c r="X30" s="9" t="n">
        <v>3281.75</v>
      </c>
      <c r="Y30" s="9" t="n">
        <v>3281.75</v>
      </c>
      <c r="Z30" s="9" t="n">
        <v>350</v>
      </c>
      <c r="AA30" s="9" t="n">
        <v>250</v>
      </c>
      <c r="AB30" s="9" t="n">
        <v>600</v>
      </c>
    </row>
    <row r="31" customFormat="false" ht="15" hidden="false" customHeight="false" outlineLevel="0" collapsed="false">
      <c r="A31" s="3" t="s">
        <v>199</v>
      </c>
      <c r="B31" s="3" t="s">
        <v>200</v>
      </c>
      <c r="C31" s="3" t="s">
        <v>163</v>
      </c>
      <c r="D31" s="3" t="s">
        <v>164</v>
      </c>
      <c r="E31" s="3" t="n">
        <v>1994</v>
      </c>
      <c r="F31" s="3" t="s">
        <v>113</v>
      </c>
      <c r="G31" s="3" t="s">
        <v>114</v>
      </c>
      <c r="H31" s="3" t="s">
        <v>201</v>
      </c>
      <c r="I31" s="3" t="s">
        <v>56</v>
      </c>
      <c r="J31" s="7" t="n">
        <v>495000</v>
      </c>
      <c r="K31" s="3" t="s">
        <v>141</v>
      </c>
      <c r="L31" s="7" t="n">
        <v>8935.23</v>
      </c>
      <c r="M31" s="7" t="n">
        <v>1116.9</v>
      </c>
      <c r="N31" s="7" t="n">
        <v>1116.9</v>
      </c>
      <c r="O31" s="7" t="n">
        <v>6701.4</v>
      </c>
      <c r="P31" s="7" t="n">
        <v>670.14</v>
      </c>
      <c r="Q31" s="7" t="n">
        <v>670.14</v>
      </c>
      <c r="R31" s="7" t="n">
        <v>670.14</v>
      </c>
      <c r="S31" s="7" t="n">
        <v>670.14</v>
      </c>
      <c r="T31" s="7" t="n">
        <v>670.14</v>
      </c>
      <c r="U31" s="7" t="n">
        <v>670.14</v>
      </c>
      <c r="V31" s="7" t="n">
        <v>670.14</v>
      </c>
      <c r="W31" s="7" t="n">
        <v>670.14</v>
      </c>
      <c r="X31" s="7" t="n">
        <v>670.14</v>
      </c>
      <c r="Y31" s="7" t="n">
        <v>670.14</v>
      </c>
      <c r="Z31" s="7" t="n">
        <v>350</v>
      </c>
      <c r="AA31" s="7" t="n">
        <v>0</v>
      </c>
      <c r="AB31" s="7" t="n">
        <v>350</v>
      </c>
    </row>
    <row r="32" customFormat="false" ht="15" hidden="false" customHeight="false" outlineLevel="0" collapsed="false">
      <c r="A32" s="8" t="s">
        <v>202</v>
      </c>
      <c r="B32" s="8" t="s">
        <v>203</v>
      </c>
      <c r="C32" s="8" t="s">
        <v>125</v>
      </c>
      <c r="D32" s="8" t="s">
        <v>126</v>
      </c>
      <c r="E32" s="8" t="n">
        <v>2021</v>
      </c>
      <c r="F32" s="8" t="s">
        <v>53</v>
      </c>
      <c r="G32" s="8" t="s">
        <v>54</v>
      </c>
      <c r="H32" s="8" t="s">
        <v>204</v>
      </c>
      <c r="I32" s="8" t="s">
        <v>56</v>
      </c>
      <c r="J32" s="9" t="n">
        <v>360000</v>
      </c>
      <c r="K32" s="8" t="s">
        <v>57</v>
      </c>
      <c r="L32" s="9" t="n">
        <v>5618.88</v>
      </c>
      <c r="M32" s="9" t="n">
        <v>702.36</v>
      </c>
      <c r="N32" s="9" t="n">
        <v>702.36</v>
      </c>
      <c r="O32" s="9" t="n">
        <v>4214.2</v>
      </c>
      <c r="P32" s="9" t="n">
        <v>421.42</v>
      </c>
      <c r="Q32" s="9" t="n">
        <v>421.42</v>
      </c>
      <c r="R32" s="9" t="n">
        <v>421.42</v>
      </c>
      <c r="S32" s="9" t="n">
        <v>421.42</v>
      </c>
      <c r="T32" s="9" t="n">
        <v>421.42</v>
      </c>
      <c r="U32" s="9" t="n">
        <v>421.42</v>
      </c>
      <c r="V32" s="9" t="n">
        <v>421.42</v>
      </c>
      <c r="W32" s="9" t="n">
        <v>421.42</v>
      </c>
      <c r="X32" s="9" t="n">
        <v>421.42</v>
      </c>
      <c r="Y32" s="9" t="n">
        <v>421.42</v>
      </c>
      <c r="Z32" s="9" t="n">
        <v>350</v>
      </c>
      <c r="AA32" s="9" t="n">
        <v>0</v>
      </c>
      <c r="AB32" s="9" t="n">
        <v>350</v>
      </c>
    </row>
    <row r="33" customFormat="false" ht="15" hidden="false" customHeight="false" outlineLevel="0" collapsed="false">
      <c r="A33" s="3" t="s">
        <v>205</v>
      </c>
      <c r="B33" s="3" t="s">
        <v>206</v>
      </c>
      <c r="C33" s="3" t="s">
        <v>207</v>
      </c>
      <c r="D33" s="3" t="s">
        <v>208</v>
      </c>
      <c r="E33" s="3" t="n">
        <v>2019</v>
      </c>
      <c r="F33" s="3" t="s">
        <v>53</v>
      </c>
      <c r="G33" s="3" t="s">
        <v>54</v>
      </c>
      <c r="H33" s="3" t="s">
        <v>209</v>
      </c>
      <c r="I33" s="3" t="s">
        <v>56</v>
      </c>
      <c r="J33" s="7" t="n">
        <v>740000</v>
      </c>
      <c r="K33" s="3" t="s">
        <v>210</v>
      </c>
      <c r="L33" s="7" t="n">
        <v>11750.79</v>
      </c>
      <c r="M33" s="7" t="n">
        <v>1468.85</v>
      </c>
      <c r="N33" s="7" t="n">
        <v>1468.85</v>
      </c>
      <c r="O33" s="7" t="n">
        <v>8813.1</v>
      </c>
      <c r="P33" s="7" t="n">
        <v>881.31</v>
      </c>
      <c r="Q33" s="7" t="n">
        <v>881.31</v>
      </c>
      <c r="R33" s="7" t="n">
        <v>881.31</v>
      </c>
      <c r="S33" s="7" t="n">
        <v>881.31</v>
      </c>
      <c r="T33" s="7" t="n">
        <v>881.31</v>
      </c>
      <c r="U33" s="7" t="n">
        <v>881.31</v>
      </c>
      <c r="V33" s="7" t="n">
        <v>881.31</v>
      </c>
      <c r="W33" s="7" t="n">
        <v>881.31</v>
      </c>
      <c r="X33" s="7" t="n">
        <v>881.31</v>
      </c>
      <c r="Y33" s="7" t="n">
        <v>881.31</v>
      </c>
      <c r="Z33" s="7" t="n">
        <v>350</v>
      </c>
      <c r="AA33" s="7" t="n">
        <v>0</v>
      </c>
      <c r="AB33" s="7" t="n">
        <v>350</v>
      </c>
    </row>
    <row r="34" customFormat="false" ht="15" hidden="false" customHeight="false" outlineLevel="0" collapsed="false">
      <c r="A34" s="8" t="s">
        <v>211</v>
      </c>
      <c r="B34" s="8" t="s">
        <v>212</v>
      </c>
      <c r="C34" s="8" t="s">
        <v>60</v>
      </c>
      <c r="D34" s="8" t="s">
        <v>61</v>
      </c>
      <c r="E34" s="8" t="n">
        <v>2015</v>
      </c>
      <c r="F34" s="8" t="s">
        <v>173</v>
      </c>
      <c r="G34" s="8" t="s">
        <v>174</v>
      </c>
      <c r="H34" s="8" t="s">
        <v>213</v>
      </c>
      <c r="I34" s="8" t="s">
        <v>107</v>
      </c>
      <c r="J34" s="9" t="n">
        <v>145000</v>
      </c>
      <c r="K34" s="8" t="s">
        <v>210</v>
      </c>
      <c r="L34" s="9" t="n">
        <v>2019.14</v>
      </c>
      <c r="M34" s="9" t="n">
        <v>252.39</v>
      </c>
      <c r="N34" s="9" t="n">
        <v>252.39</v>
      </c>
      <c r="O34" s="9" t="n">
        <v>1514.4</v>
      </c>
      <c r="P34" s="9" t="n">
        <v>151.44</v>
      </c>
      <c r="Q34" s="9" t="n">
        <v>151.44</v>
      </c>
      <c r="R34" s="9" t="n">
        <v>151.44</v>
      </c>
      <c r="S34" s="9" t="n">
        <v>151.44</v>
      </c>
      <c r="T34" s="9" t="n">
        <v>151.44</v>
      </c>
      <c r="U34" s="9" t="n">
        <v>151.44</v>
      </c>
      <c r="V34" s="9" t="n">
        <v>151.44</v>
      </c>
      <c r="W34" s="9" t="n">
        <v>151.44</v>
      </c>
      <c r="X34" s="9" t="n">
        <v>151.44</v>
      </c>
      <c r="Y34" s="9" t="n">
        <v>151.44</v>
      </c>
      <c r="Z34" s="9" t="n">
        <v>350</v>
      </c>
      <c r="AA34" s="9" t="n">
        <v>0</v>
      </c>
      <c r="AB34" s="9" t="n">
        <v>350</v>
      </c>
    </row>
    <row r="35" customFormat="false" ht="15" hidden="false" customHeight="false" outlineLevel="0" collapsed="false">
      <c r="A35" s="3" t="s">
        <v>214</v>
      </c>
      <c r="B35" s="3" t="s">
        <v>215</v>
      </c>
      <c r="C35" s="3" t="s">
        <v>207</v>
      </c>
      <c r="D35" s="3" t="s">
        <v>208</v>
      </c>
      <c r="E35" s="3" t="n">
        <v>2008</v>
      </c>
      <c r="F35" s="3" t="s">
        <v>44</v>
      </c>
      <c r="G35" s="3" t="s">
        <v>45</v>
      </c>
      <c r="H35" s="3" t="s">
        <v>216</v>
      </c>
      <c r="I35" s="3" t="s">
        <v>47</v>
      </c>
      <c r="J35" s="7" t="n">
        <v>1580000</v>
      </c>
      <c r="K35" s="3" t="s">
        <v>217</v>
      </c>
      <c r="L35" s="7" t="n">
        <v>22416.16</v>
      </c>
      <c r="M35" s="7" t="n">
        <v>2802.02</v>
      </c>
      <c r="N35" s="7" t="n">
        <v>2802.02</v>
      </c>
      <c r="O35" s="7" t="n">
        <v>16812.1</v>
      </c>
      <c r="P35" s="7" t="n">
        <v>1681.21</v>
      </c>
      <c r="Q35" s="7" t="n">
        <v>1681.21</v>
      </c>
      <c r="R35" s="7" t="n">
        <v>1681.21</v>
      </c>
      <c r="S35" s="7" t="n">
        <v>1681.21</v>
      </c>
      <c r="T35" s="7" t="n">
        <v>1681.21</v>
      </c>
      <c r="U35" s="7" t="n">
        <v>1681.21</v>
      </c>
      <c r="V35" s="7" t="n">
        <v>1681.21</v>
      </c>
      <c r="W35" s="7" t="n">
        <v>1681.21</v>
      </c>
      <c r="X35" s="7" t="n">
        <v>1681.21</v>
      </c>
      <c r="Y35" s="7" t="n">
        <v>1681.21</v>
      </c>
      <c r="Z35" s="7" t="n">
        <v>350</v>
      </c>
      <c r="AA35" s="7" t="n">
        <v>250</v>
      </c>
      <c r="AB35" s="7" t="n">
        <v>600</v>
      </c>
    </row>
    <row r="36" customFormat="false" ht="15" hidden="false" customHeight="false" outlineLevel="0" collapsed="false">
      <c r="A36" s="8" t="s">
        <v>218</v>
      </c>
      <c r="B36" s="8" t="s">
        <v>219</v>
      </c>
      <c r="C36" s="8" t="s">
        <v>187</v>
      </c>
      <c r="D36" s="8" t="s">
        <v>188</v>
      </c>
      <c r="E36" s="8" t="n">
        <v>2004</v>
      </c>
      <c r="F36" s="8" t="s">
        <v>220</v>
      </c>
      <c r="G36" s="8" t="s">
        <v>221</v>
      </c>
      <c r="H36" s="8" t="s">
        <v>222</v>
      </c>
      <c r="I36" s="8" t="s">
        <v>92</v>
      </c>
      <c r="J36" s="9" t="n">
        <v>510000</v>
      </c>
      <c r="K36" s="8" t="s">
        <v>93</v>
      </c>
      <c r="L36" s="9" t="n">
        <v>11157.95</v>
      </c>
      <c r="M36" s="9" t="n">
        <v>1394.74</v>
      </c>
      <c r="N36" s="9" t="n">
        <v>1394.74</v>
      </c>
      <c r="O36" s="9" t="n">
        <v>8368.5</v>
      </c>
      <c r="P36" s="9" t="n">
        <v>836.85</v>
      </c>
      <c r="Q36" s="9" t="n">
        <v>836.85</v>
      </c>
      <c r="R36" s="9" t="n">
        <v>836.85</v>
      </c>
      <c r="S36" s="9" t="n">
        <v>836.85</v>
      </c>
      <c r="T36" s="9" t="n">
        <v>836.85</v>
      </c>
      <c r="U36" s="9" t="n">
        <v>836.85</v>
      </c>
      <c r="V36" s="9" t="n">
        <v>836.85</v>
      </c>
      <c r="W36" s="9" t="n">
        <v>836.85</v>
      </c>
      <c r="X36" s="9" t="n">
        <v>836.85</v>
      </c>
      <c r="Y36" s="9" t="n">
        <v>836.85</v>
      </c>
      <c r="Z36" s="9" t="n">
        <v>350</v>
      </c>
      <c r="AA36" s="9" t="n">
        <v>0</v>
      </c>
      <c r="AB36" s="9" t="n">
        <v>350</v>
      </c>
    </row>
    <row r="37" customFormat="false" ht="15" hidden="false" customHeight="false" outlineLevel="0" collapsed="false">
      <c r="A37" s="3" t="s">
        <v>223</v>
      </c>
      <c r="B37" s="3" t="s">
        <v>224</v>
      </c>
      <c r="C37" s="3" t="s">
        <v>60</v>
      </c>
      <c r="D37" s="3" t="s">
        <v>61</v>
      </c>
      <c r="E37" s="3" t="n">
        <v>1962</v>
      </c>
      <c r="F37" s="3" t="s">
        <v>146</v>
      </c>
      <c r="G37" s="3" t="s">
        <v>147</v>
      </c>
      <c r="H37" s="3" t="s">
        <v>225</v>
      </c>
      <c r="I37" s="3" t="s">
        <v>56</v>
      </c>
      <c r="J37" s="7" t="n">
        <v>645000</v>
      </c>
      <c r="K37" s="3" t="s">
        <v>57</v>
      </c>
      <c r="L37" s="7" t="n">
        <v>8724.87</v>
      </c>
      <c r="M37" s="7" t="n">
        <v>1090.61</v>
      </c>
      <c r="N37" s="7" t="n">
        <v>1090.61</v>
      </c>
      <c r="O37" s="7" t="n">
        <v>6543.7</v>
      </c>
      <c r="P37" s="7" t="n">
        <v>654.37</v>
      </c>
      <c r="Q37" s="7" t="n">
        <v>654.37</v>
      </c>
      <c r="R37" s="7" t="n">
        <v>654.37</v>
      </c>
      <c r="S37" s="7" t="n">
        <v>654.37</v>
      </c>
      <c r="T37" s="7" t="n">
        <v>654.37</v>
      </c>
      <c r="U37" s="7" t="n">
        <v>654.37</v>
      </c>
      <c r="V37" s="7" t="n">
        <v>654.37</v>
      </c>
      <c r="W37" s="7" t="n">
        <v>654.37</v>
      </c>
      <c r="X37" s="7" t="n">
        <v>654.37</v>
      </c>
      <c r="Y37" s="7" t="n">
        <v>654.37</v>
      </c>
      <c r="Z37" s="7" t="n">
        <v>350</v>
      </c>
      <c r="AA37" s="7" t="n">
        <v>0</v>
      </c>
      <c r="AB37" s="7" t="n">
        <v>350</v>
      </c>
    </row>
    <row r="38" customFormat="false" ht="15" hidden="false" customHeight="false" outlineLevel="0" collapsed="false">
      <c r="A38" s="8" t="s">
        <v>226</v>
      </c>
      <c r="B38" s="8" t="s">
        <v>227</v>
      </c>
      <c r="C38" s="8" t="s">
        <v>156</v>
      </c>
      <c r="D38" s="8" t="s">
        <v>157</v>
      </c>
      <c r="E38" s="8" t="n">
        <v>1988</v>
      </c>
      <c r="F38" s="8" t="s">
        <v>62</v>
      </c>
      <c r="G38" s="8" t="s">
        <v>63</v>
      </c>
      <c r="H38" s="8" t="s">
        <v>228</v>
      </c>
      <c r="I38" s="8" t="s">
        <v>47</v>
      </c>
      <c r="J38" s="9" t="n">
        <v>455000</v>
      </c>
      <c r="K38" s="8" t="s">
        <v>229</v>
      </c>
      <c r="L38" s="9" t="n">
        <v>8616.65</v>
      </c>
      <c r="M38" s="9" t="n">
        <v>1077.08</v>
      </c>
      <c r="N38" s="9" t="n">
        <v>1077.08</v>
      </c>
      <c r="O38" s="9" t="n">
        <v>6462.5</v>
      </c>
      <c r="P38" s="9" t="n">
        <v>646.25</v>
      </c>
      <c r="Q38" s="9" t="n">
        <v>646.25</v>
      </c>
      <c r="R38" s="9" t="n">
        <v>646.25</v>
      </c>
      <c r="S38" s="9" t="n">
        <v>646.25</v>
      </c>
      <c r="T38" s="9" t="n">
        <v>646.25</v>
      </c>
      <c r="U38" s="9" t="n">
        <v>646.25</v>
      </c>
      <c r="V38" s="9" t="n">
        <v>646.25</v>
      </c>
      <c r="W38" s="9" t="n">
        <v>646.25</v>
      </c>
      <c r="X38" s="9" t="n">
        <v>646.25</v>
      </c>
      <c r="Y38" s="9" t="n">
        <v>646.25</v>
      </c>
      <c r="Z38" s="9" t="n">
        <v>350</v>
      </c>
      <c r="AA38" s="9" t="n">
        <v>0</v>
      </c>
      <c r="AB38" s="9" t="n">
        <v>350</v>
      </c>
    </row>
    <row r="39" customFormat="false" ht="15" hidden="false" customHeight="false" outlineLevel="0" collapsed="false">
      <c r="A39" s="3" t="s">
        <v>230</v>
      </c>
      <c r="B39" s="3" t="s">
        <v>231</v>
      </c>
      <c r="C39" s="3" t="s">
        <v>232</v>
      </c>
      <c r="D39" s="3" t="s">
        <v>233</v>
      </c>
      <c r="E39" s="3" t="n">
        <v>1998</v>
      </c>
      <c r="F39" s="3" t="s">
        <v>119</v>
      </c>
      <c r="G39" s="3" t="s">
        <v>120</v>
      </c>
      <c r="H39" s="3" t="s">
        <v>234</v>
      </c>
      <c r="I39" s="3" t="s">
        <v>56</v>
      </c>
      <c r="J39" s="7" t="n">
        <v>480000</v>
      </c>
      <c r="K39" s="3" t="s">
        <v>235</v>
      </c>
      <c r="L39" s="7" t="n">
        <v>7622.13</v>
      </c>
      <c r="M39" s="7" t="n">
        <v>952.77</v>
      </c>
      <c r="N39" s="7" t="n">
        <v>952.77</v>
      </c>
      <c r="O39" s="7" t="n">
        <v>5716.6</v>
      </c>
      <c r="P39" s="7" t="n">
        <v>571.66</v>
      </c>
      <c r="Q39" s="7" t="n">
        <v>571.66</v>
      </c>
      <c r="R39" s="7" t="n">
        <v>571.66</v>
      </c>
      <c r="S39" s="7" t="n">
        <v>571.66</v>
      </c>
      <c r="T39" s="7" t="n">
        <v>571.66</v>
      </c>
      <c r="U39" s="7" t="n">
        <v>571.66</v>
      </c>
      <c r="V39" s="7" t="n">
        <v>571.66</v>
      </c>
      <c r="W39" s="7" t="n">
        <v>571.66</v>
      </c>
      <c r="X39" s="7" t="n">
        <v>571.66</v>
      </c>
      <c r="Y39" s="7" t="n">
        <v>571.66</v>
      </c>
      <c r="Z39" s="7" t="n">
        <v>350</v>
      </c>
      <c r="AA39" s="7" t="n">
        <v>0</v>
      </c>
      <c r="AB39" s="7" t="n">
        <v>350</v>
      </c>
    </row>
    <row r="40" customFormat="false" ht="15" hidden="false" customHeight="false" outlineLevel="0" collapsed="false">
      <c r="A40" s="8" t="s">
        <v>236</v>
      </c>
      <c r="B40" s="8" t="s">
        <v>237</v>
      </c>
      <c r="C40" s="8" t="s">
        <v>238</v>
      </c>
      <c r="D40" s="8" t="s">
        <v>239</v>
      </c>
      <c r="E40" s="8" t="n">
        <v>2020</v>
      </c>
      <c r="F40" s="8" t="s">
        <v>53</v>
      </c>
      <c r="G40" s="8" t="s">
        <v>54</v>
      </c>
      <c r="H40" s="8" t="s">
        <v>240</v>
      </c>
      <c r="I40" s="8" t="s">
        <v>56</v>
      </c>
      <c r="J40" s="9" t="n">
        <v>1125000</v>
      </c>
      <c r="K40" s="8" t="s">
        <v>229</v>
      </c>
      <c r="L40" s="9" t="n">
        <v>10189.31</v>
      </c>
      <c r="M40" s="9" t="n">
        <v>1273.66</v>
      </c>
      <c r="N40" s="9" t="n">
        <v>1273.66</v>
      </c>
      <c r="O40" s="9" t="n">
        <v>7642</v>
      </c>
      <c r="P40" s="9" t="n">
        <v>764.2</v>
      </c>
      <c r="Q40" s="9" t="n">
        <v>764.2</v>
      </c>
      <c r="R40" s="9" t="n">
        <v>764.2</v>
      </c>
      <c r="S40" s="9" t="n">
        <v>764.2</v>
      </c>
      <c r="T40" s="9" t="n">
        <v>764.2</v>
      </c>
      <c r="U40" s="9" t="n">
        <v>764.2</v>
      </c>
      <c r="V40" s="9" t="n">
        <v>764.2</v>
      </c>
      <c r="W40" s="9" t="n">
        <v>764.2</v>
      </c>
      <c r="X40" s="9" t="n">
        <v>764.2</v>
      </c>
      <c r="Y40" s="9" t="n">
        <v>764.2</v>
      </c>
      <c r="Z40" s="9" t="n">
        <v>350</v>
      </c>
      <c r="AA40" s="9" t="n">
        <v>250</v>
      </c>
      <c r="AB40" s="9" t="n">
        <v>600</v>
      </c>
    </row>
    <row r="41" customFormat="false" ht="15" hidden="false" customHeight="false" outlineLevel="0" collapsed="false">
      <c r="A41" s="3" t="s">
        <v>241</v>
      </c>
      <c r="B41" s="3" t="s">
        <v>242</v>
      </c>
      <c r="C41" s="3" t="s">
        <v>60</v>
      </c>
      <c r="D41" s="3" t="s">
        <v>61</v>
      </c>
      <c r="E41" s="3" t="n">
        <v>1974</v>
      </c>
      <c r="F41" s="3" t="s">
        <v>53</v>
      </c>
      <c r="G41" s="3" t="s">
        <v>54</v>
      </c>
      <c r="H41" s="3" t="s">
        <v>243</v>
      </c>
      <c r="I41" s="3" t="s">
        <v>56</v>
      </c>
      <c r="J41" s="7" t="n">
        <v>590000</v>
      </c>
      <c r="K41" s="3" t="s">
        <v>210</v>
      </c>
      <c r="L41" s="7" t="n">
        <v>9368.87</v>
      </c>
      <c r="M41" s="7" t="n">
        <v>1171.11</v>
      </c>
      <c r="N41" s="7" t="n">
        <v>1171.11</v>
      </c>
      <c r="O41" s="7" t="n">
        <v>7026.7</v>
      </c>
      <c r="P41" s="7" t="n">
        <v>702.67</v>
      </c>
      <c r="Q41" s="7" t="n">
        <v>702.67</v>
      </c>
      <c r="R41" s="7" t="n">
        <v>702.67</v>
      </c>
      <c r="S41" s="7" t="n">
        <v>702.67</v>
      </c>
      <c r="T41" s="7" t="n">
        <v>702.67</v>
      </c>
      <c r="U41" s="7" t="n">
        <v>702.67</v>
      </c>
      <c r="V41" s="7" t="n">
        <v>702.67</v>
      </c>
      <c r="W41" s="7" t="n">
        <v>702.67</v>
      </c>
      <c r="X41" s="7" t="n">
        <v>702.67</v>
      </c>
      <c r="Y41" s="7" t="n">
        <v>702.67</v>
      </c>
      <c r="Z41" s="7" t="n">
        <v>350</v>
      </c>
      <c r="AA41" s="7" t="n">
        <v>0</v>
      </c>
      <c r="AB41" s="7" t="n">
        <v>350</v>
      </c>
    </row>
    <row r="42" customFormat="false" ht="15" hidden="false" customHeight="false" outlineLevel="0" collapsed="false">
      <c r="A42" s="8" t="s">
        <v>244</v>
      </c>
      <c r="B42" s="8" t="s">
        <v>245</v>
      </c>
      <c r="C42" s="8" t="s">
        <v>76</v>
      </c>
      <c r="D42" s="8" t="s">
        <v>77</v>
      </c>
      <c r="E42" s="8" t="n">
        <v>1980</v>
      </c>
      <c r="F42" s="8" t="s">
        <v>119</v>
      </c>
      <c r="G42" s="8" t="s">
        <v>120</v>
      </c>
      <c r="H42" s="8" t="s">
        <v>246</v>
      </c>
      <c r="I42" s="8" t="s">
        <v>56</v>
      </c>
      <c r="J42" s="9" t="n">
        <v>200000</v>
      </c>
      <c r="K42" s="8" t="s">
        <v>134</v>
      </c>
      <c r="L42" s="9" t="n">
        <v>4262.02</v>
      </c>
      <c r="M42" s="9" t="n">
        <v>532.75</v>
      </c>
      <c r="N42" s="9" t="n">
        <v>532.75</v>
      </c>
      <c r="O42" s="9" t="n">
        <v>3196.5</v>
      </c>
      <c r="P42" s="9" t="n">
        <v>319.65</v>
      </c>
      <c r="Q42" s="9" t="n">
        <v>319.65</v>
      </c>
      <c r="R42" s="9" t="n">
        <v>319.65</v>
      </c>
      <c r="S42" s="9" t="n">
        <v>319.65</v>
      </c>
      <c r="T42" s="9" t="n">
        <v>319.65</v>
      </c>
      <c r="U42" s="9" t="n">
        <v>319.65</v>
      </c>
      <c r="V42" s="9" t="n">
        <v>319.65</v>
      </c>
      <c r="W42" s="9" t="n">
        <v>319.65</v>
      </c>
      <c r="X42" s="9" t="n">
        <v>319.65</v>
      </c>
      <c r="Y42" s="9" t="n">
        <v>319.65</v>
      </c>
      <c r="Z42" s="9" t="n">
        <v>350</v>
      </c>
      <c r="AA42" s="9" t="n">
        <v>0</v>
      </c>
      <c r="AB42" s="9" t="n">
        <v>350</v>
      </c>
    </row>
    <row r="43" customFormat="false" ht="15" hidden="false" customHeight="false" outlineLevel="0" collapsed="false">
      <c r="A43" s="3" t="s">
        <v>247</v>
      </c>
      <c r="B43" s="3" t="s">
        <v>248</v>
      </c>
      <c r="C43" s="3" t="s">
        <v>249</v>
      </c>
      <c r="D43" s="3" t="s">
        <v>250</v>
      </c>
      <c r="E43" s="3" t="n">
        <v>1960</v>
      </c>
      <c r="F43" s="3" t="s">
        <v>119</v>
      </c>
      <c r="G43" s="3" t="s">
        <v>120</v>
      </c>
      <c r="H43" s="3" t="s">
        <v>251</v>
      </c>
      <c r="I43" s="3" t="s">
        <v>56</v>
      </c>
      <c r="J43" s="7" t="n">
        <v>745000</v>
      </c>
      <c r="K43" s="3" t="s">
        <v>252</v>
      </c>
      <c r="L43" s="7" t="n">
        <v>9989.93</v>
      </c>
      <c r="M43" s="7" t="n">
        <v>1248.74</v>
      </c>
      <c r="N43" s="7" t="n">
        <v>1248.74</v>
      </c>
      <c r="O43" s="7" t="n">
        <v>7492.4</v>
      </c>
      <c r="P43" s="7" t="n">
        <v>749.24</v>
      </c>
      <c r="Q43" s="7" t="n">
        <v>749.24</v>
      </c>
      <c r="R43" s="7" t="n">
        <v>749.24</v>
      </c>
      <c r="S43" s="7" t="n">
        <v>749.24</v>
      </c>
      <c r="T43" s="7" t="n">
        <v>749.24</v>
      </c>
      <c r="U43" s="7" t="n">
        <v>749.24</v>
      </c>
      <c r="V43" s="7" t="n">
        <v>749.24</v>
      </c>
      <c r="W43" s="7" t="n">
        <v>749.24</v>
      </c>
      <c r="X43" s="7" t="n">
        <v>749.24</v>
      </c>
      <c r="Y43" s="7" t="n">
        <v>749.24</v>
      </c>
      <c r="Z43" s="7" t="n">
        <v>350</v>
      </c>
      <c r="AA43" s="7" t="n">
        <v>0</v>
      </c>
      <c r="AB43" s="7" t="n">
        <v>350</v>
      </c>
    </row>
    <row r="44" customFormat="false" ht="15" hidden="false" customHeight="false" outlineLevel="0" collapsed="false">
      <c r="A44" s="8" t="s">
        <v>253</v>
      </c>
      <c r="B44" s="8" t="s">
        <v>254</v>
      </c>
      <c r="C44" s="8" t="s">
        <v>255</v>
      </c>
      <c r="D44" s="8" t="s">
        <v>256</v>
      </c>
      <c r="E44" s="8" t="n">
        <v>1973</v>
      </c>
      <c r="F44" s="8" t="s">
        <v>53</v>
      </c>
      <c r="G44" s="8" t="s">
        <v>54</v>
      </c>
      <c r="H44" s="8" t="s">
        <v>257</v>
      </c>
      <c r="I44" s="8" t="s">
        <v>56</v>
      </c>
      <c r="J44" s="9" t="n">
        <v>325000</v>
      </c>
      <c r="K44" s="8" t="s">
        <v>258</v>
      </c>
      <c r="L44" s="9" t="n">
        <v>4587.39</v>
      </c>
      <c r="M44" s="9" t="n">
        <v>573.42</v>
      </c>
      <c r="N44" s="9" t="n">
        <v>573.42</v>
      </c>
      <c r="O44" s="9" t="n">
        <v>3440.5</v>
      </c>
      <c r="P44" s="9" t="n">
        <v>344.05</v>
      </c>
      <c r="Q44" s="9" t="n">
        <v>344.05</v>
      </c>
      <c r="R44" s="9" t="n">
        <v>344.05</v>
      </c>
      <c r="S44" s="9" t="n">
        <v>344.05</v>
      </c>
      <c r="T44" s="9" t="n">
        <v>344.05</v>
      </c>
      <c r="U44" s="9" t="n">
        <v>344.05</v>
      </c>
      <c r="V44" s="9" t="n">
        <v>344.05</v>
      </c>
      <c r="W44" s="9" t="n">
        <v>344.05</v>
      </c>
      <c r="X44" s="9" t="n">
        <v>344.05</v>
      </c>
      <c r="Y44" s="9" t="n">
        <v>344.05</v>
      </c>
      <c r="Z44" s="9" t="n">
        <v>350</v>
      </c>
      <c r="AA44" s="9" t="n">
        <v>0</v>
      </c>
      <c r="AB44" s="9" t="n">
        <v>350</v>
      </c>
    </row>
    <row r="45" customFormat="false" ht="15" hidden="false" customHeight="false" outlineLevel="0" collapsed="false">
      <c r="A45" s="3" t="s">
        <v>259</v>
      </c>
      <c r="B45" s="3" t="s">
        <v>260</v>
      </c>
      <c r="C45" s="3" t="s">
        <v>137</v>
      </c>
      <c r="D45" s="3" t="s">
        <v>138</v>
      </c>
      <c r="E45" s="3" t="n">
        <v>1967</v>
      </c>
      <c r="F45" s="3" t="s">
        <v>113</v>
      </c>
      <c r="G45" s="3" t="s">
        <v>139</v>
      </c>
      <c r="H45" s="3" t="s">
        <v>261</v>
      </c>
      <c r="I45" s="3" t="s">
        <v>107</v>
      </c>
      <c r="J45" s="7" t="n">
        <v>1950000</v>
      </c>
      <c r="K45" s="3" t="s">
        <v>149</v>
      </c>
      <c r="L45" s="7" t="n">
        <v>18638.93</v>
      </c>
      <c r="M45" s="7" t="n">
        <v>2329.87</v>
      </c>
      <c r="N45" s="7" t="n">
        <v>2329.87</v>
      </c>
      <c r="O45" s="7" t="n">
        <v>13979.2</v>
      </c>
      <c r="P45" s="7" t="n">
        <v>1397.92</v>
      </c>
      <c r="Q45" s="7" t="n">
        <v>1397.92</v>
      </c>
      <c r="R45" s="7" t="n">
        <v>1397.92</v>
      </c>
      <c r="S45" s="7" t="n">
        <v>1397.92</v>
      </c>
      <c r="T45" s="7" t="n">
        <v>1397.92</v>
      </c>
      <c r="U45" s="7" t="n">
        <v>1397.92</v>
      </c>
      <c r="V45" s="7" t="n">
        <v>1397.92</v>
      </c>
      <c r="W45" s="7" t="n">
        <v>1397.92</v>
      </c>
      <c r="X45" s="7" t="n">
        <v>1397.92</v>
      </c>
      <c r="Y45" s="7" t="n">
        <v>1397.92</v>
      </c>
      <c r="Z45" s="7" t="n">
        <v>350</v>
      </c>
      <c r="AA45" s="7" t="n">
        <v>250</v>
      </c>
      <c r="AB45" s="7" t="n">
        <v>600</v>
      </c>
    </row>
    <row r="46" customFormat="false" ht="15" hidden="false" customHeight="false" outlineLevel="0" collapsed="false">
      <c r="A46" s="8" t="s">
        <v>262</v>
      </c>
      <c r="B46" s="8" t="s">
        <v>263</v>
      </c>
      <c r="C46" s="8" t="s">
        <v>68</v>
      </c>
      <c r="D46" s="8" t="s">
        <v>69</v>
      </c>
      <c r="E46" s="8" t="n">
        <v>1979</v>
      </c>
      <c r="F46" s="8" t="s">
        <v>146</v>
      </c>
      <c r="G46" s="8" t="s">
        <v>147</v>
      </c>
      <c r="H46" s="8" t="s">
        <v>264</v>
      </c>
      <c r="I46" s="8" t="s">
        <v>56</v>
      </c>
      <c r="J46" s="9" t="n">
        <v>875000</v>
      </c>
      <c r="K46" s="8" t="s">
        <v>265</v>
      </c>
      <c r="L46" s="9" t="n">
        <v>14614.97</v>
      </c>
      <c r="M46" s="9" t="n">
        <v>1826.87</v>
      </c>
      <c r="N46" s="9" t="n">
        <v>1826.87</v>
      </c>
      <c r="O46" s="9" t="n">
        <v>10961.2</v>
      </c>
      <c r="P46" s="9" t="n">
        <v>1096.12</v>
      </c>
      <c r="Q46" s="9" t="n">
        <v>1096.12</v>
      </c>
      <c r="R46" s="9" t="n">
        <v>1096.12</v>
      </c>
      <c r="S46" s="9" t="n">
        <v>1096.12</v>
      </c>
      <c r="T46" s="9" t="n">
        <v>1096.12</v>
      </c>
      <c r="U46" s="9" t="n">
        <v>1096.12</v>
      </c>
      <c r="V46" s="9" t="n">
        <v>1096.12</v>
      </c>
      <c r="W46" s="9" t="n">
        <v>1096.12</v>
      </c>
      <c r="X46" s="9" t="n">
        <v>1096.12</v>
      </c>
      <c r="Y46" s="9" t="n">
        <v>1096.12</v>
      </c>
      <c r="Z46" s="9" t="n">
        <v>350</v>
      </c>
      <c r="AA46" s="9" t="n">
        <v>0</v>
      </c>
      <c r="AB46" s="9" t="n">
        <v>350</v>
      </c>
    </row>
    <row r="47" customFormat="false" ht="15" hidden="false" customHeight="false" outlineLevel="0" collapsed="false">
      <c r="A47" s="3" t="s">
        <v>266</v>
      </c>
      <c r="B47" s="3" t="s">
        <v>267</v>
      </c>
      <c r="C47" s="3" t="s">
        <v>103</v>
      </c>
      <c r="D47" s="3" t="s">
        <v>104</v>
      </c>
      <c r="E47" s="3" t="n">
        <v>1995</v>
      </c>
      <c r="F47" s="3" t="s">
        <v>146</v>
      </c>
      <c r="G47" s="3" t="s">
        <v>147</v>
      </c>
      <c r="H47" s="3" t="s">
        <v>268</v>
      </c>
      <c r="I47" s="3" t="s">
        <v>56</v>
      </c>
      <c r="J47" s="7" t="n">
        <v>340000</v>
      </c>
      <c r="K47" s="3" t="s">
        <v>57</v>
      </c>
      <c r="L47" s="7" t="n">
        <v>5306.72</v>
      </c>
      <c r="M47" s="7" t="n">
        <v>663.34</v>
      </c>
      <c r="N47" s="7" t="n">
        <v>663.34</v>
      </c>
      <c r="O47" s="7" t="n">
        <v>3980</v>
      </c>
      <c r="P47" s="7" t="n">
        <v>398</v>
      </c>
      <c r="Q47" s="7" t="n">
        <v>398</v>
      </c>
      <c r="R47" s="7" t="n">
        <v>398</v>
      </c>
      <c r="S47" s="7" t="n">
        <v>398</v>
      </c>
      <c r="T47" s="7" t="n">
        <v>398</v>
      </c>
      <c r="U47" s="7" t="n">
        <v>398</v>
      </c>
      <c r="V47" s="7" t="n">
        <v>398</v>
      </c>
      <c r="W47" s="7" t="n">
        <v>398</v>
      </c>
      <c r="X47" s="7" t="n">
        <v>398</v>
      </c>
      <c r="Y47" s="7" t="n">
        <v>398</v>
      </c>
      <c r="Z47" s="7" t="n">
        <v>350</v>
      </c>
      <c r="AA47" s="7" t="n">
        <v>0</v>
      </c>
      <c r="AB47" s="7" t="n">
        <v>350</v>
      </c>
    </row>
    <row r="48" customFormat="false" ht="15" hidden="false" customHeight="false" outlineLevel="0" collapsed="false">
      <c r="A48" s="8" t="s">
        <v>269</v>
      </c>
      <c r="B48" s="8" t="s">
        <v>242</v>
      </c>
      <c r="C48" s="8" t="s">
        <v>42</v>
      </c>
      <c r="D48" s="8" t="s">
        <v>43</v>
      </c>
      <c r="E48" s="8" t="n">
        <v>2019</v>
      </c>
      <c r="F48" s="8" t="s">
        <v>270</v>
      </c>
      <c r="G48" s="8" t="s">
        <v>271</v>
      </c>
      <c r="H48" s="8" t="s">
        <v>272</v>
      </c>
      <c r="I48" s="8" t="s">
        <v>273</v>
      </c>
      <c r="J48" s="9" t="n">
        <v>1110000</v>
      </c>
      <c r="K48" s="8" t="s">
        <v>122</v>
      </c>
      <c r="L48" s="9" t="n">
        <v>9424.73</v>
      </c>
      <c r="M48" s="9" t="n">
        <v>1178.09</v>
      </c>
      <c r="N48" s="9" t="n">
        <v>1178.09</v>
      </c>
      <c r="O48" s="9" t="n">
        <v>7068.5</v>
      </c>
      <c r="P48" s="9" t="n">
        <v>706.85</v>
      </c>
      <c r="Q48" s="9" t="n">
        <v>706.85</v>
      </c>
      <c r="R48" s="9" t="n">
        <v>706.85</v>
      </c>
      <c r="S48" s="9" t="n">
        <v>706.85</v>
      </c>
      <c r="T48" s="9" t="n">
        <v>706.85</v>
      </c>
      <c r="U48" s="9" t="n">
        <v>706.85</v>
      </c>
      <c r="V48" s="9" t="n">
        <v>706.85</v>
      </c>
      <c r="W48" s="9" t="n">
        <v>706.85</v>
      </c>
      <c r="X48" s="9" t="n">
        <v>706.85</v>
      </c>
      <c r="Y48" s="9" t="n">
        <v>706.85</v>
      </c>
      <c r="Z48" s="9" t="n">
        <v>350</v>
      </c>
      <c r="AA48" s="9" t="n">
        <v>250</v>
      </c>
      <c r="AB48" s="9" t="n">
        <v>600</v>
      </c>
    </row>
    <row r="49" customFormat="false" ht="15" hidden="false" customHeight="false" outlineLevel="0" collapsed="false">
      <c r="A49" s="3" t="s">
        <v>274</v>
      </c>
      <c r="B49" s="3" t="s">
        <v>275</v>
      </c>
      <c r="C49" s="3" t="s">
        <v>276</v>
      </c>
      <c r="D49" s="3" t="s">
        <v>277</v>
      </c>
      <c r="E49" s="3" t="n">
        <v>1959</v>
      </c>
      <c r="F49" s="3" t="s">
        <v>181</v>
      </c>
      <c r="G49" s="3" t="s">
        <v>182</v>
      </c>
      <c r="H49" s="3" t="s">
        <v>278</v>
      </c>
      <c r="I49" s="3" t="s">
        <v>47</v>
      </c>
      <c r="J49" s="7" t="n">
        <v>535000</v>
      </c>
      <c r="K49" s="3" t="s">
        <v>48</v>
      </c>
      <c r="L49" s="7" t="n">
        <v>9933.2</v>
      </c>
      <c r="M49" s="7" t="n">
        <v>1241.65</v>
      </c>
      <c r="N49" s="7" t="n">
        <v>1241.65</v>
      </c>
      <c r="O49" s="7" t="n">
        <v>7449.9</v>
      </c>
      <c r="P49" s="7" t="n">
        <v>744.99</v>
      </c>
      <c r="Q49" s="7" t="n">
        <v>744.99</v>
      </c>
      <c r="R49" s="7" t="n">
        <v>744.99</v>
      </c>
      <c r="S49" s="7" t="n">
        <v>744.99</v>
      </c>
      <c r="T49" s="7" t="n">
        <v>744.99</v>
      </c>
      <c r="U49" s="7" t="n">
        <v>744.99</v>
      </c>
      <c r="V49" s="7" t="n">
        <v>744.99</v>
      </c>
      <c r="W49" s="7" t="n">
        <v>744.99</v>
      </c>
      <c r="X49" s="7" t="n">
        <v>744.99</v>
      </c>
      <c r="Y49" s="7" t="n">
        <v>744.99</v>
      </c>
      <c r="Z49" s="7" t="n">
        <v>350</v>
      </c>
      <c r="AA49" s="7" t="n">
        <v>0</v>
      </c>
      <c r="AB49" s="7" t="n">
        <v>350</v>
      </c>
    </row>
    <row r="50" customFormat="false" ht="15" hidden="false" customHeight="false" outlineLevel="0" collapsed="false">
      <c r="A50" s="8" t="s">
        <v>279</v>
      </c>
      <c r="B50" s="8" t="s">
        <v>280</v>
      </c>
      <c r="C50" s="8" t="s">
        <v>60</v>
      </c>
      <c r="D50" s="8" t="s">
        <v>61</v>
      </c>
      <c r="E50" s="8" t="n">
        <v>1999</v>
      </c>
      <c r="F50" s="8" t="s">
        <v>53</v>
      </c>
      <c r="G50" s="8" t="s">
        <v>54</v>
      </c>
      <c r="H50" s="8" t="s">
        <v>281</v>
      </c>
      <c r="I50" s="8" t="s">
        <v>56</v>
      </c>
      <c r="J50" s="9" t="n">
        <v>520000</v>
      </c>
      <c r="K50" s="8" t="s">
        <v>153</v>
      </c>
      <c r="L50" s="9" t="n">
        <v>7034</v>
      </c>
      <c r="M50" s="9" t="n">
        <v>879.25</v>
      </c>
      <c r="N50" s="9" t="n">
        <v>879.25</v>
      </c>
      <c r="O50" s="9" t="n">
        <v>5275.5</v>
      </c>
      <c r="P50" s="9" t="n">
        <v>527.55</v>
      </c>
      <c r="Q50" s="9" t="n">
        <v>527.55</v>
      </c>
      <c r="R50" s="9" t="n">
        <v>527.55</v>
      </c>
      <c r="S50" s="9" t="n">
        <v>527.55</v>
      </c>
      <c r="T50" s="9" t="n">
        <v>527.55</v>
      </c>
      <c r="U50" s="9" t="n">
        <v>527.55</v>
      </c>
      <c r="V50" s="9" t="n">
        <v>527.55</v>
      </c>
      <c r="W50" s="9" t="n">
        <v>527.55</v>
      </c>
      <c r="X50" s="9" t="n">
        <v>527.55</v>
      </c>
      <c r="Y50" s="9" t="n">
        <v>527.55</v>
      </c>
      <c r="Z50" s="9" t="n">
        <v>350</v>
      </c>
      <c r="AA50" s="9" t="n">
        <v>0</v>
      </c>
      <c r="AB50" s="9" t="n">
        <v>350</v>
      </c>
    </row>
    <row r="51" customFormat="false" ht="15" hidden="false" customHeight="false" outlineLevel="0" collapsed="false">
      <c r="A51" s="3" t="s">
        <v>282</v>
      </c>
      <c r="B51" s="3" t="s">
        <v>283</v>
      </c>
      <c r="C51" s="3" t="s">
        <v>60</v>
      </c>
      <c r="D51" s="3" t="s">
        <v>61</v>
      </c>
      <c r="E51" s="3" t="n">
        <v>1973</v>
      </c>
      <c r="F51" s="3" t="s">
        <v>181</v>
      </c>
      <c r="G51" s="3" t="s">
        <v>182</v>
      </c>
      <c r="H51" s="3" t="s">
        <v>284</v>
      </c>
      <c r="I51" s="3" t="s">
        <v>47</v>
      </c>
      <c r="J51" s="7" t="n">
        <v>290000</v>
      </c>
      <c r="K51" s="3" t="s">
        <v>149</v>
      </c>
      <c r="L51" s="7" t="n">
        <v>8388.78</v>
      </c>
      <c r="M51" s="7" t="n">
        <v>1048.6</v>
      </c>
      <c r="N51" s="7" t="n">
        <v>1048.6</v>
      </c>
      <c r="O51" s="7" t="n">
        <v>6291.6</v>
      </c>
      <c r="P51" s="7" t="n">
        <v>629.16</v>
      </c>
      <c r="Q51" s="7" t="n">
        <v>629.16</v>
      </c>
      <c r="R51" s="7" t="n">
        <v>629.16</v>
      </c>
      <c r="S51" s="7" t="n">
        <v>629.16</v>
      </c>
      <c r="T51" s="7" t="n">
        <v>629.16</v>
      </c>
      <c r="U51" s="7" t="n">
        <v>629.16</v>
      </c>
      <c r="V51" s="7" t="n">
        <v>629.16</v>
      </c>
      <c r="W51" s="7" t="n">
        <v>629.16</v>
      </c>
      <c r="X51" s="7" t="n">
        <v>629.16</v>
      </c>
      <c r="Y51" s="7" t="n">
        <v>629.16</v>
      </c>
      <c r="Z51" s="7" t="n">
        <v>350</v>
      </c>
      <c r="AA51" s="7" t="n">
        <v>0</v>
      </c>
      <c r="AB51" s="7" t="n">
        <v>350</v>
      </c>
    </row>
    <row r="52" customFormat="false" ht="15" hidden="false" customHeight="false" outlineLevel="0" collapsed="false">
      <c r="A52" s="8" t="s">
        <v>285</v>
      </c>
      <c r="B52" s="8" t="s">
        <v>286</v>
      </c>
      <c r="C52" s="8" t="s">
        <v>144</v>
      </c>
      <c r="D52" s="8" t="s">
        <v>145</v>
      </c>
      <c r="E52" s="8" t="n">
        <v>2003</v>
      </c>
      <c r="F52" s="8" t="s">
        <v>181</v>
      </c>
      <c r="G52" s="8" t="s">
        <v>182</v>
      </c>
      <c r="H52" s="8" t="s">
        <v>287</v>
      </c>
      <c r="I52" s="8" t="s">
        <v>47</v>
      </c>
      <c r="J52" s="9" t="n">
        <v>960000</v>
      </c>
      <c r="K52" s="8" t="s">
        <v>134</v>
      </c>
      <c r="L52" s="9" t="n">
        <v>21124.81</v>
      </c>
      <c r="M52" s="9" t="n">
        <v>2640.6</v>
      </c>
      <c r="N52" s="9" t="n">
        <v>2640.6</v>
      </c>
      <c r="O52" s="9" t="n">
        <v>15843.6</v>
      </c>
      <c r="P52" s="9" t="n">
        <v>1584.36</v>
      </c>
      <c r="Q52" s="9" t="n">
        <v>1584.36</v>
      </c>
      <c r="R52" s="9" t="n">
        <v>1584.36</v>
      </c>
      <c r="S52" s="9" t="n">
        <v>1584.36</v>
      </c>
      <c r="T52" s="9" t="n">
        <v>1584.36</v>
      </c>
      <c r="U52" s="9" t="n">
        <v>1584.36</v>
      </c>
      <c r="V52" s="9" t="n">
        <v>1584.36</v>
      </c>
      <c r="W52" s="9" t="n">
        <v>1584.36</v>
      </c>
      <c r="X52" s="9" t="n">
        <v>1584.36</v>
      </c>
      <c r="Y52" s="9" t="n">
        <v>1584.36</v>
      </c>
      <c r="Z52" s="9" t="n">
        <v>350</v>
      </c>
      <c r="AA52" s="9" t="n">
        <v>0</v>
      </c>
      <c r="AB52" s="9" t="n">
        <v>350</v>
      </c>
    </row>
    <row r="53" customFormat="false" ht="15" hidden="false" customHeight="false" outlineLevel="0" collapsed="false">
      <c r="A53" s="3" t="s">
        <v>288</v>
      </c>
      <c r="B53" s="3" t="s">
        <v>289</v>
      </c>
      <c r="C53" s="3" t="s">
        <v>96</v>
      </c>
      <c r="D53" s="3" t="s">
        <v>97</v>
      </c>
      <c r="E53" s="3" t="n">
        <v>2022</v>
      </c>
      <c r="F53" s="3" t="s">
        <v>146</v>
      </c>
      <c r="G53" s="3" t="s">
        <v>147</v>
      </c>
      <c r="H53" s="3" t="s">
        <v>290</v>
      </c>
      <c r="I53" s="3" t="s">
        <v>56</v>
      </c>
      <c r="J53" s="7" t="n">
        <v>275000</v>
      </c>
      <c r="K53" s="3" t="s">
        <v>291</v>
      </c>
      <c r="L53" s="7" t="n">
        <v>3956.29</v>
      </c>
      <c r="M53" s="7" t="n">
        <v>494.54</v>
      </c>
      <c r="N53" s="7" t="n">
        <v>494.54</v>
      </c>
      <c r="O53" s="7" t="n">
        <v>2967.2</v>
      </c>
      <c r="P53" s="7" t="n">
        <v>296.72</v>
      </c>
      <c r="Q53" s="7" t="n">
        <v>296.72</v>
      </c>
      <c r="R53" s="7" t="n">
        <v>296.72</v>
      </c>
      <c r="S53" s="7" t="n">
        <v>296.72</v>
      </c>
      <c r="T53" s="7" t="n">
        <v>296.72</v>
      </c>
      <c r="U53" s="7" t="n">
        <v>296.72</v>
      </c>
      <c r="V53" s="7" t="n">
        <v>296.72</v>
      </c>
      <c r="W53" s="7" t="n">
        <v>296.72</v>
      </c>
      <c r="X53" s="7" t="n">
        <v>296.72</v>
      </c>
      <c r="Y53" s="7" t="n">
        <v>296.72</v>
      </c>
      <c r="Z53" s="7" t="n">
        <v>350</v>
      </c>
      <c r="AA53" s="7" t="n">
        <v>0</v>
      </c>
      <c r="AB53" s="7" t="n">
        <v>350</v>
      </c>
    </row>
    <row r="54" customFormat="false" ht="15" hidden="false" customHeight="false" outlineLevel="0" collapsed="false">
      <c r="A54" s="8" t="s">
        <v>292</v>
      </c>
      <c r="B54" s="8" t="s">
        <v>293</v>
      </c>
      <c r="C54" s="8" t="s">
        <v>103</v>
      </c>
      <c r="D54" s="8" t="s">
        <v>104</v>
      </c>
      <c r="E54" s="8" t="n">
        <v>1984</v>
      </c>
      <c r="F54" s="8" t="s">
        <v>181</v>
      </c>
      <c r="G54" s="8" t="s">
        <v>182</v>
      </c>
      <c r="H54" s="8" t="s">
        <v>294</v>
      </c>
      <c r="I54" s="8" t="s">
        <v>47</v>
      </c>
      <c r="J54" s="9" t="n">
        <v>270000</v>
      </c>
      <c r="K54" s="8" t="s">
        <v>116</v>
      </c>
      <c r="L54" s="9" t="n">
        <v>5562.69</v>
      </c>
      <c r="M54" s="9" t="n">
        <v>695.34</v>
      </c>
      <c r="N54" s="9" t="n">
        <v>695.34</v>
      </c>
      <c r="O54" s="9" t="n">
        <v>4172</v>
      </c>
      <c r="P54" s="9" t="n">
        <v>417.2</v>
      </c>
      <c r="Q54" s="9" t="n">
        <v>417.2</v>
      </c>
      <c r="R54" s="9" t="n">
        <v>417.2</v>
      </c>
      <c r="S54" s="9" t="n">
        <v>417.2</v>
      </c>
      <c r="T54" s="9" t="n">
        <v>417.2</v>
      </c>
      <c r="U54" s="9" t="n">
        <v>417.2</v>
      </c>
      <c r="V54" s="9" t="n">
        <v>417.2</v>
      </c>
      <c r="W54" s="9" t="n">
        <v>417.2</v>
      </c>
      <c r="X54" s="9" t="n">
        <v>417.2</v>
      </c>
      <c r="Y54" s="9" t="n">
        <v>417.2</v>
      </c>
      <c r="Z54" s="9" t="n">
        <v>350</v>
      </c>
      <c r="AA54" s="9" t="n">
        <v>0</v>
      </c>
      <c r="AB54" s="9" t="n">
        <v>350</v>
      </c>
    </row>
    <row r="55" customFormat="false" ht="15" hidden="false" customHeight="false" outlineLevel="0" collapsed="false">
      <c r="A55" s="3" t="s">
        <v>295</v>
      </c>
      <c r="B55" s="3" t="s">
        <v>296</v>
      </c>
      <c r="C55" s="3" t="s">
        <v>207</v>
      </c>
      <c r="D55" s="3" t="s">
        <v>208</v>
      </c>
      <c r="E55" s="3" t="n">
        <v>1978</v>
      </c>
      <c r="F55" s="3" t="s">
        <v>146</v>
      </c>
      <c r="G55" s="3" t="s">
        <v>147</v>
      </c>
      <c r="H55" s="3" t="s">
        <v>297</v>
      </c>
      <c r="I55" s="3" t="s">
        <v>56</v>
      </c>
      <c r="J55" s="7" t="n">
        <v>225000</v>
      </c>
      <c r="K55" s="3" t="s">
        <v>210</v>
      </c>
      <c r="L55" s="7" t="n">
        <v>5056.99</v>
      </c>
      <c r="M55" s="7" t="n">
        <v>632.12</v>
      </c>
      <c r="N55" s="7" t="n">
        <v>632.12</v>
      </c>
      <c r="O55" s="7" t="n">
        <v>3792.7</v>
      </c>
      <c r="P55" s="7" t="n">
        <v>379.27</v>
      </c>
      <c r="Q55" s="7" t="n">
        <v>379.27</v>
      </c>
      <c r="R55" s="7" t="n">
        <v>379.27</v>
      </c>
      <c r="S55" s="7" t="n">
        <v>379.27</v>
      </c>
      <c r="T55" s="7" t="n">
        <v>379.27</v>
      </c>
      <c r="U55" s="7" t="n">
        <v>379.27</v>
      </c>
      <c r="V55" s="7" t="n">
        <v>379.27</v>
      </c>
      <c r="W55" s="7" t="n">
        <v>379.27</v>
      </c>
      <c r="X55" s="7" t="n">
        <v>379.27</v>
      </c>
      <c r="Y55" s="7" t="n">
        <v>379.27</v>
      </c>
      <c r="Z55" s="7" t="n">
        <v>350</v>
      </c>
      <c r="AA55" s="7" t="n">
        <v>0</v>
      </c>
      <c r="AB55" s="7" t="n">
        <v>350</v>
      </c>
    </row>
    <row r="56" customFormat="false" ht="15" hidden="false" customHeight="false" outlineLevel="0" collapsed="false">
      <c r="A56" s="8" t="s">
        <v>298</v>
      </c>
      <c r="B56" s="8" t="s">
        <v>299</v>
      </c>
      <c r="C56" s="8" t="s">
        <v>255</v>
      </c>
      <c r="D56" s="8" t="s">
        <v>256</v>
      </c>
      <c r="E56" s="8" t="n">
        <v>2017</v>
      </c>
      <c r="F56" s="8" t="s">
        <v>113</v>
      </c>
      <c r="G56" s="8" t="s">
        <v>114</v>
      </c>
      <c r="H56" s="8" t="s">
        <v>300</v>
      </c>
      <c r="I56" s="8" t="s">
        <v>56</v>
      </c>
      <c r="J56" s="9" t="n">
        <v>200000</v>
      </c>
      <c r="K56" s="8" t="s">
        <v>265</v>
      </c>
      <c r="L56" s="9" t="n">
        <v>4728.18</v>
      </c>
      <c r="M56" s="9" t="n">
        <v>591.02</v>
      </c>
      <c r="N56" s="9" t="n">
        <v>591.02</v>
      </c>
      <c r="O56" s="9" t="n">
        <v>3546.1</v>
      </c>
      <c r="P56" s="9" t="n">
        <v>354.61</v>
      </c>
      <c r="Q56" s="9" t="n">
        <v>354.61</v>
      </c>
      <c r="R56" s="9" t="n">
        <v>354.61</v>
      </c>
      <c r="S56" s="9" t="n">
        <v>354.61</v>
      </c>
      <c r="T56" s="9" t="n">
        <v>354.61</v>
      </c>
      <c r="U56" s="9" t="n">
        <v>354.61</v>
      </c>
      <c r="V56" s="9" t="n">
        <v>354.61</v>
      </c>
      <c r="W56" s="9" t="n">
        <v>354.61</v>
      </c>
      <c r="X56" s="9" t="n">
        <v>354.61</v>
      </c>
      <c r="Y56" s="9" t="n">
        <v>354.61</v>
      </c>
      <c r="Z56" s="9" t="n">
        <v>350</v>
      </c>
      <c r="AA56" s="9" t="n">
        <v>0</v>
      </c>
      <c r="AB56" s="9" t="n">
        <v>350</v>
      </c>
    </row>
    <row r="57" customFormat="false" ht="15" hidden="false" customHeight="false" outlineLevel="0" collapsed="false">
      <c r="A57" s="3" t="s">
        <v>301</v>
      </c>
      <c r="B57" s="3" t="s">
        <v>203</v>
      </c>
      <c r="C57" s="3" t="s">
        <v>103</v>
      </c>
      <c r="D57" s="3" t="s">
        <v>104</v>
      </c>
      <c r="E57" s="3" t="n">
        <v>1981</v>
      </c>
      <c r="F57" s="3" t="s">
        <v>158</v>
      </c>
      <c r="G57" s="3" t="s">
        <v>159</v>
      </c>
      <c r="H57" s="3" t="s">
        <v>302</v>
      </c>
      <c r="I57" s="3" t="s">
        <v>56</v>
      </c>
      <c r="J57" s="7" t="n">
        <v>590000</v>
      </c>
      <c r="K57" s="3" t="s">
        <v>303</v>
      </c>
      <c r="L57" s="7" t="n">
        <v>7772.69</v>
      </c>
      <c r="M57" s="7" t="n">
        <v>971.59</v>
      </c>
      <c r="N57" s="7" t="n">
        <v>971.59</v>
      </c>
      <c r="O57" s="7" t="n">
        <v>5829.5</v>
      </c>
      <c r="P57" s="7" t="n">
        <v>582.95</v>
      </c>
      <c r="Q57" s="7" t="n">
        <v>582.95</v>
      </c>
      <c r="R57" s="7" t="n">
        <v>582.95</v>
      </c>
      <c r="S57" s="7" t="n">
        <v>582.95</v>
      </c>
      <c r="T57" s="7" t="n">
        <v>582.95</v>
      </c>
      <c r="U57" s="7" t="n">
        <v>582.95</v>
      </c>
      <c r="V57" s="7" t="n">
        <v>582.95</v>
      </c>
      <c r="W57" s="7" t="n">
        <v>582.95</v>
      </c>
      <c r="X57" s="7" t="n">
        <v>582.95</v>
      </c>
      <c r="Y57" s="7" t="n">
        <v>582.95</v>
      </c>
      <c r="Z57" s="7" t="n">
        <v>350</v>
      </c>
      <c r="AA57" s="7" t="n">
        <v>0</v>
      </c>
      <c r="AB57" s="7" t="n">
        <v>350</v>
      </c>
    </row>
    <row r="58" customFormat="false" ht="15" hidden="false" customHeight="false" outlineLevel="0" collapsed="false">
      <c r="A58" s="8" t="s">
        <v>304</v>
      </c>
      <c r="B58" s="8" t="s">
        <v>305</v>
      </c>
      <c r="C58" s="8" t="s">
        <v>306</v>
      </c>
      <c r="D58" s="8" t="s">
        <v>307</v>
      </c>
      <c r="E58" s="8" t="n">
        <v>1983</v>
      </c>
      <c r="F58" s="8" t="s">
        <v>62</v>
      </c>
      <c r="G58" s="8" t="s">
        <v>98</v>
      </c>
      <c r="H58" s="8" t="s">
        <v>308</v>
      </c>
      <c r="I58" s="8" t="s">
        <v>47</v>
      </c>
      <c r="J58" s="9" t="n">
        <v>665000</v>
      </c>
      <c r="K58" s="8" t="s">
        <v>309</v>
      </c>
      <c r="L58" s="9" t="n">
        <v>15662.24</v>
      </c>
      <c r="M58" s="9" t="n">
        <v>1957.78</v>
      </c>
      <c r="N58" s="9" t="n">
        <v>1957.78</v>
      </c>
      <c r="O58" s="9" t="n">
        <v>11746.7</v>
      </c>
      <c r="P58" s="9" t="n">
        <v>1174.67</v>
      </c>
      <c r="Q58" s="9" t="n">
        <v>1174.67</v>
      </c>
      <c r="R58" s="9" t="n">
        <v>1174.67</v>
      </c>
      <c r="S58" s="9" t="n">
        <v>1174.67</v>
      </c>
      <c r="T58" s="9" t="n">
        <v>1174.67</v>
      </c>
      <c r="U58" s="9" t="n">
        <v>1174.67</v>
      </c>
      <c r="V58" s="9" t="n">
        <v>1174.67</v>
      </c>
      <c r="W58" s="9" t="n">
        <v>1174.67</v>
      </c>
      <c r="X58" s="9" t="n">
        <v>1174.67</v>
      </c>
      <c r="Y58" s="9" t="n">
        <v>1174.67</v>
      </c>
      <c r="Z58" s="9" t="n">
        <v>350</v>
      </c>
      <c r="AA58" s="9" t="n">
        <v>0</v>
      </c>
      <c r="AB58" s="9" t="n">
        <v>350</v>
      </c>
    </row>
    <row r="59" customFormat="false" ht="15" hidden="false" customHeight="false" outlineLevel="0" collapsed="false">
      <c r="A59" s="3" t="s">
        <v>310</v>
      </c>
      <c r="B59" s="3" t="s">
        <v>311</v>
      </c>
      <c r="C59" s="3" t="s">
        <v>312</v>
      </c>
      <c r="D59" s="3" t="s">
        <v>313</v>
      </c>
      <c r="E59" s="3" t="n">
        <v>1978</v>
      </c>
      <c r="F59" s="3" t="s">
        <v>158</v>
      </c>
      <c r="G59" s="3" t="s">
        <v>159</v>
      </c>
      <c r="H59" s="3" t="s">
        <v>314</v>
      </c>
      <c r="I59" s="3" t="s">
        <v>56</v>
      </c>
      <c r="J59" s="7" t="n">
        <v>290000</v>
      </c>
      <c r="K59" s="3" t="s">
        <v>315</v>
      </c>
      <c r="L59" s="7" t="n">
        <v>5195.43</v>
      </c>
      <c r="M59" s="7" t="n">
        <v>649.43</v>
      </c>
      <c r="N59" s="7" t="n">
        <v>649.43</v>
      </c>
      <c r="O59" s="7" t="n">
        <v>3896.6</v>
      </c>
      <c r="P59" s="7" t="n">
        <v>389.66</v>
      </c>
      <c r="Q59" s="7" t="n">
        <v>389.66</v>
      </c>
      <c r="R59" s="7" t="n">
        <v>389.66</v>
      </c>
      <c r="S59" s="7" t="n">
        <v>389.66</v>
      </c>
      <c r="T59" s="7" t="n">
        <v>389.66</v>
      </c>
      <c r="U59" s="7" t="n">
        <v>389.66</v>
      </c>
      <c r="V59" s="7" t="n">
        <v>389.66</v>
      </c>
      <c r="W59" s="7" t="n">
        <v>389.66</v>
      </c>
      <c r="X59" s="7" t="n">
        <v>389.66</v>
      </c>
      <c r="Y59" s="7" t="n">
        <v>389.66</v>
      </c>
      <c r="Z59" s="7" t="n">
        <v>350</v>
      </c>
      <c r="AA59" s="7" t="n">
        <v>0</v>
      </c>
      <c r="AB59" s="7" t="n">
        <v>350</v>
      </c>
    </row>
    <row r="60" customFormat="false" ht="15" hidden="false" customHeight="false" outlineLevel="0" collapsed="false">
      <c r="A60" s="8" t="s">
        <v>316</v>
      </c>
      <c r="B60" s="8" t="s">
        <v>317</v>
      </c>
      <c r="C60" s="8" t="s">
        <v>125</v>
      </c>
      <c r="D60" s="8" t="s">
        <v>126</v>
      </c>
      <c r="E60" s="8" t="n">
        <v>1990</v>
      </c>
      <c r="F60" s="8" t="s">
        <v>220</v>
      </c>
      <c r="G60" s="8" t="s">
        <v>221</v>
      </c>
      <c r="H60" s="8" t="s">
        <v>318</v>
      </c>
      <c r="I60" s="8" t="s">
        <v>92</v>
      </c>
      <c r="J60" s="9" t="n">
        <v>480000</v>
      </c>
      <c r="K60" s="8" t="s">
        <v>319</v>
      </c>
      <c r="L60" s="9" t="n">
        <v>9707.68</v>
      </c>
      <c r="M60" s="9" t="n">
        <v>1213.46</v>
      </c>
      <c r="N60" s="9" t="n">
        <v>1213.46</v>
      </c>
      <c r="O60" s="9" t="n">
        <v>7280.8</v>
      </c>
      <c r="P60" s="9" t="n">
        <v>728.08</v>
      </c>
      <c r="Q60" s="9" t="n">
        <v>728.08</v>
      </c>
      <c r="R60" s="9" t="n">
        <v>728.08</v>
      </c>
      <c r="S60" s="9" t="n">
        <v>728.08</v>
      </c>
      <c r="T60" s="9" t="n">
        <v>728.08</v>
      </c>
      <c r="U60" s="9" t="n">
        <v>728.08</v>
      </c>
      <c r="V60" s="9" t="n">
        <v>728.08</v>
      </c>
      <c r="W60" s="9" t="n">
        <v>728.08</v>
      </c>
      <c r="X60" s="9" t="n">
        <v>728.08</v>
      </c>
      <c r="Y60" s="9" t="n">
        <v>728.08</v>
      </c>
      <c r="Z60" s="9" t="n">
        <v>350</v>
      </c>
      <c r="AA60" s="9" t="n">
        <v>0</v>
      </c>
      <c r="AB60" s="9" t="n">
        <v>350</v>
      </c>
    </row>
    <row r="61" customFormat="false" ht="15" hidden="false" customHeight="false" outlineLevel="0" collapsed="false">
      <c r="A61" s="3" t="s">
        <v>320</v>
      </c>
      <c r="B61" s="3" t="s">
        <v>321</v>
      </c>
      <c r="C61" s="3" t="s">
        <v>144</v>
      </c>
      <c r="D61" s="3" t="s">
        <v>145</v>
      </c>
      <c r="E61" s="3" t="n">
        <v>1977</v>
      </c>
      <c r="F61" s="3" t="s">
        <v>62</v>
      </c>
      <c r="G61" s="3" t="s">
        <v>98</v>
      </c>
      <c r="H61" s="3" t="s">
        <v>322</v>
      </c>
      <c r="I61" s="3" t="s">
        <v>47</v>
      </c>
      <c r="J61" s="7" t="n">
        <v>1950000</v>
      </c>
      <c r="K61" s="3" t="s">
        <v>291</v>
      </c>
      <c r="L61" s="7" t="n">
        <v>29923.92</v>
      </c>
      <c r="M61" s="7" t="n">
        <v>3740.49</v>
      </c>
      <c r="N61" s="7" t="n">
        <v>3740.49</v>
      </c>
      <c r="O61" s="7" t="n">
        <v>22442.9</v>
      </c>
      <c r="P61" s="7" t="n">
        <v>2244.29</v>
      </c>
      <c r="Q61" s="7" t="n">
        <v>2244.29</v>
      </c>
      <c r="R61" s="7" t="n">
        <v>2244.29</v>
      </c>
      <c r="S61" s="7" t="n">
        <v>2244.29</v>
      </c>
      <c r="T61" s="7" t="n">
        <v>2244.29</v>
      </c>
      <c r="U61" s="7" t="n">
        <v>2244.29</v>
      </c>
      <c r="V61" s="7" t="n">
        <v>2244.29</v>
      </c>
      <c r="W61" s="7" t="n">
        <v>2244.29</v>
      </c>
      <c r="X61" s="7" t="n">
        <v>2244.29</v>
      </c>
      <c r="Y61" s="7" t="n">
        <v>2244.29</v>
      </c>
      <c r="Z61" s="7" t="n">
        <v>350</v>
      </c>
      <c r="AA61" s="7" t="n">
        <v>250</v>
      </c>
      <c r="AB61" s="7" t="n">
        <v>600</v>
      </c>
    </row>
    <row r="62" customFormat="false" ht="15" hidden="false" customHeight="false" outlineLevel="0" collapsed="false">
      <c r="A62" s="8" t="s">
        <v>323</v>
      </c>
      <c r="B62" s="8" t="s">
        <v>324</v>
      </c>
      <c r="C62" s="8" t="s">
        <v>312</v>
      </c>
      <c r="D62" s="8" t="s">
        <v>313</v>
      </c>
      <c r="E62" s="8" t="n">
        <v>1967</v>
      </c>
      <c r="F62" s="8" t="s">
        <v>53</v>
      </c>
      <c r="G62" s="8" t="s">
        <v>54</v>
      </c>
      <c r="H62" s="8" t="s">
        <v>325</v>
      </c>
      <c r="I62" s="8" t="s">
        <v>56</v>
      </c>
      <c r="J62" s="9" t="n">
        <v>325000</v>
      </c>
      <c r="K62" s="8" t="s">
        <v>108</v>
      </c>
      <c r="L62" s="9" t="n">
        <v>5998.9</v>
      </c>
      <c r="M62" s="9" t="n">
        <v>749.86</v>
      </c>
      <c r="N62" s="9" t="n">
        <v>749.86</v>
      </c>
      <c r="O62" s="9" t="n">
        <v>4499.2</v>
      </c>
      <c r="P62" s="9" t="n">
        <v>449.92</v>
      </c>
      <c r="Q62" s="9" t="n">
        <v>449.92</v>
      </c>
      <c r="R62" s="9" t="n">
        <v>449.92</v>
      </c>
      <c r="S62" s="9" t="n">
        <v>449.92</v>
      </c>
      <c r="T62" s="9" t="n">
        <v>449.92</v>
      </c>
      <c r="U62" s="9" t="n">
        <v>449.92</v>
      </c>
      <c r="V62" s="9" t="n">
        <v>449.92</v>
      </c>
      <c r="W62" s="9" t="n">
        <v>449.92</v>
      </c>
      <c r="X62" s="9" t="n">
        <v>449.92</v>
      </c>
      <c r="Y62" s="9" t="n">
        <v>449.92</v>
      </c>
      <c r="Z62" s="9" t="n">
        <v>350</v>
      </c>
      <c r="AA62" s="9" t="n">
        <v>0</v>
      </c>
      <c r="AB62" s="9" t="n">
        <v>350</v>
      </c>
    </row>
    <row r="63" customFormat="false" ht="15" hidden="false" customHeight="false" outlineLevel="0" collapsed="false">
      <c r="A63" s="3" t="s">
        <v>326</v>
      </c>
      <c r="B63" s="3" t="s">
        <v>327</v>
      </c>
      <c r="C63" s="3" t="s">
        <v>328</v>
      </c>
      <c r="D63" s="3" t="s">
        <v>329</v>
      </c>
      <c r="E63" s="3" t="n">
        <v>1985</v>
      </c>
      <c r="F63" s="3" t="s">
        <v>113</v>
      </c>
      <c r="G63" s="3" t="s">
        <v>139</v>
      </c>
      <c r="H63" s="3" t="s">
        <v>330</v>
      </c>
      <c r="I63" s="3" t="s">
        <v>107</v>
      </c>
      <c r="J63" s="7" t="n">
        <v>850000</v>
      </c>
      <c r="K63" s="3" t="s">
        <v>184</v>
      </c>
      <c r="L63" s="7" t="n">
        <v>8201.57</v>
      </c>
      <c r="M63" s="7" t="n">
        <v>1025.2</v>
      </c>
      <c r="N63" s="7" t="n">
        <v>1025.2</v>
      </c>
      <c r="O63" s="7" t="n">
        <v>6151.2</v>
      </c>
      <c r="P63" s="7" t="n">
        <v>615.12</v>
      </c>
      <c r="Q63" s="7" t="n">
        <v>615.12</v>
      </c>
      <c r="R63" s="7" t="n">
        <v>615.12</v>
      </c>
      <c r="S63" s="7" t="n">
        <v>615.12</v>
      </c>
      <c r="T63" s="7" t="n">
        <v>615.12</v>
      </c>
      <c r="U63" s="7" t="n">
        <v>615.12</v>
      </c>
      <c r="V63" s="7" t="n">
        <v>615.12</v>
      </c>
      <c r="W63" s="7" t="n">
        <v>615.12</v>
      </c>
      <c r="X63" s="7" t="n">
        <v>615.12</v>
      </c>
      <c r="Y63" s="7" t="n">
        <v>615.12</v>
      </c>
      <c r="Z63" s="7" t="n">
        <v>350</v>
      </c>
      <c r="AA63" s="7" t="n">
        <v>0</v>
      </c>
      <c r="AB63" s="7" t="n">
        <v>350</v>
      </c>
    </row>
    <row r="64" customFormat="false" ht="15" hidden="false" customHeight="false" outlineLevel="0" collapsed="false">
      <c r="A64" s="8" t="s">
        <v>331</v>
      </c>
      <c r="B64" s="8" t="s">
        <v>332</v>
      </c>
      <c r="C64" s="8" t="s">
        <v>131</v>
      </c>
      <c r="D64" s="8" t="s">
        <v>132</v>
      </c>
      <c r="E64" s="8" t="n">
        <v>2007</v>
      </c>
      <c r="F64" s="8" t="s">
        <v>113</v>
      </c>
      <c r="G64" s="8" t="s">
        <v>114</v>
      </c>
      <c r="H64" s="8" t="s">
        <v>333</v>
      </c>
      <c r="I64" s="8" t="s">
        <v>56</v>
      </c>
      <c r="J64" s="9" t="n">
        <v>275000</v>
      </c>
      <c r="K64" s="8" t="s">
        <v>170</v>
      </c>
      <c r="L64" s="9" t="n">
        <v>4665.44</v>
      </c>
      <c r="M64" s="9" t="n">
        <v>583.18</v>
      </c>
      <c r="N64" s="9" t="n">
        <v>583.18</v>
      </c>
      <c r="O64" s="9" t="n">
        <v>3499.1</v>
      </c>
      <c r="P64" s="9" t="n">
        <v>349.91</v>
      </c>
      <c r="Q64" s="9" t="n">
        <v>349.91</v>
      </c>
      <c r="R64" s="9" t="n">
        <v>349.91</v>
      </c>
      <c r="S64" s="9" t="n">
        <v>349.91</v>
      </c>
      <c r="T64" s="9" t="n">
        <v>349.91</v>
      </c>
      <c r="U64" s="9" t="n">
        <v>349.91</v>
      </c>
      <c r="V64" s="9" t="n">
        <v>349.91</v>
      </c>
      <c r="W64" s="9" t="n">
        <v>349.91</v>
      </c>
      <c r="X64" s="9" t="n">
        <v>349.91</v>
      </c>
      <c r="Y64" s="9" t="n">
        <v>349.91</v>
      </c>
      <c r="Z64" s="9" t="n">
        <v>350</v>
      </c>
      <c r="AA64" s="9" t="n">
        <v>0</v>
      </c>
      <c r="AB64" s="9" t="n">
        <v>350</v>
      </c>
    </row>
    <row r="65" customFormat="false" ht="15" hidden="false" customHeight="false" outlineLevel="0" collapsed="false">
      <c r="A65" s="3" t="s">
        <v>334</v>
      </c>
      <c r="B65" s="3" t="s">
        <v>335</v>
      </c>
      <c r="C65" s="3" t="s">
        <v>125</v>
      </c>
      <c r="D65" s="3" t="s">
        <v>126</v>
      </c>
      <c r="E65" s="3" t="n">
        <v>2006</v>
      </c>
      <c r="F65" s="3" t="s">
        <v>119</v>
      </c>
      <c r="G65" s="3" t="s">
        <v>120</v>
      </c>
      <c r="H65" s="3" t="s">
        <v>336</v>
      </c>
      <c r="I65" s="3" t="s">
        <v>56</v>
      </c>
      <c r="J65" s="7" t="n">
        <v>180000</v>
      </c>
      <c r="K65" s="3" t="s">
        <v>337</v>
      </c>
      <c r="L65" s="7" t="n">
        <v>4045.59</v>
      </c>
      <c r="M65" s="7" t="n">
        <v>505.7</v>
      </c>
      <c r="N65" s="7" t="n">
        <v>505.7</v>
      </c>
      <c r="O65" s="7" t="n">
        <v>3034.2</v>
      </c>
      <c r="P65" s="7" t="n">
        <v>303.42</v>
      </c>
      <c r="Q65" s="7" t="n">
        <v>303.42</v>
      </c>
      <c r="R65" s="7" t="n">
        <v>303.42</v>
      </c>
      <c r="S65" s="7" t="n">
        <v>303.42</v>
      </c>
      <c r="T65" s="7" t="n">
        <v>303.42</v>
      </c>
      <c r="U65" s="7" t="n">
        <v>303.42</v>
      </c>
      <c r="V65" s="7" t="n">
        <v>303.42</v>
      </c>
      <c r="W65" s="7" t="n">
        <v>303.42</v>
      </c>
      <c r="X65" s="7" t="n">
        <v>303.42</v>
      </c>
      <c r="Y65" s="7" t="n">
        <v>303.42</v>
      </c>
      <c r="Z65" s="7" t="n">
        <v>350</v>
      </c>
      <c r="AA65" s="7" t="n">
        <v>0</v>
      </c>
      <c r="AB65" s="7" t="n">
        <v>350</v>
      </c>
    </row>
    <row r="66" customFormat="false" ht="15" hidden="false" customHeight="false" outlineLevel="0" collapsed="false">
      <c r="A66" s="8" t="s">
        <v>338</v>
      </c>
      <c r="B66" s="8" t="s">
        <v>339</v>
      </c>
      <c r="C66" s="8" t="s">
        <v>125</v>
      </c>
      <c r="D66" s="8" t="s">
        <v>126</v>
      </c>
      <c r="E66" s="8" t="n">
        <v>2005</v>
      </c>
      <c r="F66" s="8" t="s">
        <v>181</v>
      </c>
      <c r="G66" s="8" t="s">
        <v>182</v>
      </c>
      <c r="H66" s="8" t="s">
        <v>340</v>
      </c>
      <c r="I66" s="8" t="s">
        <v>47</v>
      </c>
      <c r="J66" s="9" t="n">
        <v>1930000</v>
      </c>
      <c r="K66" s="8" t="s">
        <v>65</v>
      </c>
      <c r="L66" s="9" t="n">
        <v>27940.58</v>
      </c>
      <c r="M66" s="9" t="n">
        <v>3492.57</v>
      </c>
      <c r="N66" s="9" t="n">
        <v>3492.57</v>
      </c>
      <c r="O66" s="9" t="n">
        <v>20955.4</v>
      </c>
      <c r="P66" s="9" t="n">
        <v>2095.54</v>
      </c>
      <c r="Q66" s="9" t="n">
        <v>2095.54</v>
      </c>
      <c r="R66" s="9" t="n">
        <v>2095.54</v>
      </c>
      <c r="S66" s="9" t="n">
        <v>2095.54</v>
      </c>
      <c r="T66" s="9" t="n">
        <v>2095.54</v>
      </c>
      <c r="U66" s="9" t="n">
        <v>2095.54</v>
      </c>
      <c r="V66" s="9" t="n">
        <v>2095.54</v>
      </c>
      <c r="W66" s="9" t="n">
        <v>2095.54</v>
      </c>
      <c r="X66" s="9" t="n">
        <v>2095.54</v>
      </c>
      <c r="Y66" s="9" t="n">
        <v>2095.54</v>
      </c>
      <c r="Z66" s="9" t="n">
        <v>350</v>
      </c>
      <c r="AA66" s="9" t="n">
        <v>250</v>
      </c>
      <c r="AB66" s="9" t="n">
        <v>600</v>
      </c>
    </row>
    <row r="67" customFormat="false" ht="15" hidden="false" customHeight="false" outlineLevel="0" collapsed="false">
      <c r="A67" s="3" t="s">
        <v>341</v>
      </c>
      <c r="B67" s="3" t="s">
        <v>342</v>
      </c>
      <c r="C67" s="3" t="s">
        <v>42</v>
      </c>
      <c r="D67" s="3" t="s">
        <v>43</v>
      </c>
      <c r="E67" s="3" t="n">
        <v>2000</v>
      </c>
      <c r="F67" s="3" t="s">
        <v>146</v>
      </c>
      <c r="G67" s="3" t="s">
        <v>147</v>
      </c>
      <c r="H67" s="3" t="s">
        <v>343</v>
      </c>
      <c r="I67" s="3" t="s">
        <v>56</v>
      </c>
      <c r="J67" s="7" t="n">
        <v>1025000</v>
      </c>
      <c r="K67" s="3" t="s">
        <v>344</v>
      </c>
      <c r="L67" s="7" t="n">
        <v>13262.27</v>
      </c>
      <c r="M67" s="7" t="n">
        <v>1657.78</v>
      </c>
      <c r="N67" s="7" t="n">
        <v>1657.78</v>
      </c>
      <c r="O67" s="7" t="n">
        <v>9946.7</v>
      </c>
      <c r="P67" s="7" t="n">
        <v>994.67</v>
      </c>
      <c r="Q67" s="7" t="n">
        <v>994.67</v>
      </c>
      <c r="R67" s="7" t="n">
        <v>994.67</v>
      </c>
      <c r="S67" s="7" t="n">
        <v>994.67</v>
      </c>
      <c r="T67" s="7" t="n">
        <v>994.67</v>
      </c>
      <c r="U67" s="7" t="n">
        <v>994.67</v>
      </c>
      <c r="V67" s="7" t="n">
        <v>994.67</v>
      </c>
      <c r="W67" s="7" t="n">
        <v>994.67</v>
      </c>
      <c r="X67" s="7" t="n">
        <v>994.67</v>
      </c>
      <c r="Y67" s="7" t="n">
        <v>994.67</v>
      </c>
      <c r="Z67" s="7" t="n">
        <v>350</v>
      </c>
      <c r="AA67" s="7" t="n">
        <v>250</v>
      </c>
      <c r="AB67" s="7" t="n">
        <v>600</v>
      </c>
    </row>
    <row r="68" customFormat="false" ht="15" hidden="false" customHeight="false" outlineLevel="0" collapsed="false">
      <c r="A68" s="8" t="s">
        <v>345</v>
      </c>
      <c r="B68" s="8" t="s">
        <v>286</v>
      </c>
      <c r="C68" s="8" t="s">
        <v>255</v>
      </c>
      <c r="D68" s="8" t="s">
        <v>256</v>
      </c>
      <c r="E68" s="8" t="n">
        <v>2016</v>
      </c>
      <c r="F68" s="8" t="s">
        <v>44</v>
      </c>
      <c r="G68" s="8" t="s">
        <v>45</v>
      </c>
      <c r="H68" s="8" t="s">
        <v>346</v>
      </c>
      <c r="I68" s="8" t="s">
        <v>47</v>
      </c>
      <c r="J68" s="9" t="n">
        <v>1045000</v>
      </c>
      <c r="K68" s="8" t="s">
        <v>170</v>
      </c>
      <c r="L68" s="9" t="n">
        <v>18910.56</v>
      </c>
      <c r="M68" s="9" t="n">
        <v>2363.82</v>
      </c>
      <c r="N68" s="9" t="n">
        <v>2363.82</v>
      </c>
      <c r="O68" s="9" t="n">
        <v>14182.9</v>
      </c>
      <c r="P68" s="9" t="n">
        <v>1418.29</v>
      </c>
      <c r="Q68" s="9" t="n">
        <v>1418.29</v>
      </c>
      <c r="R68" s="9" t="n">
        <v>1418.29</v>
      </c>
      <c r="S68" s="9" t="n">
        <v>1418.29</v>
      </c>
      <c r="T68" s="9" t="n">
        <v>1418.29</v>
      </c>
      <c r="U68" s="9" t="n">
        <v>1418.29</v>
      </c>
      <c r="V68" s="9" t="n">
        <v>1418.29</v>
      </c>
      <c r="W68" s="9" t="n">
        <v>1418.29</v>
      </c>
      <c r="X68" s="9" t="n">
        <v>1418.29</v>
      </c>
      <c r="Y68" s="9" t="n">
        <v>1418.29</v>
      </c>
      <c r="Z68" s="9" t="n">
        <v>350</v>
      </c>
      <c r="AA68" s="9" t="n">
        <v>250</v>
      </c>
      <c r="AB68" s="9" t="n">
        <v>600</v>
      </c>
    </row>
    <row r="69" customFormat="false" ht="15" hidden="false" customHeight="false" outlineLevel="0" collapsed="false">
      <c r="A69" s="3" t="s">
        <v>347</v>
      </c>
      <c r="B69" s="3" t="s">
        <v>348</v>
      </c>
      <c r="C69" s="3" t="s">
        <v>328</v>
      </c>
      <c r="D69" s="3" t="s">
        <v>329</v>
      </c>
      <c r="E69" s="3" t="n">
        <v>1958</v>
      </c>
      <c r="F69" s="3" t="s">
        <v>119</v>
      </c>
      <c r="G69" s="3" t="s">
        <v>120</v>
      </c>
      <c r="H69" s="3" t="s">
        <v>349</v>
      </c>
      <c r="I69" s="3" t="s">
        <v>56</v>
      </c>
      <c r="J69" s="7" t="n">
        <v>575000</v>
      </c>
      <c r="K69" s="3" t="s">
        <v>350</v>
      </c>
      <c r="L69" s="7" t="n">
        <v>7236.91</v>
      </c>
      <c r="M69" s="7" t="n">
        <v>904.61</v>
      </c>
      <c r="N69" s="7" t="n">
        <v>904.61</v>
      </c>
      <c r="O69" s="7" t="n">
        <v>5427.7</v>
      </c>
      <c r="P69" s="7" t="n">
        <v>542.77</v>
      </c>
      <c r="Q69" s="7" t="n">
        <v>542.77</v>
      </c>
      <c r="R69" s="7" t="n">
        <v>542.77</v>
      </c>
      <c r="S69" s="7" t="n">
        <v>542.77</v>
      </c>
      <c r="T69" s="7" t="n">
        <v>542.77</v>
      </c>
      <c r="U69" s="7" t="n">
        <v>542.77</v>
      </c>
      <c r="V69" s="7" t="n">
        <v>542.77</v>
      </c>
      <c r="W69" s="7" t="n">
        <v>542.77</v>
      </c>
      <c r="X69" s="7" t="n">
        <v>542.77</v>
      </c>
      <c r="Y69" s="7" t="n">
        <v>542.77</v>
      </c>
      <c r="Z69" s="7" t="n">
        <v>350</v>
      </c>
      <c r="AA69" s="7" t="n">
        <v>0</v>
      </c>
      <c r="AB69" s="7" t="n">
        <v>350</v>
      </c>
    </row>
    <row r="70" customFormat="false" ht="15" hidden="false" customHeight="false" outlineLevel="0" collapsed="false">
      <c r="A70" s="8" t="s">
        <v>351</v>
      </c>
      <c r="B70" s="8" t="s">
        <v>352</v>
      </c>
      <c r="C70" s="8" t="s">
        <v>144</v>
      </c>
      <c r="D70" s="8" t="s">
        <v>145</v>
      </c>
      <c r="E70" s="8" t="n">
        <v>1957</v>
      </c>
      <c r="F70" s="8" t="s">
        <v>181</v>
      </c>
      <c r="G70" s="8" t="s">
        <v>182</v>
      </c>
      <c r="H70" s="8" t="s">
        <v>353</v>
      </c>
      <c r="I70" s="8" t="s">
        <v>47</v>
      </c>
      <c r="J70" s="9" t="n">
        <v>1095000</v>
      </c>
      <c r="K70" s="8" t="s">
        <v>350</v>
      </c>
      <c r="L70" s="9" t="n">
        <v>16961.95</v>
      </c>
      <c r="M70" s="9" t="n">
        <v>2120.24</v>
      </c>
      <c r="N70" s="9" t="n">
        <v>2120.24</v>
      </c>
      <c r="O70" s="9" t="n">
        <v>12721.5</v>
      </c>
      <c r="P70" s="9" t="n">
        <v>1272.15</v>
      </c>
      <c r="Q70" s="9" t="n">
        <v>1272.15</v>
      </c>
      <c r="R70" s="9" t="n">
        <v>1272.15</v>
      </c>
      <c r="S70" s="9" t="n">
        <v>1272.15</v>
      </c>
      <c r="T70" s="9" t="n">
        <v>1272.15</v>
      </c>
      <c r="U70" s="9" t="n">
        <v>1272.15</v>
      </c>
      <c r="V70" s="9" t="n">
        <v>1272.15</v>
      </c>
      <c r="W70" s="9" t="n">
        <v>1272.15</v>
      </c>
      <c r="X70" s="9" t="n">
        <v>1272.15</v>
      </c>
      <c r="Y70" s="9" t="n">
        <v>1272.15</v>
      </c>
      <c r="Z70" s="9" t="n">
        <v>350</v>
      </c>
      <c r="AA70" s="9" t="n">
        <v>250</v>
      </c>
      <c r="AB70" s="9" t="n">
        <v>600</v>
      </c>
    </row>
    <row r="71" customFormat="false" ht="15" hidden="false" customHeight="false" outlineLevel="0" collapsed="false">
      <c r="A71" s="3" t="s">
        <v>354</v>
      </c>
      <c r="B71" s="3" t="s">
        <v>355</v>
      </c>
      <c r="C71" s="3" t="s">
        <v>306</v>
      </c>
      <c r="D71" s="3" t="s">
        <v>307</v>
      </c>
      <c r="E71" s="3" t="n">
        <v>1966</v>
      </c>
      <c r="F71" s="3" t="s">
        <v>44</v>
      </c>
      <c r="G71" s="3" t="s">
        <v>45</v>
      </c>
      <c r="H71" s="3" t="s">
        <v>356</v>
      </c>
      <c r="I71" s="3" t="s">
        <v>47</v>
      </c>
      <c r="J71" s="7" t="n">
        <v>415000</v>
      </c>
      <c r="K71" s="3" t="s">
        <v>108</v>
      </c>
      <c r="L71" s="7" t="n">
        <v>11745.54</v>
      </c>
      <c r="M71" s="7" t="n">
        <v>1468.19</v>
      </c>
      <c r="N71" s="7" t="n">
        <v>1468.19</v>
      </c>
      <c r="O71" s="7" t="n">
        <v>8809.2</v>
      </c>
      <c r="P71" s="7" t="n">
        <v>880.92</v>
      </c>
      <c r="Q71" s="7" t="n">
        <v>880.92</v>
      </c>
      <c r="R71" s="7" t="n">
        <v>880.92</v>
      </c>
      <c r="S71" s="7" t="n">
        <v>880.92</v>
      </c>
      <c r="T71" s="7" t="n">
        <v>880.92</v>
      </c>
      <c r="U71" s="7" t="n">
        <v>880.92</v>
      </c>
      <c r="V71" s="7" t="n">
        <v>880.92</v>
      </c>
      <c r="W71" s="7" t="n">
        <v>880.92</v>
      </c>
      <c r="X71" s="7" t="n">
        <v>880.92</v>
      </c>
      <c r="Y71" s="7" t="n">
        <v>880.92</v>
      </c>
      <c r="Z71" s="7" t="n">
        <v>350</v>
      </c>
      <c r="AA71" s="7" t="n">
        <v>0</v>
      </c>
      <c r="AB71" s="7" t="n">
        <v>350</v>
      </c>
    </row>
    <row r="72" customFormat="false" ht="15" hidden="false" customHeight="false" outlineLevel="0" collapsed="false">
      <c r="A72" s="8" t="s">
        <v>357</v>
      </c>
      <c r="B72" s="8" t="s">
        <v>358</v>
      </c>
      <c r="C72" s="8" t="s">
        <v>306</v>
      </c>
      <c r="D72" s="8" t="s">
        <v>307</v>
      </c>
      <c r="E72" s="8" t="n">
        <v>2013</v>
      </c>
      <c r="F72" s="8" t="s">
        <v>53</v>
      </c>
      <c r="G72" s="8" t="s">
        <v>54</v>
      </c>
      <c r="H72" s="8" t="s">
        <v>359</v>
      </c>
      <c r="I72" s="8" t="s">
        <v>56</v>
      </c>
      <c r="J72" s="9" t="n">
        <v>790000</v>
      </c>
      <c r="K72" s="8" t="s">
        <v>360</v>
      </c>
      <c r="L72" s="9" t="n">
        <v>10500.43</v>
      </c>
      <c r="M72" s="9" t="n">
        <v>1312.55</v>
      </c>
      <c r="N72" s="9" t="n">
        <v>1312.55</v>
      </c>
      <c r="O72" s="9" t="n">
        <v>7875.3</v>
      </c>
      <c r="P72" s="9" t="n">
        <v>787.53</v>
      </c>
      <c r="Q72" s="9" t="n">
        <v>787.53</v>
      </c>
      <c r="R72" s="9" t="n">
        <v>787.53</v>
      </c>
      <c r="S72" s="9" t="n">
        <v>787.53</v>
      </c>
      <c r="T72" s="9" t="n">
        <v>787.53</v>
      </c>
      <c r="U72" s="9" t="n">
        <v>787.53</v>
      </c>
      <c r="V72" s="9" t="n">
        <v>787.53</v>
      </c>
      <c r="W72" s="9" t="n">
        <v>787.53</v>
      </c>
      <c r="X72" s="9" t="n">
        <v>787.53</v>
      </c>
      <c r="Y72" s="9" t="n">
        <v>787.53</v>
      </c>
      <c r="Z72" s="9" t="n">
        <v>350</v>
      </c>
      <c r="AA72" s="9" t="n">
        <v>0</v>
      </c>
      <c r="AB72" s="9" t="n">
        <v>350</v>
      </c>
    </row>
    <row r="73" customFormat="false" ht="15" hidden="false" customHeight="false" outlineLevel="0" collapsed="false">
      <c r="A73" s="3" t="s">
        <v>361</v>
      </c>
      <c r="B73" s="3" t="s">
        <v>362</v>
      </c>
      <c r="C73" s="3" t="s">
        <v>276</v>
      </c>
      <c r="D73" s="3" t="s">
        <v>277</v>
      </c>
      <c r="E73" s="3" t="n">
        <v>2002</v>
      </c>
      <c r="F73" s="3" t="s">
        <v>44</v>
      </c>
      <c r="G73" s="3" t="s">
        <v>45</v>
      </c>
      <c r="H73" s="3" t="s">
        <v>363</v>
      </c>
      <c r="I73" s="3" t="s">
        <v>47</v>
      </c>
      <c r="J73" s="7" t="n">
        <v>375000</v>
      </c>
      <c r="K73" s="3" t="s">
        <v>153</v>
      </c>
      <c r="L73" s="7" t="n">
        <v>8974.6</v>
      </c>
      <c r="M73" s="7" t="n">
        <v>1121.83</v>
      </c>
      <c r="N73" s="7" t="n">
        <v>1121.83</v>
      </c>
      <c r="O73" s="7" t="n">
        <v>6731</v>
      </c>
      <c r="P73" s="7" t="n">
        <v>673.1</v>
      </c>
      <c r="Q73" s="7" t="n">
        <v>673.1</v>
      </c>
      <c r="R73" s="7" t="n">
        <v>673.1</v>
      </c>
      <c r="S73" s="7" t="n">
        <v>673.1</v>
      </c>
      <c r="T73" s="7" t="n">
        <v>673.1</v>
      </c>
      <c r="U73" s="7" t="n">
        <v>673.1</v>
      </c>
      <c r="V73" s="7" t="n">
        <v>673.1</v>
      </c>
      <c r="W73" s="7" t="n">
        <v>673.1</v>
      </c>
      <c r="X73" s="7" t="n">
        <v>673.1</v>
      </c>
      <c r="Y73" s="7" t="n">
        <v>673.1</v>
      </c>
      <c r="Z73" s="7" t="n">
        <v>350</v>
      </c>
      <c r="AA73" s="7" t="n">
        <v>0</v>
      </c>
      <c r="AB73" s="7" t="n">
        <v>350</v>
      </c>
    </row>
    <row r="74" customFormat="false" ht="15" hidden="false" customHeight="false" outlineLevel="0" collapsed="false">
      <c r="A74" s="8" t="s">
        <v>364</v>
      </c>
      <c r="B74" s="8" t="s">
        <v>365</v>
      </c>
      <c r="C74" s="8" t="s">
        <v>366</v>
      </c>
      <c r="D74" s="8" t="s">
        <v>367</v>
      </c>
      <c r="E74" s="8" t="n">
        <v>2011</v>
      </c>
      <c r="F74" s="8" t="s">
        <v>62</v>
      </c>
      <c r="G74" s="8" t="s">
        <v>98</v>
      </c>
      <c r="H74" s="8" t="s">
        <v>368</v>
      </c>
      <c r="I74" s="8" t="s">
        <v>47</v>
      </c>
      <c r="J74" s="9" t="n">
        <v>665000</v>
      </c>
      <c r="K74" s="8" t="s">
        <v>229</v>
      </c>
      <c r="L74" s="9" t="n">
        <v>10403.39</v>
      </c>
      <c r="M74" s="9" t="n">
        <v>1300.42</v>
      </c>
      <c r="N74" s="9" t="n">
        <v>1300.42</v>
      </c>
      <c r="O74" s="9" t="n">
        <v>7802.5</v>
      </c>
      <c r="P74" s="9" t="n">
        <v>780.25</v>
      </c>
      <c r="Q74" s="9" t="n">
        <v>780.25</v>
      </c>
      <c r="R74" s="9" t="n">
        <v>780.25</v>
      </c>
      <c r="S74" s="9" t="n">
        <v>780.25</v>
      </c>
      <c r="T74" s="9" t="n">
        <v>780.25</v>
      </c>
      <c r="U74" s="9" t="n">
        <v>780.25</v>
      </c>
      <c r="V74" s="9" t="n">
        <v>780.25</v>
      </c>
      <c r="W74" s="9" t="n">
        <v>780.25</v>
      </c>
      <c r="X74" s="9" t="n">
        <v>780.25</v>
      </c>
      <c r="Y74" s="9" t="n">
        <v>780.25</v>
      </c>
      <c r="Z74" s="9" t="n">
        <v>350</v>
      </c>
      <c r="AA74" s="9" t="n">
        <v>0</v>
      </c>
      <c r="AB74" s="9" t="n">
        <v>350</v>
      </c>
    </row>
    <row r="75" customFormat="false" ht="15" hidden="false" customHeight="false" outlineLevel="0" collapsed="false">
      <c r="A75" s="3" t="s">
        <v>369</v>
      </c>
      <c r="B75" s="3" t="s">
        <v>370</v>
      </c>
      <c r="C75" s="3" t="s">
        <v>144</v>
      </c>
      <c r="D75" s="3" t="s">
        <v>145</v>
      </c>
      <c r="E75" s="3" t="n">
        <v>2009</v>
      </c>
      <c r="F75" s="3" t="s">
        <v>89</v>
      </c>
      <c r="G75" s="3" t="s">
        <v>90</v>
      </c>
      <c r="H75" s="3" t="s">
        <v>371</v>
      </c>
      <c r="I75" s="3" t="s">
        <v>92</v>
      </c>
      <c r="J75" s="7" t="n">
        <v>485000</v>
      </c>
      <c r="K75" s="3" t="s">
        <v>128</v>
      </c>
      <c r="L75" s="7" t="n">
        <v>7182.82</v>
      </c>
      <c r="M75" s="7" t="n">
        <v>897.85</v>
      </c>
      <c r="N75" s="7" t="n">
        <v>897.85</v>
      </c>
      <c r="O75" s="7" t="n">
        <v>5387.1</v>
      </c>
      <c r="P75" s="7" t="n">
        <v>538.71</v>
      </c>
      <c r="Q75" s="7" t="n">
        <v>538.71</v>
      </c>
      <c r="R75" s="7" t="n">
        <v>538.71</v>
      </c>
      <c r="S75" s="7" t="n">
        <v>538.71</v>
      </c>
      <c r="T75" s="7" t="n">
        <v>538.71</v>
      </c>
      <c r="U75" s="7" t="n">
        <v>538.71</v>
      </c>
      <c r="V75" s="7" t="n">
        <v>538.71</v>
      </c>
      <c r="W75" s="7" t="n">
        <v>538.71</v>
      </c>
      <c r="X75" s="7" t="n">
        <v>538.71</v>
      </c>
      <c r="Y75" s="7" t="n">
        <v>538.71</v>
      </c>
      <c r="Z75" s="7" t="n">
        <v>350</v>
      </c>
      <c r="AA75" s="7" t="n">
        <v>0</v>
      </c>
      <c r="AB75" s="7" t="n">
        <v>350</v>
      </c>
    </row>
    <row r="76" customFormat="false" ht="15" hidden="false" customHeight="false" outlineLevel="0" collapsed="false">
      <c r="A76" s="8" t="s">
        <v>372</v>
      </c>
      <c r="B76" s="8" t="s">
        <v>373</v>
      </c>
      <c r="C76" s="8" t="s">
        <v>374</v>
      </c>
      <c r="D76" s="8" t="s">
        <v>375</v>
      </c>
      <c r="E76" s="8" t="n">
        <v>1976</v>
      </c>
      <c r="F76" s="8" t="s">
        <v>376</v>
      </c>
      <c r="G76" s="8" t="s">
        <v>377</v>
      </c>
      <c r="H76" s="8" t="s">
        <v>378</v>
      </c>
      <c r="I76" s="8" t="s">
        <v>92</v>
      </c>
      <c r="J76" s="9" t="n">
        <v>1640000</v>
      </c>
      <c r="K76" s="8" t="s">
        <v>379</v>
      </c>
      <c r="L76" s="9" t="n">
        <v>21997.2</v>
      </c>
      <c r="M76" s="9" t="n">
        <v>2749.65</v>
      </c>
      <c r="N76" s="9" t="n">
        <v>2749.65</v>
      </c>
      <c r="O76" s="9" t="n">
        <v>16497.9</v>
      </c>
      <c r="P76" s="9" t="n">
        <v>1649.79</v>
      </c>
      <c r="Q76" s="9" t="n">
        <v>1649.79</v>
      </c>
      <c r="R76" s="9" t="n">
        <v>1649.79</v>
      </c>
      <c r="S76" s="9" t="n">
        <v>1649.79</v>
      </c>
      <c r="T76" s="9" t="n">
        <v>1649.79</v>
      </c>
      <c r="U76" s="9" t="n">
        <v>1649.79</v>
      </c>
      <c r="V76" s="9" t="n">
        <v>1649.79</v>
      </c>
      <c r="W76" s="9" t="n">
        <v>1649.79</v>
      </c>
      <c r="X76" s="9" t="n">
        <v>1649.79</v>
      </c>
      <c r="Y76" s="9" t="n">
        <v>1649.79</v>
      </c>
      <c r="Z76" s="9" t="n">
        <v>350</v>
      </c>
      <c r="AA76" s="9" t="n">
        <v>250</v>
      </c>
      <c r="AB76" s="9" t="n">
        <v>600</v>
      </c>
    </row>
    <row r="77" customFormat="false" ht="15" hidden="false" customHeight="false" outlineLevel="0" collapsed="false">
      <c r="A77" s="3" t="s">
        <v>380</v>
      </c>
      <c r="B77" s="3" t="s">
        <v>267</v>
      </c>
      <c r="C77" s="3" t="s">
        <v>103</v>
      </c>
      <c r="D77" s="3" t="s">
        <v>104</v>
      </c>
      <c r="E77" s="3" t="n">
        <v>1977</v>
      </c>
      <c r="F77" s="3" t="s">
        <v>220</v>
      </c>
      <c r="G77" s="3" t="s">
        <v>221</v>
      </c>
      <c r="H77" s="3" t="s">
        <v>381</v>
      </c>
      <c r="I77" s="3" t="s">
        <v>92</v>
      </c>
      <c r="J77" s="7" t="n">
        <v>255000</v>
      </c>
      <c r="K77" s="3" t="s">
        <v>265</v>
      </c>
      <c r="L77" s="7" t="n">
        <v>5766.33</v>
      </c>
      <c r="M77" s="7" t="n">
        <v>720.79</v>
      </c>
      <c r="N77" s="7" t="n">
        <v>720.79</v>
      </c>
      <c r="O77" s="7" t="n">
        <v>4324.7</v>
      </c>
      <c r="P77" s="7" t="n">
        <v>432.47</v>
      </c>
      <c r="Q77" s="7" t="n">
        <v>432.47</v>
      </c>
      <c r="R77" s="7" t="n">
        <v>432.47</v>
      </c>
      <c r="S77" s="7" t="n">
        <v>432.47</v>
      </c>
      <c r="T77" s="7" t="n">
        <v>432.47</v>
      </c>
      <c r="U77" s="7" t="n">
        <v>432.47</v>
      </c>
      <c r="V77" s="7" t="n">
        <v>432.47</v>
      </c>
      <c r="W77" s="7" t="n">
        <v>432.47</v>
      </c>
      <c r="X77" s="7" t="n">
        <v>432.47</v>
      </c>
      <c r="Y77" s="7" t="n">
        <v>432.47</v>
      </c>
      <c r="Z77" s="7" t="n">
        <v>350</v>
      </c>
      <c r="AA77" s="7" t="n">
        <v>0</v>
      </c>
      <c r="AB77" s="7" t="n">
        <v>350</v>
      </c>
    </row>
    <row r="78" customFormat="false" ht="15" hidden="false" customHeight="false" outlineLevel="0" collapsed="false">
      <c r="A78" s="8" t="s">
        <v>382</v>
      </c>
      <c r="B78" s="8" t="s">
        <v>383</v>
      </c>
      <c r="C78" s="8" t="s">
        <v>312</v>
      </c>
      <c r="D78" s="8" t="s">
        <v>313</v>
      </c>
      <c r="E78" s="8" t="n">
        <v>1989</v>
      </c>
      <c r="F78" s="8" t="s">
        <v>146</v>
      </c>
      <c r="G78" s="8" t="s">
        <v>147</v>
      </c>
      <c r="H78" s="8" t="s">
        <v>384</v>
      </c>
      <c r="I78" s="8" t="s">
        <v>56</v>
      </c>
      <c r="J78" s="9" t="n">
        <v>785000</v>
      </c>
      <c r="K78" s="8" t="s">
        <v>385</v>
      </c>
      <c r="L78" s="9" t="n">
        <v>11264.99</v>
      </c>
      <c r="M78" s="9" t="n">
        <v>1408.12</v>
      </c>
      <c r="N78" s="9" t="n">
        <v>1408.12</v>
      </c>
      <c r="O78" s="9" t="n">
        <v>8448.7</v>
      </c>
      <c r="P78" s="9" t="n">
        <v>844.87</v>
      </c>
      <c r="Q78" s="9" t="n">
        <v>844.87</v>
      </c>
      <c r="R78" s="9" t="n">
        <v>844.87</v>
      </c>
      <c r="S78" s="9" t="n">
        <v>844.87</v>
      </c>
      <c r="T78" s="9" t="n">
        <v>844.87</v>
      </c>
      <c r="U78" s="9" t="n">
        <v>844.87</v>
      </c>
      <c r="V78" s="9" t="n">
        <v>844.87</v>
      </c>
      <c r="W78" s="9" t="n">
        <v>844.87</v>
      </c>
      <c r="X78" s="9" t="n">
        <v>844.87</v>
      </c>
      <c r="Y78" s="9" t="n">
        <v>844.87</v>
      </c>
      <c r="Z78" s="9" t="n">
        <v>350</v>
      </c>
      <c r="AA78" s="9" t="n">
        <v>0</v>
      </c>
      <c r="AB78" s="9" t="n">
        <v>350</v>
      </c>
    </row>
    <row r="79" customFormat="false" ht="15" hidden="false" customHeight="false" outlineLevel="0" collapsed="false">
      <c r="A79" s="3" t="s">
        <v>386</v>
      </c>
      <c r="B79" s="3" t="s">
        <v>387</v>
      </c>
      <c r="C79" s="3" t="s">
        <v>374</v>
      </c>
      <c r="D79" s="3" t="s">
        <v>375</v>
      </c>
      <c r="E79" s="3" t="n">
        <v>2013</v>
      </c>
      <c r="F79" s="3" t="s">
        <v>146</v>
      </c>
      <c r="G79" s="3" t="s">
        <v>147</v>
      </c>
      <c r="H79" s="3" t="s">
        <v>388</v>
      </c>
      <c r="I79" s="3" t="s">
        <v>56</v>
      </c>
      <c r="J79" s="7" t="n">
        <v>235000</v>
      </c>
      <c r="K79" s="3" t="s">
        <v>134</v>
      </c>
      <c r="L79" s="7" t="n">
        <v>5007.87</v>
      </c>
      <c r="M79" s="7" t="n">
        <v>625.98</v>
      </c>
      <c r="N79" s="7" t="n">
        <v>625.98</v>
      </c>
      <c r="O79" s="7" t="n">
        <v>3755.9</v>
      </c>
      <c r="P79" s="7" t="n">
        <v>375.59</v>
      </c>
      <c r="Q79" s="7" t="n">
        <v>375.59</v>
      </c>
      <c r="R79" s="7" t="n">
        <v>375.59</v>
      </c>
      <c r="S79" s="7" t="n">
        <v>375.59</v>
      </c>
      <c r="T79" s="7" t="n">
        <v>375.59</v>
      </c>
      <c r="U79" s="7" t="n">
        <v>375.59</v>
      </c>
      <c r="V79" s="7" t="n">
        <v>375.59</v>
      </c>
      <c r="W79" s="7" t="n">
        <v>375.59</v>
      </c>
      <c r="X79" s="7" t="n">
        <v>375.59</v>
      </c>
      <c r="Y79" s="7" t="n">
        <v>375.59</v>
      </c>
      <c r="Z79" s="7" t="n">
        <v>350</v>
      </c>
      <c r="AA79" s="7" t="n">
        <v>0</v>
      </c>
      <c r="AB79" s="7" t="n">
        <v>350</v>
      </c>
    </row>
    <row r="80" customFormat="false" ht="15" hidden="false" customHeight="false" outlineLevel="0" collapsed="false">
      <c r="A80" s="8" t="s">
        <v>389</v>
      </c>
      <c r="B80" s="8" t="s">
        <v>390</v>
      </c>
      <c r="C80" s="8" t="s">
        <v>82</v>
      </c>
      <c r="D80" s="8" t="s">
        <v>83</v>
      </c>
      <c r="E80" s="8" t="n">
        <v>1969</v>
      </c>
      <c r="F80" s="8" t="s">
        <v>53</v>
      </c>
      <c r="G80" s="8" t="s">
        <v>54</v>
      </c>
      <c r="H80" s="8" t="s">
        <v>391</v>
      </c>
      <c r="I80" s="8" t="s">
        <v>56</v>
      </c>
      <c r="J80" s="9" t="n">
        <v>655000</v>
      </c>
      <c r="K80" s="8" t="s">
        <v>319</v>
      </c>
      <c r="L80" s="9" t="n">
        <v>9784.67</v>
      </c>
      <c r="M80" s="9" t="n">
        <v>1223.08</v>
      </c>
      <c r="N80" s="9" t="n">
        <v>1223.08</v>
      </c>
      <c r="O80" s="9" t="n">
        <v>7338.5</v>
      </c>
      <c r="P80" s="9" t="n">
        <v>733.85</v>
      </c>
      <c r="Q80" s="9" t="n">
        <v>733.85</v>
      </c>
      <c r="R80" s="9" t="n">
        <v>733.85</v>
      </c>
      <c r="S80" s="9" t="n">
        <v>733.85</v>
      </c>
      <c r="T80" s="9" t="n">
        <v>733.85</v>
      </c>
      <c r="U80" s="9" t="n">
        <v>733.85</v>
      </c>
      <c r="V80" s="9" t="n">
        <v>733.85</v>
      </c>
      <c r="W80" s="9" t="n">
        <v>733.85</v>
      </c>
      <c r="X80" s="9" t="n">
        <v>733.85</v>
      </c>
      <c r="Y80" s="9" t="n">
        <v>733.85</v>
      </c>
      <c r="Z80" s="9" t="n">
        <v>350</v>
      </c>
      <c r="AA80" s="9" t="n">
        <v>0</v>
      </c>
      <c r="AB80" s="9" t="n">
        <v>350</v>
      </c>
    </row>
    <row r="81" customFormat="false" ht="15" hidden="false" customHeight="false" outlineLevel="0" collapsed="false">
      <c r="A81" s="3" t="s">
        <v>392</v>
      </c>
      <c r="B81" s="3" t="s">
        <v>118</v>
      </c>
      <c r="C81" s="3" t="s">
        <v>96</v>
      </c>
      <c r="D81" s="3" t="s">
        <v>97</v>
      </c>
      <c r="E81" s="3" t="n">
        <v>1967</v>
      </c>
      <c r="F81" s="3" t="s">
        <v>158</v>
      </c>
      <c r="G81" s="3" t="s">
        <v>159</v>
      </c>
      <c r="H81" s="3" t="s">
        <v>393</v>
      </c>
      <c r="I81" s="3" t="s">
        <v>56</v>
      </c>
      <c r="J81" s="7" t="n">
        <v>510000</v>
      </c>
      <c r="K81" s="3" t="s">
        <v>385</v>
      </c>
      <c r="L81" s="7" t="n">
        <v>7318.65</v>
      </c>
      <c r="M81" s="7" t="n">
        <v>914.83</v>
      </c>
      <c r="N81" s="7" t="n">
        <v>914.83</v>
      </c>
      <c r="O81" s="7" t="n">
        <v>5489</v>
      </c>
      <c r="P81" s="7" t="n">
        <v>548.9</v>
      </c>
      <c r="Q81" s="7" t="n">
        <v>548.9</v>
      </c>
      <c r="R81" s="7" t="n">
        <v>548.9</v>
      </c>
      <c r="S81" s="7" t="n">
        <v>548.9</v>
      </c>
      <c r="T81" s="7" t="n">
        <v>548.9</v>
      </c>
      <c r="U81" s="7" t="n">
        <v>548.9</v>
      </c>
      <c r="V81" s="7" t="n">
        <v>548.9</v>
      </c>
      <c r="W81" s="7" t="n">
        <v>548.9</v>
      </c>
      <c r="X81" s="7" t="n">
        <v>548.9</v>
      </c>
      <c r="Y81" s="7" t="n">
        <v>548.9</v>
      </c>
      <c r="Z81" s="7" t="n">
        <v>350</v>
      </c>
      <c r="AA81" s="7" t="n">
        <v>0</v>
      </c>
      <c r="AB81" s="7" t="n">
        <v>350</v>
      </c>
    </row>
    <row r="82" customFormat="false" ht="15" hidden="false" customHeight="false" outlineLevel="0" collapsed="false">
      <c r="A82" s="8" t="s">
        <v>394</v>
      </c>
      <c r="B82" s="8" t="s">
        <v>395</v>
      </c>
      <c r="C82" s="8" t="s">
        <v>306</v>
      </c>
      <c r="D82" s="8" t="s">
        <v>307</v>
      </c>
      <c r="E82" s="8" t="n">
        <v>1955</v>
      </c>
      <c r="F82" s="8" t="s">
        <v>181</v>
      </c>
      <c r="G82" s="8" t="s">
        <v>182</v>
      </c>
      <c r="H82" s="8" t="s">
        <v>396</v>
      </c>
      <c r="I82" s="8" t="s">
        <v>47</v>
      </c>
      <c r="J82" s="9" t="n">
        <v>310000</v>
      </c>
      <c r="K82" s="8" t="s">
        <v>319</v>
      </c>
      <c r="L82" s="9" t="n">
        <v>8193.16</v>
      </c>
      <c r="M82" s="9" t="n">
        <v>1024.14</v>
      </c>
      <c r="N82" s="9" t="n">
        <v>1024.14</v>
      </c>
      <c r="O82" s="9" t="n">
        <v>6144.9</v>
      </c>
      <c r="P82" s="9" t="n">
        <v>614.49</v>
      </c>
      <c r="Q82" s="9" t="n">
        <v>614.49</v>
      </c>
      <c r="R82" s="9" t="n">
        <v>614.49</v>
      </c>
      <c r="S82" s="9" t="n">
        <v>614.49</v>
      </c>
      <c r="T82" s="9" t="n">
        <v>614.49</v>
      </c>
      <c r="U82" s="9" t="n">
        <v>614.49</v>
      </c>
      <c r="V82" s="9" t="n">
        <v>614.49</v>
      </c>
      <c r="W82" s="9" t="n">
        <v>614.49</v>
      </c>
      <c r="X82" s="9" t="n">
        <v>614.49</v>
      </c>
      <c r="Y82" s="9" t="n">
        <v>614.49</v>
      </c>
      <c r="Z82" s="9" t="n">
        <v>350</v>
      </c>
      <c r="AA82" s="9" t="n">
        <v>0</v>
      </c>
      <c r="AB82" s="9" t="n">
        <v>350</v>
      </c>
    </row>
    <row r="83" customFormat="false" ht="15" hidden="false" customHeight="false" outlineLevel="0" collapsed="false">
      <c r="A83" s="3" t="s">
        <v>397</v>
      </c>
      <c r="B83" s="3" t="s">
        <v>398</v>
      </c>
      <c r="C83" s="3" t="s">
        <v>399</v>
      </c>
      <c r="D83" s="3" t="s">
        <v>400</v>
      </c>
      <c r="E83" s="3" t="n">
        <v>1978</v>
      </c>
      <c r="F83" s="3" t="s">
        <v>119</v>
      </c>
      <c r="G83" s="3" t="s">
        <v>120</v>
      </c>
      <c r="H83" s="3" t="s">
        <v>401</v>
      </c>
      <c r="I83" s="3" t="s">
        <v>56</v>
      </c>
      <c r="J83" s="7" t="n">
        <v>990000</v>
      </c>
      <c r="K83" s="3" t="s">
        <v>134</v>
      </c>
      <c r="L83" s="7" t="n">
        <v>14905.5</v>
      </c>
      <c r="M83" s="7" t="n">
        <v>1863.19</v>
      </c>
      <c r="N83" s="7" t="n">
        <v>1863.19</v>
      </c>
      <c r="O83" s="7" t="n">
        <v>11179.1</v>
      </c>
      <c r="P83" s="7" t="n">
        <v>1117.91</v>
      </c>
      <c r="Q83" s="7" t="n">
        <v>1117.91</v>
      </c>
      <c r="R83" s="7" t="n">
        <v>1117.91</v>
      </c>
      <c r="S83" s="7" t="n">
        <v>1117.91</v>
      </c>
      <c r="T83" s="7" t="n">
        <v>1117.91</v>
      </c>
      <c r="U83" s="7" t="n">
        <v>1117.91</v>
      </c>
      <c r="V83" s="7" t="n">
        <v>1117.91</v>
      </c>
      <c r="W83" s="7" t="n">
        <v>1117.91</v>
      </c>
      <c r="X83" s="7" t="n">
        <v>1117.91</v>
      </c>
      <c r="Y83" s="7" t="n">
        <v>1117.91</v>
      </c>
      <c r="Z83" s="7" t="n">
        <v>350</v>
      </c>
      <c r="AA83" s="7" t="n">
        <v>0</v>
      </c>
      <c r="AB83" s="7" t="n">
        <v>350</v>
      </c>
    </row>
    <row r="84" customFormat="false" ht="15" hidden="false" customHeight="false" outlineLevel="0" collapsed="false">
      <c r="A84" s="8" t="s">
        <v>402</v>
      </c>
      <c r="B84" s="8" t="s">
        <v>50</v>
      </c>
      <c r="C84" s="8" t="s">
        <v>87</v>
      </c>
      <c r="D84" s="8" t="s">
        <v>88</v>
      </c>
      <c r="E84" s="8" t="n">
        <v>2001</v>
      </c>
      <c r="F84" s="8" t="s">
        <v>119</v>
      </c>
      <c r="G84" s="8" t="s">
        <v>120</v>
      </c>
      <c r="H84" s="8" t="s">
        <v>403</v>
      </c>
      <c r="I84" s="8" t="s">
        <v>56</v>
      </c>
      <c r="J84" s="9" t="n">
        <v>370000</v>
      </c>
      <c r="K84" s="8" t="s">
        <v>184</v>
      </c>
      <c r="L84" s="9" t="n">
        <v>6226.91</v>
      </c>
      <c r="M84" s="9" t="n">
        <v>778.36</v>
      </c>
      <c r="N84" s="9" t="n">
        <v>778.36</v>
      </c>
      <c r="O84" s="9" t="n">
        <v>4670.2</v>
      </c>
      <c r="P84" s="9" t="n">
        <v>467.02</v>
      </c>
      <c r="Q84" s="9" t="n">
        <v>467.02</v>
      </c>
      <c r="R84" s="9" t="n">
        <v>467.02</v>
      </c>
      <c r="S84" s="9" t="n">
        <v>467.02</v>
      </c>
      <c r="T84" s="9" t="n">
        <v>467.02</v>
      </c>
      <c r="U84" s="9" t="n">
        <v>467.02</v>
      </c>
      <c r="V84" s="9" t="n">
        <v>467.02</v>
      </c>
      <c r="W84" s="9" t="n">
        <v>467.02</v>
      </c>
      <c r="X84" s="9" t="n">
        <v>467.02</v>
      </c>
      <c r="Y84" s="9" t="n">
        <v>467.02</v>
      </c>
      <c r="Z84" s="9" t="n">
        <v>350</v>
      </c>
      <c r="AA84" s="9" t="n">
        <v>0</v>
      </c>
      <c r="AB84" s="9" t="n">
        <v>350</v>
      </c>
    </row>
    <row r="85" customFormat="false" ht="15" hidden="false" customHeight="false" outlineLevel="0" collapsed="false">
      <c r="A85" s="3" t="s">
        <v>404</v>
      </c>
      <c r="B85" s="3" t="s">
        <v>405</v>
      </c>
      <c r="C85" s="3" t="s">
        <v>131</v>
      </c>
      <c r="D85" s="3" t="s">
        <v>132</v>
      </c>
      <c r="E85" s="3" t="n">
        <v>1978</v>
      </c>
      <c r="F85" s="3" t="s">
        <v>53</v>
      </c>
      <c r="G85" s="3" t="s">
        <v>54</v>
      </c>
      <c r="H85" s="3" t="s">
        <v>406</v>
      </c>
      <c r="I85" s="3" t="s">
        <v>56</v>
      </c>
      <c r="J85" s="7" t="n">
        <v>1100000</v>
      </c>
      <c r="K85" s="3" t="s">
        <v>153</v>
      </c>
      <c r="L85" s="7" t="n">
        <v>12590.45</v>
      </c>
      <c r="M85" s="7" t="n">
        <v>1573.81</v>
      </c>
      <c r="N85" s="7" t="n">
        <v>1573.81</v>
      </c>
      <c r="O85" s="7" t="n">
        <v>9442.8</v>
      </c>
      <c r="P85" s="7" t="n">
        <v>944.28</v>
      </c>
      <c r="Q85" s="7" t="n">
        <v>944.28</v>
      </c>
      <c r="R85" s="7" t="n">
        <v>944.28</v>
      </c>
      <c r="S85" s="7" t="n">
        <v>944.28</v>
      </c>
      <c r="T85" s="7" t="n">
        <v>944.28</v>
      </c>
      <c r="U85" s="7" t="n">
        <v>944.28</v>
      </c>
      <c r="V85" s="7" t="n">
        <v>944.28</v>
      </c>
      <c r="W85" s="7" t="n">
        <v>944.28</v>
      </c>
      <c r="X85" s="7" t="n">
        <v>944.28</v>
      </c>
      <c r="Y85" s="7" t="n">
        <v>944.28</v>
      </c>
      <c r="Z85" s="7" t="n">
        <v>350</v>
      </c>
      <c r="AA85" s="7" t="n">
        <v>250</v>
      </c>
      <c r="AB85" s="7" t="n">
        <v>600</v>
      </c>
    </row>
    <row r="86" customFormat="false" ht="15" hidden="false" customHeight="false" outlineLevel="0" collapsed="false">
      <c r="A86" s="8" t="s">
        <v>407</v>
      </c>
      <c r="B86" s="8" t="s">
        <v>408</v>
      </c>
      <c r="C86" s="8" t="s">
        <v>328</v>
      </c>
      <c r="D86" s="8" t="s">
        <v>329</v>
      </c>
      <c r="E86" s="8" t="n">
        <v>1981</v>
      </c>
      <c r="F86" s="8" t="s">
        <v>62</v>
      </c>
      <c r="G86" s="8" t="s">
        <v>105</v>
      </c>
      <c r="H86" s="8" t="s">
        <v>409</v>
      </c>
      <c r="I86" s="8" t="s">
        <v>107</v>
      </c>
      <c r="J86" s="9" t="n">
        <v>1950000</v>
      </c>
      <c r="K86" s="8" t="s">
        <v>149</v>
      </c>
      <c r="L86" s="9" t="n">
        <v>18638.93</v>
      </c>
      <c r="M86" s="9" t="n">
        <v>2329.87</v>
      </c>
      <c r="N86" s="9" t="n">
        <v>2329.87</v>
      </c>
      <c r="O86" s="9" t="n">
        <v>13979.2</v>
      </c>
      <c r="P86" s="9" t="n">
        <v>1397.92</v>
      </c>
      <c r="Q86" s="9" t="n">
        <v>1397.92</v>
      </c>
      <c r="R86" s="9" t="n">
        <v>1397.92</v>
      </c>
      <c r="S86" s="9" t="n">
        <v>1397.92</v>
      </c>
      <c r="T86" s="9" t="n">
        <v>1397.92</v>
      </c>
      <c r="U86" s="9" t="n">
        <v>1397.92</v>
      </c>
      <c r="V86" s="9" t="n">
        <v>1397.92</v>
      </c>
      <c r="W86" s="9" t="n">
        <v>1397.92</v>
      </c>
      <c r="X86" s="9" t="n">
        <v>1397.92</v>
      </c>
      <c r="Y86" s="9" t="n">
        <v>1397.92</v>
      </c>
      <c r="Z86" s="9" t="n">
        <v>350</v>
      </c>
      <c r="AA86" s="9" t="n">
        <v>250</v>
      </c>
      <c r="AB86" s="9" t="n">
        <v>600</v>
      </c>
    </row>
    <row r="87" customFormat="false" ht="15" hidden="false" customHeight="false" outlineLevel="0" collapsed="false">
      <c r="A87" s="3" t="s">
        <v>410</v>
      </c>
      <c r="B87" s="3" t="s">
        <v>411</v>
      </c>
      <c r="C87" s="3" t="s">
        <v>232</v>
      </c>
      <c r="D87" s="3" t="s">
        <v>233</v>
      </c>
      <c r="E87" s="3" t="n">
        <v>1997</v>
      </c>
      <c r="F87" s="3" t="s">
        <v>146</v>
      </c>
      <c r="G87" s="3" t="s">
        <v>147</v>
      </c>
      <c r="H87" s="3" t="s">
        <v>412</v>
      </c>
      <c r="I87" s="3" t="s">
        <v>56</v>
      </c>
      <c r="J87" s="7" t="n">
        <v>420000</v>
      </c>
      <c r="K87" s="3" t="s">
        <v>48</v>
      </c>
      <c r="L87" s="7" t="n">
        <v>6156.34</v>
      </c>
      <c r="M87" s="7" t="n">
        <v>769.54</v>
      </c>
      <c r="N87" s="7" t="n">
        <v>769.54</v>
      </c>
      <c r="O87" s="7" t="n">
        <v>4617.3</v>
      </c>
      <c r="P87" s="7" t="n">
        <v>461.73</v>
      </c>
      <c r="Q87" s="7" t="n">
        <v>461.73</v>
      </c>
      <c r="R87" s="7" t="n">
        <v>461.73</v>
      </c>
      <c r="S87" s="7" t="n">
        <v>461.73</v>
      </c>
      <c r="T87" s="7" t="n">
        <v>461.73</v>
      </c>
      <c r="U87" s="7" t="n">
        <v>461.73</v>
      </c>
      <c r="V87" s="7" t="n">
        <v>461.73</v>
      </c>
      <c r="W87" s="7" t="n">
        <v>461.73</v>
      </c>
      <c r="X87" s="7" t="n">
        <v>461.73</v>
      </c>
      <c r="Y87" s="7" t="n">
        <v>461.73</v>
      </c>
      <c r="Z87" s="7" t="n">
        <v>350</v>
      </c>
      <c r="AA87" s="7" t="n">
        <v>0</v>
      </c>
      <c r="AB87" s="7" t="n">
        <v>350</v>
      </c>
    </row>
    <row r="88" customFormat="false" ht="15" hidden="false" customHeight="false" outlineLevel="0" collapsed="false">
      <c r="A88" s="8" t="s">
        <v>413</v>
      </c>
      <c r="B88" s="8" t="s">
        <v>414</v>
      </c>
      <c r="C88" s="8" t="s">
        <v>187</v>
      </c>
      <c r="D88" s="8" t="s">
        <v>188</v>
      </c>
      <c r="E88" s="8" t="n">
        <v>1970</v>
      </c>
      <c r="F88" s="8" t="s">
        <v>89</v>
      </c>
      <c r="G88" s="8" t="s">
        <v>90</v>
      </c>
      <c r="H88" s="8" t="s">
        <v>415</v>
      </c>
      <c r="I88" s="8" t="s">
        <v>92</v>
      </c>
      <c r="J88" s="9" t="n">
        <v>1015000</v>
      </c>
      <c r="K88" s="8" t="s">
        <v>315</v>
      </c>
      <c r="L88" s="9" t="n">
        <v>16486.82</v>
      </c>
      <c r="M88" s="9" t="n">
        <v>2060.85</v>
      </c>
      <c r="N88" s="9" t="n">
        <v>2060.85</v>
      </c>
      <c r="O88" s="9" t="n">
        <v>12365.1</v>
      </c>
      <c r="P88" s="9" t="n">
        <v>1236.51</v>
      </c>
      <c r="Q88" s="9" t="n">
        <v>1236.51</v>
      </c>
      <c r="R88" s="9" t="n">
        <v>1236.51</v>
      </c>
      <c r="S88" s="9" t="n">
        <v>1236.51</v>
      </c>
      <c r="T88" s="9" t="n">
        <v>1236.51</v>
      </c>
      <c r="U88" s="9" t="n">
        <v>1236.51</v>
      </c>
      <c r="V88" s="9" t="n">
        <v>1236.51</v>
      </c>
      <c r="W88" s="9" t="n">
        <v>1236.51</v>
      </c>
      <c r="X88" s="9" t="n">
        <v>1236.51</v>
      </c>
      <c r="Y88" s="9" t="n">
        <v>1236.51</v>
      </c>
      <c r="Z88" s="9" t="n">
        <v>350</v>
      </c>
      <c r="AA88" s="9" t="n">
        <v>250</v>
      </c>
      <c r="AB88" s="9" t="n">
        <v>600</v>
      </c>
    </row>
    <row r="89" customFormat="false" ht="15" hidden="false" customHeight="false" outlineLevel="0" collapsed="false">
      <c r="A89" s="3" t="s">
        <v>416</v>
      </c>
      <c r="B89" s="3" t="s">
        <v>417</v>
      </c>
      <c r="C89" s="3" t="s">
        <v>249</v>
      </c>
      <c r="D89" s="3" t="s">
        <v>250</v>
      </c>
      <c r="E89" s="3" t="n">
        <v>1962</v>
      </c>
      <c r="F89" s="3" t="s">
        <v>53</v>
      </c>
      <c r="G89" s="3" t="s">
        <v>54</v>
      </c>
      <c r="H89" s="3" t="s">
        <v>418</v>
      </c>
      <c r="I89" s="3" t="s">
        <v>56</v>
      </c>
      <c r="J89" s="7" t="n">
        <v>865000</v>
      </c>
      <c r="K89" s="3" t="s">
        <v>210</v>
      </c>
      <c r="L89" s="7" t="n">
        <v>13735.71</v>
      </c>
      <c r="M89" s="7" t="n">
        <v>1716.96</v>
      </c>
      <c r="N89" s="7" t="n">
        <v>1716.96</v>
      </c>
      <c r="O89" s="7" t="n">
        <v>10301.8</v>
      </c>
      <c r="P89" s="7" t="n">
        <v>1030.18</v>
      </c>
      <c r="Q89" s="7" t="n">
        <v>1030.18</v>
      </c>
      <c r="R89" s="7" t="n">
        <v>1030.18</v>
      </c>
      <c r="S89" s="7" t="n">
        <v>1030.18</v>
      </c>
      <c r="T89" s="7" t="n">
        <v>1030.18</v>
      </c>
      <c r="U89" s="7" t="n">
        <v>1030.18</v>
      </c>
      <c r="V89" s="7" t="n">
        <v>1030.18</v>
      </c>
      <c r="W89" s="7" t="n">
        <v>1030.18</v>
      </c>
      <c r="X89" s="7" t="n">
        <v>1030.18</v>
      </c>
      <c r="Y89" s="7" t="n">
        <v>1030.18</v>
      </c>
      <c r="Z89" s="7" t="n">
        <v>350</v>
      </c>
      <c r="AA89" s="7" t="n">
        <v>0</v>
      </c>
      <c r="AB89" s="7" t="n">
        <v>350</v>
      </c>
    </row>
    <row r="90" customFormat="false" ht="15" hidden="false" customHeight="false" outlineLevel="0" collapsed="false">
      <c r="A90" s="8" t="s">
        <v>419</v>
      </c>
      <c r="B90" s="8" t="s">
        <v>420</v>
      </c>
      <c r="C90" s="8" t="s">
        <v>68</v>
      </c>
      <c r="D90" s="8" t="s">
        <v>69</v>
      </c>
      <c r="E90" s="8" t="n">
        <v>2011</v>
      </c>
      <c r="F90" s="8" t="s">
        <v>70</v>
      </c>
      <c r="G90" s="8" t="s">
        <v>71</v>
      </c>
      <c r="H90" s="8" t="s">
        <v>421</v>
      </c>
      <c r="I90" s="8" t="s">
        <v>56</v>
      </c>
      <c r="J90" s="9" t="n">
        <v>330000</v>
      </c>
      <c r="K90" s="8" t="s">
        <v>235</v>
      </c>
      <c r="L90" s="9" t="n">
        <v>5240.22</v>
      </c>
      <c r="M90" s="9" t="n">
        <v>655.03</v>
      </c>
      <c r="N90" s="9" t="n">
        <v>655.03</v>
      </c>
      <c r="O90" s="9" t="n">
        <v>3930.2</v>
      </c>
      <c r="P90" s="9" t="n">
        <v>393.02</v>
      </c>
      <c r="Q90" s="9" t="n">
        <v>393.02</v>
      </c>
      <c r="R90" s="9" t="n">
        <v>393.02</v>
      </c>
      <c r="S90" s="9" t="n">
        <v>393.02</v>
      </c>
      <c r="T90" s="9" t="n">
        <v>393.02</v>
      </c>
      <c r="U90" s="9" t="n">
        <v>393.02</v>
      </c>
      <c r="V90" s="9" t="n">
        <v>393.02</v>
      </c>
      <c r="W90" s="9" t="n">
        <v>393.02</v>
      </c>
      <c r="X90" s="9" t="n">
        <v>393.02</v>
      </c>
      <c r="Y90" s="9" t="n">
        <v>393.02</v>
      </c>
      <c r="Z90" s="9" t="n">
        <v>350</v>
      </c>
      <c r="AA90" s="9" t="n">
        <v>0</v>
      </c>
      <c r="AB90" s="9" t="n">
        <v>350</v>
      </c>
    </row>
    <row r="91" customFormat="false" ht="15" hidden="false" customHeight="false" outlineLevel="0" collapsed="false">
      <c r="A91" s="3" t="s">
        <v>422</v>
      </c>
      <c r="B91" s="3" t="s">
        <v>423</v>
      </c>
      <c r="C91" s="3" t="s">
        <v>111</v>
      </c>
      <c r="D91" s="3" t="s">
        <v>112</v>
      </c>
      <c r="E91" s="3" t="n">
        <v>1996</v>
      </c>
      <c r="F91" s="3" t="s">
        <v>424</v>
      </c>
      <c r="G91" s="3" t="s">
        <v>425</v>
      </c>
      <c r="H91" s="3" t="s">
        <v>426</v>
      </c>
      <c r="I91" s="3" t="s">
        <v>273</v>
      </c>
      <c r="J91" s="7" t="n">
        <v>380000</v>
      </c>
      <c r="K91" s="3" t="s">
        <v>252</v>
      </c>
      <c r="L91" s="7" t="n">
        <v>3292.5</v>
      </c>
      <c r="M91" s="7" t="n">
        <v>411.56</v>
      </c>
      <c r="N91" s="7" t="n">
        <v>411.56</v>
      </c>
      <c r="O91" s="7" t="n">
        <v>2469.4</v>
      </c>
      <c r="P91" s="7" t="n">
        <v>246.94</v>
      </c>
      <c r="Q91" s="7" t="n">
        <v>246.94</v>
      </c>
      <c r="R91" s="7" t="n">
        <v>246.94</v>
      </c>
      <c r="S91" s="7" t="n">
        <v>246.94</v>
      </c>
      <c r="T91" s="7" t="n">
        <v>246.94</v>
      </c>
      <c r="U91" s="7" t="n">
        <v>246.94</v>
      </c>
      <c r="V91" s="7" t="n">
        <v>246.94</v>
      </c>
      <c r="W91" s="7" t="n">
        <v>246.94</v>
      </c>
      <c r="X91" s="7" t="n">
        <v>246.94</v>
      </c>
      <c r="Y91" s="7" t="n">
        <v>246.94</v>
      </c>
      <c r="Z91" s="7" t="n">
        <v>350</v>
      </c>
      <c r="AA91" s="7" t="n">
        <v>0</v>
      </c>
      <c r="AB91" s="7" t="n">
        <v>350</v>
      </c>
    </row>
    <row r="92" customFormat="false" ht="15" hidden="false" customHeight="false" outlineLevel="0" collapsed="false">
      <c r="A92" s="8" t="s">
        <v>427</v>
      </c>
      <c r="B92" s="8" t="s">
        <v>428</v>
      </c>
      <c r="C92" s="8" t="s">
        <v>374</v>
      </c>
      <c r="D92" s="8" t="s">
        <v>375</v>
      </c>
      <c r="E92" s="8" t="n">
        <v>1974</v>
      </c>
      <c r="F92" s="8" t="s">
        <v>62</v>
      </c>
      <c r="G92" s="8" t="s">
        <v>98</v>
      </c>
      <c r="H92" s="8" t="s">
        <v>429</v>
      </c>
      <c r="I92" s="8" t="s">
        <v>47</v>
      </c>
      <c r="J92" s="9" t="n">
        <v>780000</v>
      </c>
      <c r="K92" s="8" t="s">
        <v>122</v>
      </c>
      <c r="L92" s="9" t="n">
        <v>18504.84</v>
      </c>
      <c r="M92" s="9" t="n">
        <v>2313.11</v>
      </c>
      <c r="N92" s="9" t="n">
        <v>2313.11</v>
      </c>
      <c r="O92" s="9" t="n">
        <v>13878.6</v>
      </c>
      <c r="P92" s="9" t="n">
        <v>1387.86</v>
      </c>
      <c r="Q92" s="9" t="n">
        <v>1387.86</v>
      </c>
      <c r="R92" s="9" t="n">
        <v>1387.86</v>
      </c>
      <c r="S92" s="9" t="n">
        <v>1387.86</v>
      </c>
      <c r="T92" s="9" t="n">
        <v>1387.86</v>
      </c>
      <c r="U92" s="9" t="n">
        <v>1387.86</v>
      </c>
      <c r="V92" s="9" t="n">
        <v>1387.86</v>
      </c>
      <c r="W92" s="9" t="n">
        <v>1387.86</v>
      </c>
      <c r="X92" s="9" t="n">
        <v>1387.86</v>
      </c>
      <c r="Y92" s="9" t="n">
        <v>1387.86</v>
      </c>
      <c r="Z92" s="9" t="n">
        <v>350</v>
      </c>
      <c r="AA92" s="9" t="n">
        <v>0</v>
      </c>
      <c r="AB92" s="9" t="n">
        <v>350</v>
      </c>
    </row>
    <row r="93" customFormat="false" ht="15" hidden="false" customHeight="false" outlineLevel="0" collapsed="false">
      <c r="A93" s="3" t="s">
        <v>430</v>
      </c>
      <c r="B93" s="3" t="s">
        <v>431</v>
      </c>
      <c r="C93" s="3" t="s">
        <v>68</v>
      </c>
      <c r="D93" s="3" t="s">
        <v>69</v>
      </c>
      <c r="E93" s="3" t="n">
        <v>1956</v>
      </c>
      <c r="F93" s="3" t="s">
        <v>158</v>
      </c>
      <c r="G93" s="3" t="s">
        <v>159</v>
      </c>
      <c r="H93" s="3" t="s">
        <v>432</v>
      </c>
      <c r="I93" s="3" t="s">
        <v>56</v>
      </c>
      <c r="J93" s="7" t="n">
        <v>670000</v>
      </c>
      <c r="K93" s="3" t="s">
        <v>210</v>
      </c>
      <c r="L93" s="7" t="n">
        <v>10639.22</v>
      </c>
      <c r="M93" s="7" t="n">
        <v>1329.9</v>
      </c>
      <c r="N93" s="7" t="n">
        <v>1329.9</v>
      </c>
      <c r="O93" s="7" t="n">
        <v>7979.4</v>
      </c>
      <c r="P93" s="7" t="n">
        <v>797.94</v>
      </c>
      <c r="Q93" s="7" t="n">
        <v>797.94</v>
      </c>
      <c r="R93" s="7" t="n">
        <v>797.94</v>
      </c>
      <c r="S93" s="7" t="n">
        <v>797.94</v>
      </c>
      <c r="T93" s="7" t="n">
        <v>797.94</v>
      </c>
      <c r="U93" s="7" t="n">
        <v>797.94</v>
      </c>
      <c r="V93" s="7" t="n">
        <v>797.94</v>
      </c>
      <c r="W93" s="7" t="n">
        <v>797.94</v>
      </c>
      <c r="X93" s="7" t="n">
        <v>797.94</v>
      </c>
      <c r="Y93" s="7" t="n">
        <v>797.94</v>
      </c>
      <c r="Z93" s="7" t="n">
        <v>350</v>
      </c>
      <c r="AA93" s="7" t="n">
        <v>0</v>
      </c>
      <c r="AB93" s="7" t="n">
        <v>350</v>
      </c>
    </row>
    <row r="94" customFormat="false" ht="15" hidden="false" customHeight="false" outlineLevel="0" collapsed="false">
      <c r="A94" s="8" t="s">
        <v>433</v>
      </c>
      <c r="B94" s="8" t="s">
        <v>373</v>
      </c>
      <c r="C94" s="8" t="s">
        <v>42</v>
      </c>
      <c r="D94" s="8" t="s">
        <v>43</v>
      </c>
      <c r="E94" s="8" t="n">
        <v>1991</v>
      </c>
      <c r="F94" s="8" t="s">
        <v>146</v>
      </c>
      <c r="G94" s="8" t="s">
        <v>147</v>
      </c>
      <c r="H94" s="8" t="s">
        <v>434</v>
      </c>
      <c r="I94" s="8" t="s">
        <v>56</v>
      </c>
      <c r="J94" s="9" t="n">
        <v>745000</v>
      </c>
      <c r="K94" s="8" t="s">
        <v>134</v>
      </c>
      <c r="L94" s="9" t="n">
        <v>11216.76</v>
      </c>
      <c r="M94" s="9" t="n">
        <v>1402.1</v>
      </c>
      <c r="N94" s="9" t="n">
        <v>1402.1</v>
      </c>
      <c r="O94" s="9" t="n">
        <v>8412.6</v>
      </c>
      <c r="P94" s="9" t="n">
        <v>841.26</v>
      </c>
      <c r="Q94" s="9" t="n">
        <v>841.26</v>
      </c>
      <c r="R94" s="9" t="n">
        <v>841.26</v>
      </c>
      <c r="S94" s="9" t="n">
        <v>841.26</v>
      </c>
      <c r="T94" s="9" t="n">
        <v>841.26</v>
      </c>
      <c r="U94" s="9" t="n">
        <v>841.26</v>
      </c>
      <c r="V94" s="9" t="n">
        <v>841.26</v>
      </c>
      <c r="W94" s="9" t="n">
        <v>841.26</v>
      </c>
      <c r="X94" s="9" t="n">
        <v>841.26</v>
      </c>
      <c r="Y94" s="9" t="n">
        <v>841.26</v>
      </c>
      <c r="Z94" s="9" t="n">
        <v>350</v>
      </c>
      <c r="AA94" s="9" t="n">
        <v>0</v>
      </c>
      <c r="AB94" s="9" t="n">
        <v>350</v>
      </c>
    </row>
    <row r="95" customFormat="false" ht="15" hidden="false" customHeight="false" outlineLevel="0" collapsed="false">
      <c r="A95" s="3" t="s">
        <v>435</v>
      </c>
      <c r="B95" s="3" t="s">
        <v>436</v>
      </c>
      <c r="C95" s="3" t="s">
        <v>276</v>
      </c>
      <c r="D95" s="3" t="s">
        <v>277</v>
      </c>
      <c r="E95" s="3" t="n">
        <v>1986</v>
      </c>
      <c r="F95" s="3" t="s">
        <v>113</v>
      </c>
      <c r="G95" s="3" t="s">
        <v>114</v>
      </c>
      <c r="H95" s="3" t="s">
        <v>437</v>
      </c>
      <c r="I95" s="3" t="s">
        <v>56</v>
      </c>
      <c r="J95" s="7" t="n">
        <v>555000</v>
      </c>
      <c r="K95" s="3" t="s">
        <v>153</v>
      </c>
      <c r="L95" s="7" t="n">
        <v>7507.44</v>
      </c>
      <c r="M95" s="7" t="n">
        <v>938.43</v>
      </c>
      <c r="N95" s="7" t="n">
        <v>938.43</v>
      </c>
      <c r="O95" s="7" t="n">
        <v>5630.6</v>
      </c>
      <c r="P95" s="7" t="n">
        <v>563.06</v>
      </c>
      <c r="Q95" s="7" t="n">
        <v>563.06</v>
      </c>
      <c r="R95" s="7" t="n">
        <v>563.06</v>
      </c>
      <c r="S95" s="7" t="n">
        <v>563.06</v>
      </c>
      <c r="T95" s="7" t="n">
        <v>563.06</v>
      </c>
      <c r="U95" s="7" t="n">
        <v>563.06</v>
      </c>
      <c r="V95" s="7" t="n">
        <v>563.06</v>
      </c>
      <c r="W95" s="7" t="n">
        <v>563.06</v>
      </c>
      <c r="X95" s="7" t="n">
        <v>563.06</v>
      </c>
      <c r="Y95" s="7" t="n">
        <v>563.06</v>
      </c>
      <c r="Z95" s="7" t="n">
        <v>350</v>
      </c>
      <c r="AA95" s="7" t="n">
        <v>0</v>
      </c>
      <c r="AB95" s="7" t="n">
        <v>350</v>
      </c>
    </row>
    <row r="96" customFormat="false" ht="15" hidden="false" customHeight="false" outlineLevel="0" collapsed="false">
      <c r="A96" s="8" t="s">
        <v>438</v>
      </c>
      <c r="B96" s="8" t="s">
        <v>439</v>
      </c>
      <c r="C96" s="8" t="s">
        <v>125</v>
      </c>
      <c r="D96" s="8" t="s">
        <v>126</v>
      </c>
      <c r="E96" s="8" t="n">
        <v>1972</v>
      </c>
      <c r="F96" s="8" t="s">
        <v>53</v>
      </c>
      <c r="G96" s="8" t="s">
        <v>54</v>
      </c>
      <c r="H96" s="8" t="s">
        <v>440</v>
      </c>
      <c r="I96" s="8" t="s">
        <v>56</v>
      </c>
      <c r="J96" s="9" t="n">
        <v>300000</v>
      </c>
      <c r="K96" s="8" t="s">
        <v>441</v>
      </c>
      <c r="L96" s="9" t="n">
        <v>3908.78</v>
      </c>
      <c r="M96" s="9" t="n">
        <v>488.6</v>
      </c>
      <c r="N96" s="9" t="n">
        <v>488.6</v>
      </c>
      <c r="O96" s="9" t="n">
        <v>2931.6</v>
      </c>
      <c r="P96" s="9" t="n">
        <v>293.16</v>
      </c>
      <c r="Q96" s="9" t="n">
        <v>293.16</v>
      </c>
      <c r="R96" s="9" t="n">
        <v>293.16</v>
      </c>
      <c r="S96" s="9" t="n">
        <v>293.16</v>
      </c>
      <c r="T96" s="9" t="n">
        <v>293.16</v>
      </c>
      <c r="U96" s="9" t="n">
        <v>293.16</v>
      </c>
      <c r="V96" s="9" t="n">
        <v>293.16</v>
      </c>
      <c r="W96" s="9" t="n">
        <v>293.16</v>
      </c>
      <c r="X96" s="9" t="n">
        <v>293.16</v>
      </c>
      <c r="Y96" s="9" t="n">
        <v>293.16</v>
      </c>
      <c r="Z96" s="9" t="n">
        <v>350</v>
      </c>
      <c r="AA96" s="9" t="n">
        <v>0</v>
      </c>
      <c r="AB96" s="9" t="n">
        <v>350</v>
      </c>
    </row>
    <row r="97" customFormat="false" ht="15" hidden="false" customHeight="false" outlineLevel="0" collapsed="false">
      <c r="A97" s="3" t="s">
        <v>442</v>
      </c>
      <c r="B97" s="3" t="s">
        <v>443</v>
      </c>
      <c r="C97" s="3" t="s">
        <v>328</v>
      </c>
      <c r="D97" s="3" t="s">
        <v>329</v>
      </c>
      <c r="E97" s="3" t="n">
        <v>2016</v>
      </c>
      <c r="F97" s="3" t="s">
        <v>62</v>
      </c>
      <c r="G97" s="3" t="s">
        <v>63</v>
      </c>
      <c r="H97" s="3" t="s">
        <v>444</v>
      </c>
      <c r="I97" s="3" t="s">
        <v>47</v>
      </c>
      <c r="J97" s="7" t="n">
        <v>1405000</v>
      </c>
      <c r="K97" s="3" t="s">
        <v>337</v>
      </c>
      <c r="L97" s="7" t="n">
        <v>27459.22</v>
      </c>
      <c r="M97" s="7" t="n">
        <v>3432.4</v>
      </c>
      <c r="N97" s="7" t="n">
        <v>3432.4</v>
      </c>
      <c r="O97" s="7" t="n">
        <v>20594.4</v>
      </c>
      <c r="P97" s="7" t="n">
        <v>2059.44</v>
      </c>
      <c r="Q97" s="7" t="n">
        <v>2059.44</v>
      </c>
      <c r="R97" s="7" t="n">
        <v>2059.44</v>
      </c>
      <c r="S97" s="7" t="n">
        <v>2059.44</v>
      </c>
      <c r="T97" s="7" t="n">
        <v>2059.44</v>
      </c>
      <c r="U97" s="7" t="n">
        <v>2059.44</v>
      </c>
      <c r="V97" s="7" t="n">
        <v>2059.44</v>
      </c>
      <c r="W97" s="7" t="n">
        <v>2059.44</v>
      </c>
      <c r="X97" s="7" t="n">
        <v>2059.44</v>
      </c>
      <c r="Y97" s="7" t="n">
        <v>2059.44</v>
      </c>
      <c r="Z97" s="7" t="n">
        <v>350</v>
      </c>
      <c r="AA97" s="7" t="n">
        <v>250</v>
      </c>
      <c r="AB97" s="7" t="n">
        <v>600</v>
      </c>
    </row>
    <row r="98" customFormat="false" ht="15" hidden="false" customHeight="false" outlineLevel="0" collapsed="false">
      <c r="A98" s="8" t="s">
        <v>445</v>
      </c>
      <c r="B98" s="8" t="s">
        <v>446</v>
      </c>
      <c r="C98" s="8" t="s">
        <v>111</v>
      </c>
      <c r="D98" s="8" t="s">
        <v>112</v>
      </c>
      <c r="E98" s="8" t="n">
        <v>1987</v>
      </c>
      <c r="F98" s="8" t="s">
        <v>70</v>
      </c>
      <c r="G98" s="8" t="s">
        <v>71</v>
      </c>
      <c r="H98" s="8" t="s">
        <v>447</v>
      </c>
      <c r="I98" s="8" t="s">
        <v>56</v>
      </c>
      <c r="J98" s="9" t="n">
        <v>530000</v>
      </c>
      <c r="K98" s="8" t="s">
        <v>134</v>
      </c>
      <c r="L98" s="9" t="n">
        <v>7979.71</v>
      </c>
      <c r="M98" s="9" t="n">
        <v>997.46</v>
      </c>
      <c r="N98" s="9" t="n">
        <v>997.46</v>
      </c>
      <c r="O98" s="9" t="n">
        <v>5984.8</v>
      </c>
      <c r="P98" s="9" t="n">
        <v>598.48</v>
      </c>
      <c r="Q98" s="9" t="n">
        <v>598.48</v>
      </c>
      <c r="R98" s="9" t="n">
        <v>598.48</v>
      </c>
      <c r="S98" s="9" t="n">
        <v>598.48</v>
      </c>
      <c r="T98" s="9" t="n">
        <v>598.48</v>
      </c>
      <c r="U98" s="9" t="n">
        <v>598.48</v>
      </c>
      <c r="V98" s="9" t="n">
        <v>598.48</v>
      </c>
      <c r="W98" s="9" t="n">
        <v>598.48</v>
      </c>
      <c r="X98" s="9" t="n">
        <v>598.48</v>
      </c>
      <c r="Y98" s="9" t="n">
        <v>598.48</v>
      </c>
      <c r="Z98" s="9" t="n">
        <v>350</v>
      </c>
      <c r="AA98" s="9" t="n">
        <v>0</v>
      </c>
      <c r="AB98" s="9" t="n">
        <v>350</v>
      </c>
    </row>
    <row r="99" customFormat="false" ht="15" hidden="false" customHeight="false" outlineLevel="0" collapsed="false">
      <c r="A99" s="3" t="s">
        <v>448</v>
      </c>
      <c r="B99" s="3" t="s">
        <v>449</v>
      </c>
      <c r="C99" s="3" t="s">
        <v>103</v>
      </c>
      <c r="D99" s="3" t="s">
        <v>104</v>
      </c>
      <c r="E99" s="3" t="n">
        <v>1970</v>
      </c>
      <c r="F99" s="3" t="s">
        <v>62</v>
      </c>
      <c r="G99" s="3" t="s">
        <v>63</v>
      </c>
      <c r="H99" s="3" t="s">
        <v>450</v>
      </c>
      <c r="I99" s="3" t="s">
        <v>47</v>
      </c>
      <c r="J99" s="7" t="n">
        <v>1145000</v>
      </c>
      <c r="K99" s="3" t="s">
        <v>229</v>
      </c>
      <c r="L99" s="7" t="n">
        <v>15084.29</v>
      </c>
      <c r="M99" s="7" t="n">
        <v>1885.54</v>
      </c>
      <c r="N99" s="7" t="n">
        <v>1885.54</v>
      </c>
      <c r="O99" s="7" t="n">
        <v>11313.2</v>
      </c>
      <c r="P99" s="7" t="n">
        <v>1131.32</v>
      </c>
      <c r="Q99" s="7" t="n">
        <v>1131.32</v>
      </c>
      <c r="R99" s="7" t="n">
        <v>1131.32</v>
      </c>
      <c r="S99" s="7" t="n">
        <v>1131.32</v>
      </c>
      <c r="T99" s="7" t="n">
        <v>1131.32</v>
      </c>
      <c r="U99" s="7" t="n">
        <v>1131.32</v>
      </c>
      <c r="V99" s="7" t="n">
        <v>1131.32</v>
      </c>
      <c r="W99" s="7" t="n">
        <v>1131.32</v>
      </c>
      <c r="X99" s="7" t="n">
        <v>1131.32</v>
      </c>
      <c r="Y99" s="7" t="n">
        <v>1131.32</v>
      </c>
      <c r="Z99" s="7" t="n">
        <v>350</v>
      </c>
      <c r="AA99" s="7" t="n">
        <v>250</v>
      </c>
      <c r="AB99" s="7" t="n">
        <v>600</v>
      </c>
    </row>
    <row r="100" customFormat="false" ht="15" hidden="false" customHeight="false" outlineLevel="0" collapsed="false">
      <c r="A100" s="8" t="s">
        <v>451</v>
      </c>
      <c r="B100" s="8" t="s">
        <v>452</v>
      </c>
      <c r="C100" s="8" t="s">
        <v>238</v>
      </c>
      <c r="D100" s="8" t="s">
        <v>239</v>
      </c>
      <c r="E100" s="8" t="n">
        <v>1990</v>
      </c>
      <c r="F100" s="8" t="s">
        <v>119</v>
      </c>
      <c r="G100" s="8" t="s">
        <v>120</v>
      </c>
      <c r="H100" s="8" t="s">
        <v>453</v>
      </c>
      <c r="I100" s="8" t="s">
        <v>56</v>
      </c>
      <c r="J100" s="9" t="n">
        <v>600000</v>
      </c>
      <c r="K100" s="8" t="s">
        <v>454</v>
      </c>
      <c r="L100" s="9" t="n">
        <v>8469.04</v>
      </c>
      <c r="M100" s="9" t="n">
        <v>1058.63</v>
      </c>
      <c r="N100" s="9" t="n">
        <v>1058.63</v>
      </c>
      <c r="O100" s="9" t="n">
        <v>6351.8</v>
      </c>
      <c r="P100" s="9" t="n">
        <v>635.18</v>
      </c>
      <c r="Q100" s="9" t="n">
        <v>635.18</v>
      </c>
      <c r="R100" s="9" t="n">
        <v>635.18</v>
      </c>
      <c r="S100" s="9" t="n">
        <v>635.18</v>
      </c>
      <c r="T100" s="9" t="n">
        <v>635.18</v>
      </c>
      <c r="U100" s="9" t="n">
        <v>635.18</v>
      </c>
      <c r="V100" s="9" t="n">
        <v>635.18</v>
      </c>
      <c r="W100" s="9" t="n">
        <v>635.18</v>
      </c>
      <c r="X100" s="9" t="n">
        <v>635.18</v>
      </c>
      <c r="Y100" s="9" t="n">
        <v>635.18</v>
      </c>
      <c r="Z100" s="9" t="n">
        <v>350</v>
      </c>
      <c r="AA100" s="9" t="n">
        <v>0</v>
      </c>
      <c r="AB100" s="9" t="n">
        <v>350</v>
      </c>
    </row>
    <row r="101" customFormat="false" ht="15" hidden="false" customHeight="false" outlineLevel="0" collapsed="false">
      <c r="A101" s="3" t="s">
        <v>455</v>
      </c>
      <c r="B101" s="3" t="s">
        <v>456</v>
      </c>
      <c r="C101" s="3" t="s">
        <v>76</v>
      </c>
      <c r="D101" s="3" t="s">
        <v>77</v>
      </c>
      <c r="E101" s="3" t="n">
        <v>1971</v>
      </c>
      <c r="F101" s="3" t="s">
        <v>53</v>
      </c>
      <c r="G101" s="3" t="s">
        <v>54</v>
      </c>
      <c r="H101" s="3" t="s">
        <v>457</v>
      </c>
      <c r="I101" s="3" t="s">
        <v>56</v>
      </c>
      <c r="J101" s="7" t="n">
        <v>645000</v>
      </c>
      <c r="K101" s="3" t="s">
        <v>210</v>
      </c>
      <c r="L101" s="7" t="n">
        <v>10242.24</v>
      </c>
      <c r="M101" s="7" t="n">
        <v>1280.28</v>
      </c>
      <c r="N101" s="7" t="n">
        <v>1280.28</v>
      </c>
      <c r="O101" s="7" t="n">
        <v>7681.7</v>
      </c>
      <c r="P101" s="7" t="n">
        <v>768.17</v>
      </c>
      <c r="Q101" s="7" t="n">
        <v>768.17</v>
      </c>
      <c r="R101" s="7" t="n">
        <v>768.17</v>
      </c>
      <c r="S101" s="7" t="n">
        <v>768.17</v>
      </c>
      <c r="T101" s="7" t="n">
        <v>768.17</v>
      </c>
      <c r="U101" s="7" t="n">
        <v>768.17</v>
      </c>
      <c r="V101" s="7" t="n">
        <v>768.17</v>
      </c>
      <c r="W101" s="7" t="n">
        <v>768.17</v>
      </c>
      <c r="X101" s="7" t="n">
        <v>768.17</v>
      </c>
      <c r="Y101" s="7" t="n">
        <v>768.17</v>
      </c>
      <c r="Z101" s="7" t="n">
        <v>350</v>
      </c>
      <c r="AA101" s="7" t="n">
        <v>0</v>
      </c>
      <c r="AB101" s="7" t="n">
        <v>350</v>
      </c>
    </row>
    <row r="102" customFormat="false" ht="15" hidden="false" customHeight="false" outlineLevel="0" collapsed="false">
      <c r="A102" s="8" t="s">
        <v>458</v>
      </c>
      <c r="B102" s="8" t="s">
        <v>459</v>
      </c>
      <c r="C102" s="8" t="s">
        <v>374</v>
      </c>
      <c r="D102" s="8" t="s">
        <v>375</v>
      </c>
      <c r="E102" s="8" t="n">
        <v>1978</v>
      </c>
      <c r="F102" s="8" t="s">
        <v>119</v>
      </c>
      <c r="G102" s="8" t="s">
        <v>120</v>
      </c>
      <c r="H102" s="8" t="s">
        <v>460</v>
      </c>
      <c r="I102" s="8" t="s">
        <v>56</v>
      </c>
      <c r="J102" s="9" t="n">
        <v>505000</v>
      </c>
      <c r="K102" s="8" t="s">
        <v>461</v>
      </c>
      <c r="L102" s="9" t="n">
        <v>6652.89</v>
      </c>
      <c r="M102" s="9" t="n">
        <v>831.61</v>
      </c>
      <c r="N102" s="9" t="n">
        <v>831.61</v>
      </c>
      <c r="O102" s="9" t="n">
        <v>4989.7</v>
      </c>
      <c r="P102" s="9" t="n">
        <v>498.97</v>
      </c>
      <c r="Q102" s="9" t="n">
        <v>498.97</v>
      </c>
      <c r="R102" s="9" t="n">
        <v>498.97</v>
      </c>
      <c r="S102" s="9" t="n">
        <v>498.97</v>
      </c>
      <c r="T102" s="9" t="n">
        <v>498.97</v>
      </c>
      <c r="U102" s="9" t="n">
        <v>498.97</v>
      </c>
      <c r="V102" s="9" t="n">
        <v>498.97</v>
      </c>
      <c r="W102" s="9" t="n">
        <v>498.97</v>
      </c>
      <c r="X102" s="9" t="n">
        <v>498.97</v>
      </c>
      <c r="Y102" s="9" t="n">
        <v>498.97</v>
      </c>
      <c r="Z102" s="9" t="n">
        <v>350</v>
      </c>
      <c r="AA102" s="9" t="n">
        <v>0</v>
      </c>
      <c r="AB102" s="9" t="n">
        <v>350</v>
      </c>
    </row>
    <row r="103" customFormat="false" ht="15" hidden="false" customHeight="false" outlineLevel="0" collapsed="false">
      <c r="A103" s="3" t="s">
        <v>462</v>
      </c>
      <c r="B103" s="3" t="s">
        <v>463</v>
      </c>
      <c r="C103" s="3" t="s">
        <v>96</v>
      </c>
      <c r="D103" s="3" t="s">
        <v>97</v>
      </c>
      <c r="E103" s="3" t="n">
        <v>2021</v>
      </c>
      <c r="F103" s="3" t="s">
        <v>70</v>
      </c>
      <c r="G103" s="3" t="s">
        <v>71</v>
      </c>
      <c r="H103" s="3" t="s">
        <v>464</v>
      </c>
      <c r="I103" s="3" t="s">
        <v>56</v>
      </c>
      <c r="J103" s="7" t="n">
        <v>315000</v>
      </c>
      <c r="K103" s="3" t="s">
        <v>217</v>
      </c>
      <c r="L103" s="7" t="n">
        <v>4189.73</v>
      </c>
      <c r="M103" s="7" t="n">
        <v>523.72</v>
      </c>
      <c r="N103" s="7" t="n">
        <v>523.72</v>
      </c>
      <c r="O103" s="7" t="n">
        <v>3142.3</v>
      </c>
      <c r="P103" s="7" t="n">
        <v>314.23</v>
      </c>
      <c r="Q103" s="7" t="n">
        <v>314.23</v>
      </c>
      <c r="R103" s="7" t="n">
        <v>314.23</v>
      </c>
      <c r="S103" s="7" t="n">
        <v>314.23</v>
      </c>
      <c r="T103" s="7" t="n">
        <v>314.23</v>
      </c>
      <c r="U103" s="7" t="n">
        <v>314.23</v>
      </c>
      <c r="V103" s="7" t="n">
        <v>314.23</v>
      </c>
      <c r="W103" s="7" t="n">
        <v>314.23</v>
      </c>
      <c r="X103" s="7" t="n">
        <v>314.23</v>
      </c>
      <c r="Y103" s="7" t="n">
        <v>314.23</v>
      </c>
      <c r="Z103" s="7" t="n">
        <v>350</v>
      </c>
      <c r="AA103" s="7" t="n">
        <v>0</v>
      </c>
      <c r="AB103" s="7" t="n">
        <v>350</v>
      </c>
    </row>
    <row r="104" customFormat="false" ht="15" hidden="false" customHeight="false" outlineLevel="0" collapsed="false">
      <c r="A104" s="8" t="s">
        <v>465</v>
      </c>
      <c r="B104" s="8" t="s">
        <v>466</v>
      </c>
      <c r="C104" s="8" t="s">
        <v>131</v>
      </c>
      <c r="D104" s="8" t="s">
        <v>132</v>
      </c>
      <c r="E104" s="8" t="n">
        <v>1991</v>
      </c>
      <c r="F104" s="8" t="s">
        <v>70</v>
      </c>
      <c r="G104" s="8" t="s">
        <v>71</v>
      </c>
      <c r="H104" s="8" t="s">
        <v>467</v>
      </c>
      <c r="I104" s="8" t="s">
        <v>56</v>
      </c>
      <c r="J104" s="9" t="n">
        <v>475000</v>
      </c>
      <c r="K104" s="8" t="s">
        <v>210</v>
      </c>
      <c r="L104" s="9" t="n">
        <v>8703.15</v>
      </c>
      <c r="M104" s="9" t="n">
        <v>1087.89</v>
      </c>
      <c r="N104" s="9" t="n">
        <v>1087.89</v>
      </c>
      <c r="O104" s="9" t="n">
        <v>6527.4</v>
      </c>
      <c r="P104" s="9" t="n">
        <v>652.74</v>
      </c>
      <c r="Q104" s="9" t="n">
        <v>652.74</v>
      </c>
      <c r="R104" s="9" t="n">
        <v>652.74</v>
      </c>
      <c r="S104" s="9" t="n">
        <v>652.74</v>
      </c>
      <c r="T104" s="9" t="n">
        <v>652.74</v>
      </c>
      <c r="U104" s="9" t="n">
        <v>652.74</v>
      </c>
      <c r="V104" s="9" t="n">
        <v>652.74</v>
      </c>
      <c r="W104" s="9" t="n">
        <v>652.74</v>
      </c>
      <c r="X104" s="9" t="n">
        <v>652.74</v>
      </c>
      <c r="Y104" s="9" t="n">
        <v>652.74</v>
      </c>
      <c r="Z104" s="9" t="n">
        <v>350</v>
      </c>
      <c r="AA104" s="9" t="n">
        <v>0</v>
      </c>
      <c r="AB104" s="9" t="n">
        <v>350</v>
      </c>
    </row>
    <row r="105" customFormat="false" ht="15" hidden="false" customHeight="false" outlineLevel="0" collapsed="false">
      <c r="A105" s="3" t="s">
        <v>468</v>
      </c>
      <c r="B105" s="3" t="s">
        <v>469</v>
      </c>
      <c r="C105" s="3" t="s">
        <v>125</v>
      </c>
      <c r="D105" s="3" t="s">
        <v>126</v>
      </c>
      <c r="E105" s="3" t="n">
        <v>1998</v>
      </c>
      <c r="F105" s="3" t="s">
        <v>181</v>
      </c>
      <c r="G105" s="3" t="s">
        <v>182</v>
      </c>
      <c r="H105" s="3" t="s">
        <v>470</v>
      </c>
      <c r="I105" s="3" t="s">
        <v>47</v>
      </c>
      <c r="J105" s="7" t="n">
        <v>815000</v>
      </c>
      <c r="K105" s="3" t="s">
        <v>252</v>
      </c>
      <c r="L105" s="7" t="n">
        <v>15972.54</v>
      </c>
      <c r="M105" s="7" t="n">
        <v>1996.57</v>
      </c>
      <c r="N105" s="7" t="n">
        <v>1996.57</v>
      </c>
      <c r="O105" s="7" t="n">
        <v>11979.4</v>
      </c>
      <c r="P105" s="7" t="n">
        <v>1197.94</v>
      </c>
      <c r="Q105" s="7" t="n">
        <v>1197.94</v>
      </c>
      <c r="R105" s="7" t="n">
        <v>1197.94</v>
      </c>
      <c r="S105" s="7" t="n">
        <v>1197.94</v>
      </c>
      <c r="T105" s="7" t="n">
        <v>1197.94</v>
      </c>
      <c r="U105" s="7" t="n">
        <v>1197.94</v>
      </c>
      <c r="V105" s="7" t="n">
        <v>1197.94</v>
      </c>
      <c r="W105" s="7" t="n">
        <v>1197.94</v>
      </c>
      <c r="X105" s="7" t="n">
        <v>1197.94</v>
      </c>
      <c r="Y105" s="7" t="n">
        <v>1197.94</v>
      </c>
      <c r="Z105" s="7" t="n">
        <v>350</v>
      </c>
      <c r="AA105" s="7" t="n">
        <v>0</v>
      </c>
      <c r="AB105" s="7" t="n">
        <v>350</v>
      </c>
    </row>
    <row r="106" customFormat="false" ht="15" hidden="false" customHeight="false" outlineLevel="0" collapsed="false">
      <c r="A106" s="8" t="s">
        <v>471</v>
      </c>
      <c r="B106" s="8" t="s">
        <v>472</v>
      </c>
      <c r="C106" s="8" t="s">
        <v>473</v>
      </c>
      <c r="D106" s="8" t="s">
        <v>474</v>
      </c>
      <c r="E106" s="8" t="n">
        <v>1955</v>
      </c>
      <c r="F106" s="8" t="s">
        <v>113</v>
      </c>
      <c r="G106" s="8" t="s">
        <v>139</v>
      </c>
      <c r="H106" s="8" t="s">
        <v>475</v>
      </c>
      <c r="I106" s="8" t="s">
        <v>107</v>
      </c>
      <c r="J106" s="9" t="n">
        <v>660000</v>
      </c>
      <c r="K106" s="8" t="s">
        <v>108</v>
      </c>
      <c r="L106" s="9" t="n">
        <v>6984.57</v>
      </c>
      <c r="M106" s="9" t="n">
        <v>873.07</v>
      </c>
      <c r="N106" s="9" t="n">
        <v>873.07</v>
      </c>
      <c r="O106" s="9" t="n">
        <v>5238.4</v>
      </c>
      <c r="P106" s="9" t="n">
        <v>523.84</v>
      </c>
      <c r="Q106" s="9" t="n">
        <v>523.84</v>
      </c>
      <c r="R106" s="9" t="n">
        <v>523.84</v>
      </c>
      <c r="S106" s="9" t="n">
        <v>523.84</v>
      </c>
      <c r="T106" s="9" t="n">
        <v>523.84</v>
      </c>
      <c r="U106" s="9" t="n">
        <v>523.84</v>
      </c>
      <c r="V106" s="9" t="n">
        <v>523.84</v>
      </c>
      <c r="W106" s="9" t="n">
        <v>523.84</v>
      </c>
      <c r="X106" s="9" t="n">
        <v>523.84</v>
      </c>
      <c r="Y106" s="9" t="n">
        <v>523.84</v>
      </c>
      <c r="Z106" s="9" t="n">
        <v>350</v>
      </c>
      <c r="AA106" s="9" t="n">
        <v>0</v>
      </c>
      <c r="AB106" s="9" t="n">
        <v>350</v>
      </c>
    </row>
    <row r="107" customFormat="false" ht="15" hidden="false" customHeight="false" outlineLevel="0" collapsed="false">
      <c r="A107" s="3" t="s">
        <v>476</v>
      </c>
      <c r="B107" s="3" t="s">
        <v>383</v>
      </c>
      <c r="C107" s="3" t="s">
        <v>103</v>
      </c>
      <c r="D107" s="3" t="s">
        <v>104</v>
      </c>
      <c r="E107" s="3" t="n">
        <v>2018</v>
      </c>
      <c r="F107" s="3" t="s">
        <v>113</v>
      </c>
      <c r="G107" s="3" t="s">
        <v>114</v>
      </c>
      <c r="H107" s="3" t="s">
        <v>477</v>
      </c>
      <c r="I107" s="3" t="s">
        <v>56</v>
      </c>
      <c r="J107" s="7" t="n">
        <v>985000</v>
      </c>
      <c r="K107" s="3" t="s">
        <v>48</v>
      </c>
      <c r="L107" s="7" t="n">
        <v>12512.99</v>
      </c>
      <c r="M107" s="7" t="n">
        <v>1564.12</v>
      </c>
      <c r="N107" s="7" t="n">
        <v>1564.12</v>
      </c>
      <c r="O107" s="7" t="n">
        <v>9384.7</v>
      </c>
      <c r="P107" s="7" t="n">
        <v>938.47</v>
      </c>
      <c r="Q107" s="7" t="n">
        <v>938.47</v>
      </c>
      <c r="R107" s="7" t="n">
        <v>938.47</v>
      </c>
      <c r="S107" s="7" t="n">
        <v>938.47</v>
      </c>
      <c r="T107" s="7" t="n">
        <v>938.47</v>
      </c>
      <c r="U107" s="7" t="n">
        <v>938.47</v>
      </c>
      <c r="V107" s="7" t="n">
        <v>938.47</v>
      </c>
      <c r="W107" s="7" t="n">
        <v>938.47</v>
      </c>
      <c r="X107" s="7" t="n">
        <v>938.47</v>
      </c>
      <c r="Y107" s="7" t="n">
        <v>938.47</v>
      </c>
      <c r="Z107" s="7" t="n">
        <v>350</v>
      </c>
      <c r="AA107" s="7" t="n">
        <v>0</v>
      </c>
      <c r="AB107" s="7" t="n">
        <v>350</v>
      </c>
    </row>
    <row r="108" customFormat="false" ht="15" hidden="false" customHeight="false" outlineLevel="0" collapsed="false">
      <c r="A108" s="8" t="s">
        <v>478</v>
      </c>
      <c r="B108" s="8" t="s">
        <v>180</v>
      </c>
      <c r="C108" s="8" t="s">
        <v>156</v>
      </c>
      <c r="D108" s="8" t="s">
        <v>157</v>
      </c>
      <c r="E108" s="8" t="n">
        <v>1962</v>
      </c>
      <c r="F108" s="8" t="s">
        <v>62</v>
      </c>
      <c r="G108" s="8" t="s">
        <v>63</v>
      </c>
      <c r="H108" s="8" t="s">
        <v>479</v>
      </c>
      <c r="I108" s="8" t="s">
        <v>47</v>
      </c>
      <c r="J108" s="9" t="n">
        <v>785000</v>
      </c>
      <c r="K108" s="8" t="s">
        <v>210</v>
      </c>
      <c r="L108" s="9" t="n">
        <v>18218.6</v>
      </c>
      <c r="M108" s="9" t="n">
        <v>2277.32</v>
      </c>
      <c r="N108" s="9" t="n">
        <v>2277.32</v>
      </c>
      <c r="O108" s="9" t="n">
        <v>13663.9</v>
      </c>
      <c r="P108" s="9" t="n">
        <v>1366.39</v>
      </c>
      <c r="Q108" s="9" t="n">
        <v>1366.39</v>
      </c>
      <c r="R108" s="9" t="n">
        <v>1366.39</v>
      </c>
      <c r="S108" s="9" t="n">
        <v>1366.39</v>
      </c>
      <c r="T108" s="9" t="n">
        <v>1366.39</v>
      </c>
      <c r="U108" s="9" t="n">
        <v>1366.39</v>
      </c>
      <c r="V108" s="9" t="n">
        <v>1366.39</v>
      </c>
      <c r="W108" s="9" t="n">
        <v>1366.39</v>
      </c>
      <c r="X108" s="9" t="n">
        <v>1366.39</v>
      </c>
      <c r="Y108" s="9" t="n">
        <v>1366.39</v>
      </c>
      <c r="Z108" s="9" t="n">
        <v>350</v>
      </c>
      <c r="AA108" s="9" t="n">
        <v>0</v>
      </c>
      <c r="AB108" s="9" t="n">
        <v>350</v>
      </c>
    </row>
    <row r="109" customFormat="false" ht="15" hidden="false" customHeight="false" outlineLevel="0" collapsed="false">
      <c r="A109" s="3" t="s">
        <v>480</v>
      </c>
      <c r="B109" s="3" t="s">
        <v>481</v>
      </c>
      <c r="C109" s="3" t="s">
        <v>82</v>
      </c>
      <c r="D109" s="3" t="s">
        <v>83</v>
      </c>
      <c r="E109" s="3" t="n">
        <v>1994</v>
      </c>
      <c r="F109" s="3" t="s">
        <v>70</v>
      </c>
      <c r="G109" s="3" t="s">
        <v>71</v>
      </c>
      <c r="H109" s="3" t="s">
        <v>482</v>
      </c>
      <c r="I109" s="3" t="s">
        <v>56</v>
      </c>
      <c r="J109" s="7" t="n">
        <v>925000</v>
      </c>
      <c r="K109" s="3" t="s">
        <v>93</v>
      </c>
      <c r="L109" s="7" t="n">
        <v>16864.56</v>
      </c>
      <c r="M109" s="7" t="n">
        <v>2108.07</v>
      </c>
      <c r="N109" s="7" t="n">
        <v>2108.07</v>
      </c>
      <c r="O109" s="7" t="n">
        <v>12648.4</v>
      </c>
      <c r="P109" s="7" t="n">
        <v>1264.84</v>
      </c>
      <c r="Q109" s="7" t="n">
        <v>1264.84</v>
      </c>
      <c r="R109" s="7" t="n">
        <v>1264.84</v>
      </c>
      <c r="S109" s="7" t="n">
        <v>1264.84</v>
      </c>
      <c r="T109" s="7" t="n">
        <v>1264.84</v>
      </c>
      <c r="U109" s="7" t="n">
        <v>1264.84</v>
      </c>
      <c r="V109" s="7" t="n">
        <v>1264.84</v>
      </c>
      <c r="W109" s="7" t="n">
        <v>1264.84</v>
      </c>
      <c r="X109" s="7" t="n">
        <v>1264.84</v>
      </c>
      <c r="Y109" s="7" t="n">
        <v>1264.84</v>
      </c>
      <c r="Z109" s="7" t="n">
        <v>350</v>
      </c>
      <c r="AA109" s="7" t="n">
        <v>0</v>
      </c>
      <c r="AB109" s="7" t="n">
        <v>350</v>
      </c>
    </row>
    <row r="110" customFormat="false" ht="15" hidden="false" customHeight="false" outlineLevel="0" collapsed="false">
      <c r="A110" s="8" t="s">
        <v>483</v>
      </c>
      <c r="B110" s="8" t="s">
        <v>484</v>
      </c>
      <c r="C110" s="8" t="s">
        <v>111</v>
      </c>
      <c r="D110" s="8" t="s">
        <v>112</v>
      </c>
      <c r="E110" s="8" t="n">
        <v>1989</v>
      </c>
      <c r="F110" s="8" t="s">
        <v>146</v>
      </c>
      <c r="G110" s="8" t="s">
        <v>147</v>
      </c>
      <c r="H110" s="8" t="s">
        <v>485</v>
      </c>
      <c r="I110" s="8" t="s">
        <v>56</v>
      </c>
      <c r="J110" s="9" t="n">
        <v>460000</v>
      </c>
      <c r="K110" s="8" t="s">
        <v>441</v>
      </c>
      <c r="L110" s="9" t="n">
        <v>5993.47</v>
      </c>
      <c r="M110" s="9" t="n">
        <v>749.18</v>
      </c>
      <c r="N110" s="9" t="n">
        <v>749.18</v>
      </c>
      <c r="O110" s="9" t="n">
        <v>4495.1</v>
      </c>
      <c r="P110" s="9" t="n">
        <v>449.51</v>
      </c>
      <c r="Q110" s="9" t="n">
        <v>449.51</v>
      </c>
      <c r="R110" s="9" t="n">
        <v>449.51</v>
      </c>
      <c r="S110" s="9" t="n">
        <v>449.51</v>
      </c>
      <c r="T110" s="9" t="n">
        <v>449.51</v>
      </c>
      <c r="U110" s="9" t="n">
        <v>449.51</v>
      </c>
      <c r="V110" s="9" t="n">
        <v>449.51</v>
      </c>
      <c r="W110" s="9" t="n">
        <v>449.51</v>
      </c>
      <c r="X110" s="9" t="n">
        <v>449.51</v>
      </c>
      <c r="Y110" s="9" t="n">
        <v>449.51</v>
      </c>
      <c r="Z110" s="9" t="n">
        <v>350</v>
      </c>
      <c r="AA110" s="9" t="n">
        <v>0</v>
      </c>
      <c r="AB110" s="9" t="n">
        <v>350</v>
      </c>
    </row>
    <row r="111" customFormat="false" ht="15" hidden="false" customHeight="false" outlineLevel="0" collapsed="false">
      <c r="A111" s="3" t="s">
        <v>486</v>
      </c>
      <c r="B111" s="3" t="s">
        <v>487</v>
      </c>
      <c r="C111" s="3" t="s">
        <v>312</v>
      </c>
      <c r="D111" s="3" t="s">
        <v>313</v>
      </c>
      <c r="E111" s="3" t="n">
        <v>2004</v>
      </c>
      <c r="F111" s="3" t="s">
        <v>89</v>
      </c>
      <c r="G111" s="3" t="s">
        <v>90</v>
      </c>
      <c r="H111" s="3" t="s">
        <v>488</v>
      </c>
      <c r="I111" s="3" t="s">
        <v>92</v>
      </c>
      <c r="J111" s="7" t="n">
        <v>445000</v>
      </c>
      <c r="K111" s="3" t="s">
        <v>166</v>
      </c>
      <c r="L111" s="7" t="n">
        <v>7795.13</v>
      </c>
      <c r="M111" s="7" t="n">
        <v>974.39</v>
      </c>
      <c r="N111" s="7" t="n">
        <v>974.39</v>
      </c>
      <c r="O111" s="7" t="n">
        <v>5846.3</v>
      </c>
      <c r="P111" s="7" t="n">
        <v>584.63</v>
      </c>
      <c r="Q111" s="7" t="n">
        <v>584.63</v>
      </c>
      <c r="R111" s="7" t="n">
        <v>584.63</v>
      </c>
      <c r="S111" s="7" t="n">
        <v>584.63</v>
      </c>
      <c r="T111" s="7" t="n">
        <v>584.63</v>
      </c>
      <c r="U111" s="7" t="n">
        <v>584.63</v>
      </c>
      <c r="V111" s="7" t="n">
        <v>584.63</v>
      </c>
      <c r="W111" s="7" t="n">
        <v>584.63</v>
      </c>
      <c r="X111" s="7" t="n">
        <v>584.63</v>
      </c>
      <c r="Y111" s="7" t="n">
        <v>584.63</v>
      </c>
      <c r="Z111" s="7" t="n">
        <v>350</v>
      </c>
      <c r="AA111" s="7" t="n">
        <v>0</v>
      </c>
      <c r="AB111" s="7" t="n">
        <v>350</v>
      </c>
    </row>
    <row r="112" customFormat="false" ht="15" hidden="false" customHeight="false" outlineLevel="0" collapsed="false">
      <c r="A112" s="8" t="s">
        <v>489</v>
      </c>
      <c r="B112" s="8" t="s">
        <v>490</v>
      </c>
      <c r="C112" s="8" t="s">
        <v>96</v>
      </c>
      <c r="D112" s="8" t="s">
        <v>97</v>
      </c>
      <c r="E112" s="8" t="n">
        <v>2018</v>
      </c>
      <c r="F112" s="8" t="s">
        <v>113</v>
      </c>
      <c r="G112" s="8" t="s">
        <v>114</v>
      </c>
      <c r="H112" s="8" t="s">
        <v>491</v>
      </c>
      <c r="I112" s="8" t="s">
        <v>56</v>
      </c>
      <c r="J112" s="9" t="n">
        <v>560000</v>
      </c>
      <c r="K112" s="8" t="s">
        <v>492</v>
      </c>
      <c r="L112" s="9" t="n">
        <v>8299.65</v>
      </c>
      <c r="M112" s="9" t="n">
        <v>1037.46</v>
      </c>
      <c r="N112" s="9" t="n">
        <v>1037.46</v>
      </c>
      <c r="O112" s="9" t="n">
        <v>6224.7</v>
      </c>
      <c r="P112" s="9" t="n">
        <v>622.47</v>
      </c>
      <c r="Q112" s="9" t="n">
        <v>622.47</v>
      </c>
      <c r="R112" s="9" t="n">
        <v>622.47</v>
      </c>
      <c r="S112" s="9" t="n">
        <v>622.47</v>
      </c>
      <c r="T112" s="9" t="n">
        <v>622.47</v>
      </c>
      <c r="U112" s="9" t="n">
        <v>622.47</v>
      </c>
      <c r="V112" s="9" t="n">
        <v>622.47</v>
      </c>
      <c r="W112" s="9" t="n">
        <v>622.47</v>
      </c>
      <c r="X112" s="9" t="n">
        <v>622.47</v>
      </c>
      <c r="Y112" s="9" t="n">
        <v>622.47</v>
      </c>
      <c r="Z112" s="9" t="n">
        <v>350</v>
      </c>
      <c r="AA112" s="9" t="n">
        <v>0</v>
      </c>
      <c r="AB112" s="9" t="n">
        <v>350</v>
      </c>
    </row>
    <row r="113" customFormat="false" ht="15" hidden="false" customHeight="false" outlineLevel="0" collapsed="false">
      <c r="A113" s="3" t="s">
        <v>493</v>
      </c>
      <c r="B113" s="3" t="s">
        <v>494</v>
      </c>
      <c r="C113" s="3" t="s">
        <v>125</v>
      </c>
      <c r="D113" s="3" t="s">
        <v>126</v>
      </c>
      <c r="E113" s="3" t="n">
        <v>2005</v>
      </c>
      <c r="F113" s="3" t="s">
        <v>89</v>
      </c>
      <c r="G113" s="3" t="s">
        <v>90</v>
      </c>
      <c r="H113" s="3" t="s">
        <v>495</v>
      </c>
      <c r="I113" s="3" t="s">
        <v>92</v>
      </c>
      <c r="J113" s="7" t="n">
        <v>840000</v>
      </c>
      <c r="K113" s="3" t="s">
        <v>496</v>
      </c>
      <c r="L113" s="7" t="n">
        <v>15413.64</v>
      </c>
      <c r="M113" s="7" t="n">
        <v>1926.7</v>
      </c>
      <c r="N113" s="7" t="n">
        <v>1926.7</v>
      </c>
      <c r="O113" s="7" t="n">
        <v>11560.2</v>
      </c>
      <c r="P113" s="7" t="n">
        <v>1156.02</v>
      </c>
      <c r="Q113" s="7" t="n">
        <v>1156.02</v>
      </c>
      <c r="R113" s="7" t="n">
        <v>1156.02</v>
      </c>
      <c r="S113" s="7" t="n">
        <v>1156.02</v>
      </c>
      <c r="T113" s="7" t="n">
        <v>1156.02</v>
      </c>
      <c r="U113" s="7" t="n">
        <v>1156.02</v>
      </c>
      <c r="V113" s="7" t="n">
        <v>1156.02</v>
      </c>
      <c r="W113" s="7" t="n">
        <v>1156.02</v>
      </c>
      <c r="X113" s="7" t="n">
        <v>1156.02</v>
      </c>
      <c r="Y113" s="7" t="n">
        <v>1156.02</v>
      </c>
      <c r="Z113" s="7" t="n">
        <v>350</v>
      </c>
      <c r="AA113" s="7" t="n">
        <v>0</v>
      </c>
      <c r="AB113" s="7" t="n">
        <v>350</v>
      </c>
    </row>
    <row r="114" customFormat="false" ht="15" hidden="false" customHeight="false" outlineLevel="0" collapsed="false">
      <c r="A114" s="8" t="s">
        <v>497</v>
      </c>
      <c r="B114" s="8" t="s">
        <v>498</v>
      </c>
      <c r="C114" s="8" t="s">
        <v>156</v>
      </c>
      <c r="D114" s="8" t="s">
        <v>157</v>
      </c>
      <c r="E114" s="8" t="n">
        <v>1969</v>
      </c>
      <c r="F114" s="8" t="s">
        <v>158</v>
      </c>
      <c r="G114" s="8" t="s">
        <v>159</v>
      </c>
      <c r="H114" s="8" t="s">
        <v>499</v>
      </c>
      <c r="I114" s="8" t="s">
        <v>56</v>
      </c>
      <c r="J114" s="9" t="n">
        <v>775000</v>
      </c>
      <c r="K114" s="8" t="s">
        <v>344</v>
      </c>
      <c r="L114" s="9" t="n">
        <v>11850.76</v>
      </c>
      <c r="M114" s="9" t="n">
        <v>1481.35</v>
      </c>
      <c r="N114" s="9" t="n">
        <v>1481.35</v>
      </c>
      <c r="O114" s="9" t="n">
        <v>8888.1</v>
      </c>
      <c r="P114" s="9" t="n">
        <v>888.81</v>
      </c>
      <c r="Q114" s="9" t="n">
        <v>888.81</v>
      </c>
      <c r="R114" s="9" t="n">
        <v>888.81</v>
      </c>
      <c r="S114" s="9" t="n">
        <v>888.81</v>
      </c>
      <c r="T114" s="9" t="n">
        <v>888.81</v>
      </c>
      <c r="U114" s="9" t="n">
        <v>888.81</v>
      </c>
      <c r="V114" s="9" t="n">
        <v>888.81</v>
      </c>
      <c r="W114" s="9" t="n">
        <v>888.81</v>
      </c>
      <c r="X114" s="9" t="n">
        <v>888.81</v>
      </c>
      <c r="Y114" s="9" t="n">
        <v>888.81</v>
      </c>
      <c r="Z114" s="9" t="n">
        <v>350</v>
      </c>
      <c r="AA114" s="9" t="n">
        <v>0</v>
      </c>
      <c r="AB114" s="9" t="n">
        <v>350</v>
      </c>
    </row>
    <row r="115" customFormat="false" ht="15" hidden="false" customHeight="false" outlineLevel="0" collapsed="false">
      <c r="A115" s="3" t="s">
        <v>500</v>
      </c>
      <c r="B115" s="3" t="s">
        <v>260</v>
      </c>
      <c r="C115" s="3" t="s">
        <v>255</v>
      </c>
      <c r="D115" s="3" t="s">
        <v>256</v>
      </c>
      <c r="E115" s="3" t="n">
        <v>1987</v>
      </c>
      <c r="F115" s="3" t="s">
        <v>158</v>
      </c>
      <c r="G115" s="3" t="s">
        <v>159</v>
      </c>
      <c r="H115" s="3" t="s">
        <v>501</v>
      </c>
      <c r="I115" s="3" t="s">
        <v>56</v>
      </c>
      <c r="J115" s="7" t="n">
        <v>545000</v>
      </c>
      <c r="K115" s="3" t="s">
        <v>315</v>
      </c>
      <c r="L115" s="7" t="n">
        <v>8461.98</v>
      </c>
      <c r="M115" s="7" t="n">
        <v>1057.75</v>
      </c>
      <c r="N115" s="7" t="n">
        <v>1057.75</v>
      </c>
      <c r="O115" s="7" t="n">
        <v>6346.5</v>
      </c>
      <c r="P115" s="7" t="n">
        <v>634.65</v>
      </c>
      <c r="Q115" s="7" t="n">
        <v>634.65</v>
      </c>
      <c r="R115" s="7" t="n">
        <v>634.65</v>
      </c>
      <c r="S115" s="7" t="n">
        <v>634.65</v>
      </c>
      <c r="T115" s="7" t="n">
        <v>634.65</v>
      </c>
      <c r="U115" s="7" t="n">
        <v>634.65</v>
      </c>
      <c r="V115" s="7" t="n">
        <v>634.65</v>
      </c>
      <c r="W115" s="7" t="n">
        <v>634.65</v>
      </c>
      <c r="X115" s="7" t="n">
        <v>634.65</v>
      </c>
      <c r="Y115" s="7" t="n">
        <v>634.65</v>
      </c>
      <c r="Z115" s="7" t="n">
        <v>350</v>
      </c>
      <c r="AA115" s="7" t="n">
        <v>0</v>
      </c>
      <c r="AB115" s="7" t="n">
        <v>350</v>
      </c>
    </row>
    <row r="116" customFormat="false" ht="15" hidden="false" customHeight="false" outlineLevel="0" collapsed="false">
      <c r="A116" s="8" t="s">
        <v>502</v>
      </c>
      <c r="B116" s="8" t="s">
        <v>503</v>
      </c>
      <c r="C116" s="8" t="s">
        <v>249</v>
      </c>
      <c r="D116" s="8" t="s">
        <v>250</v>
      </c>
      <c r="E116" s="8" t="n">
        <v>2022</v>
      </c>
      <c r="F116" s="8" t="s">
        <v>424</v>
      </c>
      <c r="G116" s="8" t="s">
        <v>425</v>
      </c>
      <c r="H116" s="8" t="s">
        <v>504</v>
      </c>
      <c r="I116" s="8" t="s">
        <v>273</v>
      </c>
      <c r="J116" s="9" t="n">
        <v>370000</v>
      </c>
      <c r="K116" s="8" t="s">
        <v>210</v>
      </c>
      <c r="L116" s="9" t="n">
        <v>3796.41</v>
      </c>
      <c r="M116" s="9" t="n">
        <v>474.55</v>
      </c>
      <c r="N116" s="9" t="n">
        <v>474.55</v>
      </c>
      <c r="O116" s="9" t="n">
        <v>2847.3</v>
      </c>
      <c r="P116" s="9" t="n">
        <v>284.73</v>
      </c>
      <c r="Q116" s="9" t="n">
        <v>284.73</v>
      </c>
      <c r="R116" s="9" t="n">
        <v>284.73</v>
      </c>
      <c r="S116" s="9" t="n">
        <v>284.73</v>
      </c>
      <c r="T116" s="9" t="n">
        <v>284.73</v>
      </c>
      <c r="U116" s="9" t="n">
        <v>284.73</v>
      </c>
      <c r="V116" s="9" t="n">
        <v>284.73</v>
      </c>
      <c r="W116" s="9" t="n">
        <v>284.73</v>
      </c>
      <c r="X116" s="9" t="n">
        <v>284.73</v>
      </c>
      <c r="Y116" s="9" t="n">
        <v>284.73</v>
      </c>
      <c r="Z116" s="9" t="n">
        <v>350</v>
      </c>
      <c r="AA116" s="9" t="n">
        <v>0</v>
      </c>
      <c r="AB116" s="9" t="n">
        <v>350</v>
      </c>
    </row>
    <row r="117" customFormat="false" ht="15" hidden="false" customHeight="false" outlineLevel="0" collapsed="false">
      <c r="A117" s="3" t="s">
        <v>505</v>
      </c>
      <c r="B117" s="3" t="s">
        <v>506</v>
      </c>
      <c r="C117" s="3" t="s">
        <v>473</v>
      </c>
      <c r="D117" s="3" t="s">
        <v>474</v>
      </c>
      <c r="E117" s="3" t="n">
        <v>1970</v>
      </c>
      <c r="F117" s="3" t="s">
        <v>113</v>
      </c>
      <c r="G117" s="3" t="s">
        <v>114</v>
      </c>
      <c r="H117" s="3" t="s">
        <v>507</v>
      </c>
      <c r="I117" s="3" t="s">
        <v>56</v>
      </c>
      <c r="J117" s="7" t="n">
        <v>380000</v>
      </c>
      <c r="K117" s="3" t="s">
        <v>217</v>
      </c>
      <c r="L117" s="7" t="n">
        <v>5054.27</v>
      </c>
      <c r="M117" s="7" t="n">
        <v>631.78</v>
      </c>
      <c r="N117" s="7" t="n">
        <v>631.78</v>
      </c>
      <c r="O117" s="7" t="n">
        <v>3790.7</v>
      </c>
      <c r="P117" s="7" t="n">
        <v>379.07</v>
      </c>
      <c r="Q117" s="7" t="n">
        <v>379.07</v>
      </c>
      <c r="R117" s="7" t="n">
        <v>379.07</v>
      </c>
      <c r="S117" s="7" t="n">
        <v>379.07</v>
      </c>
      <c r="T117" s="7" t="n">
        <v>379.07</v>
      </c>
      <c r="U117" s="7" t="n">
        <v>379.07</v>
      </c>
      <c r="V117" s="7" t="n">
        <v>379.07</v>
      </c>
      <c r="W117" s="7" t="n">
        <v>379.07</v>
      </c>
      <c r="X117" s="7" t="n">
        <v>379.07</v>
      </c>
      <c r="Y117" s="7" t="n">
        <v>379.07</v>
      </c>
      <c r="Z117" s="7" t="n">
        <v>350</v>
      </c>
      <c r="AA117" s="7" t="n">
        <v>0</v>
      </c>
      <c r="AB117" s="7" t="n">
        <v>350</v>
      </c>
    </row>
    <row r="118" customFormat="false" ht="15" hidden="false" customHeight="false" outlineLevel="0" collapsed="false">
      <c r="A118" s="8" t="s">
        <v>508</v>
      </c>
      <c r="B118" s="8" t="s">
        <v>509</v>
      </c>
      <c r="C118" s="8" t="s">
        <v>137</v>
      </c>
      <c r="D118" s="8" t="s">
        <v>138</v>
      </c>
      <c r="E118" s="8" t="n">
        <v>1957</v>
      </c>
      <c r="F118" s="8" t="s">
        <v>62</v>
      </c>
      <c r="G118" s="8" t="s">
        <v>105</v>
      </c>
      <c r="H118" s="8" t="s">
        <v>510</v>
      </c>
      <c r="I118" s="8" t="s">
        <v>107</v>
      </c>
      <c r="J118" s="9" t="n">
        <v>580000</v>
      </c>
      <c r="K118" s="8" t="s">
        <v>379</v>
      </c>
      <c r="L118" s="9" t="n">
        <v>4919.39</v>
      </c>
      <c r="M118" s="9" t="n">
        <v>614.92</v>
      </c>
      <c r="N118" s="9" t="n">
        <v>614.92</v>
      </c>
      <c r="O118" s="9" t="n">
        <v>3689.5</v>
      </c>
      <c r="P118" s="9" t="n">
        <v>368.95</v>
      </c>
      <c r="Q118" s="9" t="n">
        <v>368.95</v>
      </c>
      <c r="R118" s="9" t="n">
        <v>368.95</v>
      </c>
      <c r="S118" s="9" t="n">
        <v>368.95</v>
      </c>
      <c r="T118" s="9" t="n">
        <v>368.95</v>
      </c>
      <c r="U118" s="9" t="n">
        <v>368.95</v>
      </c>
      <c r="V118" s="9" t="n">
        <v>368.95</v>
      </c>
      <c r="W118" s="9" t="n">
        <v>368.95</v>
      </c>
      <c r="X118" s="9" t="n">
        <v>368.95</v>
      </c>
      <c r="Y118" s="9" t="n">
        <v>368.95</v>
      </c>
      <c r="Z118" s="9" t="n">
        <v>350</v>
      </c>
      <c r="AA118" s="9" t="n">
        <v>0</v>
      </c>
      <c r="AB118" s="9" t="n">
        <v>350</v>
      </c>
    </row>
    <row r="119" customFormat="false" ht="15" hidden="false" customHeight="false" outlineLevel="0" collapsed="false">
      <c r="A119" s="3" t="s">
        <v>511</v>
      </c>
      <c r="B119" s="3" t="s">
        <v>254</v>
      </c>
      <c r="C119" s="3" t="s">
        <v>374</v>
      </c>
      <c r="D119" s="3" t="s">
        <v>375</v>
      </c>
      <c r="E119" s="3" t="n">
        <v>2023</v>
      </c>
      <c r="F119" s="3" t="s">
        <v>70</v>
      </c>
      <c r="G119" s="3" t="s">
        <v>71</v>
      </c>
      <c r="H119" s="3" t="s">
        <v>512</v>
      </c>
      <c r="I119" s="3" t="s">
        <v>56</v>
      </c>
      <c r="J119" s="7" t="n">
        <v>415000</v>
      </c>
      <c r="K119" s="3" t="s">
        <v>116</v>
      </c>
      <c r="L119" s="7" t="n">
        <v>5576.13</v>
      </c>
      <c r="M119" s="7" t="n">
        <v>697.02</v>
      </c>
      <c r="N119" s="7" t="n">
        <v>697.02</v>
      </c>
      <c r="O119" s="7" t="n">
        <v>4182.1</v>
      </c>
      <c r="P119" s="7" t="n">
        <v>418.21</v>
      </c>
      <c r="Q119" s="7" t="n">
        <v>418.21</v>
      </c>
      <c r="R119" s="7" t="n">
        <v>418.21</v>
      </c>
      <c r="S119" s="7" t="n">
        <v>418.21</v>
      </c>
      <c r="T119" s="7" t="n">
        <v>418.21</v>
      </c>
      <c r="U119" s="7" t="n">
        <v>418.21</v>
      </c>
      <c r="V119" s="7" t="n">
        <v>418.21</v>
      </c>
      <c r="W119" s="7" t="n">
        <v>418.21</v>
      </c>
      <c r="X119" s="7" t="n">
        <v>418.21</v>
      </c>
      <c r="Y119" s="7" t="n">
        <v>418.21</v>
      </c>
      <c r="Z119" s="7" t="n">
        <v>350</v>
      </c>
      <c r="AA119" s="7" t="n">
        <v>0</v>
      </c>
      <c r="AB119" s="7" t="n">
        <v>350</v>
      </c>
    </row>
    <row r="120" customFormat="false" ht="15" hidden="false" customHeight="false" outlineLevel="0" collapsed="false">
      <c r="A120" s="8" t="s">
        <v>513</v>
      </c>
      <c r="B120" s="8" t="s">
        <v>514</v>
      </c>
      <c r="C120" s="8" t="s">
        <v>103</v>
      </c>
      <c r="D120" s="8" t="s">
        <v>104</v>
      </c>
      <c r="E120" s="8" t="n">
        <v>2021</v>
      </c>
      <c r="F120" s="8" t="s">
        <v>62</v>
      </c>
      <c r="G120" s="8" t="s">
        <v>63</v>
      </c>
      <c r="H120" s="8" t="s">
        <v>515</v>
      </c>
      <c r="I120" s="8" t="s">
        <v>47</v>
      </c>
      <c r="J120" s="9" t="n">
        <v>755000</v>
      </c>
      <c r="K120" s="8" t="s">
        <v>252</v>
      </c>
      <c r="L120" s="9" t="n">
        <v>14796.65</v>
      </c>
      <c r="M120" s="9" t="n">
        <v>1849.58</v>
      </c>
      <c r="N120" s="9" t="n">
        <v>1849.58</v>
      </c>
      <c r="O120" s="9" t="n">
        <v>11097.5</v>
      </c>
      <c r="P120" s="9" t="n">
        <v>1109.75</v>
      </c>
      <c r="Q120" s="9" t="n">
        <v>1109.75</v>
      </c>
      <c r="R120" s="9" t="n">
        <v>1109.75</v>
      </c>
      <c r="S120" s="9" t="n">
        <v>1109.75</v>
      </c>
      <c r="T120" s="9" t="n">
        <v>1109.75</v>
      </c>
      <c r="U120" s="9" t="n">
        <v>1109.75</v>
      </c>
      <c r="V120" s="9" t="n">
        <v>1109.75</v>
      </c>
      <c r="W120" s="9" t="n">
        <v>1109.75</v>
      </c>
      <c r="X120" s="9" t="n">
        <v>1109.75</v>
      </c>
      <c r="Y120" s="9" t="n">
        <v>1109.75</v>
      </c>
      <c r="Z120" s="9" t="n">
        <v>350</v>
      </c>
      <c r="AA120" s="9" t="n">
        <v>0</v>
      </c>
      <c r="AB120" s="9" t="n">
        <v>350</v>
      </c>
    </row>
    <row r="121" customFormat="false" ht="15" hidden="false" customHeight="false" outlineLevel="0" collapsed="false">
      <c r="A121" s="3" t="s">
        <v>516</v>
      </c>
      <c r="B121" s="3" t="s">
        <v>517</v>
      </c>
      <c r="C121" s="3" t="s">
        <v>60</v>
      </c>
      <c r="D121" s="3" t="s">
        <v>61</v>
      </c>
      <c r="E121" s="3" t="n">
        <v>1985</v>
      </c>
      <c r="F121" s="3" t="s">
        <v>119</v>
      </c>
      <c r="G121" s="3" t="s">
        <v>120</v>
      </c>
      <c r="H121" s="3" t="s">
        <v>518</v>
      </c>
      <c r="I121" s="3" t="s">
        <v>56</v>
      </c>
      <c r="J121" s="7" t="n">
        <v>540000</v>
      </c>
      <c r="K121" s="3" t="s">
        <v>519</v>
      </c>
      <c r="L121" s="7" t="n">
        <v>6986.96</v>
      </c>
      <c r="M121" s="7" t="n">
        <v>873.37</v>
      </c>
      <c r="N121" s="7" t="n">
        <v>873.37</v>
      </c>
      <c r="O121" s="7" t="n">
        <v>5240.2</v>
      </c>
      <c r="P121" s="7" t="n">
        <v>524.02</v>
      </c>
      <c r="Q121" s="7" t="n">
        <v>524.02</v>
      </c>
      <c r="R121" s="7" t="n">
        <v>524.02</v>
      </c>
      <c r="S121" s="7" t="n">
        <v>524.02</v>
      </c>
      <c r="T121" s="7" t="n">
        <v>524.02</v>
      </c>
      <c r="U121" s="7" t="n">
        <v>524.02</v>
      </c>
      <c r="V121" s="7" t="n">
        <v>524.02</v>
      </c>
      <c r="W121" s="7" t="n">
        <v>524.02</v>
      </c>
      <c r="X121" s="7" t="n">
        <v>524.02</v>
      </c>
      <c r="Y121" s="7" t="n">
        <v>524.02</v>
      </c>
      <c r="Z121" s="7" t="n">
        <v>350</v>
      </c>
      <c r="AA121" s="7" t="n">
        <v>0</v>
      </c>
      <c r="AB121" s="7" t="n">
        <v>350</v>
      </c>
    </row>
    <row r="122" customFormat="false" ht="15" hidden="false" customHeight="false" outlineLevel="0" collapsed="false">
      <c r="A122" s="8" t="s">
        <v>520</v>
      </c>
      <c r="B122" s="8" t="s">
        <v>521</v>
      </c>
      <c r="C122" s="8" t="s">
        <v>207</v>
      </c>
      <c r="D122" s="8" t="s">
        <v>208</v>
      </c>
      <c r="E122" s="8" t="n">
        <v>2011</v>
      </c>
      <c r="F122" s="8" t="s">
        <v>70</v>
      </c>
      <c r="G122" s="8" t="s">
        <v>71</v>
      </c>
      <c r="H122" s="8" t="s">
        <v>522</v>
      </c>
      <c r="I122" s="8" t="s">
        <v>56</v>
      </c>
      <c r="J122" s="9" t="n">
        <v>205000</v>
      </c>
      <c r="K122" s="8" t="s">
        <v>229</v>
      </c>
      <c r="L122" s="9" t="n">
        <v>3105.79</v>
      </c>
      <c r="M122" s="9" t="n">
        <v>388.22</v>
      </c>
      <c r="N122" s="9" t="n">
        <v>388.22</v>
      </c>
      <c r="O122" s="9" t="n">
        <v>2329.3</v>
      </c>
      <c r="P122" s="9" t="n">
        <v>232.93</v>
      </c>
      <c r="Q122" s="9" t="n">
        <v>232.93</v>
      </c>
      <c r="R122" s="9" t="n">
        <v>232.93</v>
      </c>
      <c r="S122" s="9" t="n">
        <v>232.93</v>
      </c>
      <c r="T122" s="9" t="n">
        <v>232.93</v>
      </c>
      <c r="U122" s="9" t="n">
        <v>232.93</v>
      </c>
      <c r="V122" s="9" t="n">
        <v>232.93</v>
      </c>
      <c r="W122" s="9" t="n">
        <v>232.93</v>
      </c>
      <c r="X122" s="9" t="n">
        <v>232.93</v>
      </c>
      <c r="Y122" s="9" t="n">
        <v>232.93</v>
      </c>
      <c r="Z122" s="9" t="n">
        <v>350</v>
      </c>
      <c r="AA122" s="9" t="n">
        <v>0</v>
      </c>
      <c r="AB122" s="9" t="n">
        <v>350</v>
      </c>
    </row>
    <row r="123" customFormat="false" ht="15" hidden="false" customHeight="false" outlineLevel="0" collapsed="false">
      <c r="A123" s="3" t="s">
        <v>523</v>
      </c>
      <c r="B123" s="3" t="s">
        <v>524</v>
      </c>
      <c r="C123" s="3" t="s">
        <v>276</v>
      </c>
      <c r="D123" s="3" t="s">
        <v>277</v>
      </c>
      <c r="E123" s="3" t="n">
        <v>1992</v>
      </c>
      <c r="F123" s="3" t="s">
        <v>119</v>
      </c>
      <c r="G123" s="3" t="s">
        <v>120</v>
      </c>
      <c r="H123" s="3" t="s">
        <v>525</v>
      </c>
      <c r="I123" s="3" t="s">
        <v>56</v>
      </c>
      <c r="J123" s="7" t="n">
        <v>245000</v>
      </c>
      <c r="K123" s="3" t="s">
        <v>134</v>
      </c>
      <c r="L123" s="7" t="n">
        <v>5220.98</v>
      </c>
      <c r="M123" s="7" t="n">
        <v>652.62</v>
      </c>
      <c r="N123" s="7" t="n">
        <v>652.62</v>
      </c>
      <c r="O123" s="7" t="n">
        <v>3915.7</v>
      </c>
      <c r="P123" s="7" t="n">
        <v>391.57</v>
      </c>
      <c r="Q123" s="7" t="n">
        <v>391.57</v>
      </c>
      <c r="R123" s="7" t="n">
        <v>391.57</v>
      </c>
      <c r="S123" s="7" t="n">
        <v>391.57</v>
      </c>
      <c r="T123" s="7" t="n">
        <v>391.57</v>
      </c>
      <c r="U123" s="7" t="n">
        <v>391.57</v>
      </c>
      <c r="V123" s="7" t="n">
        <v>391.57</v>
      </c>
      <c r="W123" s="7" t="n">
        <v>391.57</v>
      </c>
      <c r="X123" s="7" t="n">
        <v>391.57</v>
      </c>
      <c r="Y123" s="7" t="n">
        <v>391.57</v>
      </c>
      <c r="Z123" s="7" t="n">
        <v>350</v>
      </c>
      <c r="AA123" s="7" t="n">
        <v>0</v>
      </c>
      <c r="AB123" s="7" t="n">
        <v>350</v>
      </c>
    </row>
    <row r="124" customFormat="false" ht="15" hidden="false" customHeight="false" outlineLevel="0" collapsed="false">
      <c r="A124" s="8" t="s">
        <v>526</v>
      </c>
      <c r="B124" s="8" t="s">
        <v>527</v>
      </c>
      <c r="C124" s="8" t="s">
        <v>156</v>
      </c>
      <c r="D124" s="8" t="s">
        <v>157</v>
      </c>
      <c r="E124" s="8" t="n">
        <v>2013</v>
      </c>
      <c r="F124" s="8" t="s">
        <v>62</v>
      </c>
      <c r="G124" s="8" t="s">
        <v>98</v>
      </c>
      <c r="H124" s="8" t="s">
        <v>528</v>
      </c>
      <c r="I124" s="8" t="s">
        <v>47</v>
      </c>
      <c r="J124" s="9" t="n">
        <v>410000</v>
      </c>
      <c r="K124" s="8" t="s">
        <v>122</v>
      </c>
      <c r="L124" s="9" t="n">
        <v>11774.67</v>
      </c>
      <c r="M124" s="9" t="n">
        <v>1471.83</v>
      </c>
      <c r="N124" s="9" t="n">
        <v>1471.83</v>
      </c>
      <c r="O124" s="9" t="n">
        <v>8831</v>
      </c>
      <c r="P124" s="9" t="n">
        <v>883.1</v>
      </c>
      <c r="Q124" s="9" t="n">
        <v>883.1</v>
      </c>
      <c r="R124" s="9" t="n">
        <v>883.1</v>
      </c>
      <c r="S124" s="9" t="n">
        <v>883.1</v>
      </c>
      <c r="T124" s="9" t="n">
        <v>883.1</v>
      </c>
      <c r="U124" s="9" t="n">
        <v>883.1</v>
      </c>
      <c r="V124" s="9" t="n">
        <v>883.1</v>
      </c>
      <c r="W124" s="9" t="n">
        <v>883.1</v>
      </c>
      <c r="X124" s="9" t="n">
        <v>883.1</v>
      </c>
      <c r="Y124" s="9" t="n">
        <v>883.1</v>
      </c>
      <c r="Z124" s="9" t="n">
        <v>350</v>
      </c>
      <c r="AA124" s="9" t="n">
        <v>0</v>
      </c>
      <c r="AB124" s="9" t="n">
        <v>350</v>
      </c>
    </row>
    <row r="125" customFormat="false" ht="15" hidden="false" customHeight="false" outlineLevel="0" collapsed="false">
      <c r="A125" s="3" t="s">
        <v>529</v>
      </c>
      <c r="B125" s="3" t="s">
        <v>530</v>
      </c>
      <c r="C125" s="3" t="s">
        <v>366</v>
      </c>
      <c r="D125" s="3" t="s">
        <v>367</v>
      </c>
      <c r="E125" s="3" t="n">
        <v>2024</v>
      </c>
      <c r="F125" s="3" t="s">
        <v>62</v>
      </c>
      <c r="G125" s="3" t="s">
        <v>63</v>
      </c>
      <c r="H125" s="3" t="s">
        <v>531</v>
      </c>
      <c r="I125" s="3" t="s">
        <v>47</v>
      </c>
      <c r="J125" s="7" t="n">
        <v>1865000</v>
      </c>
      <c r="K125" s="3" t="s">
        <v>65</v>
      </c>
      <c r="L125" s="7" t="n">
        <v>26999.57</v>
      </c>
      <c r="M125" s="7" t="n">
        <v>3374.95</v>
      </c>
      <c r="N125" s="7" t="n">
        <v>3374.95</v>
      </c>
      <c r="O125" s="7" t="n">
        <v>20249.7</v>
      </c>
      <c r="P125" s="7" t="n">
        <v>2024.97</v>
      </c>
      <c r="Q125" s="7" t="n">
        <v>2024.97</v>
      </c>
      <c r="R125" s="7" t="n">
        <v>2024.97</v>
      </c>
      <c r="S125" s="7" t="n">
        <v>2024.97</v>
      </c>
      <c r="T125" s="7" t="n">
        <v>2024.97</v>
      </c>
      <c r="U125" s="7" t="n">
        <v>2024.97</v>
      </c>
      <c r="V125" s="7" t="n">
        <v>2024.97</v>
      </c>
      <c r="W125" s="7" t="n">
        <v>2024.97</v>
      </c>
      <c r="X125" s="7" t="n">
        <v>2024.97</v>
      </c>
      <c r="Y125" s="7" t="n">
        <v>2024.97</v>
      </c>
      <c r="Z125" s="7" t="n">
        <v>350</v>
      </c>
      <c r="AA125" s="7" t="n">
        <v>250</v>
      </c>
      <c r="AB125" s="7" t="n">
        <v>600</v>
      </c>
    </row>
    <row r="126" customFormat="false" ht="15" hidden="false" customHeight="false" outlineLevel="0" collapsed="false">
      <c r="A126" s="8" t="s">
        <v>532</v>
      </c>
      <c r="B126" s="8" t="s">
        <v>521</v>
      </c>
      <c r="C126" s="8" t="s">
        <v>125</v>
      </c>
      <c r="D126" s="8" t="s">
        <v>126</v>
      </c>
      <c r="E126" s="8" t="n">
        <v>1989</v>
      </c>
      <c r="F126" s="8" t="s">
        <v>113</v>
      </c>
      <c r="G126" s="8" t="s">
        <v>139</v>
      </c>
      <c r="H126" s="8" t="s">
        <v>533</v>
      </c>
      <c r="I126" s="8" t="s">
        <v>107</v>
      </c>
      <c r="J126" s="9" t="n">
        <v>580000</v>
      </c>
      <c r="K126" s="8" t="s">
        <v>153</v>
      </c>
      <c r="L126" s="9" t="n">
        <v>5190.18</v>
      </c>
      <c r="M126" s="9" t="n">
        <v>648.77</v>
      </c>
      <c r="N126" s="9" t="n">
        <v>648.77</v>
      </c>
      <c r="O126" s="9" t="n">
        <v>3892.6</v>
      </c>
      <c r="P126" s="9" t="n">
        <v>389.26</v>
      </c>
      <c r="Q126" s="9" t="n">
        <v>389.26</v>
      </c>
      <c r="R126" s="9" t="n">
        <v>389.26</v>
      </c>
      <c r="S126" s="9" t="n">
        <v>389.26</v>
      </c>
      <c r="T126" s="9" t="n">
        <v>389.26</v>
      </c>
      <c r="U126" s="9" t="n">
        <v>389.26</v>
      </c>
      <c r="V126" s="9" t="n">
        <v>389.26</v>
      </c>
      <c r="W126" s="9" t="n">
        <v>389.26</v>
      </c>
      <c r="X126" s="9" t="n">
        <v>389.26</v>
      </c>
      <c r="Y126" s="9" t="n">
        <v>389.26</v>
      </c>
      <c r="Z126" s="9" t="n">
        <v>350</v>
      </c>
      <c r="AA126" s="9" t="n">
        <v>0</v>
      </c>
      <c r="AB126" s="9" t="n">
        <v>350</v>
      </c>
    </row>
    <row r="127" customFormat="false" ht="15" hidden="false" customHeight="false" outlineLevel="0" collapsed="false">
      <c r="A127" s="3" t="s">
        <v>534</v>
      </c>
      <c r="B127" s="3" t="s">
        <v>535</v>
      </c>
      <c r="C127" s="3" t="s">
        <v>163</v>
      </c>
      <c r="D127" s="3" t="s">
        <v>164</v>
      </c>
      <c r="E127" s="3" t="n">
        <v>2019</v>
      </c>
      <c r="F127" s="3" t="s">
        <v>113</v>
      </c>
      <c r="G127" s="3" t="s">
        <v>139</v>
      </c>
      <c r="H127" s="3" t="s">
        <v>536</v>
      </c>
      <c r="I127" s="3" t="s">
        <v>107</v>
      </c>
      <c r="J127" s="7" t="n">
        <v>940000</v>
      </c>
      <c r="K127" s="3" t="s">
        <v>210</v>
      </c>
      <c r="L127" s="7" t="n">
        <v>9874.57</v>
      </c>
      <c r="M127" s="7" t="n">
        <v>1234.32</v>
      </c>
      <c r="N127" s="7" t="n">
        <v>1234.32</v>
      </c>
      <c r="O127" s="7" t="n">
        <v>7405.9</v>
      </c>
      <c r="P127" s="7" t="n">
        <v>740.59</v>
      </c>
      <c r="Q127" s="7" t="n">
        <v>740.59</v>
      </c>
      <c r="R127" s="7" t="n">
        <v>740.59</v>
      </c>
      <c r="S127" s="7" t="n">
        <v>740.59</v>
      </c>
      <c r="T127" s="7" t="n">
        <v>740.59</v>
      </c>
      <c r="U127" s="7" t="n">
        <v>740.59</v>
      </c>
      <c r="V127" s="7" t="n">
        <v>740.59</v>
      </c>
      <c r="W127" s="7" t="n">
        <v>740.59</v>
      </c>
      <c r="X127" s="7" t="n">
        <v>740.59</v>
      </c>
      <c r="Y127" s="7" t="n">
        <v>740.59</v>
      </c>
      <c r="Z127" s="7" t="n">
        <v>350</v>
      </c>
      <c r="AA127" s="7" t="n">
        <v>0</v>
      </c>
      <c r="AB127" s="7" t="n">
        <v>350</v>
      </c>
    </row>
    <row r="128" customFormat="false" ht="15" hidden="false" customHeight="false" outlineLevel="0" collapsed="false">
      <c r="A128" s="8" t="s">
        <v>537</v>
      </c>
      <c r="B128" s="8" t="s">
        <v>538</v>
      </c>
      <c r="C128" s="8" t="s">
        <v>374</v>
      </c>
      <c r="D128" s="8" t="s">
        <v>375</v>
      </c>
      <c r="E128" s="8" t="n">
        <v>1990</v>
      </c>
      <c r="F128" s="8" t="s">
        <v>173</v>
      </c>
      <c r="G128" s="8" t="s">
        <v>174</v>
      </c>
      <c r="H128" s="8" t="s">
        <v>539</v>
      </c>
      <c r="I128" s="8" t="s">
        <v>107</v>
      </c>
      <c r="J128" s="9" t="n">
        <v>1350000</v>
      </c>
      <c r="K128" s="8" t="s">
        <v>540</v>
      </c>
      <c r="L128" s="9" t="n">
        <v>8819.19</v>
      </c>
      <c r="M128" s="9" t="n">
        <v>1102.4</v>
      </c>
      <c r="N128" s="9" t="n">
        <v>1102.4</v>
      </c>
      <c r="O128" s="9" t="n">
        <v>6614.4</v>
      </c>
      <c r="P128" s="9" t="n">
        <v>661.44</v>
      </c>
      <c r="Q128" s="9" t="n">
        <v>661.44</v>
      </c>
      <c r="R128" s="9" t="n">
        <v>661.44</v>
      </c>
      <c r="S128" s="9" t="n">
        <v>661.44</v>
      </c>
      <c r="T128" s="9" t="n">
        <v>661.44</v>
      </c>
      <c r="U128" s="9" t="n">
        <v>661.44</v>
      </c>
      <c r="V128" s="9" t="n">
        <v>661.44</v>
      </c>
      <c r="W128" s="9" t="n">
        <v>661.44</v>
      </c>
      <c r="X128" s="9" t="n">
        <v>661.44</v>
      </c>
      <c r="Y128" s="9" t="n">
        <v>661.44</v>
      </c>
      <c r="Z128" s="9" t="n">
        <v>350</v>
      </c>
      <c r="AA128" s="9" t="n">
        <v>250</v>
      </c>
      <c r="AB128" s="9" t="n">
        <v>600</v>
      </c>
    </row>
    <row r="129" customFormat="false" ht="15" hidden="false" customHeight="false" outlineLevel="0" collapsed="false">
      <c r="A129" s="3" t="s">
        <v>541</v>
      </c>
      <c r="B129" s="3" t="s">
        <v>542</v>
      </c>
      <c r="C129" s="3" t="s">
        <v>156</v>
      </c>
      <c r="D129" s="3" t="s">
        <v>157</v>
      </c>
      <c r="E129" s="3" t="n">
        <v>2016</v>
      </c>
      <c r="F129" s="3" t="s">
        <v>70</v>
      </c>
      <c r="G129" s="3" t="s">
        <v>71</v>
      </c>
      <c r="H129" s="3" t="s">
        <v>543</v>
      </c>
      <c r="I129" s="3" t="s">
        <v>56</v>
      </c>
      <c r="J129" s="7" t="n">
        <v>570000</v>
      </c>
      <c r="K129" s="3" t="s">
        <v>265</v>
      </c>
      <c r="L129" s="7" t="n">
        <v>9520.6</v>
      </c>
      <c r="M129" s="7" t="n">
        <v>1190.08</v>
      </c>
      <c r="N129" s="7" t="n">
        <v>1190.08</v>
      </c>
      <c r="O129" s="7" t="n">
        <v>7140.4</v>
      </c>
      <c r="P129" s="7" t="n">
        <v>714.04</v>
      </c>
      <c r="Q129" s="7" t="n">
        <v>714.04</v>
      </c>
      <c r="R129" s="7" t="n">
        <v>714.04</v>
      </c>
      <c r="S129" s="7" t="n">
        <v>714.04</v>
      </c>
      <c r="T129" s="7" t="n">
        <v>714.04</v>
      </c>
      <c r="U129" s="7" t="n">
        <v>714.04</v>
      </c>
      <c r="V129" s="7" t="n">
        <v>714.04</v>
      </c>
      <c r="W129" s="7" t="n">
        <v>714.04</v>
      </c>
      <c r="X129" s="7" t="n">
        <v>714.04</v>
      </c>
      <c r="Y129" s="7" t="n">
        <v>714.04</v>
      </c>
      <c r="Z129" s="7" t="n">
        <v>350</v>
      </c>
      <c r="AA129" s="7" t="n">
        <v>0</v>
      </c>
      <c r="AB129" s="7" t="n">
        <v>350</v>
      </c>
    </row>
    <row r="130" customFormat="false" ht="15" hidden="false" customHeight="false" outlineLevel="0" collapsed="false">
      <c r="A130" s="8" t="s">
        <v>544</v>
      </c>
      <c r="B130" s="8" t="s">
        <v>545</v>
      </c>
      <c r="C130" s="8" t="s">
        <v>306</v>
      </c>
      <c r="D130" s="8" t="s">
        <v>307</v>
      </c>
      <c r="E130" s="8" t="n">
        <v>1971</v>
      </c>
      <c r="F130" s="8" t="s">
        <v>146</v>
      </c>
      <c r="G130" s="8" t="s">
        <v>147</v>
      </c>
      <c r="H130" s="8" t="s">
        <v>546</v>
      </c>
      <c r="I130" s="8" t="s">
        <v>56</v>
      </c>
      <c r="J130" s="9" t="n">
        <v>595000</v>
      </c>
      <c r="K130" s="8" t="s">
        <v>65</v>
      </c>
      <c r="L130" s="9" t="n">
        <v>6998.72</v>
      </c>
      <c r="M130" s="9" t="n">
        <v>874.84</v>
      </c>
      <c r="N130" s="9" t="n">
        <v>874.84</v>
      </c>
      <c r="O130" s="9" t="n">
        <v>5249</v>
      </c>
      <c r="P130" s="9" t="n">
        <v>524.9</v>
      </c>
      <c r="Q130" s="9" t="n">
        <v>524.9</v>
      </c>
      <c r="R130" s="9" t="n">
        <v>524.9</v>
      </c>
      <c r="S130" s="9" t="n">
        <v>524.9</v>
      </c>
      <c r="T130" s="9" t="n">
        <v>524.9</v>
      </c>
      <c r="U130" s="9" t="n">
        <v>524.9</v>
      </c>
      <c r="V130" s="9" t="n">
        <v>524.9</v>
      </c>
      <c r="W130" s="9" t="n">
        <v>524.9</v>
      </c>
      <c r="X130" s="9" t="n">
        <v>524.9</v>
      </c>
      <c r="Y130" s="9" t="n">
        <v>524.9</v>
      </c>
      <c r="Z130" s="9" t="n">
        <v>350</v>
      </c>
      <c r="AA130" s="9" t="n">
        <v>0</v>
      </c>
      <c r="AB130" s="9" t="n">
        <v>350</v>
      </c>
    </row>
    <row r="131" customFormat="false" ht="15" hidden="false" customHeight="false" outlineLevel="0" collapsed="false">
      <c r="A131" s="3" t="s">
        <v>547</v>
      </c>
      <c r="B131" s="3" t="s">
        <v>548</v>
      </c>
      <c r="C131" s="3" t="s">
        <v>399</v>
      </c>
      <c r="D131" s="3" t="s">
        <v>400</v>
      </c>
      <c r="E131" s="3" t="n">
        <v>1998</v>
      </c>
      <c r="F131" s="3" t="s">
        <v>62</v>
      </c>
      <c r="G131" s="3" t="s">
        <v>63</v>
      </c>
      <c r="H131" s="3" t="s">
        <v>549</v>
      </c>
      <c r="I131" s="3" t="s">
        <v>47</v>
      </c>
      <c r="J131" s="7" t="n">
        <v>1195000</v>
      </c>
      <c r="K131" s="3" t="s">
        <v>153</v>
      </c>
      <c r="L131" s="7" t="n">
        <v>19894.99</v>
      </c>
      <c r="M131" s="7" t="n">
        <v>2486.87</v>
      </c>
      <c r="N131" s="7" t="n">
        <v>2486.87</v>
      </c>
      <c r="O131" s="7" t="n">
        <v>14921.2</v>
      </c>
      <c r="P131" s="7" t="n">
        <v>1492.12</v>
      </c>
      <c r="Q131" s="7" t="n">
        <v>1492.12</v>
      </c>
      <c r="R131" s="7" t="n">
        <v>1492.12</v>
      </c>
      <c r="S131" s="7" t="n">
        <v>1492.12</v>
      </c>
      <c r="T131" s="7" t="n">
        <v>1492.12</v>
      </c>
      <c r="U131" s="7" t="n">
        <v>1492.12</v>
      </c>
      <c r="V131" s="7" t="n">
        <v>1492.12</v>
      </c>
      <c r="W131" s="7" t="n">
        <v>1492.12</v>
      </c>
      <c r="X131" s="7" t="n">
        <v>1492.12</v>
      </c>
      <c r="Y131" s="7" t="n">
        <v>1492.12</v>
      </c>
      <c r="Z131" s="7" t="n">
        <v>350</v>
      </c>
      <c r="AA131" s="7" t="n">
        <v>250</v>
      </c>
      <c r="AB131" s="7" t="n">
        <v>600</v>
      </c>
    </row>
    <row r="132" customFormat="false" ht="15" hidden="false" customHeight="false" outlineLevel="0" collapsed="false">
      <c r="A132" s="8" t="s">
        <v>550</v>
      </c>
      <c r="B132" s="8" t="s">
        <v>551</v>
      </c>
      <c r="C132" s="8" t="s">
        <v>87</v>
      </c>
      <c r="D132" s="8" t="s">
        <v>88</v>
      </c>
      <c r="E132" s="8" t="n">
        <v>2012</v>
      </c>
      <c r="F132" s="8" t="s">
        <v>70</v>
      </c>
      <c r="G132" s="8" t="s">
        <v>71</v>
      </c>
      <c r="H132" s="8" t="s">
        <v>552</v>
      </c>
      <c r="I132" s="8" t="s">
        <v>56</v>
      </c>
      <c r="J132" s="9" t="n">
        <v>580000</v>
      </c>
      <c r="K132" s="8" t="s">
        <v>496</v>
      </c>
      <c r="L132" s="9" t="n">
        <v>8868.96</v>
      </c>
      <c r="M132" s="9" t="n">
        <v>1108.62</v>
      </c>
      <c r="N132" s="9" t="n">
        <v>1108.62</v>
      </c>
      <c r="O132" s="9" t="n">
        <v>6651.7</v>
      </c>
      <c r="P132" s="9" t="n">
        <v>665.17</v>
      </c>
      <c r="Q132" s="9" t="n">
        <v>665.17</v>
      </c>
      <c r="R132" s="9" t="n">
        <v>665.17</v>
      </c>
      <c r="S132" s="9" t="n">
        <v>665.17</v>
      </c>
      <c r="T132" s="9" t="n">
        <v>665.17</v>
      </c>
      <c r="U132" s="9" t="n">
        <v>665.17</v>
      </c>
      <c r="V132" s="9" t="n">
        <v>665.17</v>
      </c>
      <c r="W132" s="9" t="n">
        <v>665.17</v>
      </c>
      <c r="X132" s="9" t="n">
        <v>665.17</v>
      </c>
      <c r="Y132" s="9" t="n">
        <v>665.17</v>
      </c>
      <c r="Z132" s="9" t="n">
        <v>350</v>
      </c>
      <c r="AA132" s="9" t="n">
        <v>0</v>
      </c>
      <c r="AB132" s="9" t="n">
        <v>350</v>
      </c>
    </row>
    <row r="133" customFormat="false" ht="15" hidden="false" customHeight="false" outlineLevel="0" collapsed="false">
      <c r="A133" s="3" t="s">
        <v>553</v>
      </c>
      <c r="B133" s="3" t="s">
        <v>342</v>
      </c>
      <c r="C133" s="3" t="s">
        <v>42</v>
      </c>
      <c r="D133" s="3" t="s">
        <v>43</v>
      </c>
      <c r="E133" s="3" t="n">
        <v>2010</v>
      </c>
      <c r="F133" s="3" t="s">
        <v>113</v>
      </c>
      <c r="G133" s="3" t="s">
        <v>114</v>
      </c>
      <c r="H133" s="3" t="s">
        <v>554</v>
      </c>
      <c r="I133" s="3" t="s">
        <v>56</v>
      </c>
      <c r="J133" s="7" t="n">
        <v>555000</v>
      </c>
      <c r="K133" s="3" t="s">
        <v>65</v>
      </c>
      <c r="L133" s="7" t="n">
        <v>6528.21</v>
      </c>
      <c r="M133" s="7" t="n">
        <v>816.03</v>
      </c>
      <c r="N133" s="7" t="n">
        <v>816.03</v>
      </c>
      <c r="O133" s="7" t="n">
        <v>4896.2</v>
      </c>
      <c r="P133" s="7" t="n">
        <v>489.62</v>
      </c>
      <c r="Q133" s="7" t="n">
        <v>489.62</v>
      </c>
      <c r="R133" s="7" t="n">
        <v>489.62</v>
      </c>
      <c r="S133" s="7" t="n">
        <v>489.62</v>
      </c>
      <c r="T133" s="7" t="n">
        <v>489.62</v>
      </c>
      <c r="U133" s="7" t="n">
        <v>489.62</v>
      </c>
      <c r="V133" s="7" t="n">
        <v>489.62</v>
      </c>
      <c r="W133" s="7" t="n">
        <v>489.62</v>
      </c>
      <c r="X133" s="7" t="n">
        <v>489.62</v>
      </c>
      <c r="Y133" s="7" t="n">
        <v>489.62</v>
      </c>
      <c r="Z133" s="7" t="n">
        <v>350</v>
      </c>
      <c r="AA133" s="7" t="n">
        <v>0</v>
      </c>
      <c r="AB133" s="7" t="n">
        <v>350</v>
      </c>
    </row>
    <row r="134" customFormat="false" ht="15" hidden="false" customHeight="false" outlineLevel="0" collapsed="false">
      <c r="A134" s="8" t="s">
        <v>555</v>
      </c>
      <c r="B134" s="8" t="s">
        <v>556</v>
      </c>
      <c r="C134" s="8" t="s">
        <v>76</v>
      </c>
      <c r="D134" s="8" t="s">
        <v>77</v>
      </c>
      <c r="E134" s="8" t="n">
        <v>2016</v>
      </c>
      <c r="F134" s="8" t="s">
        <v>70</v>
      </c>
      <c r="G134" s="8" t="s">
        <v>557</v>
      </c>
      <c r="H134" s="8" t="s">
        <v>558</v>
      </c>
      <c r="I134" s="8" t="s">
        <v>107</v>
      </c>
      <c r="J134" s="9" t="n">
        <v>405000</v>
      </c>
      <c r="K134" s="8" t="s">
        <v>48</v>
      </c>
      <c r="L134" s="9" t="n">
        <v>3799.34</v>
      </c>
      <c r="M134" s="9" t="n">
        <v>474.92</v>
      </c>
      <c r="N134" s="9" t="n">
        <v>474.92</v>
      </c>
      <c r="O134" s="9" t="n">
        <v>2849.5</v>
      </c>
      <c r="P134" s="9" t="n">
        <v>284.95</v>
      </c>
      <c r="Q134" s="9" t="n">
        <v>284.95</v>
      </c>
      <c r="R134" s="9" t="n">
        <v>284.95</v>
      </c>
      <c r="S134" s="9" t="n">
        <v>284.95</v>
      </c>
      <c r="T134" s="9" t="n">
        <v>284.95</v>
      </c>
      <c r="U134" s="9" t="n">
        <v>284.95</v>
      </c>
      <c r="V134" s="9" t="n">
        <v>284.95</v>
      </c>
      <c r="W134" s="9" t="n">
        <v>284.95</v>
      </c>
      <c r="X134" s="9" t="n">
        <v>284.95</v>
      </c>
      <c r="Y134" s="9" t="n">
        <v>284.95</v>
      </c>
      <c r="Z134" s="9" t="n">
        <v>350</v>
      </c>
      <c r="AA134" s="9" t="n">
        <v>0</v>
      </c>
      <c r="AB134" s="9" t="n">
        <v>350</v>
      </c>
    </row>
    <row r="135" customFormat="false" ht="15" hidden="false" customHeight="false" outlineLevel="0" collapsed="false">
      <c r="A135" s="3" t="s">
        <v>559</v>
      </c>
      <c r="B135" s="3" t="s">
        <v>560</v>
      </c>
      <c r="C135" s="3" t="s">
        <v>328</v>
      </c>
      <c r="D135" s="3" t="s">
        <v>329</v>
      </c>
      <c r="E135" s="3" t="n">
        <v>1998</v>
      </c>
      <c r="F135" s="3" t="s">
        <v>119</v>
      </c>
      <c r="G135" s="3" t="s">
        <v>120</v>
      </c>
      <c r="H135" s="3" t="s">
        <v>561</v>
      </c>
      <c r="I135" s="3" t="s">
        <v>56</v>
      </c>
      <c r="J135" s="7" t="n">
        <v>425000</v>
      </c>
      <c r="K135" s="3" t="s">
        <v>93</v>
      </c>
      <c r="L135" s="7" t="n">
        <v>8940.66</v>
      </c>
      <c r="M135" s="7" t="n">
        <v>1117.58</v>
      </c>
      <c r="N135" s="7" t="n">
        <v>1117.58</v>
      </c>
      <c r="O135" s="7" t="n">
        <v>6705.5</v>
      </c>
      <c r="P135" s="7" t="n">
        <v>670.55</v>
      </c>
      <c r="Q135" s="7" t="n">
        <v>670.55</v>
      </c>
      <c r="R135" s="7" t="n">
        <v>670.55</v>
      </c>
      <c r="S135" s="7" t="n">
        <v>670.55</v>
      </c>
      <c r="T135" s="7" t="n">
        <v>670.55</v>
      </c>
      <c r="U135" s="7" t="n">
        <v>670.55</v>
      </c>
      <c r="V135" s="7" t="n">
        <v>670.55</v>
      </c>
      <c r="W135" s="7" t="n">
        <v>670.55</v>
      </c>
      <c r="X135" s="7" t="n">
        <v>670.55</v>
      </c>
      <c r="Y135" s="7" t="n">
        <v>670.55</v>
      </c>
      <c r="Z135" s="7" t="n">
        <v>350</v>
      </c>
      <c r="AA135" s="7" t="n">
        <v>0</v>
      </c>
      <c r="AB135" s="7" t="n">
        <v>350</v>
      </c>
    </row>
    <row r="136" customFormat="false" ht="15" hidden="false" customHeight="false" outlineLevel="0" collapsed="false">
      <c r="A136" s="8" t="s">
        <v>562</v>
      </c>
      <c r="B136" s="8" t="s">
        <v>563</v>
      </c>
      <c r="C136" s="8" t="s">
        <v>473</v>
      </c>
      <c r="D136" s="8" t="s">
        <v>474</v>
      </c>
      <c r="E136" s="8" t="n">
        <v>1955</v>
      </c>
      <c r="F136" s="8" t="s">
        <v>158</v>
      </c>
      <c r="G136" s="8" t="s">
        <v>159</v>
      </c>
      <c r="H136" s="8" t="s">
        <v>564</v>
      </c>
      <c r="I136" s="8" t="s">
        <v>56</v>
      </c>
      <c r="J136" s="9" t="n">
        <v>445000</v>
      </c>
      <c r="K136" s="8" t="s">
        <v>303</v>
      </c>
      <c r="L136" s="9" t="n">
        <v>6764.37</v>
      </c>
      <c r="M136" s="9" t="n">
        <v>845.55</v>
      </c>
      <c r="N136" s="9" t="n">
        <v>845.55</v>
      </c>
      <c r="O136" s="9" t="n">
        <v>5073.3</v>
      </c>
      <c r="P136" s="9" t="n">
        <v>507.33</v>
      </c>
      <c r="Q136" s="9" t="n">
        <v>507.33</v>
      </c>
      <c r="R136" s="9" t="n">
        <v>507.33</v>
      </c>
      <c r="S136" s="9" t="n">
        <v>507.33</v>
      </c>
      <c r="T136" s="9" t="n">
        <v>507.33</v>
      </c>
      <c r="U136" s="9" t="n">
        <v>507.33</v>
      </c>
      <c r="V136" s="9" t="n">
        <v>507.33</v>
      </c>
      <c r="W136" s="9" t="n">
        <v>507.33</v>
      </c>
      <c r="X136" s="9" t="n">
        <v>507.33</v>
      </c>
      <c r="Y136" s="9" t="n">
        <v>507.33</v>
      </c>
      <c r="Z136" s="9" t="n">
        <v>350</v>
      </c>
      <c r="AA136" s="9" t="n">
        <v>0</v>
      </c>
      <c r="AB136" s="9" t="n">
        <v>350</v>
      </c>
    </row>
    <row r="137" customFormat="false" ht="15" hidden="false" customHeight="false" outlineLevel="0" collapsed="false">
      <c r="A137" s="3" t="s">
        <v>565</v>
      </c>
      <c r="B137" s="3" t="s">
        <v>566</v>
      </c>
      <c r="C137" s="3" t="s">
        <v>144</v>
      </c>
      <c r="D137" s="3" t="s">
        <v>145</v>
      </c>
      <c r="E137" s="3" t="n">
        <v>1970</v>
      </c>
      <c r="F137" s="3" t="s">
        <v>158</v>
      </c>
      <c r="G137" s="3" t="s">
        <v>159</v>
      </c>
      <c r="H137" s="3" t="s">
        <v>567</v>
      </c>
      <c r="I137" s="3" t="s">
        <v>56</v>
      </c>
      <c r="J137" s="7" t="n">
        <v>570000</v>
      </c>
      <c r="K137" s="3" t="s">
        <v>79</v>
      </c>
      <c r="L137" s="7" t="n">
        <v>6503.51</v>
      </c>
      <c r="M137" s="7" t="n">
        <v>812.94</v>
      </c>
      <c r="N137" s="7" t="n">
        <v>812.94</v>
      </c>
      <c r="O137" s="7" t="n">
        <v>4877.6</v>
      </c>
      <c r="P137" s="7" t="n">
        <v>487.76</v>
      </c>
      <c r="Q137" s="7" t="n">
        <v>487.76</v>
      </c>
      <c r="R137" s="7" t="n">
        <v>487.76</v>
      </c>
      <c r="S137" s="7" t="n">
        <v>487.76</v>
      </c>
      <c r="T137" s="7" t="n">
        <v>487.76</v>
      </c>
      <c r="U137" s="7" t="n">
        <v>487.76</v>
      </c>
      <c r="V137" s="7" t="n">
        <v>487.76</v>
      </c>
      <c r="W137" s="7" t="n">
        <v>487.76</v>
      </c>
      <c r="X137" s="7" t="n">
        <v>487.76</v>
      </c>
      <c r="Y137" s="7" t="n">
        <v>487.76</v>
      </c>
      <c r="Z137" s="7" t="n">
        <v>350</v>
      </c>
      <c r="AA137" s="7" t="n">
        <v>0</v>
      </c>
      <c r="AB137" s="7" t="n">
        <v>350</v>
      </c>
    </row>
    <row r="138" customFormat="false" ht="15" hidden="false" customHeight="false" outlineLevel="0" collapsed="false">
      <c r="A138" s="8" t="s">
        <v>568</v>
      </c>
      <c r="B138" s="8" t="s">
        <v>569</v>
      </c>
      <c r="C138" s="8" t="s">
        <v>328</v>
      </c>
      <c r="D138" s="8" t="s">
        <v>329</v>
      </c>
      <c r="E138" s="8" t="n">
        <v>2006</v>
      </c>
      <c r="F138" s="8" t="s">
        <v>53</v>
      </c>
      <c r="G138" s="8" t="s">
        <v>54</v>
      </c>
      <c r="H138" s="8" t="s">
        <v>570</v>
      </c>
      <c r="I138" s="8" t="s">
        <v>56</v>
      </c>
      <c r="J138" s="9" t="n">
        <v>710000</v>
      </c>
      <c r="K138" s="8" t="s">
        <v>166</v>
      </c>
      <c r="L138" s="9" t="n">
        <v>9186.55</v>
      </c>
      <c r="M138" s="9" t="n">
        <v>1148.32</v>
      </c>
      <c r="N138" s="9" t="n">
        <v>1148.32</v>
      </c>
      <c r="O138" s="9" t="n">
        <v>6889.9</v>
      </c>
      <c r="P138" s="9" t="n">
        <v>688.99</v>
      </c>
      <c r="Q138" s="9" t="n">
        <v>688.99</v>
      </c>
      <c r="R138" s="9" t="n">
        <v>688.99</v>
      </c>
      <c r="S138" s="9" t="n">
        <v>688.99</v>
      </c>
      <c r="T138" s="9" t="n">
        <v>688.99</v>
      </c>
      <c r="U138" s="9" t="n">
        <v>688.99</v>
      </c>
      <c r="V138" s="9" t="n">
        <v>688.99</v>
      </c>
      <c r="W138" s="9" t="n">
        <v>688.99</v>
      </c>
      <c r="X138" s="9" t="n">
        <v>688.99</v>
      </c>
      <c r="Y138" s="9" t="n">
        <v>688.99</v>
      </c>
      <c r="Z138" s="9" t="n">
        <v>350</v>
      </c>
      <c r="AA138" s="9" t="n">
        <v>0</v>
      </c>
      <c r="AB138" s="9" t="n">
        <v>350</v>
      </c>
    </row>
    <row r="139" customFormat="false" ht="15" hidden="false" customHeight="false" outlineLevel="0" collapsed="false">
      <c r="A139" s="3" t="s">
        <v>571</v>
      </c>
      <c r="B139" s="3" t="s">
        <v>414</v>
      </c>
      <c r="C139" s="3" t="s">
        <v>156</v>
      </c>
      <c r="D139" s="3" t="s">
        <v>157</v>
      </c>
      <c r="E139" s="3" t="n">
        <v>1958</v>
      </c>
      <c r="F139" s="3" t="s">
        <v>158</v>
      </c>
      <c r="G139" s="3" t="s">
        <v>159</v>
      </c>
      <c r="H139" s="3" t="s">
        <v>572</v>
      </c>
      <c r="I139" s="3" t="s">
        <v>56</v>
      </c>
      <c r="J139" s="7" t="n">
        <v>550000</v>
      </c>
      <c r="K139" s="3" t="s">
        <v>65</v>
      </c>
      <c r="L139" s="7" t="n">
        <v>6469.4</v>
      </c>
      <c r="M139" s="7" t="n">
        <v>808.67</v>
      </c>
      <c r="N139" s="7" t="n">
        <v>808.67</v>
      </c>
      <c r="O139" s="7" t="n">
        <v>4852</v>
      </c>
      <c r="P139" s="7" t="n">
        <v>485.2</v>
      </c>
      <c r="Q139" s="7" t="n">
        <v>485.2</v>
      </c>
      <c r="R139" s="7" t="n">
        <v>485.2</v>
      </c>
      <c r="S139" s="7" t="n">
        <v>485.2</v>
      </c>
      <c r="T139" s="7" t="n">
        <v>485.2</v>
      </c>
      <c r="U139" s="7" t="n">
        <v>485.2</v>
      </c>
      <c r="V139" s="7" t="n">
        <v>485.2</v>
      </c>
      <c r="W139" s="7" t="n">
        <v>485.2</v>
      </c>
      <c r="X139" s="7" t="n">
        <v>485.2</v>
      </c>
      <c r="Y139" s="7" t="n">
        <v>485.2</v>
      </c>
      <c r="Z139" s="7" t="n">
        <v>350</v>
      </c>
      <c r="AA139" s="7" t="n">
        <v>0</v>
      </c>
      <c r="AB139" s="7" t="n">
        <v>350</v>
      </c>
    </row>
    <row r="140" customFormat="false" ht="15" hidden="false" customHeight="false" outlineLevel="0" collapsed="false">
      <c r="A140" s="8" t="s">
        <v>573</v>
      </c>
      <c r="B140" s="8" t="s">
        <v>574</v>
      </c>
      <c r="C140" s="8" t="s">
        <v>156</v>
      </c>
      <c r="D140" s="8" t="s">
        <v>157</v>
      </c>
      <c r="E140" s="8" t="n">
        <v>2008</v>
      </c>
      <c r="F140" s="8" t="s">
        <v>70</v>
      </c>
      <c r="G140" s="8" t="s">
        <v>71</v>
      </c>
      <c r="H140" s="8" t="s">
        <v>575</v>
      </c>
      <c r="I140" s="8" t="s">
        <v>56</v>
      </c>
      <c r="J140" s="9" t="n">
        <v>325000</v>
      </c>
      <c r="K140" s="8" t="s">
        <v>134</v>
      </c>
      <c r="L140" s="9" t="n">
        <v>5646.02</v>
      </c>
      <c r="M140" s="9" t="n">
        <v>705.75</v>
      </c>
      <c r="N140" s="9" t="n">
        <v>705.75</v>
      </c>
      <c r="O140" s="9" t="n">
        <v>4234.5</v>
      </c>
      <c r="P140" s="9" t="n">
        <v>423.45</v>
      </c>
      <c r="Q140" s="9" t="n">
        <v>423.45</v>
      </c>
      <c r="R140" s="9" t="n">
        <v>423.45</v>
      </c>
      <c r="S140" s="9" t="n">
        <v>423.45</v>
      </c>
      <c r="T140" s="9" t="n">
        <v>423.45</v>
      </c>
      <c r="U140" s="9" t="n">
        <v>423.45</v>
      </c>
      <c r="V140" s="9" t="n">
        <v>423.45</v>
      </c>
      <c r="W140" s="9" t="n">
        <v>423.45</v>
      </c>
      <c r="X140" s="9" t="n">
        <v>423.45</v>
      </c>
      <c r="Y140" s="9" t="n">
        <v>423.45</v>
      </c>
      <c r="Z140" s="9" t="n">
        <v>350</v>
      </c>
      <c r="AA140" s="9" t="n">
        <v>0</v>
      </c>
      <c r="AB140" s="9" t="n">
        <v>350</v>
      </c>
    </row>
    <row r="141" customFormat="false" ht="15" hidden="false" customHeight="false" outlineLevel="0" collapsed="false">
      <c r="A141" s="3" t="s">
        <v>576</v>
      </c>
      <c r="B141" s="3" t="s">
        <v>577</v>
      </c>
      <c r="C141" s="3" t="s">
        <v>111</v>
      </c>
      <c r="D141" s="3" t="s">
        <v>112</v>
      </c>
      <c r="E141" s="3" t="n">
        <v>1963</v>
      </c>
      <c r="F141" s="3" t="s">
        <v>53</v>
      </c>
      <c r="G141" s="3" t="s">
        <v>578</v>
      </c>
      <c r="H141" s="3" t="s">
        <v>579</v>
      </c>
      <c r="I141" s="3" t="s">
        <v>273</v>
      </c>
      <c r="J141" s="7" t="n">
        <v>685000</v>
      </c>
      <c r="K141" s="3" t="s">
        <v>580</v>
      </c>
      <c r="L141" s="7" t="n">
        <v>4757.55</v>
      </c>
      <c r="M141" s="7" t="n">
        <v>594.69</v>
      </c>
      <c r="N141" s="7" t="n">
        <v>594.69</v>
      </c>
      <c r="O141" s="7" t="n">
        <v>3568.2</v>
      </c>
      <c r="P141" s="7" t="n">
        <v>356.82</v>
      </c>
      <c r="Q141" s="7" t="n">
        <v>356.82</v>
      </c>
      <c r="R141" s="7" t="n">
        <v>356.82</v>
      </c>
      <c r="S141" s="7" t="n">
        <v>356.82</v>
      </c>
      <c r="T141" s="7" t="n">
        <v>356.82</v>
      </c>
      <c r="U141" s="7" t="n">
        <v>356.82</v>
      </c>
      <c r="V141" s="7" t="n">
        <v>356.82</v>
      </c>
      <c r="W141" s="7" t="n">
        <v>356.82</v>
      </c>
      <c r="X141" s="7" t="n">
        <v>356.82</v>
      </c>
      <c r="Y141" s="7" t="n">
        <v>356.82</v>
      </c>
      <c r="Z141" s="7" t="n">
        <v>350</v>
      </c>
      <c r="AA141" s="7" t="n">
        <v>0</v>
      </c>
      <c r="AB141" s="7" t="n">
        <v>350</v>
      </c>
    </row>
    <row r="142" customFormat="false" ht="15" hidden="false" customHeight="false" outlineLevel="0" collapsed="false">
      <c r="A142" s="8" t="s">
        <v>581</v>
      </c>
      <c r="B142" s="8" t="s">
        <v>582</v>
      </c>
      <c r="C142" s="8" t="s">
        <v>103</v>
      </c>
      <c r="D142" s="8" t="s">
        <v>104</v>
      </c>
      <c r="E142" s="8" t="n">
        <v>1961</v>
      </c>
      <c r="F142" s="8" t="s">
        <v>62</v>
      </c>
      <c r="G142" s="8" t="s">
        <v>63</v>
      </c>
      <c r="H142" s="8" t="s">
        <v>583</v>
      </c>
      <c r="I142" s="8" t="s">
        <v>47</v>
      </c>
      <c r="J142" s="9" t="n">
        <v>1950000</v>
      </c>
      <c r="K142" s="8" t="s">
        <v>134</v>
      </c>
      <c r="L142" s="9" t="n">
        <v>36134.54</v>
      </c>
      <c r="M142" s="9" t="n">
        <v>4516.82</v>
      </c>
      <c r="N142" s="9" t="n">
        <v>4516.82</v>
      </c>
      <c r="O142" s="9" t="n">
        <v>27100.9</v>
      </c>
      <c r="P142" s="9" t="n">
        <v>2710.09</v>
      </c>
      <c r="Q142" s="9" t="n">
        <v>2710.09</v>
      </c>
      <c r="R142" s="9" t="n">
        <v>2710.09</v>
      </c>
      <c r="S142" s="9" t="n">
        <v>2710.09</v>
      </c>
      <c r="T142" s="9" t="n">
        <v>2710.09</v>
      </c>
      <c r="U142" s="9" t="n">
        <v>2710.09</v>
      </c>
      <c r="V142" s="9" t="n">
        <v>2710.09</v>
      </c>
      <c r="W142" s="9" t="n">
        <v>2710.09</v>
      </c>
      <c r="X142" s="9" t="n">
        <v>2710.09</v>
      </c>
      <c r="Y142" s="9" t="n">
        <v>2710.09</v>
      </c>
      <c r="Z142" s="9" t="n">
        <v>350</v>
      </c>
      <c r="AA142" s="9" t="n">
        <v>250</v>
      </c>
      <c r="AB142" s="9" t="n">
        <v>600</v>
      </c>
    </row>
    <row r="143" customFormat="false" ht="15" hidden="false" customHeight="false" outlineLevel="0" collapsed="false">
      <c r="A143" s="3" t="s">
        <v>584</v>
      </c>
      <c r="B143" s="3" t="s">
        <v>566</v>
      </c>
      <c r="C143" s="3" t="s">
        <v>76</v>
      </c>
      <c r="D143" s="3" t="s">
        <v>77</v>
      </c>
      <c r="E143" s="3" t="n">
        <v>2022</v>
      </c>
      <c r="F143" s="3" t="s">
        <v>70</v>
      </c>
      <c r="G143" s="3" t="s">
        <v>557</v>
      </c>
      <c r="H143" s="3" t="s">
        <v>585</v>
      </c>
      <c r="I143" s="3" t="s">
        <v>107</v>
      </c>
      <c r="J143" s="7" t="n">
        <v>1485000</v>
      </c>
      <c r="K143" s="3" t="s">
        <v>153</v>
      </c>
      <c r="L143" s="7" t="n">
        <v>11743.46</v>
      </c>
      <c r="M143" s="7" t="n">
        <v>1467.93</v>
      </c>
      <c r="N143" s="7" t="n">
        <v>1467.93</v>
      </c>
      <c r="O143" s="7" t="n">
        <v>8807.6</v>
      </c>
      <c r="P143" s="7" t="n">
        <v>880.76</v>
      </c>
      <c r="Q143" s="7" t="n">
        <v>880.76</v>
      </c>
      <c r="R143" s="7" t="n">
        <v>880.76</v>
      </c>
      <c r="S143" s="7" t="n">
        <v>880.76</v>
      </c>
      <c r="T143" s="7" t="n">
        <v>880.76</v>
      </c>
      <c r="U143" s="7" t="n">
        <v>880.76</v>
      </c>
      <c r="V143" s="7" t="n">
        <v>880.76</v>
      </c>
      <c r="W143" s="7" t="n">
        <v>880.76</v>
      </c>
      <c r="X143" s="7" t="n">
        <v>880.76</v>
      </c>
      <c r="Y143" s="7" t="n">
        <v>880.76</v>
      </c>
      <c r="Z143" s="7" t="n">
        <v>350</v>
      </c>
      <c r="AA143" s="7" t="n">
        <v>250</v>
      </c>
      <c r="AB143" s="7" t="n">
        <v>600</v>
      </c>
    </row>
    <row r="144" customFormat="false" ht="15" hidden="false" customHeight="false" outlineLevel="0" collapsed="false">
      <c r="A144" s="8" t="s">
        <v>586</v>
      </c>
      <c r="B144" s="8" t="s">
        <v>587</v>
      </c>
      <c r="C144" s="8" t="s">
        <v>125</v>
      </c>
      <c r="D144" s="8" t="s">
        <v>126</v>
      </c>
      <c r="E144" s="8" t="n">
        <v>1968</v>
      </c>
      <c r="F144" s="8" t="s">
        <v>70</v>
      </c>
      <c r="G144" s="8" t="s">
        <v>71</v>
      </c>
      <c r="H144" s="8" t="s">
        <v>588</v>
      </c>
      <c r="I144" s="8" t="s">
        <v>56</v>
      </c>
      <c r="J144" s="9" t="n">
        <v>1215000</v>
      </c>
      <c r="K144" s="8" t="s">
        <v>122</v>
      </c>
      <c r="L144" s="9" t="n">
        <v>16688.07</v>
      </c>
      <c r="M144" s="9" t="n">
        <v>2086.01</v>
      </c>
      <c r="N144" s="9" t="n">
        <v>2086.01</v>
      </c>
      <c r="O144" s="9" t="n">
        <v>12516.1</v>
      </c>
      <c r="P144" s="9" t="n">
        <v>1251.61</v>
      </c>
      <c r="Q144" s="9" t="n">
        <v>1251.61</v>
      </c>
      <c r="R144" s="9" t="n">
        <v>1251.61</v>
      </c>
      <c r="S144" s="9" t="n">
        <v>1251.61</v>
      </c>
      <c r="T144" s="9" t="n">
        <v>1251.61</v>
      </c>
      <c r="U144" s="9" t="n">
        <v>1251.61</v>
      </c>
      <c r="V144" s="9" t="n">
        <v>1251.61</v>
      </c>
      <c r="W144" s="9" t="n">
        <v>1251.61</v>
      </c>
      <c r="X144" s="9" t="n">
        <v>1251.61</v>
      </c>
      <c r="Y144" s="9" t="n">
        <v>1251.61</v>
      </c>
      <c r="Z144" s="9" t="n">
        <v>350</v>
      </c>
      <c r="AA144" s="9" t="n">
        <v>250</v>
      </c>
      <c r="AB144" s="9" t="n">
        <v>600</v>
      </c>
    </row>
    <row r="145" customFormat="false" ht="15" hidden="false" customHeight="false" outlineLevel="0" collapsed="false">
      <c r="A145" s="3" t="s">
        <v>589</v>
      </c>
      <c r="B145" s="3" t="s">
        <v>590</v>
      </c>
      <c r="C145" s="3" t="s">
        <v>87</v>
      </c>
      <c r="D145" s="3" t="s">
        <v>88</v>
      </c>
      <c r="E145" s="3" t="n">
        <v>1972</v>
      </c>
      <c r="F145" s="3" t="s">
        <v>424</v>
      </c>
      <c r="G145" s="3" t="s">
        <v>425</v>
      </c>
      <c r="H145" s="3" t="s">
        <v>591</v>
      </c>
      <c r="I145" s="3" t="s">
        <v>273</v>
      </c>
      <c r="J145" s="7" t="n">
        <v>1950000</v>
      </c>
      <c r="K145" s="3" t="s">
        <v>265</v>
      </c>
      <c r="L145" s="7" t="n">
        <v>17036.88</v>
      </c>
      <c r="M145" s="7" t="n">
        <v>2129.61</v>
      </c>
      <c r="N145" s="7" t="n">
        <v>2129.61</v>
      </c>
      <c r="O145" s="7" t="n">
        <v>12777.7</v>
      </c>
      <c r="P145" s="7" t="n">
        <v>1277.77</v>
      </c>
      <c r="Q145" s="7" t="n">
        <v>1277.77</v>
      </c>
      <c r="R145" s="7" t="n">
        <v>1277.77</v>
      </c>
      <c r="S145" s="7" t="n">
        <v>1277.77</v>
      </c>
      <c r="T145" s="7" t="n">
        <v>1277.77</v>
      </c>
      <c r="U145" s="7" t="n">
        <v>1277.77</v>
      </c>
      <c r="V145" s="7" t="n">
        <v>1277.77</v>
      </c>
      <c r="W145" s="7" t="n">
        <v>1277.77</v>
      </c>
      <c r="X145" s="7" t="n">
        <v>1277.77</v>
      </c>
      <c r="Y145" s="7" t="n">
        <v>1277.77</v>
      </c>
      <c r="Z145" s="7" t="n">
        <v>350</v>
      </c>
      <c r="AA145" s="7" t="n">
        <v>250</v>
      </c>
      <c r="AB145" s="7" t="n">
        <v>600</v>
      </c>
    </row>
    <row r="146" customFormat="false" ht="15" hidden="false" customHeight="false" outlineLevel="0" collapsed="false">
      <c r="A146" s="8" t="s">
        <v>592</v>
      </c>
      <c r="B146" s="8" t="s">
        <v>593</v>
      </c>
      <c r="C146" s="8" t="s">
        <v>51</v>
      </c>
      <c r="D146" s="8" t="s">
        <v>52</v>
      </c>
      <c r="E146" s="8" t="n">
        <v>2019</v>
      </c>
      <c r="F146" s="8" t="s">
        <v>53</v>
      </c>
      <c r="G146" s="8" t="s">
        <v>54</v>
      </c>
      <c r="H146" s="8" t="s">
        <v>594</v>
      </c>
      <c r="I146" s="8" t="s">
        <v>56</v>
      </c>
      <c r="J146" s="9" t="n">
        <v>405000</v>
      </c>
      <c r="K146" s="8" t="s">
        <v>134</v>
      </c>
      <c r="L146" s="9" t="n">
        <v>7035.81</v>
      </c>
      <c r="M146" s="9" t="n">
        <v>879.48</v>
      </c>
      <c r="N146" s="9" t="n">
        <v>879.48</v>
      </c>
      <c r="O146" s="9" t="n">
        <v>5276.9</v>
      </c>
      <c r="P146" s="9" t="n">
        <v>527.69</v>
      </c>
      <c r="Q146" s="9" t="n">
        <v>527.69</v>
      </c>
      <c r="R146" s="9" t="n">
        <v>527.69</v>
      </c>
      <c r="S146" s="9" t="n">
        <v>527.69</v>
      </c>
      <c r="T146" s="9" t="n">
        <v>527.69</v>
      </c>
      <c r="U146" s="9" t="n">
        <v>527.69</v>
      </c>
      <c r="V146" s="9" t="n">
        <v>527.69</v>
      </c>
      <c r="W146" s="9" t="n">
        <v>527.69</v>
      </c>
      <c r="X146" s="9" t="n">
        <v>527.69</v>
      </c>
      <c r="Y146" s="9" t="n">
        <v>527.69</v>
      </c>
      <c r="Z146" s="9" t="n">
        <v>350</v>
      </c>
      <c r="AA146" s="9" t="n">
        <v>0</v>
      </c>
      <c r="AB146" s="9" t="n">
        <v>350</v>
      </c>
    </row>
    <row r="147" customFormat="false" ht="15" hidden="false" customHeight="false" outlineLevel="0" collapsed="false">
      <c r="A147" s="3" t="s">
        <v>595</v>
      </c>
      <c r="B147" s="3" t="s">
        <v>596</v>
      </c>
      <c r="C147" s="3" t="s">
        <v>137</v>
      </c>
      <c r="D147" s="3" t="s">
        <v>138</v>
      </c>
      <c r="E147" s="3" t="n">
        <v>2005</v>
      </c>
      <c r="F147" s="3" t="s">
        <v>70</v>
      </c>
      <c r="G147" s="3" t="s">
        <v>71</v>
      </c>
      <c r="H147" s="3" t="s">
        <v>597</v>
      </c>
      <c r="I147" s="3" t="s">
        <v>56</v>
      </c>
      <c r="J147" s="7" t="n">
        <v>1060000</v>
      </c>
      <c r="K147" s="3" t="s">
        <v>48</v>
      </c>
      <c r="L147" s="7" t="n">
        <v>11394.11</v>
      </c>
      <c r="M147" s="7" t="n">
        <v>1424.26</v>
      </c>
      <c r="N147" s="7" t="n">
        <v>1424.26</v>
      </c>
      <c r="O147" s="7" t="n">
        <v>8545.6</v>
      </c>
      <c r="P147" s="7" t="n">
        <v>854.56</v>
      </c>
      <c r="Q147" s="7" t="n">
        <v>854.56</v>
      </c>
      <c r="R147" s="7" t="n">
        <v>854.56</v>
      </c>
      <c r="S147" s="7" t="n">
        <v>854.56</v>
      </c>
      <c r="T147" s="7" t="n">
        <v>854.56</v>
      </c>
      <c r="U147" s="7" t="n">
        <v>854.56</v>
      </c>
      <c r="V147" s="7" t="n">
        <v>854.56</v>
      </c>
      <c r="W147" s="7" t="n">
        <v>854.56</v>
      </c>
      <c r="X147" s="7" t="n">
        <v>854.56</v>
      </c>
      <c r="Y147" s="7" t="n">
        <v>854.56</v>
      </c>
      <c r="Z147" s="7" t="n">
        <v>350</v>
      </c>
      <c r="AA147" s="7" t="n">
        <v>250</v>
      </c>
      <c r="AB147" s="7" t="n">
        <v>600</v>
      </c>
    </row>
    <row r="148" customFormat="false" ht="15" hidden="false" customHeight="false" outlineLevel="0" collapsed="false">
      <c r="A148" s="8" t="s">
        <v>598</v>
      </c>
      <c r="B148" s="8" t="s">
        <v>599</v>
      </c>
      <c r="C148" s="8" t="s">
        <v>103</v>
      </c>
      <c r="D148" s="8" t="s">
        <v>104</v>
      </c>
      <c r="E148" s="8" t="n">
        <v>1990</v>
      </c>
      <c r="F148" s="8" t="s">
        <v>44</v>
      </c>
      <c r="G148" s="8" t="s">
        <v>45</v>
      </c>
      <c r="H148" s="8" t="s">
        <v>600</v>
      </c>
      <c r="I148" s="8" t="s">
        <v>47</v>
      </c>
      <c r="J148" s="9" t="n">
        <v>995000</v>
      </c>
      <c r="K148" s="8" t="s">
        <v>184</v>
      </c>
      <c r="L148" s="9" t="n">
        <v>21210.77</v>
      </c>
      <c r="M148" s="9" t="n">
        <v>2651.35</v>
      </c>
      <c r="N148" s="9" t="n">
        <v>2651.35</v>
      </c>
      <c r="O148" s="9" t="n">
        <v>15908.1</v>
      </c>
      <c r="P148" s="9" t="n">
        <v>1590.81</v>
      </c>
      <c r="Q148" s="9" t="n">
        <v>1590.81</v>
      </c>
      <c r="R148" s="9" t="n">
        <v>1590.81</v>
      </c>
      <c r="S148" s="9" t="n">
        <v>1590.81</v>
      </c>
      <c r="T148" s="9" t="n">
        <v>1590.81</v>
      </c>
      <c r="U148" s="9" t="n">
        <v>1590.81</v>
      </c>
      <c r="V148" s="9" t="n">
        <v>1590.81</v>
      </c>
      <c r="W148" s="9" t="n">
        <v>1590.81</v>
      </c>
      <c r="X148" s="9" t="n">
        <v>1590.81</v>
      </c>
      <c r="Y148" s="9" t="n">
        <v>1590.81</v>
      </c>
      <c r="Z148" s="9" t="n">
        <v>350</v>
      </c>
      <c r="AA148" s="9" t="n">
        <v>0</v>
      </c>
      <c r="AB148" s="9" t="n">
        <v>350</v>
      </c>
    </row>
    <row r="149" customFormat="false" ht="15" hidden="false" customHeight="false" outlineLevel="0" collapsed="false">
      <c r="A149" s="3" t="s">
        <v>601</v>
      </c>
      <c r="B149" s="3" t="s">
        <v>602</v>
      </c>
      <c r="C149" s="3" t="s">
        <v>68</v>
      </c>
      <c r="D149" s="3" t="s">
        <v>69</v>
      </c>
      <c r="E149" s="3" t="n">
        <v>1993</v>
      </c>
      <c r="F149" s="3" t="s">
        <v>44</v>
      </c>
      <c r="G149" s="3" t="s">
        <v>45</v>
      </c>
      <c r="H149" s="3" t="s">
        <v>603</v>
      </c>
      <c r="I149" s="3" t="s">
        <v>47</v>
      </c>
      <c r="J149" s="7" t="n">
        <v>580000</v>
      </c>
      <c r="K149" s="3" t="s">
        <v>184</v>
      </c>
      <c r="L149" s="7" t="n">
        <v>12364.07</v>
      </c>
      <c r="M149" s="7" t="n">
        <v>1545.51</v>
      </c>
      <c r="N149" s="7" t="n">
        <v>1545.51</v>
      </c>
      <c r="O149" s="7" t="n">
        <v>9273.1</v>
      </c>
      <c r="P149" s="7" t="n">
        <v>927.31</v>
      </c>
      <c r="Q149" s="7" t="n">
        <v>927.31</v>
      </c>
      <c r="R149" s="7" t="n">
        <v>927.31</v>
      </c>
      <c r="S149" s="7" t="n">
        <v>927.31</v>
      </c>
      <c r="T149" s="7" t="n">
        <v>927.31</v>
      </c>
      <c r="U149" s="7" t="n">
        <v>927.31</v>
      </c>
      <c r="V149" s="7" t="n">
        <v>927.31</v>
      </c>
      <c r="W149" s="7" t="n">
        <v>927.31</v>
      </c>
      <c r="X149" s="7" t="n">
        <v>927.31</v>
      </c>
      <c r="Y149" s="7" t="n">
        <v>927.31</v>
      </c>
      <c r="Z149" s="7" t="n">
        <v>350</v>
      </c>
      <c r="AA149" s="7" t="n">
        <v>0</v>
      </c>
      <c r="AB149" s="7" t="n">
        <v>350</v>
      </c>
    </row>
    <row r="150" customFormat="false" ht="15" hidden="false" customHeight="false" outlineLevel="0" collapsed="false">
      <c r="A150" s="8" t="s">
        <v>604</v>
      </c>
      <c r="B150" s="8" t="s">
        <v>605</v>
      </c>
      <c r="C150" s="8" t="s">
        <v>187</v>
      </c>
      <c r="D150" s="8" t="s">
        <v>188</v>
      </c>
      <c r="E150" s="8" t="n">
        <v>1969</v>
      </c>
      <c r="F150" s="8" t="s">
        <v>113</v>
      </c>
      <c r="G150" s="8" t="s">
        <v>114</v>
      </c>
      <c r="H150" s="8" t="s">
        <v>606</v>
      </c>
      <c r="I150" s="8" t="s">
        <v>56</v>
      </c>
      <c r="J150" s="9" t="n">
        <v>405000</v>
      </c>
      <c r="K150" s="8" t="s">
        <v>166</v>
      </c>
      <c r="L150" s="9" t="n">
        <v>6046.41</v>
      </c>
      <c r="M150" s="9" t="n">
        <v>755.8</v>
      </c>
      <c r="N150" s="9" t="n">
        <v>755.8</v>
      </c>
      <c r="O150" s="9" t="n">
        <v>4534.8</v>
      </c>
      <c r="P150" s="9" t="n">
        <v>453.48</v>
      </c>
      <c r="Q150" s="9" t="n">
        <v>453.48</v>
      </c>
      <c r="R150" s="9" t="n">
        <v>453.48</v>
      </c>
      <c r="S150" s="9" t="n">
        <v>453.48</v>
      </c>
      <c r="T150" s="9" t="n">
        <v>453.48</v>
      </c>
      <c r="U150" s="9" t="n">
        <v>453.48</v>
      </c>
      <c r="V150" s="9" t="n">
        <v>453.48</v>
      </c>
      <c r="W150" s="9" t="n">
        <v>453.48</v>
      </c>
      <c r="X150" s="9" t="n">
        <v>453.48</v>
      </c>
      <c r="Y150" s="9" t="n">
        <v>453.48</v>
      </c>
      <c r="Z150" s="9" t="n">
        <v>350</v>
      </c>
      <c r="AA150" s="9" t="n">
        <v>0</v>
      </c>
      <c r="AB150" s="9" t="n">
        <v>350</v>
      </c>
    </row>
    <row r="151" customFormat="false" ht="15" hidden="false" customHeight="false" outlineLevel="0" collapsed="false">
      <c r="A151" s="3" t="s">
        <v>607</v>
      </c>
      <c r="B151" s="3" t="s">
        <v>608</v>
      </c>
      <c r="C151" s="3" t="s">
        <v>306</v>
      </c>
      <c r="D151" s="3" t="s">
        <v>307</v>
      </c>
      <c r="E151" s="3" t="n">
        <v>1967</v>
      </c>
      <c r="F151" s="3" t="s">
        <v>158</v>
      </c>
      <c r="G151" s="3" t="s">
        <v>159</v>
      </c>
      <c r="H151" s="3" t="s">
        <v>609</v>
      </c>
      <c r="I151" s="3" t="s">
        <v>56</v>
      </c>
      <c r="J151" s="7" t="n">
        <v>775000</v>
      </c>
      <c r="K151" s="3" t="s">
        <v>57</v>
      </c>
      <c r="L151" s="7" t="n">
        <v>10483.37</v>
      </c>
      <c r="M151" s="7" t="n">
        <v>1310.42</v>
      </c>
      <c r="N151" s="7" t="n">
        <v>1310.42</v>
      </c>
      <c r="O151" s="7" t="n">
        <v>7862.5</v>
      </c>
      <c r="P151" s="7" t="n">
        <v>786.25</v>
      </c>
      <c r="Q151" s="7" t="n">
        <v>786.25</v>
      </c>
      <c r="R151" s="7" t="n">
        <v>786.25</v>
      </c>
      <c r="S151" s="7" t="n">
        <v>786.25</v>
      </c>
      <c r="T151" s="7" t="n">
        <v>786.25</v>
      </c>
      <c r="U151" s="7" t="n">
        <v>786.25</v>
      </c>
      <c r="V151" s="7" t="n">
        <v>786.25</v>
      </c>
      <c r="W151" s="7" t="n">
        <v>786.25</v>
      </c>
      <c r="X151" s="7" t="n">
        <v>786.25</v>
      </c>
      <c r="Y151" s="7" t="n">
        <v>786.25</v>
      </c>
      <c r="Z151" s="7" t="n">
        <v>350</v>
      </c>
      <c r="AA151" s="7" t="n">
        <v>0</v>
      </c>
      <c r="AB151" s="7" t="n">
        <v>350</v>
      </c>
    </row>
    <row r="152" customFormat="false" ht="15" hidden="false" customHeight="false" outlineLevel="0" collapsed="false">
      <c r="A152" s="8" t="s">
        <v>610</v>
      </c>
      <c r="B152" s="8" t="s">
        <v>611</v>
      </c>
      <c r="C152" s="8" t="s">
        <v>125</v>
      </c>
      <c r="D152" s="8" t="s">
        <v>126</v>
      </c>
      <c r="E152" s="8" t="n">
        <v>2018</v>
      </c>
      <c r="F152" s="8" t="s">
        <v>158</v>
      </c>
      <c r="G152" s="8" t="s">
        <v>159</v>
      </c>
      <c r="H152" s="8" t="s">
        <v>612</v>
      </c>
      <c r="I152" s="8" t="s">
        <v>56</v>
      </c>
      <c r="J152" s="9" t="n">
        <v>380000</v>
      </c>
      <c r="K152" s="8" t="s">
        <v>65</v>
      </c>
      <c r="L152" s="9" t="n">
        <v>5157.43</v>
      </c>
      <c r="M152" s="9" t="n">
        <v>644.68</v>
      </c>
      <c r="N152" s="9" t="n">
        <v>644.68</v>
      </c>
      <c r="O152" s="9" t="n">
        <v>3868.1</v>
      </c>
      <c r="P152" s="9" t="n">
        <v>386.81</v>
      </c>
      <c r="Q152" s="9" t="n">
        <v>386.81</v>
      </c>
      <c r="R152" s="9" t="n">
        <v>386.81</v>
      </c>
      <c r="S152" s="9" t="n">
        <v>386.81</v>
      </c>
      <c r="T152" s="9" t="n">
        <v>386.81</v>
      </c>
      <c r="U152" s="9" t="n">
        <v>386.81</v>
      </c>
      <c r="V152" s="9" t="n">
        <v>386.81</v>
      </c>
      <c r="W152" s="9" t="n">
        <v>386.81</v>
      </c>
      <c r="X152" s="9" t="n">
        <v>386.81</v>
      </c>
      <c r="Y152" s="9" t="n">
        <v>386.81</v>
      </c>
      <c r="Z152" s="9" t="n">
        <v>350</v>
      </c>
      <c r="AA152" s="9" t="n">
        <v>0</v>
      </c>
      <c r="AB152" s="9" t="n">
        <v>350</v>
      </c>
    </row>
    <row r="153" customFormat="false" ht="15" hidden="false" customHeight="false" outlineLevel="0" collapsed="false">
      <c r="A153" s="3" t="s">
        <v>613</v>
      </c>
      <c r="B153" s="3" t="s">
        <v>411</v>
      </c>
      <c r="C153" s="3" t="s">
        <v>312</v>
      </c>
      <c r="D153" s="3" t="s">
        <v>313</v>
      </c>
      <c r="E153" s="3" t="n">
        <v>1994</v>
      </c>
      <c r="F153" s="3" t="s">
        <v>146</v>
      </c>
      <c r="G153" s="3" t="s">
        <v>147</v>
      </c>
      <c r="H153" s="3" t="s">
        <v>614</v>
      </c>
      <c r="I153" s="3" t="s">
        <v>56</v>
      </c>
      <c r="J153" s="7" t="n">
        <v>1175000</v>
      </c>
      <c r="K153" s="3" t="s">
        <v>210</v>
      </c>
      <c r="L153" s="7" t="n">
        <v>15787.82</v>
      </c>
      <c r="M153" s="7" t="n">
        <v>1973.48</v>
      </c>
      <c r="N153" s="7" t="n">
        <v>1973.48</v>
      </c>
      <c r="O153" s="7" t="n">
        <v>11840.9</v>
      </c>
      <c r="P153" s="7" t="n">
        <v>1184.09</v>
      </c>
      <c r="Q153" s="7" t="n">
        <v>1184.09</v>
      </c>
      <c r="R153" s="7" t="n">
        <v>1184.09</v>
      </c>
      <c r="S153" s="7" t="n">
        <v>1184.09</v>
      </c>
      <c r="T153" s="7" t="n">
        <v>1184.09</v>
      </c>
      <c r="U153" s="7" t="n">
        <v>1184.09</v>
      </c>
      <c r="V153" s="7" t="n">
        <v>1184.09</v>
      </c>
      <c r="W153" s="7" t="n">
        <v>1184.09</v>
      </c>
      <c r="X153" s="7" t="n">
        <v>1184.09</v>
      </c>
      <c r="Y153" s="7" t="n">
        <v>1184.09</v>
      </c>
      <c r="Z153" s="7" t="n">
        <v>350</v>
      </c>
      <c r="AA153" s="7" t="n">
        <v>250</v>
      </c>
      <c r="AB153" s="7" t="n">
        <v>600</v>
      </c>
    </row>
    <row r="154" customFormat="false" ht="15" hidden="false" customHeight="false" outlineLevel="0" collapsed="false">
      <c r="A154" s="8" t="s">
        <v>615</v>
      </c>
      <c r="B154" s="8" t="s">
        <v>206</v>
      </c>
      <c r="C154" s="8" t="s">
        <v>82</v>
      </c>
      <c r="D154" s="8" t="s">
        <v>83</v>
      </c>
      <c r="E154" s="8" t="n">
        <v>1964</v>
      </c>
      <c r="F154" s="8" t="s">
        <v>146</v>
      </c>
      <c r="G154" s="8" t="s">
        <v>147</v>
      </c>
      <c r="H154" s="8" t="s">
        <v>616</v>
      </c>
      <c r="I154" s="8" t="s">
        <v>56</v>
      </c>
      <c r="J154" s="9" t="n">
        <v>330000</v>
      </c>
      <c r="K154" s="8" t="s">
        <v>617</v>
      </c>
      <c r="L154" s="9" t="n">
        <v>5732.89</v>
      </c>
      <c r="M154" s="9" t="n">
        <v>716.61</v>
      </c>
      <c r="N154" s="9" t="n">
        <v>716.61</v>
      </c>
      <c r="O154" s="9" t="n">
        <v>4299.7</v>
      </c>
      <c r="P154" s="9" t="n">
        <v>429.97</v>
      </c>
      <c r="Q154" s="9" t="n">
        <v>429.97</v>
      </c>
      <c r="R154" s="9" t="n">
        <v>429.97</v>
      </c>
      <c r="S154" s="9" t="n">
        <v>429.97</v>
      </c>
      <c r="T154" s="9" t="n">
        <v>429.97</v>
      </c>
      <c r="U154" s="9" t="n">
        <v>429.97</v>
      </c>
      <c r="V154" s="9" t="n">
        <v>429.97</v>
      </c>
      <c r="W154" s="9" t="n">
        <v>429.97</v>
      </c>
      <c r="X154" s="9" t="n">
        <v>429.97</v>
      </c>
      <c r="Y154" s="9" t="n">
        <v>429.97</v>
      </c>
      <c r="Z154" s="9" t="n">
        <v>350</v>
      </c>
      <c r="AA154" s="9" t="n">
        <v>0</v>
      </c>
      <c r="AB154" s="9" t="n">
        <v>350</v>
      </c>
    </row>
    <row r="155" customFormat="false" ht="15" hidden="false" customHeight="false" outlineLevel="0" collapsed="false">
      <c r="A155" s="3" t="s">
        <v>618</v>
      </c>
      <c r="B155" s="3" t="s">
        <v>619</v>
      </c>
      <c r="C155" s="3" t="s">
        <v>328</v>
      </c>
      <c r="D155" s="3" t="s">
        <v>329</v>
      </c>
      <c r="E155" s="3" t="n">
        <v>1969</v>
      </c>
      <c r="F155" s="3" t="s">
        <v>44</v>
      </c>
      <c r="G155" s="3" t="s">
        <v>45</v>
      </c>
      <c r="H155" s="3" t="s">
        <v>620</v>
      </c>
      <c r="I155" s="3" t="s">
        <v>47</v>
      </c>
      <c r="J155" s="7" t="n">
        <v>720000</v>
      </c>
      <c r="K155" s="3" t="s">
        <v>540</v>
      </c>
      <c r="L155" s="7" t="n">
        <v>11758.93</v>
      </c>
      <c r="M155" s="7" t="n">
        <v>1469.87</v>
      </c>
      <c r="N155" s="7" t="n">
        <v>1469.87</v>
      </c>
      <c r="O155" s="7" t="n">
        <v>8819.2</v>
      </c>
      <c r="P155" s="7" t="n">
        <v>881.92</v>
      </c>
      <c r="Q155" s="7" t="n">
        <v>881.92</v>
      </c>
      <c r="R155" s="7" t="n">
        <v>881.92</v>
      </c>
      <c r="S155" s="7" t="n">
        <v>881.92</v>
      </c>
      <c r="T155" s="7" t="n">
        <v>881.92</v>
      </c>
      <c r="U155" s="7" t="n">
        <v>881.92</v>
      </c>
      <c r="V155" s="7" t="n">
        <v>881.92</v>
      </c>
      <c r="W155" s="7" t="n">
        <v>881.92</v>
      </c>
      <c r="X155" s="7" t="n">
        <v>881.92</v>
      </c>
      <c r="Y155" s="7" t="n">
        <v>881.92</v>
      </c>
      <c r="Z155" s="7" t="n">
        <v>350</v>
      </c>
      <c r="AA155" s="7" t="n">
        <v>0</v>
      </c>
      <c r="AB155" s="7" t="n">
        <v>350</v>
      </c>
    </row>
    <row r="156" customFormat="false" ht="15" hidden="false" customHeight="false" outlineLevel="0" collapsed="false">
      <c r="A156" s="8" t="s">
        <v>621</v>
      </c>
      <c r="B156" s="8" t="s">
        <v>622</v>
      </c>
      <c r="C156" s="8" t="s">
        <v>156</v>
      </c>
      <c r="D156" s="8" t="s">
        <v>157</v>
      </c>
      <c r="E156" s="8" t="n">
        <v>2007</v>
      </c>
      <c r="F156" s="8" t="s">
        <v>113</v>
      </c>
      <c r="G156" s="8" t="s">
        <v>114</v>
      </c>
      <c r="H156" s="8" t="s">
        <v>623</v>
      </c>
      <c r="I156" s="8" t="s">
        <v>56</v>
      </c>
      <c r="J156" s="9" t="n">
        <v>920000</v>
      </c>
      <c r="K156" s="8" t="s">
        <v>153</v>
      </c>
      <c r="L156" s="9" t="n">
        <v>12444.77</v>
      </c>
      <c r="M156" s="9" t="n">
        <v>1555.6</v>
      </c>
      <c r="N156" s="9" t="n">
        <v>1555.6</v>
      </c>
      <c r="O156" s="9" t="n">
        <v>9333.6</v>
      </c>
      <c r="P156" s="9" t="n">
        <v>933.36</v>
      </c>
      <c r="Q156" s="9" t="n">
        <v>933.36</v>
      </c>
      <c r="R156" s="9" t="n">
        <v>933.36</v>
      </c>
      <c r="S156" s="9" t="n">
        <v>933.36</v>
      </c>
      <c r="T156" s="9" t="n">
        <v>933.36</v>
      </c>
      <c r="U156" s="9" t="n">
        <v>933.36</v>
      </c>
      <c r="V156" s="9" t="n">
        <v>933.36</v>
      </c>
      <c r="W156" s="9" t="n">
        <v>933.36</v>
      </c>
      <c r="X156" s="9" t="n">
        <v>933.36</v>
      </c>
      <c r="Y156" s="9" t="n">
        <v>933.36</v>
      </c>
      <c r="Z156" s="9" t="n">
        <v>350</v>
      </c>
      <c r="AA156" s="9" t="n">
        <v>0</v>
      </c>
      <c r="AB156" s="9" t="n">
        <v>350</v>
      </c>
    </row>
    <row r="157" customFormat="false" ht="15" hidden="false" customHeight="false" outlineLevel="0" collapsed="false">
      <c r="A157" s="3" t="s">
        <v>624</v>
      </c>
      <c r="B157" s="3" t="s">
        <v>625</v>
      </c>
      <c r="C157" s="3" t="s">
        <v>137</v>
      </c>
      <c r="D157" s="3" t="s">
        <v>138</v>
      </c>
      <c r="E157" s="3" t="n">
        <v>2006</v>
      </c>
      <c r="F157" s="3" t="s">
        <v>146</v>
      </c>
      <c r="G157" s="3" t="s">
        <v>147</v>
      </c>
      <c r="H157" s="3" t="s">
        <v>626</v>
      </c>
      <c r="I157" s="3" t="s">
        <v>56</v>
      </c>
      <c r="J157" s="7" t="n">
        <v>705000</v>
      </c>
      <c r="K157" s="3" t="s">
        <v>265</v>
      </c>
      <c r="L157" s="7" t="n">
        <v>11775.48</v>
      </c>
      <c r="M157" s="7" t="n">
        <v>1471.93</v>
      </c>
      <c r="N157" s="7" t="n">
        <v>1471.93</v>
      </c>
      <c r="O157" s="7" t="n">
        <v>8831.6</v>
      </c>
      <c r="P157" s="7" t="n">
        <v>883.16</v>
      </c>
      <c r="Q157" s="7" t="n">
        <v>883.16</v>
      </c>
      <c r="R157" s="7" t="n">
        <v>883.16</v>
      </c>
      <c r="S157" s="7" t="n">
        <v>883.16</v>
      </c>
      <c r="T157" s="7" t="n">
        <v>883.16</v>
      </c>
      <c r="U157" s="7" t="n">
        <v>883.16</v>
      </c>
      <c r="V157" s="7" t="n">
        <v>883.16</v>
      </c>
      <c r="W157" s="7" t="n">
        <v>883.16</v>
      </c>
      <c r="X157" s="7" t="n">
        <v>883.16</v>
      </c>
      <c r="Y157" s="7" t="n">
        <v>883.16</v>
      </c>
      <c r="Z157" s="7" t="n">
        <v>350</v>
      </c>
      <c r="AA157" s="7" t="n">
        <v>0</v>
      </c>
      <c r="AB157" s="7" t="n">
        <v>350</v>
      </c>
    </row>
    <row r="158" customFormat="false" ht="15" hidden="false" customHeight="false" outlineLevel="0" collapsed="false">
      <c r="A158" s="8" t="s">
        <v>627</v>
      </c>
      <c r="B158" s="8" t="s">
        <v>628</v>
      </c>
      <c r="C158" s="8" t="s">
        <v>163</v>
      </c>
      <c r="D158" s="8" t="s">
        <v>164</v>
      </c>
      <c r="E158" s="8" t="n">
        <v>1960</v>
      </c>
      <c r="F158" s="8" t="s">
        <v>89</v>
      </c>
      <c r="G158" s="8" t="s">
        <v>90</v>
      </c>
      <c r="H158" s="8" t="s">
        <v>629</v>
      </c>
      <c r="I158" s="8" t="s">
        <v>92</v>
      </c>
      <c r="J158" s="9" t="n">
        <v>1535000</v>
      </c>
      <c r="K158" s="8" t="s">
        <v>258</v>
      </c>
      <c r="L158" s="9" t="n">
        <v>19644.39</v>
      </c>
      <c r="M158" s="9" t="n">
        <v>2455.55</v>
      </c>
      <c r="N158" s="9" t="n">
        <v>2455.55</v>
      </c>
      <c r="O158" s="9" t="n">
        <v>14733.3</v>
      </c>
      <c r="P158" s="9" t="n">
        <v>1473.33</v>
      </c>
      <c r="Q158" s="9" t="n">
        <v>1473.33</v>
      </c>
      <c r="R158" s="9" t="n">
        <v>1473.33</v>
      </c>
      <c r="S158" s="9" t="n">
        <v>1473.33</v>
      </c>
      <c r="T158" s="9" t="n">
        <v>1473.33</v>
      </c>
      <c r="U158" s="9" t="n">
        <v>1473.33</v>
      </c>
      <c r="V158" s="9" t="n">
        <v>1473.33</v>
      </c>
      <c r="W158" s="9" t="n">
        <v>1473.33</v>
      </c>
      <c r="X158" s="9" t="n">
        <v>1473.33</v>
      </c>
      <c r="Y158" s="9" t="n">
        <v>1473.33</v>
      </c>
      <c r="Z158" s="9" t="n">
        <v>350</v>
      </c>
      <c r="AA158" s="9" t="n">
        <v>250</v>
      </c>
      <c r="AB158" s="9" t="n">
        <v>600</v>
      </c>
    </row>
    <row r="159" customFormat="false" ht="15" hidden="false" customHeight="false" outlineLevel="0" collapsed="false">
      <c r="A159" s="3" t="s">
        <v>630</v>
      </c>
      <c r="B159" s="3" t="s">
        <v>631</v>
      </c>
      <c r="C159" s="3" t="s">
        <v>276</v>
      </c>
      <c r="D159" s="3" t="s">
        <v>277</v>
      </c>
      <c r="E159" s="3" t="n">
        <v>2010</v>
      </c>
      <c r="F159" s="3" t="s">
        <v>70</v>
      </c>
      <c r="G159" s="3" t="s">
        <v>71</v>
      </c>
      <c r="H159" s="3" t="s">
        <v>632</v>
      </c>
      <c r="I159" s="3" t="s">
        <v>56</v>
      </c>
      <c r="J159" s="7" t="n">
        <v>545000</v>
      </c>
      <c r="K159" s="3" t="s">
        <v>492</v>
      </c>
      <c r="L159" s="7" t="n">
        <v>8077.34</v>
      </c>
      <c r="M159" s="7" t="n">
        <v>1009.67</v>
      </c>
      <c r="N159" s="7" t="n">
        <v>1009.67</v>
      </c>
      <c r="O159" s="7" t="n">
        <v>6058</v>
      </c>
      <c r="P159" s="7" t="n">
        <v>605.8</v>
      </c>
      <c r="Q159" s="7" t="n">
        <v>605.8</v>
      </c>
      <c r="R159" s="7" t="n">
        <v>605.8</v>
      </c>
      <c r="S159" s="7" t="n">
        <v>605.8</v>
      </c>
      <c r="T159" s="7" t="n">
        <v>605.8</v>
      </c>
      <c r="U159" s="7" t="n">
        <v>605.8</v>
      </c>
      <c r="V159" s="7" t="n">
        <v>605.8</v>
      </c>
      <c r="W159" s="7" t="n">
        <v>605.8</v>
      </c>
      <c r="X159" s="7" t="n">
        <v>605.8</v>
      </c>
      <c r="Y159" s="7" t="n">
        <v>605.8</v>
      </c>
      <c r="Z159" s="7" t="n">
        <v>350</v>
      </c>
      <c r="AA159" s="7" t="n">
        <v>0</v>
      </c>
      <c r="AB159" s="7" t="n">
        <v>350</v>
      </c>
    </row>
    <row r="160" customFormat="false" ht="15" hidden="false" customHeight="false" outlineLevel="0" collapsed="false">
      <c r="A160" s="8" t="s">
        <v>633</v>
      </c>
      <c r="B160" s="8" t="s">
        <v>634</v>
      </c>
      <c r="C160" s="8" t="s">
        <v>144</v>
      </c>
      <c r="D160" s="8" t="s">
        <v>145</v>
      </c>
      <c r="E160" s="8" t="n">
        <v>1967</v>
      </c>
      <c r="F160" s="8" t="s">
        <v>70</v>
      </c>
      <c r="G160" s="8" t="s">
        <v>71</v>
      </c>
      <c r="H160" s="8" t="s">
        <v>635</v>
      </c>
      <c r="I160" s="8" t="s">
        <v>56</v>
      </c>
      <c r="J160" s="9" t="n">
        <v>415000</v>
      </c>
      <c r="K160" s="8" t="s">
        <v>636</v>
      </c>
      <c r="L160" s="9" t="n">
        <v>6702.61</v>
      </c>
      <c r="M160" s="9" t="n">
        <v>837.83</v>
      </c>
      <c r="N160" s="9" t="n">
        <v>837.83</v>
      </c>
      <c r="O160" s="9" t="n">
        <v>5027</v>
      </c>
      <c r="P160" s="9" t="n">
        <v>502.7</v>
      </c>
      <c r="Q160" s="9" t="n">
        <v>502.7</v>
      </c>
      <c r="R160" s="9" t="n">
        <v>502.7</v>
      </c>
      <c r="S160" s="9" t="n">
        <v>502.7</v>
      </c>
      <c r="T160" s="9" t="n">
        <v>502.7</v>
      </c>
      <c r="U160" s="9" t="n">
        <v>502.7</v>
      </c>
      <c r="V160" s="9" t="n">
        <v>502.7</v>
      </c>
      <c r="W160" s="9" t="n">
        <v>502.7</v>
      </c>
      <c r="X160" s="9" t="n">
        <v>502.7</v>
      </c>
      <c r="Y160" s="9" t="n">
        <v>502.7</v>
      </c>
      <c r="Z160" s="9" t="n">
        <v>350</v>
      </c>
      <c r="AA160" s="9" t="n">
        <v>0</v>
      </c>
      <c r="AB160" s="9" t="n">
        <v>350</v>
      </c>
    </row>
    <row r="161" customFormat="false" ht="15" hidden="false" customHeight="false" outlineLevel="0" collapsed="false">
      <c r="A161" s="3" t="s">
        <v>637</v>
      </c>
      <c r="B161" s="3" t="s">
        <v>638</v>
      </c>
      <c r="C161" s="3" t="s">
        <v>328</v>
      </c>
      <c r="D161" s="3" t="s">
        <v>329</v>
      </c>
      <c r="E161" s="3" t="n">
        <v>1958</v>
      </c>
      <c r="F161" s="3" t="s">
        <v>70</v>
      </c>
      <c r="G161" s="3" t="s">
        <v>557</v>
      </c>
      <c r="H161" s="3" t="s">
        <v>639</v>
      </c>
      <c r="I161" s="3" t="s">
        <v>107</v>
      </c>
      <c r="J161" s="7" t="n">
        <v>340000</v>
      </c>
      <c r="K161" s="3" t="s">
        <v>315</v>
      </c>
      <c r="L161" s="7" t="n">
        <v>3898.36</v>
      </c>
      <c r="M161" s="7" t="n">
        <v>487.3</v>
      </c>
      <c r="N161" s="7" t="n">
        <v>487.3</v>
      </c>
      <c r="O161" s="7" t="n">
        <v>2923.8</v>
      </c>
      <c r="P161" s="7" t="n">
        <v>292.38</v>
      </c>
      <c r="Q161" s="7" t="n">
        <v>292.38</v>
      </c>
      <c r="R161" s="7" t="n">
        <v>292.38</v>
      </c>
      <c r="S161" s="7" t="n">
        <v>292.38</v>
      </c>
      <c r="T161" s="7" t="n">
        <v>292.38</v>
      </c>
      <c r="U161" s="7" t="n">
        <v>292.38</v>
      </c>
      <c r="V161" s="7" t="n">
        <v>292.38</v>
      </c>
      <c r="W161" s="7" t="n">
        <v>292.38</v>
      </c>
      <c r="X161" s="7" t="n">
        <v>292.38</v>
      </c>
      <c r="Y161" s="7" t="n">
        <v>292.38</v>
      </c>
      <c r="Z161" s="7" t="n">
        <v>350</v>
      </c>
      <c r="AA161" s="7" t="n">
        <v>0</v>
      </c>
      <c r="AB161" s="7" t="n">
        <v>350</v>
      </c>
    </row>
    <row r="162" customFormat="false" ht="15" hidden="false" customHeight="false" outlineLevel="0" collapsed="false">
      <c r="A162" s="8" t="s">
        <v>640</v>
      </c>
      <c r="B162" s="8" t="s">
        <v>641</v>
      </c>
      <c r="C162" s="8" t="s">
        <v>42</v>
      </c>
      <c r="D162" s="8" t="s">
        <v>43</v>
      </c>
      <c r="E162" s="8" t="n">
        <v>2019</v>
      </c>
      <c r="F162" s="8" t="s">
        <v>62</v>
      </c>
      <c r="G162" s="8" t="s">
        <v>63</v>
      </c>
      <c r="H162" s="8" t="s">
        <v>642</v>
      </c>
      <c r="I162" s="8" t="s">
        <v>47</v>
      </c>
      <c r="J162" s="9" t="n">
        <v>420000</v>
      </c>
      <c r="K162" s="8" t="s">
        <v>73</v>
      </c>
      <c r="L162" s="9" t="n">
        <v>10750.79</v>
      </c>
      <c r="M162" s="9" t="n">
        <v>1343.85</v>
      </c>
      <c r="N162" s="9" t="n">
        <v>1343.85</v>
      </c>
      <c r="O162" s="9" t="n">
        <v>8063.1</v>
      </c>
      <c r="P162" s="9" t="n">
        <v>806.31</v>
      </c>
      <c r="Q162" s="9" t="n">
        <v>806.31</v>
      </c>
      <c r="R162" s="9" t="n">
        <v>806.31</v>
      </c>
      <c r="S162" s="9" t="n">
        <v>806.31</v>
      </c>
      <c r="T162" s="9" t="n">
        <v>806.31</v>
      </c>
      <c r="U162" s="9" t="n">
        <v>806.31</v>
      </c>
      <c r="V162" s="9" t="n">
        <v>806.31</v>
      </c>
      <c r="W162" s="9" t="n">
        <v>806.31</v>
      </c>
      <c r="X162" s="9" t="n">
        <v>806.31</v>
      </c>
      <c r="Y162" s="9" t="n">
        <v>806.31</v>
      </c>
      <c r="Z162" s="9" t="n">
        <v>350</v>
      </c>
      <c r="AA162" s="9" t="n">
        <v>0</v>
      </c>
      <c r="AB162" s="9" t="n">
        <v>350</v>
      </c>
    </row>
    <row r="163" customFormat="false" ht="15" hidden="false" customHeight="false" outlineLevel="0" collapsed="false">
      <c r="A163" s="3" t="s">
        <v>643</v>
      </c>
      <c r="B163" s="3" t="s">
        <v>162</v>
      </c>
      <c r="C163" s="3" t="s">
        <v>249</v>
      </c>
      <c r="D163" s="3" t="s">
        <v>250</v>
      </c>
      <c r="E163" s="3" t="n">
        <v>2006</v>
      </c>
      <c r="F163" s="3" t="s">
        <v>119</v>
      </c>
      <c r="G163" s="3" t="s">
        <v>120</v>
      </c>
      <c r="H163" s="3" t="s">
        <v>644</v>
      </c>
      <c r="I163" s="3" t="s">
        <v>56</v>
      </c>
      <c r="J163" s="7" t="n">
        <v>450000</v>
      </c>
      <c r="K163" s="3" t="s">
        <v>344</v>
      </c>
      <c r="L163" s="7" t="n">
        <v>7939.72</v>
      </c>
      <c r="M163" s="7" t="n">
        <v>992.47</v>
      </c>
      <c r="N163" s="7" t="n">
        <v>992.47</v>
      </c>
      <c r="O163" s="7" t="n">
        <v>5954.8</v>
      </c>
      <c r="P163" s="7" t="n">
        <v>595.48</v>
      </c>
      <c r="Q163" s="7" t="n">
        <v>595.48</v>
      </c>
      <c r="R163" s="7" t="n">
        <v>595.48</v>
      </c>
      <c r="S163" s="7" t="n">
        <v>595.48</v>
      </c>
      <c r="T163" s="7" t="n">
        <v>595.48</v>
      </c>
      <c r="U163" s="7" t="n">
        <v>595.48</v>
      </c>
      <c r="V163" s="7" t="n">
        <v>595.48</v>
      </c>
      <c r="W163" s="7" t="n">
        <v>595.48</v>
      </c>
      <c r="X163" s="7" t="n">
        <v>595.48</v>
      </c>
      <c r="Y163" s="7" t="n">
        <v>595.48</v>
      </c>
      <c r="Z163" s="7" t="n">
        <v>350</v>
      </c>
      <c r="AA163" s="7" t="n">
        <v>0</v>
      </c>
      <c r="AB163" s="7" t="n">
        <v>350</v>
      </c>
    </row>
    <row r="164" customFormat="false" ht="15" hidden="false" customHeight="false" outlineLevel="0" collapsed="false">
      <c r="A164" s="8" t="s">
        <v>645</v>
      </c>
      <c r="B164" s="8" t="s">
        <v>646</v>
      </c>
      <c r="C164" s="8" t="s">
        <v>306</v>
      </c>
      <c r="D164" s="8" t="s">
        <v>307</v>
      </c>
      <c r="E164" s="8" t="n">
        <v>1982</v>
      </c>
      <c r="F164" s="8" t="s">
        <v>62</v>
      </c>
      <c r="G164" s="8" t="s">
        <v>105</v>
      </c>
      <c r="H164" s="8" t="s">
        <v>647</v>
      </c>
      <c r="I164" s="8" t="s">
        <v>107</v>
      </c>
      <c r="J164" s="9" t="n">
        <v>790000</v>
      </c>
      <c r="K164" s="8" t="s">
        <v>337</v>
      </c>
      <c r="L164" s="9" t="n">
        <v>8298.84</v>
      </c>
      <c r="M164" s="9" t="n">
        <v>1037.36</v>
      </c>
      <c r="N164" s="9" t="n">
        <v>1037.36</v>
      </c>
      <c r="O164" s="9" t="n">
        <v>6224.1</v>
      </c>
      <c r="P164" s="9" t="n">
        <v>622.41</v>
      </c>
      <c r="Q164" s="9" t="n">
        <v>622.41</v>
      </c>
      <c r="R164" s="9" t="n">
        <v>622.41</v>
      </c>
      <c r="S164" s="9" t="n">
        <v>622.41</v>
      </c>
      <c r="T164" s="9" t="n">
        <v>622.41</v>
      </c>
      <c r="U164" s="9" t="n">
        <v>622.41</v>
      </c>
      <c r="V164" s="9" t="n">
        <v>622.41</v>
      </c>
      <c r="W164" s="9" t="n">
        <v>622.41</v>
      </c>
      <c r="X164" s="9" t="n">
        <v>622.41</v>
      </c>
      <c r="Y164" s="9" t="n">
        <v>622.41</v>
      </c>
      <c r="Z164" s="9" t="n">
        <v>350</v>
      </c>
      <c r="AA164" s="9" t="n">
        <v>0</v>
      </c>
      <c r="AB164" s="9" t="n">
        <v>350</v>
      </c>
    </row>
    <row r="165" customFormat="false" ht="15" hidden="false" customHeight="false" outlineLevel="0" collapsed="false">
      <c r="A165" s="3" t="s">
        <v>648</v>
      </c>
      <c r="B165" s="3" t="s">
        <v>649</v>
      </c>
      <c r="C165" s="3" t="s">
        <v>82</v>
      </c>
      <c r="D165" s="3" t="s">
        <v>83</v>
      </c>
      <c r="E165" s="3" t="n">
        <v>1956</v>
      </c>
      <c r="F165" s="3" t="s">
        <v>70</v>
      </c>
      <c r="G165" s="3" t="s">
        <v>557</v>
      </c>
      <c r="H165" s="3" t="s">
        <v>650</v>
      </c>
      <c r="I165" s="3" t="s">
        <v>107</v>
      </c>
      <c r="J165" s="7" t="n">
        <v>735000</v>
      </c>
      <c r="K165" s="3" t="s">
        <v>210</v>
      </c>
      <c r="L165" s="7" t="n">
        <v>7721.07</v>
      </c>
      <c r="M165" s="7" t="n">
        <v>965.13</v>
      </c>
      <c r="N165" s="7" t="n">
        <v>965.13</v>
      </c>
      <c r="O165" s="7" t="n">
        <v>5790.8</v>
      </c>
      <c r="P165" s="7" t="n">
        <v>579.08</v>
      </c>
      <c r="Q165" s="7" t="n">
        <v>579.08</v>
      </c>
      <c r="R165" s="7" t="n">
        <v>579.08</v>
      </c>
      <c r="S165" s="7" t="n">
        <v>579.08</v>
      </c>
      <c r="T165" s="7" t="n">
        <v>579.08</v>
      </c>
      <c r="U165" s="7" t="n">
        <v>579.08</v>
      </c>
      <c r="V165" s="7" t="n">
        <v>579.08</v>
      </c>
      <c r="W165" s="7" t="n">
        <v>579.08</v>
      </c>
      <c r="X165" s="7" t="n">
        <v>579.08</v>
      </c>
      <c r="Y165" s="7" t="n">
        <v>579.08</v>
      </c>
      <c r="Z165" s="7" t="n">
        <v>350</v>
      </c>
      <c r="AA165" s="7" t="n">
        <v>0</v>
      </c>
      <c r="AB165" s="7" t="n">
        <v>350</v>
      </c>
    </row>
    <row r="166" customFormat="false" ht="15" hidden="false" customHeight="false" outlineLevel="0" collapsed="false">
      <c r="A166" s="8" t="s">
        <v>651</v>
      </c>
      <c r="B166" s="8" t="s">
        <v>652</v>
      </c>
      <c r="C166" s="8" t="s">
        <v>42</v>
      </c>
      <c r="D166" s="8" t="s">
        <v>43</v>
      </c>
      <c r="E166" s="8" t="n">
        <v>1982</v>
      </c>
      <c r="F166" s="8" t="s">
        <v>119</v>
      </c>
      <c r="G166" s="8" t="s">
        <v>120</v>
      </c>
      <c r="H166" s="8" t="s">
        <v>653</v>
      </c>
      <c r="I166" s="8" t="s">
        <v>56</v>
      </c>
      <c r="J166" s="9" t="n">
        <v>205000</v>
      </c>
      <c r="K166" s="8" t="s">
        <v>315</v>
      </c>
      <c r="L166" s="9" t="n">
        <v>4505.09</v>
      </c>
      <c r="M166" s="9" t="n">
        <v>563.14</v>
      </c>
      <c r="N166" s="9" t="n">
        <v>563.14</v>
      </c>
      <c r="O166" s="9" t="n">
        <v>3378.8</v>
      </c>
      <c r="P166" s="9" t="n">
        <v>337.88</v>
      </c>
      <c r="Q166" s="9" t="n">
        <v>337.88</v>
      </c>
      <c r="R166" s="9" t="n">
        <v>337.88</v>
      </c>
      <c r="S166" s="9" t="n">
        <v>337.88</v>
      </c>
      <c r="T166" s="9" t="n">
        <v>337.88</v>
      </c>
      <c r="U166" s="9" t="n">
        <v>337.88</v>
      </c>
      <c r="V166" s="9" t="n">
        <v>337.88</v>
      </c>
      <c r="W166" s="9" t="n">
        <v>337.88</v>
      </c>
      <c r="X166" s="9" t="n">
        <v>337.88</v>
      </c>
      <c r="Y166" s="9" t="n">
        <v>337.88</v>
      </c>
      <c r="Z166" s="9" t="n">
        <v>350</v>
      </c>
      <c r="AA166" s="9" t="n">
        <v>0</v>
      </c>
      <c r="AB166" s="9" t="n">
        <v>350</v>
      </c>
    </row>
    <row r="167" customFormat="false" ht="15" hidden="false" customHeight="false" outlineLevel="0" collapsed="false">
      <c r="A167" s="3" t="s">
        <v>654</v>
      </c>
      <c r="B167" s="3" t="s">
        <v>469</v>
      </c>
      <c r="C167" s="3" t="s">
        <v>473</v>
      </c>
      <c r="D167" s="3" t="s">
        <v>474</v>
      </c>
      <c r="E167" s="3" t="n">
        <v>1966</v>
      </c>
      <c r="F167" s="3" t="s">
        <v>146</v>
      </c>
      <c r="G167" s="3" t="s">
        <v>147</v>
      </c>
      <c r="H167" s="3" t="s">
        <v>655</v>
      </c>
      <c r="I167" s="3" t="s">
        <v>56</v>
      </c>
      <c r="J167" s="7" t="n">
        <v>430000</v>
      </c>
      <c r="K167" s="3" t="s">
        <v>153</v>
      </c>
      <c r="L167" s="7" t="n">
        <v>6711.44</v>
      </c>
      <c r="M167" s="7" t="n">
        <v>838.93</v>
      </c>
      <c r="N167" s="7" t="n">
        <v>838.93</v>
      </c>
      <c r="O167" s="7" t="n">
        <v>5033.6</v>
      </c>
      <c r="P167" s="7" t="n">
        <v>503.36</v>
      </c>
      <c r="Q167" s="7" t="n">
        <v>503.36</v>
      </c>
      <c r="R167" s="7" t="n">
        <v>503.36</v>
      </c>
      <c r="S167" s="7" t="n">
        <v>503.36</v>
      </c>
      <c r="T167" s="7" t="n">
        <v>503.36</v>
      </c>
      <c r="U167" s="7" t="n">
        <v>503.36</v>
      </c>
      <c r="V167" s="7" t="n">
        <v>503.36</v>
      </c>
      <c r="W167" s="7" t="n">
        <v>503.36</v>
      </c>
      <c r="X167" s="7" t="n">
        <v>503.36</v>
      </c>
      <c r="Y167" s="7" t="n">
        <v>503.36</v>
      </c>
      <c r="Z167" s="7" t="n">
        <v>350</v>
      </c>
      <c r="AA167" s="7" t="n">
        <v>0</v>
      </c>
      <c r="AB167" s="7" t="n">
        <v>350</v>
      </c>
    </row>
    <row r="168" customFormat="false" ht="15" hidden="false" customHeight="false" outlineLevel="0" collapsed="false">
      <c r="A168" s="8" t="s">
        <v>656</v>
      </c>
      <c r="B168" s="8" t="s">
        <v>657</v>
      </c>
      <c r="C168" s="8" t="s">
        <v>125</v>
      </c>
      <c r="D168" s="8" t="s">
        <v>126</v>
      </c>
      <c r="E168" s="8" t="n">
        <v>1995</v>
      </c>
      <c r="F168" s="8" t="s">
        <v>113</v>
      </c>
      <c r="G168" s="8" t="s">
        <v>139</v>
      </c>
      <c r="H168" s="8" t="s">
        <v>658</v>
      </c>
      <c r="I168" s="8" t="s">
        <v>107</v>
      </c>
      <c r="J168" s="9" t="n">
        <v>1090000</v>
      </c>
      <c r="K168" s="8" t="s">
        <v>170</v>
      </c>
      <c r="L168" s="9" t="n">
        <v>9369.32</v>
      </c>
      <c r="M168" s="9" t="n">
        <v>1171.16</v>
      </c>
      <c r="N168" s="9" t="n">
        <v>1171.16</v>
      </c>
      <c r="O168" s="9" t="n">
        <v>7027</v>
      </c>
      <c r="P168" s="9" t="n">
        <v>702.7</v>
      </c>
      <c r="Q168" s="9" t="n">
        <v>702.7</v>
      </c>
      <c r="R168" s="9" t="n">
        <v>702.7</v>
      </c>
      <c r="S168" s="9" t="n">
        <v>702.7</v>
      </c>
      <c r="T168" s="9" t="n">
        <v>702.7</v>
      </c>
      <c r="U168" s="9" t="n">
        <v>702.7</v>
      </c>
      <c r="V168" s="9" t="n">
        <v>702.7</v>
      </c>
      <c r="W168" s="9" t="n">
        <v>702.7</v>
      </c>
      <c r="X168" s="9" t="n">
        <v>702.7</v>
      </c>
      <c r="Y168" s="9" t="n">
        <v>702.7</v>
      </c>
      <c r="Z168" s="9" t="n">
        <v>350</v>
      </c>
      <c r="AA168" s="9" t="n">
        <v>250</v>
      </c>
      <c r="AB168" s="9" t="n">
        <v>600</v>
      </c>
    </row>
    <row r="169" customFormat="false" ht="15" hidden="false" customHeight="false" outlineLevel="0" collapsed="false">
      <c r="A169" s="3" t="s">
        <v>659</v>
      </c>
      <c r="B169" s="3" t="s">
        <v>551</v>
      </c>
      <c r="C169" s="3" t="s">
        <v>276</v>
      </c>
      <c r="D169" s="3" t="s">
        <v>277</v>
      </c>
      <c r="E169" s="3" t="n">
        <v>1969</v>
      </c>
      <c r="F169" s="3" t="s">
        <v>119</v>
      </c>
      <c r="G169" s="3" t="s">
        <v>120</v>
      </c>
      <c r="H169" s="3" t="s">
        <v>660</v>
      </c>
      <c r="I169" s="3" t="s">
        <v>56</v>
      </c>
      <c r="J169" s="7" t="n">
        <v>320000</v>
      </c>
      <c r="K169" s="3" t="s">
        <v>210</v>
      </c>
      <c r="L169" s="7" t="n">
        <v>5863.18</v>
      </c>
      <c r="M169" s="7" t="n">
        <v>732.9</v>
      </c>
      <c r="N169" s="7" t="n">
        <v>732.9</v>
      </c>
      <c r="O169" s="7" t="n">
        <v>4397.4</v>
      </c>
      <c r="P169" s="7" t="n">
        <v>439.74</v>
      </c>
      <c r="Q169" s="7" t="n">
        <v>439.74</v>
      </c>
      <c r="R169" s="7" t="n">
        <v>439.74</v>
      </c>
      <c r="S169" s="7" t="n">
        <v>439.74</v>
      </c>
      <c r="T169" s="7" t="n">
        <v>439.74</v>
      </c>
      <c r="U169" s="7" t="n">
        <v>439.74</v>
      </c>
      <c r="V169" s="7" t="n">
        <v>439.74</v>
      </c>
      <c r="W169" s="7" t="n">
        <v>439.74</v>
      </c>
      <c r="X169" s="7" t="n">
        <v>439.74</v>
      </c>
      <c r="Y169" s="7" t="n">
        <v>439.74</v>
      </c>
      <c r="Z169" s="7" t="n">
        <v>350</v>
      </c>
      <c r="AA169" s="7" t="n">
        <v>0</v>
      </c>
      <c r="AB169" s="7" t="n">
        <v>350</v>
      </c>
    </row>
    <row r="170" customFormat="false" ht="15" hidden="false" customHeight="false" outlineLevel="0" collapsed="false">
      <c r="A170" s="8" t="s">
        <v>661</v>
      </c>
      <c r="B170" s="8" t="s">
        <v>662</v>
      </c>
      <c r="C170" s="8" t="s">
        <v>111</v>
      </c>
      <c r="D170" s="8" t="s">
        <v>112</v>
      </c>
      <c r="E170" s="8" t="n">
        <v>2000</v>
      </c>
      <c r="F170" s="8" t="s">
        <v>62</v>
      </c>
      <c r="G170" s="8" t="s">
        <v>98</v>
      </c>
      <c r="H170" s="8" t="s">
        <v>663</v>
      </c>
      <c r="I170" s="8" t="s">
        <v>47</v>
      </c>
      <c r="J170" s="9" t="n">
        <v>1290000</v>
      </c>
      <c r="K170" s="8" t="s">
        <v>265</v>
      </c>
      <c r="L170" s="9" t="n">
        <v>26518.93</v>
      </c>
      <c r="M170" s="9" t="n">
        <v>3314.87</v>
      </c>
      <c r="N170" s="9" t="n">
        <v>3314.87</v>
      </c>
      <c r="O170" s="9" t="n">
        <v>19889.2</v>
      </c>
      <c r="P170" s="9" t="n">
        <v>1988.92</v>
      </c>
      <c r="Q170" s="9" t="n">
        <v>1988.92</v>
      </c>
      <c r="R170" s="9" t="n">
        <v>1988.92</v>
      </c>
      <c r="S170" s="9" t="n">
        <v>1988.92</v>
      </c>
      <c r="T170" s="9" t="n">
        <v>1988.92</v>
      </c>
      <c r="U170" s="9" t="n">
        <v>1988.92</v>
      </c>
      <c r="V170" s="9" t="n">
        <v>1988.92</v>
      </c>
      <c r="W170" s="9" t="n">
        <v>1988.92</v>
      </c>
      <c r="X170" s="9" t="n">
        <v>1988.92</v>
      </c>
      <c r="Y170" s="9" t="n">
        <v>1988.92</v>
      </c>
      <c r="Z170" s="9" t="n">
        <v>350</v>
      </c>
      <c r="AA170" s="9" t="n">
        <v>250</v>
      </c>
      <c r="AB170" s="9" t="n">
        <v>600</v>
      </c>
    </row>
    <row r="171" customFormat="false" ht="15" hidden="false" customHeight="false" outlineLevel="0" collapsed="false">
      <c r="A171" s="3" t="s">
        <v>664</v>
      </c>
      <c r="B171" s="3" t="s">
        <v>395</v>
      </c>
      <c r="C171" s="3" t="s">
        <v>82</v>
      </c>
      <c r="D171" s="3" t="s">
        <v>83</v>
      </c>
      <c r="E171" s="3" t="n">
        <v>1990</v>
      </c>
      <c r="F171" s="3" t="s">
        <v>119</v>
      </c>
      <c r="G171" s="3" t="s">
        <v>120</v>
      </c>
      <c r="H171" s="3" t="s">
        <v>665</v>
      </c>
      <c r="I171" s="3" t="s">
        <v>56</v>
      </c>
      <c r="J171" s="7" t="n">
        <v>1220000</v>
      </c>
      <c r="K171" s="3" t="s">
        <v>540</v>
      </c>
      <c r="L171" s="7" t="n">
        <v>11535.44</v>
      </c>
      <c r="M171" s="7" t="n">
        <v>1441.93</v>
      </c>
      <c r="N171" s="7" t="n">
        <v>1441.93</v>
      </c>
      <c r="O171" s="7" t="n">
        <v>8651.6</v>
      </c>
      <c r="P171" s="7" t="n">
        <v>865.16</v>
      </c>
      <c r="Q171" s="7" t="n">
        <v>865.16</v>
      </c>
      <c r="R171" s="7" t="n">
        <v>865.16</v>
      </c>
      <c r="S171" s="7" t="n">
        <v>865.16</v>
      </c>
      <c r="T171" s="7" t="n">
        <v>865.16</v>
      </c>
      <c r="U171" s="7" t="n">
        <v>865.16</v>
      </c>
      <c r="V171" s="7" t="n">
        <v>865.16</v>
      </c>
      <c r="W171" s="7" t="n">
        <v>865.16</v>
      </c>
      <c r="X171" s="7" t="n">
        <v>865.16</v>
      </c>
      <c r="Y171" s="7" t="n">
        <v>865.16</v>
      </c>
      <c r="Z171" s="7" t="n">
        <v>350</v>
      </c>
      <c r="AA171" s="7" t="n">
        <v>250</v>
      </c>
      <c r="AB171" s="7" t="n">
        <v>600</v>
      </c>
    </row>
    <row r="172" customFormat="false" ht="15" hidden="false" customHeight="false" outlineLevel="0" collapsed="false">
      <c r="A172" s="8" t="s">
        <v>666</v>
      </c>
      <c r="B172" s="8" t="s">
        <v>667</v>
      </c>
      <c r="C172" s="8" t="s">
        <v>276</v>
      </c>
      <c r="D172" s="8" t="s">
        <v>277</v>
      </c>
      <c r="E172" s="8" t="n">
        <v>1975</v>
      </c>
      <c r="F172" s="8" t="s">
        <v>158</v>
      </c>
      <c r="G172" s="8" t="s">
        <v>159</v>
      </c>
      <c r="H172" s="8" t="s">
        <v>668</v>
      </c>
      <c r="I172" s="8" t="s">
        <v>56</v>
      </c>
      <c r="J172" s="9" t="n">
        <v>545000</v>
      </c>
      <c r="K172" s="8" t="s">
        <v>540</v>
      </c>
      <c r="L172" s="9" t="n">
        <v>6090.05</v>
      </c>
      <c r="M172" s="9" t="n">
        <v>761.26</v>
      </c>
      <c r="N172" s="9" t="n">
        <v>761.26</v>
      </c>
      <c r="O172" s="9" t="n">
        <v>4567.5</v>
      </c>
      <c r="P172" s="9" t="n">
        <v>456.75</v>
      </c>
      <c r="Q172" s="9" t="n">
        <v>456.75</v>
      </c>
      <c r="R172" s="9" t="n">
        <v>456.75</v>
      </c>
      <c r="S172" s="9" t="n">
        <v>456.75</v>
      </c>
      <c r="T172" s="9" t="n">
        <v>456.75</v>
      </c>
      <c r="U172" s="9" t="n">
        <v>456.75</v>
      </c>
      <c r="V172" s="9" t="n">
        <v>456.75</v>
      </c>
      <c r="W172" s="9" t="n">
        <v>456.75</v>
      </c>
      <c r="X172" s="9" t="n">
        <v>456.75</v>
      </c>
      <c r="Y172" s="9" t="n">
        <v>456.75</v>
      </c>
      <c r="Z172" s="9" t="n">
        <v>350</v>
      </c>
      <c r="AA172" s="9" t="n">
        <v>0</v>
      </c>
      <c r="AB172" s="9" t="n">
        <v>350</v>
      </c>
    </row>
    <row r="173" customFormat="false" ht="15" hidden="false" customHeight="false" outlineLevel="0" collapsed="false">
      <c r="A173" s="3" t="s">
        <v>669</v>
      </c>
      <c r="B173" s="3" t="s">
        <v>670</v>
      </c>
      <c r="C173" s="3" t="s">
        <v>163</v>
      </c>
      <c r="D173" s="3" t="s">
        <v>164</v>
      </c>
      <c r="E173" s="3" t="n">
        <v>2011</v>
      </c>
      <c r="F173" s="3" t="s">
        <v>146</v>
      </c>
      <c r="G173" s="3" t="s">
        <v>147</v>
      </c>
      <c r="H173" s="3" t="s">
        <v>671</v>
      </c>
      <c r="I173" s="3" t="s">
        <v>56</v>
      </c>
      <c r="J173" s="7" t="n">
        <v>385000</v>
      </c>
      <c r="K173" s="3" t="s">
        <v>153</v>
      </c>
      <c r="L173" s="7" t="n">
        <v>6009.08</v>
      </c>
      <c r="M173" s="7" t="n">
        <v>751.13</v>
      </c>
      <c r="N173" s="7" t="n">
        <v>751.13</v>
      </c>
      <c r="O173" s="7" t="n">
        <v>4506.8</v>
      </c>
      <c r="P173" s="7" t="n">
        <v>450.68</v>
      </c>
      <c r="Q173" s="7" t="n">
        <v>450.68</v>
      </c>
      <c r="R173" s="7" t="n">
        <v>450.68</v>
      </c>
      <c r="S173" s="7" t="n">
        <v>450.68</v>
      </c>
      <c r="T173" s="7" t="n">
        <v>450.68</v>
      </c>
      <c r="U173" s="7" t="n">
        <v>450.68</v>
      </c>
      <c r="V173" s="7" t="n">
        <v>450.68</v>
      </c>
      <c r="W173" s="7" t="n">
        <v>450.68</v>
      </c>
      <c r="X173" s="7" t="n">
        <v>450.68</v>
      </c>
      <c r="Y173" s="7" t="n">
        <v>450.68</v>
      </c>
      <c r="Z173" s="7" t="n">
        <v>350</v>
      </c>
      <c r="AA173" s="7" t="n">
        <v>0</v>
      </c>
      <c r="AB173" s="7" t="n">
        <v>350</v>
      </c>
    </row>
    <row r="174" customFormat="false" ht="15" hidden="false" customHeight="false" outlineLevel="0" collapsed="false">
      <c r="A174" s="8" t="s">
        <v>672</v>
      </c>
      <c r="B174" s="8" t="s">
        <v>673</v>
      </c>
      <c r="C174" s="8" t="s">
        <v>238</v>
      </c>
      <c r="D174" s="8" t="s">
        <v>239</v>
      </c>
      <c r="E174" s="8" t="n">
        <v>2003</v>
      </c>
      <c r="F174" s="8" t="s">
        <v>158</v>
      </c>
      <c r="G174" s="8" t="s">
        <v>159</v>
      </c>
      <c r="H174" s="8" t="s">
        <v>674</v>
      </c>
      <c r="I174" s="8" t="s">
        <v>56</v>
      </c>
      <c r="J174" s="9" t="n">
        <v>485000</v>
      </c>
      <c r="K174" s="8" t="s">
        <v>73</v>
      </c>
      <c r="L174" s="9" t="n">
        <v>8096.48</v>
      </c>
      <c r="M174" s="9" t="n">
        <v>1012.06</v>
      </c>
      <c r="N174" s="9" t="n">
        <v>1012.06</v>
      </c>
      <c r="O174" s="9" t="n">
        <v>6072.4</v>
      </c>
      <c r="P174" s="9" t="n">
        <v>607.24</v>
      </c>
      <c r="Q174" s="9" t="n">
        <v>607.24</v>
      </c>
      <c r="R174" s="9" t="n">
        <v>607.24</v>
      </c>
      <c r="S174" s="9" t="n">
        <v>607.24</v>
      </c>
      <c r="T174" s="9" t="n">
        <v>607.24</v>
      </c>
      <c r="U174" s="9" t="n">
        <v>607.24</v>
      </c>
      <c r="V174" s="9" t="n">
        <v>607.24</v>
      </c>
      <c r="W174" s="9" t="n">
        <v>607.24</v>
      </c>
      <c r="X174" s="9" t="n">
        <v>607.24</v>
      </c>
      <c r="Y174" s="9" t="n">
        <v>607.24</v>
      </c>
      <c r="Z174" s="9" t="n">
        <v>350</v>
      </c>
      <c r="AA174" s="9" t="n">
        <v>0</v>
      </c>
      <c r="AB174" s="9" t="n">
        <v>350</v>
      </c>
    </row>
    <row r="175" customFormat="false" ht="15" hidden="false" customHeight="false" outlineLevel="0" collapsed="false">
      <c r="A175" s="3" t="s">
        <v>675</v>
      </c>
      <c r="B175" s="3" t="s">
        <v>676</v>
      </c>
      <c r="C175" s="3" t="s">
        <v>103</v>
      </c>
      <c r="D175" s="3" t="s">
        <v>104</v>
      </c>
      <c r="E175" s="3" t="n">
        <v>1965</v>
      </c>
      <c r="F175" s="3" t="s">
        <v>70</v>
      </c>
      <c r="G175" s="3" t="s">
        <v>71</v>
      </c>
      <c r="H175" s="3" t="s">
        <v>677</v>
      </c>
      <c r="I175" s="3" t="s">
        <v>56</v>
      </c>
      <c r="J175" s="7" t="n">
        <v>370000</v>
      </c>
      <c r="K175" s="3" t="s">
        <v>350</v>
      </c>
      <c r="L175" s="7" t="n">
        <v>5373.22</v>
      </c>
      <c r="M175" s="7" t="n">
        <v>671.65</v>
      </c>
      <c r="N175" s="7" t="n">
        <v>671.65</v>
      </c>
      <c r="O175" s="7" t="n">
        <v>4029.9</v>
      </c>
      <c r="P175" s="7" t="n">
        <v>402.99</v>
      </c>
      <c r="Q175" s="7" t="n">
        <v>402.99</v>
      </c>
      <c r="R175" s="7" t="n">
        <v>402.99</v>
      </c>
      <c r="S175" s="7" t="n">
        <v>402.99</v>
      </c>
      <c r="T175" s="7" t="n">
        <v>402.99</v>
      </c>
      <c r="U175" s="7" t="n">
        <v>402.99</v>
      </c>
      <c r="V175" s="7" t="n">
        <v>402.99</v>
      </c>
      <c r="W175" s="7" t="n">
        <v>402.99</v>
      </c>
      <c r="X175" s="7" t="n">
        <v>402.99</v>
      </c>
      <c r="Y175" s="7" t="n">
        <v>402.99</v>
      </c>
      <c r="Z175" s="7" t="n">
        <v>350</v>
      </c>
      <c r="AA175" s="7" t="n">
        <v>0</v>
      </c>
      <c r="AB175" s="7" t="n">
        <v>350</v>
      </c>
    </row>
    <row r="176" customFormat="false" ht="15" hidden="false" customHeight="false" outlineLevel="0" collapsed="false">
      <c r="A176" s="8" t="s">
        <v>678</v>
      </c>
      <c r="B176" s="8" t="s">
        <v>679</v>
      </c>
      <c r="C176" s="8" t="s">
        <v>276</v>
      </c>
      <c r="D176" s="8" t="s">
        <v>277</v>
      </c>
      <c r="E176" s="8" t="n">
        <v>1960</v>
      </c>
      <c r="F176" s="8" t="s">
        <v>119</v>
      </c>
      <c r="G176" s="8" t="s">
        <v>120</v>
      </c>
      <c r="H176" s="8" t="s">
        <v>680</v>
      </c>
      <c r="I176" s="8" t="s">
        <v>56</v>
      </c>
      <c r="J176" s="9" t="n">
        <v>815000</v>
      </c>
      <c r="K176" s="8" t="s">
        <v>153</v>
      </c>
      <c r="L176" s="9" t="n">
        <v>11024.45</v>
      </c>
      <c r="M176" s="9" t="n">
        <v>1378.06</v>
      </c>
      <c r="N176" s="9" t="n">
        <v>1378.06</v>
      </c>
      <c r="O176" s="9" t="n">
        <v>8268.3</v>
      </c>
      <c r="P176" s="9" t="n">
        <v>826.83</v>
      </c>
      <c r="Q176" s="9" t="n">
        <v>826.83</v>
      </c>
      <c r="R176" s="9" t="n">
        <v>826.83</v>
      </c>
      <c r="S176" s="9" t="n">
        <v>826.83</v>
      </c>
      <c r="T176" s="9" t="n">
        <v>826.83</v>
      </c>
      <c r="U176" s="9" t="n">
        <v>826.83</v>
      </c>
      <c r="V176" s="9" t="n">
        <v>826.83</v>
      </c>
      <c r="W176" s="9" t="n">
        <v>826.83</v>
      </c>
      <c r="X176" s="9" t="n">
        <v>826.83</v>
      </c>
      <c r="Y176" s="9" t="n">
        <v>826.83</v>
      </c>
      <c r="Z176" s="9" t="n">
        <v>350</v>
      </c>
      <c r="AA176" s="9" t="n">
        <v>0</v>
      </c>
      <c r="AB176" s="9" t="n">
        <v>350</v>
      </c>
    </row>
    <row r="177" customFormat="false" ht="15" hidden="false" customHeight="false" outlineLevel="0" collapsed="false">
      <c r="A177" s="3" t="s">
        <v>681</v>
      </c>
      <c r="B177" s="3" t="s">
        <v>682</v>
      </c>
      <c r="C177" s="3" t="s">
        <v>76</v>
      </c>
      <c r="D177" s="3" t="s">
        <v>77</v>
      </c>
      <c r="E177" s="3" t="n">
        <v>1980</v>
      </c>
      <c r="F177" s="3" t="s">
        <v>146</v>
      </c>
      <c r="G177" s="3" t="s">
        <v>147</v>
      </c>
      <c r="H177" s="3" t="s">
        <v>683</v>
      </c>
      <c r="I177" s="3" t="s">
        <v>56</v>
      </c>
      <c r="J177" s="7" t="n">
        <v>600000</v>
      </c>
      <c r="K177" s="3" t="s">
        <v>134</v>
      </c>
      <c r="L177" s="7" t="n">
        <v>9033.64</v>
      </c>
      <c r="M177" s="7" t="n">
        <v>1129.2</v>
      </c>
      <c r="N177" s="7" t="n">
        <v>1129.2</v>
      </c>
      <c r="O177" s="7" t="n">
        <v>6775.2</v>
      </c>
      <c r="P177" s="7" t="n">
        <v>677.52</v>
      </c>
      <c r="Q177" s="7" t="n">
        <v>677.52</v>
      </c>
      <c r="R177" s="7" t="n">
        <v>677.52</v>
      </c>
      <c r="S177" s="7" t="n">
        <v>677.52</v>
      </c>
      <c r="T177" s="7" t="n">
        <v>677.52</v>
      </c>
      <c r="U177" s="7" t="n">
        <v>677.52</v>
      </c>
      <c r="V177" s="7" t="n">
        <v>677.52</v>
      </c>
      <c r="W177" s="7" t="n">
        <v>677.52</v>
      </c>
      <c r="X177" s="7" t="n">
        <v>677.52</v>
      </c>
      <c r="Y177" s="7" t="n">
        <v>677.52</v>
      </c>
      <c r="Z177" s="7" t="n">
        <v>350</v>
      </c>
      <c r="AA177" s="7" t="n">
        <v>0</v>
      </c>
      <c r="AB177" s="7" t="n">
        <v>350</v>
      </c>
    </row>
    <row r="178" customFormat="false" ht="15" hidden="false" customHeight="false" outlineLevel="0" collapsed="false">
      <c r="A178" s="8" t="s">
        <v>684</v>
      </c>
      <c r="B178" s="8" t="s">
        <v>587</v>
      </c>
      <c r="C178" s="8" t="s">
        <v>312</v>
      </c>
      <c r="D178" s="8" t="s">
        <v>313</v>
      </c>
      <c r="E178" s="8" t="n">
        <v>1964</v>
      </c>
      <c r="F178" s="8" t="s">
        <v>146</v>
      </c>
      <c r="G178" s="8" t="s">
        <v>147</v>
      </c>
      <c r="H178" s="8" t="s">
        <v>685</v>
      </c>
      <c r="I178" s="8" t="s">
        <v>56</v>
      </c>
      <c r="J178" s="9" t="n">
        <v>410000</v>
      </c>
      <c r="K178" s="8" t="s">
        <v>265</v>
      </c>
      <c r="L178" s="9" t="n">
        <v>7901.72</v>
      </c>
      <c r="M178" s="9" t="n">
        <v>987.72</v>
      </c>
      <c r="N178" s="9" t="n">
        <v>987.72</v>
      </c>
      <c r="O178" s="9" t="n">
        <v>5926.3</v>
      </c>
      <c r="P178" s="9" t="n">
        <v>592.63</v>
      </c>
      <c r="Q178" s="9" t="n">
        <v>592.63</v>
      </c>
      <c r="R178" s="9" t="n">
        <v>592.63</v>
      </c>
      <c r="S178" s="9" t="n">
        <v>592.63</v>
      </c>
      <c r="T178" s="9" t="n">
        <v>592.63</v>
      </c>
      <c r="U178" s="9" t="n">
        <v>592.63</v>
      </c>
      <c r="V178" s="9" t="n">
        <v>592.63</v>
      </c>
      <c r="W178" s="9" t="n">
        <v>592.63</v>
      </c>
      <c r="X178" s="9" t="n">
        <v>592.63</v>
      </c>
      <c r="Y178" s="9" t="n">
        <v>592.63</v>
      </c>
      <c r="Z178" s="9" t="n">
        <v>350</v>
      </c>
      <c r="AA178" s="9" t="n">
        <v>0</v>
      </c>
      <c r="AB178" s="9" t="n">
        <v>350</v>
      </c>
    </row>
    <row r="179" customFormat="false" ht="15" hidden="false" customHeight="false" outlineLevel="0" collapsed="false">
      <c r="A179" s="3" t="s">
        <v>686</v>
      </c>
      <c r="B179" s="3" t="s">
        <v>151</v>
      </c>
      <c r="C179" s="3" t="s">
        <v>399</v>
      </c>
      <c r="D179" s="3" t="s">
        <v>400</v>
      </c>
      <c r="E179" s="3" t="n">
        <v>1958</v>
      </c>
      <c r="F179" s="3" t="s">
        <v>70</v>
      </c>
      <c r="G179" s="3" t="s">
        <v>71</v>
      </c>
      <c r="H179" s="3" t="s">
        <v>687</v>
      </c>
      <c r="I179" s="3" t="s">
        <v>56</v>
      </c>
      <c r="J179" s="7" t="n">
        <v>490000</v>
      </c>
      <c r="K179" s="3" t="s">
        <v>100</v>
      </c>
      <c r="L179" s="7" t="n">
        <v>8312.95</v>
      </c>
      <c r="M179" s="7" t="n">
        <v>1039.12</v>
      </c>
      <c r="N179" s="7" t="n">
        <v>1039.12</v>
      </c>
      <c r="O179" s="7" t="n">
        <v>6234.7</v>
      </c>
      <c r="P179" s="7" t="n">
        <v>623.47</v>
      </c>
      <c r="Q179" s="7" t="n">
        <v>623.47</v>
      </c>
      <c r="R179" s="7" t="n">
        <v>623.47</v>
      </c>
      <c r="S179" s="7" t="n">
        <v>623.47</v>
      </c>
      <c r="T179" s="7" t="n">
        <v>623.47</v>
      </c>
      <c r="U179" s="7" t="n">
        <v>623.47</v>
      </c>
      <c r="V179" s="7" t="n">
        <v>623.47</v>
      </c>
      <c r="W179" s="7" t="n">
        <v>623.47</v>
      </c>
      <c r="X179" s="7" t="n">
        <v>623.47</v>
      </c>
      <c r="Y179" s="7" t="n">
        <v>623.47</v>
      </c>
      <c r="Z179" s="7" t="n">
        <v>350</v>
      </c>
      <c r="AA179" s="7" t="n">
        <v>0</v>
      </c>
      <c r="AB179" s="7" t="n">
        <v>350</v>
      </c>
    </row>
    <row r="180" customFormat="false" ht="15" hidden="false" customHeight="false" outlineLevel="0" collapsed="false">
      <c r="A180" s="8" t="s">
        <v>688</v>
      </c>
      <c r="B180" s="8" t="s">
        <v>689</v>
      </c>
      <c r="C180" s="8" t="s">
        <v>276</v>
      </c>
      <c r="D180" s="8" t="s">
        <v>277</v>
      </c>
      <c r="E180" s="8" t="n">
        <v>1995</v>
      </c>
      <c r="F180" s="8" t="s">
        <v>70</v>
      </c>
      <c r="G180" s="8" t="s">
        <v>71</v>
      </c>
      <c r="H180" s="8" t="s">
        <v>690</v>
      </c>
      <c r="I180" s="8" t="s">
        <v>56</v>
      </c>
      <c r="J180" s="9" t="n">
        <v>935000</v>
      </c>
      <c r="K180" s="8" t="s">
        <v>170</v>
      </c>
      <c r="L180" s="9" t="n">
        <v>13747.48</v>
      </c>
      <c r="M180" s="9" t="n">
        <v>1718.43</v>
      </c>
      <c r="N180" s="9" t="n">
        <v>1718.43</v>
      </c>
      <c r="O180" s="9" t="n">
        <v>10310.6</v>
      </c>
      <c r="P180" s="9" t="n">
        <v>1031.06</v>
      </c>
      <c r="Q180" s="9" t="n">
        <v>1031.06</v>
      </c>
      <c r="R180" s="9" t="n">
        <v>1031.06</v>
      </c>
      <c r="S180" s="9" t="n">
        <v>1031.06</v>
      </c>
      <c r="T180" s="9" t="n">
        <v>1031.06</v>
      </c>
      <c r="U180" s="9" t="n">
        <v>1031.06</v>
      </c>
      <c r="V180" s="9" t="n">
        <v>1031.06</v>
      </c>
      <c r="W180" s="9" t="n">
        <v>1031.06</v>
      </c>
      <c r="X180" s="9" t="n">
        <v>1031.06</v>
      </c>
      <c r="Y180" s="9" t="n">
        <v>1031.06</v>
      </c>
      <c r="Z180" s="9" t="n">
        <v>350</v>
      </c>
      <c r="AA180" s="9" t="n">
        <v>0</v>
      </c>
      <c r="AB180" s="9" t="n">
        <v>350</v>
      </c>
    </row>
    <row r="181" customFormat="false" ht="15" hidden="false" customHeight="false" outlineLevel="0" collapsed="false">
      <c r="A181" s="3" t="s">
        <v>691</v>
      </c>
      <c r="B181" s="3" t="s">
        <v>545</v>
      </c>
      <c r="C181" s="3" t="s">
        <v>137</v>
      </c>
      <c r="D181" s="3" t="s">
        <v>138</v>
      </c>
      <c r="E181" s="3" t="n">
        <v>2009</v>
      </c>
      <c r="F181" s="3" t="s">
        <v>173</v>
      </c>
      <c r="G181" s="3" t="s">
        <v>174</v>
      </c>
      <c r="H181" s="3" t="s">
        <v>692</v>
      </c>
      <c r="I181" s="3" t="s">
        <v>107</v>
      </c>
      <c r="J181" s="7" t="n">
        <v>1660000</v>
      </c>
      <c r="K181" s="3" t="s">
        <v>100</v>
      </c>
      <c r="L181" s="7" t="n">
        <v>14268.88</v>
      </c>
      <c r="M181" s="7" t="n">
        <v>1783.61</v>
      </c>
      <c r="N181" s="7" t="n">
        <v>1783.61</v>
      </c>
      <c r="O181" s="7" t="n">
        <v>10701.7</v>
      </c>
      <c r="P181" s="7" t="n">
        <v>1070.17</v>
      </c>
      <c r="Q181" s="7" t="n">
        <v>1070.17</v>
      </c>
      <c r="R181" s="7" t="n">
        <v>1070.17</v>
      </c>
      <c r="S181" s="7" t="n">
        <v>1070.17</v>
      </c>
      <c r="T181" s="7" t="n">
        <v>1070.17</v>
      </c>
      <c r="U181" s="7" t="n">
        <v>1070.17</v>
      </c>
      <c r="V181" s="7" t="n">
        <v>1070.17</v>
      </c>
      <c r="W181" s="7" t="n">
        <v>1070.17</v>
      </c>
      <c r="X181" s="7" t="n">
        <v>1070.17</v>
      </c>
      <c r="Y181" s="7" t="n">
        <v>1070.17</v>
      </c>
      <c r="Z181" s="7" t="n">
        <v>350</v>
      </c>
      <c r="AA181" s="7" t="n">
        <v>250</v>
      </c>
      <c r="AB181" s="7" t="n">
        <v>600</v>
      </c>
    </row>
    <row r="182" customFormat="false" ht="15" hidden="false" customHeight="false" outlineLevel="0" collapsed="false">
      <c r="A182" s="8" t="s">
        <v>693</v>
      </c>
      <c r="B182" s="8" t="s">
        <v>694</v>
      </c>
      <c r="C182" s="8" t="s">
        <v>328</v>
      </c>
      <c r="D182" s="8" t="s">
        <v>329</v>
      </c>
      <c r="E182" s="8" t="n">
        <v>1974</v>
      </c>
      <c r="F182" s="8" t="s">
        <v>70</v>
      </c>
      <c r="G182" s="8" t="s">
        <v>71</v>
      </c>
      <c r="H182" s="8" t="s">
        <v>695</v>
      </c>
      <c r="I182" s="8" t="s">
        <v>56</v>
      </c>
      <c r="J182" s="9" t="n">
        <v>215000</v>
      </c>
      <c r="K182" s="8" t="s">
        <v>122</v>
      </c>
      <c r="L182" s="9" t="n">
        <v>4939.61</v>
      </c>
      <c r="M182" s="9" t="n">
        <v>617.45</v>
      </c>
      <c r="N182" s="9" t="n">
        <v>617.45</v>
      </c>
      <c r="O182" s="9" t="n">
        <v>3704.7</v>
      </c>
      <c r="P182" s="9" t="n">
        <v>370.47</v>
      </c>
      <c r="Q182" s="9" t="n">
        <v>370.47</v>
      </c>
      <c r="R182" s="9" t="n">
        <v>370.47</v>
      </c>
      <c r="S182" s="9" t="n">
        <v>370.47</v>
      </c>
      <c r="T182" s="9" t="n">
        <v>370.47</v>
      </c>
      <c r="U182" s="9" t="n">
        <v>370.47</v>
      </c>
      <c r="V182" s="9" t="n">
        <v>370.47</v>
      </c>
      <c r="W182" s="9" t="n">
        <v>370.47</v>
      </c>
      <c r="X182" s="9" t="n">
        <v>370.47</v>
      </c>
      <c r="Y182" s="9" t="n">
        <v>370.47</v>
      </c>
      <c r="Z182" s="9" t="n">
        <v>350</v>
      </c>
      <c r="AA182" s="9" t="n">
        <v>0</v>
      </c>
      <c r="AB182" s="9" t="n">
        <v>350</v>
      </c>
    </row>
    <row r="183" customFormat="false" ht="15" hidden="false" customHeight="false" outlineLevel="0" collapsed="false">
      <c r="A183" s="3" t="s">
        <v>696</v>
      </c>
      <c r="B183" s="3" t="s">
        <v>697</v>
      </c>
      <c r="C183" s="3" t="s">
        <v>399</v>
      </c>
      <c r="D183" s="3" t="s">
        <v>400</v>
      </c>
      <c r="E183" s="3" t="n">
        <v>1958</v>
      </c>
      <c r="F183" s="3" t="s">
        <v>424</v>
      </c>
      <c r="G183" s="3" t="s">
        <v>425</v>
      </c>
      <c r="H183" s="3" t="s">
        <v>698</v>
      </c>
      <c r="I183" s="3" t="s">
        <v>273</v>
      </c>
      <c r="J183" s="7" t="n">
        <v>560000</v>
      </c>
      <c r="K183" s="3" t="s">
        <v>360</v>
      </c>
      <c r="L183" s="7" t="n">
        <v>4351.49</v>
      </c>
      <c r="M183" s="7" t="n">
        <v>543.94</v>
      </c>
      <c r="N183" s="7" t="n">
        <v>543.94</v>
      </c>
      <c r="O183" s="7" t="n">
        <v>3263.6</v>
      </c>
      <c r="P183" s="7" t="n">
        <v>326.36</v>
      </c>
      <c r="Q183" s="7" t="n">
        <v>326.36</v>
      </c>
      <c r="R183" s="7" t="n">
        <v>326.36</v>
      </c>
      <c r="S183" s="7" t="n">
        <v>326.36</v>
      </c>
      <c r="T183" s="7" t="n">
        <v>326.36</v>
      </c>
      <c r="U183" s="7" t="n">
        <v>326.36</v>
      </c>
      <c r="V183" s="7" t="n">
        <v>326.36</v>
      </c>
      <c r="W183" s="7" t="n">
        <v>326.36</v>
      </c>
      <c r="X183" s="7" t="n">
        <v>326.36</v>
      </c>
      <c r="Y183" s="7" t="n">
        <v>326.36</v>
      </c>
      <c r="Z183" s="7" t="n">
        <v>350</v>
      </c>
      <c r="AA183" s="7" t="n">
        <v>0</v>
      </c>
      <c r="AB183" s="7" t="n">
        <v>350</v>
      </c>
    </row>
    <row r="184" customFormat="false" ht="15" hidden="false" customHeight="false" outlineLevel="0" collapsed="false">
      <c r="A184" s="8" t="s">
        <v>699</v>
      </c>
      <c r="B184" s="8" t="s">
        <v>700</v>
      </c>
      <c r="C184" s="8" t="s">
        <v>232</v>
      </c>
      <c r="D184" s="8" t="s">
        <v>233</v>
      </c>
      <c r="E184" s="8" t="n">
        <v>1959</v>
      </c>
      <c r="F184" s="8" t="s">
        <v>62</v>
      </c>
      <c r="G184" s="8" t="s">
        <v>105</v>
      </c>
      <c r="H184" s="8" t="s">
        <v>701</v>
      </c>
      <c r="I184" s="8" t="s">
        <v>107</v>
      </c>
      <c r="J184" s="9" t="n">
        <v>1950000</v>
      </c>
      <c r="K184" s="8" t="s">
        <v>210</v>
      </c>
      <c r="L184" s="9" t="n">
        <v>18102.56</v>
      </c>
      <c r="M184" s="9" t="n">
        <v>2262.82</v>
      </c>
      <c r="N184" s="9" t="n">
        <v>2262.82</v>
      </c>
      <c r="O184" s="9" t="n">
        <v>13576.9</v>
      </c>
      <c r="P184" s="9" t="n">
        <v>1357.69</v>
      </c>
      <c r="Q184" s="9" t="n">
        <v>1357.69</v>
      </c>
      <c r="R184" s="9" t="n">
        <v>1357.69</v>
      </c>
      <c r="S184" s="9" t="n">
        <v>1357.69</v>
      </c>
      <c r="T184" s="9" t="n">
        <v>1357.69</v>
      </c>
      <c r="U184" s="9" t="n">
        <v>1357.69</v>
      </c>
      <c r="V184" s="9" t="n">
        <v>1357.69</v>
      </c>
      <c r="W184" s="9" t="n">
        <v>1357.69</v>
      </c>
      <c r="X184" s="9" t="n">
        <v>1357.69</v>
      </c>
      <c r="Y184" s="9" t="n">
        <v>1357.69</v>
      </c>
      <c r="Z184" s="9" t="n">
        <v>350</v>
      </c>
      <c r="AA184" s="9" t="n">
        <v>250</v>
      </c>
      <c r="AB184" s="9" t="n">
        <v>600</v>
      </c>
    </row>
    <row r="185" customFormat="false" ht="15" hidden="false" customHeight="false" outlineLevel="0" collapsed="false">
      <c r="A185" s="3" t="s">
        <v>702</v>
      </c>
      <c r="B185" s="3" t="s">
        <v>662</v>
      </c>
      <c r="C185" s="3" t="s">
        <v>137</v>
      </c>
      <c r="D185" s="3" t="s">
        <v>138</v>
      </c>
      <c r="E185" s="3" t="n">
        <v>2019</v>
      </c>
      <c r="F185" s="3" t="s">
        <v>70</v>
      </c>
      <c r="G185" s="3" t="s">
        <v>557</v>
      </c>
      <c r="H185" s="3" t="s">
        <v>703</v>
      </c>
      <c r="I185" s="3" t="s">
        <v>107</v>
      </c>
      <c r="J185" s="7" t="n">
        <v>1490000</v>
      </c>
      <c r="K185" s="3" t="s">
        <v>265</v>
      </c>
      <c r="L185" s="7" t="n">
        <v>14549.44</v>
      </c>
      <c r="M185" s="7" t="n">
        <v>1818.68</v>
      </c>
      <c r="N185" s="7" t="n">
        <v>1818.68</v>
      </c>
      <c r="O185" s="7" t="n">
        <v>10912.1</v>
      </c>
      <c r="P185" s="7" t="n">
        <v>1091.21</v>
      </c>
      <c r="Q185" s="7" t="n">
        <v>1091.21</v>
      </c>
      <c r="R185" s="7" t="n">
        <v>1091.21</v>
      </c>
      <c r="S185" s="7" t="n">
        <v>1091.21</v>
      </c>
      <c r="T185" s="7" t="n">
        <v>1091.21</v>
      </c>
      <c r="U185" s="7" t="n">
        <v>1091.21</v>
      </c>
      <c r="V185" s="7" t="n">
        <v>1091.21</v>
      </c>
      <c r="W185" s="7" t="n">
        <v>1091.21</v>
      </c>
      <c r="X185" s="7" t="n">
        <v>1091.21</v>
      </c>
      <c r="Y185" s="7" t="n">
        <v>1091.21</v>
      </c>
      <c r="Z185" s="7" t="n">
        <v>350</v>
      </c>
      <c r="AA185" s="7" t="n">
        <v>250</v>
      </c>
      <c r="AB185" s="7" t="n">
        <v>600</v>
      </c>
    </row>
    <row r="186" customFormat="false" ht="15" hidden="false" customHeight="false" outlineLevel="0" collapsed="false">
      <c r="A186" s="8" t="s">
        <v>704</v>
      </c>
      <c r="B186" s="8" t="s">
        <v>494</v>
      </c>
      <c r="C186" s="8" t="s">
        <v>51</v>
      </c>
      <c r="D186" s="8" t="s">
        <v>52</v>
      </c>
      <c r="E186" s="8" t="n">
        <v>1994</v>
      </c>
      <c r="F186" s="8" t="s">
        <v>62</v>
      </c>
      <c r="G186" s="8" t="s">
        <v>63</v>
      </c>
      <c r="H186" s="8" t="s">
        <v>705</v>
      </c>
      <c r="I186" s="8" t="s">
        <v>47</v>
      </c>
      <c r="J186" s="9" t="n">
        <v>885000</v>
      </c>
      <c r="K186" s="8" t="s">
        <v>93</v>
      </c>
      <c r="L186" s="9" t="n">
        <v>23582.32</v>
      </c>
      <c r="M186" s="9" t="n">
        <v>2947.79</v>
      </c>
      <c r="N186" s="9" t="n">
        <v>2947.79</v>
      </c>
      <c r="O186" s="9" t="n">
        <v>17686.7</v>
      </c>
      <c r="P186" s="9" t="n">
        <v>1768.67</v>
      </c>
      <c r="Q186" s="9" t="n">
        <v>1768.67</v>
      </c>
      <c r="R186" s="9" t="n">
        <v>1768.67</v>
      </c>
      <c r="S186" s="9" t="n">
        <v>1768.67</v>
      </c>
      <c r="T186" s="9" t="n">
        <v>1768.67</v>
      </c>
      <c r="U186" s="9" t="n">
        <v>1768.67</v>
      </c>
      <c r="V186" s="9" t="n">
        <v>1768.67</v>
      </c>
      <c r="W186" s="9" t="n">
        <v>1768.67</v>
      </c>
      <c r="X186" s="9" t="n">
        <v>1768.67</v>
      </c>
      <c r="Y186" s="9" t="n">
        <v>1768.67</v>
      </c>
      <c r="Z186" s="9" t="n">
        <v>350</v>
      </c>
      <c r="AA186" s="9" t="n">
        <v>0</v>
      </c>
      <c r="AB186" s="9" t="n">
        <v>350</v>
      </c>
    </row>
    <row r="187" customFormat="false" ht="15" hidden="false" customHeight="false" outlineLevel="0" collapsed="false">
      <c r="A187" s="3" t="s">
        <v>706</v>
      </c>
      <c r="B187" s="3" t="s">
        <v>707</v>
      </c>
      <c r="C187" s="3" t="s">
        <v>82</v>
      </c>
      <c r="D187" s="3" t="s">
        <v>83</v>
      </c>
      <c r="E187" s="3" t="n">
        <v>1989</v>
      </c>
      <c r="F187" s="3" t="s">
        <v>113</v>
      </c>
      <c r="G187" s="3" t="s">
        <v>114</v>
      </c>
      <c r="H187" s="3" t="s">
        <v>708</v>
      </c>
      <c r="I187" s="3" t="s">
        <v>56</v>
      </c>
      <c r="J187" s="7" t="n">
        <v>690000</v>
      </c>
      <c r="K187" s="3" t="s">
        <v>217</v>
      </c>
      <c r="L187" s="7" t="n">
        <v>7953.84</v>
      </c>
      <c r="M187" s="7" t="n">
        <v>994.23</v>
      </c>
      <c r="N187" s="7" t="n">
        <v>994.23</v>
      </c>
      <c r="O187" s="7" t="n">
        <v>5965.4</v>
      </c>
      <c r="P187" s="7" t="n">
        <v>596.54</v>
      </c>
      <c r="Q187" s="7" t="n">
        <v>596.54</v>
      </c>
      <c r="R187" s="7" t="n">
        <v>596.54</v>
      </c>
      <c r="S187" s="7" t="n">
        <v>596.54</v>
      </c>
      <c r="T187" s="7" t="n">
        <v>596.54</v>
      </c>
      <c r="U187" s="7" t="n">
        <v>596.54</v>
      </c>
      <c r="V187" s="7" t="n">
        <v>596.54</v>
      </c>
      <c r="W187" s="7" t="n">
        <v>596.54</v>
      </c>
      <c r="X187" s="7" t="n">
        <v>596.54</v>
      </c>
      <c r="Y187" s="7" t="n">
        <v>596.54</v>
      </c>
      <c r="Z187" s="7" t="n">
        <v>350</v>
      </c>
      <c r="AA187" s="7" t="n">
        <v>0</v>
      </c>
      <c r="AB187" s="7" t="n">
        <v>350</v>
      </c>
    </row>
    <row r="188" customFormat="false" ht="15" hidden="false" customHeight="false" outlineLevel="0" collapsed="false">
      <c r="A188" s="8" t="s">
        <v>709</v>
      </c>
      <c r="B188" s="8" t="s">
        <v>710</v>
      </c>
      <c r="C188" s="8" t="s">
        <v>232</v>
      </c>
      <c r="D188" s="8" t="s">
        <v>233</v>
      </c>
      <c r="E188" s="8" t="n">
        <v>2013</v>
      </c>
      <c r="F188" s="8" t="s">
        <v>62</v>
      </c>
      <c r="G188" s="8" t="s">
        <v>98</v>
      </c>
      <c r="H188" s="8" t="s">
        <v>711</v>
      </c>
      <c r="I188" s="8" t="s">
        <v>47</v>
      </c>
      <c r="J188" s="9" t="n">
        <v>1950000</v>
      </c>
      <c r="K188" s="8" t="s">
        <v>134</v>
      </c>
      <c r="L188" s="9" t="n">
        <v>36134.54</v>
      </c>
      <c r="M188" s="9" t="n">
        <v>4516.82</v>
      </c>
      <c r="N188" s="9" t="n">
        <v>4516.82</v>
      </c>
      <c r="O188" s="9" t="n">
        <v>27100.9</v>
      </c>
      <c r="P188" s="9" t="n">
        <v>2710.09</v>
      </c>
      <c r="Q188" s="9" t="n">
        <v>2710.09</v>
      </c>
      <c r="R188" s="9" t="n">
        <v>2710.09</v>
      </c>
      <c r="S188" s="9" t="n">
        <v>2710.09</v>
      </c>
      <c r="T188" s="9" t="n">
        <v>2710.09</v>
      </c>
      <c r="U188" s="9" t="n">
        <v>2710.09</v>
      </c>
      <c r="V188" s="9" t="n">
        <v>2710.09</v>
      </c>
      <c r="W188" s="9" t="n">
        <v>2710.09</v>
      </c>
      <c r="X188" s="9" t="n">
        <v>2710.09</v>
      </c>
      <c r="Y188" s="9" t="n">
        <v>2710.09</v>
      </c>
      <c r="Z188" s="9" t="n">
        <v>350</v>
      </c>
      <c r="AA188" s="9" t="n">
        <v>250</v>
      </c>
      <c r="AB188" s="9" t="n">
        <v>600</v>
      </c>
    </row>
    <row r="189" customFormat="false" ht="15" hidden="false" customHeight="false" outlineLevel="0" collapsed="false">
      <c r="A189" s="3" t="s">
        <v>712</v>
      </c>
      <c r="B189" s="3" t="s">
        <v>219</v>
      </c>
      <c r="C189" s="3" t="s">
        <v>255</v>
      </c>
      <c r="D189" s="3" t="s">
        <v>256</v>
      </c>
      <c r="E189" s="3" t="n">
        <v>1974</v>
      </c>
      <c r="F189" s="3" t="s">
        <v>113</v>
      </c>
      <c r="G189" s="3" t="s">
        <v>114</v>
      </c>
      <c r="H189" s="3" t="s">
        <v>713</v>
      </c>
      <c r="I189" s="3" t="s">
        <v>56</v>
      </c>
      <c r="J189" s="7" t="n">
        <v>705000</v>
      </c>
      <c r="K189" s="3" t="s">
        <v>252</v>
      </c>
      <c r="L189" s="7" t="n">
        <v>9453.56</v>
      </c>
      <c r="M189" s="7" t="n">
        <v>1181.69</v>
      </c>
      <c r="N189" s="7" t="n">
        <v>1181.69</v>
      </c>
      <c r="O189" s="7" t="n">
        <v>7090.2</v>
      </c>
      <c r="P189" s="7" t="n">
        <v>709.02</v>
      </c>
      <c r="Q189" s="7" t="n">
        <v>709.02</v>
      </c>
      <c r="R189" s="7" t="n">
        <v>709.02</v>
      </c>
      <c r="S189" s="7" t="n">
        <v>709.02</v>
      </c>
      <c r="T189" s="7" t="n">
        <v>709.02</v>
      </c>
      <c r="U189" s="7" t="n">
        <v>709.02</v>
      </c>
      <c r="V189" s="7" t="n">
        <v>709.02</v>
      </c>
      <c r="W189" s="7" t="n">
        <v>709.02</v>
      </c>
      <c r="X189" s="7" t="n">
        <v>709.02</v>
      </c>
      <c r="Y189" s="7" t="n">
        <v>709.02</v>
      </c>
      <c r="Z189" s="7" t="n">
        <v>350</v>
      </c>
      <c r="AA189" s="7" t="n">
        <v>0</v>
      </c>
      <c r="AB189" s="7" t="n">
        <v>350</v>
      </c>
    </row>
    <row r="190" customFormat="false" ht="15" hidden="false" customHeight="false" outlineLevel="0" collapsed="false">
      <c r="A190" s="8" t="s">
        <v>714</v>
      </c>
      <c r="B190" s="8" t="s">
        <v>524</v>
      </c>
      <c r="C190" s="8" t="s">
        <v>366</v>
      </c>
      <c r="D190" s="8" t="s">
        <v>367</v>
      </c>
      <c r="E190" s="8" t="n">
        <v>2013</v>
      </c>
      <c r="F190" s="8" t="s">
        <v>173</v>
      </c>
      <c r="G190" s="8" t="s">
        <v>174</v>
      </c>
      <c r="H190" s="8" t="s">
        <v>715</v>
      </c>
      <c r="I190" s="8" t="s">
        <v>107</v>
      </c>
      <c r="J190" s="9" t="n">
        <v>210000</v>
      </c>
      <c r="K190" s="8" t="s">
        <v>128</v>
      </c>
      <c r="L190" s="9" t="n">
        <v>2014.49</v>
      </c>
      <c r="M190" s="9" t="n">
        <v>251.81</v>
      </c>
      <c r="N190" s="9" t="n">
        <v>251.81</v>
      </c>
      <c r="O190" s="9" t="n">
        <v>1510.9</v>
      </c>
      <c r="P190" s="9" t="n">
        <v>151.09</v>
      </c>
      <c r="Q190" s="9" t="n">
        <v>151.09</v>
      </c>
      <c r="R190" s="9" t="n">
        <v>151.09</v>
      </c>
      <c r="S190" s="9" t="n">
        <v>151.09</v>
      </c>
      <c r="T190" s="9" t="n">
        <v>151.09</v>
      </c>
      <c r="U190" s="9" t="n">
        <v>151.09</v>
      </c>
      <c r="V190" s="9" t="n">
        <v>151.09</v>
      </c>
      <c r="W190" s="9" t="n">
        <v>151.09</v>
      </c>
      <c r="X190" s="9" t="n">
        <v>151.09</v>
      </c>
      <c r="Y190" s="9" t="n">
        <v>151.09</v>
      </c>
      <c r="Z190" s="9" t="n">
        <v>350</v>
      </c>
      <c r="AA190" s="9" t="n">
        <v>0</v>
      </c>
      <c r="AB190" s="9" t="n">
        <v>350</v>
      </c>
    </row>
    <row r="191" customFormat="false" ht="15" hidden="false" customHeight="false" outlineLevel="0" collapsed="false">
      <c r="A191" s="3" t="s">
        <v>716</v>
      </c>
      <c r="B191" s="3" t="s">
        <v>717</v>
      </c>
      <c r="C191" s="3" t="s">
        <v>163</v>
      </c>
      <c r="D191" s="3" t="s">
        <v>164</v>
      </c>
      <c r="E191" s="3" t="n">
        <v>1985</v>
      </c>
      <c r="F191" s="3" t="s">
        <v>62</v>
      </c>
      <c r="G191" s="3" t="s">
        <v>105</v>
      </c>
      <c r="H191" s="3" t="s">
        <v>718</v>
      </c>
      <c r="I191" s="3" t="s">
        <v>107</v>
      </c>
      <c r="J191" s="7" t="n">
        <v>1170000</v>
      </c>
      <c r="K191" s="3" t="s">
        <v>636</v>
      </c>
      <c r="L191" s="7" t="n">
        <v>9574.24</v>
      </c>
      <c r="M191" s="7" t="n">
        <v>1196.78</v>
      </c>
      <c r="N191" s="7" t="n">
        <v>1196.78</v>
      </c>
      <c r="O191" s="7" t="n">
        <v>7180.7</v>
      </c>
      <c r="P191" s="7" t="n">
        <v>718.07</v>
      </c>
      <c r="Q191" s="7" t="n">
        <v>718.07</v>
      </c>
      <c r="R191" s="7" t="n">
        <v>718.07</v>
      </c>
      <c r="S191" s="7" t="n">
        <v>718.07</v>
      </c>
      <c r="T191" s="7" t="n">
        <v>718.07</v>
      </c>
      <c r="U191" s="7" t="n">
        <v>718.07</v>
      </c>
      <c r="V191" s="7" t="n">
        <v>718.07</v>
      </c>
      <c r="W191" s="7" t="n">
        <v>718.07</v>
      </c>
      <c r="X191" s="7" t="n">
        <v>718.07</v>
      </c>
      <c r="Y191" s="7" t="n">
        <v>718.07</v>
      </c>
      <c r="Z191" s="7" t="n">
        <v>350</v>
      </c>
      <c r="AA191" s="7" t="n">
        <v>250</v>
      </c>
      <c r="AB191" s="7" t="n">
        <v>600</v>
      </c>
    </row>
    <row r="192" customFormat="false" ht="15" hidden="false" customHeight="false" outlineLevel="0" collapsed="false">
      <c r="A192" s="8" t="s">
        <v>719</v>
      </c>
      <c r="B192" s="8" t="s">
        <v>720</v>
      </c>
      <c r="C192" s="8" t="s">
        <v>238</v>
      </c>
      <c r="D192" s="8" t="s">
        <v>239</v>
      </c>
      <c r="E192" s="8" t="n">
        <v>1979</v>
      </c>
      <c r="F192" s="8" t="s">
        <v>376</v>
      </c>
      <c r="G192" s="8" t="s">
        <v>377</v>
      </c>
      <c r="H192" s="8" t="s">
        <v>721</v>
      </c>
      <c r="I192" s="8" t="s">
        <v>92</v>
      </c>
      <c r="J192" s="9" t="n">
        <v>1065000</v>
      </c>
      <c r="K192" s="8" t="s">
        <v>350</v>
      </c>
      <c r="L192" s="9" t="n">
        <v>14022.66</v>
      </c>
      <c r="M192" s="9" t="n">
        <v>1752.83</v>
      </c>
      <c r="N192" s="9" t="n">
        <v>1752.83</v>
      </c>
      <c r="O192" s="9" t="n">
        <v>10517</v>
      </c>
      <c r="P192" s="9" t="n">
        <v>1051.7</v>
      </c>
      <c r="Q192" s="9" t="n">
        <v>1051.7</v>
      </c>
      <c r="R192" s="9" t="n">
        <v>1051.7</v>
      </c>
      <c r="S192" s="9" t="n">
        <v>1051.7</v>
      </c>
      <c r="T192" s="9" t="n">
        <v>1051.7</v>
      </c>
      <c r="U192" s="9" t="n">
        <v>1051.7</v>
      </c>
      <c r="V192" s="9" t="n">
        <v>1051.7</v>
      </c>
      <c r="W192" s="9" t="n">
        <v>1051.7</v>
      </c>
      <c r="X192" s="9" t="n">
        <v>1051.7</v>
      </c>
      <c r="Y192" s="9" t="n">
        <v>1051.7</v>
      </c>
      <c r="Z192" s="9" t="n">
        <v>350</v>
      </c>
      <c r="AA192" s="9" t="n">
        <v>250</v>
      </c>
      <c r="AB192" s="9" t="n">
        <v>600</v>
      </c>
    </row>
    <row r="193" customFormat="false" ht="15" hidden="false" customHeight="false" outlineLevel="0" collapsed="false">
      <c r="A193" s="3" t="s">
        <v>722</v>
      </c>
      <c r="B193" s="3" t="s">
        <v>723</v>
      </c>
      <c r="C193" s="3" t="s">
        <v>144</v>
      </c>
      <c r="D193" s="3" t="s">
        <v>145</v>
      </c>
      <c r="E193" s="3" t="n">
        <v>1997</v>
      </c>
      <c r="F193" s="3" t="s">
        <v>53</v>
      </c>
      <c r="G193" s="3" t="s">
        <v>54</v>
      </c>
      <c r="H193" s="3" t="s">
        <v>724</v>
      </c>
      <c r="I193" s="3" t="s">
        <v>56</v>
      </c>
      <c r="J193" s="7" t="n">
        <v>405000</v>
      </c>
      <c r="K193" s="3" t="s">
        <v>725</v>
      </c>
      <c r="L193" s="7" t="n">
        <v>7365.62</v>
      </c>
      <c r="M193" s="7" t="n">
        <v>920.7</v>
      </c>
      <c r="N193" s="7" t="n">
        <v>920.7</v>
      </c>
      <c r="O193" s="7" t="n">
        <v>5524.2</v>
      </c>
      <c r="P193" s="7" t="n">
        <v>552.42</v>
      </c>
      <c r="Q193" s="7" t="n">
        <v>552.42</v>
      </c>
      <c r="R193" s="7" t="n">
        <v>552.42</v>
      </c>
      <c r="S193" s="7" t="n">
        <v>552.42</v>
      </c>
      <c r="T193" s="7" t="n">
        <v>552.42</v>
      </c>
      <c r="U193" s="7" t="n">
        <v>552.42</v>
      </c>
      <c r="V193" s="7" t="n">
        <v>552.42</v>
      </c>
      <c r="W193" s="7" t="n">
        <v>552.42</v>
      </c>
      <c r="X193" s="7" t="n">
        <v>552.42</v>
      </c>
      <c r="Y193" s="7" t="n">
        <v>552.42</v>
      </c>
      <c r="Z193" s="7" t="n">
        <v>350</v>
      </c>
      <c r="AA193" s="7" t="n">
        <v>0</v>
      </c>
      <c r="AB193" s="7" t="n">
        <v>350</v>
      </c>
    </row>
    <row r="194" customFormat="false" ht="15" hidden="false" customHeight="false" outlineLevel="0" collapsed="false">
      <c r="A194" s="8" t="s">
        <v>726</v>
      </c>
      <c r="B194" s="8" t="s">
        <v>535</v>
      </c>
      <c r="C194" s="8" t="s">
        <v>60</v>
      </c>
      <c r="D194" s="8" t="s">
        <v>61</v>
      </c>
      <c r="E194" s="8" t="n">
        <v>1974</v>
      </c>
      <c r="F194" s="8" t="s">
        <v>113</v>
      </c>
      <c r="G194" s="8" t="s">
        <v>139</v>
      </c>
      <c r="H194" s="8" t="s">
        <v>727</v>
      </c>
      <c r="I194" s="8" t="s">
        <v>107</v>
      </c>
      <c r="J194" s="9" t="n">
        <v>970000</v>
      </c>
      <c r="K194" s="8" t="s">
        <v>319</v>
      </c>
      <c r="L194" s="9" t="n">
        <v>9585.88</v>
      </c>
      <c r="M194" s="9" t="n">
        <v>1198.23</v>
      </c>
      <c r="N194" s="9" t="n">
        <v>1198.23</v>
      </c>
      <c r="O194" s="9" t="n">
        <v>7189.4</v>
      </c>
      <c r="P194" s="9" t="n">
        <v>718.94</v>
      </c>
      <c r="Q194" s="9" t="n">
        <v>718.94</v>
      </c>
      <c r="R194" s="9" t="n">
        <v>718.94</v>
      </c>
      <c r="S194" s="9" t="n">
        <v>718.94</v>
      </c>
      <c r="T194" s="9" t="n">
        <v>718.94</v>
      </c>
      <c r="U194" s="9" t="n">
        <v>718.94</v>
      </c>
      <c r="V194" s="9" t="n">
        <v>718.94</v>
      </c>
      <c r="W194" s="9" t="n">
        <v>718.94</v>
      </c>
      <c r="X194" s="9" t="n">
        <v>718.94</v>
      </c>
      <c r="Y194" s="9" t="n">
        <v>718.94</v>
      </c>
      <c r="Z194" s="9" t="n">
        <v>350</v>
      </c>
      <c r="AA194" s="9" t="n">
        <v>0</v>
      </c>
      <c r="AB194" s="9" t="n">
        <v>350</v>
      </c>
    </row>
    <row r="195" customFormat="false" ht="15" hidden="false" customHeight="false" outlineLevel="0" collapsed="false">
      <c r="A195" s="3" t="s">
        <v>728</v>
      </c>
      <c r="B195" s="3" t="s">
        <v>729</v>
      </c>
      <c r="C195" s="3" t="s">
        <v>131</v>
      </c>
      <c r="D195" s="3" t="s">
        <v>132</v>
      </c>
      <c r="E195" s="3" t="n">
        <v>1998</v>
      </c>
      <c r="F195" s="3" t="s">
        <v>146</v>
      </c>
      <c r="G195" s="3" t="s">
        <v>147</v>
      </c>
      <c r="H195" s="3" t="s">
        <v>730</v>
      </c>
      <c r="I195" s="3" t="s">
        <v>56</v>
      </c>
      <c r="J195" s="7" t="n">
        <v>445000</v>
      </c>
      <c r="K195" s="3" t="s">
        <v>149</v>
      </c>
      <c r="L195" s="7" t="n">
        <v>8395.07</v>
      </c>
      <c r="M195" s="7" t="n">
        <v>1049.38</v>
      </c>
      <c r="N195" s="7" t="n">
        <v>1049.38</v>
      </c>
      <c r="O195" s="7" t="n">
        <v>6296.3</v>
      </c>
      <c r="P195" s="7" t="n">
        <v>629.63</v>
      </c>
      <c r="Q195" s="7" t="n">
        <v>629.63</v>
      </c>
      <c r="R195" s="7" t="n">
        <v>629.63</v>
      </c>
      <c r="S195" s="7" t="n">
        <v>629.63</v>
      </c>
      <c r="T195" s="7" t="n">
        <v>629.63</v>
      </c>
      <c r="U195" s="7" t="n">
        <v>629.63</v>
      </c>
      <c r="V195" s="7" t="n">
        <v>629.63</v>
      </c>
      <c r="W195" s="7" t="n">
        <v>629.63</v>
      </c>
      <c r="X195" s="7" t="n">
        <v>629.63</v>
      </c>
      <c r="Y195" s="7" t="n">
        <v>629.63</v>
      </c>
      <c r="Z195" s="7" t="n">
        <v>350</v>
      </c>
      <c r="AA195" s="7" t="n">
        <v>0</v>
      </c>
      <c r="AB195" s="7" t="n">
        <v>350</v>
      </c>
    </row>
    <row r="196" customFormat="false" ht="15" hidden="false" customHeight="false" outlineLevel="0" collapsed="false">
      <c r="A196" s="8" t="s">
        <v>731</v>
      </c>
      <c r="B196" s="8" t="s">
        <v>732</v>
      </c>
      <c r="C196" s="8" t="s">
        <v>125</v>
      </c>
      <c r="D196" s="8" t="s">
        <v>126</v>
      </c>
      <c r="E196" s="8" t="n">
        <v>1962</v>
      </c>
      <c r="F196" s="8" t="s">
        <v>113</v>
      </c>
      <c r="G196" s="8" t="s">
        <v>139</v>
      </c>
      <c r="H196" s="8" t="s">
        <v>733</v>
      </c>
      <c r="I196" s="8" t="s">
        <v>107</v>
      </c>
      <c r="J196" s="9" t="n">
        <v>815000</v>
      </c>
      <c r="K196" s="8" t="s">
        <v>93</v>
      </c>
      <c r="L196" s="9" t="n">
        <v>9829.83</v>
      </c>
      <c r="M196" s="9" t="n">
        <v>1228.73</v>
      </c>
      <c r="N196" s="9" t="n">
        <v>1228.73</v>
      </c>
      <c r="O196" s="9" t="n">
        <v>7372.4</v>
      </c>
      <c r="P196" s="9" t="n">
        <v>737.24</v>
      </c>
      <c r="Q196" s="9" t="n">
        <v>737.24</v>
      </c>
      <c r="R196" s="9" t="n">
        <v>737.24</v>
      </c>
      <c r="S196" s="9" t="n">
        <v>737.24</v>
      </c>
      <c r="T196" s="9" t="n">
        <v>737.24</v>
      </c>
      <c r="U196" s="9" t="n">
        <v>737.24</v>
      </c>
      <c r="V196" s="9" t="n">
        <v>737.24</v>
      </c>
      <c r="W196" s="9" t="n">
        <v>737.24</v>
      </c>
      <c r="X196" s="9" t="n">
        <v>737.24</v>
      </c>
      <c r="Y196" s="9" t="n">
        <v>737.24</v>
      </c>
      <c r="Z196" s="9" t="n">
        <v>350</v>
      </c>
      <c r="AA196" s="9" t="n">
        <v>0</v>
      </c>
      <c r="AB196" s="9" t="n">
        <v>350</v>
      </c>
    </row>
    <row r="197" customFormat="false" ht="15" hidden="false" customHeight="false" outlineLevel="0" collapsed="false">
      <c r="A197" s="3" t="s">
        <v>734</v>
      </c>
      <c r="B197" s="3" t="s">
        <v>735</v>
      </c>
      <c r="C197" s="3" t="s">
        <v>144</v>
      </c>
      <c r="D197" s="3" t="s">
        <v>145</v>
      </c>
      <c r="E197" s="3" t="n">
        <v>2015</v>
      </c>
      <c r="F197" s="3" t="s">
        <v>70</v>
      </c>
      <c r="G197" s="3" t="s">
        <v>557</v>
      </c>
      <c r="H197" s="3" t="s">
        <v>736</v>
      </c>
      <c r="I197" s="3" t="s">
        <v>107</v>
      </c>
      <c r="J197" s="7" t="n">
        <v>105000</v>
      </c>
      <c r="K197" s="3" t="s">
        <v>519</v>
      </c>
      <c r="L197" s="7" t="n">
        <v>1191.37</v>
      </c>
      <c r="M197" s="7" t="n">
        <v>148.92</v>
      </c>
      <c r="N197" s="7" t="n">
        <v>148.92</v>
      </c>
      <c r="O197" s="7" t="n">
        <v>893.5</v>
      </c>
      <c r="P197" s="7" t="n">
        <v>89.35</v>
      </c>
      <c r="Q197" s="7" t="n">
        <v>89.35</v>
      </c>
      <c r="R197" s="7" t="n">
        <v>89.35</v>
      </c>
      <c r="S197" s="7" t="n">
        <v>89.35</v>
      </c>
      <c r="T197" s="7" t="n">
        <v>89.35</v>
      </c>
      <c r="U197" s="7" t="n">
        <v>89.35</v>
      </c>
      <c r="V197" s="7" t="n">
        <v>89.35</v>
      </c>
      <c r="W197" s="7" t="n">
        <v>89.35</v>
      </c>
      <c r="X197" s="7" t="n">
        <v>89.35</v>
      </c>
      <c r="Y197" s="7" t="n">
        <v>89.35</v>
      </c>
      <c r="Z197" s="7" t="n">
        <v>350</v>
      </c>
      <c r="AA197" s="7" t="n">
        <v>0</v>
      </c>
      <c r="AB197" s="7" t="n">
        <v>350</v>
      </c>
    </row>
    <row r="198" customFormat="false" ht="15" hidden="false" customHeight="false" outlineLevel="0" collapsed="false">
      <c r="A198" s="8" t="s">
        <v>737</v>
      </c>
      <c r="B198" s="8" t="s">
        <v>738</v>
      </c>
      <c r="C198" s="8" t="s">
        <v>328</v>
      </c>
      <c r="D198" s="8" t="s">
        <v>329</v>
      </c>
      <c r="E198" s="8" t="n">
        <v>1999</v>
      </c>
      <c r="F198" s="8" t="s">
        <v>44</v>
      </c>
      <c r="G198" s="8" t="s">
        <v>45</v>
      </c>
      <c r="H198" s="8" t="s">
        <v>739</v>
      </c>
      <c r="I198" s="8" t="s">
        <v>47</v>
      </c>
      <c r="J198" s="9" t="n">
        <v>825000</v>
      </c>
      <c r="K198" s="8" t="s">
        <v>217</v>
      </c>
      <c r="L198" s="9" t="n">
        <v>13899.26</v>
      </c>
      <c r="M198" s="9" t="n">
        <v>1737.41</v>
      </c>
      <c r="N198" s="9" t="n">
        <v>1737.41</v>
      </c>
      <c r="O198" s="9" t="n">
        <v>10424.4</v>
      </c>
      <c r="P198" s="9" t="n">
        <v>1042.44</v>
      </c>
      <c r="Q198" s="9" t="n">
        <v>1042.44</v>
      </c>
      <c r="R198" s="9" t="n">
        <v>1042.44</v>
      </c>
      <c r="S198" s="9" t="n">
        <v>1042.44</v>
      </c>
      <c r="T198" s="9" t="n">
        <v>1042.44</v>
      </c>
      <c r="U198" s="9" t="n">
        <v>1042.44</v>
      </c>
      <c r="V198" s="9" t="n">
        <v>1042.44</v>
      </c>
      <c r="W198" s="9" t="n">
        <v>1042.44</v>
      </c>
      <c r="X198" s="9" t="n">
        <v>1042.44</v>
      </c>
      <c r="Y198" s="9" t="n">
        <v>1042.44</v>
      </c>
      <c r="Z198" s="9" t="n">
        <v>350</v>
      </c>
      <c r="AA198" s="9" t="n">
        <v>0</v>
      </c>
      <c r="AB198" s="9" t="n">
        <v>350</v>
      </c>
    </row>
    <row r="199" customFormat="false" ht="15" hidden="false" customHeight="false" outlineLevel="0" collapsed="false">
      <c r="A199" s="3" t="s">
        <v>740</v>
      </c>
      <c r="B199" s="3" t="s">
        <v>741</v>
      </c>
      <c r="C199" s="3" t="s">
        <v>255</v>
      </c>
      <c r="D199" s="3" t="s">
        <v>256</v>
      </c>
      <c r="E199" s="3" t="n">
        <v>2019</v>
      </c>
      <c r="F199" s="3" t="s">
        <v>62</v>
      </c>
      <c r="G199" s="3" t="s">
        <v>63</v>
      </c>
      <c r="H199" s="3" t="s">
        <v>742</v>
      </c>
      <c r="I199" s="3" t="s">
        <v>47</v>
      </c>
      <c r="J199" s="7" t="n">
        <v>1490000</v>
      </c>
      <c r="K199" s="3" t="s">
        <v>149</v>
      </c>
      <c r="L199" s="7" t="n">
        <v>29983.28</v>
      </c>
      <c r="M199" s="7" t="n">
        <v>3747.91</v>
      </c>
      <c r="N199" s="7" t="n">
        <v>3747.91</v>
      </c>
      <c r="O199" s="7" t="n">
        <v>22487.5</v>
      </c>
      <c r="P199" s="7" t="n">
        <v>2248.75</v>
      </c>
      <c r="Q199" s="7" t="n">
        <v>2248.75</v>
      </c>
      <c r="R199" s="7" t="n">
        <v>2248.75</v>
      </c>
      <c r="S199" s="7" t="n">
        <v>2248.75</v>
      </c>
      <c r="T199" s="7" t="n">
        <v>2248.75</v>
      </c>
      <c r="U199" s="7" t="n">
        <v>2248.75</v>
      </c>
      <c r="V199" s="7" t="n">
        <v>2248.75</v>
      </c>
      <c r="W199" s="7" t="n">
        <v>2248.75</v>
      </c>
      <c r="X199" s="7" t="n">
        <v>2248.75</v>
      </c>
      <c r="Y199" s="7" t="n">
        <v>2248.75</v>
      </c>
      <c r="Z199" s="7" t="n">
        <v>350</v>
      </c>
      <c r="AA199" s="7" t="n">
        <v>250</v>
      </c>
      <c r="AB199" s="7" t="n">
        <v>600</v>
      </c>
    </row>
    <row r="200" customFormat="false" ht="15" hidden="false" customHeight="false" outlineLevel="0" collapsed="false">
      <c r="A200" s="8" t="s">
        <v>743</v>
      </c>
      <c r="B200" s="8" t="s">
        <v>744</v>
      </c>
      <c r="C200" s="8" t="s">
        <v>111</v>
      </c>
      <c r="D200" s="8" t="s">
        <v>112</v>
      </c>
      <c r="E200" s="8" t="n">
        <v>2001</v>
      </c>
      <c r="F200" s="8" t="s">
        <v>119</v>
      </c>
      <c r="G200" s="8" t="s">
        <v>120</v>
      </c>
      <c r="H200" s="8" t="s">
        <v>745</v>
      </c>
      <c r="I200" s="8" t="s">
        <v>56</v>
      </c>
      <c r="J200" s="9" t="n">
        <v>755000</v>
      </c>
      <c r="K200" s="8" t="s">
        <v>496</v>
      </c>
      <c r="L200" s="9" t="n">
        <v>11544.94</v>
      </c>
      <c r="M200" s="9" t="n">
        <v>1443.12</v>
      </c>
      <c r="N200" s="9" t="n">
        <v>1443.12</v>
      </c>
      <c r="O200" s="9" t="n">
        <v>8658.7</v>
      </c>
      <c r="P200" s="9" t="n">
        <v>865.87</v>
      </c>
      <c r="Q200" s="9" t="n">
        <v>865.87</v>
      </c>
      <c r="R200" s="9" t="n">
        <v>865.87</v>
      </c>
      <c r="S200" s="9" t="n">
        <v>865.87</v>
      </c>
      <c r="T200" s="9" t="n">
        <v>865.87</v>
      </c>
      <c r="U200" s="9" t="n">
        <v>865.87</v>
      </c>
      <c r="V200" s="9" t="n">
        <v>865.87</v>
      </c>
      <c r="W200" s="9" t="n">
        <v>865.87</v>
      </c>
      <c r="X200" s="9" t="n">
        <v>865.87</v>
      </c>
      <c r="Y200" s="9" t="n">
        <v>865.87</v>
      </c>
      <c r="Z200" s="9" t="n">
        <v>350</v>
      </c>
      <c r="AA200" s="9" t="n">
        <v>0</v>
      </c>
      <c r="AB200" s="9" t="n">
        <v>350</v>
      </c>
    </row>
    <row r="201" customFormat="false" ht="15" hidden="false" customHeight="false" outlineLevel="0" collapsed="false">
      <c r="A201" s="3" t="s">
        <v>746</v>
      </c>
      <c r="B201" s="3" t="s">
        <v>747</v>
      </c>
      <c r="C201" s="3" t="s">
        <v>103</v>
      </c>
      <c r="D201" s="3" t="s">
        <v>104</v>
      </c>
      <c r="E201" s="3" t="n">
        <v>1992</v>
      </c>
      <c r="F201" s="3" t="s">
        <v>113</v>
      </c>
      <c r="G201" s="3" t="s">
        <v>114</v>
      </c>
      <c r="H201" s="3" t="s">
        <v>748</v>
      </c>
      <c r="I201" s="3" t="s">
        <v>56</v>
      </c>
      <c r="J201" s="7" t="n">
        <v>375000</v>
      </c>
      <c r="K201" s="3" t="s">
        <v>315</v>
      </c>
      <c r="L201" s="7" t="n">
        <v>6718.23</v>
      </c>
      <c r="M201" s="7" t="n">
        <v>839.78</v>
      </c>
      <c r="N201" s="7" t="n">
        <v>839.78</v>
      </c>
      <c r="O201" s="7" t="n">
        <v>5038.7</v>
      </c>
      <c r="P201" s="7" t="n">
        <v>503.87</v>
      </c>
      <c r="Q201" s="7" t="n">
        <v>503.87</v>
      </c>
      <c r="R201" s="7" t="n">
        <v>503.87</v>
      </c>
      <c r="S201" s="7" t="n">
        <v>503.87</v>
      </c>
      <c r="T201" s="7" t="n">
        <v>503.87</v>
      </c>
      <c r="U201" s="7" t="n">
        <v>503.87</v>
      </c>
      <c r="V201" s="7" t="n">
        <v>503.87</v>
      </c>
      <c r="W201" s="7" t="n">
        <v>503.87</v>
      </c>
      <c r="X201" s="7" t="n">
        <v>503.87</v>
      </c>
      <c r="Y201" s="7" t="n">
        <v>503.87</v>
      </c>
      <c r="Z201" s="7" t="n">
        <v>350</v>
      </c>
      <c r="AA201" s="7" t="n">
        <v>0</v>
      </c>
      <c r="AB201" s="7" t="n">
        <v>350</v>
      </c>
    </row>
    <row r="202" customFormat="false" ht="15" hidden="false" customHeight="false" outlineLevel="0" collapsed="false">
      <c r="A202" s="8" t="s">
        <v>749</v>
      </c>
      <c r="B202" s="8" t="s">
        <v>750</v>
      </c>
      <c r="C202" s="8" t="s">
        <v>156</v>
      </c>
      <c r="D202" s="8" t="s">
        <v>157</v>
      </c>
      <c r="E202" s="8" t="n">
        <v>1968</v>
      </c>
      <c r="F202" s="8" t="s">
        <v>146</v>
      </c>
      <c r="G202" s="8" t="s">
        <v>147</v>
      </c>
      <c r="H202" s="8" t="s">
        <v>751</v>
      </c>
      <c r="I202" s="8" t="s">
        <v>56</v>
      </c>
      <c r="J202" s="9" t="n">
        <v>395000</v>
      </c>
      <c r="K202" s="8" t="s">
        <v>210</v>
      </c>
      <c r="L202" s="9" t="n">
        <v>7237.36</v>
      </c>
      <c r="M202" s="9" t="n">
        <v>904.67</v>
      </c>
      <c r="N202" s="9" t="n">
        <v>904.67</v>
      </c>
      <c r="O202" s="9" t="n">
        <v>5428</v>
      </c>
      <c r="P202" s="9" t="n">
        <v>542.8</v>
      </c>
      <c r="Q202" s="9" t="n">
        <v>542.8</v>
      </c>
      <c r="R202" s="9" t="n">
        <v>542.8</v>
      </c>
      <c r="S202" s="9" t="n">
        <v>542.8</v>
      </c>
      <c r="T202" s="9" t="n">
        <v>542.8</v>
      </c>
      <c r="U202" s="9" t="n">
        <v>542.8</v>
      </c>
      <c r="V202" s="9" t="n">
        <v>542.8</v>
      </c>
      <c r="W202" s="9" t="n">
        <v>542.8</v>
      </c>
      <c r="X202" s="9" t="n">
        <v>542.8</v>
      </c>
      <c r="Y202" s="9" t="n">
        <v>542.8</v>
      </c>
      <c r="Z202" s="9" t="n">
        <v>350</v>
      </c>
      <c r="AA202" s="9" t="n">
        <v>0</v>
      </c>
      <c r="AB202" s="9" t="n">
        <v>350</v>
      </c>
    </row>
    <row r="203" customFormat="false" ht="15" hidden="false" customHeight="false" outlineLevel="0" collapsed="false">
      <c r="A203" s="3" t="s">
        <v>752</v>
      </c>
      <c r="B203" s="3" t="s">
        <v>697</v>
      </c>
      <c r="C203" s="3" t="s">
        <v>68</v>
      </c>
      <c r="D203" s="3" t="s">
        <v>69</v>
      </c>
      <c r="E203" s="3" t="n">
        <v>1989</v>
      </c>
      <c r="F203" s="3" t="s">
        <v>53</v>
      </c>
      <c r="G203" s="3" t="s">
        <v>54</v>
      </c>
      <c r="H203" s="3" t="s">
        <v>753</v>
      </c>
      <c r="I203" s="3" t="s">
        <v>56</v>
      </c>
      <c r="J203" s="7" t="n">
        <v>675000</v>
      </c>
      <c r="K203" s="3" t="s">
        <v>153</v>
      </c>
      <c r="L203" s="7" t="n">
        <v>9130.68</v>
      </c>
      <c r="M203" s="7" t="n">
        <v>1141.34</v>
      </c>
      <c r="N203" s="7" t="n">
        <v>1141.34</v>
      </c>
      <c r="O203" s="7" t="n">
        <v>6848</v>
      </c>
      <c r="P203" s="7" t="n">
        <v>684.8</v>
      </c>
      <c r="Q203" s="7" t="n">
        <v>684.8</v>
      </c>
      <c r="R203" s="7" t="n">
        <v>684.8</v>
      </c>
      <c r="S203" s="7" t="n">
        <v>684.8</v>
      </c>
      <c r="T203" s="7" t="n">
        <v>684.8</v>
      </c>
      <c r="U203" s="7" t="n">
        <v>684.8</v>
      </c>
      <c r="V203" s="7" t="n">
        <v>684.8</v>
      </c>
      <c r="W203" s="7" t="n">
        <v>684.8</v>
      </c>
      <c r="X203" s="7" t="n">
        <v>684.8</v>
      </c>
      <c r="Y203" s="7" t="n">
        <v>684.8</v>
      </c>
      <c r="Z203" s="7" t="n">
        <v>350</v>
      </c>
      <c r="AA203" s="7" t="n">
        <v>0</v>
      </c>
      <c r="AB203" s="7" t="n">
        <v>350</v>
      </c>
    </row>
    <row r="204" customFormat="false" ht="15" hidden="false" customHeight="false" outlineLevel="0" collapsed="false">
      <c r="A204" s="8" t="s">
        <v>754</v>
      </c>
      <c r="B204" s="8" t="s">
        <v>755</v>
      </c>
      <c r="C204" s="8" t="s">
        <v>131</v>
      </c>
      <c r="D204" s="8" t="s">
        <v>132</v>
      </c>
      <c r="E204" s="8" t="n">
        <v>2024</v>
      </c>
      <c r="F204" s="8" t="s">
        <v>53</v>
      </c>
      <c r="G204" s="8" t="s">
        <v>54</v>
      </c>
      <c r="H204" s="8" t="s">
        <v>756</v>
      </c>
      <c r="I204" s="8" t="s">
        <v>56</v>
      </c>
      <c r="J204" s="9" t="n">
        <v>360000</v>
      </c>
      <c r="K204" s="8" t="s">
        <v>319</v>
      </c>
      <c r="L204" s="9" t="n">
        <v>6205.19</v>
      </c>
      <c r="M204" s="9" t="n">
        <v>775.65</v>
      </c>
      <c r="N204" s="9" t="n">
        <v>775.65</v>
      </c>
      <c r="O204" s="9" t="n">
        <v>4653.9</v>
      </c>
      <c r="P204" s="9" t="n">
        <v>465.39</v>
      </c>
      <c r="Q204" s="9" t="n">
        <v>465.39</v>
      </c>
      <c r="R204" s="9" t="n">
        <v>465.39</v>
      </c>
      <c r="S204" s="9" t="n">
        <v>465.39</v>
      </c>
      <c r="T204" s="9" t="n">
        <v>465.39</v>
      </c>
      <c r="U204" s="9" t="n">
        <v>465.39</v>
      </c>
      <c r="V204" s="9" t="n">
        <v>465.39</v>
      </c>
      <c r="W204" s="9" t="n">
        <v>465.39</v>
      </c>
      <c r="X204" s="9" t="n">
        <v>465.39</v>
      </c>
      <c r="Y204" s="9" t="n">
        <v>465.39</v>
      </c>
      <c r="Z204" s="9" t="n">
        <v>350</v>
      </c>
      <c r="AA204" s="9" t="n">
        <v>0</v>
      </c>
      <c r="AB204" s="9" t="n">
        <v>350</v>
      </c>
    </row>
    <row r="205" customFormat="false" ht="15" hidden="false" customHeight="false" outlineLevel="0" collapsed="false">
      <c r="A205" s="3" t="s">
        <v>757</v>
      </c>
      <c r="B205" s="3" t="s">
        <v>758</v>
      </c>
      <c r="C205" s="3" t="s">
        <v>328</v>
      </c>
      <c r="D205" s="3" t="s">
        <v>329</v>
      </c>
      <c r="E205" s="3" t="n">
        <v>1986</v>
      </c>
      <c r="F205" s="3" t="s">
        <v>158</v>
      </c>
      <c r="G205" s="3" t="s">
        <v>159</v>
      </c>
      <c r="H205" s="3" t="s">
        <v>759</v>
      </c>
      <c r="I205" s="3" t="s">
        <v>56</v>
      </c>
      <c r="J205" s="7" t="n">
        <v>805000</v>
      </c>
      <c r="K205" s="3" t="s">
        <v>303</v>
      </c>
      <c r="L205" s="7" t="n">
        <v>10605.11</v>
      </c>
      <c r="M205" s="7" t="n">
        <v>1325.64</v>
      </c>
      <c r="N205" s="7" t="n">
        <v>1325.64</v>
      </c>
      <c r="O205" s="7" t="n">
        <v>7953.8</v>
      </c>
      <c r="P205" s="7" t="n">
        <v>795.38</v>
      </c>
      <c r="Q205" s="7" t="n">
        <v>795.38</v>
      </c>
      <c r="R205" s="7" t="n">
        <v>795.38</v>
      </c>
      <c r="S205" s="7" t="n">
        <v>795.38</v>
      </c>
      <c r="T205" s="7" t="n">
        <v>795.38</v>
      </c>
      <c r="U205" s="7" t="n">
        <v>795.38</v>
      </c>
      <c r="V205" s="7" t="n">
        <v>795.38</v>
      </c>
      <c r="W205" s="7" t="n">
        <v>795.38</v>
      </c>
      <c r="X205" s="7" t="n">
        <v>795.38</v>
      </c>
      <c r="Y205" s="7" t="n">
        <v>795.38</v>
      </c>
      <c r="Z205" s="7" t="n">
        <v>350</v>
      </c>
      <c r="AA205" s="7" t="n">
        <v>0</v>
      </c>
      <c r="AB205" s="7" t="n">
        <v>350</v>
      </c>
    </row>
    <row r="206" customFormat="false" ht="15" hidden="false" customHeight="false" outlineLevel="0" collapsed="false">
      <c r="A206" s="8" t="s">
        <v>760</v>
      </c>
      <c r="B206" s="8" t="s">
        <v>761</v>
      </c>
      <c r="C206" s="8" t="s">
        <v>76</v>
      </c>
      <c r="D206" s="8" t="s">
        <v>77</v>
      </c>
      <c r="E206" s="8" t="n">
        <v>2023</v>
      </c>
      <c r="F206" s="8" t="s">
        <v>119</v>
      </c>
      <c r="G206" s="8" t="s">
        <v>120</v>
      </c>
      <c r="H206" s="8" t="s">
        <v>762</v>
      </c>
      <c r="I206" s="8" t="s">
        <v>56</v>
      </c>
      <c r="J206" s="9" t="n">
        <v>700000</v>
      </c>
      <c r="K206" s="8" t="s">
        <v>134</v>
      </c>
      <c r="L206" s="9" t="n">
        <v>10539.24</v>
      </c>
      <c r="M206" s="9" t="n">
        <v>1317.4</v>
      </c>
      <c r="N206" s="9" t="n">
        <v>1317.4</v>
      </c>
      <c r="O206" s="9" t="n">
        <v>7904.4</v>
      </c>
      <c r="P206" s="9" t="n">
        <v>790.44</v>
      </c>
      <c r="Q206" s="9" t="n">
        <v>790.44</v>
      </c>
      <c r="R206" s="9" t="n">
        <v>790.44</v>
      </c>
      <c r="S206" s="9" t="n">
        <v>790.44</v>
      </c>
      <c r="T206" s="9" t="n">
        <v>790.44</v>
      </c>
      <c r="U206" s="9" t="n">
        <v>790.44</v>
      </c>
      <c r="V206" s="9" t="n">
        <v>790.44</v>
      </c>
      <c r="W206" s="9" t="n">
        <v>790.44</v>
      </c>
      <c r="X206" s="9" t="n">
        <v>790.44</v>
      </c>
      <c r="Y206" s="9" t="n">
        <v>790.44</v>
      </c>
      <c r="Z206" s="9" t="n">
        <v>350</v>
      </c>
      <c r="AA206" s="9" t="n">
        <v>0</v>
      </c>
      <c r="AB206" s="9" t="n">
        <v>350</v>
      </c>
    </row>
    <row r="207" customFormat="false" ht="15" hidden="false" customHeight="false" outlineLevel="0" collapsed="false">
      <c r="A207" s="3" t="s">
        <v>763</v>
      </c>
      <c r="B207" s="3" t="s">
        <v>764</v>
      </c>
      <c r="C207" s="3" t="s">
        <v>249</v>
      </c>
      <c r="D207" s="3" t="s">
        <v>250</v>
      </c>
      <c r="E207" s="3" t="n">
        <v>1986</v>
      </c>
      <c r="F207" s="3" t="s">
        <v>158</v>
      </c>
      <c r="G207" s="3" t="s">
        <v>159</v>
      </c>
      <c r="H207" s="3" t="s">
        <v>765</v>
      </c>
      <c r="I207" s="3" t="s">
        <v>56</v>
      </c>
      <c r="J207" s="7" t="n">
        <v>480000</v>
      </c>
      <c r="K207" s="3" t="s">
        <v>210</v>
      </c>
      <c r="L207" s="7" t="n">
        <v>8794.76</v>
      </c>
      <c r="M207" s="7" t="n">
        <v>1099.35</v>
      </c>
      <c r="N207" s="7" t="n">
        <v>1099.35</v>
      </c>
      <c r="O207" s="7" t="n">
        <v>6596.1</v>
      </c>
      <c r="P207" s="7" t="n">
        <v>659.61</v>
      </c>
      <c r="Q207" s="7" t="n">
        <v>659.61</v>
      </c>
      <c r="R207" s="7" t="n">
        <v>659.61</v>
      </c>
      <c r="S207" s="7" t="n">
        <v>659.61</v>
      </c>
      <c r="T207" s="7" t="n">
        <v>659.61</v>
      </c>
      <c r="U207" s="7" t="n">
        <v>659.61</v>
      </c>
      <c r="V207" s="7" t="n">
        <v>659.61</v>
      </c>
      <c r="W207" s="7" t="n">
        <v>659.61</v>
      </c>
      <c r="X207" s="7" t="n">
        <v>659.61</v>
      </c>
      <c r="Y207" s="7" t="n">
        <v>659.61</v>
      </c>
      <c r="Z207" s="7" t="n">
        <v>350</v>
      </c>
      <c r="AA207" s="7" t="n">
        <v>0</v>
      </c>
      <c r="AB207" s="7" t="n">
        <v>350</v>
      </c>
    </row>
    <row r="208" customFormat="false" ht="15" hidden="false" customHeight="false" outlineLevel="0" collapsed="false">
      <c r="A208" s="8" t="s">
        <v>766</v>
      </c>
      <c r="B208" s="8" t="s">
        <v>767</v>
      </c>
      <c r="C208" s="8" t="s">
        <v>207</v>
      </c>
      <c r="D208" s="8" t="s">
        <v>208</v>
      </c>
      <c r="E208" s="8" t="n">
        <v>2007</v>
      </c>
      <c r="F208" s="8" t="s">
        <v>70</v>
      </c>
      <c r="G208" s="8" t="s">
        <v>71</v>
      </c>
      <c r="H208" s="8" t="s">
        <v>768</v>
      </c>
      <c r="I208" s="8" t="s">
        <v>56</v>
      </c>
      <c r="J208" s="9" t="n">
        <v>795000</v>
      </c>
      <c r="K208" s="8" t="s">
        <v>496</v>
      </c>
      <c r="L208" s="9" t="n">
        <v>12156.59</v>
      </c>
      <c r="M208" s="9" t="n">
        <v>1519.57</v>
      </c>
      <c r="N208" s="9" t="n">
        <v>1519.57</v>
      </c>
      <c r="O208" s="9" t="n">
        <v>9117.4</v>
      </c>
      <c r="P208" s="9" t="n">
        <v>911.74</v>
      </c>
      <c r="Q208" s="9" t="n">
        <v>911.74</v>
      </c>
      <c r="R208" s="9" t="n">
        <v>911.74</v>
      </c>
      <c r="S208" s="9" t="n">
        <v>911.74</v>
      </c>
      <c r="T208" s="9" t="n">
        <v>911.74</v>
      </c>
      <c r="U208" s="9" t="n">
        <v>911.74</v>
      </c>
      <c r="V208" s="9" t="n">
        <v>911.74</v>
      </c>
      <c r="W208" s="9" t="n">
        <v>911.74</v>
      </c>
      <c r="X208" s="9" t="n">
        <v>911.74</v>
      </c>
      <c r="Y208" s="9" t="n">
        <v>911.74</v>
      </c>
      <c r="Z208" s="9" t="n">
        <v>350</v>
      </c>
      <c r="AA208" s="9" t="n">
        <v>0</v>
      </c>
      <c r="AB208" s="9" t="n">
        <v>350</v>
      </c>
    </row>
    <row r="209" customFormat="false" ht="15" hidden="false" customHeight="false" outlineLevel="0" collapsed="false">
      <c r="A209" s="3" t="s">
        <v>769</v>
      </c>
      <c r="B209" s="3" t="s">
        <v>770</v>
      </c>
      <c r="C209" s="3" t="s">
        <v>306</v>
      </c>
      <c r="D209" s="3" t="s">
        <v>307</v>
      </c>
      <c r="E209" s="3" t="n">
        <v>2009</v>
      </c>
      <c r="F209" s="3" t="s">
        <v>220</v>
      </c>
      <c r="G209" s="3" t="s">
        <v>221</v>
      </c>
      <c r="H209" s="3" t="s">
        <v>771</v>
      </c>
      <c r="I209" s="3" t="s">
        <v>92</v>
      </c>
      <c r="J209" s="7" t="n">
        <v>420000</v>
      </c>
      <c r="K209" s="3" t="s">
        <v>149</v>
      </c>
      <c r="L209" s="7" t="n">
        <v>9296.82</v>
      </c>
      <c r="M209" s="7" t="n">
        <v>1162.1</v>
      </c>
      <c r="N209" s="7" t="n">
        <v>1162.1</v>
      </c>
      <c r="O209" s="7" t="n">
        <v>6972.6</v>
      </c>
      <c r="P209" s="7" t="n">
        <v>697.26</v>
      </c>
      <c r="Q209" s="7" t="n">
        <v>697.26</v>
      </c>
      <c r="R209" s="7" t="n">
        <v>697.26</v>
      </c>
      <c r="S209" s="7" t="n">
        <v>697.26</v>
      </c>
      <c r="T209" s="7" t="n">
        <v>697.26</v>
      </c>
      <c r="U209" s="7" t="n">
        <v>697.26</v>
      </c>
      <c r="V209" s="7" t="n">
        <v>697.26</v>
      </c>
      <c r="W209" s="7" t="n">
        <v>697.26</v>
      </c>
      <c r="X209" s="7" t="n">
        <v>697.26</v>
      </c>
      <c r="Y209" s="7" t="n">
        <v>697.26</v>
      </c>
      <c r="Z209" s="7" t="n">
        <v>350</v>
      </c>
      <c r="AA209" s="7" t="n">
        <v>0</v>
      </c>
      <c r="AB209" s="7" t="n">
        <v>350</v>
      </c>
    </row>
    <row r="210" customFormat="false" ht="15" hidden="false" customHeight="false" outlineLevel="0" collapsed="false">
      <c r="A210" s="8" t="s">
        <v>772</v>
      </c>
      <c r="B210" s="8" t="s">
        <v>118</v>
      </c>
      <c r="C210" s="8" t="s">
        <v>163</v>
      </c>
      <c r="D210" s="8" t="s">
        <v>164</v>
      </c>
      <c r="E210" s="8" t="n">
        <v>1990</v>
      </c>
      <c r="F210" s="8" t="s">
        <v>44</v>
      </c>
      <c r="G210" s="8" t="s">
        <v>45</v>
      </c>
      <c r="H210" s="8" t="s">
        <v>773</v>
      </c>
      <c r="I210" s="8" t="s">
        <v>47</v>
      </c>
      <c r="J210" s="9" t="n">
        <v>425000</v>
      </c>
      <c r="K210" s="8" t="s">
        <v>57</v>
      </c>
      <c r="L210" s="9" t="n">
        <v>10171.21</v>
      </c>
      <c r="M210" s="9" t="n">
        <v>1271.4</v>
      </c>
      <c r="N210" s="9" t="n">
        <v>1271.4</v>
      </c>
      <c r="O210" s="9" t="n">
        <v>7628.4</v>
      </c>
      <c r="P210" s="9" t="n">
        <v>762.84</v>
      </c>
      <c r="Q210" s="9" t="n">
        <v>762.84</v>
      </c>
      <c r="R210" s="9" t="n">
        <v>762.84</v>
      </c>
      <c r="S210" s="9" t="n">
        <v>762.84</v>
      </c>
      <c r="T210" s="9" t="n">
        <v>762.84</v>
      </c>
      <c r="U210" s="9" t="n">
        <v>762.84</v>
      </c>
      <c r="V210" s="9" t="n">
        <v>762.84</v>
      </c>
      <c r="W210" s="9" t="n">
        <v>762.84</v>
      </c>
      <c r="X210" s="9" t="n">
        <v>762.84</v>
      </c>
      <c r="Y210" s="9" t="n">
        <v>762.84</v>
      </c>
      <c r="Z210" s="9" t="n">
        <v>350</v>
      </c>
      <c r="AA210" s="9" t="n">
        <v>0</v>
      </c>
      <c r="AB210" s="9" t="n">
        <v>350</v>
      </c>
    </row>
    <row r="211" customFormat="false" ht="15" hidden="false" customHeight="false" outlineLevel="0" collapsed="false">
      <c r="A211" s="3" t="s">
        <v>774</v>
      </c>
      <c r="B211" s="3" t="s">
        <v>775</v>
      </c>
      <c r="C211" s="3" t="s">
        <v>366</v>
      </c>
      <c r="D211" s="3" t="s">
        <v>367</v>
      </c>
      <c r="E211" s="3" t="n">
        <v>2023</v>
      </c>
      <c r="F211" s="3" t="s">
        <v>181</v>
      </c>
      <c r="G211" s="3" t="s">
        <v>182</v>
      </c>
      <c r="H211" s="3" t="s">
        <v>776</v>
      </c>
      <c r="I211" s="3" t="s">
        <v>47</v>
      </c>
      <c r="J211" s="7" t="n">
        <v>1070000</v>
      </c>
      <c r="K211" s="3" t="s">
        <v>128</v>
      </c>
      <c r="L211" s="7" t="n">
        <v>14406.05</v>
      </c>
      <c r="M211" s="7" t="n">
        <v>1800.76</v>
      </c>
      <c r="N211" s="7" t="n">
        <v>1800.76</v>
      </c>
      <c r="O211" s="7" t="n">
        <v>10804.5</v>
      </c>
      <c r="P211" s="7" t="n">
        <v>1080.45</v>
      </c>
      <c r="Q211" s="7" t="n">
        <v>1080.45</v>
      </c>
      <c r="R211" s="7" t="n">
        <v>1080.45</v>
      </c>
      <c r="S211" s="7" t="n">
        <v>1080.45</v>
      </c>
      <c r="T211" s="7" t="n">
        <v>1080.45</v>
      </c>
      <c r="U211" s="7" t="n">
        <v>1080.45</v>
      </c>
      <c r="V211" s="7" t="n">
        <v>1080.45</v>
      </c>
      <c r="W211" s="7" t="n">
        <v>1080.45</v>
      </c>
      <c r="X211" s="7" t="n">
        <v>1080.45</v>
      </c>
      <c r="Y211" s="7" t="n">
        <v>1080.45</v>
      </c>
      <c r="Z211" s="7" t="n">
        <v>350</v>
      </c>
      <c r="AA211" s="7" t="n">
        <v>250</v>
      </c>
      <c r="AB211" s="7" t="n">
        <v>600</v>
      </c>
    </row>
    <row r="212" customFormat="false" ht="15" hidden="false" customHeight="false" outlineLevel="0" collapsed="false">
      <c r="A212" s="8" t="s">
        <v>777</v>
      </c>
      <c r="B212" s="8" t="s">
        <v>667</v>
      </c>
      <c r="C212" s="8" t="s">
        <v>374</v>
      </c>
      <c r="D212" s="8" t="s">
        <v>375</v>
      </c>
      <c r="E212" s="8" t="n">
        <v>2005</v>
      </c>
      <c r="F212" s="8" t="s">
        <v>62</v>
      </c>
      <c r="G212" s="8" t="s">
        <v>63</v>
      </c>
      <c r="H212" s="8" t="s">
        <v>778</v>
      </c>
      <c r="I212" s="8" t="s">
        <v>47</v>
      </c>
      <c r="J212" s="9" t="n">
        <v>630000</v>
      </c>
      <c r="K212" s="8" t="s">
        <v>229</v>
      </c>
      <c r="L212" s="9" t="n">
        <v>9855.84</v>
      </c>
      <c r="M212" s="9" t="n">
        <v>1231.98</v>
      </c>
      <c r="N212" s="9" t="n">
        <v>1231.98</v>
      </c>
      <c r="O212" s="9" t="n">
        <v>7391.9</v>
      </c>
      <c r="P212" s="9" t="n">
        <v>739.19</v>
      </c>
      <c r="Q212" s="9" t="n">
        <v>739.19</v>
      </c>
      <c r="R212" s="9" t="n">
        <v>739.19</v>
      </c>
      <c r="S212" s="9" t="n">
        <v>739.19</v>
      </c>
      <c r="T212" s="9" t="n">
        <v>739.19</v>
      </c>
      <c r="U212" s="9" t="n">
        <v>739.19</v>
      </c>
      <c r="V212" s="9" t="n">
        <v>739.19</v>
      </c>
      <c r="W212" s="9" t="n">
        <v>739.19</v>
      </c>
      <c r="X212" s="9" t="n">
        <v>739.19</v>
      </c>
      <c r="Y212" s="9" t="n">
        <v>739.19</v>
      </c>
      <c r="Z212" s="9" t="n">
        <v>350</v>
      </c>
      <c r="AA212" s="9" t="n">
        <v>0</v>
      </c>
      <c r="AB212" s="9" t="n">
        <v>350</v>
      </c>
    </row>
    <row r="213" customFormat="false" ht="15" hidden="false" customHeight="false" outlineLevel="0" collapsed="false">
      <c r="A213" s="3" t="s">
        <v>779</v>
      </c>
      <c r="B213" s="3" t="s">
        <v>339</v>
      </c>
      <c r="C213" s="3" t="s">
        <v>76</v>
      </c>
      <c r="D213" s="3" t="s">
        <v>77</v>
      </c>
      <c r="E213" s="3" t="n">
        <v>2004</v>
      </c>
      <c r="F213" s="3" t="s">
        <v>181</v>
      </c>
      <c r="G213" s="3" t="s">
        <v>182</v>
      </c>
      <c r="H213" s="3" t="s">
        <v>780</v>
      </c>
      <c r="I213" s="3" t="s">
        <v>47</v>
      </c>
      <c r="J213" s="7" t="n">
        <v>1255000</v>
      </c>
      <c r="K213" s="3" t="s">
        <v>73</v>
      </c>
      <c r="L213" s="7" t="n">
        <v>22347.39</v>
      </c>
      <c r="M213" s="7" t="n">
        <v>2793.42</v>
      </c>
      <c r="N213" s="7" t="n">
        <v>2793.42</v>
      </c>
      <c r="O213" s="7" t="n">
        <v>16760.5</v>
      </c>
      <c r="P213" s="7" t="n">
        <v>1676.05</v>
      </c>
      <c r="Q213" s="7" t="n">
        <v>1676.05</v>
      </c>
      <c r="R213" s="7" t="n">
        <v>1676.05</v>
      </c>
      <c r="S213" s="7" t="n">
        <v>1676.05</v>
      </c>
      <c r="T213" s="7" t="n">
        <v>1676.05</v>
      </c>
      <c r="U213" s="7" t="n">
        <v>1676.05</v>
      </c>
      <c r="V213" s="7" t="n">
        <v>1676.05</v>
      </c>
      <c r="W213" s="7" t="n">
        <v>1676.05</v>
      </c>
      <c r="X213" s="7" t="n">
        <v>1676.05</v>
      </c>
      <c r="Y213" s="7" t="n">
        <v>1676.05</v>
      </c>
      <c r="Z213" s="7" t="n">
        <v>350</v>
      </c>
      <c r="AA213" s="7" t="n">
        <v>250</v>
      </c>
      <c r="AB213" s="7" t="n">
        <v>600</v>
      </c>
    </row>
    <row r="214" customFormat="false" ht="15" hidden="false" customHeight="false" outlineLevel="0" collapsed="false">
      <c r="A214" s="8" t="s">
        <v>781</v>
      </c>
      <c r="B214" s="8" t="s">
        <v>689</v>
      </c>
      <c r="C214" s="8" t="s">
        <v>238</v>
      </c>
      <c r="D214" s="8" t="s">
        <v>239</v>
      </c>
      <c r="E214" s="8" t="n">
        <v>2015</v>
      </c>
      <c r="F214" s="8" t="s">
        <v>70</v>
      </c>
      <c r="G214" s="8" t="s">
        <v>557</v>
      </c>
      <c r="H214" s="8" t="s">
        <v>782</v>
      </c>
      <c r="I214" s="8" t="s">
        <v>107</v>
      </c>
      <c r="J214" s="9" t="n">
        <v>1600000</v>
      </c>
      <c r="K214" s="8" t="s">
        <v>149</v>
      </c>
      <c r="L214" s="9" t="n">
        <v>15293.48</v>
      </c>
      <c r="M214" s="9" t="n">
        <v>1911.68</v>
      </c>
      <c r="N214" s="9" t="n">
        <v>1911.68</v>
      </c>
      <c r="O214" s="9" t="n">
        <v>11470.1</v>
      </c>
      <c r="P214" s="9" t="n">
        <v>1147.01</v>
      </c>
      <c r="Q214" s="9" t="n">
        <v>1147.01</v>
      </c>
      <c r="R214" s="9" t="n">
        <v>1147.01</v>
      </c>
      <c r="S214" s="9" t="n">
        <v>1147.01</v>
      </c>
      <c r="T214" s="9" t="n">
        <v>1147.01</v>
      </c>
      <c r="U214" s="9" t="n">
        <v>1147.01</v>
      </c>
      <c r="V214" s="9" t="n">
        <v>1147.01</v>
      </c>
      <c r="W214" s="9" t="n">
        <v>1147.01</v>
      </c>
      <c r="X214" s="9" t="n">
        <v>1147.01</v>
      </c>
      <c r="Y214" s="9" t="n">
        <v>1147.01</v>
      </c>
      <c r="Z214" s="9" t="n">
        <v>350</v>
      </c>
      <c r="AA214" s="9" t="n">
        <v>250</v>
      </c>
      <c r="AB214" s="9" t="n">
        <v>600</v>
      </c>
    </row>
    <row r="215" customFormat="false" ht="15" hidden="false" customHeight="false" outlineLevel="0" collapsed="false">
      <c r="A215" s="3" t="s">
        <v>783</v>
      </c>
      <c r="B215" s="3" t="s">
        <v>784</v>
      </c>
      <c r="C215" s="3" t="s">
        <v>111</v>
      </c>
      <c r="D215" s="3" t="s">
        <v>112</v>
      </c>
      <c r="E215" s="3" t="n">
        <v>1969</v>
      </c>
      <c r="F215" s="3" t="s">
        <v>62</v>
      </c>
      <c r="G215" s="3" t="s">
        <v>63</v>
      </c>
      <c r="H215" s="3" t="s">
        <v>785</v>
      </c>
      <c r="I215" s="3" t="s">
        <v>47</v>
      </c>
      <c r="J215" s="7" t="n">
        <v>600000</v>
      </c>
      <c r="K215" s="3" t="s">
        <v>258</v>
      </c>
      <c r="L215" s="7" t="n">
        <v>10727.45</v>
      </c>
      <c r="M215" s="7" t="n">
        <v>1340.93</v>
      </c>
      <c r="N215" s="7" t="n">
        <v>1340.93</v>
      </c>
      <c r="O215" s="7" t="n">
        <v>8045.6</v>
      </c>
      <c r="P215" s="7" t="n">
        <v>804.56</v>
      </c>
      <c r="Q215" s="7" t="n">
        <v>804.56</v>
      </c>
      <c r="R215" s="7" t="n">
        <v>804.56</v>
      </c>
      <c r="S215" s="7" t="n">
        <v>804.56</v>
      </c>
      <c r="T215" s="7" t="n">
        <v>804.56</v>
      </c>
      <c r="U215" s="7" t="n">
        <v>804.56</v>
      </c>
      <c r="V215" s="7" t="n">
        <v>804.56</v>
      </c>
      <c r="W215" s="7" t="n">
        <v>804.56</v>
      </c>
      <c r="X215" s="7" t="n">
        <v>804.56</v>
      </c>
      <c r="Y215" s="7" t="n">
        <v>804.56</v>
      </c>
      <c r="Z215" s="7" t="n">
        <v>350</v>
      </c>
      <c r="AA215" s="7" t="n">
        <v>0</v>
      </c>
      <c r="AB215" s="7" t="n">
        <v>350</v>
      </c>
    </row>
    <row r="216" customFormat="false" ht="15" hidden="false" customHeight="false" outlineLevel="0" collapsed="false">
      <c r="A216" s="8" t="s">
        <v>786</v>
      </c>
      <c r="B216" s="8" t="s">
        <v>787</v>
      </c>
      <c r="C216" s="8" t="s">
        <v>399</v>
      </c>
      <c r="D216" s="8" t="s">
        <v>400</v>
      </c>
      <c r="E216" s="8" t="n">
        <v>2021</v>
      </c>
      <c r="F216" s="8" t="s">
        <v>158</v>
      </c>
      <c r="G216" s="8" t="s">
        <v>159</v>
      </c>
      <c r="H216" s="8" t="s">
        <v>788</v>
      </c>
      <c r="I216" s="8" t="s">
        <v>56</v>
      </c>
      <c r="J216" s="9" t="n">
        <v>615000</v>
      </c>
      <c r="K216" s="8" t="s">
        <v>210</v>
      </c>
      <c r="L216" s="9" t="n">
        <v>9765.85</v>
      </c>
      <c r="M216" s="9" t="n">
        <v>1220.73</v>
      </c>
      <c r="N216" s="9" t="n">
        <v>1220.73</v>
      </c>
      <c r="O216" s="9" t="n">
        <v>7324.4</v>
      </c>
      <c r="P216" s="9" t="n">
        <v>732.44</v>
      </c>
      <c r="Q216" s="9" t="n">
        <v>732.44</v>
      </c>
      <c r="R216" s="9" t="n">
        <v>732.44</v>
      </c>
      <c r="S216" s="9" t="n">
        <v>732.44</v>
      </c>
      <c r="T216" s="9" t="n">
        <v>732.44</v>
      </c>
      <c r="U216" s="9" t="n">
        <v>732.44</v>
      </c>
      <c r="V216" s="9" t="n">
        <v>732.44</v>
      </c>
      <c r="W216" s="9" t="n">
        <v>732.44</v>
      </c>
      <c r="X216" s="9" t="n">
        <v>732.44</v>
      </c>
      <c r="Y216" s="9" t="n">
        <v>732.44</v>
      </c>
      <c r="Z216" s="9" t="n">
        <v>350</v>
      </c>
      <c r="AA216" s="9" t="n">
        <v>0</v>
      </c>
      <c r="AB216" s="9" t="n">
        <v>350</v>
      </c>
    </row>
    <row r="217" customFormat="false" ht="15" hidden="false" customHeight="false" outlineLevel="0" collapsed="false">
      <c r="A217" s="3" t="s">
        <v>789</v>
      </c>
      <c r="B217" s="3" t="s">
        <v>305</v>
      </c>
      <c r="C217" s="3" t="s">
        <v>144</v>
      </c>
      <c r="D217" s="3" t="s">
        <v>145</v>
      </c>
      <c r="E217" s="3" t="n">
        <v>1978</v>
      </c>
      <c r="F217" s="3" t="s">
        <v>119</v>
      </c>
      <c r="G217" s="3" t="s">
        <v>120</v>
      </c>
      <c r="H217" s="3" t="s">
        <v>790</v>
      </c>
      <c r="I217" s="3" t="s">
        <v>56</v>
      </c>
      <c r="J217" s="7" t="n">
        <v>615000</v>
      </c>
      <c r="K217" s="3" t="s">
        <v>210</v>
      </c>
      <c r="L217" s="7" t="n">
        <v>9765.85</v>
      </c>
      <c r="M217" s="7" t="n">
        <v>1220.73</v>
      </c>
      <c r="N217" s="7" t="n">
        <v>1220.73</v>
      </c>
      <c r="O217" s="7" t="n">
        <v>7324.4</v>
      </c>
      <c r="P217" s="7" t="n">
        <v>732.44</v>
      </c>
      <c r="Q217" s="7" t="n">
        <v>732.44</v>
      </c>
      <c r="R217" s="7" t="n">
        <v>732.44</v>
      </c>
      <c r="S217" s="7" t="n">
        <v>732.44</v>
      </c>
      <c r="T217" s="7" t="n">
        <v>732.44</v>
      </c>
      <c r="U217" s="7" t="n">
        <v>732.44</v>
      </c>
      <c r="V217" s="7" t="n">
        <v>732.44</v>
      </c>
      <c r="W217" s="7" t="n">
        <v>732.44</v>
      </c>
      <c r="X217" s="7" t="n">
        <v>732.44</v>
      </c>
      <c r="Y217" s="7" t="n">
        <v>732.44</v>
      </c>
      <c r="Z217" s="7" t="n">
        <v>350</v>
      </c>
      <c r="AA217" s="7" t="n">
        <v>0</v>
      </c>
      <c r="AB217" s="7" t="n">
        <v>350</v>
      </c>
    </row>
    <row r="218" customFormat="false" ht="15" hidden="false" customHeight="false" outlineLevel="0" collapsed="false">
      <c r="A218" s="8" t="s">
        <v>791</v>
      </c>
      <c r="B218" s="8" t="s">
        <v>767</v>
      </c>
      <c r="C218" s="8" t="s">
        <v>131</v>
      </c>
      <c r="D218" s="8" t="s">
        <v>132</v>
      </c>
      <c r="E218" s="8" t="n">
        <v>2002</v>
      </c>
      <c r="F218" s="8" t="s">
        <v>376</v>
      </c>
      <c r="G218" s="8" t="s">
        <v>377</v>
      </c>
      <c r="H218" s="8" t="s">
        <v>792</v>
      </c>
      <c r="I218" s="8" t="s">
        <v>92</v>
      </c>
      <c r="J218" s="9" t="n">
        <v>945000</v>
      </c>
      <c r="K218" s="8" t="s">
        <v>141</v>
      </c>
      <c r="L218" s="9" t="n">
        <v>17740.51</v>
      </c>
      <c r="M218" s="9" t="n">
        <v>2217.56</v>
      </c>
      <c r="N218" s="9" t="n">
        <v>2217.56</v>
      </c>
      <c r="O218" s="9" t="n">
        <v>13305.4</v>
      </c>
      <c r="P218" s="9" t="n">
        <v>1330.54</v>
      </c>
      <c r="Q218" s="9" t="n">
        <v>1330.54</v>
      </c>
      <c r="R218" s="9" t="n">
        <v>1330.54</v>
      </c>
      <c r="S218" s="9" t="n">
        <v>1330.54</v>
      </c>
      <c r="T218" s="9" t="n">
        <v>1330.54</v>
      </c>
      <c r="U218" s="9" t="n">
        <v>1330.54</v>
      </c>
      <c r="V218" s="9" t="n">
        <v>1330.54</v>
      </c>
      <c r="W218" s="9" t="n">
        <v>1330.54</v>
      </c>
      <c r="X218" s="9" t="n">
        <v>1330.54</v>
      </c>
      <c r="Y218" s="9" t="n">
        <v>1330.54</v>
      </c>
      <c r="Z218" s="9" t="n">
        <v>350</v>
      </c>
      <c r="AA218" s="9" t="n">
        <v>0</v>
      </c>
      <c r="AB218" s="9" t="n">
        <v>350</v>
      </c>
    </row>
    <row r="219" customFormat="false" ht="15" hidden="false" customHeight="false" outlineLevel="0" collapsed="false">
      <c r="A219" s="3" t="s">
        <v>793</v>
      </c>
      <c r="B219" s="3" t="s">
        <v>794</v>
      </c>
      <c r="C219" s="3" t="s">
        <v>156</v>
      </c>
      <c r="D219" s="3" t="s">
        <v>157</v>
      </c>
      <c r="E219" s="3" t="n">
        <v>1975</v>
      </c>
      <c r="F219" s="3" t="s">
        <v>119</v>
      </c>
      <c r="G219" s="3" t="s">
        <v>120</v>
      </c>
      <c r="H219" s="3" t="s">
        <v>795</v>
      </c>
      <c r="I219" s="3" t="s">
        <v>56</v>
      </c>
      <c r="J219" s="7" t="n">
        <v>620000</v>
      </c>
      <c r="K219" s="3" t="s">
        <v>170</v>
      </c>
      <c r="L219" s="7" t="n">
        <v>9115.98</v>
      </c>
      <c r="M219" s="7" t="n">
        <v>1139.5</v>
      </c>
      <c r="N219" s="7" t="n">
        <v>1139.5</v>
      </c>
      <c r="O219" s="7" t="n">
        <v>6837</v>
      </c>
      <c r="P219" s="7" t="n">
        <v>683.7</v>
      </c>
      <c r="Q219" s="7" t="n">
        <v>683.7</v>
      </c>
      <c r="R219" s="7" t="n">
        <v>683.7</v>
      </c>
      <c r="S219" s="7" t="n">
        <v>683.7</v>
      </c>
      <c r="T219" s="7" t="n">
        <v>683.7</v>
      </c>
      <c r="U219" s="7" t="n">
        <v>683.7</v>
      </c>
      <c r="V219" s="7" t="n">
        <v>683.7</v>
      </c>
      <c r="W219" s="7" t="n">
        <v>683.7</v>
      </c>
      <c r="X219" s="7" t="n">
        <v>683.7</v>
      </c>
      <c r="Y219" s="7" t="n">
        <v>683.7</v>
      </c>
      <c r="Z219" s="7" t="n">
        <v>350</v>
      </c>
      <c r="AA219" s="7" t="n">
        <v>0</v>
      </c>
      <c r="AB219" s="7" t="n">
        <v>350</v>
      </c>
    </row>
    <row r="220" customFormat="false" ht="15" hidden="false" customHeight="false" outlineLevel="0" collapsed="false">
      <c r="A220" s="8" t="s">
        <v>796</v>
      </c>
      <c r="B220" s="8" t="s">
        <v>254</v>
      </c>
      <c r="C220" s="8" t="s">
        <v>249</v>
      </c>
      <c r="D220" s="8" t="s">
        <v>250</v>
      </c>
      <c r="E220" s="8" t="n">
        <v>1971</v>
      </c>
      <c r="F220" s="8" t="s">
        <v>113</v>
      </c>
      <c r="G220" s="8" t="s">
        <v>114</v>
      </c>
      <c r="H220" s="8" t="s">
        <v>797</v>
      </c>
      <c r="I220" s="8" t="s">
        <v>56</v>
      </c>
      <c r="J220" s="9" t="n">
        <v>290000</v>
      </c>
      <c r="K220" s="8" t="s">
        <v>315</v>
      </c>
      <c r="L220" s="9" t="n">
        <v>5195.43</v>
      </c>
      <c r="M220" s="9" t="n">
        <v>649.43</v>
      </c>
      <c r="N220" s="9" t="n">
        <v>649.43</v>
      </c>
      <c r="O220" s="9" t="n">
        <v>3896.6</v>
      </c>
      <c r="P220" s="9" t="n">
        <v>389.66</v>
      </c>
      <c r="Q220" s="9" t="n">
        <v>389.66</v>
      </c>
      <c r="R220" s="9" t="n">
        <v>389.66</v>
      </c>
      <c r="S220" s="9" t="n">
        <v>389.66</v>
      </c>
      <c r="T220" s="9" t="n">
        <v>389.66</v>
      </c>
      <c r="U220" s="9" t="n">
        <v>389.66</v>
      </c>
      <c r="V220" s="9" t="n">
        <v>389.66</v>
      </c>
      <c r="W220" s="9" t="n">
        <v>389.66</v>
      </c>
      <c r="X220" s="9" t="n">
        <v>389.66</v>
      </c>
      <c r="Y220" s="9" t="n">
        <v>389.66</v>
      </c>
      <c r="Z220" s="9" t="n">
        <v>350</v>
      </c>
      <c r="AA220" s="9" t="n">
        <v>0</v>
      </c>
      <c r="AB220" s="9" t="n">
        <v>350</v>
      </c>
    </row>
    <row r="221" customFormat="false" ht="15" hidden="false" customHeight="false" outlineLevel="0" collapsed="false">
      <c r="A221" s="3" t="s">
        <v>798</v>
      </c>
      <c r="B221" s="3" t="s">
        <v>799</v>
      </c>
      <c r="C221" s="3" t="s">
        <v>51</v>
      </c>
      <c r="D221" s="3" t="s">
        <v>52</v>
      </c>
      <c r="E221" s="3" t="n">
        <v>1971</v>
      </c>
      <c r="F221" s="3" t="s">
        <v>44</v>
      </c>
      <c r="G221" s="3" t="s">
        <v>45</v>
      </c>
      <c r="H221" s="3" t="s">
        <v>800</v>
      </c>
      <c r="I221" s="3" t="s">
        <v>47</v>
      </c>
      <c r="J221" s="7" t="n">
        <v>850000</v>
      </c>
      <c r="K221" s="3" t="s">
        <v>79</v>
      </c>
      <c r="L221" s="7" t="n">
        <v>14174.32</v>
      </c>
      <c r="M221" s="7" t="n">
        <v>1771.79</v>
      </c>
      <c r="N221" s="7" t="n">
        <v>1771.79</v>
      </c>
      <c r="O221" s="7" t="n">
        <v>10630.7</v>
      </c>
      <c r="P221" s="7" t="n">
        <v>1063.07</v>
      </c>
      <c r="Q221" s="7" t="n">
        <v>1063.07</v>
      </c>
      <c r="R221" s="7" t="n">
        <v>1063.07</v>
      </c>
      <c r="S221" s="7" t="n">
        <v>1063.07</v>
      </c>
      <c r="T221" s="7" t="n">
        <v>1063.07</v>
      </c>
      <c r="U221" s="7" t="n">
        <v>1063.07</v>
      </c>
      <c r="V221" s="7" t="n">
        <v>1063.07</v>
      </c>
      <c r="W221" s="7" t="n">
        <v>1063.07</v>
      </c>
      <c r="X221" s="7" t="n">
        <v>1063.07</v>
      </c>
      <c r="Y221" s="7" t="n">
        <v>1063.07</v>
      </c>
      <c r="Z221" s="7" t="n">
        <v>350</v>
      </c>
      <c r="AA221" s="7" t="n">
        <v>0</v>
      </c>
      <c r="AB221" s="7" t="n">
        <v>350</v>
      </c>
    </row>
    <row r="222" customFormat="false" ht="15" hidden="false" customHeight="false" outlineLevel="0" collapsed="false">
      <c r="A222" s="8" t="s">
        <v>801</v>
      </c>
      <c r="B222" s="8" t="s">
        <v>802</v>
      </c>
      <c r="C222" s="8" t="s">
        <v>187</v>
      </c>
      <c r="D222" s="8" t="s">
        <v>188</v>
      </c>
      <c r="E222" s="8" t="n">
        <v>2007</v>
      </c>
      <c r="F222" s="8" t="s">
        <v>113</v>
      </c>
      <c r="G222" s="8" t="s">
        <v>114</v>
      </c>
      <c r="H222" s="8" t="s">
        <v>803</v>
      </c>
      <c r="I222" s="8" t="s">
        <v>56</v>
      </c>
      <c r="J222" s="9" t="n">
        <v>540000</v>
      </c>
      <c r="K222" s="8" t="s">
        <v>540</v>
      </c>
      <c r="L222" s="9" t="n">
        <v>6034.19</v>
      </c>
      <c r="M222" s="9" t="n">
        <v>754.27</v>
      </c>
      <c r="N222" s="9" t="n">
        <v>754.27</v>
      </c>
      <c r="O222" s="9" t="n">
        <v>4525.6</v>
      </c>
      <c r="P222" s="9" t="n">
        <v>452.56</v>
      </c>
      <c r="Q222" s="9" t="n">
        <v>452.56</v>
      </c>
      <c r="R222" s="9" t="n">
        <v>452.56</v>
      </c>
      <c r="S222" s="9" t="n">
        <v>452.56</v>
      </c>
      <c r="T222" s="9" t="n">
        <v>452.56</v>
      </c>
      <c r="U222" s="9" t="n">
        <v>452.56</v>
      </c>
      <c r="V222" s="9" t="n">
        <v>452.56</v>
      </c>
      <c r="W222" s="9" t="n">
        <v>452.56</v>
      </c>
      <c r="X222" s="9" t="n">
        <v>452.56</v>
      </c>
      <c r="Y222" s="9" t="n">
        <v>452.56</v>
      </c>
      <c r="Z222" s="9" t="n">
        <v>350</v>
      </c>
      <c r="AA222" s="9" t="n">
        <v>0</v>
      </c>
      <c r="AB222" s="9" t="n">
        <v>350</v>
      </c>
    </row>
    <row r="223" customFormat="false" ht="15" hidden="false" customHeight="false" outlineLevel="0" collapsed="false">
      <c r="A223" s="3" t="s">
        <v>804</v>
      </c>
      <c r="B223" s="3" t="s">
        <v>805</v>
      </c>
      <c r="C223" s="3" t="s">
        <v>103</v>
      </c>
      <c r="D223" s="3" t="s">
        <v>104</v>
      </c>
      <c r="E223" s="3" t="n">
        <v>1959</v>
      </c>
      <c r="F223" s="3" t="s">
        <v>270</v>
      </c>
      <c r="G223" s="3" t="s">
        <v>271</v>
      </c>
      <c r="H223" s="3" t="s">
        <v>806</v>
      </c>
      <c r="I223" s="3" t="s">
        <v>273</v>
      </c>
      <c r="J223" s="7" t="n">
        <v>1670000</v>
      </c>
      <c r="K223" s="3" t="s">
        <v>350</v>
      </c>
      <c r="L223" s="7" t="n">
        <v>10994.29</v>
      </c>
      <c r="M223" s="7" t="n">
        <v>1374.29</v>
      </c>
      <c r="N223" s="7" t="n">
        <v>1374.29</v>
      </c>
      <c r="O223" s="7" t="n">
        <v>8245.7</v>
      </c>
      <c r="P223" s="7" t="n">
        <v>824.57</v>
      </c>
      <c r="Q223" s="7" t="n">
        <v>824.57</v>
      </c>
      <c r="R223" s="7" t="n">
        <v>824.57</v>
      </c>
      <c r="S223" s="7" t="n">
        <v>824.57</v>
      </c>
      <c r="T223" s="7" t="n">
        <v>824.57</v>
      </c>
      <c r="U223" s="7" t="n">
        <v>824.57</v>
      </c>
      <c r="V223" s="7" t="n">
        <v>824.57</v>
      </c>
      <c r="W223" s="7" t="n">
        <v>824.57</v>
      </c>
      <c r="X223" s="7" t="n">
        <v>824.57</v>
      </c>
      <c r="Y223" s="7" t="n">
        <v>824.57</v>
      </c>
      <c r="Z223" s="7" t="n">
        <v>350</v>
      </c>
      <c r="AA223" s="7" t="n">
        <v>250</v>
      </c>
      <c r="AB223" s="7" t="n">
        <v>600</v>
      </c>
    </row>
    <row r="224" customFormat="false" ht="15" hidden="false" customHeight="false" outlineLevel="0" collapsed="false">
      <c r="A224" s="8" t="s">
        <v>807</v>
      </c>
      <c r="B224" s="8" t="s">
        <v>808</v>
      </c>
      <c r="C224" s="8" t="s">
        <v>87</v>
      </c>
      <c r="D224" s="8" t="s">
        <v>88</v>
      </c>
      <c r="E224" s="8" t="n">
        <v>1980</v>
      </c>
      <c r="F224" s="8" t="s">
        <v>119</v>
      </c>
      <c r="G224" s="8" t="s">
        <v>120</v>
      </c>
      <c r="H224" s="8" t="s">
        <v>809</v>
      </c>
      <c r="I224" s="8" t="s">
        <v>56</v>
      </c>
      <c r="J224" s="9" t="n">
        <v>490000</v>
      </c>
      <c r="K224" s="8" t="s">
        <v>360</v>
      </c>
      <c r="L224" s="9" t="n">
        <v>7514.91</v>
      </c>
      <c r="M224" s="9" t="n">
        <v>939.36</v>
      </c>
      <c r="N224" s="9" t="n">
        <v>939.36</v>
      </c>
      <c r="O224" s="9" t="n">
        <v>5636.2</v>
      </c>
      <c r="P224" s="9" t="n">
        <v>563.62</v>
      </c>
      <c r="Q224" s="9" t="n">
        <v>563.62</v>
      </c>
      <c r="R224" s="9" t="n">
        <v>563.62</v>
      </c>
      <c r="S224" s="9" t="n">
        <v>563.62</v>
      </c>
      <c r="T224" s="9" t="n">
        <v>563.62</v>
      </c>
      <c r="U224" s="9" t="n">
        <v>563.62</v>
      </c>
      <c r="V224" s="9" t="n">
        <v>563.62</v>
      </c>
      <c r="W224" s="9" t="n">
        <v>563.62</v>
      </c>
      <c r="X224" s="9" t="n">
        <v>563.62</v>
      </c>
      <c r="Y224" s="9" t="n">
        <v>563.62</v>
      </c>
      <c r="Z224" s="9" t="n">
        <v>350</v>
      </c>
      <c r="AA224" s="9" t="n">
        <v>0</v>
      </c>
      <c r="AB224" s="9" t="n">
        <v>350</v>
      </c>
    </row>
    <row r="225" customFormat="false" ht="15" hidden="false" customHeight="false" outlineLevel="0" collapsed="false">
      <c r="A225" s="3" t="s">
        <v>810</v>
      </c>
      <c r="B225" s="3" t="s">
        <v>811</v>
      </c>
      <c r="C225" s="3" t="s">
        <v>276</v>
      </c>
      <c r="D225" s="3" t="s">
        <v>277</v>
      </c>
      <c r="E225" s="3" t="n">
        <v>1997</v>
      </c>
      <c r="F225" s="3" t="s">
        <v>70</v>
      </c>
      <c r="G225" s="3" t="s">
        <v>71</v>
      </c>
      <c r="H225" s="3" t="s">
        <v>812</v>
      </c>
      <c r="I225" s="3" t="s">
        <v>56</v>
      </c>
      <c r="J225" s="7" t="n">
        <v>795000</v>
      </c>
      <c r="K225" s="3" t="s">
        <v>149</v>
      </c>
      <c r="L225" s="7" t="n">
        <v>12998.2</v>
      </c>
      <c r="M225" s="7" t="n">
        <v>1624.78</v>
      </c>
      <c r="N225" s="7" t="n">
        <v>1624.78</v>
      </c>
      <c r="O225" s="7" t="n">
        <v>9748.7</v>
      </c>
      <c r="P225" s="7" t="n">
        <v>974.87</v>
      </c>
      <c r="Q225" s="7" t="n">
        <v>974.87</v>
      </c>
      <c r="R225" s="7" t="n">
        <v>974.87</v>
      </c>
      <c r="S225" s="7" t="n">
        <v>974.87</v>
      </c>
      <c r="T225" s="7" t="n">
        <v>974.87</v>
      </c>
      <c r="U225" s="7" t="n">
        <v>974.87</v>
      </c>
      <c r="V225" s="7" t="n">
        <v>974.87</v>
      </c>
      <c r="W225" s="7" t="n">
        <v>974.87</v>
      </c>
      <c r="X225" s="7" t="n">
        <v>974.87</v>
      </c>
      <c r="Y225" s="7" t="n">
        <v>974.87</v>
      </c>
      <c r="Z225" s="7" t="n">
        <v>350</v>
      </c>
      <c r="AA225" s="7" t="n">
        <v>0</v>
      </c>
      <c r="AB225" s="7" t="n">
        <v>350</v>
      </c>
    </row>
    <row r="226" customFormat="false" ht="15" hidden="false" customHeight="false" outlineLevel="0" collapsed="false">
      <c r="A226" s="8" t="s">
        <v>813</v>
      </c>
      <c r="B226" s="8" t="s">
        <v>248</v>
      </c>
      <c r="C226" s="8" t="s">
        <v>125</v>
      </c>
      <c r="D226" s="8" t="s">
        <v>126</v>
      </c>
      <c r="E226" s="8" t="n">
        <v>2012</v>
      </c>
      <c r="F226" s="8" t="s">
        <v>113</v>
      </c>
      <c r="G226" s="8" t="s">
        <v>139</v>
      </c>
      <c r="H226" s="8" t="s">
        <v>814</v>
      </c>
      <c r="I226" s="8" t="s">
        <v>107</v>
      </c>
      <c r="J226" s="9" t="n">
        <v>240000</v>
      </c>
      <c r="K226" s="8" t="s">
        <v>385</v>
      </c>
      <c r="L226" s="9" t="n">
        <v>3020.19</v>
      </c>
      <c r="M226" s="9" t="n">
        <v>377.52</v>
      </c>
      <c r="N226" s="9" t="n">
        <v>377.52</v>
      </c>
      <c r="O226" s="9" t="n">
        <v>2265.1</v>
      </c>
      <c r="P226" s="9" t="n">
        <v>226.51</v>
      </c>
      <c r="Q226" s="9" t="n">
        <v>226.51</v>
      </c>
      <c r="R226" s="9" t="n">
        <v>226.51</v>
      </c>
      <c r="S226" s="9" t="n">
        <v>226.51</v>
      </c>
      <c r="T226" s="9" t="n">
        <v>226.51</v>
      </c>
      <c r="U226" s="9" t="n">
        <v>226.51</v>
      </c>
      <c r="V226" s="9" t="n">
        <v>226.51</v>
      </c>
      <c r="W226" s="9" t="n">
        <v>226.51</v>
      </c>
      <c r="X226" s="9" t="n">
        <v>226.51</v>
      </c>
      <c r="Y226" s="9" t="n">
        <v>226.51</v>
      </c>
      <c r="Z226" s="9" t="n">
        <v>350</v>
      </c>
      <c r="AA226" s="9" t="n">
        <v>0</v>
      </c>
      <c r="AB226" s="9" t="n">
        <v>350</v>
      </c>
    </row>
    <row r="227" customFormat="false" ht="15" hidden="false" customHeight="false" outlineLevel="0" collapsed="false">
      <c r="A227" s="3" t="s">
        <v>815</v>
      </c>
      <c r="B227" s="3" t="s">
        <v>755</v>
      </c>
      <c r="C227" s="3" t="s">
        <v>144</v>
      </c>
      <c r="D227" s="3" t="s">
        <v>145</v>
      </c>
      <c r="E227" s="3" t="n">
        <v>1990</v>
      </c>
      <c r="F227" s="3" t="s">
        <v>70</v>
      </c>
      <c r="G227" s="3" t="s">
        <v>71</v>
      </c>
      <c r="H227" s="3" t="s">
        <v>816</v>
      </c>
      <c r="I227" s="3" t="s">
        <v>56</v>
      </c>
      <c r="J227" s="7" t="n">
        <v>545000</v>
      </c>
      <c r="K227" s="3" t="s">
        <v>441</v>
      </c>
      <c r="L227" s="7" t="n">
        <v>6154.16</v>
      </c>
      <c r="M227" s="7" t="n">
        <v>769.27</v>
      </c>
      <c r="N227" s="7" t="n">
        <v>769.27</v>
      </c>
      <c r="O227" s="7" t="n">
        <v>4615.6</v>
      </c>
      <c r="P227" s="7" t="n">
        <v>461.56</v>
      </c>
      <c r="Q227" s="7" t="n">
        <v>461.56</v>
      </c>
      <c r="R227" s="7" t="n">
        <v>461.56</v>
      </c>
      <c r="S227" s="7" t="n">
        <v>461.56</v>
      </c>
      <c r="T227" s="7" t="n">
        <v>461.56</v>
      </c>
      <c r="U227" s="7" t="n">
        <v>461.56</v>
      </c>
      <c r="V227" s="7" t="n">
        <v>461.56</v>
      </c>
      <c r="W227" s="7" t="n">
        <v>461.56</v>
      </c>
      <c r="X227" s="7" t="n">
        <v>461.56</v>
      </c>
      <c r="Y227" s="7" t="n">
        <v>461.56</v>
      </c>
      <c r="Z227" s="7" t="n">
        <v>350</v>
      </c>
      <c r="AA227" s="7" t="n">
        <v>0</v>
      </c>
      <c r="AB227" s="7" t="n">
        <v>350</v>
      </c>
    </row>
    <row r="228" customFormat="false" ht="15" hidden="false" customHeight="false" outlineLevel="0" collapsed="false">
      <c r="A228" s="8" t="s">
        <v>817</v>
      </c>
      <c r="B228" s="8" t="s">
        <v>818</v>
      </c>
      <c r="C228" s="8" t="s">
        <v>306</v>
      </c>
      <c r="D228" s="8" t="s">
        <v>307</v>
      </c>
      <c r="E228" s="8" t="n">
        <v>1966</v>
      </c>
      <c r="F228" s="8" t="s">
        <v>53</v>
      </c>
      <c r="G228" s="8" t="s">
        <v>578</v>
      </c>
      <c r="H228" s="8" t="s">
        <v>819</v>
      </c>
      <c r="I228" s="8" t="s">
        <v>273</v>
      </c>
      <c r="J228" s="9" t="n">
        <v>1120000</v>
      </c>
      <c r="K228" s="8" t="s">
        <v>229</v>
      </c>
      <c r="L228" s="9" t="n">
        <v>6270.85</v>
      </c>
      <c r="M228" s="9" t="n">
        <v>783.86</v>
      </c>
      <c r="N228" s="9" t="n">
        <v>783.86</v>
      </c>
      <c r="O228" s="9" t="n">
        <v>4703.1</v>
      </c>
      <c r="P228" s="9" t="n">
        <v>470.31</v>
      </c>
      <c r="Q228" s="9" t="n">
        <v>470.31</v>
      </c>
      <c r="R228" s="9" t="n">
        <v>470.31</v>
      </c>
      <c r="S228" s="9" t="n">
        <v>470.31</v>
      </c>
      <c r="T228" s="9" t="n">
        <v>470.31</v>
      </c>
      <c r="U228" s="9" t="n">
        <v>470.31</v>
      </c>
      <c r="V228" s="9" t="n">
        <v>470.31</v>
      </c>
      <c r="W228" s="9" t="n">
        <v>470.31</v>
      </c>
      <c r="X228" s="9" t="n">
        <v>470.31</v>
      </c>
      <c r="Y228" s="9" t="n">
        <v>470.31</v>
      </c>
      <c r="Z228" s="9" t="n">
        <v>350</v>
      </c>
      <c r="AA228" s="9" t="n">
        <v>250</v>
      </c>
      <c r="AB228" s="9" t="n">
        <v>600</v>
      </c>
    </row>
    <row r="229" customFormat="false" ht="15" hidden="false" customHeight="false" outlineLevel="0" collapsed="false">
      <c r="A229" s="3" t="s">
        <v>820</v>
      </c>
      <c r="B229" s="3" t="s">
        <v>821</v>
      </c>
      <c r="C229" s="3" t="s">
        <v>374</v>
      </c>
      <c r="D229" s="3" t="s">
        <v>375</v>
      </c>
      <c r="E229" s="3" t="n">
        <v>1964</v>
      </c>
      <c r="F229" s="3" t="s">
        <v>53</v>
      </c>
      <c r="G229" s="3" t="s">
        <v>54</v>
      </c>
      <c r="H229" s="3" t="s">
        <v>822</v>
      </c>
      <c r="I229" s="3" t="s">
        <v>56</v>
      </c>
      <c r="J229" s="7" t="n">
        <v>185000</v>
      </c>
      <c r="K229" s="3" t="s">
        <v>441</v>
      </c>
      <c r="L229" s="7" t="n">
        <v>2956.78</v>
      </c>
      <c r="M229" s="7" t="n">
        <v>369.6</v>
      </c>
      <c r="N229" s="7" t="n">
        <v>369.6</v>
      </c>
      <c r="O229" s="7" t="n">
        <v>2217.6</v>
      </c>
      <c r="P229" s="7" t="n">
        <v>221.76</v>
      </c>
      <c r="Q229" s="7" t="n">
        <v>221.76</v>
      </c>
      <c r="R229" s="7" t="n">
        <v>221.76</v>
      </c>
      <c r="S229" s="7" t="n">
        <v>221.76</v>
      </c>
      <c r="T229" s="7" t="n">
        <v>221.76</v>
      </c>
      <c r="U229" s="7" t="n">
        <v>221.76</v>
      </c>
      <c r="V229" s="7" t="n">
        <v>221.76</v>
      </c>
      <c r="W229" s="7" t="n">
        <v>221.76</v>
      </c>
      <c r="X229" s="7" t="n">
        <v>221.76</v>
      </c>
      <c r="Y229" s="7" t="n">
        <v>221.76</v>
      </c>
      <c r="Z229" s="7" t="n">
        <v>350</v>
      </c>
      <c r="AA229" s="7" t="n">
        <v>0</v>
      </c>
      <c r="AB229" s="7" t="n">
        <v>350</v>
      </c>
    </row>
    <row r="230" customFormat="false" ht="15" hidden="false" customHeight="false" outlineLevel="0" collapsed="false">
      <c r="A230" s="8" t="s">
        <v>823</v>
      </c>
      <c r="B230" s="8" t="s">
        <v>824</v>
      </c>
      <c r="C230" s="8" t="s">
        <v>312</v>
      </c>
      <c r="D230" s="8" t="s">
        <v>313</v>
      </c>
      <c r="E230" s="8" t="n">
        <v>2010</v>
      </c>
      <c r="F230" s="8" t="s">
        <v>146</v>
      </c>
      <c r="G230" s="8" t="s">
        <v>147</v>
      </c>
      <c r="H230" s="8" t="s">
        <v>825</v>
      </c>
      <c r="I230" s="8" t="s">
        <v>56</v>
      </c>
      <c r="J230" s="9" t="n">
        <v>355000</v>
      </c>
      <c r="K230" s="8" t="s">
        <v>48</v>
      </c>
      <c r="L230" s="9" t="n">
        <v>5203.57</v>
      </c>
      <c r="M230" s="9" t="n">
        <v>650.45</v>
      </c>
      <c r="N230" s="9" t="n">
        <v>650.45</v>
      </c>
      <c r="O230" s="9" t="n">
        <v>3902.7</v>
      </c>
      <c r="P230" s="9" t="n">
        <v>390.27</v>
      </c>
      <c r="Q230" s="9" t="n">
        <v>390.27</v>
      </c>
      <c r="R230" s="9" t="n">
        <v>390.27</v>
      </c>
      <c r="S230" s="9" t="n">
        <v>390.27</v>
      </c>
      <c r="T230" s="9" t="n">
        <v>390.27</v>
      </c>
      <c r="U230" s="9" t="n">
        <v>390.27</v>
      </c>
      <c r="V230" s="9" t="n">
        <v>390.27</v>
      </c>
      <c r="W230" s="9" t="n">
        <v>390.27</v>
      </c>
      <c r="X230" s="9" t="n">
        <v>390.27</v>
      </c>
      <c r="Y230" s="9" t="n">
        <v>390.27</v>
      </c>
      <c r="Z230" s="9" t="n">
        <v>350</v>
      </c>
      <c r="AA230" s="9" t="n">
        <v>0</v>
      </c>
      <c r="AB230" s="9" t="n">
        <v>350</v>
      </c>
    </row>
    <row r="231" customFormat="false" ht="15" hidden="false" customHeight="false" outlineLevel="0" collapsed="false">
      <c r="A231" s="3" t="s">
        <v>826</v>
      </c>
      <c r="B231" s="3" t="s">
        <v>472</v>
      </c>
      <c r="C231" s="3" t="s">
        <v>103</v>
      </c>
      <c r="D231" s="3" t="s">
        <v>104</v>
      </c>
      <c r="E231" s="3" t="n">
        <v>2008</v>
      </c>
      <c r="F231" s="3" t="s">
        <v>70</v>
      </c>
      <c r="G231" s="3" t="s">
        <v>71</v>
      </c>
      <c r="H231" s="3" t="s">
        <v>827</v>
      </c>
      <c r="I231" s="3" t="s">
        <v>56</v>
      </c>
      <c r="J231" s="7" t="n">
        <v>340000</v>
      </c>
      <c r="K231" s="3" t="s">
        <v>93</v>
      </c>
      <c r="L231" s="7" t="n">
        <v>7152.54</v>
      </c>
      <c r="M231" s="7" t="n">
        <v>894.07</v>
      </c>
      <c r="N231" s="7" t="n">
        <v>894.07</v>
      </c>
      <c r="O231" s="7" t="n">
        <v>5364.4</v>
      </c>
      <c r="P231" s="7" t="n">
        <v>536.44</v>
      </c>
      <c r="Q231" s="7" t="n">
        <v>536.44</v>
      </c>
      <c r="R231" s="7" t="n">
        <v>536.44</v>
      </c>
      <c r="S231" s="7" t="n">
        <v>536.44</v>
      </c>
      <c r="T231" s="7" t="n">
        <v>536.44</v>
      </c>
      <c r="U231" s="7" t="n">
        <v>536.44</v>
      </c>
      <c r="V231" s="7" t="n">
        <v>536.44</v>
      </c>
      <c r="W231" s="7" t="n">
        <v>536.44</v>
      </c>
      <c r="X231" s="7" t="n">
        <v>536.44</v>
      </c>
      <c r="Y231" s="7" t="n">
        <v>536.44</v>
      </c>
      <c r="Z231" s="7" t="n">
        <v>350</v>
      </c>
      <c r="AA231" s="7" t="n">
        <v>0</v>
      </c>
      <c r="AB231" s="7" t="n">
        <v>350</v>
      </c>
    </row>
    <row r="232" customFormat="false" ht="15" hidden="false" customHeight="false" outlineLevel="0" collapsed="false">
      <c r="A232" s="8" t="s">
        <v>828</v>
      </c>
      <c r="B232" s="8" t="s">
        <v>829</v>
      </c>
      <c r="C232" s="8" t="s">
        <v>42</v>
      </c>
      <c r="D232" s="8" t="s">
        <v>43</v>
      </c>
      <c r="E232" s="8" t="n">
        <v>1968</v>
      </c>
      <c r="F232" s="8" t="s">
        <v>53</v>
      </c>
      <c r="G232" s="8" t="s">
        <v>54</v>
      </c>
      <c r="H232" s="8" t="s">
        <v>830</v>
      </c>
      <c r="I232" s="8" t="s">
        <v>56</v>
      </c>
      <c r="J232" s="9" t="n">
        <v>800000</v>
      </c>
      <c r="K232" s="8" t="s">
        <v>116</v>
      </c>
      <c r="L232" s="9" t="n">
        <v>9315.94</v>
      </c>
      <c r="M232" s="9" t="n">
        <v>1164.49</v>
      </c>
      <c r="N232" s="9" t="n">
        <v>1164.49</v>
      </c>
      <c r="O232" s="9" t="n">
        <v>6987</v>
      </c>
      <c r="P232" s="9" t="n">
        <v>698.7</v>
      </c>
      <c r="Q232" s="9" t="n">
        <v>698.7</v>
      </c>
      <c r="R232" s="9" t="n">
        <v>698.7</v>
      </c>
      <c r="S232" s="9" t="n">
        <v>698.7</v>
      </c>
      <c r="T232" s="9" t="n">
        <v>698.7</v>
      </c>
      <c r="U232" s="9" t="n">
        <v>698.7</v>
      </c>
      <c r="V232" s="9" t="n">
        <v>698.7</v>
      </c>
      <c r="W232" s="9" t="n">
        <v>698.7</v>
      </c>
      <c r="X232" s="9" t="n">
        <v>698.7</v>
      </c>
      <c r="Y232" s="9" t="n">
        <v>698.7</v>
      </c>
      <c r="Z232" s="9" t="n">
        <v>350</v>
      </c>
      <c r="AA232" s="9" t="n">
        <v>0</v>
      </c>
      <c r="AB232" s="9" t="n">
        <v>350</v>
      </c>
    </row>
    <row r="233" customFormat="false" ht="15" hidden="false" customHeight="false" outlineLevel="0" collapsed="false">
      <c r="A233" s="3" t="s">
        <v>831</v>
      </c>
      <c r="B233" s="3" t="s">
        <v>832</v>
      </c>
      <c r="C233" s="3" t="s">
        <v>238</v>
      </c>
      <c r="D233" s="3" t="s">
        <v>239</v>
      </c>
      <c r="E233" s="3" t="n">
        <v>2015</v>
      </c>
      <c r="F233" s="3" t="s">
        <v>119</v>
      </c>
      <c r="G233" s="3" t="s">
        <v>120</v>
      </c>
      <c r="H233" s="3" t="s">
        <v>833</v>
      </c>
      <c r="I233" s="3" t="s">
        <v>56</v>
      </c>
      <c r="J233" s="7" t="n">
        <v>875000</v>
      </c>
      <c r="K233" s="3" t="s">
        <v>291</v>
      </c>
      <c r="L233" s="7" t="n">
        <v>10909.76</v>
      </c>
      <c r="M233" s="7" t="n">
        <v>1363.72</v>
      </c>
      <c r="N233" s="7" t="n">
        <v>1363.72</v>
      </c>
      <c r="O233" s="7" t="n">
        <v>8182.3</v>
      </c>
      <c r="P233" s="7" t="n">
        <v>818.23</v>
      </c>
      <c r="Q233" s="7" t="n">
        <v>818.23</v>
      </c>
      <c r="R233" s="7" t="n">
        <v>818.23</v>
      </c>
      <c r="S233" s="7" t="n">
        <v>818.23</v>
      </c>
      <c r="T233" s="7" t="n">
        <v>818.23</v>
      </c>
      <c r="U233" s="7" t="n">
        <v>818.23</v>
      </c>
      <c r="V233" s="7" t="n">
        <v>818.23</v>
      </c>
      <c r="W233" s="7" t="n">
        <v>818.23</v>
      </c>
      <c r="X233" s="7" t="n">
        <v>818.23</v>
      </c>
      <c r="Y233" s="7" t="n">
        <v>818.23</v>
      </c>
      <c r="Z233" s="7" t="n">
        <v>350</v>
      </c>
      <c r="AA233" s="7" t="n">
        <v>0</v>
      </c>
      <c r="AB233" s="7" t="n">
        <v>350</v>
      </c>
    </row>
    <row r="234" customFormat="false" ht="15" hidden="false" customHeight="false" outlineLevel="0" collapsed="false">
      <c r="A234" s="8" t="s">
        <v>834</v>
      </c>
      <c r="B234" s="8" t="s">
        <v>835</v>
      </c>
      <c r="C234" s="8" t="s">
        <v>42</v>
      </c>
      <c r="D234" s="8" t="s">
        <v>43</v>
      </c>
      <c r="E234" s="8" t="n">
        <v>2017</v>
      </c>
      <c r="F234" s="8" t="s">
        <v>53</v>
      </c>
      <c r="G234" s="8" t="s">
        <v>54</v>
      </c>
      <c r="H234" s="8" t="s">
        <v>836</v>
      </c>
      <c r="I234" s="8" t="s">
        <v>56</v>
      </c>
      <c r="J234" s="9" t="n">
        <v>635000</v>
      </c>
      <c r="K234" s="8" t="s">
        <v>492</v>
      </c>
      <c r="L234" s="9" t="n">
        <v>9411.22</v>
      </c>
      <c r="M234" s="9" t="n">
        <v>1176.4</v>
      </c>
      <c r="N234" s="9" t="n">
        <v>1176.4</v>
      </c>
      <c r="O234" s="9" t="n">
        <v>7058.4</v>
      </c>
      <c r="P234" s="9" t="n">
        <v>705.84</v>
      </c>
      <c r="Q234" s="9" t="n">
        <v>705.84</v>
      </c>
      <c r="R234" s="9" t="n">
        <v>705.84</v>
      </c>
      <c r="S234" s="9" t="n">
        <v>705.84</v>
      </c>
      <c r="T234" s="9" t="n">
        <v>705.84</v>
      </c>
      <c r="U234" s="9" t="n">
        <v>705.84</v>
      </c>
      <c r="V234" s="9" t="n">
        <v>705.84</v>
      </c>
      <c r="W234" s="9" t="n">
        <v>705.84</v>
      </c>
      <c r="X234" s="9" t="n">
        <v>705.84</v>
      </c>
      <c r="Y234" s="9" t="n">
        <v>705.84</v>
      </c>
      <c r="Z234" s="9" t="n">
        <v>350</v>
      </c>
      <c r="AA234" s="9" t="n">
        <v>0</v>
      </c>
      <c r="AB234" s="9" t="n">
        <v>350</v>
      </c>
    </row>
    <row r="235" customFormat="false" ht="15" hidden="false" customHeight="false" outlineLevel="0" collapsed="false">
      <c r="A235" s="3" t="s">
        <v>837</v>
      </c>
      <c r="B235" s="3" t="s">
        <v>838</v>
      </c>
      <c r="C235" s="3" t="s">
        <v>111</v>
      </c>
      <c r="D235" s="3" t="s">
        <v>112</v>
      </c>
      <c r="E235" s="3" t="n">
        <v>2021</v>
      </c>
      <c r="F235" s="3" t="s">
        <v>173</v>
      </c>
      <c r="G235" s="3" t="s">
        <v>174</v>
      </c>
      <c r="H235" s="3" t="s">
        <v>839</v>
      </c>
      <c r="I235" s="3" t="s">
        <v>107</v>
      </c>
      <c r="J235" s="7" t="n">
        <v>610000</v>
      </c>
      <c r="K235" s="3" t="s">
        <v>210</v>
      </c>
      <c r="L235" s="7" t="n">
        <v>6407.97</v>
      </c>
      <c r="M235" s="7" t="n">
        <v>801</v>
      </c>
      <c r="N235" s="7" t="n">
        <v>801</v>
      </c>
      <c r="O235" s="7" t="n">
        <v>4806</v>
      </c>
      <c r="P235" s="7" t="n">
        <v>480.6</v>
      </c>
      <c r="Q235" s="7" t="n">
        <v>480.6</v>
      </c>
      <c r="R235" s="7" t="n">
        <v>480.6</v>
      </c>
      <c r="S235" s="7" t="n">
        <v>480.6</v>
      </c>
      <c r="T235" s="7" t="n">
        <v>480.6</v>
      </c>
      <c r="U235" s="7" t="n">
        <v>480.6</v>
      </c>
      <c r="V235" s="7" t="n">
        <v>480.6</v>
      </c>
      <c r="W235" s="7" t="n">
        <v>480.6</v>
      </c>
      <c r="X235" s="7" t="n">
        <v>480.6</v>
      </c>
      <c r="Y235" s="7" t="n">
        <v>480.6</v>
      </c>
      <c r="Z235" s="7" t="n">
        <v>350</v>
      </c>
      <c r="AA235" s="7" t="n">
        <v>0</v>
      </c>
      <c r="AB235" s="7" t="n">
        <v>350</v>
      </c>
    </row>
    <row r="236" customFormat="false" ht="15" hidden="false" customHeight="false" outlineLevel="0" collapsed="false">
      <c r="A236" s="8" t="s">
        <v>840</v>
      </c>
      <c r="B236" s="8" t="s">
        <v>841</v>
      </c>
      <c r="C236" s="8" t="s">
        <v>163</v>
      </c>
      <c r="D236" s="8" t="s">
        <v>164</v>
      </c>
      <c r="E236" s="8" t="n">
        <v>2006</v>
      </c>
      <c r="F236" s="8" t="s">
        <v>119</v>
      </c>
      <c r="G236" s="8" t="s">
        <v>120</v>
      </c>
      <c r="H236" s="8" t="s">
        <v>842</v>
      </c>
      <c r="I236" s="8" t="s">
        <v>56</v>
      </c>
      <c r="J236" s="9" t="n">
        <v>700000</v>
      </c>
      <c r="K236" s="8" t="s">
        <v>309</v>
      </c>
      <c r="L236" s="9" t="n">
        <v>11280.28</v>
      </c>
      <c r="M236" s="9" t="n">
        <v>1410.04</v>
      </c>
      <c r="N236" s="9" t="n">
        <v>1410.04</v>
      </c>
      <c r="O236" s="9" t="n">
        <v>8460.2</v>
      </c>
      <c r="P236" s="9" t="n">
        <v>846.02</v>
      </c>
      <c r="Q236" s="9" t="n">
        <v>846.02</v>
      </c>
      <c r="R236" s="9" t="n">
        <v>846.02</v>
      </c>
      <c r="S236" s="9" t="n">
        <v>846.02</v>
      </c>
      <c r="T236" s="9" t="n">
        <v>846.02</v>
      </c>
      <c r="U236" s="9" t="n">
        <v>846.02</v>
      </c>
      <c r="V236" s="9" t="n">
        <v>846.02</v>
      </c>
      <c r="W236" s="9" t="n">
        <v>846.02</v>
      </c>
      <c r="X236" s="9" t="n">
        <v>846.02</v>
      </c>
      <c r="Y236" s="9" t="n">
        <v>846.02</v>
      </c>
      <c r="Z236" s="9" t="n">
        <v>350</v>
      </c>
      <c r="AA236" s="9" t="n">
        <v>0</v>
      </c>
      <c r="AB236" s="9" t="n">
        <v>350</v>
      </c>
    </row>
    <row r="237" customFormat="false" ht="15" hidden="false" customHeight="false" outlineLevel="0" collapsed="false">
      <c r="A237" s="3" t="s">
        <v>843</v>
      </c>
      <c r="B237" s="3" t="s">
        <v>521</v>
      </c>
      <c r="C237" s="3" t="s">
        <v>131</v>
      </c>
      <c r="D237" s="3" t="s">
        <v>132</v>
      </c>
      <c r="E237" s="3" t="n">
        <v>2014</v>
      </c>
      <c r="F237" s="3" t="s">
        <v>44</v>
      </c>
      <c r="G237" s="3" t="s">
        <v>45</v>
      </c>
      <c r="H237" s="3" t="s">
        <v>844</v>
      </c>
      <c r="I237" s="3" t="s">
        <v>47</v>
      </c>
      <c r="J237" s="7" t="n">
        <v>1365000</v>
      </c>
      <c r="K237" s="3" t="s">
        <v>252</v>
      </c>
      <c r="L237" s="7" t="n">
        <v>22527.63</v>
      </c>
      <c r="M237" s="7" t="n">
        <v>2815.95</v>
      </c>
      <c r="N237" s="7" t="n">
        <v>2815.95</v>
      </c>
      <c r="O237" s="7" t="n">
        <v>16895.7</v>
      </c>
      <c r="P237" s="7" t="n">
        <v>1689.57</v>
      </c>
      <c r="Q237" s="7" t="n">
        <v>1689.57</v>
      </c>
      <c r="R237" s="7" t="n">
        <v>1689.57</v>
      </c>
      <c r="S237" s="7" t="n">
        <v>1689.57</v>
      </c>
      <c r="T237" s="7" t="n">
        <v>1689.57</v>
      </c>
      <c r="U237" s="7" t="n">
        <v>1689.57</v>
      </c>
      <c r="V237" s="7" t="n">
        <v>1689.57</v>
      </c>
      <c r="W237" s="7" t="n">
        <v>1689.57</v>
      </c>
      <c r="X237" s="7" t="n">
        <v>1689.57</v>
      </c>
      <c r="Y237" s="7" t="n">
        <v>1689.57</v>
      </c>
      <c r="Z237" s="7" t="n">
        <v>350</v>
      </c>
      <c r="AA237" s="7" t="n">
        <v>250</v>
      </c>
      <c r="AB237" s="7" t="n">
        <v>600</v>
      </c>
    </row>
    <row r="238" customFormat="false" ht="15" hidden="false" customHeight="false" outlineLevel="0" collapsed="false">
      <c r="A238" s="8" t="s">
        <v>845</v>
      </c>
      <c r="B238" s="8" t="s">
        <v>846</v>
      </c>
      <c r="C238" s="8" t="s">
        <v>76</v>
      </c>
      <c r="D238" s="8" t="s">
        <v>77</v>
      </c>
      <c r="E238" s="8" t="n">
        <v>2023</v>
      </c>
      <c r="F238" s="8" t="s">
        <v>158</v>
      </c>
      <c r="G238" s="8" t="s">
        <v>159</v>
      </c>
      <c r="H238" s="8" t="s">
        <v>847</v>
      </c>
      <c r="I238" s="8" t="s">
        <v>56</v>
      </c>
      <c r="J238" s="9" t="n">
        <v>145000</v>
      </c>
      <c r="K238" s="8" t="s">
        <v>153</v>
      </c>
      <c r="L238" s="9" t="n">
        <v>2776.14</v>
      </c>
      <c r="M238" s="9" t="n">
        <v>347.02</v>
      </c>
      <c r="N238" s="9" t="n">
        <v>347.02</v>
      </c>
      <c r="O238" s="9" t="n">
        <v>2082.1</v>
      </c>
      <c r="P238" s="9" t="n">
        <v>208.21</v>
      </c>
      <c r="Q238" s="9" t="n">
        <v>208.21</v>
      </c>
      <c r="R238" s="9" t="n">
        <v>208.21</v>
      </c>
      <c r="S238" s="9" t="n">
        <v>208.21</v>
      </c>
      <c r="T238" s="9" t="n">
        <v>208.21</v>
      </c>
      <c r="U238" s="9" t="n">
        <v>208.21</v>
      </c>
      <c r="V238" s="9" t="n">
        <v>208.21</v>
      </c>
      <c r="W238" s="9" t="n">
        <v>208.21</v>
      </c>
      <c r="X238" s="9" t="n">
        <v>208.21</v>
      </c>
      <c r="Y238" s="9" t="n">
        <v>208.21</v>
      </c>
      <c r="Z238" s="9" t="n">
        <v>350</v>
      </c>
      <c r="AA238" s="9" t="n">
        <v>0</v>
      </c>
      <c r="AB238" s="9" t="n">
        <v>350</v>
      </c>
    </row>
    <row r="239" customFormat="false" ht="15" hidden="false" customHeight="false" outlineLevel="0" collapsed="false">
      <c r="A239" s="3" t="s">
        <v>848</v>
      </c>
      <c r="B239" s="3" t="s">
        <v>849</v>
      </c>
      <c r="C239" s="3" t="s">
        <v>255</v>
      </c>
      <c r="D239" s="3" t="s">
        <v>256</v>
      </c>
      <c r="E239" s="3" t="n">
        <v>1978</v>
      </c>
      <c r="F239" s="3" t="s">
        <v>113</v>
      </c>
      <c r="G239" s="3" t="s">
        <v>139</v>
      </c>
      <c r="H239" s="3" t="s">
        <v>850</v>
      </c>
      <c r="I239" s="3" t="s">
        <v>107</v>
      </c>
      <c r="J239" s="7" t="n">
        <v>1185000</v>
      </c>
      <c r="K239" s="3" t="s">
        <v>454</v>
      </c>
      <c r="L239" s="7" t="n">
        <v>9778.48</v>
      </c>
      <c r="M239" s="7" t="n">
        <v>1222.31</v>
      </c>
      <c r="N239" s="7" t="n">
        <v>1222.31</v>
      </c>
      <c r="O239" s="7" t="n">
        <v>7333.9</v>
      </c>
      <c r="P239" s="7" t="n">
        <v>733.39</v>
      </c>
      <c r="Q239" s="7" t="n">
        <v>733.39</v>
      </c>
      <c r="R239" s="7" t="n">
        <v>733.39</v>
      </c>
      <c r="S239" s="7" t="n">
        <v>733.39</v>
      </c>
      <c r="T239" s="7" t="n">
        <v>733.39</v>
      </c>
      <c r="U239" s="7" t="n">
        <v>733.39</v>
      </c>
      <c r="V239" s="7" t="n">
        <v>733.39</v>
      </c>
      <c r="W239" s="7" t="n">
        <v>733.39</v>
      </c>
      <c r="X239" s="7" t="n">
        <v>733.39</v>
      </c>
      <c r="Y239" s="7" t="n">
        <v>733.39</v>
      </c>
      <c r="Z239" s="7" t="n">
        <v>350</v>
      </c>
      <c r="AA239" s="7" t="n">
        <v>250</v>
      </c>
      <c r="AB239" s="7" t="n">
        <v>600</v>
      </c>
    </row>
    <row r="240" customFormat="false" ht="15" hidden="false" customHeight="false" outlineLevel="0" collapsed="false">
      <c r="A240" s="8" t="s">
        <v>851</v>
      </c>
      <c r="B240" s="8" t="s">
        <v>110</v>
      </c>
      <c r="C240" s="8" t="s">
        <v>374</v>
      </c>
      <c r="D240" s="8" t="s">
        <v>375</v>
      </c>
      <c r="E240" s="8" t="n">
        <v>1994</v>
      </c>
      <c r="F240" s="8" t="s">
        <v>119</v>
      </c>
      <c r="G240" s="8" t="s">
        <v>120</v>
      </c>
      <c r="H240" s="8" t="s">
        <v>852</v>
      </c>
      <c r="I240" s="8" t="s">
        <v>56</v>
      </c>
      <c r="J240" s="9" t="n">
        <v>1455000</v>
      </c>
      <c r="K240" s="8" t="s">
        <v>108</v>
      </c>
      <c r="L240" s="9" t="n">
        <v>19694.85</v>
      </c>
      <c r="M240" s="9" t="n">
        <v>2461.86</v>
      </c>
      <c r="N240" s="9" t="n">
        <v>2461.86</v>
      </c>
      <c r="O240" s="9" t="n">
        <v>14771.1</v>
      </c>
      <c r="P240" s="9" t="n">
        <v>1477.11</v>
      </c>
      <c r="Q240" s="9" t="n">
        <v>1477.11</v>
      </c>
      <c r="R240" s="9" t="n">
        <v>1477.11</v>
      </c>
      <c r="S240" s="9" t="n">
        <v>1477.11</v>
      </c>
      <c r="T240" s="9" t="n">
        <v>1477.11</v>
      </c>
      <c r="U240" s="9" t="n">
        <v>1477.11</v>
      </c>
      <c r="V240" s="9" t="n">
        <v>1477.11</v>
      </c>
      <c r="W240" s="9" t="n">
        <v>1477.11</v>
      </c>
      <c r="X240" s="9" t="n">
        <v>1477.11</v>
      </c>
      <c r="Y240" s="9" t="n">
        <v>1477.11</v>
      </c>
      <c r="Z240" s="9" t="n">
        <v>350</v>
      </c>
      <c r="AA240" s="9" t="n">
        <v>250</v>
      </c>
      <c r="AB240" s="9" t="n">
        <v>600</v>
      </c>
    </row>
    <row r="241" customFormat="false" ht="15" hidden="false" customHeight="false" outlineLevel="0" collapsed="false">
      <c r="A241" s="3" t="s">
        <v>853</v>
      </c>
      <c r="B241" s="3" t="s">
        <v>854</v>
      </c>
      <c r="C241" s="3" t="s">
        <v>312</v>
      </c>
      <c r="D241" s="3" t="s">
        <v>313</v>
      </c>
      <c r="E241" s="3" t="n">
        <v>1977</v>
      </c>
      <c r="F241" s="3" t="s">
        <v>113</v>
      </c>
      <c r="G241" s="3" t="s">
        <v>114</v>
      </c>
      <c r="H241" s="3" t="s">
        <v>855</v>
      </c>
      <c r="I241" s="3" t="s">
        <v>56</v>
      </c>
      <c r="J241" s="7" t="n">
        <v>200000</v>
      </c>
      <c r="K241" s="3" t="s">
        <v>210</v>
      </c>
      <c r="L241" s="7" t="n">
        <v>4495.1</v>
      </c>
      <c r="M241" s="7" t="n">
        <v>561.89</v>
      </c>
      <c r="N241" s="7" t="n">
        <v>561.89</v>
      </c>
      <c r="O241" s="7" t="n">
        <v>3371.3</v>
      </c>
      <c r="P241" s="7" t="n">
        <v>337.13</v>
      </c>
      <c r="Q241" s="7" t="n">
        <v>337.13</v>
      </c>
      <c r="R241" s="7" t="n">
        <v>337.13</v>
      </c>
      <c r="S241" s="7" t="n">
        <v>337.13</v>
      </c>
      <c r="T241" s="7" t="n">
        <v>337.13</v>
      </c>
      <c r="U241" s="7" t="n">
        <v>337.13</v>
      </c>
      <c r="V241" s="7" t="n">
        <v>337.13</v>
      </c>
      <c r="W241" s="7" t="n">
        <v>337.13</v>
      </c>
      <c r="X241" s="7" t="n">
        <v>337.13</v>
      </c>
      <c r="Y241" s="7" t="n">
        <v>337.13</v>
      </c>
      <c r="Z241" s="7" t="n">
        <v>350</v>
      </c>
      <c r="AA241" s="7" t="n">
        <v>0</v>
      </c>
      <c r="AB241" s="7" t="n">
        <v>350</v>
      </c>
    </row>
    <row r="242" customFormat="false" ht="15" hidden="false" customHeight="false" outlineLevel="0" collapsed="false">
      <c r="A242" s="8" t="s">
        <v>856</v>
      </c>
      <c r="B242" s="8" t="s">
        <v>857</v>
      </c>
      <c r="C242" s="8" t="s">
        <v>238</v>
      </c>
      <c r="D242" s="8" t="s">
        <v>239</v>
      </c>
      <c r="E242" s="8" t="n">
        <v>1978</v>
      </c>
      <c r="F242" s="8" t="s">
        <v>119</v>
      </c>
      <c r="G242" s="8" t="s">
        <v>120</v>
      </c>
      <c r="H242" s="8" t="s">
        <v>858</v>
      </c>
      <c r="I242" s="8" t="s">
        <v>56</v>
      </c>
      <c r="J242" s="9" t="n">
        <v>585000</v>
      </c>
      <c r="K242" s="8" t="s">
        <v>291</v>
      </c>
      <c r="L242" s="9" t="n">
        <v>7293.96</v>
      </c>
      <c r="M242" s="9" t="n">
        <v>911.75</v>
      </c>
      <c r="N242" s="9" t="n">
        <v>911.75</v>
      </c>
      <c r="O242" s="9" t="n">
        <v>5470.5</v>
      </c>
      <c r="P242" s="9" t="n">
        <v>547.05</v>
      </c>
      <c r="Q242" s="9" t="n">
        <v>547.05</v>
      </c>
      <c r="R242" s="9" t="n">
        <v>547.05</v>
      </c>
      <c r="S242" s="9" t="n">
        <v>547.05</v>
      </c>
      <c r="T242" s="9" t="n">
        <v>547.05</v>
      </c>
      <c r="U242" s="9" t="n">
        <v>547.05</v>
      </c>
      <c r="V242" s="9" t="n">
        <v>547.05</v>
      </c>
      <c r="W242" s="9" t="n">
        <v>547.05</v>
      </c>
      <c r="X242" s="9" t="n">
        <v>547.05</v>
      </c>
      <c r="Y242" s="9" t="n">
        <v>547.05</v>
      </c>
      <c r="Z242" s="9" t="n">
        <v>350</v>
      </c>
      <c r="AA242" s="9" t="n">
        <v>0</v>
      </c>
      <c r="AB242" s="9" t="n">
        <v>350</v>
      </c>
    </row>
    <row r="243" customFormat="false" ht="15" hidden="false" customHeight="false" outlineLevel="0" collapsed="false">
      <c r="A243" s="3" t="s">
        <v>859</v>
      </c>
      <c r="B243" s="3" t="s">
        <v>860</v>
      </c>
      <c r="C243" s="3" t="s">
        <v>187</v>
      </c>
      <c r="D243" s="3" t="s">
        <v>188</v>
      </c>
      <c r="E243" s="3" t="n">
        <v>1989</v>
      </c>
      <c r="F243" s="3" t="s">
        <v>53</v>
      </c>
      <c r="G243" s="3" t="s">
        <v>54</v>
      </c>
      <c r="H243" s="3" t="s">
        <v>861</v>
      </c>
      <c r="I243" s="3" t="s">
        <v>56</v>
      </c>
      <c r="J243" s="7" t="n">
        <v>700000</v>
      </c>
      <c r="K243" s="3" t="s">
        <v>166</v>
      </c>
      <c r="L243" s="7" t="n">
        <v>9057.16</v>
      </c>
      <c r="M243" s="7" t="n">
        <v>1132.14</v>
      </c>
      <c r="N243" s="7" t="n">
        <v>1132.14</v>
      </c>
      <c r="O243" s="7" t="n">
        <v>6792.9</v>
      </c>
      <c r="P243" s="7" t="n">
        <v>679.29</v>
      </c>
      <c r="Q243" s="7" t="n">
        <v>679.29</v>
      </c>
      <c r="R243" s="7" t="n">
        <v>679.29</v>
      </c>
      <c r="S243" s="7" t="n">
        <v>679.29</v>
      </c>
      <c r="T243" s="7" t="n">
        <v>679.29</v>
      </c>
      <c r="U243" s="7" t="n">
        <v>679.29</v>
      </c>
      <c r="V243" s="7" t="n">
        <v>679.29</v>
      </c>
      <c r="W243" s="7" t="n">
        <v>679.29</v>
      </c>
      <c r="X243" s="7" t="n">
        <v>679.29</v>
      </c>
      <c r="Y243" s="7" t="n">
        <v>679.29</v>
      </c>
      <c r="Z243" s="7" t="n">
        <v>350</v>
      </c>
      <c r="AA243" s="7" t="n">
        <v>0</v>
      </c>
      <c r="AB243" s="7" t="n">
        <v>350</v>
      </c>
    </row>
    <row r="244" customFormat="false" ht="15" hidden="false" customHeight="false" outlineLevel="0" collapsed="false">
      <c r="A244" s="8" t="s">
        <v>862</v>
      </c>
      <c r="B244" s="8" t="s">
        <v>551</v>
      </c>
      <c r="C244" s="8" t="s">
        <v>51</v>
      </c>
      <c r="D244" s="8" t="s">
        <v>52</v>
      </c>
      <c r="E244" s="8" t="n">
        <v>1980</v>
      </c>
      <c r="F244" s="8" t="s">
        <v>62</v>
      </c>
      <c r="G244" s="8" t="s">
        <v>105</v>
      </c>
      <c r="H244" s="8" t="s">
        <v>863</v>
      </c>
      <c r="I244" s="8" t="s">
        <v>107</v>
      </c>
      <c r="J244" s="9" t="n">
        <v>760000</v>
      </c>
      <c r="K244" s="8" t="s">
        <v>153</v>
      </c>
      <c r="L244" s="9" t="n">
        <v>6800.92</v>
      </c>
      <c r="M244" s="9" t="n">
        <v>850.12</v>
      </c>
      <c r="N244" s="9" t="n">
        <v>850.12</v>
      </c>
      <c r="O244" s="9" t="n">
        <v>5100.7</v>
      </c>
      <c r="P244" s="9" t="n">
        <v>510.07</v>
      </c>
      <c r="Q244" s="9" t="n">
        <v>510.07</v>
      </c>
      <c r="R244" s="9" t="n">
        <v>510.07</v>
      </c>
      <c r="S244" s="9" t="n">
        <v>510.07</v>
      </c>
      <c r="T244" s="9" t="n">
        <v>510.07</v>
      </c>
      <c r="U244" s="9" t="n">
        <v>510.07</v>
      </c>
      <c r="V244" s="9" t="n">
        <v>510.07</v>
      </c>
      <c r="W244" s="9" t="n">
        <v>510.07</v>
      </c>
      <c r="X244" s="9" t="n">
        <v>510.07</v>
      </c>
      <c r="Y244" s="9" t="n">
        <v>510.07</v>
      </c>
      <c r="Z244" s="9" t="n">
        <v>350</v>
      </c>
      <c r="AA244" s="9" t="n">
        <v>0</v>
      </c>
      <c r="AB244" s="9" t="n">
        <v>350</v>
      </c>
    </row>
    <row r="245" customFormat="false" ht="15" hidden="false" customHeight="false" outlineLevel="0" collapsed="false">
      <c r="A245" s="3" t="s">
        <v>864</v>
      </c>
      <c r="B245" s="3" t="s">
        <v>865</v>
      </c>
      <c r="C245" s="3" t="s">
        <v>255</v>
      </c>
      <c r="D245" s="3" t="s">
        <v>256</v>
      </c>
      <c r="E245" s="3" t="n">
        <v>1989</v>
      </c>
      <c r="F245" s="3" t="s">
        <v>119</v>
      </c>
      <c r="G245" s="3" t="s">
        <v>120</v>
      </c>
      <c r="H245" s="3" t="s">
        <v>866</v>
      </c>
      <c r="I245" s="3" t="s">
        <v>56</v>
      </c>
      <c r="J245" s="7" t="n">
        <v>505000</v>
      </c>
      <c r="K245" s="3" t="s">
        <v>350</v>
      </c>
      <c r="L245" s="7" t="n">
        <v>6355.89</v>
      </c>
      <c r="M245" s="7" t="n">
        <v>794.49</v>
      </c>
      <c r="N245" s="7" t="n">
        <v>794.49</v>
      </c>
      <c r="O245" s="7" t="n">
        <v>4766.9</v>
      </c>
      <c r="P245" s="7" t="n">
        <v>476.69</v>
      </c>
      <c r="Q245" s="7" t="n">
        <v>476.69</v>
      </c>
      <c r="R245" s="7" t="n">
        <v>476.69</v>
      </c>
      <c r="S245" s="7" t="n">
        <v>476.69</v>
      </c>
      <c r="T245" s="7" t="n">
        <v>476.69</v>
      </c>
      <c r="U245" s="7" t="n">
        <v>476.69</v>
      </c>
      <c r="V245" s="7" t="n">
        <v>476.69</v>
      </c>
      <c r="W245" s="7" t="n">
        <v>476.69</v>
      </c>
      <c r="X245" s="7" t="n">
        <v>476.69</v>
      </c>
      <c r="Y245" s="7" t="n">
        <v>476.69</v>
      </c>
      <c r="Z245" s="7" t="n">
        <v>350</v>
      </c>
      <c r="AA245" s="7" t="n">
        <v>0</v>
      </c>
      <c r="AB245" s="7" t="n">
        <v>350</v>
      </c>
    </row>
    <row r="246" customFormat="false" ht="15" hidden="false" customHeight="false" outlineLevel="0" collapsed="false">
      <c r="A246" s="8" t="s">
        <v>867</v>
      </c>
      <c r="B246" s="8" t="s">
        <v>868</v>
      </c>
      <c r="C246" s="8" t="s">
        <v>68</v>
      </c>
      <c r="D246" s="8" t="s">
        <v>69</v>
      </c>
      <c r="E246" s="8" t="n">
        <v>1999</v>
      </c>
      <c r="F246" s="8" t="s">
        <v>113</v>
      </c>
      <c r="G246" s="8" t="s">
        <v>114</v>
      </c>
      <c r="H246" s="8" t="s">
        <v>869</v>
      </c>
      <c r="I246" s="8" t="s">
        <v>56</v>
      </c>
      <c r="J246" s="9" t="n">
        <v>505000</v>
      </c>
      <c r="K246" s="8" t="s">
        <v>454</v>
      </c>
      <c r="L246" s="9" t="n">
        <v>7128.11</v>
      </c>
      <c r="M246" s="9" t="n">
        <v>891.01</v>
      </c>
      <c r="N246" s="9" t="n">
        <v>891.01</v>
      </c>
      <c r="O246" s="9" t="n">
        <v>5346.1</v>
      </c>
      <c r="P246" s="9" t="n">
        <v>534.61</v>
      </c>
      <c r="Q246" s="9" t="n">
        <v>534.61</v>
      </c>
      <c r="R246" s="9" t="n">
        <v>534.61</v>
      </c>
      <c r="S246" s="9" t="n">
        <v>534.61</v>
      </c>
      <c r="T246" s="9" t="n">
        <v>534.61</v>
      </c>
      <c r="U246" s="9" t="n">
        <v>534.61</v>
      </c>
      <c r="V246" s="9" t="n">
        <v>534.61</v>
      </c>
      <c r="W246" s="9" t="n">
        <v>534.61</v>
      </c>
      <c r="X246" s="9" t="n">
        <v>534.61</v>
      </c>
      <c r="Y246" s="9" t="n">
        <v>534.61</v>
      </c>
      <c r="Z246" s="9" t="n">
        <v>350</v>
      </c>
      <c r="AA246" s="9" t="n">
        <v>0</v>
      </c>
      <c r="AB246" s="9" t="n">
        <v>350</v>
      </c>
    </row>
    <row r="247" customFormat="false" ht="15" hidden="false" customHeight="false" outlineLevel="0" collapsed="false">
      <c r="A247" s="3" t="s">
        <v>870</v>
      </c>
      <c r="B247" s="3" t="s">
        <v>871</v>
      </c>
      <c r="C247" s="3" t="s">
        <v>399</v>
      </c>
      <c r="D247" s="3" t="s">
        <v>400</v>
      </c>
      <c r="E247" s="3" t="n">
        <v>1997</v>
      </c>
      <c r="F247" s="3" t="s">
        <v>70</v>
      </c>
      <c r="G247" s="3" t="s">
        <v>71</v>
      </c>
      <c r="H247" s="3" t="s">
        <v>872</v>
      </c>
      <c r="I247" s="3" t="s">
        <v>56</v>
      </c>
      <c r="J247" s="7" t="n">
        <v>690000</v>
      </c>
      <c r="K247" s="3" t="s">
        <v>265</v>
      </c>
      <c r="L247" s="7" t="n">
        <v>11524.95</v>
      </c>
      <c r="M247" s="7" t="n">
        <v>1440.62</v>
      </c>
      <c r="N247" s="7" t="n">
        <v>1440.62</v>
      </c>
      <c r="O247" s="7" t="n">
        <v>8643.7</v>
      </c>
      <c r="P247" s="7" t="n">
        <v>864.37</v>
      </c>
      <c r="Q247" s="7" t="n">
        <v>864.37</v>
      </c>
      <c r="R247" s="7" t="n">
        <v>864.37</v>
      </c>
      <c r="S247" s="7" t="n">
        <v>864.37</v>
      </c>
      <c r="T247" s="7" t="n">
        <v>864.37</v>
      </c>
      <c r="U247" s="7" t="n">
        <v>864.37</v>
      </c>
      <c r="V247" s="7" t="n">
        <v>864.37</v>
      </c>
      <c r="W247" s="7" t="n">
        <v>864.37</v>
      </c>
      <c r="X247" s="7" t="n">
        <v>864.37</v>
      </c>
      <c r="Y247" s="7" t="n">
        <v>864.37</v>
      </c>
      <c r="Z247" s="7" t="n">
        <v>350</v>
      </c>
      <c r="AA247" s="7" t="n">
        <v>0</v>
      </c>
      <c r="AB247" s="7" t="n">
        <v>350</v>
      </c>
    </row>
    <row r="248" customFormat="false" ht="15" hidden="false" customHeight="false" outlineLevel="0" collapsed="false">
      <c r="A248" s="8" t="s">
        <v>873</v>
      </c>
      <c r="B248" s="8" t="s">
        <v>874</v>
      </c>
      <c r="C248" s="8" t="s">
        <v>125</v>
      </c>
      <c r="D248" s="8" t="s">
        <v>126</v>
      </c>
      <c r="E248" s="8" t="n">
        <v>2021</v>
      </c>
      <c r="F248" s="8" t="s">
        <v>113</v>
      </c>
      <c r="G248" s="8" t="s">
        <v>114</v>
      </c>
      <c r="H248" s="8" t="s">
        <v>875</v>
      </c>
      <c r="I248" s="8" t="s">
        <v>56</v>
      </c>
      <c r="J248" s="9" t="n">
        <v>315000</v>
      </c>
      <c r="K248" s="8" t="s">
        <v>65</v>
      </c>
      <c r="L248" s="9" t="n">
        <v>4275.24</v>
      </c>
      <c r="M248" s="9" t="n">
        <v>534.4</v>
      </c>
      <c r="N248" s="9" t="n">
        <v>534.4</v>
      </c>
      <c r="O248" s="9" t="n">
        <v>3206.4</v>
      </c>
      <c r="P248" s="9" t="n">
        <v>320.64</v>
      </c>
      <c r="Q248" s="9" t="n">
        <v>320.64</v>
      </c>
      <c r="R248" s="9" t="n">
        <v>320.64</v>
      </c>
      <c r="S248" s="9" t="n">
        <v>320.64</v>
      </c>
      <c r="T248" s="9" t="n">
        <v>320.64</v>
      </c>
      <c r="U248" s="9" t="n">
        <v>320.64</v>
      </c>
      <c r="V248" s="9" t="n">
        <v>320.64</v>
      </c>
      <c r="W248" s="9" t="n">
        <v>320.64</v>
      </c>
      <c r="X248" s="9" t="n">
        <v>320.64</v>
      </c>
      <c r="Y248" s="9" t="n">
        <v>320.64</v>
      </c>
      <c r="Z248" s="9" t="n">
        <v>350</v>
      </c>
      <c r="AA248" s="9" t="n">
        <v>0</v>
      </c>
      <c r="AB248" s="9" t="n">
        <v>350</v>
      </c>
    </row>
    <row r="249" customFormat="false" ht="15" hidden="false" customHeight="false" outlineLevel="0" collapsed="false">
      <c r="A249" s="3" t="s">
        <v>876</v>
      </c>
      <c r="B249" s="3" t="s">
        <v>877</v>
      </c>
      <c r="C249" s="3" t="s">
        <v>125</v>
      </c>
      <c r="D249" s="3" t="s">
        <v>126</v>
      </c>
      <c r="E249" s="3" t="n">
        <v>1963</v>
      </c>
      <c r="F249" s="3" t="s">
        <v>70</v>
      </c>
      <c r="G249" s="3" t="s">
        <v>71</v>
      </c>
      <c r="H249" s="3" t="s">
        <v>878</v>
      </c>
      <c r="I249" s="3" t="s">
        <v>56</v>
      </c>
      <c r="J249" s="7" t="n">
        <v>770000</v>
      </c>
      <c r="K249" s="3" t="s">
        <v>153</v>
      </c>
      <c r="L249" s="7" t="n">
        <v>10415.74</v>
      </c>
      <c r="M249" s="7" t="n">
        <v>1301.97</v>
      </c>
      <c r="N249" s="7" t="n">
        <v>1301.97</v>
      </c>
      <c r="O249" s="7" t="n">
        <v>7811.8</v>
      </c>
      <c r="P249" s="7" t="n">
        <v>781.18</v>
      </c>
      <c r="Q249" s="7" t="n">
        <v>781.18</v>
      </c>
      <c r="R249" s="7" t="n">
        <v>781.18</v>
      </c>
      <c r="S249" s="7" t="n">
        <v>781.18</v>
      </c>
      <c r="T249" s="7" t="n">
        <v>781.18</v>
      </c>
      <c r="U249" s="7" t="n">
        <v>781.18</v>
      </c>
      <c r="V249" s="7" t="n">
        <v>781.18</v>
      </c>
      <c r="W249" s="7" t="n">
        <v>781.18</v>
      </c>
      <c r="X249" s="7" t="n">
        <v>781.18</v>
      </c>
      <c r="Y249" s="7" t="n">
        <v>781.18</v>
      </c>
      <c r="Z249" s="7" t="n">
        <v>350</v>
      </c>
      <c r="AA249" s="7" t="n">
        <v>0</v>
      </c>
      <c r="AB249" s="7" t="n">
        <v>350</v>
      </c>
    </row>
    <row r="250" customFormat="false" ht="15" hidden="false" customHeight="false" outlineLevel="0" collapsed="false">
      <c r="A250" s="8" t="s">
        <v>879</v>
      </c>
      <c r="B250" s="8" t="s">
        <v>880</v>
      </c>
      <c r="C250" s="8" t="s">
        <v>187</v>
      </c>
      <c r="D250" s="8" t="s">
        <v>188</v>
      </c>
      <c r="E250" s="8" t="n">
        <v>1996</v>
      </c>
      <c r="F250" s="8" t="s">
        <v>113</v>
      </c>
      <c r="G250" s="8" t="s">
        <v>114</v>
      </c>
      <c r="H250" s="8" t="s">
        <v>881</v>
      </c>
      <c r="I250" s="8" t="s">
        <v>56</v>
      </c>
      <c r="J250" s="9" t="n">
        <v>575000</v>
      </c>
      <c r="K250" s="8" t="s">
        <v>461</v>
      </c>
      <c r="L250" s="9" t="n">
        <v>7575.08</v>
      </c>
      <c r="M250" s="9" t="n">
        <v>946.88</v>
      </c>
      <c r="N250" s="9" t="n">
        <v>946.88</v>
      </c>
      <c r="O250" s="9" t="n">
        <v>5681.3</v>
      </c>
      <c r="P250" s="9" t="n">
        <v>568.13</v>
      </c>
      <c r="Q250" s="9" t="n">
        <v>568.13</v>
      </c>
      <c r="R250" s="9" t="n">
        <v>568.13</v>
      </c>
      <c r="S250" s="9" t="n">
        <v>568.13</v>
      </c>
      <c r="T250" s="9" t="n">
        <v>568.13</v>
      </c>
      <c r="U250" s="9" t="n">
        <v>568.13</v>
      </c>
      <c r="V250" s="9" t="n">
        <v>568.13</v>
      </c>
      <c r="W250" s="9" t="n">
        <v>568.13</v>
      </c>
      <c r="X250" s="9" t="n">
        <v>568.13</v>
      </c>
      <c r="Y250" s="9" t="n">
        <v>568.13</v>
      </c>
      <c r="Z250" s="9" t="n">
        <v>350</v>
      </c>
      <c r="AA250" s="9" t="n">
        <v>0</v>
      </c>
      <c r="AB250" s="9" t="n">
        <v>350</v>
      </c>
    </row>
    <row r="251" customFormat="false" ht="15" hidden="false" customHeight="false" outlineLevel="0" collapsed="false">
      <c r="A251" s="3" t="s">
        <v>882</v>
      </c>
      <c r="B251" s="3" t="s">
        <v>883</v>
      </c>
      <c r="C251" s="3" t="s">
        <v>312</v>
      </c>
      <c r="D251" s="3" t="s">
        <v>313</v>
      </c>
      <c r="E251" s="3" t="n">
        <v>1991</v>
      </c>
      <c r="F251" s="3" t="s">
        <v>146</v>
      </c>
      <c r="G251" s="3" t="s">
        <v>147</v>
      </c>
      <c r="H251" s="3" t="s">
        <v>884</v>
      </c>
      <c r="I251" s="3" t="s">
        <v>56</v>
      </c>
      <c r="J251" s="7" t="n">
        <v>780000</v>
      </c>
      <c r="K251" s="3" t="s">
        <v>65</v>
      </c>
      <c r="L251" s="7" t="n">
        <v>9174.79</v>
      </c>
      <c r="M251" s="7" t="n">
        <v>1146.85</v>
      </c>
      <c r="N251" s="7" t="n">
        <v>1146.85</v>
      </c>
      <c r="O251" s="7" t="n">
        <v>6881.1</v>
      </c>
      <c r="P251" s="7" t="n">
        <v>688.11</v>
      </c>
      <c r="Q251" s="7" t="n">
        <v>688.11</v>
      </c>
      <c r="R251" s="7" t="n">
        <v>688.11</v>
      </c>
      <c r="S251" s="7" t="n">
        <v>688.11</v>
      </c>
      <c r="T251" s="7" t="n">
        <v>688.11</v>
      </c>
      <c r="U251" s="7" t="n">
        <v>688.11</v>
      </c>
      <c r="V251" s="7" t="n">
        <v>688.11</v>
      </c>
      <c r="W251" s="7" t="n">
        <v>688.11</v>
      </c>
      <c r="X251" s="7" t="n">
        <v>688.11</v>
      </c>
      <c r="Y251" s="7" t="n">
        <v>688.11</v>
      </c>
      <c r="Z251" s="7" t="n">
        <v>350</v>
      </c>
      <c r="AA251" s="7" t="n">
        <v>0</v>
      </c>
      <c r="AB251" s="7" t="n">
        <v>350</v>
      </c>
    </row>
    <row r="252" customFormat="false" ht="15" hidden="false" customHeight="false" outlineLevel="0" collapsed="false">
      <c r="A252" s="8" t="s">
        <v>885</v>
      </c>
      <c r="B252" s="8" t="s">
        <v>886</v>
      </c>
      <c r="C252" s="8" t="s">
        <v>249</v>
      </c>
      <c r="D252" s="8" t="s">
        <v>250</v>
      </c>
      <c r="E252" s="8" t="n">
        <v>2012</v>
      </c>
      <c r="F252" s="8" t="s">
        <v>146</v>
      </c>
      <c r="G252" s="8" t="s">
        <v>147</v>
      </c>
      <c r="H252" s="8" t="s">
        <v>887</v>
      </c>
      <c r="I252" s="8" t="s">
        <v>56</v>
      </c>
      <c r="J252" s="9" t="n">
        <v>250000</v>
      </c>
      <c r="K252" s="8" t="s">
        <v>344</v>
      </c>
      <c r="L252" s="9" t="n">
        <v>4410.96</v>
      </c>
      <c r="M252" s="9" t="n">
        <v>551.37</v>
      </c>
      <c r="N252" s="9" t="n">
        <v>551.37</v>
      </c>
      <c r="O252" s="9" t="n">
        <v>3308.2</v>
      </c>
      <c r="P252" s="9" t="n">
        <v>330.82</v>
      </c>
      <c r="Q252" s="9" t="n">
        <v>330.82</v>
      </c>
      <c r="R252" s="9" t="n">
        <v>330.82</v>
      </c>
      <c r="S252" s="9" t="n">
        <v>330.82</v>
      </c>
      <c r="T252" s="9" t="n">
        <v>330.82</v>
      </c>
      <c r="U252" s="9" t="n">
        <v>330.82</v>
      </c>
      <c r="V252" s="9" t="n">
        <v>330.82</v>
      </c>
      <c r="W252" s="9" t="n">
        <v>330.82</v>
      </c>
      <c r="X252" s="9" t="n">
        <v>330.82</v>
      </c>
      <c r="Y252" s="9" t="n">
        <v>330.82</v>
      </c>
      <c r="Z252" s="9" t="n">
        <v>350</v>
      </c>
      <c r="AA252" s="9" t="n">
        <v>0</v>
      </c>
      <c r="AB252" s="9" t="n">
        <v>350</v>
      </c>
    </row>
    <row r="253" customFormat="false" ht="15" hidden="false" customHeight="false" outlineLevel="0" collapsed="false">
      <c r="A253" s="3" t="s">
        <v>888</v>
      </c>
      <c r="B253" s="3" t="s">
        <v>889</v>
      </c>
      <c r="C253" s="3" t="s">
        <v>306</v>
      </c>
      <c r="D253" s="3" t="s">
        <v>307</v>
      </c>
      <c r="E253" s="3" t="n">
        <v>1994</v>
      </c>
      <c r="F253" s="3" t="s">
        <v>119</v>
      </c>
      <c r="G253" s="3" t="s">
        <v>120</v>
      </c>
      <c r="H253" s="3" t="s">
        <v>890</v>
      </c>
      <c r="I253" s="3" t="s">
        <v>56</v>
      </c>
      <c r="J253" s="7" t="n">
        <v>885000</v>
      </c>
      <c r="K253" s="3" t="s">
        <v>153</v>
      </c>
      <c r="L253" s="7" t="n">
        <v>11971.33</v>
      </c>
      <c r="M253" s="7" t="n">
        <v>1496.42</v>
      </c>
      <c r="N253" s="7" t="n">
        <v>1496.42</v>
      </c>
      <c r="O253" s="7" t="n">
        <v>8978.5</v>
      </c>
      <c r="P253" s="7" t="n">
        <v>897.85</v>
      </c>
      <c r="Q253" s="7" t="n">
        <v>897.85</v>
      </c>
      <c r="R253" s="7" t="n">
        <v>897.85</v>
      </c>
      <c r="S253" s="7" t="n">
        <v>897.85</v>
      </c>
      <c r="T253" s="7" t="n">
        <v>897.85</v>
      </c>
      <c r="U253" s="7" t="n">
        <v>897.85</v>
      </c>
      <c r="V253" s="7" t="n">
        <v>897.85</v>
      </c>
      <c r="W253" s="7" t="n">
        <v>897.85</v>
      </c>
      <c r="X253" s="7" t="n">
        <v>897.85</v>
      </c>
      <c r="Y253" s="7" t="n">
        <v>897.85</v>
      </c>
      <c r="Z253" s="7" t="n">
        <v>350</v>
      </c>
      <c r="AA253" s="7" t="n">
        <v>0</v>
      </c>
      <c r="AB253" s="7" t="n">
        <v>350</v>
      </c>
    </row>
    <row r="254" customFormat="false" ht="15" hidden="false" customHeight="false" outlineLevel="0" collapsed="false">
      <c r="A254" s="8" t="s">
        <v>891</v>
      </c>
      <c r="B254" s="8" t="s">
        <v>67</v>
      </c>
      <c r="C254" s="8" t="s">
        <v>276</v>
      </c>
      <c r="D254" s="8" t="s">
        <v>277</v>
      </c>
      <c r="E254" s="8" t="n">
        <v>1996</v>
      </c>
      <c r="F254" s="8" t="s">
        <v>89</v>
      </c>
      <c r="G254" s="8" t="s">
        <v>90</v>
      </c>
      <c r="H254" s="8" t="s">
        <v>892</v>
      </c>
      <c r="I254" s="8" t="s">
        <v>92</v>
      </c>
      <c r="J254" s="9" t="n">
        <v>130000</v>
      </c>
      <c r="K254" s="8" t="s">
        <v>265</v>
      </c>
      <c r="L254" s="9" t="n">
        <v>3507.59</v>
      </c>
      <c r="M254" s="9" t="n">
        <v>438.45</v>
      </c>
      <c r="N254" s="9" t="n">
        <v>438.45</v>
      </c>
      <c r="O254" s="9" t="n">
        <v>2630.7</v>
      </c>
      <c r="P254" s="9" t="n">
        <v>263.07</v>
      </c>
      <c r="Q254" s="9" t="n">
        <v>263.07</v>
      </c>
      <c r="R254" s="9" t="n">
        <v>263.07</v>
      </c>
      <c r="S254" s="9" t="n">
        <v>263.07</v>
      </c>
      <c r="T254" s="9" t="n">
        <v>263.07</v>
      </c>
      <c r="U254" s="9" t="n">
        <v>263.07</v>
      </c>
      <c r="V254" s="9" t="n">
        <v>263.07</v>
      </c>
      <c r="W254" s="9" t="n">
        <v>263.07</v>
      </c>
      <c r="X254" s="9" t="n">
        <v>263.07</v>
      </c>
      <c r="Y254" s="9" t="n">
        <v>263.07</v>
      </c>
      <c r="Z254" s="9" t="n">
        <v>350</v>
      </c>
      <c r="AA254" s="9" t="n">
        <v>0</v>
      </c>
      <c r="AB254" s="9" t="n">
        <v>350</v>
      </c>
    </row>
    <row r="255" customFormat="false" ht="15" hidden="false" customHeight="false" outlineLevel="0" collapsed="false">
      <c r="A255" s="3" t="s">
        <v>893</v>
      </c>
      <c r="B255" s="3" t="s">
        <v>894</v>
      </c>
      <c r="C255" s="3" t="s">
        <v>111</v>
      </c>
      <c r="D255" s="3" t="s">
        <v>112</v>
      </c>
      <c r="E255" s="3" t="n">
        <v>2004</v>
      </c>
      <c r="F255" s="3" t="s">
        <v>181</v>
      </c>
      <c r="G255" s="3" t="s">
        <v>182</v>
      </c>
      <c r="H255" s="3" t="s">
        <v>895</v>
      </c>
      <c r="I255" s="3" t="s">
        <v>47</v>
      </c>
      <c r="J255" s="7" t="n">
        <v>1780000</v>
      </c>
      <c r="K255" s="3" t="s">
        <v>65</v>
      </c>
      <c r="L255" s="7" t="n">
        <v>25769.02</v>
      </c>
      <c r="M255" s="7" t="n">
        <v>3221.13</v>
      </c>
      <c r="N255" s="7" t="n">
        <v>3221.13</v>
      </c>
      <c r="O255" s="7" t="n">
        <v>19326.8</v>
      </c>
      <c r="P255" s="7" t="n">
        <v>1932.68</v>
      </c>
      <c r="Q255" s="7" t="n">
        <v>1932.68</v>
      </c>
      <c r="R255" s="7" t="n">
        <v>1932.68</v>
      </c>
      <c r="S255" s="7" t="n">
        <v>1932.68</v>
      </c>
      <c r="T255" s="7" t="n">
        <v>1932.68</v>
      </c>
      <c r="U255" s="7" t="n">
        <v>1932.68</v>
      </c>
      <c r="V255" s="7" t="n">
        <v>1932.68</v>
      </c>
      <c r="W255" s="7" t="n">
        <v>1932.68</v>
      </c>
      <c r="X255" s="7" t="n">
        <v>1932.68</v>
      </c>
      <c r="Y255" s="7" t="n">
        <v>1932.68</v>
      </c>
      <c r="Z255" s="7" t="n">
        <v>350</v>
      </c>
      <c r="AA255" s="7" t="n">
        <v>250</v>
      </c>
      <c r="AB255" s="7" t="n">
        <v>600</v>
      </c>
    </row>
    <row r="256" customFormat="false" ht="15" hidden="false" customHeight="false" outlineLevel="0" collapsed="false">
      <c r="A256" s="8" t="s">
        <v>896</v>
      </c>
      <c r="B256" s="8" t="s">
        <v>897</v>
      </c>
      <c r="C256" s="8" t="s">
        <v>156</v>
      </c>
      <c r="D256" s="8" t="s">
        <v>157</v>
      </c>
      <c r="E256" s="8" t="n">
        <v>1965</v>
      </c>
      <c r="F256" s="8" t="s">
        <v>62</v>
      </c>
      <c r="G256" s="8" t="s">
        <v>98</v>
      </c>
      <c r="H256" s="8" t="s">
        <v>898</v>
      </c>
      <c r="I256" s="8" t="s">
        <v>47</v>
      </c>
      <c r="J256" s="9" t="n">
        <v>475000</v>
      </c>
      <c r="K256" s="8" t="s">
        <v>79</v>
      </c>
      <c r="L256" s="9" t="n">
        <v>9588.52</v>
      </c>
      <c r="M256" s="9" t="n">
        <v>1198.57</v>
      </c>
      <c r="N256" s="9" t="n">
        <v>1198.57</v>
      </c>
      <c r="O256" s="9" t="n">
        <v>7191.4</v>
      </c>
      <c r="P256" s="9" t="n">
        <v>719.14</v>
      </c>
      <c r="Q256" s="9" t="n">
        <v>719.14</v>
      </c>
      <c r="R256" s="9" t="n">
        <v>719.14</v>
      </c>
      <c r="S256" s="9" t="n">
        <v>719.14</v>
      </c>
      <c r="T256" s="9" t="n">
        <v>719.14</v>
      </c>
      <c r="U256" s="9" t="n">
        <v>719.14</v>
      </c>
      <c r="V256" s="9" t="n">
        <v>719.14</v>
      </c>
      <c r="W256" s="9" t="n">
        <v>719.14</v>
      </c>
      <c r="X256" s="9" t="n">
        <v>719.14</v>
      </c>
      <c r="Y256" s="9" t="n">
        <v>719.14</v>
      </c>
      <c r="Z256" s="9" t="n">
        <v>350</v>
      </c>
      <c r="AA256" s="9" t="n">
        <v>0</v>
      </c>
      <c r="AB256" s="9" t="n">
        <v>350</v>
      </c>
    </row>
    <row r="257" customFormat="false" ht="15" hidden="false" customHeight="false" outlineLevel="0" collapsed="false">
      <c r="A257" s="3" t="s">
        <v>899</v>
      </c>
      <c r="B257" s="3" t="s">
        <v>700</v>
      </c>
      <c r="C257" s="3" t="s">
        <v>473</v>
      </c>
      <c r="D257" s="3" t="s">
        <v>474</v>
      </c>
      <c r="E257" s="3" t="n">
        <v>1977</v>
      </c>
      <c r="F257" s="3" t="s">
        <v>113</v>
      </c>
      <c r="G257" s="3" t="s">
        <v>139</v>
      </c>
      <c r="H257" s="3" t="s">
        <v>900</v>
      </c>
      <c r="I257" s="3" t="s">
        <v>107</v>
      </c>
      <c r="J257" s="7" t="n">
        <v>600000</v>
      </c>
      <c r="K257" s="3" t="s">
        <v>580</v>
      </c>
      <c r="L257" s="7" t="n">
        <v>4715.51</v>
      </c>
      <c r="M257" s="7" t="n">
        <v>589.44</v>
      </c>
      <c r="N257" s="7" t="n">
        <v>589.44</v>
      </c>
      <c r="O257" s="7" t="n">
        <v>3536.6</v>
      </c>
      <c r="P257" s="7" t="n">
        <v>353.66</v>
      </c>
      <c r="Q257" s="7" t="n">
        <v>353.66</v>
      </c>
      <c r="R257" s="7" t="n">
        <v>353.66</v>
      </c>
      <c r="S257" s="7" t="n">
        <v>353.66</v>
      </c>
      <c r="T257" s="7" t="n">
        <v>353.66</v>
      </c>
      <c r="U257" s="7" t="n">
        <v>353.66</v>
      </c>
      <c r="V257" s="7" t="n">
        <v>353.66</v>
      </c>
      <c r="W257" s="7" t="n">
        <v>353.66</v>
      </c>
      <c r="X257" s="7" t="n">
        <v>353.66</v>
      </c>
      <c r="Y257" s="7" t="n">
        <v>353.66</v>
      </c>
      <c r="Z257" s="7" t="n">
        <v>350</v>
      </c>
      <c r="AA257" s="7" t="n">
        <v>0</v>
      </c>
      <c r="AB257" s="7" t="n">
        <v>350</v>
      </c>
    </row>
    <row r="258" customFormat="false" ht="15" hidden="false" customHeight="false" outlineLevel="0" collapsed="false">
      <c r="A258" s="8" t="s">
        <v>901</v>
      </c>
      <c r="B258" s="8" t="s">
        <v>321</v>
      </c>
      <c r="C258" s="8" t="s">
        <v>82</v>
      </c>
      <c r="D258" s="8" t="s">
        <v>83</v>
      </c>
      <c r="E258" s="8" t="n">
        <v>2010</v>
      </c>
      <c r="F258" s="8" t="s">
        <v>70</v>
      </c>
      <c r="G258" s="8" t="s">
        <v>71</v>
      </c>
      <c r="H258" s="8" t="s">
        <v>902</v>
      </c>
      <c r="I258" s="8" t="s">
        <v>56</v>
      </c>
      <c r="J258" s="9" t="n">
        <v>1280000</v>
      </c>
      <c r="K258" s="8" t="s">
        <v>903</v>
      </c>
      <c r="L258" s="9" t="n">
        <v>15415.09</v>
      </c>
      <c r="M258" s="9" t="n">
        <v>1926.89</v>
      </c>
      <c r="N258" s="9" t="n">
        <v>1926.89</v>
      </c>
      <c r="O258" s="9" t="n">
        <v>11561.3</v>
      </c>
      <c r="P258" s="9" t="n">
        <v>1156.13</v>
      </c>
      <c r="Q258" s="9" t="n">
        <v>1156.13</v>
      </c>
      <c r="R258" s="9" t="n">
        <v>1156.13</v>
      </c>
      <c r="S258" s="9" t="n">
        <v>1156.13</v>
      </c>
      <c r="T258" s="9" t="n">
        <v>1156.13</v>
      </c>
      <c r="U258" s="9" t="n">
        <v>1156.13</v>
      </c>
      <c r="V258" s="9" t="n">
        <v>1156.13</v>
      </c>
      <c r="W258" s="9" t="n">
        <v>1156.13</v>
      </c>
      <c r="X258" s="9" t="n">
        <v>1156.13</v>
      </c>
      <c r="Y258" s="9" t="n">
        <v>1156.13</v>
      </c>
      <c r="Z258" s="9" t="n">
        <v>350</v>
      </c>
      <c r="AA258" s="9" t="n">
        <v>250</v>
      </c>
      <c r="AB258" s="9" t="n">
        <v>600</v>
      </c>
    </row>
    <row r="259" customFormat="false" ht="15" hidden="false" customHeight="false" outlineLevel="0" collapsed="false">
      <c r="A259" s="3" t="s">
        <v>904</v>
      </c>
      <c r="B259" s="3" t="s">
        <v>905</v>
      </c>
      <c r="C259" s="3" t="s">
        <v>374</v>
      </c>
      <c r="D259" s="3" t="s">
        <v>375</v>
      </c>
      <c r="E259" s="3" t="n">
        <v>2022</v>
      </c>
      <c r="F259" s="3" t="s">
        <v>113</v>
      </c>
      <c r="G259" s="3" t="s">
        <v>114</v>
      </c>
      <c r="H259" s="3" t="s">
        <v>906</v>
      </c>
      <c r="I259" s="3" t="s">
        <v>56</v>
      </c>
      <c r="J259" s="7" t="n">
        <v>320000</v>
      </c>
      <c r="K259" s="3" t="s">
        <v>153</v>
      </c>
      <c r="L259" s="7" t="n">
        <v>4994.56</v>
      </c>
      <c r="M259" s="7" t="n">
        <v>624.32</v>
      </c>
      <c r="N259" s="7" t="n">
        <v>624.32</v>
      </c>
      <c r="O259" s="7" t="n">
        <v>3745.9</v>
      </c>
      <c r="P259" s="7" t="n">
        <v>374.59</v>
      </c>
      <c r="Q259" s="7" t="n">
        <v>374.59</v>
      </c>
      <c r="R259" s="7" t="n">
        <v>374.59</v>
      </c>
      <c r="S259" s="7" t="n">
        <v>374.59</v>
      </c>
      <c r="T259" s="7" t="n">
        <v>374.59</v>
      </c>
      <c r="U259" s="7" t="n">
        <v>374.59</v>
      </c>
      <c r="V259" s="7" t="n">
        <v>374.59</v>
      </c>
      <c r="W259" s="7" t="n">
        <v>374.59</v>
      </c>
      <c r="X259" s="7" t="n">
        <v>374.59</v>
      </c>
      <c r="Y259" s="7" t="n">
        <v>374.59</v>
      </c>
      <c r="Z259" s="7" t="n">
        <v>350</v>
      </c>
      <c r="AA259" s="7" t="n">
        <v>0</v>
      </c>
      <c r="AB259" s="7" t="n">
        <v>350</v>
      </c>
    </row>
    <row r="260" customFormat="false" ht="15" hidden="false" customHeight="false" outlineLevel="0" collapsed="false">
      <c r="A260" s="8" t="s">
        <v>907</v>
      </c>
      <c r="B260" s="8" t="s">
        <v>676</v>
      </c>
      <c r="C260" s="8" t="s">
        <v>51</v>
      </c>
      <c r="D260" s="8" t="s">
        <v>52</v>
      </c>
      <c r="E260" s="8" t="n">
        <v>1977</v>
      </c>
      <c r="F260" s="8" t="s">
        <v>70</v>
      </c>
      <c r="G260" s="8" t="s">
        <v>71</v>
      </c>
      <c r="H260" s="8" t="s">
        <v>908</v>
      </c>
      <c r="I260" s="8" t="s">
        <v>56</v>
      </c>
      <c r="J260" s="9" t="n">
        <v>565000</v>
      </c>
      <c r="K260" s="8" t="s">
        <v>149</v>
      </c>
      <c r="L260" s="9" t="n">
        <v>9237.72</v>
      </c>
      <c r="M260" s="9" t="n">
        <v>1154.71</v>
      </c>
      <c r="N260" s="9" t="n">
        <v>1154.71</v>
      </c>
      <c r="O260" s="9" t="n">
        <v>6928.3</v>
      </c>
      <c r="P260" s="9" t="n">
        <v>692.83</v>
      </c>
      <c r="Q260" s="9" t="n">
        <v>692.83</v>
      </c>
      <c r="R260" s="9" t="n">
        <v>692.83</v>
      </c>
      <c r="S260" s="9" t="n">
        <v>692.83</v>
      </c>
      <c r="T260" s="9" t="n">
        <v>692.83</v>
      </c>
      <c r="U260" s="9" t="n">
        <v>692.83</v>
      </c>
      <c r="V260" s="9" t="n">
        <v>692.83</v>
      </c>
      <c r="W260" s="9" t="n">
        <v>692.83</v>
      </c>
      <c r="X260" s="9" t="n">
        <v>692.83</v>
      </c>
      <c r="Y260" s="9" t="n">
        <v>692.83</v>
      </c>
      <c r="Z260" s="9" t="n">
        <v>350</v>
      </c>
      <c r="AA260" s="9" t="n">
        <v>0</v>
      </c>
      <c r="AB260" s="9" t="n">
        <v>350</v>
      </c>
    </row>
    <row r="261" customFormat="false" ht="15" hidden="false" customHeight="false" outlineLevel="0" collapsed="false">
      <c r="A261" s="3" t="s">
        <v>909</v>
      </c>
      <c r="B261" s="3" t="s">
        <v>569</v>
      </c>
      <c r="C261" s="3" t="s">
        <v>76</v>
      </c>
      <c r="D261" s="3" t="s">
        <v>77</v>
      </c>
      <c r="E261" s="3" t="n">
        <v>1967</v>
      </c>
      <c r="F261" s="3" t="s">
        <v>146</v>
      </c>
      <c r="G261" s="3" t="s">
        <v>147</v>
      </c>
      <c r="H261" s="3" t="s">
        <v>910</v>
      </c>
      <c r="I261" s="3" t="s">
        <v>56</v>
      </c>
      <c r="J261" s="7" t="n">
        <v>950000</v>
      </c>
      <c r="K261" s="3" t="s">
        <v>337</v>
      </c>
      <c r="L261" s="7" t="n">
        <v>15085.46</v>
      </c>
      <c r="M261" s="7" t="n">
        <v>1885.68</v>
      </c>
      <c r="N261" s="7" t="n">
        <v>1885.68</v>
      </c>
      <c r="O261" s="7" t="n">
        <v>11314.1</v>
      </c>
      <c r="P261" s="7" t="n">
        <v>1131.41</v>
      </c>
      <c r="Q261" s="7" t="n">
        <v>1131.41</v>
      </c>
      <c r="R261" s="7" t="n">
        <v>1131.41</v>
      </c>
      <c r="S261" s="7" t="n">
        <v>1131.41</v>
      </c>
      <c r="T261" s="7" t="n">
        <v>1131.41</v>
      </c>
      <c r="U261" s="7" t="n">
        <v>1131.41</v>
      </c>
      <c r="V261" s="7" t="n">
        <v>1131.41</v>
      </c>
      <c r="W261" s="7" t="n">
        <v>1131.41</v>
      </c>
      <c r="X261" s="7" t="n">
        <v>1131.41</v>
      </c>
      <c r="Y261" s="7" t="n">
        <v>1131.41</v>
      </c>
      <c r="Z261" s="7" t="n">
        <v>350</v>
      </c>
      <c r="AA261" s="7" t="n">
        <v>0</v>
      </c>
      <c r="AB261" s="7" t="n">
        <v>350</v>
      </c>
    </row>
    <row r="262" customFormat="false" ht="15" hidden="false" customHeight="false" outlineLevel="0" collapsed="false">
      <c r="A262" s="8" t="s">
        <v>911</v>
      </c>
      <c r="B262" s="8" t="s">
        <v>395</v>
      </c>
      <c r="C262" s="8" t="s">
        <v>306</v>
      </c>
      <c r="D262" s="8" t="s">
        <v>307</v>
      </c>
      <c r="E262" s="8" t="n">
        <v>2022</v>
      </c>
      <c r="F262" s="8" t="s">
        <v>53</v>
      </c>
      <c r="G262" s="8" t="s">
        <v>54</v>
      </c>
      <c r="H262" s="8" t="s">
        <v>912</v>
      </c>
      <c r="I262" s="8" t="s">
        <v>56</v>
      </c>
      <c r="J262" s="9" t="n">
        <v>725000</v>
      </c>
      <c r="K262" s="8" t="s">
        <v>122</v>
      </c>
      <c r="L262" s="9" t="n">
        <v>11768.43</v>
      </c>
      <c r="M262" s="9" t="n">
        <v>1471.05</v>
      </c>
      <c r="N262" s="9" t="n">
        <v>1471.05</v>
      </c>
      <c r="O262" s="9" t="n">
        <v>8826.3</v>
      </c>
      <c r="P262" s="9" t="n">
        <v>882.63</v>
      </c>
      <c r="Q262" s="9" t="n">
        <v>882.63</v>
      </c>
      <c r="R262" s="9" t="n">
        <v>882.63</v>
      </c>
      <c r="S262" s="9" t="n">
        <v>882.63</v>
      </c>
      <c r="T262" s="9" t="n">
        <v>882.63</v>
      </c>
      <c r="U262" s="9" t="n">
        <v>882.63</v>
      </c>
      <c r="V262" s="9" t="n">
        <v>882.63</v>
      </c>
      <c r="W262" s="9" t="n">
        <v>882.63</v>
      </c>
      <c r="X262" s="9" t="n">
        <v>882.63</v>
      </c>
      <c r="Y262" s="9" t="n">
        <v>882.63</v>
      </c>
      <c r="Z262" s="9" t="n">
        <v>350</v>
      </c>
      <c r="AA262" s="9" t="n">
        <v>0</v>
      </c>
      <c r="AB262" s="9" t="n">
        <v>350</v>
      </c>
    </row>
    <row r="263" customFormat="false" ht="15" hidden="false" customHeight="false" outlineLevel="0" collapsed="false">
      <c r="A263" s="3" t="s">
        <v>913</v>
      </c>
      <c r="B263" s="3" t="s">
        <v>914</v>
      </c>
      <c r="C263" s="3" t="s">
        <v>42</v>
      </c>
      <c r="D263" s="3" t="s">
        <v>43</v>
      </c>
      <c r="E263" s="3" t="n">
        <v>2019</v>
      </c>
      <c r="F263" s="3" t="s">
        <v>70</v>
      </c>
      <c r="G263" s="3" t="s">
        <v>71</v>
      </c>
      <c r="H263" s="3" t="s">
        <v>915</v>
      </c>
      <c r="I263" s="3" t="s">
        <v>56</v>
      </c>
      <c r="J263" s="7" t="n">
        <v>495000</v>
      </c>
      <c r="K263" s="3" t="s">
        <v>210</v>
      </c>
      <c r="L263" s="7" t="n">
        <v>9069.6</v>
      </c>
      <c r="M263" s="7" t="n">
        <v>1133.7</v>
      </c>
      <c r="N263" s="7" t="n">
        <v>1133.7</v>
      </c>
      <c r="O263" s="7" t="n">
        <v>6802.2</v>
      </c>
      <c r="P263" s="7" t="n">
        <v>680.22</v>
      </c>
      <c r="Q263" s="7" t="n">
        <v>680.22</v>
      </c>
      <c r="R263" s="7" t="n">
        <v>680.22</v>
      </c>
      <c r="S263" s="7" t="n">
        <v>680.22</v>
      </c>
      <c r="T263" s="7" t="n">
        <v>680.22</v>
      </c>
      <c r="U263" s="7" t="n">
        <v>680.22</v>
      </c>
      <c r="V263" s="7" t="n">
        <v>680.22</v>
      </c>
      <c r="W263" s="7" t="n">
        <v>680.22</v>
      </c>
      <c r="X263" s="7" t="n">
        <v>680.22</v>
      </c>
      <c r="Y263" s="7" t="n">
        <v>680.22</v>
      </c>
      <c r="Z263" s="7" t="n">
        <v>350</v>
      </c>
      <c r="AA263" s="7" t="n">
        <v>0</v>
      </c>
      <c r="AB263" s="7" t="n">
        <v>350</v>
      </c>
    </row>
    <row r="264" customFormat="false" ht="15" hidden="false" customHeight="false" outlineLevel="0" collapsed="false">
      <c r="A264" s="8" t="s">
        <v>916</v>
      </c>
      <c r="B264" s="8" t="s">
        <v>897</v>
      </c>
      <c r="C264" s="8" t="s">
        <v>328</v>
      </c>
      <c r="D264" s="8" t="s">
        <v>329</v>
      </c>
      <c r="E264" s="8" t="n">
        <v>1982</v>
      </c>
      <c r="F264" s="8" t="s">
        <v>44</v>
      </c>
      <c r="G264" s="8" t="s">
        <v>45</v>
      </c>
      <c r="H264" s="8" t="s">
        <v>917</v>
      </c>
      <c r="I264" s="8" t="s">
        <v>47</v>
      </c>
      <c r="J264" s="9" t="n">
        <v>535000</v>
      </c>
      <c r="K264" s="8" t="s">
        <v>360</v>
      </c>
      <c r="L264" s="9" t="n">
        <v>10393.07</v>
      </c>
      <c r="M264" s="9" t="n">
        <v>1299.13</v>
      </c>
      <c r="N264" s="9" t="n">
        <v>1299.13</v>
      </c>
      <c r="O264" s="9" t="n">
        <v>7794.8</v>
      </c>
      <c r="P264" s="9" t="n">
        <v>779.48</v>
      </c>
      <c r="Q264" s="9" t="n">
        <v>779.48</v>
      </c>
      <c r="R264" s="9" t="n">
        <v>779.48</v>
      </c>
      <c r="S264" s="9" t="n">
        <v>779.48</v>
      </c>
      <c r="T264" s="9" t="n">
        <v>779.48</v>
      </c>
      <c r="U264" s="9" t="n">
        <v>779.48</v>
      </c>
      <c r="V264" s="9" t="n">
        <v>779.48</v>
      </c>
      <c r="W264" s="9" t="n">
        <v>779.48</v>
      </c>
      <c r="X264" s="9" t="n">
        <v>779.48</v>
      </c>
      <c r="Y264" s="9" t="n">
        <v>779.48</v>
      </c>
      <c r="Z264" s="9" t="n">
        <v>350</v>
      </c>
      <c r="AA264" s="9" t="n">
        <v>0</v>
      </c>
      <c r="AB264" s="9" t="n">
        <v>350</v>
      </c>
    </row>
    <row r="265" customFormat="false" ht="15" hidden="false" customHeight="false" outlineLevel="0" collapsed="false">
      <c r="A265" s="3" t="s">
        <v>918</v>
      </c>
      <c r="B265" s="3" t="s">
        <v>919</v>
      </c>
      <c r="C265" s="3" t="s">
        <v>125</v>
      </c>
      <c r="D265" s="3" t="s">
        <v>126</v>
      </c>
      <c r="E265" s="3" t="n">
        <v>2011</v>
      </c>
      <c r="F265" s="3" t="s">
        <v>53</v>
      </c>
      <c r="G265" s="3" t="s">
        <v>54</v>
      </c>
      <c r="H265" s="3" t="s">
        <v>920</v>
      </c>
      <c r="I265" s="3" t="s">
        <v>56</v>
      </c>
      <c r="J265" s="7" t="n">
        <v>720000</v>
      </c>
      <c r="K265" s="3" t="s">
        <v>379</v>
      </c>
      <c r="L265" s="7" t="n">
        <v>9231.25</v>
      </c>
      <c r="M265" s="7" t="n">
        <v>1153.91</v>
      </c>
      <c r="N265" s="7" t="n">
        <v>1153.91</v>
      </c>
      <c r="O265" s="7" t="n">
        <v>6923.4</v>
      </c>
      <c r="P265" s="7" t="n">
        <v>692.34</v>
      </c>
      <c r="Q265" s="7" t="n">
        <v>692.34</v>
      </c>
      <c r="R265" s="7" t="n">
        <v>692.34</v>
      </c>
      <c r="S265" s="7" t="n">
        <v>692.34</v>
      </c>
      <c r="T265" s="7" t="n">
        <v>692.34</v>
      </c>
      <c r="U265" s="7" t="n">
        <v>692.34</v>
      </c>
      <c r="V265" s="7" t="n">
        <v>692.34</v>
      </c>
      <c r="W265" s="7" t="n">
        <v>692.34</v>
      </c>
      <c r="X265" s="7" t="n">
        <v>692.34</v>
      </c>
      <c r="Y265" s="7" t="n">
        <v>692.34</v>
      </c>
      <c r="Z265" s="7" t="n">
        <v>350</v>
      </c>
      <c r="AA265" s="7" t="n">
        <v>0</v>
      </c>
      <c r="AB265" s="7" t="n">
        <v>350</v>
      </c>
    </row>
    <row r="266" customFormat="false" ht="15" hidden="false" customHeight="false" outlineLevel="0" collapsed="false">
      <c r="A266" s="8" t="s">
        <v>921</v>
      </c>
      <c r="B266" s="8" t="s">
        <v>846</v>
      </c>
      <c r="C266" s="8" t="s">
        <v>111</v>
      </c>
      <c r="D266" s="8" t="s">
        <v>112</v>
      </c>
      <c r="E266" s="8" t="n">
        <v>1967</v>
      </c>
      <c r="F266" s="8" t="s">
        <v>119</v>
      </c>
      <c r="G266" s="8" t="s">
        <v>120</v>
      </c>
      <c r="H266" s="8" t="s">
        <v>922</v>
      </c>
      <c r="I266" s="8" t="s">
        <v>56</v>
      </c>
      <c r="J266" s="9" t="n">
        <v>370000</v>
      </c>
      <c r="K266" s="8" t="s">
        <v>141</v>
      </c>
      <c r="L266" s="9" t="n">
        <v>6678.87</v>
      </c>
      <c r="M266" s="9" t="n">
        <v>834.86</v>
      </c>
      <c r="N266" s="9" t="n">
        <v>834.86</v>
      </c>
      <c r="O266" s="9" t="n">
        <v>5009.2</v>
      </c>
      <c r="P266" s="9" t="n">
        <v>500.92</v>
      </c>
      <c r="Q266" s="9" t="n">
        <v>500.92</v>
      </c>
      <c r="R266" s="9" t="n">
        <v>500.92</v>
      </c>
      <c r="S266" s="9" t="n">
        <v>500.92</v>
      </c>
      <c r="T266" s="9" t="n">
        <v>500.92</v>
      </c>
      <c r="U266" s="9" t="n">
        <v>500.92</v>
      </c>
      <c r="V266" s="9" t="n">
        <v>500.92</v>
      </c>
      <c r="W266" s="9" t="n">
        <v>500.92</v>
      </c>
      <c r="X266" s="9" t="n">
        <v>500.92</v>
      </c>
      <c r="Y266" s="9" t="n">
        <v>500.92</v>
      </c>
      <c r="Z266" s="9" t="n">
        <v>350</v>
      </c>
      <c r="AA266" s="9" t="n">
        <v>0</v>
      </c>
      <c r="AB266" s="9" t="n">
        <v>350</v>
      </c>
    </row>
    <row r="267" customFormat="false" ht="15" hidden="false" customHeight="false" outlineLevel="0" collapsed="false">
      <c r="A267" s="3" t="s">
        <v>923</v>
      </c>
      <c r="B267" s="3" t="s">
        <v>676</v>
      </c>
      <c r="C267" s="3" t="s">
        <v>131</v>
      </c>
      <c r="D267" s="3" t="s">
        <v>132</v>
      </c>
      <c r="E267" s="3" t="n">
        <v>1958</v>
      </c>
      <c r="F267" s="3" t="s">
        <v>53</v>
      </c>
      <c r="G267" s="3" t="s">
        <v>54</v>
      </c>
      <c r="H267" s="3" t="s">
        <v>924</v>
      </c>
      <c r="I267" s="3" t="s">
        <v>56</v>
      </c>
      <c r="J267" s="7" t="n">
        <v>385000</v>
      </c>
      <c r="K267" s="3" t="s">
        <v>319</v>
      </c>
      <c r="L267" s="7" t="n">
        <v>6636.11</v>
      </c>
      <c r="M267" s="7" t="n">
        <v>829.51</v>
      </c>
      <c r="N267" s="7" t="n">
        <v>829.51</v>
      </c>
      <c r="O267" s="7" t="n">
        <v>4977.1</v>
      </c>
      <c r="P267" s="7" t="n">
        <v>497.71</v>
      </c>
      <c r="Q267" s="7" t="n">
        <v>497.71</v>
      </c>
      <c r="R267" s="7" t="n">
        <v>497.71</v>
      </c>
      <c r="S267" s="7" t="n">
        <v>497.71</v>
      </c>
      <c r="T267" s="7" t="n">
        <v>497.71</v>
      </c>
      <c r="U267" s="7" t="n">
        <v>497.71</v>
      </c>
      <c r="V267" s="7" t="n">
        <v>497.71</v>
      </c>
      <c r="W267" s="7" t="n">
        <v>497.71</v>
      </c>
      <c r="X267" s="7" t="n">
        <v>497.71</v>
      </c>
      <c r="Y267" s="7" t="n">
        <v>497.71</v>
      </c>
      <c r="Z267" s="7" t="n">
        <v>350</v>
      </c>
      <c r="AA267" s="7" t="n">
        <v>0</v>
      </c>
      <c r="AB267" s="7" t="n">
        <v>350</v>
      </c>
    </row>
    <row r="268" customFormat="false" ht="15" hidden="false" customHeight="false" outlineLevel="0" collapsed="false">
      <c r="A268" s="8" t="s">
        <v>925</v>
      </c>
      <c r="B268" s="8" t="s">
        <v>926</v>
      </c>
      <c r="C268" s="8" t="s">
        <v>249</v>
      </c>
      <c r="D268" s="8" t="s">
        <v>250</v>
      </c>
      <c r="E268" s="8" t="n">
        <v>1997</v>
      </c>
      <c r="F268" s="8" t="s">
        <v>181</v>
      </c>
      <c r="G268" s="8" t="s">
        <v>182</v>
      </c>
      <c r="H268" s="8" t="s">
        <v>927</v>
      </c>
      <c r="I268" s="8" t="s">
        <v>47</v>
      </c>
      <c r="J268" s="9" t="n">
        <v>360000</v>
      </c>
      <c r="K268" s="8" t="s">
        <v>344</v>
      </c>
      <c r="L268" s="9" t="n">
        <v>9739.39</v>
      </c>
      <c r="M268" s="9" t="n">
        <v>1217.42</v>
      </c>
      <c r="N268" s="9" t="n">
        <v>1217.42</v>
      </c>
      <c r="O268" s="9" t="n">
        <v>7304.5</v>
      </c>
      <c r="P268" s="9" t="n">
        <v>730.45</v>
      </c>
      <c r="Q268" s="9" t="n">
        <v>730.45</v>
      </c>
      <c r="R268" s="9" t="n">
        <v>730.45</v>
      </c>
      <c r="S268" s="9" t="n">
        <v>730.45</v>
      </c>
      <c r="T268" s="9" t="n">
        <v>730.45</v>
      </c>
      <c r="U268" s="9" t="n">
        <v>730.45</v>
      </c>
      <c r="V268" s="9" t="n">
        <v>730.45</v>
      </c>
      <c r="W268" s="9" t="n">
        <v>730.45</v>
      </c>
      <c r="X268" s="9" t="n">
        <v>730.45</v>
      </c>
      <c r="Y268" s="9" t="n">
        <v>730.45</v>
      </c>
      <c r="Z268" s="9" t="n">
        <v>350</v>
      </c>
      <c r="AA268" s="9" t="n">
        <v>0</v>
      </c>
      <c r="AB268" s="9" t="n">
        <v>350</v>
      </c>
    </row>
    <row r="269" customFormat="false" ht="15" hidden="false" customHeight="false" outlineLevel="0" collapsed="false">
      <c r="A269" s="3" t="s">
        <v>928</v>
      </c>
      <c r="B269" s="3" t="s">
        <v>929</v>
      </c>
      <c r="C269" s="3" t="s">
        <v>374</v>
      </c>
      <c r="D269" s="3" t="s">
        <v>375</v>
      </c>
      <c r="E269" s="3" t="n">
        <v>2004</v>
      </c>
      <c r="F269" s="3" t="s">
        <v>119</v>
      </c>
      <c r="G269" s="3" t="s">
        <v>120</v>
      </c>
      <c r="H269" s="3" t="s">
        <v>930</v>
      </c>
      <c r="I269" s="3" t="s">
        <v>56</v>
      </c>
      <c r="J269" s="7" t="n">
        <v>355000</v>
      </c>
      <c r="K269" s="3" t="s">
        <v>540</v>
      </c>
      <c r="L269" s="7" t="n">
        <v>4577.22</v>
      </c>
      <c r="M269" s="7" t="n">
        <v>572.15</v>
      </c>
      <c r="N269" s="7" t="n">
        <v>572.15</v>
      </c>
      <c r="O269" s="7" t="n">
        <v>3432.9</v>
      </c>
      <c r="P269" s="7" t="n">
        <v>343.29</v>
      </c>
      <c r="Q269" s="7" t="n">
        <v>343.29</v>
      </c>
      <c r="R269" s="7" t="n">
        <v>343.29</v>
      </c>
      <c r="S269" s="7" t="n">
        <v>343.29</v>
      </c>
      <c r="T269" s="7" t="n">
        <v>343.29</v>
      </c>
      <c r="U269" s="7" t="n">
        <v>343.29</v>
      </c>
      <c r="V269" s="7" t="n">
        <v>343.29</v>
      </c>
      <c r="W269" s="7" t="n">
        <v>343.29</v>
      </c>
      <c r="X269" s="7" t="n">
        <v>343.29</v>
      </c>
      <c r="Y269" s="7" t="n">
        <v>343.29</v>
      </c>
      <c r="Z269" s="7" t="n">
        <v>350</v>
      </c>
      <c r="AA269" s="7" t="n">
        <v>0</v>
      </c>
      <c r="AB269" s="7" t="n">
        <v>350</v>
      </c>
    </row>
    <row r="270" customFormat="false" ht="15" hidden="false" customHeight="false" outlineLevel="0" collapsed="false">
      <c r="A270" s="8" t="s">
        <v>931</v>
      </c>
      <c r="B270" s="8" t="s">
        <v>932</v>
      </c>
      <c r="C270" s="8" t="s">
        <v>76</v>
      </c>
      <c r="D270" s="8" t="s">
        <v>77</v>
      </c>
      <c r="E270" s="8" t="n">
        <v>1956</v>
      </c>
      <c r="F270" s="8" t="s">
        <v>62</v>
      </c>
      <c r="G270" s="8" t="s">
        <v>98</v>
      </c>
      <c r="H270" s="8" t="s">
        <v>933</v>
      </c>
      <c r="I270" s="8" t="s">
        <v>47</v>
      </c>
      <c r="J270" s="9" t="n">
        <v>700000</v>
      </c>
      <c r="K270" s="8" t="s">
        <v>170</v>
      </c>
      <c r="L270" s="9" t="n">
        <v>15042.49</v>
      </c>
      <c r="M270" s="9" t="n">
        <v>1880.31</v>
      </c>
      <c r="N270" s="9" t="n">
        <v>1880.31</v>
      </c>
      <c r="O270" s="9" t="n">
        <v>11281.9</v>
      </c>
      <c r="P270" s="9" t="n">
        <v>1128.19</v>
      </c>
      <c r="Q270" s="9" t="n">
        <v>1128.19</v>
      </c>
      <c r="R270" s="9" t="n">
        <v>1128.19</v>
      </c>
      <c r="S270" s="9" t="n">
        <v>1128.19</v>
      </c>
      <c r="T270" s="9" t="n">
        <v>1128.19</v>
      </c>
      <c r="U270" s="9" t="n">
        <v>1128.19</v>
      </c>
      <c r="V270" s="9" t="n">
        <v>1128.19</v>
      </c>
      <c r="W270" s="9" t="n">
        <v>1128.19</v>
      </c>
      <c r="X270" s="9" t="n">
        <v>1128.19</v>
      </c>
      <c r="Y270" s="9" t="n">
        <v>1128.19</v>
      </c>
      <c r="Z270" s="9" t="n">
        <v>350</v>
      </c>
      <c r="AA270" s="9" t="n">
        <v>0</v>
      </c>
      <c r="AB270" s="9" t="n">
        <v>350</v>
      </c>
    </row>
    <row r="271" customFormat="false" ht="15" hidden="false" customHeight="false" outlineLevel="0" collapsed="false">
      <c r="A271" s="3" t="s">
        <v>934</v>
      </c>
      <c r="B271" s="3" t="s">
        <v>935</v>
      </c>
      <c r="C271" s="3" t="s">
        <v>125</v>
      </c>
      <c r="D271" s="3" t="s">
        <v>126</v>
      </c>
      <c r="E271" s="3" t="n">
        <v>1982</v>
      </c>
      <c r="F271" s="3" t="s">
        <v>53</v>
      </c>
      <c r="G271" s="3" t="s">
        <v>54</v>
      </c>
      <c r="H271" s="3" t="s">
        <v>936</v>
      </c>
      <c r="I271" s="3" t="s">
        <v>56</v>
      </c>
      <c r="J271" s="7" t="n">
        <v>245000</v>
      </c>
      <c r="K271" s="3" t="s">
        <v>496</v>
      </c>
      <c r="L271" s="7" t="n">
        <v>5302.56</v>
      </c>
      <c r="M271" s="7" t="n">
        <v>662.82</v>
      </c>
      <c r="N271" s="7" t="n">
        <v>662.82</v>
      </c>
      <c r="O271" s="7" t="n">
        <v>3976.9</v>
      </c>
      <c r="P271" s="7" t="n">
        <v>397.69</v>
      </c>
      <c r="Q271" s="7" t="n">
        <v>397.69</v>
      </c>
      <c r="R271" s="7" t="n">
        <v>397.69</v>
      </c>
      <c r="S271" s="7" t="n">
        <v>397.69</v>
      </c>
      <c r="T271" s="7" t="n">
        <v>397.69</v>
      </c>
      <c r="U271" s="7" t="n">
        <v>397.69</v>
      </c>
      <c r="V271" s="7" t="n">
        <v>397.69</v>
      </c>
      <c r="W271" s="7" t="n">
        <v>397.69</v>
      </c>
      <c r="X271" s="7" t="n">
        <v>397.69</v>
      </c>
      <c r="Y271" s="7" t="n">
        <v>397.69</v>
      </c>
      <c r="Z271" s="7" t="n">
        <v>350</v>
      </c>
      <c r="AA271" s="7" t="n">
        <v>0</v>
      </c>
      <c r="AB271" s="7" t="n">
        <v>350</v>
      </c>
    </row>
    <row r="272" customFormat="false" ht="15" hidden="false" customHeight="false" outlineLevel="0" collapsed="false">
      <c r="A272" s="8" t="s">
        <v>937</v>
      </c>
      <c r="B272" s="8" t="s">
        <v>938</v>
      </c>
      <c r="C272" s="8" t="s">
        <v>76</v>
      </c>
      <c r="D272" s="8" t="s">
        <v>77</v>
      </c>
      <c r="E272" s="8" t="n">
        <v>1990</v>
      </c>
      <c r="F272" s="8" t="s">
        <v>53</v>
      </c>
      <c r="G272" s="8" t="s">
        <v>54</v>
      </c>
      <c r="H272" s="8" t="s">
        <v>939</v>
      </c>
      <c r="I272" s="8" t="s">
        <v>56</v>
      </c>
      <c r="J272" s="9" t="n">
        <v>370000</v>
      </c>
      <c r="K272" s="8" t="s">
        <v>940</v>
      </c>
      <c r="L272" s="9" t="n">
        <v>5122.14</v>
      </c>
      <c r="M272" s="9" t="n">
        <v>640.27</v>
      </c>
      <c r="N272" s="9" t="n">
        <v>640.27</v>
      </c>
      <c r="O272" s="9" t="n">
        <v>3841.6</v>
      </c>
      <c r="P272" s="9" t="n">
        <v>384.16</v>
      </c>
      <c r="Q272" s="9" t="n">
        <v>384.16</v>
      </c>
      <c r="R272" s="9" t="n">
        <v>384.16</v>
      </c>
      <c r="S272" s="9" t="n">
        <v>384.16</v>
      </c>
      <c r="T272" s="9" t="n">
        <v>384.16</v>
      </c>
      <c r="U272" s="9" t="n">
        <v>384.16</v>
      </c>
      <c r="V272" s="9" t="n">
        <v>384.16</v>
      </c>
      <c r="W272" s="9" t="n">
        <v>384.16</v>
      </c>
      <c r="X272" s="9" t="n">
        <v>384.16</v>
      </c>
      <c r="Y272" s="9" t="n">
        <v>384.16</v>
      </c>
      <c r="Z272" s="9" t="n">
        <v>350</v>
      </c>
      <c r="AA272" s="9" t="n">
        <v>0</v>
      </c>
      <c r="AB272" s="9" t="n">
        <v>350</v>
      </c>
    </row>
    <row r="273" customFormat="false" ht="15" hidden="false" customHeight="false" outlineLevel="0" collapsed="false">
      <c r="A273" s="3" t="s">
        <v>941</v>
      </c>
      <c r="B273" s="3" t="s">
        <v>143</v>
      </c>
      <c r="C273" s="3" t="s">
        <v>60</v>
      </c>
      <c r="D273" s="3" t="s">
        <v>61</v>
      </c>
      <c r="E273" s="3" t="n">
        <v>1965</v>
      </c>
      <c r="F273" s="3" t="s">
        <v>113</v>
      </c>
      <c r="G273" s="3" t="s">
        <v>114</v>
      </c>
      <c r="H273" s="3" t="s">
        <v>942</v>
      </c>
      <c r="I273" s="3" t="s">
        <v>56</v>
      </c>
      <c r="J273" s="7" t="n">
        <v>490000</v>
      </c>
      <c r="K273" s="3" t="s">
        <v>210</v>
      </c>
      <c r="L273" s="7" t="n">
        <v>8977.99</v>
      </c>
      <c r="M273" s="7" t="n">
        <v>1122.25</v>
      </c>
      <c r="N273" s="7" t="n">
        <v>1122.25</v>
      </c>
      <c r="O273" s="7" t="n">
        <v>6733.5</v>
      </c>
      <c r="P273" s="7" t="n">
        <v>673.35</v>
      </c>
      <c r="Q273" s="7" t="n">
        <v>673.35</v>
      </c>
      <c r="R273" s="7" t="n">
        <v>673.35</v>
      </c>
      <c r="S273" s="7" t="n">
        <v>673.35</v>
      </c>
      <c r="T273" s="7" t="n">
        <v>673.35</v>
      </c>
      <c r="U273" s="7" t="n">
        <v>673.35</v>
      </c>
      <c r="V273" s="7" t="n">
        <v>673.35</v>
      </c>
      <c r="W273" s="7" t="n">
        <v>673.35</v>
      </c>
      <c r="X273" s="7" t="n">
        <v>673.35</v>
      </c>
      <c r="Y273" s="7" t="n">
        <v>673.35</v>
      </c>
      <c r="Z273" s="7" t="n">
        <v>350</v>
      </c>
      <c r="AA273" s="7" t="n">
        <v>0</v>
      </c>
      <c r="AB273" s="7" t="n">
        <v>350</v>
      </c>
    </row>
    <row r="274" customFormat="false" ht="15" hidden="false" customHeight="false" outlineLevel="0" collapsed="false">
      <c r="A274" s="8" t="s">
        <v>943</v>
      </c>
      <c r="B274" s="8" t="s">
        <v>824</v>
      </c>
      <c r="C274" s="8" t="s">
        <v>163</v>
      </c>
      <c r="D274" s="8" t="s">
        <v>164</v>
      </c>
      <c r="E274" s="8" t="n">
        <v>1988</v>
      </c>
      <c r="F274" s="8" t="s">
        <v>70</v>
      </c>
      <c r="G274" s="8" t="s">
        <v>71</v>
      </c>
      <c r="H274" s="8" t="s">
        <v>944</v>
      </c>
      <c r="I274" s="8" t="s">
        <v>56</v>
      </c>
      <c r="J274" s="9" t="n">
        <v>390000</v>
      </c>
      <c r="K274" s="8" t="s">
        <v>441</v>
      </c>
      <c r="L274" s="9" t="n">
        <v>5081.42</v>
      </c>
      <c r="M274" s="9" t="n">
        <v>635.18</v>
      </c>
      <c r="N274" s="9" t="n">
        <v>635.18</v>
      </c>
      <c r="O274" s="9" t="n">
        <v>3811.1</v>
      </c>
      <c r="P274" s="9" t="n">
        <v>381.11</v>
      </c>
      <c r="Q274" s="9" t="n">
        <v>381.11</v>
      </c>
      <c r="R274" s="9" t="n">
        <v>381.11</v>
      </c>
      <c r="S274" s="9" t="n">
        <v>381.11</v>
      </c>
      <c r="T274" s="9" t="n">
        <v>381.11</v>
      </c>
      <c r="U274" s="9" t="n">
        <v>381.11</v>
      </c>
      <c r="V274" s="9" t="n">
        <v>381.11</v>
      </c>
      <c r="W274" s="9" t="n">
        <v>381.11</v>
      </c>
      <c r="X274" s="9" t="n">
        <v>381.11</v>
      </c>
      <c r="Y274" s="9" t="n">
        <v>381.11</v>
      </c>
      <c r="Z274" s="9" t="n">
        <v>350</v>
      </c>
      <c r="AA274" s="9" t="n">
        <v>0</v>
      </c>
      <c r="AB274" s="9" t="n">
        <v>350</v>
      </c>
    </row>
    <row r="275" customFormat="false" ht="15" hidden="false" customHeight="false" outlineLevel="0" collapsed="false">
      <c r="A275" s="3" t="s">
        <v>945</v>
      </c>
      <c r="B275" s="3" t="s">
        <v>946</v>
      </c>
      <c r="C275" s="3" t="s">
        <v>156</v>
      </c>
      <c r="D275" s="3" t="s">
        <v>157</v>
      </c>
      <c r="E275" s="3" t="n">
        <v>2002</v>
      </c>
      <c r="F275" s="3" t="s">
        <v>173</v>
      </c>
      <c r="G275" s="3" t="s">
        <v>174</v>
      </c>
      <c r="H275" s="3" t="s">
        <v>947</v>
      </c>
      <c r="I275" s="3" t="s">
        <v>107</v>
      </c>
      <c r="J275" s="7" t="n">
        <v>1190000</v>
      </c>
      <c r="K275" s="3" t="s">
        <v>461</v>
      </c>
      <c r="L275" s="7" t="n">
        <v>9165.08</v>
      </c>
      <c r="M275" s="7" t="n">
        <v>1145.63</v>
      </c>
      <c r="N275" s="7" t="n">
        <v>1145.63</v>
      </c>
      <c r="O275" s="7" t="n">
        <v>6873.8</v>
      </c>
      <c r="P275" s="7" t="n">
        <v>687.38</v>
      </c>
      <c r="Q275" s="7" t="n">
        <v>687.38</v>
      </c>
      <c r="R275" s="7" t="n">
        <v>687.38</v>
      </c>
      <c r="S275" s="7" t="n">
        <v>687.38</v>
      </c>
      <c r="T275" s="7" t="n">
        <v>687.38</v>
      </c>
      <c r="U275" s="7" t="n">
        <v>687.38</v>
      </c>
      <c r="V275" s="7" t="n">
        <v>687.38</v>
      </c>
      <c r="W275" s="7" t="n">
        <v>687.38</v>
      </c>
      <c r="X275" s="7" t="n">
        <v>687.38</v>
      </c>
      <c r="Y275" s="7" t="n">
        <v>687.38</v>
      </c>
      <c r="Z275" s="7" t="n">
        <v>350</v>
      </c>
      <c r="AA275" s="7" t="n">
        <v>250</v>
      </c>
      <c r="AB275" s="7" t="n">
        <v>600</v>
      </c>
    </row>
    <row r="276" customFormat="false" ht="15" hidden="false" customHeight="false" outlineLevel="0" collapsed="false">
      <c r="A276" s="8" t="s">
        <v>948</v>
      </c>
      <c r="B276" s="8" t="s">
        <v>949</v>
      </c>
      <c r="C276" s="8" t="s">
        <v>312</v>
      </c>
      <c r="D276" s="8" t="s">
        <v>313</v>
      </c>
      <c r="E276" s="8" t="n">
        <v>1978</v>
      </c>
      <c r="F276" s="8" t="s">
        <v>181</v>
      </c>
      <c r="G276" s="8" t="s">
        <v>182</v>
      </c>
      <c r="H276" s="8" t="s">
        <v>950</v>
      </c>
      <c r="I276" s="8" t="s">
        <v>47</v>
      </c>
      <c r="J276" s="9" t="n">
        <v>535000</v>
      </c>
      <c r="K276" s="8" t="s">
        <v>492</v>
      </c>
      <c r="L276" s="9" t="n">
        <v>11588.73</v>
      </c>
      <c r="M276" s="9" t="n">
        <v>1448.59</v>
      </c>
      <c r="N276" s="9" t="n">
        <v>1448.59</v>
      </c>
      <c r="O276" s="9" t="n">
        <v>8691.5</v>
      </c>
      <c r="P276" s="9" t="n">
        <v>869.15</v>
      </c>
      <c r="Q276" s="9" t="n">
        <v>869.15</v>
      </c>
      <c r="R276" s="9" t="n">
        <v>869.15</v>
      </c>
      <c r="S276" s="9" t="n">
        <v>869.15</v>
      </c>
      <c r="T276" s="9" t="n">
        <v>869.15</v>
      </c>
      <c r="U276" s="9" t="n">
        <v>869.15</v>
      </c>
      <c r="V276" s="9" t="n">
        <v>869.15</v>
      </c>
      <c r="W276" s="9" t="n">
        <v>869.15</v>
      </c>
      <c r="X276" s="9" t="n">
        <v>869.15</v>
      </c>
      <c r="Y276" s="9" t="n">
        <v>869.15</v>
      </c>
      <c r="Z276" s="9" t="n">
        <v>350</v>
      </c>
      <c r="AA276" s="9" t="n">
        <v>0</v>
      </c>
      <c r="AB276" s="9" t="n">
        <v>350</v>
      </c>
    </row>
    <row r="277" customFormat="false" ht="15" hidden="false" customHeight="false" outlineLevel="0" collapsed="false">
      <c r="A277" s="3" t="s">
        <v>951</v>
      </c>
      <c r="B277" s="3" t="s">
        <v>905</v>
      </c>
      <c r="C277" s="3" t="s">
        <v>156</v>
      </c>
      <c r="D277" s="3" t="s">
        <v>157</v>
      </c>
      <c r="E277" s="3" t="n">
        <v>2008</v>
      </c>
      <c r="F277" s="3" t="s">
        <v>158</v>
      </c>
      <c r="G277" s="3" t="s">
        <v>159</v>
      </c>
      <c r="H277" s="3" t="s">
        <v>952</v>
      </c>
      <c r="I277" s="3" t="s">
        <v>56</v>
      </c>
      <c r="J277" s="7" t="n">
        <v>190000</v>
      </c>
      <c r="K277" s="3" t="s">
        <v>116</v>
      </c>
      <c r="L277" s="7" t="n">
        <v>3131.59</v>
      </c>
      <c r="M277" s="7" t="n">
        <v>391.45</v>
      </c>
      <c r="N277" s="7" t="n">
        <v>391.45</v>
      </c>
      <c r="O277" s="7" t="n">
        <v>2348.7</v>
      </c>
      <c r="P277" s="7" t="n">
        <v>234.87</v>
      </c>
      <c r="Q277" s="7" t="n">
        <v>234.87</v>
      </c>
      <c r="R277" s="7" t="n">
        <v>234.87</v>
      </c>
      <c r="S277" s="7" t="n">
        <v>234.87</v>
      </c>
      <c r="T277" s="7" t="n">
        <v>234.87</v>
      </c>
      <c r="U277" s="7" t="n">
        <v>234.87</v>
      </c>
      <c r="V277" s="7" t="n">
        <v>234.87</v>
      </c>
      <c r="W277" s="7" t="n">
        <v>234.87</v>
      </c>
      <c r="X277" s="7" t="n">
        <v>234.87</v>
      </c>
      <c r="Y277" s="7" t="n">
        <v>234.87</v>
      </c>
      <c r="Z277" s="7" t="n">
        <v>350</v>
      </c>
      <c r="AA277" s="7" t="n">
        <v>0</v>
      </c>
      <c r="AB277" s="7" t="n">
        <v>350</v>
      </c>
    </row>
    <row r="278" customFormat="false" ht="15" hidden="false" customHeight="false" outlineLevel="0" collapsed="false">
      <c r="A278" s="8" t="s">
        <v>953</v>
      </c>
      <c r="B278" s="8" t="s">
        <v>954</v>
      </c>
      <c r="C278" s="8" t="s">
        <v>328</v>
      </c>
      <c r="D278" s="8" t="s">
        <v>329</v>
      </c>
      <c r="E278" s="8" t="n">
        <v>2003</v>
      </c>
      <c r="F278" s="8" t="s">
        <v>181</v>
      </c>
      <c r="G278" s="8" t="s">
        <v>182</v>
      </c>
      <c r="H278" s="8" t="s">
        <v>955</v>
      </c>
      <c r="I278" s="8" t="s">
        <v>47</v>
      </c>
      <c r="J278" s="9" t="n">
        <v>825000</v>
      </c>
      <c r="K278" s="8" t="s">
        <v>229</v>
      </c>
      <c r="L278" s="9" t="n">
        <v>12906.46</v>
      </c>
      <c r="M278" s="9" t="n">
        <v>1613.31</v>
      </c>
      <c r="N278" s="9" t="n">
        <v>1613.31</v>
      </c>
      <c r="O278" s="9" t="n">
        <v>9679.8</v>
      </c>
      <c r="P278" s="9" t="n">
        <v>967.98</v>
      </c>
      <c r="Q278" s="9" t="n">
        <v>967.98</v>
      </c>
      <c r="R278" s="9" t="n">
        <v>967.98</v>
      </c>
      <c r="S278" s="9" t="n">
        <v>967.98</v>
      </c>
      <c r="T278" s="9" t="n">
        <v>967.98</v>
      </c>
      <c r="U278" s="9" t="n">
        <v>967.98</v>
      </c>
      <c r="V278" s="9" t="n">
        <v>967.98</v>
      </c>
      <c r="W278" s="9" t="n">
        <v>967.98</v>
      </c>
      <c r="X278" s="9" t="n">
        <v>967.98</v>
      </c>
      <c r="Y278" s="9" t="n">
        <v>967.98</v>
      </c>
      <c r="Z278" s="9" t="n">
        <v>350</v>
      </c>
      <c r="AA278" s="9" t="n">
        <v>0</v>
      </c>
      <c r="AB278" s="9" t="n">
        <v>350</v>
      </c>
    </row>
    <row r="279" customFormat="false" ht="15" hidden="false" customHeight="false" outlineLevel="0" collapsed="false">
      <c r="A279" s="3" t="s">
        <v>956</v>
      </c>
      <c r="B279" s="3" t="s">
        <v>649</v>
      </c>
      <c r="C279" s="3" t="s">
        <v>125</v>
      </c>
      <c r="D279" s="3" t="s">
        <v>126</v>
      </c>
      <c r="E279" s="3" t="n">
        <v>2022</v>
      </c>
      <c r="F279" s="3" t="s">
        <v>113</v>
      </c>
      <c r="G279" s="3" t="s">
        <v>114</v>
      </c>
      <c r="H279" s="3" t="s">
        <v>957</v>
      </c>
      <c r="I279" s="3" t="s">
        <v>56</v>
      </c>
      <c r="J279" s="7" t="n">
        <v>215000</v>
      </c>
      <c r="K279" s="3" t="s">
        <v>100</v>
      </c>
      <c r="L279" s="7" t="n">
        <v>4474.29</v>
      </c>
      <c r="M279" s="7" t="n">
        <v>559.29</v>
      </c>
      <c r="N279" s="7" t="n">
        <v>559.29</v>
      </c>
      <c r="O279" s="7" t="n">
        <v>3355.7</v>
      </c>
      <c r="P279" s="7" t="n">
        <v>335.57</v>
      </c>
      <c r="Q279" s="7" t="n">
        <v>335.57</v>
      </c>
      <c r="R279" s="7" t="n">
        <v>335.57</v>
      </c>
      <c r="S279" s="7" t="n">
        <v>335.57</v>
      </c>
      <c r="T279" s="7" t="n">
        <v>335.57</v>
      </c>
      <c r="U279" s="7" t="n">
        <v>335.57</v>
      </c>
      <c r="V279" s="7" t="n">
        <v>335.57</v>
      </c>
      <c r="W279" s="7" t="n">
        <v>335.57</v>
      </c>
      <c r="X279" s="7" t="n">
        <v>335.57</v>
      </c>
      <c r="Y279" s="7" t="n">
        <v>335.57</v>
      </c>
      <c r="Z279" s="7" t="n">
        <v>350</v>
      </c>
      <c r="AA279" s="7" t="n">
        <v>0</v>
      </c>
      <c r="AB279" s="7" t="n">
        <v>350</v>
      </c>
    </row>
    <row r="280" customFormat="false" ht="15" hidden="false" customHeight="false" outlineLevel="0" collapsed="false">
      <c r="A280" s="8" t="s">
        <v>958</v>
      </c>
      <c r="B280" s="8" t="s">
        <v>959</v>
      </c>
      <c r="C280" s="8" t="s">
        <v>306</v>
      </c>
      <c r="D280" s="8" t="s">
        <v>307</v>
      </c>
      <c r="E280" s="8" t="n">
        <v>2016</v>
      </c>
      <c r="F280" s="8" t="s">
        <v>158</v>
      </c>
      <c r="G280" s="8" t="s">
        <v>159</v>
      </c>
      <c r="H280" s="8" t="s">
        <v>960</v>
      </c>
      <c r="I280" s="8" t="s">
        <v>56</v>
      </c>
      <c r="J280" s="9" t="n">
        <v>105000</v>
      </c>
      <c r="K280" s="8" t="s">
        <v>48</v>
      </c>
      <c r="L280" s="9" t="n">
        <v>1887.94</v>
      </c>
      <c r="M280" s="9" t="n">
        <v>235.99</v>
      </c>
      <c r="N280" s="9" t="n">
        <v>235.99</v>
      </c>
      <c r="O280" s="9" t="n">
        <v>1416</v>
      </c>
      <c r="P280" s="9" t="n">
        <v>141.6</v>
      </c>
      <c r="Q280" s="9" t="n">
        <v>141.6</v>
      </c>
      <c r="R280" s="9" t="n">
        <v>141.6</v>
      </c>
      <c r="S280" s="9" t="n">
        <v>141.6</v>
      </c>
      <c r="T280" s="9" t="n">
        <v>141.6</v>
      </c>
      <c r="U280" s="9" t="n">
        <v>141.6</v>
      </c>
      <c r="V280" s="9" t="n">
        <v>141.6</v>
      </c>
      <c r="W280" s="9" t="n">
        <v>141.6</v>
      </c>
      <c r="X280" s="9" t="n">
        <v>141.6</v>
      </c>
      <c r="Y280" s="9" t="n">
        <v>141.6</v>
      </c>
      <c r="Z280" s="9" t="n">
        <v>350</v>
      </c>
      <c r="AA280" s="9" t="n">
        <v>0</v>
      </c>
      <c r="AB280" s="9" t="n">
        <v>350</v>
      </c>
    </row>
    <row r="281" customFormat="false" ht="15" hidden="false" customHeight="false" outlineLevel="0" collapsed="false">
      <c r="A281" s="3" t="s">
        <v>961</v>
      </c>
      <c r="B281" s="3" t="s">
        <v>929</v>
      </c>
      <c r="C281" s="3" t="s">
        <v>76</v>
      </c>
      <c r="D281" s="3" t="s">
        <v>77</v>
      </c>
      <c r="E281" s="3" t="n">
        <v>2023</v>
      </c>
      <c r="F281" s="3" t="s">
        <v>270</v>
      </c>
      <c r="G281" s="3" t="s">
        <v>271</v>
      </c>
      <c r="H281" s="3" t="s">
        <v>962</v>
      </c>
      <c r="I281" s="3" t="s">
        <v>273</v>
      </c>
      <c r="J281" s="7" t="n">
        <v>610000</v>
      </c>
      <c r="K281" s="3" t="s">
        <v>108</v>
      </c>
      <c r="L281" s="7" t="n">
        <v>5704.8</v>
      </c>
      <c r="M281" s="7" t="n">
        <v>713.1</v>
      </c>
      <c r="N281" s="7" t="n">
        <v>713.1</v>
      </c>
      <c r="O281" s="7" t="n">
        <v>4278.6</v>
      </c>
      <c r="P281" s="7" t="n">
        <v>427.86</v>
      </c>
      <c r="Q281" s="7" t="n">
        <v>427.86</v>
      </c>
      <c r="R281" s="7" t="n">
        <v>427.86</v>
      </c>
      <c r="S281" s="7" t="n">
        <v>427.86</v>
      </c>
      <c r="T281" s="7" t="n">
        <v>427.86</v>
      </c>
      <c r="U281" s="7" t="n">
        <v>427.86</v>
      </c>
      <c r="V281" s="7" t="n">
        <v>427.86</v>
      </c>
      <c r="W281" s="7" t="n">
        <v>427.86</v>
      </c>
      <c r="X281" s="7" t="n">
        <v>427.86</v>
      </c>
      <c r="Y281" s="7" t="n">
        <v>427.86</v>
      </c>
      <c r="Z281" s="7" t="n">
        <v>350</v>
      </c>
      <c r="AA281" s="7" t="n">
        <v>0</v>
      </c>
      <c r="AB281" s="7" t="n">
        <v>350</v>
      </c>
    </row>
    <row r="282" customFormat="false" ht="15" hidden="false" customHeight="false" outlineLevel="0" collapsed="false">
      <c r="A282" s="8" t="s">
        <v>963</v>
      </c>
      <c r="B282" s="8" t="s">
        <v>964</v>
      </c>
      <c r="C282" s="8" t="s">
        <v>87</v>
      </c>
      <c r="D282" s="8" t="s">
        <v>88</v>
      </c>
      <c r="E282" s="8" t="n">
        <v>1982</v>
      </c>
      <c r="F282" s="8" t="s">
        <v>376</v>
      </c>
      <c r="G282" s="8" t="s">
        <v>377</v>
      </c>
      <c r="H282" s="8" t="s">
        <v>965</v>
      </c>
      <c r="I282" s="8" t="s">
        <v>92</v>
      </c>
      <c r="J282" s="9" t="n">
        <v>690000</v>
      </c>
      <c r="K282" s="8" t="s">
        <v>93</v>
      </c>
      <c r="L282" s="9" t="n">
        <v>15096.05</v>
      </c>
      <c r="M282" s="9" t="n">
        <v>1887.01</v>
      </c>
      <c r="N282" s="9" t="n">
        <v>1887.01</v>
      </c>
      <c r="O282" s="9" t="n">
        <v>11322</v>
      </c>
      <c r="P282" s="9" t="n">
        <v>1132.2</v>
      </c>
      <c r="Q282" s="9" t="n">
        <v>1132.2</v>
      </c>
      <c r="R282" s="9" t="n">
        <v>1132.2</v>
      </c>
      <c r="S282" s="9" t="n">
        <v>1132.2</v>
      </c>
      <c r="T282" s="9" t="n">
        <v>1132.2</v>
      </c>
      <c r="U282" s="9" t="n">
        <v>1132.2</v>
      </c>
      <c r="V282" s="9" t="n">
        <v>1132.2</v>
      </c>
      <c r="W282" s="9" t="n">
        <v>1132.2</v>
      </c>
      <c r="X282" s="9" t="n">
        <v>1132.2</v>
      </c>
      <c r="Y282" s="9" t="n">
        <v>1132.2</v>
      </c>
      <c r="Z282" s="9" t="n">
        <v>350</v>
      </c>
      <c r="AA282" s="9" t="n">
        <v>0</v>
      </c>
      <c r="AB282" s="9" t="n">
        <v>350</v>
      </c>
    </row>
    <row r="283" customFormat="false" ht="15" hidden="false" customHeight="false" outlineLevel="0" collapsed="false">
      <c r="A283" s="3" t="s">
        <v>966</v>
      </c>
      <c r="B283" s="3" t="s">
        <v>784</v>
      </c>
      <c r="C283" s="3" t="s">
        <v>328</v>
      </c>
      <c r="D283" s="3" t="s">
        <v>329</v>
      </c>
      <c r="E283" s="3" t="n">
        <v>2022</v>
      </c>
      <c r="F283" s="3" t="s">
        <v>424</v>
      </c>
      <c r="G283" s="3" t="s">
        <v>425</v>
      </c>
      <c r="H283" s="3" t="s">
        <v>967</v>
      </c>
      <c r="I283" s="3" t="s">
        <v>273</v>
      </c>
      <c r="J283" s="7" t="n">
        <v>1135000</v>
      </c>
      <c r="K283" s="3" t="s">
        <v>540</v>
      </c>
      <c r="L283" s="7" t="n">
        <v>6634.17</v>
      </c>
      <c r="M283" s="7" t="n">
        <v>829.27</v>
      </c>
      <c r="N283" s="7" t="n">
        <v>829.27</v>
      </c>
      <c r="O283" s="7" t="n">
        <v>4975.6</v>
      </c>
      <c r="P283" s="7" t="n">
        <v>497.56</v>
      </c>
      <c r="Q283" s="7" t="n">
        <v>497.56</v>
      </c>
      <c r="R283" s="7" t="n">
        <v>497.56</v>
      </c>
      <c r="S283" s="7" t="n">
        <v>497.56</v>
      </c>
      <c r="T283" s="7" t="n">
        <v>497.56</v>
      </c>
      <c r="U283" s="7" t="n">
        <v>497.56</v>
      </c>
      <c r="V283" s="7" t="n">
        <v>497.56</v>
      </c>
      <c r="W283" s="7" t="n">
        <v>497.56</v>
      </c>
      <c r="X283" s="7" t="n">
        <v>497.56</v>
      </c>
      <c r="Y283" s="7" t="n">
        <v>497.56</v>
      </c>
      <c r="Z283" s="7" t="n">
        <v>350</v>
      </c>
      <c r="AA283" s="7" t="n">
        <v>250</v>
      </c>
      <c r="AB283" s="7" t="n">
        <v>600</v>
      </c>
    </row>
    <row r="284" customFormat="false" ht="15" hidden="false" customHeight="false" outlineLevel="0" collapsed="false">
      <c r="A284" s="8" t="s">
        <v>968</v>
      </c>
      <c r="B284" s="8" t="s">
        <v>969</v>
      </c>
      <c r="C284" s="8" t="s">
        <v>103</v>
      </c>
      <c r="D284" s="8" t="s">
        <v>104</v>
      </c>
      <c r="E284" s="8" t="n">
        <v>1961</v>
      </c>
      <c r="F284" s="8" t="s">
        <v>158</v>
      </c>
      <c r="G284" s="8" t="s">
        <v>159</v>
      </c>
      <c r="H284" s="8" t="s">
        <v>970</v>
      </c>
      <c r="I284" s="8" t="s">
        <v>56</v>
      </c>
      <c r="J284" s="9" t="n">
        <v>390000</v>
      </c>
      <c r="K284" s="8" t="s">
        <v>217</v>
      </c>
      <c r="L284" s="9" t="n">
        <v>5187.28</v>
      </c>
      <c r="M284" s="9" t="n">
        <v>648.41</v>
      </c>
      <c r="N284" s="9" t="n">
        <v>648.41</v>
      </c>
      <c r="O284" s="9" t="n">
        <v>3890.5</v>
      </c>
      <c r="P284" s="9" t="n">
        <v>389.05</v>
      </c>
      <c r="Q284" s="9" t="n">
        <v>389.05</v>
      </c>
      <c r="R284" s="9" t="n">
        <v>389.05</v>
      </c>
      <c r="S284" s="9" t="n">
        <v>389.05</v>
      </c>
      <c r="T284" s="9" t="n">
        <v>389.05</v>
      </c>
      <c r="U284" s="9" t="n">
        <v>389.05</v>
      </c>
      <c r="V284" s="9" t="n">
        <v>389.05</v>
      </c>
      <c r="W284" s="9" t="n">
        <v>389.05</v>
      </c>
      <c r="X284" s="9" t="n">
        <v>389.05</v>
      </c>
      <c r="Y284" s="9" t="n">
        <v>389.05</v>
      </c>
      <c r="Z284" s="9" t="n">
        <v>350</v>
      </c>
      <c r="AA284" s="9" t="n">
        <v>0</v>
      </c>
      <c r="AB284" s="9" t="n">
        <v>350</v>
      </c>
    </row>
    <row r="285" customFormat="false" ht="15" hidden="false" customHeight="false" outlineLevel="0" collapsed="false">
      <c r="A285" s="3" t="s">
        <v>971</v>
      </c>
      <c r="B285" s="3" t="s">
        <v>972</v>
      </c>
      <c r="C285" s="3" t="s">
        <v>103</v>
      </c>
      <c r="D285" s="3" t="s">
        <v>104</v>
      </c>
      <c r="E285" s="3" t="n">
        <v>1979</v>
      </c>
      <c r="F285" s="3" t="s">
        <v>220</v>
      </c>
      <c r="G285" s="3" t="s">
        <v>221</v>
      </c>
      <c r="H285" s="3" t="s">
        <v>973</v>
      </c>
      <c r="I285" s="3" t="s">
        <v>92</v>
      </c>
      <c r="J285" s="7" t="n">
        <v>555000</v>
      </c>
      <c r="K285" s="3" t="s">
        <v>315</v>
      </c>
      <c r="L285" s="7" t="n">
        <v>10340.69</v>
      </c>
      <c r="M285" s="7" t="n">
        <v>1292.59</v>
      </c>
      <c r="N285" s="7" t="n">
        <v>1292.59</v>
      </c>
      <c r="O285" s="7" t="n">
        <v>7755.5</v>
      </c>
      <c r="P285" s="7" t="n">
        <v>775.55</v>
      </c>
      <c r="Q285" s="7" t="n">
        <v>775.55</v>
      </c>
      <c r="R285" s="7" t="n">
        <v>775.55</v>
      </c>
      <c r="S285" s="7" t="n">
        <v>775.55</v>
      </c>
      <c r="T285" s="7" t="n">
        <v>775.55</v>
      </c>
      <c r="U285" s="7" t="n">
        <v>775.55</v>
      </c>
      <c r="V285" s="7" t="n">
        <v>775.55</v>
      </c>
      <c r="W285" s="7" t="n">
        <v>775.55</v>
      </c>
      <c r="X285" s="7" t="n">
        <v>775.55</v>
      </c>
      <c r="Y285" s="7" t="n">
        <v>775.55</v>
      </c>
      <c r="Z285" s="7" t="n">
        <v>350</v>
      </c>
      <c r="AA285" s="7" t="n">
        <v>0</v>
      </c>
      <c r="AB285" s="7" t="n">
        <v>350</v>
      </c>
    </row>
    <row r="286" customFormat="false" ht="15" hidden="false" customHeight="false" outlineLevel="0" collapsed="false">
      <c r="A286" s="8" t="s">
        <v>974</v>
      </c>
      <c r="B286" s="8" t="s">
        <v>846</v>
      </c>
      <c r="C286" s="8" t="s">
        <v>163</v>
      </c>
      <c r="D286" s="8" t="s">
        <v>164</v>
      </c>
      <c r="E286" s="8" t="n">
        <v>1992</v>
      </c>
      <c r="F286" s="8" t="s">
        <v>146</v>
      </c>
      <c r="G286" s="8" t="s">
        <v>147</v>
      </c>
      <c r="H286" s="8" t="s">
        <v>975</v>
      </c>
      <c r="I286" s="8" t="s">
        <v>56</v>
      </c>
      <c r="J286" s="9" t="n">
        <v>595000</v>
      </c>
      <c r="K286" s="8" t="s">
        <v>65</v>
      </c>
      <c r="L286" s="9" t="n">
        <v>6998.72</v>
      </c>
      <c r="M286" s="9" t="n">
        <v>874.84</v>
      </c>
      <c r="N286" s="9" t="n">
        <v>874.84</v>
      </c>
      <c r="O286" s="9" t="n">
        <v>5249</v>
      </c>
      <c r="P286" s="9" t="n">
        <v>524.9</v>
      </c>
      <c r="Q286" s="9" t="n">
        <v>524.9</v>
      </c>
      <c r="R286" s="9" t="n">
        <v>524.9</v>
      </c>
      <c r="S286" s="9" t="n">
        <v>524.9</v>
      </c>
      <c r="T286" s="9" t="n">
        <v>524.9</v>
      </c>
      <c r="U286" s="9" t="n">
        <v>524.9</v>
      </c>
      <c r="V286" s="9" t="n">
        <v>524.9</v>
      </c>
      <c r="W286" s="9" t="n">
        <v>524.9</v>
      </c>
      <c r="X286" s="9" t="n">
        <v>524.9</v>
      </c>
      <c r="Y286" s="9" t="n">
        <v>524.9</v>
      </c>
      <c r="Z286" s="9" t="n">
        <v>350</v>
      </c>
      <c r="AA286" s="9" t="n">
        <v>0</v>
      </c>
      <c r="AB286" s="9" t="n">
        <v>350</v>
      </c>
    </row>
    <row r="287" customFormat="false" ht="15" hidden="false" customHeight="false" outlineLevel="0" collapsed="false">
      <c r="A287" s="3" t="s">
        <v>976</v>
      </c>
      <c r="B287" s="3" t="s">
        <v>977</v>
      </c>
      <c r="C287" s="3" t="s">
        <v>328</v>
      </c>
      <c r="D287" s="3" t="s">
        <v>329</v>
      </c>
      <c r="E287" s="3" t="n">
        <v>1970</v>
      </c>
      <c r="F287" s="3" t="s">
        <v>119</v>
      </c>
      <c r="G287" s="3" t="s">
        <v>120</v>
      </c>
      <c r="H287" s="3" t="s">
        <v>978</v>
      </c>
      <c r="I287" s="3" t="s">
        <v>56</v>
      </c>
      <c r="J287" s="7" t="n">
        <v>360000</v>
      </c>
      <c r="K287" s="3" t="s">
        <v>636</v>
      </c>
      <c r="L287" s="7" t="n">
        <v>5814.31</v>
      </c>
      <c r="M287" s="7" t="n">
        <v>726.79</v>
      </c>
      <c r="N287" s="7" t="n">
        <v>726.79</v>
      </c>
      <c r="O287" s="7" t="n">
        <v>4360.7</v>
      </c>
      <c r="P287" s="7" t="n">
        <v>436.07</v>
      </c>
      <c r="Q287" s="7" t="n">
        <v>436.07</v>
      </c>
      <c r="R287" s="7" t="n">
        <v>436.07</v>
      </c>
      <c r="S287" s="7" t="n">
        <v>436.07</v>
      </c>
      <c r="T287" s="7" t="n">
        <v>436.07</v>
      </c>
      <c r="U287" s="7" t="n">
        <v>436.07</v>
      </c>
      <c r="V287" s="7" t="n">
        <v>436.07</v>
      </c>
      <c r="W287" s="7" t="n">
        <v>436.07</v>
      </c>
      <c r="X287" s="7" t="n">
        <v>436.07</v>
      </c>
      <c r="Y287" s="7" t="n">
        <v>436.07</v>
      </c>
      <c r="Z287" s="7" t="n">
        <v>350</v>
      </c>
      <c r="AA287" s="7" t="n">
        <v>0</v>
      </c>
      <c r="AB287" s="7" t="n">
        <v>350</v>
      </c>
    </row>
    <row r="288" customFormat="false" ht="15" hidden="false" customHeight="false" outlineLevel="0" collapsed="false">
      <c r="A288" s="8" t="s">
        <v>979</v>
      </c>
      <c r="B288" s="8" t="s">
        <v>980</v>
      </c>
      <c r="C288" s="8" t="s">
        <v>144</v>
      </c>
      <c r="D288" s="8" t="s">
        <v>145</v>
      </c>
      <c r="E288" s="8" t="n">
        <v>2003</v>
      </c>
      <c r="F288" s="8" t="s">
        <v>53</v>
      </c>
      <c r="G288" s="8" t="s">
        <v>54</v>
      </c>
      <c r="H288" s="8" t="s">
        <v>981</v>
      </c>
      <c r="I288" s="8" t="s">
        <v>56</v>
      </c>
      <c r="J288" s="9" t="n">
        <v>290000</v>
      </c>
      <c r="K288" s="8" t="s">
        <v>903</v>
      </c>
      <c r="L288" s="9" t="n">
        <v>4762.48</v>
      </c>
      <c r="M288" s="9" t="n">
        <v>595.31</v>
      </c>
      <c r="N288" s="9" t="n">
        <v>595.31</v>
      </c>
      <c r="O288" s="9" t="n">
        <v>3571.9</v>
      </c>
      <c r="P288" s="9" t="n">
        <v>357.19</v>
      </c>
      <c r="Q288" s="9" t="n">
        <v>357.19</v>
      </c>
      <c r="R288" s="9" t="n">
        <v>357.19</v>
      </c>
      <c r="S288" s="9" t="n">
        <v>357.19</v>
      </c>
      <c r="T288" s="9" t="n">
        <v>357.19</v>
      </c>
      <c r="U288" s="9" t="n">
        <v>357.19</v>
      </c>
      <c r="V288" s="9" t="n">
        <v>357.19</v>
      </c>
      <c r="W288" s="9" t="n">
        <v>357.19</v>
      </c>
      <c r="X288" s="9" t="n">
        <v>357.19</v>
      </c>
      <c r="Y288" s="9" t="n">
        <v>357.19</v>
      </c>
      <c r="Z288" s="9" t="n">
        <v>350</v>
      </c>
      <c r="AA288" s="9" t="n">
        <v>0</v>
      </c>
      <c r="AB288" s="9" t="n">
        <v>350</v>
      </c>
    </row>
    <row r="289" customFormat="false" ht="15" hidden="false" customHeight="false" outlineLevel="0" collapsed="false">
      <c r="A289" s="3" t="s">
        <v>982</v>
      </c>
      <c r="B289" s="3" t="s">
        <v>983</v>
      </c>
      <c r="C289" s="3" t="s">
        <v>163</v>
      </c>
      <c r="D289" s="3" t="s">
        <v>164</v>
      </c>
      <c r="E289" s="3" t="n">
        <v>1979</v>
      </c>
      <c r="F289" s="3" t="s">
        <v>62</v>
      </c>
      <c r="G289" s="3" t="s">
        <v>63</v>
      </c>
      <c r="H289" s="3" t="s">
        <v>984</v>
      </c>
      <c r="I289" s="3" t="s">
        <v>47</v>
      </c>
      <c r="J289" s="7" t="n">
        <v>345000</v>
      </c>
      <c r="K289" s="3" t="s">
        <v>128</v>
      </c>
      <c r="L289" s="7" t="n">
        <v>6677.1</v>
      </c>
      <c r="M289" s="7" t="n">
        <v>834.64</v>
      </c>
      <c r="N289" s="7" t="n">
        <v>834.64</v>
      </c>
      <c r="O289" s="7" t="n">
        <v>5007.8</v>
      </c>
      <c r="P289" s="7" t="n">
        <v>500.78</v>
      </c>
      <c r="Q289" s="7" t="n">
        <v>500.78</v>
      </c>
      <c r="R289" s="7" t="n">
        <v>500.78</v>
      </c>
      <c r="S289" s="7" t="n">
        <v>500.78</v>
      </c>
      <c r="T289" s="7" t="n">
        <v>500.78</v>
      </c>
      <c r="U289" s="7" t="n">
        <v>500.78</v>
      </c>
      <c r="V289" s="7" t="n">
        <v>500.78</v>
      </c>
      <c r="W289" s="7" t="n">
        <v>500.78</v>
      </c>
      <c r="X289" s="7" t="n">
        <v>500.78</v>
      </c>
      <c r="Y289" s="7" t="n">
        <v>500.78</v>
      </c>
      <c r="Z289" s="7" t="n">
        <v>350</v>
      </c>
      <c r="AA289" s="7" t="n">
        <v>0</v>
      </c>
      <c r="AB289" s="7" t="n">
        <v>350</v>
      </c>
    </row>
    <row r="290" customFormat="false" ht="15" hidden="false" customHeight="false" outlineLevel="0" collapsed="false">
      <c r="A290" s="8" t="s">
        <v>985</v>
      </c>
      <c r="B290" s="8" t="s">
        <v>986</v>
      </c>
      <c r="C290" s="8" t="s">
        <v>374</v>
      </c>
      <c r="D290" s="8" t="s">
        <v>375</v>
      </c>
      <c r="E290" s="8" t="n">
        <v>2009</v>
      </c>
      <c r="F290" s="8" t="s">
        <v>158</v>
      </c>
      <c r="G290" s="8" t="s">
        <v>159</v>
      </c>
      <c r="H290" s="8" t="s">
        <v>987</v>
      </c>
      <c r="I290" s="8" t="s">
        <v>56</v>
      </c>
      <c r="J290" s="9" t="n">
        <v>420000</v>
      </c>
      <c r="K290" s="8" t="s">
        <v>903</v>
      </c>
      <c r="L290" s="9" t="n">
        <v>6897.38</v>
      </c>
      <c r="M290" s="9" t="n">
        <v>862.17</v>
      </c>
      <c r="N290" s="9" t="n">
        <v>862.17</v>
      </c>
      <c r="O290" s="9" t="n">
        <v>5173</v>
      </c>
      <c r="P290" s="9" t="n">
        <v>517.3</v>
      </c>
      <c r="Q290" s="9" t="n">
        <v>517.3</v>
      </c>
      <c r="R290" s="9" t="n">
        <v>517.3</v>
      </c>
      <c r="S290" s="9" t="n">
        <v>517.3</v>
      </c>
      <c r="T290" s="9" t="n">
        <v>517.3</v>
      </c>
      <c r="U290" s="9" t="n">
        <v>517.3</v>
      </c>
      <c r="V290" s="9" t="n">
        <v>517.3</v>
      </c>
      <c r="W290" s="9" t="n">
        <v>517.3</v>
      </c>
      <c r="X290" s="9" t="n">
        <v>517.3</v>
      </c>
      <c r="Y290" s="9" t="n">
        <v>517.3</v>
      </c>
      <c r="Z290" s="9" t="n">
        <v>350</v>
      </c>
      <c r="AA290" s="9" t="n">
        <v>0</v>
      </c>
      <c r="AB290" s="9" t="n">
        <v>350</v>
      </c>
    </row>
    <row r="291" customFormat="false" ht="15" hidden="false" customHeight="false" outlineLevel="0" collapsed="false">
      <c r="A291" s="3" t="s">
        <v>988</v>
      </c>
      <c r="B291" s="3" t="s">
        <v>989</v>
      </c>
      <c r="C291" s="3" t="s">
        <v>42</v>
      </c>
      <c r="D291" s="3" t="s">
        <v>43</v>
      </c>
      <c r="E291" s="3" t="n">
        <v>1998</v>
      </c>
      <c r="F291" s="3" t="s">
        <v>89</v>
      </c>
      <c r="G291" s="3" t="s">
        <v>90</v>
      </c>
      <c r="H291" s="3" t="s">
        <v>990</v>
      </c>
      <c r="I291" s="3" t="s">
        <v>92</v>
      </c>
      <c r="J291" s="7" t="n">
        <v>440000</v>
      </c>
      <c r="K291" s="3" t="s">
        <v>265</v>
      </c>
      <c r="L291" s="7" t="n">
        <v>9949.74</v>
      </c>
      <c r="M291" s="7" t="n">
        <v>1243.72</v>
      </c>
      <c r="N291" s="7" t="n">
        <v>1243.72</v>
      </c>
      <c r="O291" s="7" t="n">
        <v>7462.3</v>
      </c>
      <c r="P291" s="7" t="n">
        <v>746.23</v>
      </c>
      <c r="Q291" s="7" t="n">
        <v>746.23</v>
      </c>
      <c r="R291" s="7" t="n">
        <v>746.23</v>
      </c>
      <c r="S291" s="7" t="n">
        <v>746.23</v>
      </c>
      <c r="T291" s="7" t="n">
        <v>746.23</v>
      </c>
      <c r="U291" s="7" t="n">
        <v>746.23</v>
      </c>
      <c r="V291" s="7" t="n">
        <v>746.23</v>
      </c>
      <c r="W291" s="7" t="n">
        <v>746.23</v>
      </c>
      <c r="X291" s="7" t="n">
        <v>746.23</v>
      </c>
      <c r="Y291" s="7" t="n">
        <v>746.23</v>
      </c>
      <c r="Z291" s="7" t="n">
        <v>350</v>
      </c>
      <c r="AA291" s="7" t="n">
        <v>0</v>
      </c>
      <c r="AB291" s="7" t="n">
        <v>350</v>
      </c>
    </row>
    <row r="292" customFormat="false" ht="15" hidden="false" customHeight="false" outlineLevel="0" collapsed="false">
      <c r="A292" s="8" t="s">
        <v>991</v>
      </c>
      <c r="B292" s="8" t="s">
        <v>689</v>
      </c>
      <c r="C292" s="8" t="s">
        <v>374</v>
      </c>
      <c r="D292" s="8" t="s">
        <v>375</v>
      </c>
      <c r="E292" s="8" t="n">
        <v>1987</v>
      </c>
      <c r="F292" s="8" t="s">
        <v>158</v>
      </c>
      <c r="G292" s="8" t="s">
        <v>159</v>
      </c>
      <c r="H292" s="8" t="s">
        <v>992</v>
      </c>
      <c r="I292" s="8" t="s">
        <v>56</v>
      </c>
      <c r="J292" s="9" t="n">
        <v>455000</v>
      </c>
      <c r="K292" s="8" t="s">
        <v>265</v>
      </c>
      <c r="L292" s="9" t="n">
        <v>8768.97</v>
      </c>
      <c r="M292" s="9" t="n">
        <v>1096.12</v>
      </c>
      <c r="N292" s="9" t="n">
        <v>1096.12</v>
      </c>
      <c r="O292" s="9" t="n">
        <v>6576.7</v>
      </c>
      <c r="P292" s="9" t="n">
        <v>657.67</v>
      </c>
      <c r="Q292" s="9" t="n">
        <v>657.67</v>
      </c>
      <c r="R292" s="9" t="n">
        <v>657.67</v>
      </c>
      <c r="S292" s="9" t="n">
        <v>657.67</v>
      </c>
      <c r="T292" s="9" t="n">
        <v>657.67</v>
      </c>
      <c r="U292" s="9" t="n">
        <v>657.67</v>
      </c>
      <c r="V292" s="9" t="n">
        <v>657.67</v>
      </c>
      <c r="W292" s="9" t="n">
        <v>657.67</v>
      </c>
      <c r="X292" s="9" t="n">
        <v>657.67</v>
      </c>
      <c r="Y292" s="9" t="n">
        <v>657.67</v>
      </c>
      <c r="Z292" s="9" t="n">
        <v>350</v>
      </c>
      <c r="AA292" s="9" t="n">
        <v>0</v>
      </c>
      <c r="AB292" s="9" t="n">
        <v>350</v>
      </c>
    </row>
    <row r="293" customFormat="false" ht="15" hidden="false" customHeight="false" outlineLevel="0" collapsed="false">
      <c r="A293" s="3" t="s">
        <v>993</v>
      </c>
      <c r="B293" s="3" t="s">
        <v>994</v>
      </c>
      <c r="C293" s="3" t="s">
        <v>366</v>
      </c>
      <c r="D293" s="3" t="s">
        <v>367</v>
      </c>
      <c r="E293" s="3" t="n">
        <v>2005</v>
      </c>
      <c r="F293" s="3" t="s">
        <v>158</v>
      </c>
      <c r="G293" s="3" t="s">
        <v>159</v>
      </c>
      <c r="H293" s="3" t="s">
        <v>995</v>
      </c>
      <c r="I293" s="3" t="s">
        <v>56</v>
      </c>
      <c r="J293" s="7" t="n">
        <v>200000</v>
      </c>
      <c r="K293" s="3" t="s">
        <v>141</v>
      </c>
      <c r="L293" s="7" t="n">
        <v>4428.51</v>
      </c>
      <c r="M293" s="7" t="n">
        <v>553.56</v>
      </c>
      <c r="N293" s="7" t="n">
        <v>553.56</v>
      </c>
      <c r="O293" s="7" t="n">
        <v>3321.4</v>
      </c>
      <c r="P293" s="7" t="n">
        <v>332.14</v>
      </c>
      <c r="Q293" s="7" t="n">
        <v>332.14</v>
      </c>
      <c r="R293" s="7" t="n">
        <v>332.14</v>
      </c>
      <c r="S293" s="7" t="n">
        <v>332.14</v>
      </c>
      <c r="T293" s="7" t="n">
        <v>332.14</v>
      </c>
      <c r="U293" s="7" t="n">
        <v>332.14</v>
      </c>
      <c r="V293" s="7" t="n">
        <v>332.14</v>
      </c>
      <c r="W293" s="7" t="n">
        <v>332.14</v>
      </c>
      <c r="X293" s="7" t="n">
        <v>332.14</v>
      </c>
      <c r="Y293" s="7" t="n">
        <v>332.14</v>
      </c>
      <c r="Z293" s="7" t="n">
        <v>350</v>
      </c>
      <c r="AA293" s="7" t="n">
        <v>0</v>
      </c>
      <c r="AB293" s="7" t="n">
        <v>350</v>
      </c>
    </row>
    <row r="294" customFormat="false" ht="15" hidden="false" customHeight="false" outlineLevel="0" collapsed="false">
      <c r="A294" s="8" t="s">
        <v>996</v>
      </c>
      <c r="B294" s="8" t="s">
        <v>997</v>
      </c>
      <c r="C294" s="8" t="s">
        <v>238</v>
      </c>
      <c r="D294" s="8" t="s">
        <v>239</v>
      </c>
      <c r="E294" s="8" t="n">
        <v>1999</v>
      </c>
      <c r="F294" s="8" t="s">
        <v>53</v>
      </c>
      <c r="G294" s="8" t="s">
        <v>54</v>
      </c>
      <c r="H294" s="8" t="s">
        <v>998</v>
      </c>
      <c r="I294" s="8" t="s">
        <v>56</v>
      </c>
      <c r="J294" s="9" t="n">
        <v>1485000</v>
      </c>
      <c r="K294" s="8" t="s">
        <v>291</v>
      </c>
      <c r="L294" s="9" t="n">
        <v>15666.9</v>
      </c>
      <c r="M294" s="9" t="n">
        <v>1958.36</v>
      </c>
      <c r="N294" s="9" t="n">
        <v>1958.36</v>
      </c>
      <c r="O294" s="9" t="n">
        <v>11750.2</v>
      </c>
      <c r="P294" s="9" t="n">
        <v>1175.02</v>
      </c>
      <c r="Q294" s="9" t="n">
        <v>1175.02</v>
      </c>
      <c r="R294" s="9" t="n">
        <v>1175.02</v>
      </c>
      <c r="S294" s="9" t="n">
        <v>1175.02</v>
      </c>
      <c r="T294" s="9" t="n">
        <v>1175.02</v>
      </c>
      <c r="U294" s="9" t="n">
        <v>1175.02</v>
      </c>
      <c r="V294" s="9" t="n">
        <v>1175.02</v>
      </c>
      <c r="W294" s="9" t="n">
        <v>1175.02</v>
      </c>
      <c r="X294" s="9" t="n">
        <v>1175.02</v>
      </c>
      <c r="Y294" s="9" t="n">
        <v>1175.02</v>
      </c>
      <c r="Z294" s="9" t="n">
        <v>350</v>
      </c>
      <c r="AA294" s="9" t="n">
        <v>250</v>
      </c>
      <c r="AB294" s="9" t="n">
        <v>600</v>
      </c>
    </row>
    <row r="295" customFormat="false" ht="15" hidden="false" customHeight="false" outlineLevel="0" collapsed="false">
      <c r="A295" s="3" t="s">
        <v>999</v>
      </c>
      <c r="B295" s="3" t="s">
        <v>1000</v>
      </c>
      <c r="C295" s="3" t="s">
        <v>82</v>
      </c>
      <c r="D295" s="3" t="s">
        <v>83</v>
      </c>
      <c r="E295" s="3" t="n">
        <v>1975</v>
      </c>
      <c r="F295" s="3" t="s">
        <v>53</v>
      </c>
      <c r="G295" s="3" t="s">
        <v>54</v>
      </c>
      <c r="H295" s="3" t="s">
        <v>1001</v>
      </c>
      <c r="I295" s="3" t="s">
        <v>56</v>
      </c>
      <c r="J295" s="7" t="n">
        <v>790000</v>
      </c>
      <c r="K295" s="3" t="s">
        <v>128</v>
      </c>
      <c r="L295" s="7" t="n">
        <v>8641.94</v>
      </c>
      <c r="M295" s="7" t="n">
        <v>1080.24</v>
      </c>
      <c r="N295" s="7" t="n">
        <v>1080.24</v>
      </c>
      <c r="O295" s="7" t="n">
        <v>6481.5</v>
      </c>
      <c r="P295" s="7" t="n">
        <v>648.15</v>
      </c>
      <c r="Q295" s="7" t="n">
        <v>648.15</v>
      </c>
      <c r="R295" s="7" t="n">
        <v>648.15</v>
      </c>
      <c r="S295" s="7" t="n">
        <v>648.15</v>
      </c>
      <c r="T295" s="7" t="n">
        <v>648.15</v>
      </c>
      <c r="U295" s="7" t="n">
        <v>648.15</v>
      </c>
      <c r="V295" s="7" t="n">
        <v>648.15</v>
      </c>
      <c r="W295" s="7" t="n">
        <v>648.15</v>
      </c>
      <c r="X295" s="7" t="n">
        <v>648.15</v>
      </c>
      <c r="Y295" s="7" t="n">
        <v>648.15</v>
      </c>
      <c r="Z295" s="7" t="n">
        <v>350</v>
      </c>
      <c r="AA295" s="7" t="n">
        <v>0</v>
      </c>
      <c r="AB295" s="7" t="n">
        <v>350</v>
      </c>
    </row>
    <row r="296" customFormat="false" ht="15" hidden="false" customHeight="false" outlineLevel="0" collapsed="false">
      <c r="A296" s="8" t="s">
        <v>1002</v>
      </c>
      <c r="B296" s="8" t="s">
        <v>1003</v>
      </c>
      <c r="C296" s="8" t="s">
        <v>68</v>
      </c>
      <c r="D296" s="8" t="s">
        <v>69</v>
      </c>
      <c r="E296" s="8" t="n">
        <v>2022</v>
      </c>
      <c r="F296" s="8" t="s">
        <v>173</v>
      </c>
      <c r="G296" s="8" t="s">
        <v>174</v>
      </c>
      <c r="H296" s="8" t="s">
        <v>1004</v>
      </c>
      <c r="I296" s="8" t="s">
        <v>107</v>
      </c>
      <c r="J296" s="9" t="n">
        <v>820000</v>
      </c>
      <c r="K296" s="8" t="s">
        <v>153</v>
      </c>
      <c r="L296" s="9" t="n">
        <v>7337.83</v>
      </c>
      <c r="M296" s="9" t="n">
        <v>917.23</v>
      </c>
      <c r="N296" s="9" t="n">
        <v>917.23</v>
      </c>
      <c r="O296" s="9" t="n">
        <v>5503.4</v>
      </c>
      <c r="P296" s="9" t="n">
        <v>550.34</v>
      </c>
      <c r="Q296" s="9" t="n">
        <v>550.34</v>
      </c>
      <c r="R296" s="9" t="n">
        <v>550.34</v>
      </c>
      <c r="S296" s="9" t="n">
        <v>550.34</v>
      </c>
      <c r="T296" s="9" t="n">
        <v>550.34</v>
      </c>
      <c r="U296" s="9" t="n">
        <v>550.34</v>
      </c>
      <c r="V296" s="9" t="n">
        <v>550.34</v>
      </c>
      <c r="W296" s="9" t="n">
        <v>550.34</v>
      </c>
      <c r="X296" s="9" t="n">
        <v>550.34</v>
      </c>
      <c r="Y296" s="9" t="n">
        <v>550.34</v>
      </c>
      <c r="Z296" s="9" t="n">
        <v>350</v>
      </c>
      <c r="AA296" s="9" t="n">
        <v>0</v>
      </c>
      <c r="AB296" s="9" t="n">
        <v>350</v>
      </c>
    </row>
    <row r="297" customFormat="false" ht="15" hidden="false" customHeight="false" outlineLevel="0" collapsed="false">
      <c r="A297" s="3" t="s">
        <v>1005</v>
      </c>
      <c r="B297" s="3" t="s">
        <v>538</v>
      </c>
      <c r="C297" s="3" t="s">
        <v>255</v>
      </c>
      <c r="D297" s="3" t="s">
        <v>256</v>
      </c>
      <c r="E297" s="3" t="n">
        <v>1962</v>
      </c>
      <c r="F297" s="3" t="s">
        <v>70</v>
      </c>
      <c r="G297" s="3" t="s">
        <v>71</v>
      </c>
      <c r="H297" s="3" t="s">
        <v>1006</v>
      </c>
      <c r="I297" s="3" t="s">
        <v>56</v>
      </c>
      <c r="J297" s="7" t="n">
        <v>305000</v>
      </c>
      <c r="K297" s="3" t="s">
        <v>441</v>
      </c>
      <c r="L297" s="7" t="n">
        <v>3973.93</v>
      </c>
      <c r="M297" s="7" t="n">
        <v>496.74</v>
      </c>
      <c r="N297" s="7" t="n">
        <v>496.74</v>
      </c>
      <c r="O297" s="7" t="n">
        <v>2980.4</v>
      </c>
      <c r="P297" s="7" t="n">
        <v>298.04</v>
      </c>
      <c r="Q297" s="7" t="n">
        <v>298.04</v>
      </c>
      <c r="R297" s="7" t="n">
        <v>298.04</v>
      </c>
      <c r="S297" s="7" t="n">
        <v>298.04</v>
      </c>
      <c r="T297" s="7" t="n">
        <v>298.04</v>
      </c>
      <c r="U297" s="7" t="n">
        <v>298.04</v>
      </c>
      <c r="V297" s="7" t="n">
        <v>298.04</v>
      </c>
      <c r="W297" s="7" t="n">
        <v>298.04</v>
      </c>
      <c r="X297" s="7" t="n">
        <v>298.04</v>
      </c>
      <c r="Y297" s="7" t="n">
        <v>298.04</v>
      </c>
      <c r="Z297" s="7" t="n">
        <v>350</v>
      </c>
      <c r="AA297" s="7" t="n">
        <v>0</v>
      </c>
      <c r="AB297" s="7" t="n">
        <v>350</v>
      </c>
    </row>
    <row r="298" customFormat="false" ht="15" hidden="false" customHeight="false" outlineLevel="0" collapsed="false">
      <c r="A298" s="8" t="s">
        <v>1007</v>
      </c>
      <c r="B298" s="8" t="s">
        <v>1008</v>
      </c>
      <c r="C298" s="8" t="s">
        <v>82</v>
      </c>
      <c r="D298" s="8" t="s">
        <v>83</v>
      </c>
      <c r="E298" s="8" t="n">
        <v>1980</v>
      </c>
      <c r="F298" s="8" t="s">
        <v>113</v>
      </c>
      <c r="G298" s="8" t="s">
        <v>114</v>
      </c>
      <c r="H298" s="8" t="s">
        <v>1009</v>
      </c>
      <c r="I298" s="8" t="s">
        <v>56</v>
      </c>
      <c r="J298" s="9" t="n">
        <v>415000</v>
      </c>
      <c r="K298" s="8" t="s">
        <v>108</v>
      </c>
      <c r="L298" s="9" t="n">
        <v>7660.13</v>
      </c>
      <c r="M298" s="9" t="n">
        <v>957.52</v>
      </c>
      <c r="N298" s="9" t="n">
        <v>957.52</v>
      </c>
      <c r="O298" s="9" t="n">
        <v>5745.1</v>
      </c>
      <c r="P298" s="9" t="n">
        <v>574.51</v>
      </c>
      <c r="Q298" s="9" t="n">
        <v>574.51</v>
      </c>
      <c r="R298" s="9" t="n">
        <v>574.51</v>
      </c>
      <c r="S298" s="9" t="n">
        <v>574.51</v>
      </c>
      <c r="T298" s="9" t="n">
        <v>574.51</v>
      </c>
      <c r="U298" s="9" t="n">
        <v>574.51</v>
      </c>
      <c r="V298" s="9" t="n">
        <v>574.51</v>
      </c>
      <c r="W298" s="9" t="n">
        <v>574.51</v>
      </c>
      <c r="X298" s="9" t="n">
        <v>574.51</v>
      </c>
      <c r="Y298" s="9" t="n">
        <v>574.51</v>
      </c>
      <c r="Z298" s="9" t="n">
        <v>350</v>
      </c>
      <c r="AA298" s="9" t="n">
        <v>0</v>
      </c>
      <c r="AB298" s="9" t="n">
        <v>350</v>
      </c>
    </row>
    <row r="299" customFormat="false" ht="15" hidden="false" customHeight="false" outlineLevel="0" collapsed="false">
      <c r="A299" s="3" t="s">
        <v>1010</v>
      </c>
      <c r="B299" s="3" t="s">
        <v>1011</v>
      </c>
      <c r="C299" s="3" t="s">
        <v>111</v>
      </c>
      <c r="D299" s="3" t="s">
        <v>112</v>
      </c>
      <c r="E299" s="3" t="n">
        <v>1976</v>
      </c>
      <c r="F299" s="3" t="s">
        <v>181</v>
      </c>
      <c r="G299" s="3" t="s">
        <v>182</v>
      </c>
      <c r="H299" s="3" t="s">
        <v>1012</v>
      </c>
      <c r="I299" s="3" t="s">
        <v>47</v>
      </c>
      <c r="J299" s="7" t="n">
        <v>470000</v>
      </c>
      <c r="K299" s="3" t="s">
        <v>441</v>
      </c>
      <c r="L299" s="7" t="n">
        <v>9389.77</v>
      </c>
      <c r="M299" s="7" t="n">
        <v>1173.72</v>
      </c>
      <c r="N299" s="7" t="n">
        <v>1173.72</v>
      </c>
      <c r="O299" s="7" t="n">
        <v>7042.3</v>
      </c>
      <c r="P299" s="7" t="n">
        <v>704.23</v>
      </c>
      <c r="Q299" s="7" t="n">
        <v>704.23</v>
      </c>
      <c r="R299" s="7" t="n">
        <v>704.23</v>
      </c>
      <c r="S299" s="7" t="n">
        <v>704.23</v>
      </c>
      <c r="T299" s="7" t="n">
        <v>704.23</v>
      </c>
      <c r="U299" s="7" t="n">
        <v>704.23</v>
      </c>
      <c r="V299" s="7" t="n">
        <v>704.23</v>
      </c>
      <c r="W299" s="7" t="n">
        <v>704.23</v>
      </c>
      <c r="X299" s="7" t="n">
        <v>704.23</v>
      </c>
      <c r="Y299" s="7" t="n">
        <v>704.23</v>
      </c>
      <c r="Z299" s="7" t="n">
        <v>350</v>
      </c>
      <c r="AA299" s="7" t="n">
        <v>0</v>
      </c>
      <c r="AB299" s="7" t="n">
        <v>350</v>
      </c>
    </row>
    <row r="300" customFormat="false" ht="15" hidden="false" customHeight="false" outlineLevel="0" collapsed="false">
      <c r="A300" s="8" t="s">
        <v>1013</v>
      </c>
      <c r="B300" s="8" t="s">
        <v>1014</v>
      </c>
      <c r="C300" s="8" t="s">
        <v>207</v>
      </c>
      <c r="D300" s="8" t="s">
        <v>208</v>
      </c>
      <c r="E300" s="8" t="n">
        <v>2023</v>
      </c>
      <c r="F300" s="8" t="s">
        <v>146</v>
      </c>
      <c r="G300" s="8" t="s">
        <v>147</v>
      </c>
      <c r="H300" s="8" t="s">
        <v>1015</v>
      </c>
      <c r="I300" s="8" t="s">
        <v>56</v>
      </c>
      <c r="J300" s="9" t="n">
        <v>595000</v>
      </c>
      <c r="K300" s="8" t="s">
        <v>122</v>
      </c>
      <c r="L300" s="9" t="n">
        <v>9658.22</v>
      </c>
      <c r="M300" s="9" t="n">
        <v>1207.28</v>
      </c>
      <c r="N300" s="9" t="n">
        <v>1207.28</v>
      </c>
      <c r="O300" s="9" t="n">
        <v>7243.7</v>
      </c>
      <c r="P300" s="9" t="n">
        <v>724.37</v>
      </c>
      <c r="Q300" s="9" t="n">
        <v>724.37</v>
      </c>
      <c r="R300" s="9" t="n">
        <v>724.37</v>
      </c>
      <c r="S300" s="9" t="n">
        <v>724.37</v>
      </c>
      <c r="T300" s="9" t="n">
        <v>724.37</v>
      </c>
      <c r="U300" s="9" t="n">
        <v>724.37</v>
      </c>
      <c r="V300" s="9" t="n">
        <v>724.37</v>
      </c>
      <c r="W300" s="9" t="n">
        <v>724.37</v>
      </c>
      <c r="X300" s="9" t="n">
        <v>724.37</v>
      </c>
      <c r="Y300" s="9" t="n">
        <v>724.37</v>
      </c>
      <c r="Z300" s="9" t="n">
        <v>350</v>
      </c>
      <c r="AA300" s="9" t="n">
        <v>0</v>
      </c>
      <c r="AB300" s="9" t="n">
        <v>350</v>
      </c>
    </row>
    <row r="301" customFormat="false" ht="15" hidden="false" customHeight="false" outlineLevel="0" collapsed="false">
      <c r="A301" s="3" t="s">
        <v>1016</v>
      </c>
      <c r="B301" s="3" t="s">
        <v>835</v>
      </c>
      <c r="C301" s="3" t="s">
        <v>144</v>
      </c>
      <c r="D301" s="3" t="s">
        <v>145</v>
      </c>
      <c r="E301" s="3" t="n">
        <v>1967</v>
      </c>
      <c r="F301" s="3" t="s">
        <v>62</v>
      </c>
      <c r="G301" s="3" t="s">
        <v>63</v>
      </c>
      <c r="H301" s="3" t="s">
        <v>1017</v>
      </c>
      <c r="I301" s="3" t="s">
        <v>47</v>
      </c>
      <c r="J301" s="7" t="n">
        <v>940000</v>
      </c>
      <c r="K301" s="3" t="s">
        <v>496</v>
      </c>
      <c r="L301" s="7" t="n">
        <v>21007.91</v>
      </c>
      <c r="M301" s="7" t="n">
        <v>2625.99</v>
      </c>
      <c r="N301" s="7" t="n">
        <v>2625.99</v>
      </c>
      <c r="O301" s="7" t="n">
        <v>15755.9</v>
      </c>
      <c r="P301" s="7" t="n">
        <v>1575.59</v>
      </c>
      <c r="Q301" s="7" t="n">
        <v>1575.59</v>
      </c>
      <c r="R301" s="7" t="n">
        <v>1575.59</v>
      </c>
      <c r="S301" s="7" t="n">
        <v>1575.59</v>
      </c>
      <c r="T301" s="7" t="n">
        <v>1575.59</v>
      </c>
      <c r="U301" s="7" t="n">
        <v>1575.59</v>
      </c>
      <c r="V301" s="7" t="n">
        <v>1575.59</v>
      </c>
      <c r="W301" s="7" t="n">
        <v>1575.59</v>
      </c>
      <c r="X301" s="7" t="n">
        <v>1575.59</v>
      </c>
      <c r="Y301" s="7" t="n">
        <v>1575.59</v>
      </c>
      <c r="Z301" s="7" t="n">
        <v>350</v>
      </c>
      <c r="AA301" s="7" t="n">
        <v>0</v>
      </c>
      <c r="AB301" s="7" t="n">
        <v>350</v>
      </c>
    </row>
    <row r="302" customFormat="false" ht="15" hidden="false" customHeight="false" outlineLevel="0" collapsed="false">
      <c r="A302" s="8" t="s">
        <v>1018</v>
      </c>
      <c r="B302" s="8" t="s">
        <v>1019</v>
      </c>
      <c r="C302" s="8" t="s">
        <v>255</v>
      </c>
      <c r="D302" s="8" t="s">
        <v>256</v>
      </c>
      <c r="E302" s="8" t="n">
        <v>1958</v>
      </c>
      <c r="F302" s="8" t="s">
        <v>89</v>
      </c>
      <c r="G302" s="8" t="s">
        <v>90</v>
      </c>
      <c r="H302" s="8" t="s">
        <v>1020</v>
      </c>
      <c r="I302" s="8" t="s">
        <v>92</v>
      </c>
      <c r="J302" s="9" t="n">
        <v>855000</v>
      </c>
      <c r="K302" s="8" t="s">
        <v>265</v>
      </c>
      <c r="L302" s="9" t="n">
        <v>17137.09</v>
      </c>
      <c r="M302" s="9" t="n">
        <v>2142.14</v>
      </c>
      <c r="N302" s="9" t="n">
        <v>2142.14</v>
      </c>
      <c r="O302" s="9" t="n">
        <v>12852.8</v>
      </c>
      <c r="P302" s="9" t="n">
        <v>1285.28</v>
      </c>
      <c r="Q302" s="9" t="n">
        <v>1285.28</v>
      </c>
      <c r="R302" s="9" t="n">
        <v>1285.28</v>
      </c>
      <c r="S302" s="9" t="n">
        <v>1285.28</v>
      </c>
      <c r="T302" s="9" t="n">
        <v>1285.28</v>
      </c>
      <c r="U302" s="9" t="n">
        <v>1285.28</v>
      </c>
      <c r="V302" s="9" t="n">
        <v>1285.28</v>
      </c>
      <c r="W302" s="9" t="n">
        <v>1285.28</v>
      </c>
      <c r="X302" s="9" t="n">
        <v>1285.28</v>
      </c>
      <c r="Y302" s="9" t="n">
        <v>1285.28</v>
      </c>
      <c r="Z302" s="9" t="n">
        <v>350</v>
      </c>
      <c r="AA302" s="9" t="n">
        <v>0</v>
      </c>
      <c r="AB302" s="9" t="n">
        <v>350</v>
      </c>
    </row>
    <row r="303" customFormat="false" ht="15" hidden="false" customHeight="false" outlineLevel="0" collapsed="false">
      <c r="A303" s="3" t="s">
        <v>1021</v>
      </c>
      <c r="B303" s="3" t="s">
        <v>1022</v>
      </c>
      <c r="C303" s="3" t="s">
        <v>82</v>
      </c>
      <c r="D303" s="3" t="s">
        <v>83</v>
      </c>
      <c r="E303" s="3" t="n">
        <v>1957</v>
      </c>
      <c r="F303" s="3" t="s">
        <v>158</v>
      </c>
      <c r="G303" s="3" t="s">
        <v>159</v>
      </c>
      <c r="H303" s="3" t="s">
        <v>1023</v>
      </c>
      <c r="I303" s="3" t="s">
        <v>56</v>
      </c>
      <c r="J303" s="7" t="n">
        <v>745000</v>
      </c>
      <c r="K303" s="3" t="s">
        <v>903</v>
      </c>
      <c r="L303" s="7" t="n">
        <v>10603.35</v>
      </c>
      <c r="M303" s="7" t="n">
        <v>1325.42</v>
      </c>
      <c r="N303" s="7" t="n">
        <v>1325.42</v>
      </c>
      <c r="O303" s="7" t="n">
        <v>7952.5</v>
      </c>
      <c r="P303" s="7" t="n">
        <v>795.25</v>
      </c>
      <c r="Q303" s="7" t="n">
        <v>795.25</v>
      </c>
      <c r="R303" s="7" t="n">
        <v>795.25</v>
      </c>
      <c r="S303" s="7" t="n">
        <v>795.25</v>
      </c>
      <c r="T303" s="7" t="n">
        <v>795.25</v>
      </c>
      <c r="U303" s="7" t="n">
        <v>795.25</v>
      </c>
      <c r="V303" s="7" t="n">
        <v>795.25</v>
      </c>
      <c r="W303" s="7" t="n">
        <v>795.25</v>
      </c>
      <c r="X303" s="7" t="n">
        <v>795.25</v>
      </c>
      <c r="Y303" s="7" t="n">
        <v>795.25</v>
      </c>
      <c r="Z303" s="7" t="n">
        <v>350</v>
      </c>
      <c r="AA303" s="7" t="n">
        <v>0</v>
      </c>
      <c r="AB303" s="7" t="n">
        <v>350</v>
      </c>
    </row>
    <row r="304" customFormat="false" ht="15" hidden="false" customHeight="false" outlineLevel="0" collapsed="false">
      <c r="A304" s="8" t="s">
        <v>1024</v>
      </c>
      <c r="B304" s="8" t="s">
        <v>1025</v>
      </c>
      <c r="C304" s="8" t="s">
        <v>87</v>
      </c>
      <c r="D304" s="8" t="s">
        <v>88</v>
      </c>
      <c r="E304" s="8" t="n">
        <v>2021</v>
      </c>
      <c r="F304" s="8" t="s">
        <v>62</v>
      </c>
      <c r="G304" s="8" t="s">
        <v>98</v>
      </c>
      <c r="H304" s="8" t="s">
        <v>1026</v>
      </c>
      <c r="I304" s="8" t="s">
        <v>47</v>
      </c>
      <c r="J304" s="9" t="n">
        <v>210000</v>
      </c>
      <c r="K304" s="8" t="s">
        <v>319</v>
      </c>
      <c r="L304" s="9" t="n">
        <v>6853.3</v>
      </c>
      <c r="M304" s="9" t="n">
        <v>856.66</v>
      </c>
      <c r="N304" s="9" t="n">
        <v>856.66</v>
      </c>
      <c r="O304" s="9" t="n">
        <v>5140</v>
      </c>
      <c r="P304" s="9" t="n">
        <v>514</v>
      </c>
      <c r="Q304" s="9" t="n">
        <v>514</v>
      </c>
      <c r="R304" s="9" t="n">
        <v>514</v>
      </c>
      <c r="S304" s="9" t="n">
        <v>514</v>
      </c>
      <c r="T304" s="9" t="n">
        <v>514</v>
      </c>
      <c r="U304" s="9" t="n">
        <v>514</v>
      </c>
      <c r="V304" s="9" t="n">
        <v>514</v>
      </c>
      <c r="W304" s="9" t="n">
        <v>514</v>
      </c>
      <c r="X304" s="9" t="n">
        <v>514</v>
      </c>
      <c r="Y304" s="9" t="n">
        <v>514</v>
      </c>
      <c r="Z304" s="9" t="n">
        <v>350</v>
      </c>
      <c r="AA304" s="9" t="n">
        <v>0</v>
      </c>
      <c r="AB304" s="9" t="n">
        <v>350</v>
      </c>
    </row>
    <row r="305" customFormat="false" ht="15" hidden="false" customHeight="false" outlineLevel="0" collapsed="false">
      <c r="A305" s="3" t="s">
        <v>1027</v>
      </c>
      <c r="B305" s="3" t="s">
        <v>1028</v>
      </c>
      <c r="C305" s="3" t="s">
        <v>144</v>
      </c>
      <c r="D305" s="3" t="s">
        <v>145</v>
      </c>
      <c r="E305" s="3" t="n">
        <v>2012</v>
      </c>
      <c r="F305" s="3" t="s">
        <v>70</v>
      </c>
      <c r="G305" s="3" t="s">
        <v>71</v>
      </c>
      <c r="H305" s="3" t="s">
        <v>1029</v>
      </c>
      <c r="I305" s="3" t="s">
        <v>56</v>
      </c>
      <c r="J305" s="7" t="n">
        <v>535000</v>
      </c>
      <c r="K305" s="3" t="s">
        <v>134</v>
      </c>
      <c r="L305" s="7" t="n">
        <v>8054.99</v>
      </c>
      <c r="M305" s="7" t="n">
        <v>1006.87</v>
      </c>
      <c r="N305" s="7" t="n">
        <v>1006.87</v>
      </c>
      <c r="O305" s="7" t="n">
        <v>6041.2</v>
      </c>
      <c r="P305" s="7" t="n">
        <v>604.12</v>
      </c>
      <c r="Q305" s="7" t="n">
        <v>604.12</v>
      </c>
      <c r="R305" s="7" t="n">
        <v>604.12</v>
      </c>
      <c r="S305" s="7" t="n">
        <v>604.12</v>
      </c>
      <c r="T305" s="7" t="n">
        <v>604.12</v>
      </c>
      <c r="U305" s="7" t="n">
        <v>604.12</v>
      </c>
      <c r="V305" s="7" t="n">
        <v>604.12</v>
      </c>
      <c r="W305" s="7" t="n">
        <v>604.12</v>
      </c>
      <c r="X305" s="7" t="n">
        <v>604.12</v>
      </c>
      <c r="Y305" s="7" t="n">
        <v>604.12</v>
      </c>
      <c r="Z305" s="7" t="n">
        <v>350</v>
      </c>
      <c r="AA305" s="7" t="n">
        <v>0</v>
      </c>
      <c r="AB305" s="7" t="n">
        <v>350</v>
      </c>
    </row>
    <row r="306" customFormat="false" ht="15" hidden="false" customHeight="false" outlineLevel="0" collapsed="false">
      <c r="A306" s="8" t="s">
        <v>1030</v>
      </c>
      <c r="B306" s="8" t="s">
        <v>868</v>
      </c>
      <c r="C306" s="8" t="s">
        <v>144</v>
      </c>
      <c r="D306" s="8" t="s">
        <v>145</v>
      </c>
      <c r="E306" s="8" t="n">
        <v>1971</v>
      </c>
      <c r="F306" s="8" t="s">
        <v>70</v>
      </c>
      <c r="G306" s="8" t="s">
        <v>71</v>
      </c>
      <c r="H306" s="8" t="s">
        <v>1031</v>
      </c>
      <c r="I306" s="8" t="s">
        <v>56</v>
      </c>
      <c r="J306" s="9" t="n">
        <v>390000</v>
      </c>
      <c r="K306" s="8" t="s">
        <v>100</v>
      </c>
      <c r="L306" s="9" t="n">
        <v>6616.43</v>
      </c>
      <c r="M306" s="9" t="n">
        <v>827.05</v>
      </c>
      <c r="N306" s="9" t="n">
        <v>827.05</v>
      </c>
      <c r="O306" s="9" t="n">
        <v>4962.3</v>
      </c>
      <c r="P306" s="9" t="n">
        <v>496.23</v>
      </c>
      <c r="Q306" s="9" t="n">
        <v>496.23</v>
      </c>
      <c r="R306" s="9" t="n">
        <v>496.23</v>
      </c>
      <c r="S306" s="9" t="n">
        <v>496.23</v>
      </c>
      <c r="T306" s="9" t="n">
        <v>496.23</v>
      </c>
      <c r="U306" s="9" t="n">
        <v>496.23</v>
      </c>
      <c r="V306" s="9" t="n">
        <v>496.23</v>
      </c>
      <c r="W306" s="9" t="n">
        <v>496.23</v>
      </c>
      <c r="X306" s="9" t="n">
        <v>496.23</v>
      </c>
      <c r="Y306" s="9" t="n">
        <v>496.23</v>
      </c>
      <c r="Z306" s="9" t="n">
        <v>350</v>
      </c>
      <c r="AA306" s="9" t="n">
        <v>0</v>
      </c>
      <c r="AB306" s="9" t="n">
        <v>350</v>
      </c>
    </row>
    <row r="307" customFormat="false" ht="15" hidden="false" customHeight="false" outlineLevel="0" collapsed="false">
      <c r="A307" s="3" t="s">
        <v>1032</v>
      </c>
      <c r="B307" s="3" t="s">
        <v>1033</v>
      </c>
      <c r="C307" s="3" t="s">
        <v>232</v>
      </c>
      <c r="D307" s="3" t="s">
        <v>233</v>
      </c>
      <c r="E307" s="3" t="n">
        <v>2004</v>
      </c>
      <c r="F307" s="3" t="s">
        <v>70</v>
      </c>
      <c r="G307" s="3" t="s">
        <v>71</v>
      </c>
      <c r="H307" s="3" t="s">
        <v>1034</v>
      </c>
      <c r="I307" s="3" t="s">
        <v>56</v>
      </c>
      <c r="J307" s="7" t="n">
        <v>330000</v>
      </c>
      <c r="K307" s="3" t="s">
        <v>149</v>
      </c>
      <c r="L307" s="7" t="n">
        <v>6225.56</v>
      </c>
      <c r="M307" s="7" t="n">
        <v>778.2</v>
      </c>
      <c r="N307" s="7" t="n">
        <v>778.2</v>
      </c>
      <c r="O307" s="7" t="n">
        <v>4669.2</v>
      </c>
      <c r="P307" s="7" t="n">
        <v>466.92</v>
      </c>
      <c r="Q307" s="7" t="n">
        <v>466.92</v>
      </c>
      <c r="R307" s="7" t="n">
        <v>466.92</v>
      </c>
      <c r="S307" s="7" t="n">
        <v>466.92</v>
      </c>
      <c r="T307" s="7" t="n">
        <v>466.92</v>
      </c>
      <c r="U307" s="7" t="n">
        <v>466.92</v>
      </c>
      <c r="V307" s="7" t="n">
        <v>466.92</v>
      </c>
      <c r="W307" s="7" t="n">
        <v>466.92</v>
      </c>
      <c r="X307" s="7" t="n">
        <v>466.92</v>
      </c>
      <c r="Y307" s="7" t="n">
        <v>466.92</v>
      </c>
      <c r="Z307" s="7" t="n">
        <v>350</v>
      </c>
      <c r="AA307" s="7" t="n">
        <v>0</v>
      </c>
      <c r="AB307" s="7" t="n">
        <v>350</v>
      </c>
    </row>
    <row r="308" customFormat="false" ht="15" hidden="false" customHeight="false" outlineLevel="0" collapsed="false">
      <c r="A308" s="8" t="s">
        <v>1035</v>
      </c>
      <c r="B308" s="8" t="s">
        <v>1036</v>
      </c>
      <c r="C308" s="8" t="s">
        <v>312</v>
      </c>
      <c r="D308" s="8" t="s">
        <v>313</v>
      </c>
      <c r="E308" s="8" t="n">
        <v>1961</v>
      </c>
      <c r="F308" s="8" t="s">
        <v>113</v>
      </c>
      <c r="G308" s="8" t="s">
        <v>139</v>
      </c>
      <c r="H308" s="8" t="s">
        <v>1037</v>
      </c>
      <c r="I308" s="8" t="s">
        <v>107</v>
      </c>
      <c r="J308" s="9" t="n">
        <v>385000</v>
      </c>
      <c r="K308" s="8" t="s">
        <v>134</v>
      </c>
      <c r="L308" s="9" t="n">
        <v>4280.55</v>
      </c>
      <c r="M308" s="9" t="n">
        <v>535.07</v>
      </c>
      <c r="N308" s="9" t="n">
        <v>535.07</v>
      </c>
      <c r="O308" s="9" t="n">
        <v>3210.4</v>
      </c>
      <c r="P308" s="9" t="n">
        <v>321.04</v>
      </c>
      <c r="Q308" s="9" t="n">
        <v>321.04</v>
      </c>
      <c r="R308" s="9" t="n">
        <v>321.04</v>
      </c>
      <c r="S308" s="9" t="n">
        <v>321.04</v>
      </c>
      <c r="T308" s="9" t="n">
        <v>321.04</v>
      </c>
      <c r="U308" s="9" t="n">
        <v>321.04</v>
      </c>
      <c r="V308" s="9" t="n">
        <v>321.04</v>
      </c>
      <c r="W308" s="9" t="n">
        <v>321.04</v>
      </c>
      <c r="X308" s="9" t="n">
        <v>321.04</v>
      </c>
      <c r="Y308" s="9" t="n">
        <v>321.04</v>
      </c>
      <c r="Z308" s="9" t="n">
        <v>350</v>
      </c>
      <c r="AA308" s="9" t="n">
        <v>0</v>
      </c>
      <c r="AB308" s="9" t="n">
        <v>350</v>
      </c>
    </row>
    <row r="309" customFormat="false" ht="15" hidden="false" customHeight="false" outlineLevel="0" collapsed="false">
      <c r="A309" s="3" t="s">
        <v>1038</v>
      </c>
      <c r="B309" s="3" t="s">
        <v>849</v>
      </c>
      <c r="C309" s="3" t="s">
        <v>103</v>
      </c>
      <c r="D309" s="3" t="s">
        <v>104</v>
      </c>
      <c r="E309" s="3" t="n">
        <v>1989</v>
      </c>
      <c r="F309" s="3" t="s">
        <v>70</v>
      </c>
      <c r="G309" s="3" t="s">
        <v>71</v>
      </c>
      <c r="H309" s="3" t="s">
        <v>1039</v>
      </c>
      <c r="I309" s="3" t="s">
        <v>56</v>
      </c>
      <c r="J309" s="7" t="n">
        <v>340000</v>
      </c>
      <c r="K309" s="3" t="s">
        <v>229</v>
      </c>
      <c r="L309" s="7" t="n">
        <v>4199.23</v>
      </c>
      <c r="M309" s="7" t="n">
        <v>524.9</v>
      </c>
      <c r="N309" s="7" t="n">
        <v>524.9</v>
      </c>
      <c r="O309" s="7" t="n">
        <v>3149.4</v>
      </c>
      <c r="P309" s="7" t="n">
        <v>314.94</v>
      </c>
      <c r="Q309" s="7" t="n">
        <v>314.94</v>
      </c>
      <c r="R309" s="7" t="n">
        <v>314.94</v>
      </c>
      <c r="S309" s="7" t="n">
        <v>314.94</v>
      </c>
      <c r="T309" s="7" t="n">
        <v>314.94</v>
      </c>
      <c r="U309" s="7" t="n">
        <v>314.94</v>
      </c>
      <c r="V309" s="7" t="n">
        <v>314.94</v>
      </c>
      <c r="W309" s="7" t="n">
        <v>314.94</v>
      </c>
      <c r="X309" s="7" t="n">
        <v>314.94</v>
      </c>
      <c r="Y309" s="7" t="n">
        <v>314.94</v>
      </c>
      <c r="Z309" s="7" t="n">
        <v>350</v>
      </c>
      <c r="AA309" s="7" t="n">
        <v>0</v>
      </c>
      <c r="AB309" s="7" t="n">
        <v>350</v>
      </c>
    </row>
    <row r="310" customFormat="false" ht="15" hidden="false" customHeight="false" outlineLevel="0" collapsed="false">
      <c r="A310" s="8" t="s">
        <v>1040</v>
      </c>
      <c r="B310" s="8" t="s">
        <v>977</v>
      </c>
      <c r="C310" s="8" t="s">
        <v>163</v>
      </c>
      <c r="D310" s="8" t="s">
        <v>164</v>
      </c>
      <c r="E310" s="8" t="n">
        <v>1979</v>
      </c>
      <c r="F310" s="8" t="s">
        <v>158</v>
      </c>
      <c r="G310" s="8" t="s">
        <v>159</v>
      </c>
      <c r="H310" s="8" t="s">
        <v>1041</v>
      </c>
      <c r="I310" s="8" t="s">
        <v>56</v>
      </c>
      <c r="J310" s="9" t="n">
        <v>265000</v>
      </c>
      <c r="K310" s="8" t="s">
        <v>636</v>
      </c>
      <c r="L310" s="9" t="n">
        <v>4279.98</v>
      </c>
      <c r="M310" s="9" t="n">
        <v>535</v>
      </c>
      <c r="N310" s="9" t="n">
        <v>535</v>
      </c>
      <c r="O310" s="9" t="n">
        <v>3210</v>
      </c>
      <c r="P310" s="9" t="n">
        <v>321</v>
      </c>
      <c r="Q310" s="9" t="n">
        <v>321</v>
      </c>
      <c r="R310" s="9" t="n">
        <v>321</v>
      </c>
      <c r="S310" s="9" t="n">
        <v>321</v>
      </c>
      <c r="T310" s="9" t="n">
        <v>321</v>
      </c>
      <c r="U310" s="9" t="n">
        <v>321</v>
      </c>
      <c r="V310" s="9" t="n">
        <v>321</v>
      </c>
      <c r="W310" s="9" t="n">
        <v>321</v>
      </c>
      <c r="X310" s="9" t="n">
        <v>321</v>
      </c>
      <c r="Y310" s="9" t="n">
        <v>321</v>
      </c>
      <c r="Z310" s="9" t="n">
        <v>350</v>
      </c>
      <c r="AA310" s="9" t="n">
        <v>0</v>
      </c>
      <c r="AB310" s="9" t="n">
        <v>350</v>
      </c>
    </row>
    <row r="311" customFormat="false" ht="15" hidden="false" customHeight="false" outlineLevel="0" collapsed="false">
      <c r="A311" s="3" t="s">
        <v>1042</v>
      </c>
      <c r="B311" s="3" t="s">
        <v>1043</v>
      </c>
      <c r="C311" s="3" t="s">
        <v>232</v>
      </c>
      <c r="D311" s="3" t="s">
        <v>233</v>
      </c>
      <c r="E311" s="3" t="n">
        <v>1997</v>
      </c>
      <c r="F311" s="3" t="s">
        <v>181</v>
      </c>
      <c r="G311" s="3" t="s">
        <v>182</v>
      </c>
      <c r="H311" s="3" t="s">
        <v>1044</v>
      </c>
      <c r="I311" s="3" t="s">
        <v>47</v>
      </c>
      <c r="J311" s="7" t="n">
        <v>770000</v>
      </c>
      <c r="K311" s="3" t="s">
        <v>540</v>
      </c>
      <c r="L311" s="7" t="n">
        <v>12575.52</v>
      </c>
      <c r="M311" s="7" t="n">
        <v>1571.94</v>
      </c>
      <c r="N311" s="7" t="n">
        <v>1571.94</v>
      </c>
      <c r="O311" s="7" t="n">
        <v>9431.6</v>
      </c>
      <c r="P311" s="7" t="n">
        <v>943.16</v>
      </c>
      <c r="Q311" s="7" t="n">
        <v>943.16</v>
      </c>
      <c r="R311" s="7" t="n">
        <v>943.16</v>
      </c>
      <c r="S311" s="7" t="n">
        <v>943.16</v>
      </c>
      <c r="T311" s="7" t="n">
        <v>943.16</v>
      </c>
      <c r="U311" s="7" t="n">
        <v>943.16</v>
      </c>
      <c r="V311" s="7" t="n">
        <v>943.16</v>
      </c>
      <c r="W311" s="7" t="n">
        <v>943.16</v>
      </c>
      <c r="X311" s="7" t="n">
        <v>943.16</v>
      </c>
      <c r="Y311" s="7" t="n">
        <v>943.16</v>
      </c>
      <c r="Z311" s="7" t="n">
        <v>350</v>
      </c>
      <c r="AA311" s="7" t="n">
        <v>0</v>
      </c>
      <c r="AB311" s="7" t="n">
        <v>350</v>
      </c>
    </row>
    <row r="312" customFormat="false" ht="15" hidden="false" customHeight="false" outlineLevel="0" collapsed="false">
      <c r="A312" s="8" t="s">
        <v>1045</v>
      </c>
      <c r="B312" s="8" t="s">
        <v>1046</v>
      </c>
      <c r="C312" s="8" t="s">
        <v>103</v>
      </c>
      <c r="D312" s="8" t="s">
        <v>104</v>
      </c>
      <c r="E312" s="8" t="n">
        <v>1992</v>
      </c>
      <c r="F312" s="8" t="s">
        <v>113</v>
      </c>
      <c r="G312" s="8" t="s">
        <v>139</v>
      </c>
      <c r="H312" s="8" t="s">
        <v>1047</v>
      </c>
      <c r="I312" s="8" t="s">
        <v>107</v>
      </c>
      <c r="J312" s="9" t="n">
        <v>680000</v>
      </c>
      <c r="K312" s="8" t="s">
        <v>350</v>
      </c>
      <c r="L312" s="9" t="n">
        <v>5661.73</v>
      </c>
      <c r="M312" s="9" t="n">
        <v>707.72</v>
      </c>
      <c r="N312" s="9" t="n">
        <v>707.72</v>
      </c>
      <c r="O312" s="9" t="n">
        <v>4246.3</v>
      </c>
      <c r="P312" s="9" t="n">
        <v>424.63</v>
      </c>
      <c r="Q312" s="9" t="n">
        <v>424.63</v>
      </c>
      <c r="R312" s="9" t="n">
        <v>424.63</v>
      </c>
      <c r="S312" s="9" t="n">
        <v>424.63</v>
      </c>
      <c r="T312" s="9" t="n">
        <v>424.63</v>
      </c>
      <c r="U312" s="9" t="n">
        <v>424.63</v>
      </c>
      <c r="V312" s="9" t="n">
        <v>424.63</v>
      </c>
      <c r="W312" s="9" t="n">
        <v>424.63</v>
      </c>
      <c r="X312" s="9" t="n">
        <v>424.63</v>
      </c>
      <c r="Y312" s="9" t="n">
        <v>424.63</v>
      </c>
      <c r="Z312" s="9" t="n">
        <v>350</v>
      </c>
      <c r="AA312" s="9" t="n">
        <v>0</v>
      </c>
      <c r="AB312" s="9" t="n">
        <v>350</v>
      </c>
    </row>
    <row r="313" customFormat="false" ht="15" hidden="false" customHeight="false" outlineLevel="0" collapsed="false">
      <c r="A313" s="3" t="s">
        <v>1048</v>
      </c>
      <c r="B313" s="3" t="s">
        <v>436</v>
      </c>
      <c r="C313" s="3" t="s">
        <v>232</v>
      </c>
      <c r="D313" s="3" t="s">
        <v>233</v>
      </c>
      <c r="E313" s="3" t="n">
        <v>1970</v>
      </c>
      <c r="F313" s="3" t="s">
        <v>146</v>
      </c>
      <c r="G313" s="3" t="s">
        <v>147</v>
      </c>
      <c r="H313" s="3" t="s">
        <v>1049</v>
      </c>
      <c r="I313" s="3" t="s">
        <v>56</v>
      </c>
      <c r="J313" s="7" t="n">
        <v>1065000</v>
      </c>
      <c r="K313" s="3" t="s">
        <v>79</v>
      </c>
      <c r="L313" s="7" t="n">
        <v>10281.87</v>
      </c>
      <c r="M313" s="7" t="n">
        <v>1285.23</v>
      </c>
      <c r="N313" s="7" t="n">
        <v>1285.23</v>
      </c>
      <c r="O313" s="7" t="n">
        <v>7711.4</v>
      </c>
      <c r="P313" s="7" t="n">
        <v>771.14</v>
      </c>
      <c r="Q313" s="7" t="n">
        <v>771.14</v>
      </c>
      <c r="R313" s="7" t="n">
        <v>771.14</v>
      </c>
      <c r="S313" s="7" t="n">
        <v>771.14</v>
      </c>
      <c r="T313" s="7" t="n">
        <v>771.14</v>
      </c>
      <c r="U313" s="7" t="n">
        <v>771.14</v>
      </c>
      <c r="V313" s="7" t="n">
        <v>771.14</v>
      </c>
      <c r="W313" s="7" t="n">
        <v>771.14</v>
      </c>
      <c r="X313" s="7" t="n">
        <v>771.14</v>
      </c>
      <c r="Y313" s="7" t="n">
        <v>771.14</v>
      </c>
      <c r="Z313" s="7" t="n">
        <v>350</v>
      </c>
      <c r="AA313" s="7" t="n">
        <v>250</v>
      </c>
      <c r="AB313" s="7" t="n">
        <v>600</v>
      </c>
    </row>
    <row r="314" customFormat="false" ht="15" hidden="false" customHeight="false" outlineLevel="0" collapsed="false">
      <c r="A314" s="8" t="s">
        <v>1050</v>
      </c>
      <c r="B314" s="8" t="s">
        <v>1051</v>
      </c>
      <c r="C314" s="8" t="s">
        <v>144</v>
      </c>
      <c r="D314" s="8" t="s">
        <v>145</v>
      </c>
      <c r="E314" s="8" t="n">
        <v>1959</v>
      </c>
      <c r="F314" s="8" t="s">
        <v>44</v>
      </c>
      <c r="G314" s="8" t="s">
        <v>45</v>
      </c>
      <c r="H314" s="8" t="s">
        <v>1052</v>
      </c>
      <c r="I314" s="8" t="s">
        <v>47</v>
      </c>
      <c r="J314" s="9" t="n">
        <v>900000</v>
      </c>
      <c r="K314" s="8" t="s">
        <v>170</v>
      </c>
      <c r="L314" s="9" t="n">
        <v>19340.34</v>
      </c>
      <c r="M314" s="9" t="n">
        <v>2417.54</v>
      </c>
      <c r="N314" s="9" t="n">
        <v>2417.54</v>
      </c>
      <c r="O314" s="9" t="n">
        <v>14505.3</v>
      </c>
      <c r="P314" s="9" t="n">
        <v>1450.53</v>
      </c>
      <c r="Q314" s="9" t="n">
        <v>1450.53</v>
      </c>
      <c r="R314" s="9" t="n">
        <v>1450.53</v>
      </c>
      <c r="S314" s="9" t="n">
        <v>1450.53</v>
      </c>
      <c r="T314" s="9" t="n">
        <v>1450.53</v>
      </c>
      <c r="U314" s="9" t="n">
        <v>1450.53</v>
      </c>
      <c r="V314" s="9" t="n">
        <v>1450.53</v>
      </c>
      <c r="W314" s="9" t="n">
        <v>1450.53</v>
      </c>
      <c r="X314" s="9" t="n">
        <v>1450.53</v>
      </c>
      <c r="Y314" s="9" t="n">
        <v>1450.53</v>
      </c>
      <c r="Z314" s="9" t="n">
        <v>350</v>
      </c>
      <c r="AA314" s="9" t="n">
        <v>0</v>
      </c>
      <c r="AB314" s="9" t="n">
        <v>350</v>
      </c>
    </row>
    <row r="315" customFormat="false" ht="15" hidden="false" customHeight="false" outlineLevel="0" collapsed="false">
      <c r="A315" s="3" t="s">
        <v>1053</v>
      </c>
      <c r="B315" s="3" t="s">
        <v>1054</v>
      </c>
      <c r="C315" s="3" t="s">
        <v>306</v>
      </c>
      <c r="D315" s="3" t="s">
        <v>307</v>
      </c>
      <c r="E315" s="3" t="n">
        <v>1971</v>
      </c>
      <c r="F315" s="3" t="s">
        <v>53</v>
      </c>
      <c r="G315" s="3" t="s">
        <v>54</v>
      </c>
      <c r="H315" s="3" t="s">
        <v>1055</v>
      </c>
      <c r="I315" s="3" t="s">
        <v>56</v>
      </c>
      <c r="J315" s="7" t="n">
        <v>325000</v>
      </c>
      <c r="K315" s="3" t="s">
        <v>315</v>
      </c>
      <c r="L315" s="7" t="n">
        <v>5822.46</v>
      </c>
      <c r="M315" s="7" t="n">
        <v>727.81</v>
      </c>
      <c r="N315" s="7" t="n">
        <v>727.81</v>
      </c>
      <c r="O315" s="7" t="n">
        <v>4366.8</v>
      </c>
      <c r="P315" s="7" t="n">
        <v>436.68</v>
      </c>
      <c r="Q315" s="7" t="n">
        <v>436.68</v>
      </c>
      <c r="R315" s="7" t="n">
        <v>436.68</v>
      </c>
      <c r="S315" s="7" t="n">
        <v>436.68</v>
      </c>
      <c r="T315" s="7" t="n">
        <v>436.68</v>
      </c>
      <c r="U315" s="7" t="n">
        <v>436.68</v>
      </c>
      <c r="V315" s="7" t="n">
        <v>436.68</v>
      </c>
      <c r="W315" s="7" t="n">
        <v>436.68</v>
      </c>
      <c r="X315" s="7" t="n">
        <v>436.68</v>
      </c>
      <c r="Y315" s="7" t="n">
        <v>436.68</v>
      </c>
      <c r="Z315" s="7" t="n">
        <v>350</v>
      </c>
      <c r="AA315" s="7" t="n">
        <v>0</v>
      </c>
      <c r="AB315" s="7" t="n">
        <v>350</v>
      </c>
    </row>
    <row r="316" customFormat="false" ht="15" hidden="false" customHeight="false" outlineLevel="0" collapsed="false">
      <c r="A316" s="8" t="s">
        <v>1056</v>
      </c>
      <c r="B316" s="8" t="s">
        <v>1057</v>
      </c>
      <c r="C316" s="8" t="s">
        <v>111</v>
      </c>
      <c r="D316" s="8" t="s">
        <v>112</v>
      </c>
      <c r="E316" s="8" t="n">
        <v>2001</v>
      </c>
      <c r="F316" s="8" t="s">
        <v>113</v>
      </c>
      <c r="G316" s="8" t="s">
        <v>114</v>
      </c>
      <c r="H316" s="8" t="s">
        <v>1058</v>
      </c>
      <c r="I316" s="8" t="s">
        <v>56</v>
      </c>
      <c r="J316" s="9" t="n">
        <v>545000</v>
      </c>
      <c r="K316" s="8" t="s">
        <v>580</v>
      </c>
      <c r="L316" s="9" t="n">
        <v>6474.69</v>
      </c>
      <c r="M316" s="9" t="n">
        <v>809.34</v>
      </c>
      <c r="N316" s="9" t="n">
        <v>809.34</v>
      </c>
      <c r="O316" s="9" t="n">
        <v>4856</v>
      </c>
      <c r="P316" s="9" t="n">
        <v>485.6</v>
      </c>
      <c r="Q316" s="9" t="n">
        <v>485.6</v>
      </c>
      <c r="R316" s="9" t="n">
        <v>485.6</v>
      </c>
      <c r="S316" s="9" t="n">
        <v>485.6</v>
      </c>
      <c r="T316" s="9" t="n">
        <v>485.6</v>
      </c>
      <c r="U316" s="9" t="n">
        <v>485.6</v>
      </c>
      <c r="V316" s="9" t="n">
        <v>485.6</v>
      </c>
      <c r="W316" s="9" t="n">
        <v>485.6</v>
      </c>
      <c r="X316" s="9" t="n">
        <v>485.6</v>
      </c>
      <c r="Y316" s="9" t="n">
        <v>485.6</v>
      </c>
      <c r="Z316" s="9" t="n">
        <v>350</v>
      </c>
      <c r="AA316" s="9" t="n">
        <v>0</v>
      </c>
      <c r="AB316" s="9" t="n">
        <v>350</v>
      </c>
    </row>
    <row r="317" customFormat="false" ht="15" hidden="false" customHeight="false" outlineLevel="0" collapsed="false">
      <c r="A317" s="3" t="s">
        <v>1059</v>
      </c>
      <c r="B317" s="3" t="s">
        <v>1051</v>
      </c>
      <c r="C317" s="3" t="s">
        <v>156</v>
      </c>
      <c r="D317" s="3" t="s">
        <v>157</v>
      </c>
      <c r="E317" s="3" t="n">
        <v>1967</v>
      </c>
      <c r="F317" s="3" t="s">
        <v>53</v>
      </c>
      <c r="G317" s="3" t="s">
        <v>54</v>
      </c>
      <c r="H317" s="3" t="s">
        <v>1060</v>
      </c>
      <c r="I317" s="3" t="s">
        <v>56</v>
      </c>
      <c r="J317" s="7" t="n">
        <v>645000</v>
      </c>
      <c r="K317" s="3" t="s">
        <v>940</v>
      </c>
      <c r="L317" s="7" t="n">
        <v>7738.58</v>
      </c>
      <c r="M317" s="7" t="n">
        <v>967.32</v>
      </c>
      <c r="N317" s="7" t="n">
        <v>967.32</v>
      </c>
      <c r="O317" s="7" t="n">
        <v>5803.9</v>
      </c>
      <c r="P317" s="7" t="n">
        <v>580.39</v>
      </c>
      <c r="Q317" s="7" t="n">
        <v>580.39</v>
      </c>
      <c r="R317" s="7" t="n">
        <v>580.39</v>
      </c>
      <c r="S317" s="7" t="n">
        <v>580.39</v>
      </c>
      <c r="T317" s="7" t="n">
        <v>580.39</v>
      </c>
      <c r="U317" s="7" t="n">
        <v>580.39</v>
      </c>
      <c r="V317" s="7" t="n">
        <v>580.39</v>
      </c>
      <c r="W317" s="7" t="n">
        <v>580.39</v>
      </c>
      <c r="X317" s="7" t="n">
        <v>580.39</v>
      </c>
      <c r="Y317" s="7" t="n">
        <v>580.39</v>
      </c>
      <c r="Z317" s="7" t="n">
        <v>350</v>
      </c>
      <c r="AA317" s="7" t="n">
        <v>0</v>
      </c>
      <c r="AB317" s="7" t="n">
        <v>350</v>
      </c>
    </row>
    <row r="318" customFormat="false" ht="15" hidden="false" customHeight="false" outlineLevel="0" collapsed="false">
      <c r="A318" s="8" t="s">
        <v>1061</v>
      </c>
      <c r="B318" s="8" t="s">
        <v>784</v>
      </c>
      <c r="C318" s="8" t="s">
        <v>312</v>
      </c>
      <c r="D318" s="8" t="s">
        <v>313</v>
      </c>
      <c r="E318" s="8" t="n">
        <v>1957</v>
      </c>
      <c r="F318" s="8" t="s">
        <v>146</v>
      </c>
      <c r="G318" s="8" t="s">
        <v>147</v>
      </c>
      <c r="H318" s="8" t="s">
        <v>1062</v>
      </c>
      <c r="I318" s="8" t="s">
        <v>56</v>
      </c>
      <c r="J318" s="9" t="n">
        <v>330000</v>
      </c>
      <c r="K318" s="8" t="s">
        <v>461</v>
      </c>
      <c r="L318" s="9" t="n">
        <v>5016.28</v>
      </c>
      <c r="M318" s="9" t="n">
        <v>627.03</v>
      </c>
      <c r="N318" s="9" t="n">
        <v>627.03</v>
      </c>
      <c r="O318" s="9" t="n">
        <v>3762.2</v>
      </c>
      <c r="P318" s="9" t="n">
        <v>376.22</v>
      </c>
      <c r="Q318" s="9" t="n">
        <v>376.22</v>
      </c>
      <c r="R318" s="9" t="n">
        <v>376.22</v>
      </c>
      <c r="S318" s="9" t="n">
        <v>376.22</v>
      </c>
      <c r="T318" s="9" t="n">
        <v>376.22</v>
      </c>
      <c r="U318" s="9" t="n">
        <v>376.22</v>
      </c>
      <c r="V318" s="9" t="n">
        <v>376.22</v>
      </c>
      <c r="W318" s="9" t="n">
        <v>376.22</v>
      </c>
      <c r="X318" s="9" t="n">
        <v>376.22</v>
      </c>
      <c r="Y318" s="9" t="n">
        <v>376.22</v>
      </c>
      <c r="Z318" s="9" t="n">
        <v>350</v>
      </c>
      <c r="AA318" s="9" t="n">
        <v>0</v>
      </c>
      <c r="AB318" s="9" t="n">
        <v>350</v>
      </c>
    </row>
    <row r="319" customFormat="false" ht="15" hidden="false" customHeight="false" outlineLevel="0" collapsed="false">
      <c r="A319" s="3" t="s">
        <v>1063</v>
      </c>
      <c r="B319" s="3" t="s">
        <v>408</v>
      </c>
      <c r="C319" s="3" t="s">
        <v>68</v>
      </c>
      <c r="D319" s="3" t="s">
        <v>69</v>
      </c>
      <c r="E319" s="3" t="n">
        <v>2001</v>
      </c>
      <c r="F319" s="3" t="s">
        <v>181</v>
      </c>
      <c r="G319" s="3" t="s">
        <v>182</v>
      </c>
      <c r="H319" s="3" t="s">
        <v>1064</v>
      </c>
      <c r="I319" s="3" t="s">
        <v>47</v>
      </c>
      <c r="J319" s="7" t="n">
        <v>1675000</v>
      </c>
      <c r="K319" s="3" t="s">
        <v>210</v>
      </c>
      <c r="L319" s="7" t="n">
        <v>32736.08</v>
      </c>
      <c r="M319" s="7" t="n">
        <v>4092.01</v>
      </c>
      <c r="N319" s="7" t="n">
        <v>4092.01</v>
      </c>
      <c r="O319" s="7" t="n">
        <v>24552.1</v>
      </c>
      <c r="P319" s="7" t="n">
        <v>2455.21</v>
      </c>
      <c r="Q319" s="7" t="n">
        <v>2455.21</v>
      </c>
      <c r="R319" s="7" t="n">
        <v>2455.21</v>
      </c>
      <c r="S319" s="7" t="n">
        <v>2455.21</v>
      </c>
      <c r="T319" s="7" t="n">
        <v>2455.21</v>
      </c>
      <c r="U319" s="7" t="n">
        <v>2455.21</v>
      </c>
      <c r="V319" s="7" t="n">
        <v>2455.21</v>
      </c>
      <c r="W319" s="7" t="n">
        <v>2455.21</v>
      </c>
      <c r="X319" s="7" t="n">
        <v>2455.21</v>
      </c>
      <c r="Y319" s="7" t="n">
        <v>2455.21</v>
      </c>
      <c r="Z319" s="7" t="n">
        <v>350</v>
      </c>
      <c r="AA319" s="7" t="n">
        <v>250</v>
      </c>
      <c r="AB319" s="7" t="n">
        <v>600</v>
      </c>
    </row>
    <row r="320" customFormat="false" ht="15" hidden="false" customHeight="false" outlineLevel="0" collapsed="false">
      <c r="A320" s="8" t="s">
        <v>1065</v>
      </c>
      <c r="B320" s="8" t="s">
        <v>1066</v>
      </c>
      <c r="C320" s="8" t="s">
        <v>137</v>
      </c>
      <c r="D320" s="8" t="s">
        <v>138</v>
      </c>
      <c r="E320" s="8" t="n">
        <v>1979</v>
      </c>
      <c r="F320" s="8" t="s">
        <v>181</v>
      </c>
      <c r="G320" s="8" t="s">
        <v>182</v>
      </c>
      <c r="H320" s="8" t="s">
        <v>1067</v>
      </c>
      <c r="I320" s="8" t="s">
        <v>47</v>
      </c>
      <c r="J320" s="9" t="n">
        <v>500000</v>
      </c>
      <c r="K320" s="8" t="s">
        <v>319</v>
      </c>
      <c r="L320" s="9" t="n">
        <v>10916.55</v>
      </c>
      <c r="M320" s="9" t="n">
        <v>1364.57</v>
      </c>
      <c r="N320" s="9" t="n">
        <v>1364.57</v>
      </c>
      <c r="O320" s="9" t="n">
        <v>8187.4</v>
      </c>
      <c r="P320" s="9" t="n">
        <v>818.74</v>
      </c>
      <c r="Q320" s="9" t="n">
        <v>818.74</v>
      </c>
      <c r="R320" s="9" t="n">
        <v>818.74</v>
      </c>
      <c r="S320" s="9" t="n">
        <v>818.74</v>
      </c>
      <c r="T320" s="9" t="n">
        <v>818.74</v>
      </c>
      <c r="U320" s="9" t="n">
        <v>818.74</v>
      </c>
      <c r="V320" s="9" t="n">
        <v>818.74</v>
      </c>
      <c r="W320" s="9" t="n">
        <v>818.74</v>
      </c>
      <c r="X320" s="9" t="n">
        <v>818.74</v>
      </c>
      <c r="Y320" s="9" t="n">
        <v>818.74</v>
      </c>
      <c r="Z320" s="9" t="n">
        <v>350</v>
      </c>
      <c r="AA320" s="9" t="n">
        <v>0</v>
      </c>
      <c r="AB320" s="9" t="n">
        <v>350</v>
      </c>
    </row>
    <row r="321" customFormat="false" ht="15" hidden="false" customHeight="false" outlineLevel="0" collapsed="false">
      <c r="A321" s="3" t="s">
        <v>1068</v>
      </c>
      <c r="B321" s="3" t="s">
        <v>227</v>
      </c>
      <c r="C321" s="3" t="s">
        <v>42</v>
      </c>
      <c r="D321" s="3" t="s">
        <v>43</v>
      </c>
      <c r="E321" s="3" t="n">
        <v>2020</v>
      </c>
      <c r="F321" s="3" t="s">
        <v>119</v>
      </c>
      <c r="G321" s="3" t="s">
        <v>120</v>
      </c>
      <c r="H321" s="3" t="s">
        <v>1069</v>
      </c>
      <c r="I321" s="3" t="s">
        <v>56</v>
      </c>
      <c r="J321" s="7" t="n">
        <v>245000</v>
      </c>
      <c r="K321" s="3" t="s">
        <v>379</v>
      </c>
      <c r="L321" s="7" t="n">
        <v>4445.98</v>
      </c>
      <c r="M321" s="7" t="n">
        <v>555.75</v>
      </c>
      <c r="N321" s="7" t="n">
        <v>555.75</v>
      </c>
      <c r="O321" s="7" t="n">
        <v>3334.5</v>
      </c>
      <c r="P321" s="7" t="n">
        <v>333.45</v>
      </c>
      <c r="Q321" s="7" t="n">
        <v>333.45</v>
      </c>
      <c r="R321" s="7" t="n">
        <v>333.45</v>
      </c>
      <c r="S321" s="7" t="n">
        <v>333.45</v>
      </c>
      <c r="T321" s="7" t="n">
        <v>333.45</v>
      </c>
      <c r="U321" s="7" t="n">
        <v>333.45</v>
      </c>
      <c r="V321" s="7" t="n">
        <v>333.45</v>
      </c>
      <c r="W321" s="7" t="n">
        <v>333.45</v>
      </c>
      <c r="X321" s="7" t="n">
        <v>333.45</v>
      </c>
      <c r="Y321" s="7" t="n">
        <v>333.45</v>
      </c>
      <c r="Z321" s="7" t="n">
        <v>350</v>
      </c>
      <c r="AA321" s="7" t="n">
        <v>0</v>
      </c>
      <c r="AB321" s="7" t="n">
        <v>350</v>
      </c>
    </row>
    <row r="322" customFormat="false" ht="15" hidden="false" customHeight="false" outlineLevel="0" collapsed="false">
      <c r="A322" s="8" t="s">
        <v>1070</v>
      </c>
      <c r="B322" s="8" t="s">
        <v>1071</v>
      </c>
      <c r="C322" s="8" t="s">
        <v>87</v>
      </c>
      <c r="D322" s="8" t="s">
        <v>88</v>
      </c>
      <c r="E322" s="8" t="n">
        <v>1976</v>
      </c>
      <c r="F322" s="8" t="s">
        <v>181</v>
      </c>
      <c r="G322" s="8" t="s">
        <v>182</v>
      </c>
      <c r="H322" s="8" t="s">
        <v>1072</v>
      </c>
      <c r="I322" s="8" t="s">
        <v>47</v>
      </c>
      <c r="J322" s="9" t="n">
        <v>985000</v>
      </c>
      <c r="K322" s="8" t="s">
        <v>73</v>
      </c>
      <c r="L322" s="9" t="n">
        <v>20828.26</v>
      </c>
      <c r="M322" s="9" t="n">
        <v>2603.53</v>
      </c>
      <c r="N322" s="9" t="n">
        <v>2603.53</v>
      </c>
      <c r="O322" s="9" t="n">
        <v>15621.2</v>
      </c>
      <c r="P322" s="9" t="n">
        <v>1562.12</v>
      </c>
      <c r="Q322" s="9" t="n">
        <v>1562.12</v>
      </c>
      <c r="R322" s="9" t="n">
        <v>1562.12</v>
      </c>
      <c r="S322" s="9" t="n">
        <v>1562.12</v>
      </c>
      <c r="T322" s="9" t="n">
        <v>1562.12</v>
      </c>
      <c r="U322" s="9" t="n">
        <v>1562.12</v>
      </c>
      <c r="V322" s="9" t="n">
        <v>1562.12</v>
      </c>
      <c r="W322" s="9" t="n">
        <v>1562.12</v>
      </c>
      <c r="X322" s="9" t="n">
        <v>1562.12</v>
      </c>
      <c r="Y322" s="9" t="n">
        <v>1562.12</v>
      </c>
      <c r="Z322" s="9" t="n">
        <v>350</v>
      </c>
      <c r="AA322" s="9" t="n">
        <v>0</v>
      </c>
      <c r="AB322" s="9" t="n">
        <v>350</v>
      </c>
    </row>
    <row r="323" customFormat="false" ht="15" hidden="false" customHeight="false" outlineLevel="0" collapsed="false">
      <c r="A323" s="3" t="s">
        <v>1073</v>
      </c>
      <c r="B323" s="3" t="s">
        <v>1074</v>
      </c>
      <c r="C323" s="3" t="s">
        <v>131</v>
      </c>
      <c r="D323" s="3" t="s">
        <v>132</v>
      </c>
      <c r="E323" s="3" t="n">
        <v>2014</v>
      </c>
      <c r="F323" s="3" t="s">
        <v>146</v>
      </c>
      <c r="G323" s="3" t="s">
        <v>147</v>
      </c>
      <c r="H323" s="3" t="s">
        <v>1075</v>
      </c>
      <c r="I323" s="3" t="s">
        <v>56</v>
      </c>
      <c r="J323" s="7" t="n">
        <v>175000</v>
      </c>
      <c r="K323" s="3" t="s">
        <v>79</v>
      </c>
      <c r="L323" s="7" t="n">
        <v>2826.08</v>
      </c>
      <c r="M323" s="7" t="n">
        <v>353.26</v>
      </c>
      <c r="N323" s="7" t="n">
        <v>353.26</v>
      </c>
      <c r="O323" s="7" t="n">
        <v>2119.6</v>
      </c>
      <c r="P323" s="7" t="n">
        <v>211.96</v>
      </c>
      <c r="Q323" s="7" t="n">
        <v>211.96</v>
      </c>
      <c r="R323" s="7" t="n">
        <v>211.96</v>
      </c>
      <c r="S323" s="7" t="n">
        <v>211.96</v>
      </c>
      <c r="T323" s="7" t="n">
        <v>211.96</v>
      </c>
      <c r="U323" s="7" t="n">
        <v>211.96</v>
      </c>
      <c r="V323" s="7" t="n">
        <v>211.96</v>
      </c>
      <c r="W323" s="7" t="n">
        <v>211.96</v>
      </c>
      <c r="X323" s="7" t="n">
        <v>211.96</v>
      </c>
      <c r="Y323" s="7" t="n">
        <v>211.96</v>
      </c>
      <c r="Z323" s="7" t="n">
        <v>350</v>
      </c>
      <c r="AA323" s="7" t="n">
        <v>0</v>
      </c>
      <c r="AB323" s="7" t="n">
        <v>350</v>
      </c>
    </row>
    <row r="324" customFormat="false" ht="15" hidden="false" customHeight="false" outlineLevel="0" collapsed="false">
      <c r="A324" s="8" t="s">
        <v>1076</v>
      </c>
      <c r="B324" s="8" t="s">
        <v>365</v>
      </c>
      <c r="C324" s="8" t="s">
        <v>144</v>
      </c>
      <c r="D324" s="8" t="s">
        <v>145</v>
      </c>
      <c r="E324" s="8" t="n">
        <v>2001</v>
      </c>
      <c r="F324" s="8" t="s">
        <v>53</v>
      </c>
      <c r="G324" s="8" t="s">
        <v>54</v>
      </c>
      <c r="H324" s="8" t="s">
        <v>1077</v>
      </c>
      <c r="I324" s="8" t="s">
        <v>56</v>
      </c>
      <c r="J324" s="9" t="n">
        <v>200000</v>
      </c>
      <c r="K324" s="8" t="s">
        <v>100</v>
      </c>
      <c r="L324" s="9" t="n">
        <v>4162.13</v>
      </c>
      <c r="M324" s="9" t="n">
        <v>520.27</v>
      </c>
      <c r="N324" s="9" t="n">
        <v>520.27</v>
      </c>
      <c r="O324" s="9" t="n">
        <v>3121.6</v>
      </c>
      <c r="P324" s="9" t="n">
        <v>312.16</v>
      </c>
      <c r="Q324" s="9" t="n">
        <v>312.16</v>
      </c>
      <c r="R324" s="9" t="n">
        <v>312.16</v>
      </c>
      <c r="S324" s="9" t="n">
        <v>312.16</v>
      </c>
      <c r="T324" s="9" t="n">
        <v>312.16</v>
      </c>
      <c r="U324" s="9" t="n">
        <v>312.16</v>
      </c>
      <c r="V324" s="9" t="n">
        <v>312.16</v>
      </c>
      <c r="W324" s="9" t="n">
        <v>312.16</v>
      </c>
      <c r="X324" s="9" t="n">
        <v>312.16</v>
      </c>
      <c r="Y324" s="9" t="n">
        <v>312.16</v>
      </c>
      <c r="Z324" s="9" t="n">
        <v>350</v>
      </c>
      <c r="AA324" s="9" t="n">
        <v>0</v>
      </c>
      <c r="AB324" s="9" t="n">
        <v>350</v>
      </c>
    </row>
    <row r="325" customFormat="false" ht="15" hidden="false" customHeight="false" outlineLevel="0" collapsed="false">
      <c r="A325" s="3" t="s">
        <v>1078</v>
      </c>
      <c r="B325" s="3" t="s">
        <v>110</v>
      </c>
      <c r="C325" s="3" t="s">
        <v>473</v>
      </c>
      <c r="D325" s="3" t="s">
        <v>474</v>
      </c>
      <c r="E325" s="3" t="n">
        <v>1966</v>
      </c>
      <c r="F325" s="3" t="s">
        <v>146</v>
      </c>
      <c r="G325" s="3" t="s">
        <v>147</v>
      </c>
      <c r="H325" s="3" t="s">
        <v>1079</v>
      </c>
      <c r="I325" s="3" t="s">
        <v>56</v>
      </c>
      <c r="J325" s="7" t="n">
        <v>335000</v>
      </c>
      <c r="K325" s="3" t="s">
        <v>170</v>
      </c>
      <c r="L325" s="7" t="n">
        <v>5683.35</v>
      </c>
      <c r="M325" s="7" t="n">
        <v>710.42</v>
      </c>
      <c r="N325" s="7" t="n">
        <v>710.42</v>
      </c>
      <c r="O325" s="7" t="n">
        <v>4262.5</v>
      </c>
      <c r="P325" s="7" t="n">
        <v>426.25</v>
      </c>
      <c r="Q325" s="7" t="n">
        <v>426.25</v>
      </c>
      <c r="R325" s="7" t="n">
        <v>426.25</v>
      </c>
      <c r="S325" s="7" t="n">
        <v>426.25</v>
      </c>
      <c r="T325" s="7" t="n">
        <v>426.25</v>
      </c>
      <c r="U325" s="7" t="n">
        <v>426.25</v>
      </c>
      <c r="V325" s="7" t="n">
        <v>426.25</v>
      </c>
      <c r="W325" s="7" t="n">
        <v>426.25</v>
      </c>
      <c r="X325" s="7" t="n">
        <v>426.25</v>
      </c>
      <c r="Y325" s="7" t="n">
        <v>426.25</v>
      </c>
      <c r="Z325" s="7" t="n">
        <v>350</v>
      </c>
      <c r="AA325" s="7" t="n">
        <v>0</v>
      </c>
      <c r="AB325" s="7" t="n">
        <v>350</v>
      </c>
    </row>
    <row r="326" customFormat="false" ht="15" hidden="false" customHeight="false" outlineLevel="0" collapsed="false">
      <c r="A326" s="8" t="s">
        <v>1080</v>
      </c>
      <c r="B326" s="8" t="s">
        <v>1081</v>
      </c>
      <c r="C326" s="8" t="s">
        <v>399</v>
      </c>
      <c r="D326" s="8" t="s">
        <v>400</v>
      </c>
      <c r="E326" s="8" t="n">
        <v>1999</v>
      </c>
      <c r="F326" s="8" t="s">
        <v>158</v>
      </c>
      <c r="G326" s="8" t="s">
        <v>159</v>
      </c>
      <c r="H326" s="8" t="s">
        <v>1082</v>
      </c>
      <c r="I326" s="8" t="s">
        <v>56</v>
      </c>
      <c r="J326" s="9" t="n">
        <v>105000</v>
      </c>
      <c r="K326" s="8" t="s">
        <v>170</v>
      </c>
      <c r="L326" s="9" t="n">
        <v>2185.12</v>
      </c>
      <c r="M326" s="9" t="n">
        <v>273.14</v>
      </c>
      <c r="N326" s="9" t="n">
        <v>273.14</v>
      </c>
      <c r="O326" s="9" t="n">
        <v>1638.8</v>
      </c>
      <c r="P326" s="9" t="n">
        <v>163.88</v>
      </c>
      <c r="Q326" s="9" t="n">
        <v>163.88</v>
      </c>
      <c r="R326" s="9" t="n">
        <v>163.88</v>
      </c>
      <c r="S326" s="9" t="n">
        <v>163.88</v>
      </c>
      <c r="T326" s="9" t="n">
        <v>163.88</v>
      </c>
      <c r="U326" s="9" t="n">
        <v>163.88</v>
      </c>
      <c r="V326" s="9" t="n">
        <v>163.88</v>
      </c>
      <c r="W326" s="9" t="n">
        <v>163.88</v>
      </c>
      <c r="X326" s="9" t="n">
        <v>163.88</v>
      </c>
      <c r="Y326" s="9" t="n">
        <v>163.88</v>
      </c>
      <c r="Z326" s="9" t="n">
        <v>350</v>
      </c>
      <c r="AA326" s="9" t="n">
        <v>0</v>
      </c>
      <c r="AB326" s="9" t="n">
        <v>350</v>
      </c>
    </row>
    <row r="327" customFormat="false" ht="15" hidden="false" customHeight="false" outlineLevel="0" collapsed="false">
      <c r="A327" s="3" t="s">
        <v>1083</v>
      </c>
      <c r="B327" s="3" t="s">
        <v>720</v>
      </c>
      <c r="C327" s="3" t="s">
        <v>306</v>
      </c>
      <c r="D327" s="3" t="s">
        <v>307</v>
      </c>
      <c r="E327" s="3" t="n">
        <v>1977</v>
      </c>
      <c r="F327" s="3" t="s">
        <v>113</v>
      </c>
      <c r="G327" s="3" t="s">
        <v>139</v>
      </c>
      <c r="H327" s="3" t="s">
        <v>1084</v>
      </c>
      <c r="I327" s="3" t="s">
        <v>107</v>
      </c>
      <c r="J327" s="7" t="n">
        <v>1950000</v>
      </c>
      <c r="K327" s="3" t="s">
        <v>210</v>
      </c>
      <c r="L327" s="7" t="n">
        <v>18102.56</v>
      </c>
      <c r="M327" s="7" t="n">
        <v>2262.82</v>
      </c>
      <c r="N327" s="7" t="n">
        <v>2262.82</v>
      </c>
      <c r="O327" s="7" t="n">
        <v>13576.9</v>
      </c>
      <c r="P327" s="7" t="n">
        <v>1357.69</v>
      </c>
      <c r="Q327" s="7" t="n">
        <v>1357.69</v>
      </c>
      <c r="R327" s="7" t="n">
        <v>1357.69</v>
      </c>
      <c r="S327" s="7" t="n">
        <v>1357.69</v>
      </c>
      <c r="T327" s="7" t="n">
        <v>1357.69</v>
      </c>
      <c r="U327" s="7" t="n">
        <v>1357.69</v>
      </c>
      <c r="V327" s="7" t="n">
        <v>1357.69</v>
      </c>
      <c r="W327" s="7" t="n">
        <v>1357.69</v>
      </c>
      <c r="X327" s="7" t="n">
        <v>1357.69</v>
      </c>
      <c r="Y327" s="7" t="n">
        <v>1357.69</v>
      </c>
      <c r="Z327" s="7" t="n">
        <v>350</v>
      </c>
      <c r="AA327" s="7" t="n">
        <v>250</v>
      </c>
      <c r="AB327" s="7" t="n">
        <v>600</v>
      </c>
    </row>
    <row r="328" customFormat="false" ht="15" hidden="false" customHeight="false" outlineLevel="0" collapsed="false">
      <c r="A328" s="8" t="s">
        <v>1085</v>
      </c>
      <c r="B328" s="8" t="s">
        <v>203</v>
      </c>
      <c r="C328" s="8" t="s">
        <v>60</v>
      </c>
      <c r="D328" s="8" t="s">
        <v>61</v>
      </c>
      <c r="E328" s="8" t="n">
        <v>1995</v>
      </c>
      <c r="F328" s="8" t="s">
        <v>89</v>
      </c>
      <c r="G328" s="8" t="s">
        <v>90</v>
      </c>
      <c r="H328" s="8" t="s">
        <v>1086</v>
      </c>
      <c r="I328" s="8" t="s">
        <v>92</v>
      </c>
      <c r="J328" s="9" t="n">
        <v>470000</v>
      </c>
      <c r="K328" s="8" t="s">
        <v>229</v>
      </c>
      <c r="L328" s="9" t="n">
        <v>6810.98</v>
      </c>
      <c r="M328" s="9" t="n">
        <v>851.37</v>
      </c>
      <c r="N328" s="9" t="n">
        <v>851.37</v>
      </c>
      <c r="O328" s="9" t="n">
        <v>5108.2</v>
      </c>
      <c r="P328" s="9" t="n">
        <v>510.82</v>
      </c>
      <c r="Q328" s="9" t="n">
        <v>510.82</v>
      </c>
      <c r="R328" s="9" t="n">
        <v>510.82</v>
      </c>
      <c r="S328" s="9" t="n">
        <v>510.82</v>
      </c>
      <c r="T328" s="9" t="n">
        <v>510.82</v>
      </c>
      <c r="U328" s="9" t="n">
        <v>510.82</v>
      </c>
      <c r="V328" s="9" t="n">
        <v>510.82</v>
      </c>
      <c r="W328" s="9" t="n">
        <v>510.82</v>
      </c>
      <c r="X328" s="9" t="n">
        <v>510.82</v>
      </c>
      <c r="Y328" s="9" t="n">
        <v>510.82</v>
      </c>
      <c r="Z328" s="9" t="n">
        <v>350</v>
      </c>
      <c r="AA328" s="9" t="n">
        <v>0</v>
      </c>
      <c r="AB328" s="9" t="n">
        <v>350</v>
      </c>
    </row>
    <row r="329" customFormat="false" ht="15" hidden="false" customHeight="false" outlineLevel="0" collapsed="false">
      <c r="A329" s="3" t="s">
        <v>1087</v>
      </c>
      <c r="B329" s="3" t="s">
        <v>1088</v>
      </c>
      <c r="C329" s="3" t="s">
        <v>238</v>
      </c>
      <c r="D329" s="3" t="s">
        <v>239</v>
      </c>
      <c r="E329" s="3" t="n">
        <v>1985</v>
      </c>
      <c r="F329" s="3" t="s">
        <v>70</v>
      </c>
      <c r="G329" s="3" t="s">
        <v>557</v>
      </c>
      <c r="H329" s="3" t="s">
        <v>1089</v>
      </c>
      <c r="I329" s="3" t="s">
        <v>107</v>
      </c>
      <c r="J329" s="7" t="n">
        <v>290000</v>
      </c>
      <c r="K329" s="3" t="s">
        <v>128</v>
      </c>
      <c r="L329" s="7" t="n">
        <v>2342.67</v>
      </c>
      <c r="M329" s="7" t="n">
        <v>292.83</v>
      </c>
      <c r="N329" s="7" t="n">
        <v>292.83</v>
      </c>
      <c r="O329" s="7" t="n">
        <v>1757</v>
      </c>
      <c r="P329" s="7" t="n">
        <v>175.7</v>
      </c>
      <c r="Q329" s="7" t="n">
        <v>175.7</v>
      </c>
      <c r="R329" s="7" t="n">
        <v>175.7</v>
      </c>
      <c r="S329" s="7" t="n">
        <v>175.7</v>
      </c>
      <c r="T329" s="7" t="n">
        <v>175.7</v>
      </c>
      <c r="U329" s="7" t="n">
        <v>175.7</v>
      </c>
      <c r="V329" s="7" t="n">
        <v>175.7</v>
      </c>
      <c r="W329" s="7" t="n">
        <v>175.7</v>
      </c>
      <c r="X329" s="7" t="n">
        <v>175.7</v>
      </c>
      <c r="Y329" s="7" t="n">
        <v>175.7</v>
      </c>
      <c r="Z329" s="7" t="n">
        <v>350</v>
      </c>
      <c r="AA329" s="7" t="n">
        <v>0</v>
      </c>
      <c r="AB329" s="7" t="n">
        <v>350</v>
      </c>
    </row>
    <row r="330" customFormat="false" ht="15" hidden="false" customHeight="false" outlineLevel="0" collapsed="false">
      <c r="A330" s="8" t="s">
        <v>1090</v>
      </c>
      <c r="B330" s="8" t="s">
        <v>1091</v>
      </c>
      <c r="C330" s="8" t="s">
        <v>125</v>
      </c>
      <c r="D330" s="8" t="s">
        <v>126</v>
      </c>
      <c r="E330" s="8" t="n">
        <v>2024</v>
      </c>
      <c r="F330" s="8" t="s">
        <v>113</v>
      </c>
      <c r="G330" s="8" t="s">
        <v>114</v>
      </c>
      <c r="H330" s="8" t="s">
        <v>1092</v>
      </c>
      <c r="I330" s="8" t="s">
        <v>56</v>
      </c>
      <c r="J330" s="9" t="n">
        <v>400000</v>
      </c>
      <c r="K330" s="8" t="s">
        <v>229</v>
      </c>
      <c r="L330" s="9" t="n">
        <v>4940.27</v>
      </c>
      <c r="M330" s="9" t="n">
        <v>617.53</v>
      </c>
      <c r="N330" s="9" t="n">
        <v>617.53</v>
      </c>
      <c r="O330" s="9" t="n">
        <v>3705.2</v>
      </c>
      <c r="P330" s="9" t="n">
        <v>370.52</v>
      </c>
      <c r="Q330" s="9" t="n">
        <v>370.52</v>
      </c>
      <c r="R330" s="9" t="n">
        <v>370.52</v>
      </c>
      <c r="S330" s="9" t="n">
        <v>370.52</v>
      </c>
      <c r="T330" s="9" t="n">
        <v>370.52</v>
      </c>
      <c r="U330" s="9" t="n">
        <v>370.52</v>
      </c>
      <c r="V330" s="9" t="n">
        <v>370.52</v>
      </c>
      <c r="W330" s="9" t="n">
        <v>370.52</v>
      </c>
      <c r="X330" s="9" t="n">
        <v>370.52</v>
      </c>
      <c r="Y330" s="9" t="n">
        <v>370.52</v>
      </c>
      <c r="Z330" s="9" t="n">
        <v>350</v>
      </c>
      <c r="AA330" s="9" t="n">
        <v>0</v>
      </c>
      <c r="AB330" s="9" t="n">
        <v>350</v>
      </c>
    </row>
    <row r="331" customFormat="false" ht="15" hidden="false" customHeight="false" outlineLevel="0" collapsed="false">
      <c r="A331" s="3" t="s">
        <v>1093</v>
      </c>
      <c r="B331" s="3" t="s">
        <v>484</v>
      </c>
      <c r="C331" s="3" t="s">
        <v>76</v>
      </c>
      <c r="D331" s="3" t="s">
        <v>77</v>
      </c>
      <c r="E331" s="3" t="n">
        <v>1971</v>
      </c>
      <c r="F331" s="3" t="s">
        <v>376</v>
      </c>
      <c r="G331" s="3" t="s">
        <v>377</v>
      </c>
      <c r="H331" s="3" t="s">
        <v>1094</v>
      </c>
      <c r="I331" s="3" t="s">
        <v>92</v>
      </c>
      <c r="J331" s="7" t="n">
        <v>580000</v>
      </c>
      <c r="K331" s="3" t="s">
        <v>166</v>
      </c>
      <c r="L331" s="7" t="n">
        <v>9005.4</v>
      </c>
      <c r="M331" s="7" t="n">
        <v>1125.67</v>
      </c>
      <c r="N331" s="7" t="n">
        <v>1125.67</v>
      </c>
      <c r="O331" s="7" t="n">
        <v>6754</v>
      </c>
      <c r="P331" s="7" t="n">
        <v>675.4</v>
      </c>
      <c r="Q331" s="7" t="n">
        <v>675.4</v>
      </c>
      <c r="R331" s="7" t="n">
        <v>675.4</v>
      </c>
      <c r="S331" s="7" t="n">
        <v>675.4</v>
      </c>
      <c r="T331" s="7" t="n">
        <v>675.4</v>
      </c>
      <c r="U331" s="7" t="n">
        <v>675.4</v>
      </c>
      <c r="V331" s="7" t="n">
        <v>675.4</v>
      </c>
      <c r="W331" s="7" t="n">
        <v>675.4</v>
      </c>
      <c r="X331" s="7" t="n">
        <v>675.4</v>
      </c>
      <c r="Y331" s="7" t="n">
        <v>675.4</v>
      </c>
      <c r="Z331" s="7" t="n">
        <v>350</v>
      </c>
      <c r="AA331" s="7" t="n">
        <v>0</v>
      </c>
      <c r="AB331" s="7" t="n">
        <v>350</v>
      </c>
    </row>
    <row r="332" customFormat="false" ht="15" hidden="false" customHeight="false" outlineLevel="0" collapsed="false">
      <c r="A332" s="8" t="s">
        <v>1095</v>
      </c>
      <c r="B332" s="8" t="s">
        <v>560</v>
      </c>
      <c r="C332" s="8" t="s">
        <v>82</v>
      </c>
      <c r="D332" s="8" t="s">
        <v>83</v>
      </c>
      <c r="E332" s="8" t="n">
        <v>1970</v>
      </c>
      <c r="F332" s="8" t="s">
        <v>119</v>
      </c>
      <c r="G332" s="8" t="s">
        <v>120</v>
      </c>
      <c r="H332" s="8" t="s">
        <v>1096</v>
      </c>
      <c r="I332" s="8" t="s">
        <v>56</v>
      </c>
      <c r="J332" s="9" t="n">
        <v>495000</v>
      </c>
      <c r="K332" s="8" t="s">
        <v>166</v>
      </c>
      <c r="L332" s="9" t="n">
        <v>7390.05</v>
      </c>
      <c r="M332" s="9" t="n">
        <v>923.76</v>
      </c>
      <c r="N332" s="9" t="n">
        <v>923.76</v>
      </c>
      <c r="O332" s="9" t="n">
        <v>5542.5</v>
      </c>
      <c r="P332" s="9" t="n">
        <v>554.25</v>
      </c>
      <c r="Q332" s="9" t="n">
        <v>554.25</v>
      </c>
      <c r="R332" s="9" t="n">
        <v>554.25</v>
      </c>
      <c r="S332" s="9" t="n">
        <v>554.25</v>
      </c>
      <c r="T332" s="9" t="n">
        <v>554.25</v>
      </c>
      <c r="U332" s="9" t="n">
        <v>554.25</v>
      </c>
      <c r="V332" s="9" t="n">
        <v>554.25</v>
      </c>
      <c r="W332" s="9" t="n">
        <v>554.25</v>
      </c>
      <c r="X332" s="9" t="n">
        <v>554.25</v>
      </c>
      <c r="Y332" s="9" t="n">
        <v>554.25</v>
      </c>
      <c r="Z332" s="9" t="n">
        <v>350</v>
      </c>
      <c r="AA332" s="9" t="n">
        <v>0</v>
      </c>
      <c r="AB332" s="9" t="n">
        <v>350</v>
      </c>
    </row>
    <row r="333" customFormat="false" ht="15" hidden="false" customHeight="false" outlineLevel="0" collapsed="false">
      <c r="A333" s="3" t="s">
        <v>1097</v>
      </c>
      <c r="B333" s="3" t="s">
        <v>1098</v>
      </c>
      <c r="C333" s="3" t="s">
        <v>42</v>
      </c>
      <c r="D333" s="3" t="s">
        <v>43</v>
      </c>
      <c r="E333" s="3" t="n">
        <v>1970</v>
      </c>
      <c r="F333" s="3" t="s">
        <v>113</v>
      </c>
      <c r="G333" s="3" t="s">
        <v>114</v>
      </c>
      <c r="H333" s="3" t="s">
        <v>1099</v>
      </c>
      <c r="I333" s="3" t="s">
        <v>56</v>
      </c>
      <c r="J333" s="7" t="n">
        <v>835000</v>
      </c>
      <c r="K333" s="3" t="s">
        <v>319</v>
      </c>
      <c r="L333" s="7" t="n">
        <v>12473.59</v>
      </c>
      <c r="M333" s="7" t="n">
        <v>1559.2</v>
      </c>
      <c r="N333" s="7" t="n">
        <v>1559.2</v>
      </c>
      <c r="O333" s="7" t="n">
        <v>9355.2</v>
      </c>
      <c r="P333" s="7" t="n">
        <v>935.52</v>
      </c>
      <c r="Q333" s="7" t="n">
        <v>935.52</v>
      </c>
      <c r="R333" s="7" t="n">
        <v>935.52</v>
      </c>
      <c r="S333" s="7" t="n">
        <v>935.52</v>
      </c>
      <c r="T333" s="7" t="n">
        <v>935.52</v>
      </c>
      <c r="U333" s="7" t="n">
        <v>935.52</v>
      </c>
      <c r="V333" s="7" t="n">
        <v>935.52</v>
      </c>
      <c r="W333" s="7" t="n">
        <v>935.52</v>
      </c>
      <c r="X333" s="7" t="n">
        <v>935.52</v>
      </c>
      <c r="Y333" s="7" t="n">
        <v>935.52</v>
      </c>
      <c r="Z333" s="7" t="n">
        <v>350</v>
      </c>
      <c r="AA333" s="7" t="n">
        <v>0</v>
      </c>
      <c r="AB333" s="7" t="n">
        <v>350</v>
      </c>
    </row>
    <row r="334" customFormat="false" ht="15" hidden="false" customHeight="false" outlineLevel="0" collapsed="false">
      <c r="A334" s="8" t="s">
        <v>1100</v>
      </c>
      <c r="B334" s="8" t="s">
        <v>1101</v>
      </c>
      <c r="C334" s="8" t="s">
        <v>374</v>
      </c>
      <c r="D334" s="8" t="s">
        <v>375</v>
      </c>
      <c r="E334" s="8" t="n">
        <v>1999</v>
      </c>
      <c r="F334" s="8" t="s">
        <v>424</v>
      </c>
      <c r="G334" s="8" t="s">
        <v>425</v>
      </c>
      <c r="H334" s="8" t="s">
        <v>1102</v>
      </c>
      <c r="I334" s="8" t="s">
        <v>273</v>
      </c>
      <c r="J334" s="9" t="n">
        <v>635000</v>
      </c>
      <c r="K334" s="8" t="s">
        <v>149</v>
      </c>
      <c r="L334" s="9" t="n">
        <v>6069.6</v>
      </c>
      <c r="M334" s="9" t="n">
        <v>758.7</v>
      </c>
      <c r="N334" s="9" t="n">
        <v>758.7</v>
      </c>
      <c r="O334" s="9" t="n">
        <v>4552.2</v>
      </c>
      <c r="P334" s="9" t="n">
        <v>455.22</v>
      </c>
      <c r="Q334" s="9" t="n">
        <v>455.22</v>
      </c>
      <c r="R334" s="9" t="n">
        <v>455.22</v>
      </c>
      <c r="S334" s="9" t="n">
        <v>455.22</v>
      </c>
      <c r="T334" s="9" t="n">
        <v>455.22</v>
      </c>
      <c r="U334" s="9" t="n">
        <v>455.22</v>
      </c>
      <c r="V334" s="9" t="n">
        <v>455.22</v>
      </c>
      <c r="W334" s="9" t="n">
        <v>455.22</v>
      </c>
      <c r="X334" s="9" t="n">
        <v>455.22</v>
      </c>
      <c r="Y334" s="9" t="n">
        <v>455.22</v>
      </c>
      <c r="Z334" s="9" t="n">
        <v>350</v>
      </c>
      <c r="AA334" s="9" t="n">
        <v>0</v>
      </c>
      <c r="AB334" s="9" t="n">
        <v>350</v>
      </c>
    </row>
    <row r="335" customFormat="false" ht="15" hidden="false" customHeight="false" outlineLevel="0" collapsed="false">
      <c r="A335" s="3" t="s">
        <v>1103</v>
      </c>
      <c r="B335" s="3" t="s">
        <v>1104</v>
      </c>
      <c r="C335" s="3" t="s">
        <v>163</v>
      </c>
      <c r="D335" s="3" t="s">
        <v>164</v>
      </c>
      <c r="E335" s="3" t="n">
        <v>1988</v>
      </c>
      <c r="F335" s="3" t="s">
        <v>70</v>
      </c>
      <c r="G335" s="3" t="s">
        <v>557</v>
      </c>
      <c r="H335" s="3" t="s">
        <v>1105</v>
      </c>
      <c r="I335" s="3" t="s">
        <v>107</v>
      </c>
      <c r="J335" s="7" t="n">
        <v>525000</v>
      </c>
      <c r="K335" s="3" t="s">
        <v>73</v>
      </c>
      <c r="L335" s="7" t="n">
        <v>5024.82</v>
      </c>
      <c r="M335" s="7" t="n">
        <v>628.1</v>
      </c>
      <c r="N335" s="7" t="n">
        <v>628.1</v>
      </c>
      <c r="O335" s="7" t="n">
        <v>3768.6</v>
      </c>
      <c r="P335" s="7" t="n">
        <v>376.86</v>
      </c>
      <c r="Q335" s="7" t="n">
        <v>376.86</v>
      </c>
      <c r="R335" s="7" t="n">
        <v>376.86</v>
      </c>
      <c r="S335" s="7" t="n">
        <v>376.86</v>
      </c>
      <c r="T335" s="7" t="n">
        <v>376.86</v>
      </c>
      <c r="U335" s="7" t="n">
        <v>376.86</v>
      </c>
      <c r="V335" s="7" t="n">
        <v>376.86</v>
      </c>
      <c r="W335" s="7" t="n">
        <v>376.86</v>
      </c>
      <c r="X335" s="7" t="n">
        <v>376.86</v>
      </c>
      <c r="Y335" s="7" t="n">
        <v>376.86</v>
      </c>
      <c r="Z335" s="7" t="n">
        <v>350</v>
      </c>
      <c r="AA335" s="7" t="n">
        <v>0</v>
      </c>
      <c r="AB335" s="7" t="n">
        <v>350</v>
      </c>
    </row>
    <row r="336" customFormat="false" ht="15" hidden="false" customHeight="false" outlineLevel="0" collapsed="false">
      <c r="A336" s="8" t="s">
        <v>1106</v>
      </c>
      <c r="B336" s="8" t="s">
        <v>1107</v>
      </c>
      <c r="C336" s="8" t="s">
        <v>374</v>
      </c>
      <c r="D336" s="8" t="s">
        <v>375</v>
      </c>
      <c r="E336" s="8" t="n">
        <v>1972</v>
      </c>
      <c r="F336" s="8" t="s">
        <v>62</v>
      </c>
      <c r="G336" s="8" t="s">
        <v>105</v>
      </c>
      <c r="H336" s="8" t="s">
        <v>1108</v>
      </c>
      <c r="I336" s="8" t="s">
        <v>107</v>
      </c>
      <c r="J336" s="9" t="n">
        <v>200000</v>
      </c>
      <c r="K336" s="8" t="s">
        <v>65</v>
      </c>
      <c r="L336" s="9" t="n">
        <v>2062.97</v>
      </c>
      <c r="M336" s="9" t="n">
        <v>257.87</v>
      </c>
      <c r="N336" s="9" t="n">
        <v>257.87</v>
      </c>
      <c r="O336" s="9" t="n">
        <v>1547.2</v>
      </c>
      <c r="P336" s="9" t="n">
        <v>154.72</v>
      </c>
      <c r="Q336" s="9" t="n">
        <v>154.72</v>
      </c>
      <c r="R336" s="9" t="n">
        <v>154.72</v>
      </c>
      <c r="S336" s="9" t="n">
        <v>154.72</v>
      </c>
      <c r="T336" s="9" t="n">
        <v>154.72</v>
      </c>
      <c r="U336" s="9" t="n">
        <v>154.72</v>
      </c>
      <c r="V336" s="9" t="n">
        <v>154.72</v>
      </c>
      <c r="W336" s="9" t="n">
        <v>154.72</v>
      </c>
      <c r="X336" s="9" t="n">
        <v>154.72</v>
      </c>
      <c r="Y336" s="9" t="n">
        <v>154.72</v>
      </c>
      <c r="Z336" s="9" t="n">
        <v>350</v>
      </c>
      <c r="AA336" s="9" t="n">
        <v>0</v>
      </c>
      <c r="AB336" s="9" t="n">
        <v>350</v>
      </c>
    </row>
    <row r="337" customFormat="false" ht="15" hidden="false" customHeight="false" outlineLevel="0" collapsed="false">
      <c r="A337" s="3" t="s">
        <v>1109</v>
      </c>
      <c r="B337" s="3" t="s">
        <v>1110</v>
      </c>
      <c r="C337" s="3" t="s">
        <v>42</v>
      </c>
      <c r="D337" s="3" t="s">
        <v>43</v>
      </c>
      <c r="E337" s="3" t="n">
        <v>2004</v>
      </c>
      <c r="F337" s="3" t="s">
        <v>119</v>
      </c>
      <c r="G337" s="3" t="s">
        <v>120</v>
      </c>
      <c r="H337" s="3" t="s">
        <v>1111</v>
      </c>
      <c r="I337" s="3" t="s">
        <v>56</v>
      </c>
      <c r="J337" s="7" t="n">
        <v>465000</v>
      </c>
      <c r="K337" s="3" t="s">
        <v>309</v>
      </c>
      <c r="L337" s="7" t="n">
        <v>8646.15</v>
      </c>
      <c r="M337" s="7" t="n">
        <v>1080.77</v>
      </c>
      <c r="N337" s="7" t="n">
        <v>1080.77</v>
      </c>
      <c r="O337" s="7" t="n">
        <v>6484.6</v>
      </c>
      <c r="P337" s="7" t="n">
        <v>648.46</v>
      </c>
      <c r="Q337" s="7" t="n">
        <v>648.46</v>
      </c>
      <c r="R337" s="7" t="n">
        <v>648.46</v>
      </c>
      <c r="S337" s="7" t="n">
        <v>648.46</v>
      </c>
      <c r="T337" s="7" t="n">
        <v>648.46</v>
      </c>
      <c r="U337" s="7" t="n">
        <v>648.46</v>
      </c>
      <c r="V337" s="7" t="n">
        <v>648.46</v>
      </c>
      <c r="W337" s="7" t="n">
        <v>648.46</v>
      </c>
      <c r="X337" s="7" t="n">
        <v>648.46</v>
      </c>
      <c r="Y337" s="7" t="n">
        <v>648.46</v>
      </c>
      <c r="Z337" s="7" t="n">
        <v>350</v>
      </c>
      <c r="AA337" s="7" t="n">
        <v>0</v>
      </c>
      <c r="AB337" s="7" t="n">
        <v>350</v>
      </c>
    </row>
    <row r="338" customFormat="false" ht="15" hidden="false" customHeight="false" outlineLevel="0" collapsed="false">
      <c r="A338" s="8" t="s">
        <v>1112</v>
      </c>
      <c r="B338" s="8" t="s">
        <v>1113</v>
      </c>
      <c r="C338" s="8" t="s">
        <v>137</v>
      </c>
      <c r="D338" s="8" t="s">
        <v>138</v>
      </c>
      <c r="E338" s="8" t="n">
        <v>1956</v>
      </c>
      <c r="F338" s="8" t="s">
        <v>62</v>
      </c>
      <c r="G338" s="8" t="s">
        <v>63</v>
      </c>
      <c r="H338" s="8" t="s">
        <v>1114</v>
      </c>
      <c r="I338" s="8" t="s">
        <v>47</v>
      </c>
      <c r="J338" s="9" t="n">
        <v>1365000</v>
      </c>
      <c r="K338" s="8" t="s">
        <v>291</v>
      </c>
      <c r="L338" s="9" t="n">
        <v>20946.74</v>
      </c>
      <c r="M338" s="9" t="n">
        <v>2618.34</v>
      </c>
      <c r="N338" s="9" t="n">
        <v>2618.34</v>
      </c>
      <c r="O338" s="9" t="n">
        <v>15710.1</v>
      </c>
      <c r="P338" s="9" t="n">
        <v>1571.01</v>
      </c>
      <c r="Q338" s="9" t="n">
        <v>1571.01</v>
      </c>
      <c r="R338" s="9" t="n">
        <v>1571.01</v>
      </c>
      <c r="S338" s="9" t="n">
        <v>1571.01</v>
      </c>
      <c r="T338" s="9" t="n">
        <v>1571.01</v>
      </c>
      <c r="U338" s="9" t="n">
        <v>1571.01</v>
      </c>
      <c r="V338" s="9" t="n">
        <v>1571.01</v>
      </c>
      <c r="W338" s="9" t="n">
        <v>1571.01</v>
      </c>
      <c r="X338" s="9" t="n">
        <v>1571.01</v>
      </c>
      <c r="Y338" s="9" t="n">
        <v>1571.01</v>
      </c>
      <c r="Z338" s="9" t="n">
        <v>350</v>
      </c>
      <c r="AA338" s="9" t="n">
        <v>250</v>
      </c>
      <c r="AB338" s="9" t="n">
        <v>600</v>
      </c>
    </row>
    <row r="339" customFormat="false" ht="15" hidden="false" customHeight="false" outlineLevel="0" collapsed="false">
      <c r="A339" s="3" t="s">
        <v>1115</v>
      </c>
      <c r="B339" s="3" t="s">
        <v>566</v>
      </c>
      <c r="C339" s="3" t="s">
        <v>68</v>
      </c>
      <c r="D339" s="3" t="s">
        <v>69</v>
      </c>
      <c r="E339" s="3" t="n">
        <v>1962</v>
      </c>
      <c r="F339" s="3" t="s">
        <v>70</v>
      </c>
      <c r="G339" s="3" t="s">
        <v>71</v>
      </c>
      <c r="H339" s="3" t="s">
        <v>1116</v>
      </c>
      <c r="I339" s="3" t="s">
        <v>56</v>
      </c>
      <c r="J339" s="7" t="n">
        <v>375000</v>
      </c>
      <c r="K339" s="3" t="s">
        <v>184</v>
      </c>
      <c r="L339" s="7" t="n">
        <v>6311.06</v>
      </c>
      <c r="M339" s="7" t="n">
        <v>788.88</v>
      </c>
      <c r="N339" s="7" t="n">
        <v>788.88</v>
      </c>
      <c r="O339" s="7" t="n">
        <v>4733.3</v>
      </c>
      <c r="P339" s="7" t="n">
        <v>473.33</v>
      </c>
      <c r="Q339" s="7" t="n">
        <v>473.33</v>
      </c>
      <c r="R339" s="7" t="n">
        <v>473.33</v>
      </c>
      <c r="S339" s="7" t="n">
        <v>473.33</v>
      </c>
      <c r="T339" s="7" t="n">
        <v>473.33</v>
      </c>
      <c r="U339" s="7" t="n">
        <v>473.33</v>
      </c>
      <c r="V339" s="7" t="n">
        <v>473.33</v>
      </c>
      <c r="W339" s="7" t="n">
        <v>473.33</v>
      </c>
      <c r="X339" s="7" t="n">
        <v>473.33</v>
      </c>
      <c r="Y339" s="7" t="n">
        <v>473.33</v>
      </c>
      <c r="Z339" s="7" t="n">
        <v>350</v>
      </c>
      <c r="AA339" s="7" t="n">
        <v>0</v>
      </c>
      <c r="AB339" s="7" t="n">
        <v>350</v>
      </c>
    </row>
    <row r="340" customFormat="false" ht="15" hidden="false" customHeight="false" outlineLevel="0" collapsed="false">
      <c r="A340" s="8" t="s">
        <v>1117</v>
      </c>
      <c r="B340" s="8" t="s">
        <v>212</v>
      </c>
      <c r="C340" s="8" t="s">
        <v>76</v>
      </c>
      <c r="D340" s="8" t="s">
        <v>77</v>
      </c>
      <c r="E340" s="8" t="n">
        <v>1989</v>
      </c>
      <c r="F340" s="8" t="s">
        <v>113</v>
      </c>
      <c r="G340" s="8" t="s">
        <v>139</v>
      </c>
      <c r="H340" s="8" t="s">
        <v>1118</v>
      </c>
      <c r="I340" s="8" t="s">
        <v>107</v>
      </c>
      <c r="J340" s="9" t="n">
        <v>1220000</v>
      </c>
      <c r="K340" s="8" t="s">
        <v>337</v>
      </c>
      <c r="L340" s="9" t="n">
        <v>11325.7</v>
      </c>
      <c r="M340" s="9" t="n">
        <v>1415.71</v>
      </c>
      <c r="N340" s="9" t="n">
        <v>1415.71</v>
      </c>
      <c r="O340" s="9" t="n">
        <v>8494.3</v>
      </c>
      <c r="P340" s="9" t="n">
        <v>849.43</v>
      </c>
      <c r="Q340" s="9" t="n">
        <v>849.43</v>
      </c>
      <c r="R340" s="9" t="n">
        <v>849.43</v>
      </c>
      <c r="S340" s="9" t="n">
        <v>849.43</v>
      </c>
      <c r="T340" s="9" t="n">
        <v>849.43</v>
      </c>
      <c r="U340" s="9" t="n">
        <v>849.43</v>
      </c>
      <c r="V340" s="9" t="n">
        <v>849.43</v>
      </c>
      <c r="W340" s="9" t="n">
        <v>849.43</v>
      </c>
      <c r="X340" s="9" t="n">
        <v>849.43</v>
      </c>
      <c r="Y340" s="9" t="n">
        <v>849.43</v>
      </c>
      <c r="Z340" s="9" t="n">
        <v>350</v>
      </c>
      <c r="AA340" s="9" t="n">
        <v>250</v>
      </c>
      <c r="AB340" s="9" t="n">
        <v>600</v>
      </c>
    </row>
    <row r="341" customFormat="false" ht="15" hidden="false" customHeight="false" outlineLevel="0" collapsed="false">
      <c r="A341" s="3" t="s">
        <v>1119</v>
      </c>
      <c r="B341" s="3" t="s">
        <v>1120</v>
      </c>
      <c r="C341" s="3" t="s">
        <v>328</v>
      </c>
      <c r="D341" s="3" t="s">
        <v>329</v>
      </c>
      <c r="E341" s="3" t="n">
        <v>2016</v>
      </c>
      <c r="F341" s="3" t="s">
        <v>173</v>
      </c>
      <c r="G341" s="3" t="s">
        <v>174</v>
      </c>
      <c r="H341" s="3" t="s">
        <v>1121</v>
      </c>
      <c r="I341" s="3" t="s">
        <v>107</v>
      </c>
      <c r="J341" s="7" t="n">
        <v>220000</v>
      </c>
      <c r="K341" s="3" t="s">
        <v>73</v>
      </c>
      <c r="L341" s="7" t="n">
        <v>2791.2</v>
      </c>
      <c r="M341" s="7" t="n">
        <v>348.9</v>
      </c>
      <c r="N341" s="7" t="n">
        <v>348.9</v>
      </c>
      <c r="O341" s="7" t="n">
        <v>2093.4</v>
      </c>
      <c r="P341" s="7" t="n">
        <v>209.34</v>
      </c>
      <c r="Q341" s="7" t="n">
        <v>209.34</v>
      </c>
      <c r="R341" s="7" t="n">
        <v>209.34</v>
      </c>
      <c r="S341" s="7" t="n">
        <v>209.34</v>
      </c>
      <c r="T341" s="7" t="n">
        <v>209.34</v>
      </c>
      <c r="U341" s="7" t="n">
        <v>209.34</v>
      </c>
      <c r="V341" s="7" t="n">
        <v>209.34</v>
      </c>
      <c r="W341" s="7" t="n">
        <v>209.34</v>
      </c>
      <c r="X341" s="7" t="n">
        <v>209.34</v>
      </c>
      <c r="Y341" s="7" t="n">
        <v>209.34</v>
      </c>
      <c r="Z341" s="7" t="n">
        <v>350</v>
      </c>
      <c r="AA341" s="7" t="n">
        <v>0</v>
      </c>
      <c r="AB341" s="7" t="n">
        <v>350</v>
      </c>
    </row>
    <row r="342" customFormat="false" ht="15" hidden="false" customHeight="false" outlineLevel="0" collapsed="false">
      <c r="A342" s="8" t="s">
        <v>1122</v>
      </c>
      <c r="B342" s="8" t="s">
        <v>835</v>
      </c>
      <c r="C342" s="8" t="s">
        <v>60</v>
      </c>
      <c r="D342" s="8" t="s">
        <v>61</v>
      </c>
      <c r="E342" s="8" t="n">
        <v>1992</v>
      </c>
      <c r="F342" s="8" t="s">
        <v>70</v>
      </c>
      <c r="G342" s="8" t="s">
        <v>71</v>
      </c>
      <c r="H342" s="8" t="s">
        <v>1123</v>
      </c>
      <c r="I342" s="8" t="s">
        <v>56</v>
      </c>
      <c r="J342" s="9" t="n">
        <v>390000</v>
      </c>
      <c r="K342" s="8" t="s">
        <v>461</v>
      </c>
      <c r="L342" s="9" t="n">
        <v>5928.32</v>
      </c>
      <c r="M342" s="9" t="n">
        <v>741.04</v>
      </c>
      <c r="N342" s="9" t="n">
        <v>741.04</v>
      </c>
      <c r="O342" s="9" t="n">
        <v>4446.2</v>
      </c>
      <c r="P342" s="9" t="n">
        <v>444.62</v>
      </c>
      <c r="Q342" s="9" t="n">
        <v>444.62</v>
      </c>
      <c r="R342" s="9" t="n">
        <v>444.62</v>
      </c>
      <c r="S342" s="9" t="n">
        <v>444.62</v>
      </c>
      <c r="T342" s="9" t="n">
        <v>444.62</v>
      </c>
      <c r="U342" s="9" t="n">
        <v>444.62</v>
      </c>
      <c r="V342" s="9" t="n">
        <v>444.62</v>
      </c>
      <c r="W342" s="9" t="n">
        <v>444.62</v>
      </c>
      <c r="X342" s="9" t="n">
        <v>444.62</v>
      </c>
      <c r="Y342" s="9" t="n">
        <v>444.62</v>
      </c>
      <c r="Z342" s="9" t="n">
        <v>350</v>
      </c>
      <c r="AA342" s="9" t="n">
        <v>0</v>
      </c>
      <c r="AB342" s="9" t="n">
        <v>350</v>
      </c>
    </row>
    <row r="343" customFormat="false" ht="15" hidden="false" customHeight="false" outlineLevel="0" collapsed="false">
      <c r="A343" s="3" t="s">
        <v>1124</v>
      </c>
      <c r="B343" s="3" t="s">
        <v>596</v>
      </c>
      <c r="C343" s="3" t="s">
        <v>187</v>
      </c>
      <c r="D343" s="3" t="s">
        <v>188</v>
      </c>
      <c r="E343" s="3" t="n">
        <v>1962</v>
      </c>
      <c r="F343" s="3" t="s">
        <v>44</v>
      </c>
      <c r="G343" s="3" t="s">
        <v>45</v>
      </c>
      <c r="H343" s="3" t="s">
        <v>1125</v>
      </c>
      <c r="I343" s="3" t="s">
        <v>47</v>
      </c>
      <c r="J343" s="7" t="n">
        <v>1530000</v>
      </c>
      <c r="K343" s="3" t="s">
        <v>252</v>
      </c>
      <c r="L343" s="7" t="n">
        <v>25250.75</v>
      </c>
      <c r="M343" s="7" t="n">
        <v>3156.34</v>
      </c>
      <c r="N343" s="7" t="n">
        <v>3156.34</v>
      </c>
      <c r="O343" s="7" t="n">
        <v>18938.1</v>
      </c>
      <c r="P343" s="7" t="n">
        <v>1893.81</v>
      </c>
      <c r="Q343" s="7" t="n">
        <v>1893.81</v>
      </c>
      <c r="R343" s="7" t="n">
        <v>1893.81</v>
      </c>
      <c r="S343" s="7" t="n">
        <v>1893.81</v>
      </c>
      <c r="T343" s="7" t="n">
        <v>1893.81</v>
      </c>
      <c r="U343" s="7" t="n">
        <v>1893.81</v>
      </c>
      <c r="V343" s="7" t="n">
        <v>1893.81</v>
      </c>
      <c r="W343" s="7" t="n">
        <v>1893.81</v>
      </c>
      <c r="X343" s="7" t="n">
        <v>1893.81</v>
      </c>
      <c r="Y343" s="7" t="n">
        <v>1893.81</v>
      </c>
      <c r="Z343" s="7" t="n">
        <v>350</v>
      </c>
      <c r="AA343" s="7" t="n">
        <v>250</v>
      </c>
      <c r="AB343" s="7" t="n">
        <v>600</v>
      </c>
    </row>
    <row r="344" customFormat="false" ht="15" hidden="false" customHeight="false" outlineLevel="0" collapsed="false">
      <c r="A344" s="8" t="s">
        <v>1126</v>
      </c>
      <c r="B344" s="8" t="s">
        <v>191</v>
      </c>
      <c r="C344" s="8" t="s">
        <v>473</v>
      </c>
      <c r="D344" s="8" t="s">
        <v>474</v>
      </c>
      <c r="E344" s="8" t="n">
        <v>1958</v>
      </c>
      <c r="F344" s="8" t="s">
        <v>158</v>
      </c>
      <c r="G344" s="8" t="s">
        <v>159</v>
      </c>
      <c r="H344" s="8" t="s">
        <v>1127</v>
      </c>
      <c r="I344" s="8" t="s">
        <v>56</v>
      </c>
      <c r="J344" s="9" t="n">
        <v>535000</v>
      </c>
      <c r="K344" s="8" t="s">
        <v>1128</v>
      </c>
      <c r="L344" s="9" t="n">
        <v>6985.19</v>
      </c>
      <c r="M344" s="9" t="n">
        <v>873.15</v>
      </c>
      <c r="N344" s="9" t="n">
        <v>873.15</v>
      </c>
      <c r="O344" s="9" t="n">
        <v>5238.9</v>
      </c>
      <c r="P344" s="9" t="n">
        <v>523.89</v>
      </c>
      <c r="Q344" s="9" t="n">
        <v>523.89</v>
      </c>
      <c r="R344" s="9" t="n">
        <v>523.89</v>
      </c>
      <c r="S344" s="9" t="n">
        <v>523.89</v>
      </c>
      <c r="T344" s="9" t="n">
        <v>523.89</v>
      </c>
      <c r="U344" s="9" t="n">
        <v>523.89</v>
      </c>
      <c r="V344" s="9" t="n">
        <v>523.89</v>
      </c>
      <c r="W344" s="9" t="n">
        <v>523.89</v>
      </c>
      <c r="X344" s="9" t="n">
        <v>523.89</v>
      </c>
      <c r="Y344" s="9" t="n">
        <v>523.89</v>
      </c>
      <c r="Z344" s="9" t="n">
        <v>350</v>
      </c>
      <c r="AA344" s="9" t="n">
        <v>0</v>
      </c>
      <c r="AB344" s="9" t="n">
        <v>350</v>
      </c>
    </row>
    <row r="345" customFormat="false" ht="15" hidden="false" customHeight="false" outlineLevel="0" collapsed="false">
      <c r="A345" s="3" t="s">
        <v>1129</v>
      </c>
      <c r="B345" s="3" t="s">
        <v>551</v>
      </c>
      <c r="C345" s="3" t="s">
        <v>473</v>
      </c>
      <c r="D345" s="3" t="s">
        <v>474</v>
      </c>
      <c r="E345" s="3" t="n">
        <v>2009</v>
      </c>
      <c r="F345" s="3" t="s">
        <v>119</v>
      </c>
      <c r="G345" s="3" t="s">
        <v>120</v>
      </c>
      <c r="H345" s="3" t="s">
        <v>1130</v>
      </c>
      <c r="I345" s="3" t="s">
        <v>56</v>
      </c>
      <c r="J345" s="7" t="n">
        <v>650000</v>
      </c>
      <c r="K345" s="3" t="s">
        <v>291</v>
      </c>
      <c r="L345" s="7" t="n">
        <v>8104.39</v>
      </c>
      <c r="M345" s="7" t="n">
        <v>1013.05</v>
      </c>
      <c r="N345" s="7" t="n">
        <v>1013.05</v>
      </c>
      <c r="O345" s="7" t="n">
        <v>6078.3</v>
      </c>
      <c r="P345" s="7" t="n">
        <v>607.83</v>
      </c>
      <c r="Q345" s="7" t="n">
        <v>607.83</v>
      </c>
      <c r="R345" s="7" t="n">
        <v>607.83</v>
      </c>
      <c r="S345" s="7" t="n">
        <v>607.83</v>
      </c>
      <c r="T345" s="7" t="n">
        <v>607.83</v>
      </c>
      <c r="U345" s="7" t="n">
        <v>607.83</v>
      </c>
      <c r="V345" s="7" t="n">
        <v>607.83</v>
      </c>
      <c r="W345" s="7" t="n">
        <v>607.83</v>
      </c>
      <c r="X345" s="7" t="n">
        <v>607.83</v>
      </c>
      <c r="Y345" s="7" t="n">
        <v>607.83</v>
      </c>
      <c r="Z345" s="7" t="n">
        <v>350</v>
      </c>
      <c r="AA345" s="7" t="n">
        <v>0</v>
      </c>
      <c r="AB345" s="7" t="n">
        <v>350</v>
      </c>
    </row>
    <row r="346" customFormat="false" ht="15" hidden="false" customHeight="false" outlineLevel="0" collapsed="false">
      <c r="A346" s="8" t="s">
        <v>1131</v>
      </c>
      <c r="B346" s="8" t="s">
        <v>1132</v>
      </c>
      <c r="C346" s="8" t="s">
        <v>131</v>
      </c>
      <c r="D346" s="8" t="s">
        <v>132</v>
      </c>
      <c r="E346" s="8" t="n">
        <v>1999</v>
      </c>
      <c r="F346" s="8" t="s">
        <v>53</v>
      </c>
      <c r="G346" s="8" t="s">
        <v>54</v>
      </c>
      <c r="H346" s="8" t="s">
        <v>1133</v>
      </c>
      <c r="I346" s="8" t="s">
        <v>56</v>
      </c>
      <c r="J346" s="9" t="n">
        <v>235000</v>
      </c>
      <c r="K346" s="8" t="s">
        <v>252</v>
      </c>
      <c r="L346" s="9" t="n">
        <v>4460.14</v>
      </c>
      <c r="M346" s="9" t="n">
        <v>557.52</v>
      </c>
      <c r="N346" s="9" t="n">
        <v>557.52</v>
      </c>
      <c r="O346" s="9" t="n">
        <v>3345.1</v>
      </c>
      <c r="P346" s="9" t="n">
        <v>334.51</v>
      </c>
      <c r="Q346" s="9" t="n">
        <v>334.51</v>
      </c>
      <c r="R346" s="9" t="n">
        <v>334.51</v>
      </c>
      <c r="S346" s="9" t="n">
        <v>334.51</v>
      </c>
      <c r="T346" s="9" t="n">
        <v>334.51</v>
      </c>
      <c r="U346" s="9" t="n">
        <v>334.51</v>
      </c>
      <c r="V346" s="9" t="n">
        <v>334.51</v>
      </c>
      <c r="W346" s="9" t="n">
        <v>334.51</v>
      </c>
      <c r="X346" s="9" t="n">
        <v>334.51</v>
      </c>
      <c r="Y346" s="9" t="n">
        <v>334.51</v>
      </c>
      <c r="Z346" s="9" t="n">
        <v>350</v>
      </c>
      <c r="AA346" s="9" t="n">
        <v>0</v>
      </c>
      <c r="AB346" s="9" t="n">
        <v>350</v>
      </c>
    </row>
    <row r="347" customFormat="false" ht="15" hidden="false" customHeight="false" outlineLevel="0" collapsed="false">
      <c r="A347" s="3" t="s">
        <v>1134</v>
      </c>
      <c r="B347" s="3" t="s">
        <v>420</v>
      </c>
      <c r="C347" s="3" t="s">
        <v>131</v>
      </c>
      <c r="D347" s="3" t="s">
        <v>132</v>
      </c>
      <c r="E347" s="3" t="n">
        <v>1974</v>
      </c>
      <c r="F347" s="3" t="s">
        <v>173</v>
      </c>
      <c r="G347" s="3" t="s">
        <v>174</v>
      </c>
      <c r="H347" s="3" t="s">
        <v>1135</v>
      </c>
      <c r="I347" s="3" t="s">
        <v>107</v>
      </c>
      <c r="J347" s="7" t="n">
        <v>635000</v>
      </c>
      <c r="K347" s="3" t="s">
        <v>492</v>
      </c>
      <c r="L347" s="7" t="n">
        <v>6225.88</v>
      </c>
      <c r="M347" s="7" t="n">
        <v>778.24</v>
      </c>
      <c r="N347" s="7" t="n">
        <v>778.24</v>
      </c>
      <c r="O347" s="7" t="n">
        <v>4669.4</v>
      </c>
      <c r="P347" s="7" t="n">
        <v>466.94</v>
      </c>
      <c r="Q347" s="7" t="n">
        <v>466.94</v>
      </c>
      <c r="R347" s="7" t="n">
        <v>466.94</v>
      </c>
      <c r="S347" s="7" t="n">
        <v>466.94</v>
      </c>
      <c r="T347" s="7" t="n">
        <v>466.94</v>
      </c>
      <c r="U347" s="7" t="n">
        <v>466.94</v>
      </c>
      <c r="V347" s="7" t="n">
        <v>466.94</v>
      </c>
      <c r="W347" s="7" t="n">
        <v>466.94</v>
      </c>
      <c r="X347" s="7" t="n">
        <v>466.94</v>
      </c>
      <c r="Y347" s="7" t="n">
        <v>466.94</v>
      </c>
      <c r="Z347" s="7" t="n">
        <v>350</v>
      </c>
      <c r="AA347" s="7" t="n">
        <v>0</v>
      </c>
      <c r="AB347" s="7" t="n">
        <v>350</v>
      </c>
    </row>
    <row r="348" customFormat="false" ht="15" hidden="false" customHeight="false" outlineLevel="0" collapsed="false">
      <c r="A348" s="8" t="s">
        <v>1136</v>
      </c>
      <c r="B348" s="8" t="s">
        <v>352</v>
      </c>
      <c r="C348" s="8" t="s">
        <v>87</v>
      </c>
      <c r="D348" s="8" t="s">
        <v>88</v>
      </c>
      <c r="E348" s="8" t="n">
        <v>2019</v>
      </c>
      <c r="F348" s="8" t="s">
        <v>113</v>
      </c>
      <c r="G348" s="8" t="s">
        <v>139</v>
      </c>
      <c r="H348" s="8" t="s">
        <v>1137</v>
      </c>
      <c r="I348" s="8" t="s">
        <v>107</v>
      </c>
      <c r="J348" s="9" t="n">
        <v>945000</v>
      </c>
      <c r="K348" s="8" t="s">
        <v>1128</v>
      </c>
      <c r="L348" s="9" t="n">
        <v>8162.28</v>
      </c>
      <c r="M348" s="9" t="n">
        <v>1020.28</v>
      </c>
      <c r="N348" s="9" t="n">
        <v>1020.28</v>
      </c>
      <c r="O348" s="9" t="n">
        <v>6121.7</v>
      </c>
      <c r="P348" s="9" t="n">
        <v>612.17</v>
      </c>
      <c r="Q348" s="9" t="n">
        <v>612.17</v>
      </c>
      <c r="R348" s="9" t="n">
        <v>612.17</v>
      </c>
      <c r="S348" s="9" t="n">
        <v>612.17</v>
      </c>
      <c r="T348" s="9" t="n">
        <v>612.17</v>
      </c>
      <c r="U348" s="9" t="n">
        <v>612.17</v>
      </c>
      <c r="V348" s="9" t="n">
        <v>612.17</v>
      </c>
      <c r="W348" s="9" t="n">
        <v>612.17</v>
      </c>
      <c r="X348" s="9" t="n">
        <v>612.17</v>
      </c>
      <c r="Y348" s="9" t="n">
        <v>612.17</v>
      </c>
      <c r="Z348" s="9" t="n">
        <v>350</v>
      </c>
      <c r="AA348" s="9" t="n">
        <v>0</v>
      </c>
      <c r="AB348" s="9" t="n">
        <v>350</v>
      </c>
    </row>
    <row r="349" customFormat="false" ht="15" hidden="false" customHeight="false" outlineLevel="0" collapsed="false">
      <c r="A349" s="3" t="s">
        <v>1138</v>
      </c>
      <c r="B349" s="3" t="s">
        <v>1139</v>
      </c>
      <c r="C349" s="3" t="s">
        <v>96</v>
      </c>
      <c r="D349" s="3" t="s">
        <v>97</v>
      </c>
      <c r="E349" s="3" t="n">
        <v>1991</v>
      </c>
      <c r="F349" s="3" t="s">
        <v>62</v>
      </c>
      <c r="G349" s="3" t="s">
        <v>63</v>
      </c>
      <c r="H349" s="3" t="s">
        <v>1140</v>
      </c>
      <c r="I349" s="3" t="s">
        <v>47</v>
      </c>
      <c r="J349" s="7" t="n">
        <v>870000</v>
      </c>
      <c r="K349" s="3" t="s">
        <v>100</v>
      </c>
      <c r="L349" s="7" t="n">
        <v>18695.66</v>
      </c>
      <c r="M349" s="7" t="n">
        <v>2336.96</v>
      </c>
      <c r="N349" s="7" t="n">
        <v>2336.96</v>
      </c>
      <c r="O349" s="7" t="n">
        <v>14021.7</v>
      </c>
      <c r="P349" s="7" t="n">
        <v>1402.17</v>
      </c>
      <c r="Q349" s="7" t="n">
        <v>1402.17</v>
      </c>
      <c r="R349" s="7" t="n">
        <v>1402.17</v>
      </c>
      <c r="S349" s="7" t="n">
        <v>1402.17</v>
      </c>
      <c r="T349" s="7" t="n">
        <v>1402.17</v>
      </c>
      <c r="U349" s="7" t="n">
        <v>1402.17</v>
      </c>
      <c r="V349" s="7" t="n">
        <v>1402.17</v>
      </c>
      <c r="W349" s="7" t="n">
        <v>1402.17</v>
      </c>
      <c r="X349" s="7" t="n">
        <v>1402.17</v>
      </c>
      <c r="Y349" s="7" t="n">
        <v>1402.17</v>
      </c>
      <c r="Z349" s="7" t="n">
        <v>350</v>
      </c>
      <c r="AA349" s="7" t="n">
        <v>0</v>
      </c>
      <c r="AB349" s="7" t="n">
        <v>350</v>
      </c>
    </row>
    <row r="350" customFormat="false" ht="15" hidden="false" customHeight="false" outlineLevel="0" collapsed="false">
      <c r="A350" s="8" t="s">
        <v>1141</v>
      </c>
      <c r="B350" s="8" t="s">
        <v>1003</v>
      </c>
      <c r="C350" s="8" t="s">
        <v>207</v>
      </c>
      <c r="D350" s="8" t="s">
        <v>208</v>
      </c>
      <c r="E350" s="8" t="n">
        <v>1967</v>
      </c>
      <c r="F350" s="8" t="s">
        <v>113</v>
      </c>
      <c r="G350" s="8" t="s">
        <v>114</v>
      </c>
      <c r="H350" s="8" t="s">
        <v>1142</v>
      </c>
      <c r="I350" s="8" t="s">
        <v>56</v>
      </c>
      <c r="J350" s="9" t="n">
        <v>250000</v>
      </c>
      <c r="K350" s="8" t="s">
        <v>65</v>
      </c>
      <c r="L350" s="9" t="n">
        <v>3393.05</v>
      </c>
      <c r="M350" s="9" t="n">
        <v>424.13</v>
      </c>
      <c r="N350" s="9" t="n">
        <v>424.13</v>
      </c>
      <c r="O350" s="9" t="n">
        <v>2544.8</v>
      </c>
      <c r="P350" s="9" t="n">
        <v>254.48</v>
      </c>
      <c r="Q350" s="9" t="n">
        <v>254.48</v>
      </c>
      <c r="R350" s="9" t="n">
        <v>254.48</v>
      </c>
      <c r="S350" s="9" t="n">
        <v>254.48</v>
      </c>
      <c r="T350" s="9" t="n">
        <v>254.48</v>
      </c>
      <c r="U350" s="9" t="n">
        <v>254.48</v>
      </c>
      <c r="V350" s="9" t="n">
        <v>254.48</v>
      </c>
      <c r="W350" s="9" t="n">
        <v>254.48</v>
      </c>
      <c r="X350" s="9" t="n">
        <v>254.48</v>
      </c>
      <c r="Y350" s="9" t="n">
        <v>254.48</v>
      </c>
      <c r="Z350" s="9" t="n">
        <v>350</v>
      </c>
      <c r="AA350" s="9" t="n">
        <v>0</v>
      </c>
      <c r="AB350" s="9" t="n">
        <v>350</v>
      </c>
    </row>
    <row r="351" customFormat="false" ht="15" hidden="false" customHeight="false" outlineLevel="0" collapsed="false">
      <c r="A351" s="3" t="s">
        <v>1143</v>
      </c>
      <c r="B351" s="3" t="s">
        <v>983</v>
      </c>
      <c r="C351" s="3" t="s">
        <v>131</v>
      </c>
      <c r="D351" s="3" t="s">
        <v>132</v>
      </c>
      <c r="E351" s="3" t="n">
        <v>1995</v>
      </c>
      <c r="F351" s="3" t="s">
        <v>70</v>
      </c>
      <c r="G351" s="3" t="s">
        <v>71</v>
      </c>
      <c r="H351" s="3" t="s">
        <v>1144</v>
      </c>
      <c r="I351" s="3" t="s">
        <v>56</v>
      </c>
      <c r="J351" s="7" t="n">
        <v>370000</v>
      </c>
      <c r="K351" s="3" t="s">
        <v>360</v>
      </c>
      <c r="L351" s="7" t="n">
        <v>5674.52</v>
      </c>
      <c r="M351" s="7" t="n">
        <v>709.32</v>
      </c>
      <c r="N351" s="7" t="n">
        <v>709.32</v>
      </c>
      <c r="O351" s="7" t="n">
        <v>4255.9</v>
      </c>
      <c r="P351" s="7" t="n">
        <v>425.59</v>
      </c>
      <c r="Q351" s="7" t="n">
        <v>425.59</v>
      </c>
      <c r="R351" s="7" t="n">
        <v>425.59</v>
      </c>
      <c r="S351" s="7" t="n">
        <v>425.59</v>
      </c>
      <c r="T351" s="7" t="n">
        <v>425.59</v>
      </c>
      <c r="U351" s="7" t="n">
        <v>425.59</v>
      </c>
      <c r="V351" s="7" t="n">
        <v>425.59</v>
      </c>
      <c r="W351" s="7" t="n">
        <v>425.59</v>
      </c>
      <c r="X351" s="7" t="n">
        <v>425.59</v>
      </c>
      <c r="Y351" s="7" t="n">
        <v>425.59</v>
      </c>
      <c r="Z351" s="7" t="n">
        <v>350</v>
      </c>
      <c r="AA351" s="7" t="n">
        <v>0</v>
      </c>
      <c r="AB351" s="7" t="n">
        <v>350</v>
      </c>
    </row>
    <row r="352" customFormat="false" ht="15" hidden="false" customHeight="false" outlineLevel="0" collapsed="false">
      <c r="A352" s="8" t="s">
        <v>1145</v>
      </c>
      <c r="B352" s="8" t="s">
        <v>854</v>
      </c>
      <c r="C352" s="8" t="s">
        <v>111</v>
      </c>
      <c r="D352" s="8" t="s">
        <v>112</v>
      </c>
      <c r="E352" s="8" t="n">
        <v>1969</v>
      </c>
      <c r="F352" s="8" t="s">
        <v>270</v>
      </c>
      <c r="G352" s="8" t="s">
        <v>271</v>
      </c>
      <c r="H352" s="8" t="s">
        <v>1146</v>
      </c>
      <c r="I352" s="8" t="s">
        <v>273</v>
      </c>
      <c r="J352" s="9" t="n">
        <v>680000</v>
      </c>
      <c r="K352" s="8" t="s">
        <v>122</v>
      </c>
      <c r="L352" s="9" t="n">
        <v>6452.97</v>
      </c>
      <c r="M352" s="9" t="n">
        <v>806.62</v>
      </c>
      <c r="N352" s="9" t="n">
        <v>806.62</v>
      </c>
      <c r="O352" s="9" t="n">
        <v>4839.7</v>
      </c>
      <c r="P352" s="9" t="n">
        <v>483.97</v>
      </c>
      <c r="Q352" s="9" t="n">
        <v>483.97</v>
      </c>
      <c r="R352" s="9" t="n">
        <v>483.97</v>
      </c>
      <c r="S352" s="9" t="n">
        <v>483.97</v>
      </c>
      <c r="T352" s="9" t="n">
        <v>483.97</v>
      </c>
      <c r="U352" s="9" t="n">
        <v>483.97</v>
      </c>
      <c r="V352" s="9" t="n">
        <v>483.97</v>
      </c>
      <c r="W352" s="9" t="n">
        <v>483.97</v>
      </c>
      <c r="X352" s="9" t="n">
        <v>483.97</v>
      </c>
      <c r="Y352" s="9" t="n">
        <v>483.97</v>
      </c>
      <c r="Z352" s="9" t="n">
        <v>350</v>
      </c>
      <c r="AA352" s="9" t="n">
        <v>0</v>
      </c>
      <c r="AB352" s="9" t="n">
        <v>350</v>
      </c>
    </row>
    <row r="353" customFormat="false" ht="15" hidden="false" customHeight="false" outlineLevel="0" collapsed="false">
      <c r="A353" s="3" t="s">
        <v>1147</v>
      </c>
      <c r="B353" s="3" t="s">
        <v>1148</v>
      </c>
      <c r="C353" s="3" t="s">
        <v>366</v>
      </c>
      <c r="D353" s="3" t="s">
        <v>367</v>
      </c>
      <c r="E353" s="3" t="n">
        <v>1973</v>
      </c>
      <c r="F353" s="3" t="s">
        <v>70</v>
      </c>
      <c r="G353" s="3" t="s">
        <v>71</v>
      </c>
      <c r="H353" s="3" t="s">
        <v>1149</v>
      </c>
      <c r="I353" s="3" t="s">
        <v>56</v>
      </c>
      <c r="J353" s="7" t="n">
        <v>900000</v>
      </c>
      <c r="K353" s="3" t="s">
        <v>108</v>
      </c>
      <c r="L353" s="7" t="n">
        <v>14397.36</v>
      </c>
      <c r="M353" s="7" t="n">
        <v>1799.67</v>
      </c>
      <c r="N353" s="7" t="n">
        <v>1799.67</v>
      </c>
      <c r="O353" s="7" t="n">
        <v>10798</v>
      </c>
      <c r="P353" s="7" t="n">
        <v>1079.8</v>
      </c>
      <c r="Q353" s="7" t="n">
        <v>1079.8</v>
      </c>
      <c r="R353" s="7" t="n">
        <v>1079.8</v>
      </c>
      <c r="S353" s="7" t="n">
        <v>1079.8</v>
      </c>
      <c r="T353" s="7" t="n">
        <v>1079.8</v>
      </c>
      <c r="U353" s="7" t="n">
        <v>1079.8</v>
      </c>
      <c r="V353" s="7" t="n">
        <v>1079.8</v>
      </c>
      <c r="W353" s="7" t="n">
        <v>1079.8</v>
      </c>
      <c r="X353" s="7" t="n">
        <v>1079.8</v>
      </c>
      <c r="Y353" s="7" t="n">
        <v>1079.8</v>
      </c>
      <c r="Z353" s="7" t="n">
        <v>350</v>
      </c>
      <c r="AA353" s="7" t="n">
        <v>0</v>
      </c>
      <c r="AB353" s="7" t="n">
        <v>350</v>
      </c>
    </row>
    <row r="354" customFormat="false" ht="15" hidden="false" customHeight="false" outlineLevel="0" collapsed="false">
      <c r="A354" s="8" t="s">
        <v>1150</v>
      </c>
      <c r="B354" s="8" t="s">
        <v>1151</v>
      </c>
      <c r="C354" s="8" t="s">
        <v>306</v>
      </c>
      <c r="D354" s="8" t="s">
        <v>307</v>
      </c>
      <c r="E354" s="8" t="n">
        <v>1981</v>
      </c>
      <c r="F354" s="8" t="s">
        <v>158</v>
      </c>
      <c r="G354" s="8" t="s">
        <v>159</v>
      </c>
      <c r="H354" s="8" t="s">
        <v>1152</v>
      </c>
      <c r="I354" s="8" t="s">
        <v>56</v>
      </c>
      <c r="J354" s="9" t="n">
        <v>1245000</v>
      </c>
      <c r="K354" s="8" t="s">
        <v>141</v>
      </c>
      <c r="L354" s="9" t="n">
        <v>16480.55</v>
      </c>
      <c r="M354" s="9" t="n">
        <v>2060.07</v>
      </c>
      <c r="N354" s="9" t="n">
        <v>2060.07</v>
      </c>
      <c r="O354" s="9" t="n">
        <v>12360.4</v>
      </c>
      <c r="P354" s="9" t="n">
        <v>1236.04</v>
      </c>
      <c r="Q354" s="9" t="n">
        <v>1236.04</v>
      </c>
      <c r="R354" s="9" t="n">
        <v>1236.04</v>
      </c>
      <c r="S354" s="9" t="n">
        <v>1236.04</v>
      </c>
      <c r="T354" s="9" t="n">
        <v>1236.04</v>
      </c>
      <c r="U354" s="9" t="n">
        <v>1236.04</v>
      </c>
      <c r="V354" s="9" t="n">
        <v>1236.04</v>
      </c>
      <c r="W354" s="9" t="n">
        <v>1236.04</v>
      </c>
      <c r="X354" s="9" t="n">
        <v>1236.04</v>
      </c>
      <c r="Y354" s="9" t="n">
        <v>1236.04</v>
      </c>
      <c r="Z354" s="9" t="n">
        <v>350</v>
      </c>
      <c r="AA354" s="9" t="n">
        <v>250</v>
      </c>
      <c r="AB354" s="9" t="n">
        <v>600</v>
      </c>
    </row>
    <row r="355" customFormat="false" ht="15" hidden="false" customHeight="false" outlineLevel="0" collapsed="false">
      <c r="A355" s="3" t="s">
        <v>1153</v>
      </c>
      <c r="B355" s="3" t="s">
        <v>1154</v>
      </c>
      <c r="C355" s="3" t="s">
        <v>137</v>
      </c>
      <c r="D355" s="3" t="s">
        <v>138</v>
      </c>
      <c r="E355" s="3" t="n">
        <v>2012</v>
      </c>
      <c r="F355" s="3" t="s">
        <v>44</v>
      </c>
      <c r="G355" s="3" t="s">
        <v>45</v>
      </c>
      <c r="H355" s="3" t="s">
        <v>1155</v>
      </c>
      <c r="I355" s="3" t="s">
        <v>47</v>
      </c>
      <c r="J355" s="7" t="n">
        <v>850000</v>
      </c>
      <c r="K355" s="3" t="s">
        <v>252</v>
      </c>
      <c r="L355" s="7" t="n">
        <v>16658.48</v>
      </c>
      <c r="M355" s="7" t="n">
        <v>2082.31</v>
      </c>
      <c r="N355" s="7" t="n">
        <v>2082.31</v>
      </c>
      <c r="O355" s="7" t="n">
        <v>12493.9</v>
      </c>
      <c r="P355" s="7" t="n">
        <v>1249.39</v>
      </c>
      <c r="Q355" s="7" t="n">
        <v>1249.39</v>
      </c>
      <c r="R355" s="7" t="n">
        <v>1249.39</v>
      </c>
      <c r="S355" s="7" t="n">
        <v>1249.39</v>
      </c>
      <c r="T355" s="7" t="n">
        <v>1249.39</v>
      </c>
      <c r="U355" s="7" t="n">
        <v>1249.39</v>
      </c>
      <c r="V355" s="7" t="n">
        <v>1249.39</v>
      </c>
      <c r="W355" s="7" t="n">
        <v>1249.39</v>
      </c>
      <c r="X355" s="7" t="n">
        <v>1249.39</v>
      </c>
      <c r="Y355" s="7" t="n">
        <v>1249.39</v>
      </c>
      <c r="Z355" s="7" t="n">
        <v>350</v>
      </c>
      <c r="AA355" s="7" t="n">
        <v>0</v>
      </c>
      <c r="AB355" s="7" t="n">
        <v>350</v>
      </c>
    </row>
    <row r="356" customFormat="false" ht="15" hidden="false" customHeight="false" outlineLevel="0" collapsed="false">
      <c r="A356" s="8" t="s">
        <v>1156</v>
      </c>
      <c r="B356" s="8" t="s">
        <v>959</v>
      </c>
      <c r="C356" s="8" t="s">
        <v>366</v>
      </c>
      <c r="D356" s="8" t="s">
        <v>367</v>
      </c>
      <c r="E356" s="8" t="n">
        <v>1987</v>
      </c>
      <c r="F356" s="8" t="s">
        <v>173</v>
      </c>
      <c r="G356" s="8" t="s">
        <v>174</v>
      </c>
      <c r="H356" s="8" t="s">
        <v>1157</v>
      </c>
      <c r="I356" s="8" t="s">
        <v>107</v>
      </c>
      <c r="J356" s="9" t="n">
        <v>1015000</v>
      </c>
      <c r="K356" s="8" t="s">
        <v>496</v>
      </c>
      <c r="L356" s="9" t="n">
        <v>9073.63</v>
      </c>
      <c r="M356" s="9" t="n">
        <v>1134.2</v>
      </c>
      <c r="N356" s="9" t="n">
        <v>1134.2</v>
      </c>
      <c r="O356" s="9" t="n">
        <v>6805.2</v>
      </c>
      <c r="P356" s="9" t="n">
        <v>680.52</v>
      </c>
      <c r="Q356" s="9" t="n">
        <v>680.52</v>
      </c>
      <c r="R356" s="9" t="n">
        <v>680.52</v>
      </c>
      <c r="S356" s="9" t="n">
        <v>680.52</v>
      </c>
      <c r="T356" s="9" t="n">
        <v>680.52</v>
      </c>
      <c r="U356" s="9" t="n">
        <v>680.52</v>
      </c>
      <c r="V356" s="9" t="n">
        <v>680.52</v>
      </c>
      <c r="W356" s="9" t="n">
        <v>680.52</v>
      </c>
      <c r="X356" s="9" t="n">
        <v>680.52</v>
      </c>
      <c r="Y356" s="9" t="n">
        <v>680.52</v>
      </c>
      <c r="Z356" s="9" t="n">
        <v>350</v>
      </c>
      <c r="AA356" s="9" t="n">
        <v>250</v>
      </c>
      <c r="AB356" s="9" t="n">
        <v>600</v>
      </c>
    </row>
    <row r="357" customFormat="false" ht="15" hidden="false" customHeight="false" outlineLevel="0" collapsed="false">
      <c r="A357" s="3" t="s">
        <v>1158</v>
      </c>
      <c r="B357" s="3" t="s">
        <v>747</v>
      </c>
      <c r="C357" s="3" t="s">
        <v>51</v>
      </c>
      <c r="D357" s="3" t="s">
        <v>52</v>
      </c>
      <c r="E357" s="3" t="n">
        <v>1995</v>
      </c>
      <c r="F357" s="3" t="s">
        <v>113</v>
      </c>
      <c r="G357" s="3" t="s">
        <v>139</v>
      </c>
      <c r="H357" s="3" t="s">
        <v>1159</v>
      </c>
      <c r="I357" s="3" t="s">
        <v>107</v>
      </c>
      <c r="J357" s="7" t="n">
        <v>140000</v>
      </c>
      <c r="K357" s="3" t="s">
        <v>337</v>
      </c>
      <c r="L357" s="7" t="n">
        <v>1949.51</v>
      </c>
      <c r="M357" s="7" t="n">
        <v>243.69</v>
      </c>
      <c r="N357" s="7" t="n">
        <v>243.69</v>
      </c>
      <c r="O357" s="7" t="n">
        <v>1462.1</v>
      </c>
      <c r="P357" s="7" t="n">
        <v>146.21</v>
      </c>
      <c r="Q357" s="7" t="n">
        <v>146.21</v>
      </c>
      <c r="R357" s="7" t="n">
        <v>146.21</v>
      </c>
      <c r="S357" s="7" t="n">
        <v>146.21</v>
      </c>
      <c r="T357" s="7" t="n">
        <v>146.21</v>
      </c>
      <c r="U357" s="7" t="n">
        <v>146.21</v>
      </c>
      <c r="V357" s="7" t="n">
        <v>146.21</v>
      </c>
      <c r="W357" s="7" t="n">
        <v>146.21</v>
      </c>
      <c r="X357" s="7" t="n">
        <v>146.21</v>
      </c>
      <c r="Y357" s="7" t="n">
        <v>146.21</v>
      </c>
      <c r="Z357" s="7" t="n">
        <v>350</v>
      </c>
      <c r="AA357" s="7" t="n">
        <v>0</v>
      </c>
      <c r="AB357" s="7" t="n">
        <v>350</v>
      </c>
    </row>
    <row r="358" customFormat="false" ht="15" hidden="false" customHeight="false" outlineLevel="0" collapsed="false">
      <c r="A358" s="8" t="s">
        <v>1160</v>
      </c>
      <c r="B358" s="8" t="s">
        <v>390</v>
      </c>
      <c r="C358" s="8" t="s">
        <v>82</v>
      </c>
      <c r="D358" s="8" t="s">
        <v>83</v>
      </c>
      <c r="E358" s="8" t="n">
        <v>1990</v>
      </c>
      <c r="F358" s="8" t="s">
        <v>119</v>
      </c>
      <c r="G358" s="8" t="s">
        <v>120</v>
      </c>
      <c r="H358" s="8" t="s">
        <v>1161</v>
      </c>
      <c r="I358" s="8" t="s">
        <v>56</v>
      </c>
      <c r="J358" s="9" t="n">
        <v>640000</v>
      </c>
      <c r="K358" s="8" t="s">
        <v>303</v>
      </c>
      <c r="L358" s="9" t="n">
        <v>8431.39</v>
      </c>
      <c r="M358" s="9" t="n">
        <v>1053.92</v>
      </c>
      <c r="N358" s="9" t="n">
        <v>1053.92</v>
      </c>
      <c r="O358" s="9" t="n">
        <v>6323.5</v>
      </c>
      <c r="P358" s="9" t="n">
        <v>632.35</v>
      </c>
      <c r="Q358" s="9" t="n">
        <v>632.35</v>
      </c>
      <c r="R358" s="9" t="n">
        <v>632.35</v>
      </c>
      <c r="S358" s="9" t="n">
        <v>632.35</v>
      </c>
      <c r="T358" s="9" t="n">
        <v>632.35</v>
      </c>
      <c r="U358" s="9" t="n">
        <v>632.35</v>
      </c>
      <c r="V358" s="9" t="n">
        <v>632.35</v>
      </c>
      <c r="W358" s="9" t="n">
        <v>632.35</v>
      </c>
      <c r="X358" s="9" t="n">
        <v>632.35</v>
      </c>
      <c r="Y358" s="9" t="n">
        <v>632.35</v>
      </c>
      <c r="Z358" s="9" t="n">
        <v>350</v>
      </c>
      <c r="AA358" s="9" t="n">
        <v>0</v>
      </c>
      <c r="AB358" s="9" t="n">
        <v>350</v>
      </c>
    </row>
    <row r="359" customFormat="false" ht="15" hidden="false" customHeight="false" outlineLevel="0" collapsed="false">
      <c r="A359" s="3" t="s">
        <v>1162</v>
      </c>
      <c r="B359" s="3" t="s">
        <v>1163</v>
      </c>
      <c r="C359" s="3" t="s">
        <v>207</v>
      </c>
      <c r="D359" s="3" t="s">
        <v>208</v>
      </c>
      <c r="E359" s="3" t="n">
        <v>2019</v>
      </c>
      <c r="F359" s="3" t="s">
        <v>113</v>
      </c>
      <c r="G359" s="3" t="s">
        <v>139</v>
      </c>
      <c r="H359" s="3" t="s">
        <v>1164</v>
      </c>
      <c r="I359" s="3" t="s">
        <v>107</v>
      </c>
      <c r="J359" s="7" t="n">
        <v>375000</v>
      </c>
      <c r="K359" s="3" t="s">
        <v>166</v>
      </c>
      <c r="L359" s="7" t="n">
        <v>3583.05</v>
      </c>
      <c r="M359" s="7" t="n">
        <v>447.88</v>
      </c>
      <c r="N359" s="7" t="n">
        <v>447.88</v>
      </c>
      <c r="O359" s="7" t="n">
        <v>2687.3</v>
      </c>
      <c r="P359" s="7" t="n">
        <v>268.73</v>
      </c>
      <c r="Q359" s="7" t="n">
        <v>268.73</v>
      </c>
      <c r="R359" s="7" t="n">
        <v>268.73</v>
      </c>
      <c r="S359" s="7" t="n">
        <v>268.73</v>
      </c>
      <c r="T359" s="7" t="n">
        <v>268.73</v>
      </c>
      <c r="U359" s="7" t="n">
        <v>268.73</v>
      </c>
      <c r="V359" s="7" t="n">
        <v>268.73</v>
      </c>
      <c r="W359" s="7" t="n">
        <v>268.73</v>
      </c>
      <c r="X359" s="7" t="n">
        <v>268.73</v>
      </c>
      <c r="Y359" s="7" t="n">
        <v>268.73</v>
      </c>
      <c r="Z359" s="7" t="n">
        <v>350</v>
      </c>
      <c r="AA359" s="7" t="n">
        <v>0</v>
      </c>
      <c r="AB359" s="7" t="n">
        <v>350</v>
      </c>
    </row>
    <row r="360" customFormat="false" ht="15" hidden="false" customHeight="false" outlineLevel="0" collapsed="false">
      <c r="A360" s="8" t="s">
        <v>1165</v>
      </c>
      <c r="B360" s="8" t="s">
        <v>373</v>
      </c>
      <c r="C360" s="8" t="s">
        <v>96</v>
      </c>
      <c r="D360" s="8" t="s">
        <v>97</v>
      </c>
      <c r="E360" s="8" t="n">
        <v>2009</v>
      </c>
      <c r="F360" s="8" t="s">
        <v>62</v>
      </c>
      <c r="G360" s="8" t="s">
        <v>98</v>
      </c>
      <c r="H360" s="8" t="s">
        <v>1166</v>
      </c>
      <c r="I360" s="8" t="s">
        <v>47</v>
      </c>
      <c r="J360" s="9" t="n">
        <v>805000</v>
      </c>
      <c r="K360" s="8" t="s">
        <v>344</v>
      </c>
      <c r="L360" s="9" t="n">
        <v>17990.82</v>
      </c>
      <c r="M360" s="9" t="n">
        <v>2248.85</v>
      </c>
      <c r="N360" s="9" t="n">
        <v>2248.85</v>
      </c>
      <c r="O360" s="9" t="n">
        <v>13493.1</v>
      </c>
      <c r="P360" s="9" t="n">
        <v>1349.31</v>
      </c>
      <c r="Q360" s="9" t="n">
        <v>1349.31</v>
      </c>
      <c r="R360" s="9" t="n">
        <v>1349.31</v>
      </c>
      <c r="S360" s="9" t="n">
        <v>1349.31</v>
      </c>
      <c r="T360" s="9" t="n">
        <v>1349.31</v>
      </c>
      <c r="U360" s="9" t="n">
        <v>1349.31</v>
      </c>
      <c r="V360" s="9" t="n">
        <v>1349.31</v>
      </c>
      <c r="W360" s="9" t="n">
        <v>1349.31</v>
      </c>
      <c r="X360" s="9" t="n">
        <v>1349.31</v>
      </c>
      <c r="Y360" s="9" t="n">
        <v>1349.31</v>
      </c>
      <c r="Z360" s="9" t="n">
        <v>350</v>
      </c>
      <c r="AA360" s="9" t="n">
        <v>0</v>
      </c>
      <c r="AB360" s="9" t="n">
        <v>350</v>
      </c>
    </row>
    <row r="361" customFormat="false" ht="15" hidden="false" customHeight="false" outlineLevel="0" collapsed="false">
      <c r="A361" s="3" t="s">
        <v>1167</v>
      </c>
      <c r="B361" s="3" t="s">
        <v>1168</v>
      </c>
      <c r="C361" s="3" t="s">
        <v>51</v>
      </c>
      <c r="D361" s="3" t="s">
        <v>52</v>
      </c>
      <c r="E361" s="3" t="n">
        <v>1996</v>
      </c>
      <c r="F361" s="3" t="s">
        <v>113</v>
      </c>
      <c r="G361" s="3" t="s">
        <v>139</v>
      </c>
      <c r="H361" s="3" t="s">
        <v>1169</v>
      </c>
      <c r="I361" s="3" t="s">
        <v>107</v>
      </c>
      <c r="J361" s="7" t="n">
        <v>815000</v>
      </c>
      <c r="K361" s="3" t="s">
        <v>65</v>
      </c>
      <c r="L361" s="7" t="n">
        <v>6341.82</v>
      </c>
      <c r="M361" s="7" t="n">
        <v>792.73</v>
      </c>
      <c r="N361" s="7" t="n">
        <v>792.73</v>
      </c>
      <c r="O361" s="7" t="n">
        <v>4756.4</v>
      </c>
      <c r="P361" s="7" t="n">
        <v>475.64</v>
      </c>
      <c r="Q361" s="7" t="n">
        <v>475.64</v>
      </c>
      <c r="R361" s="7" t="n">
        <v>475.64</v>
      </c>
      <c r="S361" s="7" t="n">
        <v>475.64</v>
      </c>
      <c r="T361" s="7" t="n">
        <v>475.64</v>
      </c>
      <c r="U361" s="7" t="n">
        <v>475.64</v>
      </c>
      <c r="V361" s="7" t="n">
        <v>475.64</v>
      </c>
      <c r="W361" s="7" t="n">
        <v>475.64</v>
      </c>
      <c r="X361" s="7" t="n">
        <v>475.64</v>
      </c>
      <c r="Y361" s="7" t="n">
        <v>475.64</v>
      </c>
      <c r="Z361" s="7" t="n">
        <v>350</v>
      </c>
      <c r="AA361" s="7" t="n">
        <v>0</v>
      </c>
      <c r="AB361" s="7" t="n">
        <v>350</v>
      </c>
    </row>
    <row r="362" customFormat="false" ht="15" hidden="false" customHeight="false" outlineLevel="0" collapsed="false">
      <c r="A362" s="8" t="s">
        <v>1170</v>
      </c>
      <c r="B362" s="8" t="s">
        <v>439</v>
      </c>
      <c r="C362" s="8" t="s">
        <v>276</v>
      </c>
      <c r="D362" s="8" t="s">
        <v>277</v>
      </c>
      <c r="E362" s="8" t="n">
        <v>2017</v>
      </c>
      <c r="F362" s="8" t="s">
        <v>119</v>
      </c>
      <c r="G362" s="8" t="s">
        <v>120</v>
      </c>
      <c r="H362" s="8" t="s">
        <v>1171</v>
      </c>
      <c r="I362" s="8" t="s">
        <v>56</v>
      </c>
      <c r="J362" s="9" t="n">
        <v>405000</v>
      </c>
      <c r="K362" s="8" t="s">
        <v>73</v>
      </c>
      <c r="L362" s="9" t="n">
        <v>6760.97</v>
      </c>
      <c r="M362" s="9" t="n">
        <v>845.12</v>
      </c>
      <c r="N362" s="9" t="n">
        <v>845.12</v>
      </c>
      <c r="O362" s="9" t="n">
        <v>5070.7</v>
      </c>
      <c r="P362" s="9" t="n">
        <v>507.07</v>
      </c>
      <c r="Q362" s="9" t="n">
        <v>507.07</v>
      </c>
      <c r="R362" s="9" t="n">
        <v>507.07</v>
      </c>
      <c r="S362" s="9" t="n">
        <v>507.07</v>
      </c>
      <c r="T362" s="9" t="n">
        <v>507.07</v>
      </c>
      <c r="U362" s="9" t="n">
        <v>507.07</v>
      </c>
      <c r="V362" s="9" t="n">
        <v>507.07</v>
      </c>
      <c r="W362" s="9" t="n">
        <v>507.07</v>
      </c>
      <c r="X362" s="9" t="n">
        <v>507.07</v>
      </c>
      <c r="Y362" s="9" t="n">
        <v>507.07</v>
      </c>
      <c r="Z362" s="9" t="n">
        <v>350</v>
      </c>
      <c r="AA362" s="9" t="n">
        <v>0</v>
      </c>
      <c r="AB362" s="9" t="n">
        <v>350</v>
      </c>
    </row>
    <row r="363" customFormat="false" ht="15" hidden="false" customHeight="false" outlineLevel="0" collapsed="false">
      <c r="A363" s="3" t="s">
        <v>1172</v>
      </c>
      <c r="B363" s="3" t="s">
        <v>821</v>
      </c>
      <c r="C363" s="3" t="s">
        <v>473</v>
      </c>
      <c r="D363" s="3" t="s">
        <v>474</v>
      </c>
      <c r="E363" s="3" t="n">
        <v>1961</v>
      </c>
      <c r="F363" s="3" t="s">
        <v>53</v>
      </c>
      <c r="G363" s="3" t="s">
        <v>54</v>
      </c>
      <c r="H363" s="3" t="s">
        <v>1173</v>
      </c>
      <c r="I363" s="3" t="s">
        <v>56</v>
      </c>
      <c r="J363" s="7" t="n">
        <v>195000</v>
      </c>
      <c r="K363" s="3" t="s">
        <v>337</v>
      </c>
      <c r="L363" s="7" t="n">
        <v>4382.72</v>
      </c>
      <c r="M363" s="7" t="n">
        <v>547.84</v>
      </c>
      <c r="N363" s="7" t="n">
        <v>547.84</v>
      </c>
      <c r="O363" s="7" t="n">
        <v>3287</v>
      </c>
      <c r="P363" s="7" t="n">
        <v>328.7</v>
      </c>
      <c r="Q363" s="7" t="n">
        <v>328.7</v>
      </c>
      <c r="R363" s="7" t="n">
        <v>328.7</v>
      </c>
      <c r="S363" s="7" t="n">
        <v>328.7</v>
      </c>
      <c r="T363" s="7" t="n">
        <v>328.7</v>
      </c>
      <c r="U363" s="7" t="n">
        <v>328.7</v>
      </c>
      <c r="V363" s="7" t="n">
        <v>328.7</v>
      </c>
      <c r="W363" s="7" t="n">
        <v>328.7</v>
      </c>
      <c r="X363" s="7" t="n">
        <v>328.7</v>
      </c>
      <c r="Y363" s="7" t="n">
        <v>328.7</v>
      </c>
      <c r="Z363" s="7" t="n">
        <v>350</v>
      </c>
      <c r="AA363" s="7" t="n">
        <v>0</v>
      </c>
      <c r="AB363" s="7" t="n">
        <v>350</v>
      </c>
    </row>
    <row r="364" customFormat="false" ht="15" hidden="false" customHeight="false" outlineLevel="0" collapsed="false">
      <c r="A364" s="8" t="s">
        <v>1174</v>
      </c>
      <c r="B364" s="8" t="s">
        <v>86</v>
      </c>
      <c r="C364" s="8" t="s">
        <v>76</v>
      </c>
      <c r="D364" s="8" t="s">
        <v>77</v>
      </c>
      <c r="E364" s="8" t="n">
        <v>1972</v>
      </c>
      <c r="F364" s="8" t="s">
        <v>62</v>
      </c>
      <c r="G364" s="8" t="s">
        <v>98</v>
      </c>
      <c r="H364" s="8" t="s">
        <v>1175</v>
      </c>
      <c r="I364" s="8" t="s">
        <v>47</v>
      </c>
      <c r="J364" s="9" t="n">
        <v>1590000</v>
      </c>
      <c r="K364" s="8" t="s">
        <v>141</v>
      </c>
      <c r="L364" s="9" t="n">
        <v>30614.47</v>
      </c>
      <c r="M364" s="9" t="n">
        <v>3826.81</v>
      </c>
      <c r="N364" s="9" t="n">
        <v>3826.81</v>
      </c>
      <c r="O364" s="9" t="n">
        <v>22960.9</v>
      </c>
      <c r="P364" s="9" t="n">
        <v>2296.09</v>
      </c>
      <c r="Q364" s="9" t="n">
        <v>2296.09</v>
      </c>
      <c r="R364" s="9" t="n">
        <v>2296.09</v>
      </c>
      <c r="S364" s="9" t="n">
        <v>2296.09</v>
      </c>
      <c r="T364" s="9" t="n">
        <v>2296.09</v>
      </c>
      <c r="U364" s="9" t="n">
        <v>2296.09</v>
      </c>
      <c r="V364" s="9" t="n">
        <v>2296.09</v>
      </c>
      <c r="W364" s="9" t="n">
        <v>2296.09</v>
      </c>
      <c r="X364" s="9" t="n">
        <v>2296.09</v>
      </c>
      <c r="Y364" s="9" t="n">
        <v>2296.09</v>
      </c>
      <c r="Z364" s="9" t="n">
        <v>350</v>
      </c>
      <c r="AA364" s="9" t="n">
        <v>250</v>
      </c>
      <c r="AB364" s="9" t="n">
        <v>600</v>
      </c>
    </row>
    <row r="365" customFormat="false" ht="15" hidden="false" customHeight="false" outlineLevel="0" collapsed="false">
      <c r="A365" s="3" t="s">
        <v>1176</v>
      </c>
      <c r="B365" s="3" t="s">
        <v>1177</v>
      </c>
      <c r="C365" s="3" t="s">
        <v>76</v>
      </c>
      <c r="D365" s="3" t="s">
        <v>77</v>
      </c>
      <c r="E365" s="3" t="n">
        <v>2010</v>
      </c>
      <c r="F365" s="3" t="s">
        <v>44</v>
      </c>
      <c r="G365" s="3" t="s">
        <v>45</v>
      </c>
      <c r="H365" s="3" t="s">
        <v>1178</v>
      </c>
      <c r="I365" s="3" t="s">
        <v>47</v>
      </c>
      <c r="J365" s="7" t="n">
        <v>1820000</v>
      </c>
      <c r="K365" s="3" t="s">
        <v>461</v>
      </c>
      <c r="L365" s="7" t="n">
        <v>29509.88</v>
      </c>
      <c r="M365" s="7" t="n">
        <v>3688.74</v>
      </c>
      <c r="N365" s="7" t="n">
        <v>3688.74</v>
      </c>
      <c r="O365" s="7" t="n">
        <v>22132.4</v>
      </c>
      <c r="P365" s="7" t="n">
        <v>2213.24</v>
      </c>
      <c r="Q365" s="7" t="n">
        <v>2213.24</v>
      </c>
      <c r="R365" s="7" t="n">
        <v>2213.24</v>
      </c>
      <c r="S365" s="7" t="n">
        <v>2213.24</v>
      </c>
      <c r="T365" s="7" t="n">
        <v>2213.24</v>
      </c>
      <c r="U365" s="7" t="n">
        <v>2213.24</v>
      </c>
      <c r="V365" s="7" t="n">
        <v>2213.24</v>
      </c>
      <c r="W365" s="7" t="n">
        <v>2213.24</v>
      </c>
      <c r="X365" s="7" t="n">
        <v>2213.24</v>
      </c>
      <c r="Y365" s="7" t="n">
        <v>2213.24</v>
      </c>
      <c r="Z365" s="7" t="n">
        <v>350</v>
      </c>
      <c r="AA365" s="7" t="n">
        <v>250</v>
      </c>
      <c r="AB365" s="7" t="n">
        <v>600</v>
      </c>
    </row>
    <row r="366" customFormat="false" ht="15" hidden="false" customHeight="false" outlineLevel="0" collapsed="false">
      <c r="A366" s="8" t="s">
        <v>1179</v>
      </c>
      <c r="B366" s="8" t="s">
        <v>1180</v>
      </c>
      <c r="C366" s="8" t="s">
        <v>163</v>
      </c>
      <c r="D366" s="8" t="s">
        <v>164</v>
      </c>
      <c r="E366" s="8" t="n">
        <v>2016</v>
      </c>
      <c r="F366" s="8" t="s">
        <v>146</v>
      </c>
      <c r="G366" s="8" t="s">
        <v>147</v>
      </c>
      <c r="H366" s="8" t="s">
        <v>1181</v>
      </c>
      <c r="I366" s="8" t="s">
        <v>56</v>
      </c>
      <c r="J366" s="9" t="n">
        <v>690000</v>
      </c>
      <c r="K366" s="8" t="s">
        <v>149</v>
      </c>
      <c r="L366" s="9" t="n">
        <v>11281.46</v>
      </c>
      <c r="M366" s="9" t="n">
        <v>1410.18</v>
      </c>
      <c r="N366" s="9" t="n">
        <v>1410.18</v>
      </c>
      <c r="O366" s="9" t="n">
        <v>8461.1</v>
      </c>
      <c r="P366" s="9" t="n">
        <v>846.11</v>
      </c>
      <c r="Q366" s="9" t="n">
        <v>846.11</v>
      </c>
      <c r="R366" s="9" t="n">
        <v>846.11</v>
      </c>
      <c r="S366" s="9" t="n">
        <v>846.11</v>
      </c>
      <c r="T366" s="9" t="n">
        <v>846.11</v>
      </c>
      <c r="U366" s="9" t="n">
        <v>846.11</v>
      </c>
      <c r="V366" s="9" t="n">
        <v>846.11</v>
      </c>
      <c r="W366" s="9" t="n">
        <v>846.11</v>
      </c>
      <c r="X366" s="9" t="n">
        <v>846.11</v>
      </c>
      <c r="Y366" s="9" t="n">
        <v>846.11</v>
      </c>
      <c r="Z366" s="9" t="n">
        <v>350</v>
      </c>
      <c r="AA366" s="9" t="n">
        <v>0</v>
      </c>
      <c r="AB366" s="9" t="n">
        <v>350</v>
      </c>
    </row>
    <row r="367" customFormat="false" ht="15" hidden="false" customHeight="false" outlineLevel="0" collapsed="false">
      <c r="A367" s="3" t="s">
        <v>1182</v>
      </c>
      <c r="B367" s="3" t="s">
        <v>1183</v>
      </c>
      <c r="C367" s="3" t="s">
        <v>68</v>
      </c>
      <c r="D367" s="3" t="s">
        <v>69</v>
      </c>
      <c r="E367" s="3" t="n">
        <v>1961</v>
      </c>
      <c r="F367" s="3" t="s">
        <v>113</v>
      </c>
      <c r="G367" s="3" t="s">
        <v>114</v>
      </c>
      <c r="H367" s="3" t="s">
        <v>1184</v>
      </c>
      <c r="I367" s="3" t="s">
        <v>56</v>
      </c>
      <c r="J367" s="7" t="n">
        <v>525000</v>
      </c>
      <c r="K367" s="3" t="s">
        <v>319</v>
      </c>
      <c r="L367" s="7" t="n">
        <v>7842.68</v>
      </c>
      <c r="M367" s="7" t="n">
        <v>980.34</v>
      </c>
      <c r="N367" s="7" t="n">
        <v>980.34</v>
      </c>
      <c r="O367" s="7" t="n">
        <v>5882</v>
      </c>
      <c r="P367" s="7" t="n">
        <v>588.2</v>
      </c>
      <c r="Q367" s="7" t="n">
        <v>588.2</v>
      </c>
      <c r="R367" s="7" t="n">
        <v>588.2</v>
      </c>
      <c r="S367" s="7" t="n">
        <v>588.2</v>
      </c>
      <c r="T367" s="7" t="n">
        <v>588.2</v>
      </c>
      <c r="U367" s="7" t="n">
        <v>588.2</v>
      </c>
      <c r="V367" s="7" t="n">
        <v>588.2</v>
      </c>
      <c r="W367" s="7" t="n">
        <v>588.2</v>
      </c>
      <c r="X367" s="7" t="n">
        <v>588.2</v>
      </c>
      <c r="Y367" s="7" t="n">
        <v>588.2</v>
      </c>
      <c r="Z367" s="7" t="n">
        <v>350</v>
      </c>
      <c r="AA367" s="7" t="n">
        <v>0</v>
      </c>
      <c r="AB367" s="7" t="n">
        <v>350</v>
      </c>
    </row>
    <row r="368" customFormat="false" ht="15" hidden="false" customHeight="false" outlineLevel="0" collapsed="false">
      <c r="A368" s="8" t="s">
        <v>1185</v>
      </c>
      <c r="B368" s="8" t="s">
        <v>373</v>
      </c>
      <c r="C368" s="8" t="s">
        <v>249</v>
      </c>
      <c r="D368" s="8" t="s">
        <v>250</v>
      </c>
      <c r="E368" s="8" t="n">
        <v>2003</v>
      </c>
      <c r="F368" s="8" t="s">
        <v>53</v>
      </c>
      <c r="G368" s="8" t="s">
        <v>54</v>
      </c>
      <c r="H368" s="8" t="s">
        <v>1186</v>
      </c>
      <c r="I368" s="8" t="s">
        <v>56</v>
      </c>
      <c r="J368" s="9" t="n">
        <v>620000</v>
      </c>
      <c r="K368" s="8" t="s">
        <v>303</v>
      </c>
      <c r="L368" s="9" t="n">
        <v>8167.92</v>
      </c>
      <c r="M368" s="9" t="n">
        <v>1020.99</v>
      </c>
      <c r="N368" s="9" t="n">
        <v>1020.99</v>
      </c>
      <c r="O368" s="9" t="n">
        <v>6125.9</v>
      </c>
      <c r="P368" s="9" t="n">
        <v>612.59</v>
      </c>
      <c r="Q368" s="9" t="n">
        <v>612.59</v>
      </c>
      <c r="R368" s="9" t="n">
        <v>612.59</v>
      </c>
      <c r="S368" s="9" t="n">
        <v>612.59</v>
      </c>
      <c r="T368" s="9" t="n">
        <v>612.59</v>
      </c>
      <c r="U368" s="9" t="n">
        <v>612.59</v>
      </c>
      <c r="V368" s="9" t="n">
        <v>612.59</v>
      </c>
      <c r="W368" s="9" t="n">
        <v>612.59</v>
      </c>
      <c r="X368" s="9" t="n">
        <v>612.59</v>
      </c>
      <c r="Y368" s="9" t="n">
        <v>612.59</v>
      </c>
      <c r="Z368" s="9" t="n">
        <v>350</v>
      </c>
      <c r="AA368" s="9" t="n">
        <v>0</v>
      </c>
      <c r="AB368" s="9" t="n">
        <v>350</v>
      </c>
    </row>
    <row r="369" customFormat="false" ht="15" hidden="false" customHeight="false" outlineLevel="0" collapsed="false">
      <c r="A369" s="3" t="s">
        <v>1187</v>
      </c>
      <c r="B369" s="3" t="s">
        <v>1188</v>
      </c>
      <c r="C369" s="3" t="s">
        <v>111</v>
      </c>
      <c r="D369" s="3" t="s">
        <v>112</v>
      </c>
      <c r="E369" s="3" t="n">
        <v>1976</v>
      </c>
      <c r="F369" s="3" t="s">
        <v>146</v>
      </c>
      <c r="G369" s="3" t="s">
        <v>147</v>
      </c>
      <c r="H369" s="3" t="s">
        <v>1189</v>
      </c>
      <c r="I369" s="3" t="s">
        <v>56</v>
      </c>
      <c r="J369" s="7" t="n">
        <v>580000</v>
      </c>
      <c r="K369" s="3" t="s">
        <v>309</v>
      </c>
      <c r="L369" s="7" t="n">
        <v>9346.52</v>
      </c>
      <c r="M369" s="7" t="n">
        <v>1168.32</v>
      </c>
      <c r="N369" s="7" t="n">
        <v>1168.32</v>
      </c>
      <c r="O369" s="7" t="n">
        <v>7009.9</v>
      </c>
      <c r="P369" s="7" t="n">
        <v>700.99</v>
      </c>
      <c r="Q369" s="7" t="n">
        <v>700.99</v>
      </c>
      <c r="R369" s="7" t="n">
        <v>700.99</v>
      </c>
      <c r="S369" s="7" t="n">
        <v>700.99</v>
      </c>
      <c r="T369" s="7" t="n">
        <v>700.99</v>
      </c>
      <c r="U369" s="7" t="n">
        <v>700.99</v>
      </c>
      <c r="V369" s="7" t="n">
        <v>700.99</v>
      </c>
      <c r="W369" s="7" t="n">
        <v>700.99</v>
      </c>
      <c r="X369" s="7" t="n">
        <v>700.99</v>
      </c>
      <c r="Y369" s="7" t="n">
        <v>700.99</v>
      </c>
      <c r="Z369" s="7" t="n">
        <v>350</v>
      </c>
      <c r="AA369" s="7" t="n">
        <v>0</v>
      </c>
      <c r="AB369" s="7" t="n">
        <v>350</v>
      </c>
    </row>
    <row r="370" customFormat="false" ht="15" hidden="false" customHeight="false" outlineLevel="0" collapsed="false">
      <c r="A370" s="8" t="s">
        <v>1190</v>
      </c>
      <c r="B370" s="8" t="s">
        <v>741</v>
      </c>
      <c r="C370" s="8" t="s">
        <v>156</v>
      </c>
      <c r="D370" s="8" t="s">
        <v>157</v>
      </c>
      <c r="E370" s="8" t="n">
        <v>1979</v>
      </c>
      <c r="F370" s="8" t="s">
        <v>146</v>
      </c>
      <c r="G370" s="8" t="s">
        <v>147</v>
      </c>
      <c r="H370" s="8" t="s">
        <v>1191</v>
      </c>
      <c r="I370" s="8" t="s">
        <v>56</v>
      </c>
      <c r="J370" s="9" t="n">
        <v>410000</v>
      </c>
      <c r="K370" s="8" t="s">
        <v>350</v>
      </c>
      <c r="L370" s="9" t="n">
        <v>5954.11</v>
      </c>
      <c r="M370" s="9" t="n">
        <v>744.26</v>
      </c>
      <c r="N370" s="9" t="n">
        <v>744.26</v>
      </c>
      <c r="O370" s="9" t="n">
        <v>4465.6</v>
      </c>
      <c r="P370" s="9" t="n">
        <v>446.56</v>
      </c>
      <c r="Q370" s="9" t="n">
        <v>446.56</v>
      </c>
      <c r="R370" s="9" t="n">
        <v>446.56</v>
      </c>
      <c r="S370" s="9" t="n">
        <v>446.56</v>
      </c>
      <c r="T370" s="9" t="n">
        <v>446.56</v>
      </c>
      <c r="U370" s="9" t="n">
        <v>446.56</v>
      </c>
      <c r="V370" s="9" t="n">
        <v>446.56</v>
      </c>
      <c r="W370" s="9" t="n">
        <v>446.56</v>
      </c>
      <c r="X370" s="9" t="n">
        <v>446.56</v>
      </c>
      <c r="Y370" s="9" t="n">
        <v>446.56</v>
      </c>
      <c r="Z370" s="9" t="n">
        <v>350</v>
      </c>
      <c r="AA370" s="9" t="n">
        <v>0</v>
      </c>
      <c r="AB370" s="9" t="n">
        <v>350</v>
      </c>
    </row>
    <row r="371" customFormat="false" ht="15" hidden="false" customHeight="false" outlineLevel="0" collapsed="false">
      <c r="A371" s="3" t="s">
        <v>1192</v>
      </c>
      <c r="B371" s="3" t="s">
        <v>1163</v>
      </c>
      <c r="C371" s="3" t="s">
        <v>232</v>
      </c>
      <c r="D371" s="3" t="s">
        <v>233</v>
      </c>
      <c r="E371" s="3" t="n">
        <v>2018</v>
      </c>
      <c r="F371" s="3" t="s">
        <v>146</v>
      </c>
      <c r="G371" s="3" t="s">
        <v>147</v>
      </c>
      <c r="H371" s="3" t="s">
        <v>1193</v>
      </c>
      <c r="I371" s="3" t="s">
        <v>56</v>
      </c>
      <c r="J371" s="7" t="n">
        <v>810000</v>
      </c>
      <c r="K371" s="3" t="s">
        <v>441</v>
      </c>
      <c r="L371" s="7" t="n">
        <v>9146.55</v>
      </c>
      <c r="M371" s="7" t="n">
        <v>1143.32</v>
      </c>
      <c r="N371" s="7" t="n">
        <v>1143.32</v>
      </c>
      <c r="O371" s="7" t="n">
        <v>6859.9</v>
      </c>
      <c r="P371" s="7" t="n">
        <v>685.99</v>
      </c>
      <c r="Q371" s="7" t="n">
        <v>685.99</v>
      </c>
      <c r="R371" s="7" t="n">
        <v>685.99</v>
      </c>
      <c r="S371" s="7" t="n">
        <v>685.99</v>
      </c>
      <c r="T371" s="7" t="n">
        <v>685.99</v>
      </c>
      <c r="U371" s="7" t="n">
        <v>685.99</v>
      </c>
      <c r="V371" s="7" t="n">
        <v>685.99</v>
      </c>
      <c r="W371" s="7" t="n">
        <v>685.99</v>
      </c>
      <c r="X371" s="7" t="n">
        <v>685.99</v>
      </c>
      <c r="Y371" s="7" t="n">
        <v>685.99</v>
      </c>
      <c r="Z371" s="7" t="n">
        <v>350</v>
      </c>
      <c r="AA371" s="7" t="n">
        <v>0</v>
      </c>
      <c r="AB371" s="7" t="n">
        <v>350</v>
      </c>
    </row>
    <row r="372" customFormat="false" ht="15" hidden="false" customHeight="false" outlineLevel="0" collapsed="false">
      <c r="A372" s="8" t="s">
        <v>1194</v>
      </c>
      <c r="B372" s="8" t="s">
        <v>1195</v>
      </c>
      <c r="C372" s="8" t="s">
        <v>137</v>
      </c>
      <c r="D372" s="8" t="s">
        <v>138</v>
      </c>
      <c r="E372" s="8" t="n">
        <v>1980</v>
      </c>
      <c r="F372" s="8" t="s">
        <v>173</v>
      </c>
      <c r="G372" s="8" t="s">
        <v>174</v>
      </c>
      <c r="H372" s="8" t="s">
        <v>1196</v>
      </c>
      <c r="I372" s="8" t="s">
        <v>107</v>
      </c>
      <c r="J372" s="9" t="n">
        <v>365000</v>
      </c>
      <c r="K372" s="8" t="s">
        <v>265</v>
      </c>
      <c r="L372" s="9" t="n">
        <v>4502.05</v>
      </c>
      <c r="M372" s="9" t="n">
        <v>562.76</v>
      </c>
      <c r="N372" s="9" t="n">
        <v>562.76</v>
      </c>
      <c r="O372" s="9" t="n">
        <v>3376.5</v>
      </c>
      <c r="P372" s="9" t="n">
        <v>337.65</v>
      </c>
      <c r="Q372" s="9" t="n">
        <v>337.65</v>
      </c>
      <c r="R372" s="9" t="n">
        <v>337.65</v>
      </c>
      <c r="S372" s="9" t="n">
        <v>337.65</v>
      </c>
      <c r="T372" s="9" t="n">
        <v>337.65</v>
      </c>
      <c r="U372" s="9" t="n">
        <v>337.65</v>
      </c>
      <c r="V372" s="9" t="n">
        <v>337.65</v>
      </c>
      <c r="W372" s="9" t="n">
        <v>337.65</v>
      </c>
      <c r="X372" s="9" t="n">
        <v>337.65</v>
      </c>
      <c r="Y372" s="9" t="n">
        <v>337.65</v>
      </c>
      <c r="Z372" s="9" t="n">
        <v>350</v>
      </c>
      <c r="AA372" s="9" t="n">
        <v>0</v>
      </c>
      <c r="AB372" s="9" t="n">
        <v>350</v>
      </c>
    </row>
    <row r="373" customFormat="false" ht="15" hidden="false" customHeight="false" outlineLevel="0" collapsed="false">
      <c r="A373" s="3" t="s">
        <v>1197</v>
      </c>
      <c r="B373" s="3" t="s">
        <v>1198</v>
      </c>
      <c r="C373" s="3" t="s">
        <v>249</v>
      </c>
      <c r="D373" s="3" t="s">
        <v>250</v>
      </c>
      <c r="E373" s="3" t="n">
        <v>1985</v>
      </c>
      <c r="F373" s="3" t="s">
        <v>113</v>
      </c>
      <c r="G373" s="3" t="s">
        <v>139</v>
      </c>
      <c r="H373" s="3" t="s">
        <v>1199</v>
      </c>
      <c r="I373" s="3" t="s">
        <v>107</v>
      </c>
      <c r="J373" s="7" t="n">
        <v>835000</v>
      </c>
      <c r="K373" s="3" t="s">
        <v>134</v>
      </c>
      <c r="L373" s="7" t="n">
        <v>8316.74</v>
      </c>
      <c r="M373" s="7" t="n">
        <v>1039.59</v>
      </c>
      <c r="N373" s="7" t="n">
        <v>1039.59</v>
      </c>
      <c r="O373" s="7" t="n">
        <v>6237.6</v>
      </c>
      <c r="P373" s="7" t="n">
        <v>623.76</v>
      </c>
      <c r="Q373" s="7" t="n">
        <v>623.76</v>
      </c>
      <c r="R373" s="7" t="n">
        <v>623.76</v>
      </c>
      <c r="S373" s="7" t="n">
        <v>623.76</v>
      </c>
      <c r="T373" s="7" t="n">
        <v>623.76</v>
      </c>
      <c r="U373" s="7" t="n">
        <v>623.76</v>
      </c>
      <c r="V373" s="7" t="n">
        <v>623.76</v>
      </c>
      <c r="W373" s="7" t="n">
        <v>623.76</v>
      </c>
      <c r="X373" s="7" t="n">
        <v>623.76</v>
      </c>
      <c r="Y373" s="7" t="n">
        <v>623.76</v>
      </c>
      <c r="Z373" s="7" t="n">
        <v>350</v>
      </c>
      <c r="AA373" s="7" t="n">
        <v>0</v>
      </c>
      <c r="AB373" s="7" t="n">
        <v>350</v>
      </c>
    </row>
    <row r="374" customFormat="false" ht="15" hidden="false" customHeight="false" outlineLevel="0" collapsed="false">
      <c r="A374" s="8" t="s">
        <v>1200</v>
      </c>
      <c r="B374" s="8" t="s">
        <v>237</v>
      </c>
      <c r="C374" s="8" t="s">
        <v>76</v>
      </c>
      <c r="D374" s="8" t="s">
        <v>77</v>
      </c>
      <c r="E374" s="8" t="n">
        <v>2009</v>
      </c>
      <c r="F374" s="8" t="s">
        <v>181</v>
      </c>
      <c r="G374" s="8" t="s">
        <v>182</v>
      </c>
      <c r="H374" s="8" t="s">
        <v>1201</v>
      </c>
      <c r="I374" s="8" t="s">
        <v>47</v>
      </c>
      <c r="J374" s="9" t="n">
        <v>850000</v>
      </c>
      <c r="K374" s="8" t="s">
        <v>344</v>
      </c>
      <c r="L374" s="9" t="n">
        <v>18996.51</v>
      </c>
      <c r="M374" s="9" t="n">
        <v>2374.56</v>
      </c>
      <c r="N374" s="9" t="n">
        <v>2374.56</v>
      </c>
      <c r="O374" s="9" t="n">
        <v>14247.4</v>
      </c>
      <c r="P374" s="9" t="n">
        <v>1424.74</v>
      </c>
      <c r="Q374" s="9" t="n">
        <v>1424.74</v>
      </c>
      <c r="R374" s="9" t="n">
        <v>1424.74</v>
      </c>
      <c r="S374" s="9" t="n">
        <v>1424.74</v>
      </c>
      <c r="T374" s="9" t="n">
        <v>1424.74</v>
      </c>
      <c r="U374" s="9" t="n">
        <v>1424.74</v>
      </c>
      <c r="V374" s="9" t="n">
        <v>1424.74</v>
      </c>
      <c r="W374" s="9" t="n">
        <v>1424.74</v>
      </c>
      <c r="X374" s="9" t="n">
        <v>1424.74</v>
      </c>
      <c r="Y374" s="9" t="n">
        <v>1424.74</v>
      </c>
      <c r="Z374" s="9" t="n">
        <v>350</v>
      </c>
      <c r="AA374" s="9" t="n">
        <v>0</v>
      </c>
      <c r="AB374" s="9" t="n">
        <v>350</v>
      </c>
    </row>
    <row r="375" customFormat="false" ht="15" hidden="false" customHeight="false" outlineLevel="0" collapsed="false">
      <c r="A375" s="3" t="s">
        <v>1202</v>
      </c>
      <c r="B375" s="3" t="s">
        <v>472</v>
      </c>
      <c r="C375" s="3" t="s">
        <v>255</v>
      </c>
      <c r="D375" s="3" t="s">
        <v>256</v>
      </c>
      <c r="E375" s="3" t="n">
        <v>2010</v>
      </c>
      <c r="F375" s="3" t="s">
        <v>70</v>
      </c>
      <c r="G375" s="3" t="s">
        <v>71</v>
      </c>
      <c r="H375" s="3" t="s">
        <v>1203</v>
      </c>
      <c r="I375" s="3" t="s">
        <v>56</v>
      </c>
      <c r="J375" s="7" t="n">
        <v>405000</v>
      </c>
      <c r="K375" s="3" t="s">
        <v>492</v>
      </c>
      <c r="L375" s="7" t="n">
        <v>6925.88</v>
      </c>
      <c r="M375" s="7" t="n">
        <v>865.74</v>
      </c>
      <c r="N375" s="7" t="n">
        <v>865.74</v>
      </c>
      <c r="O375" s="7" t="n">
        <v>5194.4</v>
      </c>
      <c r="P375" s="7" t="n">
        <v>519.44</v>
      </c>
      <c r="Q375" s="7" t="n">
        <v>519.44</v>
      </c>
      <c r="R375" s="7" t="n">
        <v>519.44</v>
      </c>
      <c r="S375" s="7" t="n">
        <v>519.44</v>
      </c>
      <c r="T375" s="7" t="n">
        <v>519.44</v>
      </c>
      <c r="U375" s="7" t="n">
        <v>519.44</v>
      </c>
      <c r="V375" s="7" t="n">
        <v>519.44</v>
      </c>
      <c r="W375" s="7" t="n">
        <v>519.44</v>
      </c>
      <c r="X375" s="7" t="n">
        <v>519.44</v>
      </c>
      <c r="Y375" s="7" t="n">
        <v>519.44</v>
      </c>
      <c r="Z375" s="7" t="n">
        <v>350</v>
      </c>
      <c r="AA375" s="7" t="n">
        <v>0</v>
      </c>
      <c r="AB375" s="7" t="n">
        <v>350</v>
      </c>
    </row>
    <row r="376" customFormat="false" ht="15" hidden="false" customHeight="false" outlineLevel="0" collapsed="false">
      <c r="A376" s="8" t="s">
        <v>1204</v>
      </c>
      <c r="B376" s="8" t="s">
        <v>110</v>
      </c>
      <c r="C376" s="8" t="s">
        <v>42</v>
      </c>
      <c r="D376" s="8" t="s">
        <v>43</v>
      </c>
      <c r="E376" s="8" t="n">
        <v>1989</v>
      </c>
      <c r="F376" s="8" t="s">
        <v>70</v>
      </c>
      <c r="G376" s="8" t="s">
        <v>71</v>
      </c>
      <c r="H376" s="8" t="s">
        <v>1205</v>
      </c>
      <c r="I376" s="8" t="s">
        <v>56</v>
      </c>
      <c r="J376" s="9" t="n">
        <v>750000</v>
      </c>
      <c r="K376" s="8" t="s">
        <v>210</v>
      </c>
      <c r="L376" s="9" t="n">
        <v>11909.58</v>
      </c>
      <c r="M376" s="9" t="n">
        <v>1488.7</v>
      </c>
      <c r="N376" s="9" t="n">
        <v>1488.7</v>
      </c>
      <c r="O376" s="9" t="n">
        <v>8932.2</v>
      </c>
      <c r="P376" s="9" t="n">
        <v>893.22</v>
      </c>
      <c r="Q376" s="9" t="n">
        <v>893.22</v>
      </c>
      <c r="R376" s="9" t="n">
        <v>893.22</v>
      </c>
      <c r="S376" s="9" t="n">
        <v>893.22</v>
      </c>
      <c r="T376" s="9" t="n">
        <v>893.22</v>
      </c>
      <c r="U376" s="9" t="n">
        <v>893.22</v>
      </c>
      <c r="V376" s="9" t="n">
        <v>893.22</v>
      </c>
      <c r="W376" s="9" t="n">
        <v>893.22</v>
      </c>
      <c r="X376" s="9" t="n">
        <v>893.22</v>
      </c>
      <c r="Y376" s="9" t="n">
        <v>893.22</v>
      </c>
      <c r="Z376" s="9" t="n">
        <v>350</v>
      </c>
      <c r="AA376" s="9" t="n">
        <v>0</v>
      </c>
      <c r="AB376" s="9" t="n">
        <v>350</v>
      </c>
    </row>
    <row r="377" customFormat="false" ht="15" hidden="false" customHeight="false" outlineLevel="0" collapsed="false">
      <c r="A377" s="3" t="s">
        <v>1206</v>
      </c>
      <c r="B377" s="3" t="s">
        <v>398</v>
      </c>
      <c r="C377" s="3" t="s">
        <v>374</v>
      </c>
      <c r="D377" s="3" t="s">
        <v>375</v>
      </c>
      <c r="E377" s="3" t="n">
        <v>1995</v>
      </c>
      <c r="F377" s="3" t="s">
        <v>146</v>
      </c>
      <c r="G377" s="3" t="s">
        <v>147</v>
      </c>
      <c r="H377" s="3" t="s">
        <v>1207</v>
      </c>
      <c r="I377" s="3" t="s">
        <v>56</v>
      </c>
      <c r="J377" s="7" t="n">
        <v>745000</v>
      </c>
      <c r="K377" s="3" t="s">
        <v>265</v>
      </c>
      <c r="L377" s="7" t="n">
        <v>12443.6</v>
      </c>
      <c r="M377" s="7" t="n">
        <v>1555.45</v>
      </c>
      <c r="N377" s="7" t="n">
        <v>1555.45</v>
      </c>
      <c r="O377" s="7" t="n">
        <v>9332.7</v>
      </c>
      <c r="P377" s="7" t="n">
        <v>933.27</v>
      </c>
      <c r="Q377" s="7" t="n">
        <v>933.27</v>
      </c>
      <c r="R377" s="7" t="n">
        <v>933.27</v>
      </c>
      <c r="S377" s="7" t="n">
        <v>933.27</v>
      </c>
      <c r="T377" s="7" t="n">
        <v>933.27</v>
      </c>
      <c r="U377" s="7" t="n">
        <v>933.27</v>
      </c>
      <c r="V377" s="7" t="n">
        <v>933.27</v>
      </c>
      <c r="W377" s="7" t="n">
        <v>933.27</v>
      </c>
      <c r="X377" s="7" t="n">
        <v>933.27</v>
      </c>
      <c r="Y377" s="7" t="n">
        <v>933.27</v>
      </c>
      <c r="Z377" s="7" t="n">
        <v>350</v>
      </c>
      <c r="AA377" s="7" t="n">
        <v>0</v>
      </c>
      <c r="AB377" s="7" t="n">
        <v>350</v>
      </c>
    </row>
    <row r="378" customFormat="false" ht="15" hidden="false" customHeight="false" outlineLevel="0" collapsed="false">
      <c r="A378" s="8" t="s">
        <v>1208</v>
      </c>
      <c r="B378" s="8" t="s">
        <v>200</v>
      </c>
      <c r="C378" s="8" t="s">
        <v>125</v>
      </c>
      <c r="D378" s="8" t="s">
        <v>126</v>
      </c>
      <c r="E378" s="8" t="n">
        <v>1957</v>
      </c>
      <c r="F378" s="8" t="s">
        <v>70</v>
      </c>
      <c r="G378" s="8" t="s">
        <v>71</v>
      </c>
      <c r="H378" s="8" t="s">
        <v>1209</v>
      </c>
      <c r="I378" s="8" t="s">
        <v>56</v>
      </c>
      <c r="J378" s="9" t="n">
        <v>695000</v>
      </c>
      <c r="K378" s="8" t="s">
        <v>461</v>
      </c>
      <c r="L378" s="9" t="n">
        <v>9155.97</v>
      </c>
      <c r="M378" s="9" t="n">
        <v>1144.5</v>
      </c>
      <c r="N378" s="9" t="n">
        <v>1144.5</v>
      </c>
      <c r="O378" s="9" t="n">
        <v>6867</v>
      </c>
      <c r="P378" s="9" t="n">
        <v>686.7</v>
      </c>
      <c r="Q378" s="9" t="n">
        <v>686.7</v>
      </c>
      <c r="R378" s="9" t="n">
        <v>686.7</v>
      </c>
      <c r="S378" s="9" t="n">
        <v>686.7</v>
      </c>
      <c r="T378" s="9" t="n">
        <v>686.7</v>
      </c>
      <c r="U378" s="9" t="n">
        <v>686.7</v>
      </c>
      <c r="V378" s="9" t="n">
        <v>686.7</v>
      </c>
      <c r="W378" s="9" t="n">
        <v>686.7</v>
      </c>
      <c r="X378" s="9" t="n">
        <v>686.7</v>
      </c>
      <c r="Y378" s="9" t="n">
        <v>686.7</v>
      </c>
      <c r="Z378" s="9" t="n">
        <v>350</v>
      </c>
      <c r="AA378" s="9" t="n">
        <v>0</v>
      </c>
      <c r="AB378" s="9" t="n">
        <v>350</v>
      </c>
    </row>
    <row r="379" customFormat="false" ht="15" hidden="false" customHeight="false" outlineLevel="0" collapsed="false">
      <c r="A379" s="3" t="s">
        <v>1210</v>
      </c>
      <c r="B379" s="3" t="s">
        <v>1211</v>
      </c>
      <c r="C379" s="3" t="s">
        <v>255</v>
      </c>
      <c r="D379" s="3" t="s">
        <v>256</v>
      </c>
      <c r="E379" s="3" t="n">
        <v>2011</v>
      </c>
      <c r="F379" s="3" t="s">
        <v>62</v>
      </c>
      <c r="G379" s="3" t="s">
        <v>98</v>
      </c>
      <c r="H379" s="3" t="s">
        <v>1212</v>
      </c>
      <c r="I379" s="3" t="s">
        <v>47</v>
      </c>
      <c r="J379" s="7" t="n">
        <v>1950000</v>
      </c>
      <c r="K379" s="3" t="s">
        <v>319</v>
      </c>
      <c r="L379" s="7" t="n">
        <v>35852.24</v>
      </c>
      <c r="M379" s="7" t="n">
        <v>4481.53</v>
      </c>
      <c r="N379" s="7" t="n">
        <v>4481.53</v>
      </c>
      <c r="O379" s="7" t="n">
        <v>26889.2</v>
      </c>
      <c r="P379" s="7" t="n">
        <v>2688.92</v>
      </c>
      <c r="Q379" s="7" t="n">
        <v>2688.92</v>
      </c>
      <c r="R379" s="7" t="n">
        <v>2688.92</v>
      </c>
      <c r="S379" s="7" t="n">
        <v>2688.92</v>
      </c>
      <c r="T379" s="7" t="n">
        <v>2688.92</v>
      </c>
      <c r="U379" s="7" t="n">
        <v>2688.92</v>
      </c>
      <c r="V379" s="7" t="n">
        <v>2688.92</v>
      </c>
      <c r="W379" s="7" t="n">
        <v>2688.92</v>
      </c>
      <c r="X379" s="7" t="n">
        <v>2688.92</v>
      </c>
      <c r="Y379" s="7" t="n">
        <v>2688.92</v>
      </c>
      <c r="Z379" s="7" t="n">
        <v>350</v>
      </c>
      <c r="AA379" s="7" t="n">
        <v>250</v>
      </c>
      <c r="AB379" s="7" t="n">
        <v>600</v>
      </c>
    </row>
    <row r="380" customFormat="false" ht="15" hidden="false" customHeight="false" outlineLevel="0" collapsed="false">
      <c r="A380" s="8" t="s">
        <v>1213</v>
      </c>
      <c r="B380" s="8" t="s">
        <v>443</v>
      </c>
      <c r="C380" s="8" t="s">
        <v>238</v>
      </c>
      <c r="D380" s="8" t="s">
        <v>239</v>
      </c>
      <c r="E380" s="8" t="n">
        <v>2007</v>
      </c>
      <c r="F380" s="8" t="s">
        <v>53</v>
      </c>
      <c r="G380" s="8" t="s">
        <v>54</v>
      </c>
      <c r="H380" s="8" t="s">
        <v>1214</v>
      </c>
      <c r="I380" s="8" t="s">
        <v>56</v>
      </c>
      <c r="J380" s="9" t="n">
        <v>635000</v>
      </c>
      <c r="K380" s="8" t="s">
        <v>903</v>
      </c>
      <c r="L380" s="9" t="n">
        <v>9037.75</v>
      </c>
      <c r="M380" s="9" t="n">
        <v>1129.72</v>
      </c>
      <c r="N380" s="9" t="n">
        <v>1129.72</v>
      </c>
      <c r="O380" s="9" t="n">
        <v>6778.3</v>
      </c>
      <c r="P380" s="9" t="n">
        <v>677.83</v>
      </c>
      <c r="Q380" s="9" t="n">
        <v>677.83</v>
      </c>
      <c r="R380" s="9" t="n">
        <v>677.83</v>
      </c>
      <c r="S380" s="9" t="n">
        <v>677.83</v>
      </c>
      <c r="T380" s="9" t="n">
        <v>677.83</v>
      </c>
      <c r="U380" s="9" t="n">
        <v>677.83</v>
      </c>
      <c r="V380" s="9" t="n">
        <v>677.83</v>
      </c>
      <c r="W380" s="9" t="n">
        <v>677.83</v>
      </c>
      <c r="X380" s="9" t="n">
        <v>677.83</v>
      </c>
      <c r="Y380" s="9" t="n">
        <v>677.83</v>
      </c>
      <c r="Z380" s="9" t="n">
        <v>350</v>
      </c>
      <c r="AA380" s="9" t="n">
        <v>0</v>
      </c>
      <c r="AB380" s="9" t="n">
        <v>350</v>
      </c>
    </row>
    <row r="381" customFormat="false" ht="15" hidden="false" customHeight="false" outlineLevel="0" collapsed="false">
      <c r="A381" s="3" t="s">
        <v>1215</v>
      </c>
      <c r="B381" s="3" t="s">
        <v>449</v>
      </c>
      <c r="C381" s="3" t="s">
        <v>238</v>
      </c>
      <c r="D381" s="3" t="s">
        <v>239</v>
      </c>
      <c r="E381" s="3" t="n">
        <v>1972</v>
      </c>
      <c r="F381" s="3" t="s">
        <v>158</v>
      </c>
      <c r="G381" s="3" t="s">
        <v>159</v>
      </c>
      <c r="H381" s="3" t="s">
        <v>1216</v>
      </c>
      <c r="I381" s="3" t="s">
        <v>56</v>
      </c>
      <c r="J381" s="7" t="n">
        <v>480000</v>
      </c>
      <c r="K381" s="3" t="s">
        <v>379</v>
      </c>
      <c r="L381" s="7" t="n">
        <v>7100.96</v>
      </c>
      <c r="M381" s="7" t="n">
        <v>887.62</v>
      </c>
      <c r="N381" s="7" t="n">
        <v>887.62</v>
      </c>
      <c r="O381" s="7" t="n">
        <v>5325.7</v>
      </c>
      <c r="P381" s="7" t="n">
        <v>532.57</v>
      </c>
      <c r="Q381" s="7" t="n">
        <v>532.57</v>
      </c>
      <c r="R381" s="7" t="n">
        <v>532.57</v>
      </c>
      <c r="S381" s="7" t="n">
        <v>532.57</v>
      </c>
      <c r="T381" s="7" t="n">
        <v>532.57</v>
      </c>
      <c r="U381" s="7" t="n">
        <v>532.57</v>
      </c>
      <c r="V381" s="7" t="n">
        <v>532.57</v>
      </c>
      <c r="W381" s="7" t="n">
        <v>532.57</v>
      </c>
      <c r="X381" s="7" t="n">
        <v>532.57</v>
      </c>
      <c r="Y381" s="7" t="n">
        <v>532.57</v>
      </c>
      <c r="Z381" s="7" t="n">
        <v>350</v>
      </c>
      <c r="AA381" s="7" t="n">
        <v>0</v>
      </c>
      <c r="AB381" s="7" t="n">
        <v>350</v>
      </c>
    </row>
    <row r="382" customFormat="false" ht="15" hidden="false" customHeight="false" outlineLevel="0" collapsed="false">
      <c r="A382" s="10" t="s">
        <v>1217</v>
      </c>
      <c r="J382" s="11" t="n">
        <f aca="false">SUM(J5:J381)</f>
        <v>260530000</v>
      </c>
      <c r="L382" s="11" t="n">
        <f aca="false">SUM(L5:L381)</f>
        <v>3830596.87</v>
      </c>
      <c r="M382" s="11" t="n">
        <f aca="false">SUM(M5:M381)</f>
        <v>478824.56</v>
      </c>
      <c r="N382" s="11" t="n">
        <f aca="false">SUM(N5:N381)</f>
        <v>478824.56</v>
      </c>
      <c r="O382" s="11" t="n">
        <f aca="false">SUM(O5:O381)</f>
        <v>2872946.9</v>
      </c>
      <c r="P382" s="11" t="n">
        <f aca="false">SUM(P5:P381)</f>
        <v>287294.69</v>
      </c>
      <c r="Q382" s="11" t="n">
        <f aca="false">SUM(Q5:Q381)</f>
        <v>287294.69</v>
      </c>
      <c r="R382" s="11" t="n">
        <f aca="false">SUM(R5:R381)</f>
        <v>287294.69</v>
      </c>
      <c r="S382" s="11" t="n">
        <f aca="false">SUM(S5:S381)</f>
        <v>287294.69</v>
      </c>
      <c r="T382" s="11" t="n">
        <f aca="false">SUM(T5:T381)</f>
        <v>287294.69</v>
      </c>
      <c r="U382" s="11" t="n">
        <f aca="false">SUM(U5:U381)</f>
        <v>287294.69</v>
      </c>
      <c r="V382" s="11" t="n">
        <f aca="false">SUM(V5:V381)</f>
        <v>287294.69</v>
      </c>
      <c r="W382" s="11" t="n">
        <f aca="false">SUM(W5:W381)</f>
        <v>287294.69</v>
      </c>
      <c r="X382" s="11" t="n">
        <f aca="false">SUM(X5:X381)</f>
        <v>287294.69</v>
      </c>
      <c r="Y382" s="11" t="n">
        <f aca="false">SUM(Y5:Y381)</f>
        <v>287294.69</v>
      </c>
      <c r="Z382" s="11" t="n">
        <f aca="false">SUM(Z5:Z381)</f>
        <v>131950</v>
      </c>
      <c r="AA382" s="11" t="n">
        <f aca="false">SUM(AA5:AA381)</f>
        <v>17000</v>
      </c>
      <c r="AB382" s="11" t="n">
        <f aca="false">SUM(AB5:AB381)</f>
        <v>148950</v>
      </c>
    </row>
    <row r="383" customFormat="false" ht="15" hidden="false" customHeight="false" outlineLevel="0" collapsed="false">
      <c r="A383" s="10" t="s">
        <v>1218</v>
      </c>
      <c r="L383" s="11" t="n">
        <f aca="false">M382+N382+SUM(P382:Y382)</f>
        <v>3830596.02</v>
      </c>
    </row>
    <row r="384" customFormat="false" ht="15" hidden="false" customHeight="false" outlineLevel="0" collapsed="false">
      <c r="A384" s="10" t="s">
        <v>1219</v>
      </c>
      <c r="L384" s="11" t="n">
        <f aca="false">ROUND(L382-(M382+N382+SUM(P382:Y382)),2)</f>
        <v>0.85</v>
      </c>
    </row>
    <row r="385" customFormat="false" ht="15" hidden="false" customHeight="false" outlineLevel="0" collapsed="false">
      <c r="A385" s="10" t="s">
        <v>1220</v>
      </c>
      <c r="L385" s="11" t="n">
        <f aca="false">M382+N382+SUM(P382:Y382)+L384</f>
        <v>3830596.87</v>
      </c>
    </row>
  </sheetData>
  <autoFilter ref="A4:AB381"/>
  <mergeCells count="2">
    <mergeCell ref="A1:AB1"/>
    <mergeCell ref="A2:AB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4E79"/>
    <pageSetUpPr fitToPage="false"/>
  </sheetPr>
  <dimension ref="A1:C2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2"/>
    <col collapsed="false" customWidth="true" hidden="false" outlineLevel="0" max="3" min="3" style="0" width="28"/>
  </cols>
  <sheetData>
    <row r="1" customFormat="false" ht="21.75" hidden="false" customHeight="true" outlineLevel="0" collapsed="false">
      <c r="A1" s="4" t="s">
        <v>1221</v>
      </c>
      <c r="B1" s="4"/>
      <c r="C1" s="4"/>
    </row>
    <row r="2" customFormat="false" ht="15" hidden="false" customHeight="false" outlineLevel="0" collapsed="false">
      <c r="A2" s="5" t="s">
        <v>1222</v>
      </c>
      <c r="B2" s="5"/>
      <c r="C2" s="5"/>
    </row>
    <row r="4" customFormat="false" ht="15" hidden="false" customHeight="false" outlineLevel="0" collapsed="false">
      <c r="A4" s="6" t="s">
        <v>1223</v>
      </c>
      <c r="B4" s="6" t="s">
        <v>1224</v>
      </c>
      <c r="C4" s="6" t="s">
        <v>1225</v>
      </c>
    </row>
    <row r="5" customFormat="false" ht="15" hidden="false" customHeight="false" outlineLevel="0" collapsed="false">
      <c r="A5" s="12" t="s">
        <v>1226</v>
      </c>
      <c r="B5" s="13" t="n">
        <f aca="false">COUNTA(Bordereau!A5:A381)</f>
        <v>377</v>
      </c>
      <c r="C5" s="14" t="n">
        <v>377</v>
      </c>
    </row>
    <row r="6" customFormat="false" ht="15" hidden="false" customHeight="false" outlineLevel="0" collapsed="false">
      <c r="A6" s="15" t="s">
        <v>4</v>
      </c>
      <c r="B6" s="16" t="n">
        <f aca="false">SUM(Bordereau!L5:L381)</f>
        <v>3830596.87</v>
      </c>
      <c r="C6" s="17" t="n">
        <v>3830596.87</v>
      </c>
    </row>
    <row r="7" customFormat="false" ht="15" hidden="false" customHeight="false" outlineLevel="0" collapsed="false">
      <c r="A7" s="15" t="s">
        <v>1227</v>
      </c>
      <c r="B7" s="16" t="n">
        <f aca="false">B6/B5</f>
        <v>10160.734403183</v>
      </c>
      <c r="C7" s="17" t="n">
        <v>10160.73</v>
      </c>
    </row>
    <row r="8" customFormat="false" ht="15" hidden="false" customHeight="false" outlineLevel="0" collapsed="false">
      <c r="A8" s="15" t="s">
        <v>1228</v>
      </c>
      <c r="B8" s="16" t="n">
        <f aca="false">SUM(Bordereau!M5:M381)</f>
        <v>478824.56</v>
      </c>
      <c r="C8" s="18"/>
    </row>
    <row r="9" customFormat="false" ht="15" hidden="false" customHeight="false" outlineLevel="0" collapsed="false">
      <c r="A9" s="15" t="s">
        <v>1229</v>
      </c>
      <c r="B9" s="16" t="n">
        <f aca="false">SUM(Bordereau!N5:N381)</f>
        <v>478824.56</v>
      </c>
      <c r="C9" s="18"/>
    </row>
    <row r="10" customFormat="false" ht="15" hidden="false" customHeight="false" outlineLevel="0" collapsed="false">
      <c r="A10" s="15" t="s">
        <v>1230</v>
      </c>
      <c r="B10" s="16" t="n">
        <f aca="false">SUM(Bordereau!O5:O381)</f>
        <v>2872946.9</v>
      </c>
      <c r="C10" s="18"/>
    </row>
    <row r="11" customFormat="false" ht="15" hidden="false" customHeight="false" outlineLevel="0" collapsed="false">
      <c r="A11" s="15" t="s">
        <v>1231</v>
      </c>
      <c r="B11" s="16" t="n">
        <f aca="false">SUM(Bordereau!P5:P381)</f>
        <v>287294.69</v>
      </c>
      <c r="C11" s="18"/>
    </row>
    <row r="12" customFormat="false" ht="15" hidden="false" customHeight="false" outlineLevel="0" collapsed="false">
      <c r="A12" s="15" t="s">
        <v>1232</v>
      </c>
      <c r="B12" s="16" t="n">
        <f aca="false">SUM(Bordereau!Q5:Q381)</f>
        <v>287294.69</v>
      </c>
      <c r="C12" s="18"/>
    </row>
    <row r="13" customFormat="false" ht="15" hidden="false" customHeight="false" outlineLevel="0" collapsed="false">
      <c r="A13" s="15" t="s">
        <v>1233</v>
      </c>
      <c r="B13" s="16" t="n">
        <f aca="false">SUM(Bordereau!R5:R381)</f>
        <v>287294.69</v>
      </c>
      <c r="C13" s="18"/>
    </row>
    <row r="14" customFormat="false" ht="15" hidden="false" customHeight="false" outlineLevel="0" collapsed="false">
      <c r="A14" s="15" t="s">
        <v>1234</v>
      </c>
      <c r="B14" s="16" t="n">
        <f aca="false">SUM(Bordereau!S5:S381)</f>
        <v>287294.69</v>
      </c>
      <c r="C14" s="18"/>
    </row>
    <row r="15" customFormat="false" ht="15" hidden="false" customHeight="false" outlineLevel="0" collapsed="false">
      <c r="A15" s="15" t="s">
        <v>1235</v>
      </c>
      <c r="B15" s="16" t="n">
        <f aca="false">SUM(Bordereau!T5:T381)</f>
        <v>287294.69</v>
      </c>
      <c r="C15" s="18"/>
    </row>
    <row r="16" customFormat="false" ht="15" hidden="false" customHeight="false" outlineLevel="0" collapsed="false">
      <c r="A16" s="15" t="s">
        <v>1236</v>
      </c>
      <c r="B16" s="16" t="n">
        <f aca="false">SUM(Bordereau!U5:U381)</f>
        <v>287294.69</v>
      </c>
      <c r="C16" s="18"/>
    </row>
    <row r="17" customFormat="false" ht="15" hidden="false" customHeight="false" outlineLevel="0" collapsed="false">
      <c r="A17" s="15" t="s">
        <v>1237</v>
      </c>
      <c r="B17" s="16" t="n">
        <f aca="false">SUM(Bordereau!V5:V381)</f>
        <v>287294.69</v>
      </c>
      <c r="C17" s="18"/>
    </row>
    <row r="18" customFormat="false" ht="15" hidden="false" customHeight="false" outlineLevel="0" collapsed="false">
      <c r="A18" s="15" t="s">
        <v>1238</v>
      </c>
      <c r="B18" s="16" t="n">
        <f aca="false">SUM(Bordereau!W5:W381)</f>
        <v>287294.69</v>
      </c>
      <c r="C18" s="18"/>
    </row>
    <row r="19" customFormat="false" ht="15" hidden="false" customHeight="false" outlineLevel="0" collapsed="false">
      <c r="A19" s="15" t="s">
        <v>1239</v>
      </c>
      <c r="B19" s="16" t="n">
        <f aca="false">SUM(Bordereau!X5:X381)</f>
        <v>287294.69</v>
      </c>
      <c r="C19" s="18"/>
    </row>
    <row r="20" customFormat="false" ht="15" hidden="false" customHeight="false" outlineLevel="0" collapsed="false">
      <c r="A20" s="15" t="s">
        <v>1240</v>
      </c>
      <c r="B20" s="16" t="n">
        <f aca="false">SUM(Bordereau!Y5:Y381)</f>
        <v>287294.69</v>
      </c>
      <c r="C20" s="18"/>
    </row>
    <row r="21" customFormat="false" ht="15" hidden="false" customHeight="false" outlineLevel="0" collapsed="false">
      <c r="A21" s="15" t="s">
        <v>1241</v>
      </c>
      <c r="B21" s="16" t="n">
        <f aca="false">SUM(Bordereau!Z5:Z381)</f>
        <v>131950</v>
      </c>
      <c r="C21" s="18"/>
    </row>
    <row r="22" customFormat="false" ht="15" hidden="false" customHeight="false" outlineLevel="0" collapsed="false">
      <c r="A22" s="15" t="s">
        <v>1242</v>
      </c>
      <c r="B22" s="16" t="n">
        <f aca="false">SUM(Bordereau!AA5:AA381)</f>
        <v>17000</v>
      </c>
      <c r="C22" s="18"/>
    </row>
    <row r="23" customFormat="false" ht="15" hidden="false" customHeight="false" outlineLevel="0" collapsed="false">
      <c r="A23" s="15" t="s">
        <v>1243</v>
      </c>
      <c r="B23" s="16" t="n">
        <f aca="false">SUM(Bordereau!AB5:AB381)</f>
        <v>148950</v>
      </c>
      <c r="C23" s="18"/>
    </row>
    <row r="24" customFormat="false" ht="15" hidden="false" customHeight="false" outlineLevel="0" collapsed="false">
      <c r="A24" s="12" t="s">
        <v>1244</v>
      </c>
      <c r="B24" s="19" t="n">
        <f aca="false">B8+B9+B10</f>
        <v>3830596.02</v>
      </c>
      <c r="C24" s="18"/>
    </row>
    <row r="25" customFormat="false" ht="15" hidden="false" customHeight="false" outlineLevel="0" collapsed="false">
      <c r="A25" s="12" t="s">
        <v>1219</v>
      </c>
      <c r="B25" s="19" t="n">
        <f aca="false">ROUND(B6-(B8+B9+B10),2)</f>
        <v>0.85</v>
      </c>
      <c r="C25" s="18"/>
    </row>
    <row r="26" customFormat="false" ht="15" hidden="false" customHeight="false" outlineLevel="0" collapsed="false">
      <c r="A26" s="12" t="s">
        <v>1245</v>
      </c>
      <c r="B26" s="19" t="n">
        <f aca="false">B24+B25</f>
        <v>3830596.87</v>
      </c>
      <c r="C26" s="18"/>
    </row>
  </sheetData>
  <mergeCells count="2">
    <mergeCell ref="A1:C1"/>
    <mergeCell ref="A2:C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2026-08-28T18:30:55Z</dcterms:created>
  <dc:creator>openpyxl</dc:creator>
  <dc:description/>
  <dc:language>en-US</dc:language>
  <cp:lastModifiedBy/>
  <dcterms:modified xsi:type="dcterms:W3CDTF">2026-08-28T18:30:56Z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