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<sst xmlns="http://schemas.openxmlformats.org/spreadsheetml/2006/main" count="5752" uniqueCount="2886">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</sst>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CANON-202602-004664 - Horace Bellandi</t>
        </is>
      </c>
      <c r="D5" s="38" t="s">
        <v>154</v>
      </c>
    </row>
    <row r="6" spans="2:4" x14ac:dyDescent="0.25">
      <c r="B6" s="36" t="s">
        <v>155</v>
      </c>
      <c r="C6" s="39">
        <v>46071</v>
      </c>
      <c r="D6" s="38" t="s">
        <v>156</v>
      </c>
    </row>
    <row r="7" spans="2:4" x14ac:dyDescent="0.25">
      <c r="B7" s="36" t="s">
        <v>157</v>
      </c>
      <c r="C7" s="37">
        <v>2014</v>
      </c>
      <c r="D7" s="38" t="s">
        <v>158</v>
      </c>
    </row>
    <row r="8" spans="2:4" x14ac:dyDescent="0.25">
      <c r="B8" s="36" t="s">
        <v>159</v>
      </c>
      <c r="C8" s="37" t="inlineStr">
        <is>
          <t xml:space="preserve">Lamborghini</t>
        </is>
      </c>
      <c r="D8" s="38" t="s">
        <v>161</v>
      </c>
    </row>
    <row r="9" spans="2:4" x14ac:dyDescent="0.25">
      <c r="B9" s="36" t="s">
        <v>162</v>
      </c>
      <c r="C9" s="37" t="inlineStr">
        <is>
          <t xml:space="preserve">Huracan EVO</t>
        </is>
      </c>
      <c r="D9" s="38" t="s">
        <v>164</v>
      </c>
    </row>
    <row r="10" spans="2:4" x14ac:dyDescent="0.25">
      <c r="B10" s="36" t="s">
        <v>165</v>
      </c>
      <c r="C10" s="37" t="inlineStr">
        <is>
          <t xml:space="preserve">03 - Supercar</t>
        </is>
      </c>
      <c r="D10" s="38" t="s">
        <v>167</v>
      </c>
    </row>
    <row r="11" spans="2:4" ht="24" x14ac:dyDescent="0.25">
      <c r="B11" s="36" t="s">
        <v>168</v>
      </c>
      <c r="C11" s="40">
        <v>670000</v>
      </c>
      <c r="D11" s="38" t="s">
        <v>169</v>
      </c>
    </row>
    <row r="12" spans="2:4" x14ac:dyDescent="0.25">
      <c r="B12" s="36" t="s">
        <v>170</v>
      </c>
      <c r="C12" s="37" t="inlineStr">
        <is>
          <t xml:space="preserve">Iowa</t>
        </is>
      </c>
      <c r="D12" s="38" t="s">
        <v>172</v>
      </c>
    </row>
    <row r="13" spans="2:4" x14ac:dyDescent="0.25">
      <c r="B13" s="36" t="s">
        <v>173</v>
      </c>
      <c r="C13" s="37" t="inlineStr">
        <is>
          <t xml:space="preserve">50309</t>
        </is>
      </c>
      <c r="D13" s="41" t="s">
        <v>175</v>
      </c>
    </row>
    <row r="14" spans="2:4" x14ac:dyDescent="0.25">
      <c r="B14" s="36" t="s">
        <v>176</v>
      </c>
      <c r="C14" s="37" t="s">
        <v>177</v>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Under 1,000</t>
        </is>
      </c>
      <c r="D16" s="38" t="s">
        <v>184</v>
      </c>
    </row>
    <row r="17" spans="2:4" ht="26.25" x14ac:dyDescent="0.25">
      <c r="B17" s="36" t="s">
        <v>185</v>
      </c>
      <c r="C17" s="37" t="s">
        <v>186</v>
      </c>
      <c r="D17" s="38" t="s">
        <v>187</v>
      </c>
    </row>
    <row r="18" spans="2:4" x14ac:dyDescent="0.25">
      <c r="B18" s="36" t="s">
        <v>188</v>
      </c>
      <c r="C18" s="37" t="s">
        <v>189</v>
      </c>
      <c r="D18" s="38" t="s">
        <v>190</v>
      </c>
    </row>
    <row r="19" spans="2:4" x14ac:dyDescent="0.25">
      <c r="B19" s="36" t="s">
        <v>191</v>
      </c>
      <c r="C19" s="37" t="s">
        <v>192</v>
      </c>
      <c r="D19" s="38" t="s">
        <v>193</v>
      </c>
    </row>
    <row r="20" spans="2:4" x14ac:dyDescent="0.25">
      <c r="B20" s="36" t="s">
        <v>194</v>
      </c>
      <c r="C20" s="37" t="s">
        <v>195</v>
      </c>
      <c r="D20" s="38" t="s">
        <v>196</v>
      </c>
    </row>
    <row r="21" spans="2:4" x14ac:dyDescent="0.25">
      <c r="B21" s="36" t="s">
        <v>197</v>
      </c>
      <c r="C21" s="37" t="s">
        <v>198</v>
      </c>
      <c r="D21" s="38" t="s">
        <v>199</v>
      </c>
    </row>
    <row r="22" spans="2:4" x14ac:dyDescent="0.25">
      <c r="B22" s="36" t="s">
        <v>200</v>
      </c>
      <c r="C22" s="37" t="inlineStr">
        <is>
          <t xml:space="preserve">No at-fault claims - 5 yrs</t>
        </is>
      </c>
      <c r="D22" s="38" t="s">
        <v>202</v>
      </c>
    </row>
    <row r="23" spans="2:4" x14ac:dyDescent="0.25">
      <c r="B23" s="36" t="s">
        <v>203</v>
      </c>
      <c r="C23" s="37" t="s">
        <v>204</v>
      </c>
      <c r="D23" s="38" t="s">
        <v>205</v>
      </c>
    </row>
    <row r="24" spans="2:4" x14ac:dyDescent="0.25">
      <c r="B24" s="36" t="s">
        <v>206</v>
      </c>
      <c r="C24" s="37" t="inlineStr">
        <is>
          <t xml:space="preserve">$1,000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Other / Rest of State</t>
        </is>
      </c>
      <c r="D27" s="38" t="s">
        <v>216</v>
      </c>
    </row>
    <row r="28" spans="2:4" x14ac:dyDescent="0.25">
      <c r="B28" s="36" t="s">
        <v>217</v>
      </c>
      <c r="C28" s="37" t="inlineStr">
        <is>
          <t xml:space="preserve">1% of agreed value, minimum $5,000</t>
        </is>
      </c>
      <c r="D28" s="38" t="s">
        <v>219</v>
      </c>
    </row>
    <row r="29" spans="2:4" x14ac:dyDescent="0.25">
      <c r="B29" s="42" t="s">
        <v>220</v>
      </c>
      <c r="C29" s="37" t="s">
        <v>221</v>
      </c>
      <c r="D29" s="38" t="s">
        <v>222</v>
      </c>
    </row>
    <row r="30" spans="2:4" x14ac:dyDescent="0.25">
      <c r="B30" s="36" t="s">
        <v>223</v>
      </c>
      <c r="C30" s="37" t="s">
        <v>224</v>
      </c>
      <c r="D30" s="38" t="inlineStr">
        <is>
          <t xml:space="preserve">Risk inputs populated from demo submission; premium computed by this rater's own engine.</t>
        </is>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c>
      <c r="D48" s="38" t="s">
        <v>256</v>
      </c>
    </row>
    <row r="49" spans="2:4" x14ac:dyDescent="0.25">
      <c r="B49" s="36" t="s">
        <v>257</v>
      </c>
      <c r="C49" s="44" t="str">
        <f>IF(C43&lt;&gt;"","Manual underwriter override",IF(ISNUMBER(MATCH(C47,'Cat Zone by ZIP'!$B$6:$B$856,0)),"ZIP-3 prefix "&amp;C47&amp;" mapped","State default for "&amp;C12))</f>
      </c>
      <c r="D49" s="38" t="s">
        <v>258</v>
      </c>
    </row>
    <row r="50" spans="2:4" ht="39" x14ac:dyDescent="0.25">
      <c r="B50" s="36" t="s">
        <v>259</v>
      </c>
      <c r="C50" s="44" t="str">
        <f>INDEX('Natural Catastrophe'!$C$6:$C$17,MATCH(C48,'Natural Catastrophe'!$B$6:$B$17,0))</f>
      </c>
      <c r="D50" s="38" t="s">
        <v>260</v>
      </c>
    </row>
    <row r="51" spans="2:4" ht="24" x14ac:dyDescent="0.25">
      <c r="B51" s="36" t="s">
        <v>261</v>
      </c>
      <c r="C51" s="46">
        <f>INDEX('Natural Catastrophe'!$D$6:$D$17,MATCH(C48,'Natural Catastrophe'!$B$6:$B$17,0))</f>
      </c>
      <c r="D51" s="38" t="s">
        <v>262</v>
      </c>
    </row>
    <row r="52" spans="2:4" x14ac:dyDescent="0.25">
      <c r="B52" s="36" t="s">
        <v>263</v>
      </c>
      <c r="C52" s="46">
        <f>INDEX('Natural Catastrophe'!$C$21:$C$26,MATCH(C28,'Natural Catastrophe'!$B$21:$B$26,0))</f>
      </c>
      <c r="D52" s="38" t="s">
        <v>264</v>
      </c>
    </row>
    <row r="54" spans="2:4" ht="18" customHeight="1" x14ac:dyDescent="0.25">
      <c r="B54" s="12" t="s">
        <v>265</v>
      </c>
      <c r="C54" s="12"/>
      <c r="D54" s="12"/>
    </row>
    <row r="55" spans="2:4" x14ac:dyDescent="0.25">
      <c r="B55" s="36" t="s">
        <v>266</v>
      </c>
      <c r="C55" s="44" t="str">
        <f>INDEX('Base Rates'!$C$4:$I$4,MATCH(MAX(C11,'Technical Premium'!$C$18),'Base Rates'!$C$3:$I$3,1))</f>
      </c>
      <c r="D55" s="38" t="s">
        <v>267</v>
      </c>
    </row>
    <row r="56" spans="2:4" x14ac:dyDescent="0.25">
      <c r="B56" s="36" t="s">
        <v>268</v>
      </c>
      <c r="C56" s="47">
        <f>INDEX('Base Rates'!$C$5:$I$16,MATCH(C10,'Base Rates'!$B$5:$B$16,0),MATCH(MAX(C11,'Technical Premium'!$C$18),'Base Rates'!$C$3:$I$3,1))</f>
      </c>
      <c r="D56" s="38" t="s">
        <v>269</v>
      </c>
    </row>
    <row r="57" spans="2:4" x14ac:dyDescent="0.25">
      <c r="B57" s="36" t="s">
        <v>270</v>
      </c>
      <c r="C57" s="48">
        <f>C11/100*C56</f>
      </c>
      <c r="D57" s="38" t="s">
        <v>271</v>
      </c>
    </row>
    <row r="58" spans="2:4" x14ac:dyDescent="0.25">
      <c r="B58" s="36" t="s">
        <v>272</v>
      </c>
      <c r="C58" s="46">
        <f>INDEX('Make Factors'!$G$5:$G$69,MATCH(C8,'Make Factors'!$B$5:$B$69,0))</f>
      </c>
    </row>
    <row r="59" spans="2:4" x14ac:dyDescent="0.25">
      <c r="B59" s="36" t="s">
        <v>273</v>
      </c>
      <c r="C59" s="46">
        <f>INDEX('Driver Factors'!$C$6:$C$15,MATCH(C19,'Driver Factors'!$B$6:$B$15,0))</f>
      </c>
    </row>
    <row r="60" spans="2:4" x14ac:dyDescent="0.25">
      <c r="B60" s="36" t="s">
        <v>274</v>
      </c>
      <c r="C60" s="46">
        <f>INDEX('Driver Factors'!$C$19:$C$24,MATCH(C20,'Driver Factors'!$B$19:$B$24,0))</f>
      </c>
    </row>
    <row r="61" spans="2:4" x14ac:dyDescent="0.25">
      <c r="B61" s="36" t="s">
        <v>275</v>
      </c>
      <c r="C61" s="46">
        <f>INDEX('Driver Factors'!$C$28:$C$36,MATCH(C21,'Driver Factors'!$B$28:$B$36,0))</f>
      </c>
    </row>
    <row r="62" spans="2:4" x14ac:dyDescent="0.25">
      <c r="B62" s="36" t="s">
        <v>276</v>
      </c>
      <c r="C62" s="46">
        <f>INDEX('Claims History'!$C$6:$C$15,MATCH(C22,'Claims History'!$B$6:$B$15,0))</f>
      </c>
    </row>
    <row r="63" spans="2:4" x14ac:dyDescent="0.25">
      <c r="B63" s="36" t="s">
        <v>277</v>
      </c>
      <c r="C63" s="46">
        <f>INDEX('Territory Factors'!$E$6:$E$56,MATCH(C12,'Territory Factors'!$B$6:$B$56,0))</f>
      </c>
    </row>
    <row r="64" spans="2:4" x14ac:dyDescent="0.25">
      <c r="B64" s="36" t="s">
        <v>278</v>
      </c>
      <c r="C64" s="46">
        <f>INDEX('City Accident Ratings'!$G$6:$G$54,MATCH(C27,'City Accident Ratings'!$B$6:$B$54,0))</f>
      </c>
    </row>
    <row r="65" spans="2:3" x14ac:dyDescent="0.25">
      <c r="B65" s="36" t="s">
        <v>279</v>
      </c>
      <c r="C65" s="46">
        <f>INDEX('Usage and Coverage'!$D$6:$D$20,MATCH(C15,'Usage and Coverage'!$C$6:$C$20,0))</f>
      </c>
    </row>
    <row r="66" spans="2:3" x14ac:dyDescent="0.25">
      <c r="B66" s="36" t="s">
        <v>280</v>
      </c>
      <c r="C66" s="46">
        <f>INDEX('Usage and Coverage'!$C$24:$C$30,MATCH(C16,'Usage and Coverage'!$B$24:$B$30,0))</f>
      </c>
    </row>
    <row r="67" spans="2:3" x14ac:dyDescent="0.25">
      <c r="B67" s="36" t="s">
        <v>281</v>
      </c>
      <c r="C67" s="46">
        <f>INDEX('Usage and Coverage'!$C$34:$C$40,MATCH(C17,'Usage and Coverage'!$B$34:$B$40,0))</f>
      </c>
    </row>
    <row r="68" spans="2:3" x14ac:dyDescent="0.25">
      <c r="B68" s="36" t="s">
        <v>282</v>
      </c>
      <c r="C68" s="46">
        <f>INDEX('Usage and Coverage'!$C$44:$C$49,MATCH(C18,'Usage and Coverage'!$B$44:$B$49,0))</f>
      </c>
    </row>
    <row r="69" spans="2:3" x14ac:dyDescent="0.25">
      <c r="B69" s="36" t="s">
        <v>283</v>
      </c>
      <c r="C69" s="46">
        <f>INDEX(Deductibles!$C$6:$I$15,MATCH(C24,Deductibles!$B$6:$B$15,0),MATCH(MAX(C11,'Technical Premium'!$C$18),'Base Rates'!$C$3:$I$3,1))</f>
      </c>
    </row>
    <row r="70" spans="2:3" x14ac:dyDescent="0.25">
      <c r="B70" s="36" t="s">
        <v>284</v>
      </c>
      <c r="C70" s="46">
        <f>INDEX('Usage and Coverage'!$C$63:$C$66,MATCH(C25,'Usage and Coverage'!$B$63:$B$66,0))</f>
      </c>
    </row>
    <row r="71" spans="2:3" x14ac:dyDescent="0.25">
      <c r="B71" s="36" t="s">
        <v>285</v>
      </c>
      <c r="C71" s="46">
        <f>INDEX('Usage and Coverage'!$C$70:$C$75,MATCH(C23,'Usage and Coverage'!$B$70:$B$75,0))</f>
      </c>
    </row>
    <row r="72" spans="2:3" x14ac:dyDescent="0.25">
      <c r="B72" s="36" t="s">
        <v>286</v>
      </c>
      <c r="C72" s="46">
        <f>INDEX(Deductibles!$C$48:$C$51,MATCH(C29,Deductibles!$B$48:$B$51,0))</f>
      </c>
    </row>
    <row r="73" spans="2:3" x14ac:dyDescent="0.25">
      <c r="B73" s="36" t="s">
        <v>287</v>
      </c>
      <c r="C73" s="46">
        <f>INDEX(Deductibles!$C$55:$C$57,MATCH(C30,Deductibles!$B$55:$B$57,0))</f>
      </c>
    </row>
    <row r="74" spans="2:3" x14ac:dyDescent="0.25">
      <c r="B74" s="36" t="s">
        <v>288</v>
      </c>
      <c r="C74" s="46">
        <f>INDEX(Deductibles!$C$61:$C$63,MATCH(C31,Deductibles!$B$61:$B$63,0))</f>
      </c>
    </row>
    <row r="75" spans="2:3" x14ac:dyDescent="0.25">
      <c r="B75" s="36" t="s">
        <v>289</v>
      </c>
      <c r="C75" s="46">
        <f>INDEX(Deductibles!$C$67:$C$69,MATCH(C32,Deductibles!$B$67:$B$69,0))</f>
      </c>
    </row>
    <row r="76" spans="2:3" x14ac:dyDescent="0.25">
      <c r="B76" s="36" t="s">
        <v>290</v>
      </c>
      <c r="C76" s="46">
        <f>INDEX(Deductibles!$C$73:$C$74,MATCH(C33,Deductibles!$B$73:$B$74,0))</f>
      </c>
    </row>
    <row r="77" spans="2:3" x14ac:dyDescent="0.25">
      <c r="B77" s="36" t="s">
        <v>291</v>
      </c>
      <c r="C77" s="46">
        <f>INDEX('Sublimits and Parts'!$C$49:$C$52,MATCH(C34,'Sublimits and Parts'!$B$49:$B$52,0))</f>
      </c>
    </row>
    <row r="78" spans="2:3" x14ac:dyDescent="0.25">
      <c r="B78" s="36" t="s">
        <v>292</v>
      </c>
      <c r="C78" s="46">
        <f>INDEX('Sublimits and Parts'!$C$56:$C$60,MATCH(C35,'Sublimits and Parts'!$B$56:$B$60,0))</f>
      </c>
    </row>
    <row r="79" spans="2:3" x14ac:dyDescent="0.25">
      <c r="B79" s="36" t="s">
        <v>293</v>
      </c>
      <c r="C79" s="46">
        <f>INDEX('Sublimits and Parts'!$C$64:$C$67,MATCH(C36,'Sublimits and Parts'!$B$64:$B$67,0))</f>
      </c>
    </row>
    <row r="80" spans="2:3" x14ac:dyDescent="0.25">
      <c r="B80" s="36" t="s">
        <v>294</v>
      </c>
      <c r="C80" s="46">
        <f>INDEX('Sublimits and Parts'!$C$71:$C$74,MATCH(C37,'Sublimits and Parts'!$B$71:$B$74,0))</f>
      </c>
    </row>
    <row r="81" spans="2:4" x14ac:dyDescent="0.25">
      <c r="B81" s="36" t="s">
        <v>295</v>
      </c>
      <c r="C81" s="46">
        <f>INDEX('Sublimits and Parts'!$C$78:$C$80,MATCH(C38,'Sublimits and Parts'!$B$78:$B$80,0))</f>
      </c>
    </row>
    <row r="82" spans="2:4" x14ac:dyDescent="0.25">
      <c r="B82" s="36" t="s">
        <v>296</v>
      </c>
      <c r="C82" s="46">
        <f>INDEX('Sublimits and Parts'!$C$84:$C$87,MATCH(C39,'Sublimits and Parts'!$B$84:$B$87,0))</f>
      </c>
    </row>
    <row r="83" spans="2:4" x14ac:dyDescent="0.25">
      <c r="B83" s="36" t="s">
        <v>297</v>
      </c>
      <c r="C83" s="46">
        <f>INDEX('Sublimits and Parts'!$C$91:$C$94,MATCH(C40,'Sublimits and Parts'!$B$91:$B$94,0))</f>
      </c>
    </row>
    <row r="84" spans="2:4" x14ac:dyDescent="0.25">
      <c r="B84" s="36" t="s">
        <v>298</v>
      </c>
      <c r="C84" s="46">
        <f>INDEX('Sublimits and Parts'!$C$98:$C$101,MATCH(C41,'Sublimits and Parts'!$B$98:$B$101,0))</f>
      </c>
    </row>
    <row r="85" spans="2:4" x14ac:dyDescent="0.25">
      <c r="B85" s="36" t="s">
        <v>299</v>
      </c>
      <c r="C85" s="46">
        <f>INDEX('Sublimits and Parts'!$C$105:$C$109,MATCH(C42,'Sublimits and Parts'!$B$105:$B$109,0))</f>
      </c>
    </row>
    <row r="86" spans="2:4" x14ac:dyDescent="0.25">
      <c r="B86" s="32" t="s">
        <v>300</v>
      </c>
      <c r="C86" s="49">
        <f>PRODUCT(C58:C71)</f>
      </c>
      <c r="D86" s="38" t="s">
        <v>301</v>
      </c>
    </row>
    <row r="87" spans="2:4" x14ac:dyDescent="0.25">
      <c r="B87" s="32" t="s">
        <v>302</v>
      </c>
      <c r="C87" s="49">
        <f>PRODUCT(C72:C85)</f>
      </c>
      <c r="D87" s="38" t="s">
        <v>303</v>
      </c>
    </row>
    <row r="88" spans="2:4" x14ac:dyDescent="0.25">
      <c r="B88" s="32" t="s">
        <v>304</v>
      </c>
      <c r="C88" s="49">
        <f>MIN(C86*C87,'Technical Premium'!$C$17)</f>
      </c>
      <c r="D88" s="38" t="s">
        <v>305</v>
      </c>
    </row>
    <row r="90" spans="2:4" ht="18" customHeight="1" x14ac:dyDescent="0.25">
      <c r="B90" s="12" t="s">
        <v>306</v>
      </c>
      <c r="C90" s="12"/>
      <c r="D90" s="12"/>
    </row>
    <row r="91" spans="2:4" x14ac:dyDescent="0.25">
      <c r="B91" s="36" t="s">
        <v>307</v>
      </c>
      <c r="C91" s="48">
        <f>C57*C88</f>
      </c>
      <c r="D91" s="38" t="s">
        <v>308</v>
      </c>
    </row>
    <row r="92" spans="2:4" x14ac:dyDescent="0.25">
      <c r="B92" s="36" t="s">
        <v>309</v>
      </c>
      <c r="C92" s="48">
        <f>INDEX('Territory Factors'!$F$6:$F$56,MATCH(C12,'Territory Factors'!$B$6:$B$56,0))</f>
      </c>
    </row>
    <row r="93" spans="2:4" x14ac:dyDescent="0.25">
      <c r="B93" s="36" t="s">
        <v>310</v>
      </c>
      <c r="C93" s="46">
        <f>INDEX('Usage and Coverage'!$C$79:$C$84,MATCH(C26,'Usage and Coverage'!$B$79:$B$84,0))</f>
      </c>
    </row>
    <row r="94" spans="2:4" x14ac:dyDescent="0.25">
      <c r="B94" s="36" t="s">
        <v>311</v>
      </c>
      <c r="C94" s="48">
        <f>C92*C93*MIN(C65*C59*C61*C62*C66*C64,'Technical Premium'!$C$17)</f>
      </c>
      <c r="D94" s="38" t="s">
        <v>312</v>
      </c>
    </row>
    <row r="95" spans="2:4" x14ac:dyDescent="0.25">
      <c r="B95" s="36" t="s">
        <v>313</v>
      </c>
      <c r="C95" s="48">
        <f>C91+C94</f>
      </c>
    </row>
    <row r="96" spans="2:4" x14ac:dyDescent="0.25">
      <c r="B96" s="36" t="s">
        <v>314</v>
      </c>
      <c r="C96" s="48">
        <f>C95*'Technical Premium'!$C$5</f>
      </c>
    </row>
    <row r="97" spans="2:4" x14ac:dyDescent="0.25">
      <c r="B97" s="36" t="s">
        <v>315</v>
      </c>
      <c r="C97" s="48">
        <f>C95+C96</f>
      </c>
    </row>
    <row r="98" spans="2:4" x14ac:dyDescent="0.25">
      <c r="B98" s="36" t="s">
        <v>316</v>
      </c>
      <c r="C98" s="48">
        <f>C97*'Technical Premium'!$C$6</f>
      </c>
    </row>
    <row r="99" spans="2:4" x14ac:dyDescent="0.25">
      <c r="B99" s="36" t="s">
        <v>317</v>
      </c>
      <c r="C99" s="50">
        <f>INDEX('Territory Factors'!$G$6:$G$56,MATCH(C12,'Territory Factors'!$B$6:$B$56,0))</f>
      </c>
      <c r="D99" s="38" t="s">
        <v>318</v>
      </c>
    </row>
    <row r="100" spans="2:4" x14ac:dyDescent="0.25">
      <c r="B100" s="36" t="s">
        <v>319</v>
      </c>
      <c r="C100" s="48">
        <f>C91*C99*C51*C52</f>
      </c>
      <c r="D100" s="38" t="s">
        <v>320</v>
      </c>
    </row>
    <row r="101" spans="2:4" x14ac:dyDescent="0.25">
      <c r="B101" s="36" t="s">
        <v>321</v>
      </c>
      <c r="C101" s="48">
        <f>C97+C98+C100</f>
      </c>
    </row>
    <row r="102" spans="2:4" x14ac:dyDescent="0.25">
      <c r="B102" s="36" t="s">
        <v>322</v>
      </c>
      <c r="C102" s="48">
        <f>C101*'Technical Premium'!$C$7</f>
      </c>
    </row>
    <row r="103" spans="2:4" x14ac:dyDescent="0.25">
      <c r="B103" s="32" t="s">
        <v>323</v>
      </c>
      <c r="C103" s="51">
        <f>C101+C102</f>
      </c>
      <c r="D103" s="38" t="s">
        <v>324</v>
      </c>
    </row>
    <row r="104" spans="2:4" x14ac:dyDescent="0.25">
      <c r="B104" s="36" t="s">
        <v>109</v>
      </c>
      <c r="C104" s="46">
        <f>'Technical Premium'!$C$13</f>
      </c>
      <c r="D104" s="38" t="s">
        <v>325</v>
      </c>
    </row>
    <row r="105" spans="2:4" ht="15.75" x14ac:dyDescent="0.25">
      <c r="B105" s="32" t="s">
        <v>112</v>
      </c>
      <c r="C105" s="52">
        <f>C103/C104</f>
      </c>
      <c r="D105" s="38" t="s">
        <v>326</v>
      </c>
    </row>
    <row r="106" spans="2:4" ht="15.75" x14ac:dyDescent="0.25">
      <c r="B106" s="32" t="s">
        <v>327</v>
      </c>
      <c r="C106" s="53">
        <f>C105/C11*100</f>
      </c>
      <c r="D106" s="38" t="s">
        <v>328</v>
      </c>
    </row>
    <row r="107" spans="2:4" x14ac:dyDescent="0.25">
      <c r="B107" s="36" t="s">
        <v>118</v>
      </c>
      <c r="C107" s="48">
        <f>C105*C44</f>
      </c>
    </row>
    <row r="108" spans="2:4" ht="15.75" x14ac:dyDescent="0.25">
      <c r="B108" s="32" t="s">
        <v>329</v>
      </c>
      <c r="C108" s="52">
        <f>C105+C107</f>
      </c>
      <c r="D108" s="38" t="s">
        <v>330</v>
      </c>
    </row>
    <row r="109" spans="2:4" x14ac:dyDescent="0.25">
      <c r="B109" s="36" t="s">
        <v>331</v>
      </c>
      <c r="C109" s="54">
        <f>C108/C11*100</f>
      </c>
      <c r="D109" s="38" t="s">
        <v>332</v>
      </c>
    </row>
    <row r="110" spans="2:4" x14ac:dyDescent="0.25">
      <c r="B110" s="36" t="s">
        <v>333</v>
      </c>
      <c r="C110" s="55">
        <f>C109/C106</f>
      </c>
      <c r="D110" s="38" t="s">
        <v>334</v>
      </c>
    </row>
    <row r="111" spans="2:4" x14ac:dyDescent="0.25">
      <c r="B111" s="36" t="s">
        <v>335</v>
      </c>
      <c r="C111" s="48">
        <f>'Technical Premium'!$C$14</f>
      </c>
    </row>
    <row r="112" spans="2:4" x14ac:dyDescent="0.25">
      <c r="B112" s="36" t="s">
        <v>336</v>
      </c>
      <c r="C112" s="48">
        <f>IF(C11&gt;=1000000,'Technical Premium'!$C$15,0)</f>
      </c>
    </row>
    <row r="113" spans="2:4" x14ac:dyDescent="0.25">
      <c r="B113" s="36" t="s">
        <v>337</v>
      </c>
      <c r="C113" s="48">
        <f>(C108+C111+C112)*(INDEX('Territory Factors'!$K$6:$K$56,MATCH(C12,'Territory Factors'!$B$6:$B$56,0))+'Commission Structure'!$C$21)</f>
      </c>
      <c r="D113" s="38" t="s">
        <v>338</v>
      </c>
    </row>
    <row r="114" spans="2:4" ht="15.75" x14ac:dyDescent="0.25">
      <c r="B114" s="32" t="s">
        <v>339</v>
      </c>
      <c r="C114" s="52">
        <f>C108+C111+C112+C113</f>
      </c>
      <c r="D114" s="38" t="s">
        <v>340</v>
      </c>
    </row>
    <row r="116" spans="2:4" ht="18" customHeight="1" x14ac:dyDescent="0.25">
      <c r="B116" s="12" t="s">
        <v>341</v>
      </c>
      <c r="C116" s="12"/>
      <c r="D116" s="12"/>
    </row>
    <row r="117" spans="2:4" x14ac:dyDescent="0.25">
      <c r="B117" s="36" t="s">
        <v>342</v>
      </c>
      <c r="C117" s="48">
        <f>C108*'Commission Structure'!$C$5</f>
      </c>
    </row>
    <row r="118" spans="2:4" x14ac:dyDescent="0.25">
      <c r="B118" s="36" t="s">
        <v>343</v>
      </c>
      <c r="C118" s="48">
        <f>C108*'Commission Structure'!$C$6</f>
      </c>
    </row>
    <row r="119" spans="2:4" x14ac:dyDescent="0.25">
      <c r="B119" s="36" t="s">
        <v>344</v>
      </c>
      <c r="C119" s="48">
        <f>C108*'Commission Structure'!$C$7</f>
      </c>
    </row>
    <row r="120" spans="2:4" x14ac:dyDescent="0.25">
      <c r="B120" s="32" t="s">
        <v>345</v>
      </c>
      <c r="C120" s="51">
        <f>C117-C118-C119</f>
      </c>
    </row>
    <row r="121" spans="2:4" x14ac:dyDescent="0.25">
      <c r="B121" s="36" t="s">
        <v>346</v>
      </c>
      <c r="C121" s="48">
        <f>C108-C117</f>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1.1499999999999999</v>
      </c>
      <c r="E6" s="57">
        <v>1</v>
      </c>
      <c r="F6" s="31">
        <f>'Rating Engine'!C57</f>
        <v>4887.5</v>
      </c>
      <c r="G6" s="58"/>
      <c r="H6" s="59" t="str">
        <f>'Rating Engine'!C10&amp;"  |  "&amp;'Rating Engine'!C55</f>
        <v>03 - Supercar  |  $250k - $500k</v>
      </c>
    </row>
    <row r="7" spans="2:8" x14ac:dyDescent="0.25">
      <c r="B7" s="56">
        <v>1</v>
      </c>
      <c r="C7" s="21" t="str">
        <f>'Rating Engine'!B58</f>
        <v>Make / model factor</v>
      </c>
      <c r="D7" s="60">
        <f>'Rating Engine'!C58</f>
        <v>1.087</v>
      </c>
      <c r="E7" s="61">
        <f t="shared" ref="E7:E34" si="0">E6*D7</f>
        <v>1.087</v>
      </c>
      <c r="F7" s="62">
        <f t="shared" ref="F7:F34" si="1">$F$6*E7</f>
        <v>5312.7124999999996</v>
      </c>
      <c r="G7" s="62">
        <f t="shared" ref="G7:G34" si="2">F7-F6</f>
        <v>425.21249999999964</v>
      </c>
      <c r="H7" s="59" t="str">
        <f>'Rating Engine'!C8</f>
        <v>Ferrari</v>
      </c>
    </row>
    <row r="8" spans="2:8" x14ac:dyDescent="0.25">
      <c r="B8" s="63">
        <v>2</v>
      </c>
      <c r="C8" s="64" t="str">
        <f>'Rating Engine'!B59</f>
        <v>Driver age factor</v>
      </c>
      <c r="D8" s="65">
        <f>'Rating Engine'!C59</f>
        <v>1</v>
      </c>
      <c r="E8" s="66">
        <f t="shared" si="0"/>
        <v>1.087</v>
      </c>
      <c r="F8" s="67">
        <f t="shared" si="1"/>
        <v>5312.7124999999996</v>
      </c>
      <c r="G8" s="67">
        <f t="shared" si="2"/>
        <v>0</v>
      </c>
      <c r="H8" s="68" t="str">
        <f>'Rating Engine'!C19</f>
        <v>45 - 54</v>
      </c>
    </row>
    <row r="9" spans="2:8" x14ac:dyDescent="0.25">
      <c r="B9" s="56">
        <v>3</v>
      </c>
      <c r="C9" s="21" t="str">
        <f>'Rating Engine'!B60</f>
        <v>Experience factor</v>
      </c>
      <c r="D9" s="60">
        <f>'Rating Engine'!C60</f>
        <v>1</v>
      </c>
      <c r="E9" s="61">
        <f t="shared" si="0"/>
        <v>1.087</v>
      </c>
      <c r="F9" s="62">
        <f t="shared" si="1"/>
        <v>5312.7124999999996</v>
      </c>
      <c r="G9" s="62">
        <f t="shared" si="2"/>
        <v>0</v>
      </c>
      <c r="H9" s="59" t="str">
        <f>'Rating Engine'!C20</f>
        <v>5 - 10 years</v>
      </c>
    </row>
    <row r="10" spans="2:8" x14ac:dyDescent="0.25">
      <c r="B10" s="63">
        <v>4</v>
      </c>
      <c r="C10" s="64" t="str">
        <f>'Rating Engine'!B61</f>
        <v>MVR factor</v>
      </c>
      <c r="D10" s="65">
        <f>'Rating Engine'!C61</f>
        <v>1</v>
      </c>
      <c r="E10" s="66">
        <f t="shared" si="0"/>
        <v>1.087</v>
      </c>
      <c r="F10" s="67">
        <f t="shared" si="1"/>
        <v>5312.7124999999996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0.97829999999999995</v>
      </c>
      <c r="F11" s="62">
        <f t="shared" si="1"/>
        <v>4781.4412499999999</v>
      </c>
      <c r="G11" s="62">
        <f t="shared" si="2"/>
        <v>-531.27124999999978</v>
      </c>
      <c r="H11" s="59" t="str">
        <f>'Rating Engine'!C22</f>
        <v>No at-fault claims - 5 yrs</v>
      </c>
    </row>
    <row r="12" spans="2:8" x14ac:dyDescent="0.25">
      <c r="B12" s="63">
        <v>6</v>
      </c>
      <c r="C12" s="64" t="str">
        <f>'Rating Engine'!B63</f>
        <v>State territory factor</v>
      </c>
      <c r="D12" s="65">
        <f>'Rating Engine'!C63</f>
        <v>1.45</v>
      </c>
      <c r="E12" s="66">
        <f t="shared" si="0"/>
        <v>1.4185349999999999</v>
      </c>
      <c r="F12" s="67">
        <f t="shared" si="1"/>
        <v>6933.0898124999994</v>
      </c>
      <c r="G12" s="67">
        <f t="shared" si="2"/>
        <v>2151.6485624999996</v>
      </c>
      <c r="H12" s="68" t="str">
        <f>'Rating Engine'!C12</f>
        <v>Florida</v>
      </c>
    </row>
    <row r="13" spans="2:8" x14ac:dyDescent="0.25">
      <c r="B13" s="56">
        <v>7</v>
      </c>
      <c r="C13" s="21" t="str">
        <f>'Rating Engine'!B64</f>
        <v>City / metro accident factor</v>
      </c>
      <c r="D13" s="60">
        <f>'Rating Engine'!C64</f>
        <v>1.395</v>
      </c>
      <c r="E13" s="61">
        <f t="shared" si="0"/>
        <v>1.9788563249999997</v>
      </c>
      <c r="F13" s="62">
        <f t="shared" si="1"/>
        <v>9671.6602884374988</v>
      </c>
      <c r="G13" s="62">
        <f t="shared" si="2"/>
        <v>2738.5704759374994</v>
      </c>
      <c r="H13" s="59" t="str">
        <f>'Rating Engine'!C27</f>
        <v>Miami - Fort Lauderdale, FL</v>
      </c>
    </row>
    <row r="14" spans="2:8" x14ac:dyDescent="0.25">
      <c r="B14" s="63">
        <v>8</v>
      </c>
      <c r="C14" s="64" t="str">
        <f>'Rating Engine'!B65</f>
        <v>Usage factor</v>
      </c>
      <c r="D14" s="65">
        <f>'Rating Engine'!C65</f>
        <v>1</v>
      </c>
      <c r="E14" s="66">
        <f t="shared" si="0"/>
        <v>1.9788563249999997</v>
      </c>
      <c r="F14" s="67">
        <f t="shared" si="1"/>
        <v>9671.6602884374988</v>
      </c>
      <c r="G14" s="67">
        <f t="shared" si="2"/>
        <v>0</v>
      </c>
      <c r="H14" s="68" t="str">
        <f>'Rating Engine'!C15</f>
        <v>Personal - regular use</v>
      </c>
    </row>
    <row r="15" spans="2:8" x14ac:dyDescent="0.25">
      <c r="B15" s="56">
        <v>9</v>
      </c>
      <c r="C15" s="21" t="str">
        <f>'Rating Engine'!B66</f>
        <v>Mileage factor</v>
      </c>
      <c r="D15" s="60">
        <f>'Rating Engine'!C66</f>
        <v>1</v>
      </c>
      <c r="E15" s="61">
        <f t="shared" si="0"/>
        <v>1.9788563249999997</v>
      </c>
      <c r="F15" s="62">
        <f t="shared" si="1"/>
        <v>9671.6602884374988</v>
      </c>
      <c r="G15" s="62">
        <f t="shared" si="2"/>
        <v>0</v>
      </c>
      <c r="H15" s="59" t="str">
        <f>'Rating Engine'!C16</f>
        <v>2,500 - 5,000</v>
      </c>
    </row>
    <row r="16" spans="2:8" x14ac:dyDescent="0.25">
      <c r="B16" s="63">
        <v>10</v>
      </c>
      <c r="C16" s="64" t="str">
        <f>'Rating Engine'!B67</f>
        <v>Storage factor</v>
      </c>
      <c r="D16" s="65">
        <f>'Rating Engine'!C67</f>
        <v>0.9</v>
      </c>
      <c r="E16" s="66">
        <f t="shared" si="0"/>
        <v>1.7809706924999997</v>
      </c>
      <c r="F16" s="67">
        <f t="shared" si="1"/>
        <v>8704.4942595937482</v>
      </c>
      <c r="G16" s="67">
        <f t="shared" si="2"/>
        <v>-967.16602884375061</v>
      </c>
      <c r="H16" s="68" t="str">
        <f>'Rating Engine'!C17</f>
        <v>Locked private garage w/ monitored alarm</v>
      </c>
    </row>
    <row r="17" spans="2:8" x14ac:dyDescent="0.25">
      <c r="B17" s="56">
        <v>11</v>
      </c>
      <c r="C17" s="21" t="str">
        <f>'Rating Engine'!B68</f>
        <v>Security factor</v>
      </c>
      <c r="D17" s="60">
        <f>'Rating Engine'!C68</f>
        <v>0.9</v>
      </c>
      <c r="E17" s="61">
        <f t="shared" si="0"/>
        <v>1.6028736232499998</v>
      </c>
      <c r="F17" s="62">
        <f t="shared" si="1"/>
        <v>7834.0448336343743</v>
      </c>
      <c r="G17" s="62">
        <f t="shared" si="2"/>
        <v>-870.44942595937391</v>
      </c>
      <c r="H17" s="59" t="str">
        <f>'Rating Engine'!C18</f>
        <v>GPS tracker w/ recovery service</v>
      </c>
    </row>
    <row r="18" spans="2:8" x14ac:dyDescent="0.25">
      <c r="B18" s="63">
        <v>12</v>
      </c>
      <c r="C18" s="64" t="str">
        <f>'Rating Engine'!B69</f>
        <v>PD deductible factor (value-banded)</v>
      </c>
      <c r="D18" s="65">
        <f>'Rating Engine'!C69</f>
        <v>0.94</v>
      </c>
      <c r="E18" s="66">
        <f t="shared" si="0"/>
        <v>1.5067012058549998</v>
      </c>
      <c r="F18" s="67">
        <f t="shared" si="1"/>
        <v>7364.0021436163115</v>
      </c>
      <c r="G18" s="67">
        <f t="shared" si="2"/>
        <v>-470.04269001806279</v>
      </c>
      <c r="H18" s="68" t="str">
        <f>'Rating Engine'!C24</f>
        <v>$5,000</v>
      </c>
    </row>
    <row r="19" spans="2:8" x14ac:dyDescent="0.25">
      <c r="B19" s="56">
        <v>13</v>
      </c>
      <c r="C19" s="21" t="str">
        <f>'Rating Engine'!B70</f>
        <v>Valuation basis factor</v>
      </c>
      <c r="D19" s="60">
        <f>'Rating Engine'!C70</f>
        <v>1</v>
      </c>
      <c r="E19" s="61">
        <f t="shared" si="0"/>
        <v>1.5067012058549998</v>
      </c>
      <c r="F19" s="62">
        <f t="shared" si="1"/>
        <v>7364.0021436163115</v>
      </c>
      <c r="G19" s="62">
        <f t="shared" si="2"/>
        <v>0</v>
      </c>
      <c r="H19" s="59" t="str">
        <f>'Rating Engine'!C25</f>
        <v>Agreed Value</v>
      </c>
    </row>
    <row r="20" spans="2:8" x14ac:dyDescent="0.25">
      <c r="B20" s="63">
        <v>14</v>
      </c>
      <c r="C20" s="64" t="str">
        <f>'Rating Engine'!B71</f>
        <v>Collection size credit</v>
      </c>
      <c r="D20" s="65">
        <f>'Rating Engine'!C71</f>
        <v>0.95</v>
      </c>
      <c r="E20" s="66">
        <f t="shared" si="0"/>
        <v>1.4313661455622497</v>
      </c>
      <c r="F20" s="67">
        <f t="shared" si="1"/>
        <v>6995.8020364354952</v>
      </c>
      <c r="G20" s="67">
        <f t="shared" si="2"/>
        <v>-368.2001071808163</v>
      </c>
      <c r="H20" s="68" t="str">
        <f>'Rating Engine'!C23</f>
        <v>2 - 3 vehicles</v>
      </c>
    </row>
    <row r="21" spans="2:8" x14ac:dyDescent="0.25">
      <c r="B21" s="69">
        <v>15</v>
      </c>
      <c r="C21" s="70" t="str">
        <f>'Rating Engine'!B72</f>
        <v>Comprehensive deductible factor</v>
      </c>
      <c r="D21" s="71">
        <f>'Rating Engine'!C72</f>
        <v>1</v>
      </c>
      <c r="E21" s="72">
        <f t="shared" si="0"/>
        <v>1.4313661455622497</v>
      </c>
      <c r="F21" s="73">
        <f t="shared" si="1"/>
        <v>6995.8020364354952</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1.4313661455622497</v>
      </c>
      <c r="F22" s="67">
        <f t="shared" si="1"/>
        <v>6995.8020364354952</v>
      </c>
      <c r="G22" s="67">
        <f t="shared" si="2"/>
        <v>0</v>
      </c>
      <c r="H22" s="68" t="str">
        <f>'Rating Engine'!C30</f>
        <v>$500 flat, OEM glass</v>
      </c>
    </row>
    <row r="23" spans="2:8" x14ac:dyDescent="0.25">
      <c r="B23" s="56">
        <v>17</v>
      </c>
      <c r="C23" s="21" t="str">
        <f>'Rating Engine'!B74</f>
        <v>Theft deductible factor</v>
      </c>
      <c r="D23" s="60">
        <f>'Rating Engine'!C74</f>
        <v>1</v>
      </c>
      <c r="E23" s="61">
        <f t="shared" si="0"/>
        <v>1.4313661455622497</v>
      </c>
      <c r="F23" s="62">
        <f t="shared" si="1"/>
        <v>6995.8020364354952</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1.4313661455622497</v>
      </c>
      <c r="F24" s="67">
        <f t="shared" si="1"/>
        <v>6995.8020364354952</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1.4313661455622497</v>
      </c>
      <c r="F25" s="62">
        <f t="shared" si="1"/>
        <v>6995.8020364354952</v>
      </c>
      <c r="G25" s="62">
        <f t="shared" si="2"/>
        <v>0</v>
      </c>
      <c r="H25" s="59" t="str">
        <f>'Rating Engine'!C33</f>
        <v>Not purchased</v>
      </c>
    </row>
    <row r="26" spans="2:8" x14ac:dyDescent="0.25">
      <c r="B26" s="63">
        <v>20</v>
      </c>
      <c r="C26" s="64" t="str">
        <f>'Rating Engine'!B77</f>
        <v>Newly acquired vehicle factor</v>
      </c>
      <c r="D26" s="65">
        <f>'Rating Engine'!C77</f>
        <v>1</v>
      </c>
      <c r="E26" s="66">
        <f t="shared" si="0"/>
        <v>1.4313661455622497</v>
      </c>
      <c r="F26" s="67">
        <f t="shared" si="1"/>
        <v>6995.8020364354952</v>
      </c>
      <c r="G26" s="67">
        <f t="shared" si="2"/>
        <v>0</v>
      </c>
      <c r="H26" s="68" t="str">
        <f>'Rating Engine'!C34</f>
        <v>$500,000 / 30 days</v>
      </c>
    </row>
    <row r="27" spans="2:8" x14ac:dyDescent="0.25">
      <c r="B27" s="56">
        <v>21</v>
      </c>
      <c r="C27" s="21" t="str">
        <f>'Rating Engine'!B78</f>
        <v>Spare parts factor</v>
      </c>
      <c r="D27" s="60">
        <f>'Rating Engine'!C78</f>
        <v>1</v>
      </c>
      <c r="E27" s="61">
        <f t="shared" si="0"/>
        <v>1.4313661455622497</v>
      </c>
      <c r="F27" s="62">
        <f t="shared" si="1"/>
        <v>6995.8020364354952</v>
      </c>
      <c r="G27" s="62">
        <f t="shared" si="2"/>
        <v>0</v>
      </c>
      <c r="H27" s="59" t="str">
        <f>'Rating Engine'!C35</f>
        <v>$25,000</v>
      </c>
    </row>
    <row r="28" spans="2:8" x14ac:dyDescent="0.25">
      <c r="B28" s="63">
        <v>22</v>
      </c>
      <c r="C28" s="64" t="str">
        <f>'Rating Engine'!B79</f>
        <v>Personal effects factor</v>
      </c>
      <c r="D28" s="65">
        <f>'Rating Engine'!C79</f>
        <v>1</v>
      </c>
      <c r="E28" s="66">
        <f t="shared" si="0"/>
        <v>1.4313661455622497</v>
      </c>
      <c r="F28" s="67">
        <f t="shared" si="1"/>
        <v>6995.8020364354952</v>
      </c>
      <c r="G28" s="67">
        <f t="shared" si="2"/>
        <v>0</v>
      </c>
      <c r="H28" s="68" t="str">
        <f>'Rating Engine'!C36</f>
        <v>$5,000</v>
      </c>
    </row>
    <row r="29" spans="2:8" x14ac:dyDescent="0.25">
      <c r="B29" s="56">
        <v>23</v>
      </c>
      <c r="C29" s="21" t="str">
        <f>'Rating Engine'!B80</f>
        <v>Loss of use factor</v>
      </c>
      <c r="D29" s="60">
        <f>'Rating Engine'!C80</f>
        <v>1</v>
      </c>
      <c r="E29" s="61">
        <f t="shared" si="0"/>
        <v>1.4313661455622497</v>
      </c>
      <c r="F29" s="62">
        <f t="shared" si="1"/>
        <v>6995.8020364354952</v>
      </c>
      <c r="G29" s="62">
        <f t="shared" si="2"/>
        <v>0</v>
      </c>
      <c r="H29" s="59" t="str">
        <f>'Rating Engine'!C37</f>
        <v>$10,000</v>
      </c>
    </row>
    <row r="30" spans="2:8" x14ac:dyDescent="0.25">
      <c r="B30" s="63">
        <v>24</v>
      </c>
      <c r="C30" s="64" t="str">
        <f>'Rating Engine'!B81</f>
        <v>Transit factor</v>
      </c>
      <c r="D30" s="65">
        <f>'Rating Engine'!C81</f>
        <v>1</v>
      </c>
      <c r="E30" s="66">
        <f t="shared" si="0"/>
        <v>1.4313661455622497</v>
      </c>
      <c r="F30" s="67">
        <f t="shared" si="1"/>
        <v>6995.8020364354952</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1.4313661455622497</v>
      </c>
      <c r="F31" s="62">
        <f t="shared" si="1"/>
        <v>6995.8020364354952</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1.4313661455622497</v>
      </c>
      <c r="F32" s="67">
        <f t="shared" si="1"/>
        <v>6995.8020364354952</v>
      </c>
      <c r="G32" s="67">
        <f t="shared" si="2"/>
        <v>0</v>
      </c>
      <c r="H32" s="68" t="str">
        <f>'Rating Engine'!C40</f>
        <v>$100,000</v>
      </c>
    </row>
    <row r="33" spans="2:8" x14ac:dyDescent="0.25">
      <c r="B33" s="56">
        <v>27</v>
      </c>
      <c r="C33" s="21" t="str">
        <f>'Rating Engine'!B84</f>
        <v>Diminution in value factor</v>
      </c>
      <c r="D33" s="60">
        <f>'Rating Engine'!C84</f>
        <v>1</v>
      </c>
      <c r="E33" s="61">
        <f t="shared" si="0"/>
        <v>1.4313661455622497</v>
      </c>
      <c r="F33" s="62">
        <f t="shared" si="1"/>
        <v>6995.8020364354952</v>
      </c>
      <c r="G33" s="62">
        <f t="shared" si="2"/>
        <v>0</v>
      </c>
      <c r="H33" s="59" t="str">
        <f>'Rating Engine'!C41</f>
        <v>10% of agreed value</v>
      </c>
    </row>
    <row r="34" spans="2:8" x14ac:dyDescent="0.25">
      <c r="B34" s="63">
        <v>28</v>
      </c>
      <c r="C34" s="64" t="str">
        <f>'Rating Engine'!B85</f>
        <v>Per-location aggregate factor</v>
      </c>
      <c r="D34" s="65">
        <f>'Rating Engine'!C85</f>
        <v>1</v>
      </c>
      <c r="E34" s="66">
        <f t="shared" si="0"/>
        <v>1.4313661455622497</v>
      </c>
      <c r="F34" s="67">
        <f t="shared" si="1"/>
        <v>6995.8020364354952</v>
      </c>
      <c r="G34" s="67">
        <f t="shared" si="2"/>
        <v>0</v>
      </c>
      <c r="H34" s="68" t="str">
        <f>'Rating Engine'!C42</f>
        <v>$10,000,000</v>
      </c>
    </row>
    <row r="35" spans="2:8" x14ac:dyDescent="0.25">
      <c r="C35" s="32" t="s">
        <v>360</v>
      </c>
      <c r="E35" s="75">
        <f>E34</f>
        <v>1.4313661455622497</v>
      </c>
      <c r="F35" s="76">
        <f>F34</f>
        <v>6995.8020364354952</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6995.8020364354952</v>
      </c>
      <c r="F39" s="62">
        <f>E39</f>
        <v>6995.8020364354952</v>
      </c>
      <c r="G39" s="78">
        <f>E39/'Rating Engine'!C105</f>
        <v>0.27918917612970273</v>
      </c>
      <c r="H39" s="79">
        <f>E39/'Rating Engine'!C11*100</f>
        <v>1.6460710673965873</v>
      </c>
    </row>
    <row r="40" spans="2:8" x14ac:dyDescent="0.25">
      <c r="C40" s="80" t="s">
        <v>311</v>
      </c>
      <c r="D40" s="81"/>
      <c r="E40" s="82">
        <f>'Rating Engine'!C94</f>
        <v>1747.1538</v>
      </c>
      <c r="F40" s="67">
        <f t="shared" ref="F40:F45" si="3">F39+E40</f>
        <v>8742.9558364354962</v>
      </c>
      <c r="G40" s="83">
        <f>E40/'Rating Engine'!C105</f>
        <v>6.9725590783357355E-2</v>
      </c>
      <c r="H40" s="84">
        <f>E40/'Rating Engine'!C11*100</f>
        <v>0.41109501176470592</v>
      </c>
    </row>
    <row r="41" spans="2:8" x14ac:dyDescent="0.25">
      <c r="C41" s="36" t="s">
        <v>368</v>
      </c>
      <c r="E41" s="31">
        <f>'Rating Engine'!C96</f>
        <v>699.43646691483968</v>
      </c>
      <c r="F41" s="62">
        <f t="shared" si="3"/>
        <v>9442.3923033503361</v>
      </c>
      <c r="G41" s="78">
        <f>E41/'Rating Engine'!C105</f>
        <v>2.7913181353044811E-2</v>
      </c>
      <c r="H41" s="79">
        <f>E41/'Rating Engine'!C11*100</f>
        <v>0.16457328633290347</v>
      </c>
    </row>
    <row r="42" spans="2:8" x14ac:dyDescent="0.25">
      <c r="C42" s="80" t="s">
        <v>369</v>
      </c>
      <c r="D42" s="81"/>
      <c r="E42" s="82">
        <f>'Rating Engine'!C98</f>
        <v>472.11961516751683</v>
      </c>
      <c r="F42" s="67">
        <f t="shared" si="3"/>
        <v>9914.5119185178537</v>
      </c>
      <c r="G42" s="83">
        <f>E42/'Rating Engine'!C105</f>
        <v>1.8841397413305247E-2</v>
      </c>
      <c r="H42" s="84">
        <f>E42/'Rating Engine'!C11*100</f>
        <v>0.11108696827470985</v>
      </c>
    </row>
    <row r="43" spans="2:8" x14ac:dyDescent="0.25">
      <c r="C43" s="36" t="s">
        <v>99</v>
      </c>
      <c r="E43" s="31">
        <f>'Rating Engine'!C100</f>
        <v>3022.186479740134</v>
      </c>
      <c r="F43" s="62">
        <f t="shared" si="3"/>
        <v>12936.698398257988</v>
      </c>
      <c r="G43" s="78">
        <f>E43/'Rating Engine'!C105</f>
        <v>0.12060972408803158</v>
      </c>
      <c r="H43" s="79">
        <f>E43/'Rating Engine'!C11*100</f>
        <v>0.7111027011153257</v>
      </c>
    </row>
    <row r="44" spans="2:8" x14ac:dyDescent="0.25">
      <c r="C44" s="80" t="s">
        <v>370</v>
      </c>
      <c r="D44" s="81"/>
      <c r="E44" s="82">
        <f>'Rating Engine'!C102</f>
        <v>970.25237986934906</v>
      </c>
      <c r="F44" s="67">
        <f t="shared" si="3"/>
        <v>13906.950778127337</v>
      </c>
      <c r="G44" s="83">
        <f>E44/'Rating Engine'!C105</f>
        <v>3.8720930232558133E-2</v>
      </c>
      <c r="H44" s="84">
        <f>E44/'Rating Engine'!C11*100</f>
        <v>0.22829467761631742</v>
      </c>
    </row>
    <row r="45" spans="2:8" x14ac:dyDescent="0.25">
      <c r="C45" s="36" t="s">
        <v>371</v>
      </c>
      <c r="E45" s="31">
        <f>'Rating Engine'!C105-'Rating Engine'!C103</f>
        <v>11150.618191471471</v>
      </c>
      <c r="F45" s="62">
        <f t="shared" si="3"/>
        <v>25057.568969598808</v>
      </c>
      <c r="G45" s="78">
        <f>E45/'Rating Engine'!C105</f>
        <v>0.44500000000000006</v>
      </c>
      <c r="H45" s="79">
        <f>E45/'Rating Engine'!C11*100</f>
        <v>2.6236748685815225</v>
      </c>
    </row>
    <row r="46" spans="2:8" x14ac:dyDescent="0.25">
      <c r="C46" s="32" t="s">
        <v>112</v>
      </c>
      <c r="D46" s="85"/>
      <c r="E46" s="85"/>
      <c r="F46" s="76">
        <f>F45</f>
        <v>25057.568969598808</v>
      </c>
      <c r="G46" s="86">
        <f>SUM(G39:G45)</f>
        <v>1</v>
      </c>
      <c r="H46" s="87">
        <f>'Rating Engine'!C106</f>
        <v>5.8958985810820721</v>
      </c>
    </row>
    <row r="47" spans="2:8" x14ac:dyDescent="0.25">
      <c r="C47" s="36" t="s">
        <v>118</v>
      </c>
      <c r="F47" s="31">
        <f>'Rating Engine'!C107</f>
        <v>0</v>
      </c>
    </row>
    <row r="48" spans="2:8" x14ac:dyDescent="0.25">
      <c r="C48" s="32" t="s">
        <v>372</v>
      </c>
      <c r="F48" s="76">
        <f>'Rating Engine'!C108</f>
        <v>25057.568969598808</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1300.8675312434591</v>
      </c>
    </row>
    <row r="52" spans="2:8" x14ac:dyDescent="0.25">
      <c r="C52" s="32" t="s">
        <v>339</v>
      </c>
      <c r="F52" s="76">
        <f>'Rating Engine'!C114</f>
        <v>26708.436500842268</v>
      </c>
    </row>
    <row r="54" spans="2:8" ht="18" customHeight="1" x14ac:dyDescent="0.25">
      <c r="B54" s="12" t="s">
        <v>373</v>
      </c>
      <c r="C54" s="12"/>
      <c r="D54" s="12"/>
      <c r="E54" s="12"/>
      <c r="F54" s="12"/>
      <c r="G54" s="12"/>
      <c r="H54" s="12"/>
    </row>
    <row r="55" spans="2:8" x14ac:dyDescent="0.25">
      <c r="C55" s="36" t="s">
        <v>374</v>
      </c>
      <c r="E55" s="58">
        <f>'Rating Engine'!C11/100*'Rating Engine'!C56</f>
        <v>4887.5</v>
      </c>
    </row>
    <row r="56" spans="2:8" x14ac:dyDescent="0.25">
      <c r="C56" s="80" t="s">
        <v>375</v>
      </c>
      <c r="D56" s="81"/>
      <c r="E56" s="88">
        <f>E55*'Rating Engine'!C86</f>
        <v>6995.8020364354952</v>
      </c>
    </row>
    <row r="57" spans="2:8" x14ac:dyDescent="0.25">
      <c r="C57" s="36" t="s">
        <v>376</v>
      </c>
      <c r="E57" s="58">
        <f>E56*'Rating Engine'!C87</f>
        <v>6995.8020364354952</v>
      </c>
    </row>
    <row r="58" spans="2:8" x14ac:dyDescent="0.25">
      <c r="C58" s="80" t="s">
        <v>377</v>
      </c>
      <c r="D58" s="81"/>
      <c r="E58" s="88">
        <f>E57+'Rating Engine'!C92*'Rating Engine'!C93*MIN('Rating Engine'!C65*'Rating Engine'!C59*'Rating Engine'!C61*'Rating Engine'!C62*'Rating Engine'!C66*'Rating Engine'!C64,'Technical Premium'!C17)</f>
        <v>8742.9558364354962</v>
      </c>
    </row>
    <row r="59" spans="2:8" x14ac:dyDescent="0.25">
      <c r="C59" s="36" t="s">
        <v>378</v>
      </c>
      <c r="E59" s="58">
        <f>E58*(1+'Technical Premium'!C5)</f>
        <v>9442.3923033503361</v>
      </c>
    </row>
    <row r="60" spans="2:8" x14ac:dyDescent="0.25">
      <c r="C60" s="80" t="s">
        <v>379</v>
      </c>
      <c r="D60" s="81"/>
      <c r="E60" s="88">
        <f>E59*(1+'Technical Premium'!C6)</f>
        <v>9914.5119185178537</v>
      </c>
    </row>
    <row r="61" spans="2:8" x14ac:dyDescent="0.25">
      <c r="C61" s="36" t="s">
        <v>380</v>
      </c>
      <c r="E61" s="58">
        <f>E60+'Rating Engine'!C91*'Rating Engine'!C99*'Rating Engine'!C51*'Rating Engine'!C52</f>
        <v>12936.698398257988</v>
      </c>
    </row>
    <row r="62" spans="2:8" x14ac:dyDescent="0.25">
      <c r="C62" s="80" t="s">
        <v>381</v>
      </c>
      <c r="D62" s="81"/>
      <c r="E62" s="88">
        <f>E61*(1+'Technical Premium'!C7)</f>
        <v>13906.950778127337</v>
      </c>
    </row>
    <row r="63" spans="2:8" x14ac:dyDescent="0.25">
      <c r="C63" s="32" t="s">
        <v>382</v>
      </c>
      <c r="E63" s="76">
        <f>E62/'Technical Premium'!C13</f>
        <v>25057.568969598808</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s">
        <v>494</v>
      </c>
      <c r="B5" s="92" t="s">
        <v>495</v>
      </c>
      <c r="C5" s="93">
        <v>46082</v>
      </c>
      <c r="D5" s="93">
        <v>46631</v>
      </c>
      <c r="E5" s="94">
        <v>2024</v>
      </c>
      <c r="F5" s="92" t="s">
        <v>160</v>
      </c>
      <c r="G5" s="92" t="s">
        <v>163</v>
      </c>
      <c r="H5" s="92" t="s">
        <v>496</v>
      </c>
      <c r="I5" s="92" t="s">
        <v>166</v>
      </c>
      <c r="J5" s="95">
        <v>425000</v>
      </c>
      <c r="K5" s="92" t="s">
        <v>171</v>
      </c>
      <c r="L5" s="92" t="s">
        <v>497</v>
      </c>
      <c r="M5" s="92" t="s">
        <v>177</v>
      </c>
      <c r="N5" s="92" t="s">
        <v>180</v>
      </c>
      <c r="O5" s="92" t="s">
        <v>183</v>
      </c>
      <c r="P5" s="92" t="s">
        <v>186</v>
      </c>
      <c r="Q5" s="92" t="s">
        <v>189</v>
      </c>
      <c r="R5" s="92" t="s">
        <v>192</v>
      </c>
      <c r="S5" s="92" t="s">
        <v>195</v>
      </c>
      <c r="T5" s="92" t="s">
        <v>198</v>
      </c>
      <c r="U5" s="92" t="s">
        <v>201</v>
      </c>
      <c r="V5" s="92" t="s">
        <v>204</v>
      </c>
      <c r="W5" s="92" t="s">
        <v>207</v>
      </c>
      <c r="X5" s="92" t="s">
        <v>210</v>
      </c>
      <c r="Y5" s="92" t="s">
        <v>212</v>
      </c>
      <c r="Z5" s="92" t="s">
        <v>215</v>
      </c>
      <c r="AA5" s="92" t="s">
        <v>218</v>
      </c>
      <c r="AB5" s="92"/>
      <c r="AC5" s="92"/>
      <c r="AD5" s="92"/>
      <c r="AE5" s="92"/>
      <c r="AF5" s="92"/>
      <c r="AG5" s="92"/>
      <c r="AH5" s="92"/>
      <c r="AI5" s="92"/>
      <c r="AJ5" s="92"/>
      <c r="AK5" s="92"/>
      <c r="AL5" s="92"/>
      <c r="AM5" s="92"/>
      <c r="AN5" s="92"/>
      <c r="AO5" s="92"/>
      <c r="AP5" s="92"/>
      <c r="AQ5" s="96">
        <v>0</v>
      </c>
      <c r="AR5" s="97" t="str">
        <f t="shared" ref="AR5:AR68" si="0">IF($A5="","",IFERROR(LEFT(TEXT(VALUE($L5),"00000"),3),"---"))</f>
        <v>331</v>
      </c>
      <c r="AS5" s="97" t="str">
        <f>IF($A5="","",IF($AP5&lt;&gt;"",$AP5,IFERROR(INDEX('Cat Zone by ZIP'!$D$6:$D$856,MATCH($AR5,'Cat Zone by ZIP'!$B$6:$B$856,0)),IFERROR(INDEX('Cat Zone by ZIP'!$C$860:$C$910,MATCH($K5,'Cat Zone by ZIP'!$B$860:$B$910,0)),"NOT FOUND"))))</f>
        <v>Tier 1 - Coastal wind / surge (0-1 mile, FEMA V or Coastal A)</v>
      </c>
      <c r="AT5" s="97" t="str">
        <f>IF($A5="","",IF($AP5&lt;&gt;"","Override",IF(ISNUMBER(MATCH($AR5,'Cat Zone by ZIP'!$B$6:$B$856,0)),"ZIP-3","State default")))</f>
        <v>ZIP-3</v>
      </c>
      <c r="AU5" s="98">
        <f>IF($A5="","",IFERROR(INDEX('Natural Catastrophe'!$D$6:$D$17,MATCH($AS5,'Natural Catastrophe'!$B$6:$B$17,0)),"?"))</f>
        <v>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1.1499999999999999</v>
      </c>
      <c r="AY5" s="100">
        <f t="shared" ref="AY5:AY68" si="1">IF(ISNUMBER($AX5),$J5/100*$AX5,"")</f>
        <v>4887.5</v>
      </c>
      <c r="AZ5" s="98">
        <f>IF($A5="","",IFERROR(INDEX('Make Factors'!$G$5:$G$69,MATCH($F5,'Make Factors'!$B$5:$B$69,0)),"?"))</f>
        <v>1.087</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1.45</v>
      </c>
      <c r="BF5" s="98">
        <f>IF($A5="","",IFERROR(INDEX('City Accident Ratings'!$G$6:$G$54,MATCH($Z5,'City Accident Ratings'!$B$6:$B$54,0)),"?"))</f>
        <v>1.395</v>
      </c>
      <c r="BG5" s="98">
        <f>IF($A5="","",IFERROR(INDEX('Usage and Coverage'!$D$6:$D$20,MATCH($N5,'Usage and Coverage'!$C$6:$C$20,0)),"?"))</f>
        <v>1</v>
      </c>
      <c r="BH5" s="98">
        <f>IF($A5="","",IFERROR(INDEX('Usage and Coverage'!$C$24:$C$30,MATCH($O5,'Usage and Coverage'!$B$24:$B$30,0)),"?"))</f>
        <v>1</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0.94</v>
      </c>
      <c r="BL5" s="98">
        <f>IF($A5="","",IFERROR(INDEX('Usage and Coverage'!$C$63:$C$66,MATCH($X5,'Usage and Coverage'!$B$63:$B$66,0)),"?"))</f>
        <v>1</v>
      </c>
      <c r="BM5" s="98">
        <f>IF($A5="","",IFERROR(INDEX('Usage and Coverage'!$C$70:$C$75,MATCH($V5,'Usage and Coverage'!$B$70:$B$75,0)),"?"))</f>
        <v>0.95</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1.4313661455622497</v>
      </c>
      <c r="CC5" s="98">
        <f t="shared" ref="CC5:CC68" si="3">IF($A5="","",IF(SUMPRODUCT(--ISTEXT($BN5:$CA5))&gt;0,"?",PRODUCT($BN5:$CA5)))</f>
        <v>1</v>
      </c>
      <c r="CD5" s="101">
        <f>IF($A5="","",IF(OR($CB5="?",$CC5="?"),"?",MIN($CB5*$CC5,'Technical Premium'!$C$17)))</f>
        <v>1.4313661455622497</v>
      </c>
      <c r="CE5" s="100">
        <f t="shared" ref="CE5:CE68" si="4">IF(ISNUMBER($CD5),$AY5*$CD5,"")</f>
        <v>6995.8020364354952</v>
      </c>
      <c r="CF5" s="100">
        <f>IF($A5="","",IFERROR(INDEX('Territory Factors'!$F$6:$F$56,MATCH($K5,'Territory Factors'!$B$6:$B$56,0)),"?"))</f>
        <v>980</v>
      </c>
      <c r="CG5" s="98">
        <f>IF($A5="","",IFERROR(INDEX('Usage and Coverage'!$C$79:$C$84,MATCH($Y5,'Usage and Coverage'!$B$79:$B$84,0)),"?"))</f>
        <v>1.42</v>
      </c>
      <c r="CH5" s="100">
        <f>IFERROR(IF(ISNUMBER($CD5),$CF5*$CG5*MIN($BG5*$BA5*$BC5*$BD5*$BH5*$BF5,'Technical Premium'!$C$17),""),"")</f>
        <v>1747.1538</v>
      </c>
      <c r="CI5" s="100">
        <f t="shared" ref="CI5:CI68" si="5">IFERROR($CE5+$CH5,"")</f>
        <v>8742.9558364354962</v>
      </c>
      <c r="CJ5" s="100">
        <f>IFERROR($CI5*(1+'Technical Premium'!$C$5)*(1+'Technical Premium'!$C$6),"")</f>
        <v>9914.5119185178537</v>
      </c>
      <c r="CK5" s="100">
        <f>IFERROR($CE5*INDEX('Territory Factors'!$G$6:$G$56,MATCH($K5,'Territory Factors'!$B$6:$B$56,0))*$AU5*$AV5,"")</f>
        <v>3022.186479740134</v>
      </c>
      <c r="CL5" s="100">
        <f>IFERROR(($CJ5+$CK5)*(1+'Technical Premium'!$C$7),"")</f>
        <v>13906.950778127337</v>
      </c>
      <c r="CM5" s="102">
        <f>IFERROR($CL5/'Technical Premium'!$C$13,"")</f>
        <v>25057.568969598808</v>
      </c>
      <c r="CN5" s="103">
        <f t="shared" ref="CN5:CN68" si="6">IFERROR($CM5/$J5*100,"")</f>
        <v>5.8958985810820721</v>
      </c>
      <c r="CO5" s="102">
        <f t="shared" ref="CO5:CO68" si="7">IFERROR($CM5*(1+N($AQ5)),"")</f>
        <v>25057.568969598808</v>
      </c>
      <c r="CP5" s="103">
        <f t="shared" ref="CP5:CP68" si="8">IFERROR($CO5/$J5*100,"")</f>
        <v>5.8958985810820721</v>
      </c>
      <c r="CQ5" s="104">
        <f t="shared" ref="CQ5:CQ68" si="9">IFERROR($CP5/$CN5,"")</f>
        <v>1</v>
      </c>
      <c r="CR5" s="100">
        <f>IF(ISNUMBER($CM5),'Technical Premium'!$C$14+IF($J5&gt;=1000000,'Technical Premium'!$C$15,0),"")</f>
        <v>350</v>
      </c>
      <c r="CS5" s="100">
        <f>IFERROR(($CO5+$CR5)*(INDEX('Territory Factors'!$K$6:$K$56,MATCH($K5,'Territory Factors'!$B$6:$B$56,0))+'Commission Structure'!$C$21),"")</f>
        <v>1300.8675312434591</v>
      </c>
      <c r="CT5" s="102">
        <f t="shared" ref="CT5:CT68" si="10">IFERROR($CO5+$CR5+$CS5,"")</f>
        <v>26708.436500842268</v>
      </c>
      <c r="CU5" s="100">
        <f>IFERROR($CO5*('Commission Structure'!$C$6+'Commission Structure'!$C$7),"")</f>
        <v>4385.0745696797912</v>
      </c>
      <c r="CV5" s="100">
        <f>IFERROR($CO5*'Commission Structure'!$C$5-$CU5,"")</f>
        <v>2505.7568969598815</v>
      </c>
      <c r="CW5" s="100">
        <f>IFERROR($CO5*(1-'Commission Structure'!$C$5),"")</f>
        <v>18166.737502959135</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s">
        <v>498</v>
      </c>
      <c r="B6" s="92" t="s">
        <v>499</v>
      </c>
      <c r="C6" s="93">
        <v>46113</v>
      </c>
      <c r="D6" s="93">
        <v>46631</v>
      </c>
      <c r="E6" s="94">
        <v>2021</v>
      </c>
      <c r="F6" s="92" t="s">
        <v>500</v>
      </c>
      <c r="G6" s="92" t="s">
        <v>501</v>
      </c>
      <c r="H6" s="92" t="s">
        <v>502</v>
      </c>
      <c r="I6" s="92" t="s">
        <v>503</v>
      </c>
      <c r="J6" s="95">
        <v>3600000</v>
      </c>
      <c r="K6" s="92" t="s">
        <v>504</v>
      </c>
      <c r="L6" s="92" t="s">
        <v>505</v>
      </c>
      <c r="M6" s="92" t="s">
        <v>177</v>
      </c>
      <c r="N6" s="92" t="s">
        <v>506</v>
      </c>
      <c r="O6" s="92" t="s">
        <v>507</v>
      </c>
      <c r="P6" s="92" t="s">
        <v>508</v>
      </c>
      <c r="Q6" s="92" t="s">
        <v>509</v>
      </c>
      <c r="R6" s="92" t="s">
        <v>510</v>
      </c>
      <c r="S6" s="92" t="s">
        <v>511</v>
      </c>
      <c r="T6" s="92" t="s">
        <v>198</v>
      </c>
      <c r="U6" s="92" t="s">
        <v>512</v>
      </c>
      <c r="V6" s="92" t="s">
        <v>513</v>
      </c>
      <c r="W6" s="92" t="s">
        <v>244</v>
      </c>
      <c r="X6" s="92" t="s">
        <v>514</v>
      </c>
      <c r="Y6" s="92" t="s">
        <v>515</v>
      </c>
      <c r="Z6" s="92" t="s">
        <v>516</v>
      </c>
      <c r="AA6" s="92" t="s">
        <v>218</v>
      </c>
      <c r="AB6" s="92"/>
      <c r="AC6" s="92"/>
      <c r="AD6" s="92"/>
      <c r="AE6" s="92"/>
      <c r="AF6" s="92"/>
      <c r="AG6" s="92"/>
      <c r="AH6" s="92" t="s">
        <v>517</v>
      </c>
      <c r="AI6" s="92"/>
      <c r="AJ6" s="92"/>
      <c r="AK6" s="92"/>
      <c r="AL6" s="92" t="s">
        <v>518</v>
      </c>
      <c r="AM6" s="92"/>
      <c r="AN6" s="92" t="s">
        <v>519</v>
      </c>
      <c r="AO6" s="92" t="s">
        <v>520</v>
      </c>
      <c r="AP6" s="92"/>
      <c r="AQ6" s="96">
        <v>0</v>
      </c>
      <c r="AR6" s="97" t="str">
        <f t="shared" si="0"/>
        <v>852</v>
      </c>
      <c r="AS6" s="97" t="str">
        <f>IF($A6="","",IF($AP6&lt;&gt;"",$AP6,IFERROR(INDEX('Cat Zone by ZIP'!$D$6:$D$856,MATCH($AR6,'Cat Zone by ZIP'!$B$6:$B$856,0)),IFERROR(INDEX('Cat Zone by ZIP'!$C$860:$C$910,MATCH($K6,'Cat Zone by ZIP'!$B$860:$B$910,0)),"NOT FOUND"))))</f>
        <v>Severe convective - hail / tornado (moderate)</v>
      </c>
      <c r="AT6" s="97" t="str">
        <f>IF($A6="","",IF($AP6&lt;&gt;"","Override",IF(ISNUMBER(MATCH($AR6,'Cat Zone by ZIP'!$B$6:$B$856,0)),"ZIP-3","State default")))</f>
        <v>ZIP-3</v>
      </c>
      <c r="AU6" s="98">
        <f>IF($A6="","",IFERROR(INDEX('Natural Catastrophe'!$D$6:$D$17,MATCH($AS6,'Natural Catastrophe'!$B$6:$B$17,0)),"?"))</f>
        <v>1.5</v>
      </c>
      <c r="AV6" s="98">
        <f>IF($A6="","",IFERROR(INDEX('Natural Catastrophe'!$C$21:$C$26,MATCH($AA6,'Natural Catastrophe'!$B$21:$B$26,0)),"?"))</f>
        <v>0.8</v>
      </c>
      <c r="AW6" s="97" t="str">
        <f>IF($A6="","",IFERROR(INDEX('Base Rates'!$C$4:$I$4,MATCH(MAX($J6,'Technical Premium'!$C$18),'Base Rates'!$C$3:$I$3,1)),"?"))</f>
        <v>$2.0M - $5.0M</v>
      </c>
      <c r="AX6" s="99">
        <f>IF($A6="","",IFERROR(INDEX('Base Rates'!$C$5:$I$16,MATCH($I6,'Base Rates'!$B$5:$B$16,0),MATCH(MAX($J6,'Technical Premium'!$C$18),'Base Rates'!$C$3:$I$3,1)),"?"))</f>
        <v>0.82</v>
      </c>
      <c r="AY6" s="100">
        <f t="shared" si="1"/>
        <v>29520</v>
      </c>
      <c r="AZ6" s="98">
        <f>IF($A6="","",IFERROR(INDEX('Make Factors'!$G$5:$G$69,MATCH($F6,'Make Factors'!$B$5:$B$69,0)),"?"))</f>
        <v>1.607</v>
      </c>
      <c r="BA6" s="98">
        <f>IF($A6="","",IFERROR(INDEX('Driver Factors'!$C$6:$C$15,MATCH($R6,'Driver Factors'!$B$6:$B$15,0)),"?"))</f>
        <v>1</v>
      </c>
      <c r="BB6" s="98">
        <f>IF($A6="","",IFERROR(INDEX('Driver Factors'!$C$19:$C$24,MATCH($S6,'Driver Factors'!$B$19:$B$24,0)),"?"))</f>
        <v>0.95</v>
      </c>
      <c r="BC6" s="98">
        <f>IF($A6="","",IFERROR(INDEX('Driver Factors'!$C$28:$C$36,MATCH($T6,'Driver Factors'!$B$28:$B$36,0)),"?"))</f>
        <v>1</v>
      </c>
      <c r="BD6" s="98">
        <f>IF($A6="","",IFERROR(INDEX('Claims History'!$C$6:$C$15,MATCH($U6,'Claims History'!$B$6:$B$15,0)),"?"))</f>
        <v>0.85</v>
      </c>
      <c r="BE6" s="98">
        <f>IF($A6="","",IFERROR(INDEX('Territory Factors'!$E$6:$E$56,MATCH($K6,'Territory Factors'!$B$6:$B$56,0)),"?"))</f>
        <v>1.1000000000000001</v>
      </c>
      <c r="BF6" s="98">
        <f>IF($A6="","",IFERROR(INDEX('City Accident Ratings'!$G$6:$G$54,MATCH($Z6,'City Accident Ratings'!$B$6:$B$54,0)),"?"))</f>
        <v>1.18</v>
      </c>
      <c r="BG6" s="98">
        <f>IF($A6="","",IFERROR(INDEX('Usage and Coverage'!$D$6:$D$20,MATCH($N6,'Usage and Coverage'!$C$6:$C$20,0)),"?"))</f>
        <v>0.85</v>
      </c>
      <c r="BH6" s="98">
        <f>IF($A6="","",IFERROR(INDEX('Usage and Coverage'!$C$24:$C$30,MATCH($O6,'Usage and Coverage'!$B$24:$B$30,0)),"?"))</f>
        <v>0.75</v>
      </c>
      <c r="BI6" s="98">
        <f>IF($A6="","",IFERROR(INDEX('Usage and Coverage'!$C$34:$C$40,MATCH($P6,'Usage and Coverage'!$B$34:$B$40,0)),"?"))</f>
        <v>0.85</v>
      </c>
      <c r="BJ6" s="98">
        <f>IF($A6="","",IFERROR(INDEX('Usage and Coverage'!$C$44:$C$49,MATCH($Q6,'Usage and Coverage'!$B$44:$B$49,0)),"?"))</f>
        <v>0.85</v>
      </c>
      <c r="BK6" s="98">
        <f>IF($A6="","",IFERROR(INDEX(Deductibles!$C$6:$I$15,MATCH($W6,Deductibles!$B$6:$B$15,0),MATCH(MAX($J6,'Technical Premium'!$C$18),'Base Rates'!$C$3:$I$3,1)),"?"))</f>
        <v>0.78</v>
      </c>
      <c r="BL6" s="98">
        <f>IF($A6="","",IFERROR(INDEX('Usage and Coverage'!$C$63:$C$66,MATCH($X6,'Usage and Coverage'!$B$63:$B$66,0)),"?"))</f>
        <v>1.06</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1.0349999999999999</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1.1000000000000001</v>
      </c>
      <c r="BY6" s="97">
        <f>IF($A6="","",IF($AM6="",1,IFERROR(INDEX('Sublimits and Parts'!$C$91:$C$94,MATCH($AM6,'Sublimits and Parts'!$B$91:$B$94,0)),"?")))</f>
        <v>1</v>
      </c>
      <c r="BZ6" s="98">
        <f>IF($A6="","",IF($AN6="",1,IFERROR(INDEX('Sublimits and Parts'!$C$98:$C$101,MATCH($AN6,'Sublimits and Parts'!$B$98:$B$101,0)),"?")))</f>
        <v>1.0449999999999999</v>
      </c>
      <c r="CA6" s="98">
        <f>IF($A6="","",IF($AO6="",1,IFERROR(INDEX('Sublimits and Parts'!$C$105:$C$109,MATCH($AO6,'Sublimits and Parts'!$B$105:$B$109,0)),"?")))</f>
        <v>1.03</v>
      </c>
      <c r="CB6" s="98">
        <f t="shared" si="2"/>
        <v>0.52597543456047924</v>
      </c>
      <c r="CC6" s="98">
        <f t="shared" si="3"/>
        <v>1.2254244750000001</v>
      </c>
      <c r="CD6" s="101">
        <f>IF($A6="","",IF(OR($CB6="?",$CC6="?"),"?",MIN($CB6*$CC6,'Technical Premium'!$C$17)))</f>
        <v>0.64454317075917211</v>
      </c>
      <c r="CE6" s="100">
        <f t="shared" si="4"/>
        <v>19026.914400810761</v>
      </c>
      <c r="CF6" s="100">
        <f>IF($A6="","",IFERROR(INDEX('Territory Factors'!$F$6:$F$56,MATCH($K6,'Territory Factors'!$B$6:$B$56,0)),"?"))</f>
        <v>520</v>
      </c>
      <c r="CG6" s="98">
        <f>IF($A6="","",IFERROR(INDEX('Usage and Coverage'!$C$79:$C$84,MATCH($Y6,'Usage and Coverage'!$B$79:$B$84,0)),"?"))</f>
        <v>2.0499999999999998</v>
      </c>
      <c r="CH6" s="100">
        <f>IFERROR(IF(ISNUMBER($CD6),$CF6*$CG6*MIN($BG6*$BA6*$BC6*$BD6*$BH6*$BF6,'Technical Premium'!$C$17),""),"")</f>
        <v>681.61372499999982</v>
      </c>
      <c r="CI6" s="100">
        <f t="shared" si="5"/>
        <v>19708.528125810761</v>
      </c>
      <c r="CJ6" s="100">
        <f>IFERROR($CI6*(1+'Technical Premium'!$C$5)*(1+'Technical Premium'!$C$6),"")</f>
        <v>22349.470894669405</v>
      </c>
      <c r="CK6" s="100">
        <f>IFERROR($CE6*INDEX('Territory Factors'!$G$6:$G$56,MATCH($K6,'Territory Factors'!$B$6:$B$56,0))*$AU6*$AV6,"")</f>
        <v>1027.4533776437811</v>
      </c>
      <c r="CL6" s="100">
        <f>IFERROR(($CJ6+$CK6)*(1+'Technical Premium'!$C$7),"")</f>
        <v>25130.193592736676</v>
      </c>
      <c r="CM6" s="102">
        <f>IFERROR($CL6/'Technical Premium'!$C$13,"")</f>
        <v>45279.628095021042</v>
      </c>
      <c r="CN6" s="103">
        <f t="shared" si="6"/>
        <v>1.257767447083918</v>
      </c>
      <c r="CO6" s="102">
        <f t="shared" si="7"/>
        <v>45279.628095021042</v>
      </c>
      <c r="CP6" s="103">
        <f t="shared" si="8"/>
        <v>1.257767447083918</v>
      </c>
      <c r="CQ6" s="104">
        <f t="shared" si="9"/>
        <v>1</v>
      </c>
      <c r="CR6" s="100">
        <f>IF(ISNUMBER($CM6),'Technical Premium'!$C$14+IF($J6&gt;=1000000,'Technical Premium'!$C$15,0),"")</f>
        <v>600</v>
      </c>
      <c r="CS6" s="100">
        <f>IFERROR(($CO6+$CR6)*(INDEX('Territory Factors'!$K$6:$K$56,MATCH($K6,'Territory Factors'!$B$6:$B$56,0))+'Commission Structure'!$C$21),"")</f>
        <v>1458.9721734216691</v>
      </c>
      <c r="CT6" s="102">
        <f t="shared" si="10"/>
        <v>47338.600268442708</v>
      </c>
      <c r="CU6" s="100">
        <f>IFERROR($CO6*('Commission Structure'!$C$6+'Commission Structure'!$C$7),"")</f>
        <v>7923.934916628682</v>
      </c>
      <c r="CV6" s="100">
        <f>IFERROR($CO6*'Commission Structure'!$C$5-$CU6,"")</f>
        <v>4527.9628095021062</v>
      </c>
      <c r="CW6" s="100">
        <f>IFERROR($CO6*(1-'Commission Structure'!$C$5),"")</f>
        <v>32827.730368890254</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NO - AWAITING APPROVAL</v>
      </c>
      <c r="DH6" s="97">
        <f>IF($A6="","",IF(OR($CX6="REFER",$CX6="DECLINE"),COUNTIF($CX$5:$CX6,"REFER")+COUNTIF($CX$5:$CX6,"DECLINE"),""))</f>
        <v>1</v>
      </c>
      <c r="DI6" s="92"/>
    </row>
    <row r="7" spans="1:113" x14ac:dyDescent="0.25">
      <c r="A7" s="92" t="s">
        <v>521</v>
      </c>
      <c r="B7" s="92" t="s">
        <v>499</v>
      </c>
      <c r="C7" s="93">
        <v>46143</v>
      </c>
      <c r="D7" s="93">
        <v>46631</v>
      </c>
      <c r="E7" s="94">
        <v>1965</v>
      </c>
      <c r="F7" s="92" t="s">
        <v>522</v>
      </c>
      <c r="G7" s="92" t="s">
        <v>523</v>
      </c>
      <c r="H7" s="92" t="s">
        <v>524</v>
      </c>
      <c r="I7" s="92" t="s">
        <v>525</v>
      </c>
      <c r="J7" s="95">
        <v>1450000</v>
      </c>
      <c r="K7" s="92" t="s">
        <v>504</v>
      </c>
      <c r="L7" s="92" t="s">
        <v>505</v>
      </c>
      <c r="M7" s="92" t="s">
        <v>177</v>
      </c>
      <c r="N7" s="92" t="s">
        <v>526</v>
      </c>
      <c r="O7" s="92" t="s">
        <v>527</v>
      </c>
      <c r="P7" s="92" t="s">
        <v>508</v>
      </c>
      <c r="Q7" s="92" t="s">
        <v>189</v>
      </c>
      <c r="R7" s="92" t="s">
        <v>510</v>
      </c>
      <c r="S7" s="92" t="s">
        <v>511</v>
      </c>
      <c r="T7" s="92" t="s">
        <v>198</v>
      </c>
      <c r="U7" s="92" t="s">
        <v>512</v>
      </c>
      <c r="V7" s="92" t="s">
        <v>513</v>
      </c>
      <c r="W7" s="92" t="s">
        <v>235</v>
      </c>
      <c r="X7" s="92" t="s">
        <v>514</v>
      </c>
      <c r="Y7" s="92" t="s">
        <v>528</v>
      </c>
      <c r="Z7" s="92" t="s">
        <v>516</v>
      </c>
      <c r="AA7" s="92" t="s">
        <v>529</v>
      </c>
      <c r="AB7" s="92"/>
      <c r="AC7" s="92"/>
      <c r="AD7" s="92"/>
      <c r="AE7" s="92"/>
      <c r="AF7" s="92"/>
      <c r="AG7" s="92"/>
      <c r="AH7" s="92"/>
      <c r="AI7" s="92"/>
      <c r="AJ7" s="92"/>
      <c r="AK7" s="92"/>
      <c r="AL7" s="92"/>
      <c r="AM7" s="92"/>
      <c r="AN7" s="92"/>
      <c r="AO7" s="92"/>
      <c r="AP7" s="92"/>
      <c r="AQ7" s="96">
        <v>-0.08</v>
      </c>
      <c r="AR7" s="97" t="str">
        <f t="shared" si="0"/>
        <v>852</v>
      </c>
      <c r="AS7" s="97" t="str">
        <f>IF($A7="","",IF($AP7&lt;&gt;"",$AP7,IFERROR(INDEX('Cat Zone by ZIP'!$D$6:$D$856,MATCH($AR7,'Cat Zone by ZIP'!$B$6:$B$856,0)),IFERROR(INDEX('Cat Zone by ZIP'!$C$860:$C$910,MATCH($K7,'Cat Zone by ZIP'!$B$860:$B$910,0)),"NOT FOUND"))))</f>
        <v>Severe convective - hail / tornado (moderate)</v>
      </c>
      <c r="AT7" s="97" t="str">
        <f>IF($A7="","",IF($AP7&lt;&gt;"","Override",IF(ISNUMBER(MATCH($AR7,'Cat Zone by ZIP'!$B$6:$B$856,0)),"ZIP-3","State default")))</f>
        <v>ZIP-3</v>
      </c>
      <c r="AU7" s="98">
        <f>IF($A7="","",IFERROR(INDEX('Natural Catastrophe'!$D$6:$D$17,MATCH($AS7,'Natural Catastrophe'!$B$6:$B$17,0)),"?"))</f>
        <v>1.5</v>
      </c>
      <c r="AV7" s="98">
        <f>IF($A7="","",IFERROR(INDEX('Natural Catastrophe'!$C$21:$C$26,MATCH($AA7,'Natural Catastrophe'!$B$21:$B$26,0)),"?"))</f>
        <v>0.9</v>
      </c>
      <c r="AW7" s="97" t="str">
        <f>IF($A7="","",IFERROR(INDEX('Base Rates'!$C$4:$I$4,MATCH(MAX($J7,'Technical Premium'!$C$18),'Base Rates'!$C$3:$I$3,1)),"?"))</f>
        <v>$1.0M - $2.0M</v>
      </c>
      <c r="AX7" s="99">
        <f>IF($A7="","",IFERROR(INDEX('Base Rates'!$C$5:$I$16,MATCH($I7,'Base Rates'!$B$5:$B$16,0),MATCH(MAX($J7,'Technical Premium'!$C$18),'Base Rates'!$C$3:$I$3,1)),"?"))</f>
        <v>0.38</v>
      </c>
      <c r="AY7" s="100">
        <f t="shared" si="1"/>
        <v>5510</v>
      </c>
      <c r="AZ7" s="98">
        <f>IF($A7="","",IFERROR(INDEX('Make Factors'!$G$5:$G$69,MATCH($F7,'Make Factors'!$B$5:$B$69,0)),"?"))</f>
        <v>1.1870000000000001</v>
      </c>
      <c r="BA7" s="98">
        <f>IF($A7="","",IFERROR(INDEX('Driver Factors'!$C$6:$C$15,MATCH($R7,'Driver Factors'!$B$6:$B$15,0)),"?"))</f>
        <v>1</v>
      </c>
      <c r="BB7" s="98">
        <f>IF($A7="","",IFERROR(INDEX('Driver Factors'!$C$19:$C$24,MATCH($S7,'Driver Factors'!$B$19:$B$24,0)),"?"))</f>
        <v>0.95</v>
      </c>
      <c r="BC7" s="98">
        <f>IF($A7="","",IFERROR(INDEX('Driver Factors'!$C$28:$C$36,MATCH($T7,'Driver Factors'!$B$28:$B$36,0)),"?"))</f>
        <v>1</v>
      </c>
      <c r="BD7" s="98">
        <f>IF($A7="","",IFERROR(INDEX('Claims History'!$C$6:$C$15,MATCH($U7,'Claims History'!$B$6:$B$15,0)),"?"))</f>
        <v>0.85</v>
      </c>
      <c r="BE7" s="98">
        <f>IF($A7="","",IFERROR(INDEX('Territory Factors'!$E$6:$E$56,MATCH($K7,'Territory Factors'!$B$6:$B$56,0)),"?"))</f>
        <v>1.1000000000000001</v>
      </c>
      <c r="BF7" s="98">
        <f>IF($A7="","",IFERROR(INDEX('City Accident Ratings'!$G$6:$G$54,MATCH($Z7,'City Accident Ratings'!$B$6:$B$54,0)),"?"))</f>
        <v>1.18</v>
      </c>
      <c r="BG7" s="98">
        <f>IF($A7="","",IFERROR(INDEX('Usage and Coverage'!$D$6:$D$20,MATCH($N7,'Usage and Coverage'!$C$6:$C$20,0)),"?"))</f>
        <v>1.05</v>
      </c>
      <c r="BH7" s="98">
        <f>IF($A7="","",IFERROR(INDEX('Usage and Coverage'!$C$24:$C$30,MATCH($O7,'Usage and Coverage'!$B$24:$B$30,0)),"?"))</f>
        <v>0.85</v>
      </c>
      <c r="BI7" s="98">
        <f>IF($A7="","",IFERROR(INDEX('Usage and Coverage'!$C$34:$C$40,MATCH($P7,'Usage and Coverage'!$B$34:$B$40,0)),"?"))</f>
        <v>0.85</v>
      </c>
      <c r="BJ7" s="98">
        <f>IF($A7="","",IFERROR(INDEX('Usage and Coverage'!$C$44:$C$49,MATCH($Q7,'Usage and Coverage'!$B$44:$B$49,0)),"?"))</f>
        <v>0.9</v>
      </c>
      <c r="BK7" s="98">
        <f>IF($A7="","",IFERROR(INDEX(Deductibles!$C$6:$I$15,MATCH($W7,Deductibles!$B$6:$B$15,0),MATCH(MAX($J7,'Technical Premium'!$C$18),'Base Rates'!$C$3:$I$3,1)),"?"))</f>
        <v>0.87</v>
      </c>
      <c r="BL7" s="98">
        <f>IF($A7="","",IFERROR(INDEX('Usage and Coverage'!$C$63:$C$66,MATCH($X7,'Usage and Coverage'!$B$63:$B$66,0)),"?"))</f>
        <v>1.06</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0.64235716488335748</v>
      </c>
      <c r="CC7" s="98">
        <f t="shared" si="3"/>
        <v>1</v>
      </c>
      <c r="CD7" s="101">
        <f>IF($A7="","",IF(OR($CB7="?",$CC7="?"),"?",MIN($CB7*$CC7,'Technical Premium'!$C$17)))</f>
        <v>0.64235716488335748</v>
      </c>
      <c r="CE7" s="100">
        <f t="shared" si="4"/>
        <v>3539.3879785072995</v>
      </c>
      <c r="CF7" s="100">
        <f>IF($A7="","",IFERROR(INDEX('Territory Factors'!$F$6:$F$56,MATCH($K7,'Territory Factors'!$B$6:$B$56,0)),"?"))</f>
        <v>520</v>
      </c>
      <c r="CG7" s="98">
        <f>IF($A7="","",IFERROR(INDEX('Usage and Coverage'!$C$79:$C$84,MATCH($Y7,'Usage and Coverage'!$B$79:$B$84,0)),"?"))</f>
        <v>1.68</v>
      </c>
      <c r="CH7" s="100">
        <f>IFERROR(IF(ISNUMBER($CD7),$CF7*$CG7*MIN($BG7*$BA7*$BC7*$BD7*$BH7*$BF7,'Technical Premium'!$C$17),""),"")</f>
        <v>782.027064</v>
      </c>
      <c r="CI7" s="100">
        <f t="shared" si="5"/>
        <v>4321.4150425072994</v>
      </c>
      <c r="CJ7" s="100">
        <f>IFERROR($CI7*(1+'Technical Premium'!$C$5)*(1+'Technical Premium'!$C$6),"")</f>
        <v>4900.4846582032778</v>
      </c>
      <c r="CK7" s="100">
        <f>IFERROR($CE7*INDEX('Territory Factors'!$G$6:$G$56,MATCH($K7,'Territory Factors'!$B$6:$B$56,0))*$AU7*$AV7,"")</f>
        <v>215.01781969431843</v>
      </c>
      <c r="CL7" s="100">
        <f>IFERROR(($CJ7+$CK7)*(1+'Technical Premium'!$C$7),"")</f>
        <v>5499.1651637399164</v>
      </c>
      <c r="CM7" s="102">
        <f>IFERROR($CL7/'Technical Premium'!$C$13,"")</f>
        <v>9908.4057004322822</v>
      </c>
      <c r="CN7" s="103">
        <f t="shared" si="6"/>
        <v>0.68333832416774365</v>
      </c>
      <c r="CO7" s="102">
        <f t="shared" si="7"/>
        <v>9115.7332443976993</v>
      </c>
      <c r="CP7" s="103">
        <f t="shared" si="8"/>
        <v>0.62867125823432413</v>
      </c>
      <c r="CQ7" s="104">
        <f t="shared" si="9"/>
        <v>0.91999999999999993</v>
      </c>
      <c r="CR7" s="100">
        <f>IF(ISNUMBER($CM7),'Technical Premium'!$C$14+IF($J7&gt;=1000000,'Technical Premium'!$C$15,0),"")</f>
        <v>600</v>
      </c>
      <c r="CS7" s="100">
        <f>IFERROR(($CO7+$CR7)*(INDEX('Territory Factors'!$K$6:$K$56,MATCH($K7,'Territory Factors'!$B$6:$B$56,0))+'Commission Structure'!$C$21),"")</f>
        <v>308.96031717184684</v>
      </c>
      <c r="CT7" s="102">
        <f t="shared" si="10"/>
        <v>10024.693561569546</v>
      </c>
      <c r="CU7" s="100">
        <f>IFERROR($CO7*('Commission Structure'!$C$6+'Commission Structure'!$C$7),"")</f>
        <v>1595.2533177695973</v>
      </c>
      <c r="CV7" s="100">
        <f>IFERROR($CO7*'Commission Structure'!$C$5-$CU7,"")</f>
        <v>911.5733244397702</v>
      </c>
      <c r="CW7" s="100">
        <f>IFERROR($CO7*(1-'Commission Structure'!$C$5),"")</f>
        <v>6608.9066021883318</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-8.0000000000000071E-2</v>
      </c>
      <c r="CZ7" s="97" t="str">
        <f>IF($CY7="","",IF($CY7&lt;'Technical Premium'!$C$19,"BEYOND AUTHORITY",IF($CY7&gt;0.005,"Above technical",IF($CY7&lt;-0.005,"BELOW technical","At technical"))))</f>
        <v>BELOW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s">
        <v>530</v>
      </c>
      <c r="B8" s="92" t="s">
        <v>531</v>
      </c>
      <c r="C8" s="93">
        <v>46174</v>
      </c>
      <c r="D8" s="93">
        <v>46631</v>
      </c>
      <c r="E8" s="94">
        <v>2023</v>
      </c>
      <c r="F8" s="92" t="s">
        <v>532</v>
      </c>
      <c r="G8" s="92" t="s">
        <v>533</v>
      </c>
      <c r="H8" s="92" t="s">
        <v>534</v>
      </c>
      <c r="I8" s="92" t="s">
        <v>166</v>
      </c>
      <c r="J8" s="95">
        <v>280000</v>
      </c>
      <c r="K8" s="92" t="s">
        <v>535</v>
      </c>
      <c r="L8" s="92" t="s">
        <v>536</v>
      </c>
      <c r="M8" s="92" t="s">
        <v>537</v>
      </c>
      <c r="N8" s="92" t="s">
        <v>538</v>
      </c>
      <c r="O8" s="92" t="s">
        <v>539</v>
      </c>
      <c r="P8" s="92" t="s">
        <v>540</v>
      </c>
      <c r="Q8" s="92" t="s">
        <v>509</v>
      </c>
      <c r="R8" s="92" t="s">
        <v>541</v>
      </c>
      <c r="S8" s="92" t="s">
        <v>542</v>
      </c>
      <c r="T8" s="92" t="s">
        <v>543</v>
      </c>
      <c r="U8" s="92" t="s">
        <v>544</v>
      </c>
      <c r="V8" s="92" t="s">
        <v>545</v>
      </c>
      <c r="W8" s="92" t="s">
        <v>238</v>
      </c>
      <c r="X8" s="92" t="s">
        <v>546</v>
      </c>
      <c r="Y8" s="92" t="s">
        <v>528</v>
      </c>
      <c r="Z8" s="92" t="s">
        <v>547</v>
      </c>
      <c r="AA8" s="92" t="s">
        <v>548</v>
      </c>
      <c r="AB8" s="92" t="s">
        <v>549</v>
      </c>
      <c r="AC8" s="92"/>
      <c r="AD8" s="92" t="s">
        <v>550</v>
      </c>
      <c r="AE8" s="92"/>
      <c r="AF8" s="92"/>
      <c r="AG8" s="92"/>
      <c r="AH8" s="92"/>
      <c r="AI8" s="92" t="s">
        <v>551</v>
      </c>
      <c r="AJ8" s="92" t="s">
        <v>551</v>
      </c>
      <c r="AK8" s="92"/>
      <c r="AL8" s="92"/>
      <c r="AM8" s="92"/>
      <c r="AN8" s="92" t="s">
        <v>551</v>
      </c>
      <c r="AO8" s="92"/>
      <c r="AP8" s="92"/>
      <c r="AQ8" s="96">
        <v>0.1</v>
      </c>
      <c r="AR8" s="97" t="str">
        <f t="shared" si="0"/>
        <v>891</v>
      </c>
      <c r="AS8" s="97" t="str">
        <f>IF($A8="","",IF($AP8&lt;&gt;"",$AP8,IFERROR(INDEX('Cat Zone by ZIP'!$D$6:$D$856,MATCH($AR8,'Cat Zone by ZIP'!$B$6:$B$856,0)),IFERROR(INDEX('Cat Zone by ZIP'!$C$860:$C$910,MATCH($K8,'Cat Zone by ZIP'!$B$860:$B$910,0)),"NOT FOUND"))))</f>
        <v>Low hazard - inland benign</v>
      </c>
      <c r="AT8" s="97" t="str">
        <f>IF($A8="","",IF($AP8&lt;&gt;"","Override",IF(ISNUMBER(MATCH($AR8,'Cat Zone by ZIP'!$B$6:$B$856,0)),"ZIP-3","State default")))</f>
        <v>ZIP-3</v>
      </c>
      <c r="AU8" s="98">
        <f>IF($A8="","",IFERROR(INDEX('Natural Catastrophe'!$D$6:$D$17,MATCH($AS8,'Natural Catastrophe'!$B$6:$B$17,0)),"?"))</f>
        <v>0.45</v>
      </c>
      <c r="AV8" s="98">
        <f>IF($A8="","",IFERROR(INDEX('Natural Catastrophe'!$C$21:$C$26,MATCH($AA8,'Natural Catastrophe'!$B$21:$B$26,0)),"?"))</f>
        <v>1</v>
      </c>
      <c r="AW8" s="97" t="str">
        <f>IF($A8="","",IFERROR(INDEX('Base Rates'!$C$4:$I$4,MATCH(MAX($J8,'Technical Premium'!$C$18),'Base Rates'!$C$3:$I$3,1)),"?"))</f>
        <v>$250k - $500k</v>
      </c>
      <c r="AX8" s="99">
        <f>IF($A8="","",IFERROR(INDEX('Base Rates'!$C$5:$I$16,MATCH($I8,'Base Rates'!$B$5:$B$16,0),MATCH(MAX($J8,'Technical Premium'!$C$18),'Base Rates'!$C$3:$I$3,1)),"?"))</f>
        <v>1.1499999999999999</v>
      </c>
      <c r="AY8" s="100">
        <f t="shared" si="1"/>
        <v>3219.9999999999995</v>
      </c>
      <c r="AZ8" s="98">
        <f>IF($A8="","",IFERROR(INDEX('Make Factors'!$G$5:$G$69,MATCH($F8,'Make Factors'!$B$5:$B$69,0)),"?"))</f>
        <v>1.127</v>
      </c>
      <c r="BA8" s="98">
        <f>IF($A8="","",IFERROR(INDEX('Driver Factors'!$C$6:$C$15,MATCH($R8,'Driver Factors'!$B$6:$B$15,0)),"?"))</f>
        <v>1.35</v>
      </c>
      <c r="BB8" s="98">
        <f>IF($A8="","",IFERROR(INDEX('Driver Factors'!$C$19:$C$24,MATCH($S8,'Driver Factors'!$B$19:$B$24,0)),"?"))</f>
        <v>1.05</v>
      </c>
      <c r="BC8" s="98">
        <f>IF($A8="","",IFERROR(INDEX('Driver Factors'!$C$28:$C$36,MATCH($T8,'Driver Factors'!$B$28:$B$36,0)),"?"))</f>
        <v>1.1499999999999999</v>
      </c>
      <c r="BD8" s="98">
        <f>IF($A8="","",IFERROR(INDEX('Claims History'!$C$6:$C$15,MATCH($U8,'Claims History'!$B$6:$B$15,0)),"?"))</f>
        <v>1.1000000000000001</v>
      </c>
      <c r="BE8" s="98">
        <f>IF($A8="","",IFERROR(INDEX('Territory Factors'!$E$6:$E$56,MATCH($K8,'Territory Factors'!$B$6:$B$56,0)),"?"))</f>
        <v>1.1499999999999999</v>
      </c>
      <c r="BF8" s="98">
        <f>IF($A8="","",IFERROR(INDEX('City Accident Ratings'!$G$6:$G$54,MATCH($Z8,'City Accident Ratings'!$B$6:$B$54,0)),"?"))</f>
        <v>1.2250000000000001</v>
      </c>
      <c r="BG8" s="98">
        <f>IF($A8="","",IFERROR(INDEX('Usage and Coverage'!$D$6:$D$20,MATCH($N8,'Usage and Coverage'!$C$6:$C$20,0)),"?"))</f>
        <v>2.9</v>
      </c>
      <c r="BH8" s="98">
        <f>IF($A8="","",IFERROR(INDEX('Usage and Coverage'!$C$24:$C$30,MATCH($O8,'Usage and Coverage'!$B$24:$B$30,0)),"?"))</f>
        <v>1.85</v>
      </c>
      <c r="BI8" s="98">
        <f>IF($A8="","",IFERROR(INDEX('Usage and Coverage'!$C$34:$C$40,MATCH($P8,'Usage and Coverage'!$B$34:$B$40,0)),"?"))</f>
        <v>1.05</v>
      </c>
      <c r="BJ8" s="98">
        <f>IF($A8="","",IFERROR(INDEX('Usage and Coverage'!$C$44:$C$49,MATCH($Q8,'Usage and Coverage'!$B$44:$B$49,0)),"?"))</f>
        <v>0.85</v>
      </c>
      <c r="BK8" s="98">
        <f>IF($A8="","",IFERROR(INDEX(Deductibles!$C$6:$I$15,MATCH($W8,Deductibles!$B$6:$B$15,0),MATCH(MAX($J8,'Technical Premium'!$C$18),'Base Rates'!$C$3:$I$3,1)),"?"))</f>
        <v>0.87</v>
      </c>
      <c r="BL8" s="98">
        <f>IF($A8="","",IFERROR(INDEX('Usage and Coverage'!$C$63:$C$66,MATCH($X8,'Usage and Coverage'!$B$63:$B$66,0)),"?"))</f>
        <v>0.92</v>
      </c>
      <c r="BM8" s="98">
        <f>IF($A8="","",IFERROR(INDEX('Usage and Coverage'!$C$70:$C$75,MATCH($V8,'Usage and Coverage'!$B$70:$B$75,0)),"?"))</f>
        <v>0.86</v>
      </c>
      <c r="BN8" s="98">
        <f>IF($A8="","",IF($AB8="",1,IFERROR(INDEX(Deductibles!$C$48:$C$51,MATCH($AB8,Deductibles!$B$48:$B$51,0)),"?")))</f>
        <v>0.97499999999999998</v>
      </c>
      <c r="BO8" s="97">
        <f>IF($A8="","",IF($AC8="",1,IFERROR(INDEX(Deductibles!$C$55:$C$57,MATCH($AC8,Deductibles!$B$55:$B$57,0)),"?")))</f>
        <v>1</v>
      </c>
      <c r="BP8" s="98">
        <f>IF($A8="","",IF($AD8="",1,IFERROR(INDEX(Deductibles!$C$61:$C$63,MATCH($AD8,Deductibles!$B$61:$B$63,0)),"?")))</f>
        <v>0.97499999999999998</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0.98499999999999999</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9.3832852819536914</v>
      </c>
      <c r="CC8" s="98">
        <f t="shared" si="3"/>
        <v>0.89621426699999995</v>
      </c>
      <c r="CD8" s="101">
        <f>IF($A8="","",IF(OR($CB8="?",$CC8="?"),"?",MIN($CB8*$CC8,'Technical Premium'!$C$17)))</f>
        <v>5</v>
      </c>
      <c r="CE8" s="100">
        <f t="shared" si="4"/>
        <v>16099.999999999998</v>
      </c>
      <c r="CF8" s="100">
        <f>IF($A8="","",IFERROR(INDEX('Territory Factors'!$F$6:$F$56,MATCH($K8,'Territory Factors'!$B$6:$B$56,0)),"?"))</f>
        <v>560</v>
      </c>
      <c r="CG8" s="98">
        <f>IF($A8="","",IFERROR(INDEX('Usage and Coverage'!$C$79:$C$84,MATCH($Y8,'Usage and Coverage'!$B$79:$B$84,0)),"?"))</f>
        <v>1.68</v>
      </c>
      <c r="CH8" s="100">
        <f>IFERROR(IF(ISNUMBER($CD8),$CF8*$CG8*MIN($BG8*$BA8*$BC8*$BD8*$BH8*$BF8,'Technical Premium'!$C$17),""),"")</f>
        <v>4704</v>
      </c>
      <c r="CI8" s="100">
        <f t="shared" si="5"/>
        <v>20804</v>
      </c>
      <c r="CJ8" s="100">
        <f>IFERROR($CI8*(1+'Technical Premium'!$C$5)*(1+'Technical Premium'!$C$6),"")</f>
        <v>23591.736000000001</v>
      </c>
      <c r="CK8" s="100">
        <f>IFERROR($CE8*INDEX('Territory Factors'!$G$6:$G$56,MATCH($K8,'Territory Factors'!$B$6:$B$56,0))*$AU8*$AV8,"")</f>
        <v>253.57500000000002</v>
      </c>
      <c r="CL8" s="100">
        <f>IFERROR(($CJ8+$CK8)*(1+'Technical Premium'!$C$7),"")</f>
        <v>25633.709325</v>
      </c>
      <c r="CM8" s="102">
        <f>IFERROR($CL8/'Technical Premium'!$C$13,"")</f>
        <v>46186.86364864865</v>
      </c>
      <c r="CN8" s="103">
        <f t="shared" si="6"/>
        <v>16.495308445945948</v>
      </c>
      <c r="CO8" s="102">
        <f t="shared" si="7"/>
        <v>50805.550013513523</v>
      </c>
      <c r="CP8" s="103">
        <f t="shared" si="8"/>
        <v>18.144839290540542</v>
      </c>
      <c r="CQ8" s="104">
        <f t="shared" si="9"/>
        <v>1.0999999999999999</v>
      </c>
      <c r="CR8" s="100">
        <f>IF(ISNUMBER($CM8),'Technical Premium'!$C$14+IF($J8&gt;=1000000,'Technical Premium'!$C$15,0),"")</f>
        <v>350</v>
      </c>
      <c r="CS8" s="100">
        <f>IFERROR(($CO8+$CR8)*(INDEX('Territory Factors'!$K$6:$K$56,MATCH($K8,'Territory Factors'!$B$6:$B$56,0))+'Commission Structure'!$C$21),"")</f>
        <v>1882.524240497298</v>
      </c>
      <c r="CT8" s="102">
        <f t="shared" si="10"/>
        <v>53038.074254010819</v>
      </c>
      <c r="CU8" s="100">
        <f>IFERROR($CO8*('Commission Structure'!$C$6+'Commission Structure'!$C$7),"")</f>
        <v>8890.971252364865</v>
      </c>
      <c r="CV8" s="100">
        <f>IFERROR($CO8*'Commission Structure'!$C$5-$CU8,"")</f>
        <v>5080.5550013513548</v>
      </c>
      <c r="CW8" s="100">
        <f>IFERROR($CO8*(1-'Commission Structure'!$C$5),"")</f>
        <v>36834.023759797303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6">
        <f t="shared" si="11"/>
        <v>0.10000000000000009</v>
      </c>
      <c r="CZ8" s="97" t="str">
        <f>IF($CY8="","",IF($CY8&lt;'Technical Premium'!$C$19,"BEYOND AUTHORITY",IF($CY8&gt;0.005,"Above technical",IF($CY8&lt;-0.005,"BELOW technical","At technical"))))</f>
        <v>Above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NO - AWAITING APPROVAL</v>
      </c>
      <c r="DH8" s="97">
        <f>IF($A8="","",IF(OR($CX8="REFER",$CX8="DECLINE"),COUNTIF($CX$5:$CX8,"REFER")+COUNTIF($CX$5:$CX8,"DECLINE"),""))</f>
        <v>2</v>
      </c>
      <c r="DI8" s="92"/>
    </row>
    <row r="9" spans="1:113" x14ac:dyDescent="0.25">
      <c r="A9" s="92" t="s">
        <v>552</v>
      </c>
      <c r="B9" s="92" t="s">
        <v>553</v>
      </c>
      <c r="C9" s="93">
        <v>46204</v>
      </c>
      <c r="D9" s="93">
        <v>46631</v>
      </c>
      <c r="E9" s="94">
        <v>2017</v>
      </c>
      <c r="F9" s="92" t="s">
        <v>554</v>
      </c>
      <c r="G9" s="92" t="s">
        <v>555</v>
      </c>
      <c r="H9" s="92" t="s">
        <v>556</v>
      </c>
      <c r="I9" s="92" t="s">
        <v>557</v>
      </c>
      <c r="J9" s="95">
        <v>185000</v>
      </c>
      <c r="K9" s="92" t="s">
        <v>558</v>
      </c>
      <c r="L9" s="92" t="s">
        <v>559</v>
      </c>
      <c r="M9" s="92" t="s">
        <v>177</v>
      </c>
      <c r="N9" s="92" t="s">
        <v>506</v>
      </c>
      <c r="O9" s="92" t="s">
        <v>527</v>
      </c>
      <c r="P9" s="92" t="s">
        <v>186</v>
      </c>
      <c r="Q9" s="92" t="s">
        <v>189</v>
      </c>
      <c r="R9" s="92" t="s">
        <v>560</v>
      </c>
      <c r="S9" s="92" t="s">
        <v>561</v>
      </c>
      <c r="T9" s="92" t="s">
        <v>198</v>
      </c>
      <c r="U9" s="92" t="s">
        <v>201</v>
      </c>
      <c r="V9" s="92" t="s">
        <v>204</v>
      </c>
      <c r="W9" s="92" t="s">
        <v>207</v>
      </c>
      <c r="X9" s="92" t="s">
        <v>210</v>
      </c>
      <c r="Y9" s="92" t="s">
        <v>212</v>
      </c>
      <c r="Z9" s="92" t="s">
        <v>562</v>
      </c>
      <c r="AA9" s="92" t="s">
        <v>548</v>
      </c>
      <c r="AB9" s="92"/>
      <c r="AC9" s="92"/>
      <c r="AD9" s="92"/>
      <c r="AE9" s="92"/>
      <c r="AF9" s="92"/>
      <c r="AG9" s="92"/>
      <c r="AH9" s="92"/>
      <c r="AI9" s="92"/>
      <c r="AJ9" s="92"/>
      <c r="AK9" s="92"/>
      <c r="AL9" s="92"/>
      <c r="AM9" s="92"/>
      <c r="AN9" s="92"/>
      <c r="AO9" s="92"/>
      <c r="AP9" s="92"/>
      <c r="AQ9" s="96">
        <v>-0.12</v>
      </c>
      <c r="AR9" s="97" t="str">
        <f t="shared" si="0"/>
        <v>029</v>
      </c>
      <c r="AS9" s="97" t="str">
        <f>IF($A9="","",IF($AP9&lt;&gt;"",$AP9,IFERROR(INDEX('Cat Zone by ZIP'!$D$6:$D$856,MATCH($AR9,'Cat Zone by ZIP'!$B$6:$B$856,0)),IFERROR(INDEX('Cat Zone by ZIP'!$C$860:$C$910,MATCH($K9,'Cat Zone by ZIP'!$B$860:$B$910,0)),"NOT FOUND"))))</f>
        <v>Tier 2 - Coastal wind (1-25 miles)</v>
      </c>
      <c r="AT9" s="97" t="str">
        <f>IF($A9="","",IF($AP9&lt;&gt;"","Override",IF(ISNUMBER(MATCH($AR9,'Cat Zone by ZIP'!$B$6:$B$856,0)),"ZIP-3","State default")))</f>
        <v>ZIP-3</v>
      </c>
      <c r="AU9" s="98">
        <f>IF($A9="","",IFERROR(INDEX('Natural Catastrophe'!$D$6:$D$17,MATCH($AS9,'Natural Catastrophe'!$B$6:$B$17,0)),"?"))</f>
        <v>2.1</v>
      </c>
      <c r="AV9" s="98">
        <f>IF($A9="","",IFERROR(INDEX('Natural Catastrophe'!$C$21:$C$26,MATCH($AA9,'Natural Catastrophe'!$B$21:$B$26,0)),"?"))</f>
        <v>1</v>
      </c>
      <c r="AW9" s="97" t="str">
        <f>IF($A9="","",IFERROR(INDEX('Base Rates'!$C$4:$I$4,MATCH(MAX($J9,'Technical Premium'!$C$18),'Base Rates'!$C$3:$I$3,1)),"?"))</f>
        <v>$100k - $250k</v>
      </c>
      <c r="AX9" s="99">
        <f>IF($A9="","",IFERROR(INDEX('Base Rates'!$C$5:$I$16,MATCH($I9,'Base Rates'!$B$5:$B$16,0),MATCH(MAX($J9,'Technical Premium'!$C$18),'Base Rates'!$C$3:$I$3,1)),"?"))</f>
        <v>1.18</v>
      </c>
      <c r="AY9" s="100">
        <f t="shared" si="1"/>
        <v>2183</v>
      </c>
      <c r="AZ9" s="98">
        <f>IF($A9="","",IFERROR(INDEX('Make Factors'!$G$5:$G$69,MATCH($F9,'Make Factors'!$B$5:$B$69,0)),"?"))</f>
        <v>0.80500000000000005</v>
      </c>
      <c r="BA9" s="98">
        <f>IF($A9="","",IFERROR(INDEX('Driver Factors'!$C$6:$C$15,MATCH($R9,'Driver Factors'!$B$6:$B$15,0)),"?"))</f>
        <v>1.1000000000000001</v>
      </c>
      <c r="BB9" s="98">
        <f>IF($A9="","",IFERROR(INDEX('Driver Factors'!$C$19:$C$24,MATCH($S9,'Driver Factors'!$B$19:$B$24,0)),"?"))</f>
        <v>0.9</v>
      </c>
      <c r="BC9" s="98">
        <f>IF($A9="","",IFERROR(INDEX('Driver Factors'!$C$28:$C$36,MATCH($T9,'Driver Factors'!$B$28:$B$36,0)),"?"))</f>
        <v>1</v>
      </c>
      <c r="BD9" s="98">
        <f>IF($A9="","",IFERROR(INDEX('Claims History'!$C$6:$C$15,MATCH($U9,'Claims History'!$B$6:$B$15,0)),"?"))</f>
        <v>0.9</v>
      </c>
      <c r="BE9" s="98">
        <f>IF($A9="","",IFERROR(INDEX('Territory Factors'!$E$6:$E$56,MATCH($K9,'Territory Factors'!$B$6:$B$56,0)),"?"))</f>
        <v>1.1499999999999999</v>
      </c>
      <c r="BF9" s="98">
        <f>IF($A9="","",IFERROR(INDEX('City Accident Ratings'!$G$6:$G$54,MATCH($Z9,'City Accident Ratings'!$B$6:$B$54,0)),"?"))</f>
        <v>1</v>
      </c>
      <c r="BG9" s="98">
        <f>IF($A9="","",IFERROR(INDEX('Usage and Coverage'!$D$6:$D$20,MATCH($N9,'Usage and Coverage'!$C$6:$C$20,0)),"?"))</f>
        <v>0.85</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0.9</v>
      </c>
      <c r="BL9" s="98">
        <f>IF($A9="","",IFERROR(INDEX('Usage and Coverage'!$C$63:$C$66,MATCH($X9,'Usage and Coverage'!$B$63:$B$66,0)),"?"))</f>
        <v>1</v>
      </c>
      <c r="BM9" s="98">
        <f>IF($A9="","",IFERROR(INDEX('Usage and Coverage'!$C$70:$C$75,MATCH($V9,'Usage and Coverage'!$B$70:$B$75,0)),"?"))</f>
        <v>0.95</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0.41272465178896878</v>
      </c>
      <c r="CC9" s="98">
        <f t="shared" si="3"/>
        <v>1</v>
      </c>
      <c r="CD9" s="101">
        <f>IF($A9="","",IF(OR($CB9="?",$CC9="?"),"?",MIN($CB9*$CC9,'Technical Premium'!$C$17)))</f>
        <v>0.41272465178896878</v>
      </c>
      <c r="CE9" s="100">
        <f t="shared" si="4"/>
        <v>900.97791485531889</v>
      </c>
      <c r="CF9" s="100">
        <f>IF($A9="","",IFERROR(INDEX('Territory Factors'!$F$6:$F$56,MATCH($K9,'Territory Factors'!$B$6:$B$56,0)),"?"))</f>
        <v>600</v>
      </c>
      <c r="CG9" s="98">
        <f>IF($A9="","",IFERROR(INDEX('Usage and Coverage'!$C$79:$C$84,MATCH($Y9,'Usage and Coverage'!$B$79:$B$84,0)),"?"))</f>
        <v>1.42</v>
      </c>
      <c r="CH9" s="100">
        <f>IFERROR(IF(ISNUMBER($CD9),$CF9*$CG9*MIN($BG9*$BA9*$BC9*$BD9*$BH9*$BF9,'Technical Premium'!$C$17),""),"")</f>
        <v>609.41430000000003</v>
      </c>
      <c r="CI9" s="100">
        <f t="shared" si="5"/>
        <v>1510.3922148553188</v>
      </c>
      <c r="CJ9" s="100">
        <f>IFERROR($CI9*(1+'Technical Premium'!$C$5)*(1+'Technical Premium'!$C$6),"")</f>
        <v>1712.7847716459319</v>
      </c>
      <c r="CK9" s="100">
        <f>IFERROR($CE9*INDEX('Territory Factors'!$G$6:$G$56,MATCH($K9,'Territory Factors'!$B$6:$B$56,0))*$AU9*$AV9,"")</f>
        <v>85.14241295382763</v>
      </c>
      <c r="CL9" s="100">
        <f>IFERROR(($CJ9+$CK9)*(1+'Technical Premium'!$C$7),"")</f>
        <v>1932.7717234447414</v>
      </c>
      <c r="CM9" s="102">
        <f>IFERROR($CL9/'Technical Premium'!$C$13,"")</f>
        <v>3482.471573774309</v>
      </c>
      <c r="CN9" s="103">
        <f t="shared" si="6"/>
        <v>1.882417066905032</v>
      </c>
      <c r="CO9" s="102">
        <f t="shared" si="7"/>
        <v>3064.5749849213921</v>
      </c>
      <c r="CP9" s="103">
        <f t="shared" si="8"/>
        <v>1.6565270188764283</v>
      </c>
      <c r="CQ9" s="104">
        <f t="shared" si="9"/>
        <v>0.88000000000000012</v>
      </c>
      <c r="CR9" s="100">
        <f>IF(ISNUMBER($CM9),'Technical Premium'!$C$14+IF($J9&gt;=1000000,'Technical Premium'!$C$15,0),"")</f>
        <v>350</v>
      </c>
      <c r="CS9" s="100">
        <f>IFERROR(($CO9+$CR9)*(INDEX('Territory Factors'!$K$6:$K$56,MATCH($K9,'Territory Factors'!$B$6:$B$56,0))+'Commission Structure'!$C$21),"")</f>
        <v>142.72923436971419</v>
      </c>
      <c r="CT9" s="102">
        <f t="shared" si="10"/>
        <v>3557.3042192911062</v>
      </c>
      <c r="CU9" s="100">
        <f>IFERROR($CO9*('Commission Structure'!$C$6+'Commission Structure'!$C$7),"")</f>
        <v>536.30062236124354</v>
      </c>
      <c r="CV9" s="100">
        <f>IFERROR($CO9*'Commission Structure'!$C$5-$CU9,"")</f>
        <v>306.45749849213939</v>
      </c>
      <c r="CW9" s="100">
        <f>IFERROR($CO9*(1-'Commission Structure'!$C$5),"")</f>
        <v>2221.8168640680092</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-0.12</v>
      </c>
      <c r="CZ9" s="97" t="str">
        <f>IF($CY9="","",IF($CY9&lt;'Technical Premium'!$C$19,"BEYOND AUTHORITY",IF($CY9&gt;0.005,"Above technical",IF($CY9&lt;-0.005,"BELOW technical","At technical"))))</f>
        <v>BELOW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s">
        <v>563</v>
      </c>
      <c r="B10" s="92" t="s">
        <v>564</v>
      </c>
      <c r="C10" s="93">
        <v>46235</v>
      </c>
      <c r="D10" s="93">
        <v>46631</v>
      </c>
      <c r="E10" s="94">
        <v>2022</v>
      </c>
      <c r="F10" s="92" t="s">
        <v>565</v>
      </c>
      <c r="G10" s="92" t="s">
        <v>566</v>
      </c>
      <c r="H10" s="92" t="s">
        <v>567</v>
      </c>
      <c r="I10" s="92" t="s">
        <v>568</v>
      </c>
      <c r="J10" s="95">
        <v>2200000</v>
      </c>
      <c r="K10" s="92" t="s">
        <v>569</v>
      </c>
      <c r="L10" s="92" t="s">
        <v>570</v>
      </c>
      <c r="M10" s="92" t="s">
        <v>177</v>
      </c>
      <c r="N10" s="92" t="s">
        <v>526</v>
      </c>
      <c r="O10" s="92" t="s">
        <v>183</v>
      </c>
      <c r="P10" s="92" t="s">
        <v>186</v>
      </c>
      <c r="Q10" s="92" t="s">
        <v>189</v>
      </c>
      <c r="R10" s="92" t="s">
        <v>560</v>
      </c>
      <c r="S10" s="92" t="s">
        <v>561</v>
      </c>
      <c r="T10" s="92" t="s">
        <v>543</v>
      </c>
      <c r="U10" s="92" t="s">
        <v>201</v>
      </c>
      <c r="V10" s="92" t="s">
        <v>571</v>
      </c>
      <c r="W10" s="92" t="s">
        <v>572</v>
      </c>
      <c r="X10" s="92" t="s">
        <v>514</v>
      </c>
      <c r="Y10" s="92" t="s">
        <v>528</v>
      </c>
      <c r="Z10" s="92" t="s">
        <v>573</v>
      </c>
      <c r="AA10" s="92" t="s">
        <v>218</v>
      </c>
      <c r="AB10" s="92"/>
      <c r="AC10" s="92" t="s">
        <v>574</v>
      </c>
      <c r="AD10" s="92"/>
      <c r="AE10" s="92"/>
      <c r="AF10" s="92"/>
      <c r="AG10" s="92"/>
      <c r="AH10" s="92" t="s">
        <v>244</v>
      </c>
      <c r="AI10" s="92"/>
      <c r="AJ10" s="92"/>
      <c r="AK10" s="92"/>
      <c r="AL10" s="92"/>
      <c r="AM10" s="92" t="s">
        <v>517</v>
      </c>
      <c r="AN10" s="92" t="s">
        <v>519</v>
      </c>
      <c r="AO10" s="92"/>
      <c r="AP10" s="92"/>
      <c r="AQ10" s="96">
        <v>0.05</v>
      </c>
      <c r="AR10" s="97" t="str">
        <f t="shared" si="0"/>
        <v>913</v>
      </c>
      <c r="AS10" s="97" t="str">
        <f>IF($A10="","",IF($AP10&lt;&gt;"",$AP10,IFERROR(INDEX('Cat Zone by ZIP'!$D$6:$D$856,MATCH($AR10,'Cat Zone by ZIP'!$B$6:$B$856,0)),IFERROR(INDEX('Cat Zone by ZIP'!$C$860:$C$910,MATCH($K10,'Cat Zone by ZIP'!$B$860:$B$910,0)),"NOT FOUND"))))</f>
        <v>Wildfire - WUI high hazard</v>
      </c>
      <c r="AT10" s="97" t="str">
        <f>IF($A10="","",IF($AP10&lt;&gt;"","Override",IF(ISNUMBER(MATCH($AR10,'Cat Zone by ZIP'!$B$6:$B$856,0)),"ZIP-3","State default")))</f>
        <v>ZIP-3</v>
      </c>
      <c r="AU10" s="98">
        <f>IF($A10="","",IFERROR(INDEX('Natural Catastrophe'!$D$6:$D$17,MATCH($AS10,'Natural Catastrophe'!$B$6:$B$17,0)),"?"))</f>
        <v>2.6</v>
      </c>
      <c r="AV10" s="98">
        <f>IF($A10="","",IFERROR(INDEX('Natural Catastrophe'!$C$21:$C$26,MATCH($AA10,'Natural Catastrophe'!$B$21:$B$26,0)),"?"))</f>
        <v>0.8</v>
      </c>
      <c r="AW10" s="97" t="str">
        <f>IF($A10="","",IFERROR(INDEX('Base Rates'!$C$4:$I$4,MATCH(MAX($J10,'Technical Premium'!$C$18),'Base Rates'!$C$3:$I$3,1)),"?"))</f>
        <v>$2.0M - $5.0M</v>
      </c>
      <c r="AX10" s="99">
        <f>IF($A10="","",IFERROR(INDEX('Base Rates'!$C$5:$I$16,MATCH($I10,'Base Rates'!$B$5:$B$16,0),MATCH(MAX($J10,'Technical Premium'!$C$18),'Base Rates'!$C$3:$I$3,1)),"?"))</f>
        <v>0.57999999999999996</v>
      </c>
      <c r="AY10" s="100">
        <f t="shared" si="1"/>
        <v>12760</v>
      </c>
      <c r="AZ10" s="98">
        <f>IF($A10="","",IFERROR(INDEX('Make Factors'!$G$5:$G$69,MATCH($F10,'Make Factors'!$B$5:$B$69,0)),"?"))</f>
        <v>1.6539999999999999</v>
      </c>
      <c r="BA10" s="98">
        <f>IF($A10="","",IFERROR(INDEX('Driver Factors'!$C$6:$C$15,MATCH($R10,'Driver Factors'!$B$6:$B$15,0)),"?"))</f>
        <v>1.1000000000000001</v>
      </c>
      <c r="BB10" s="98">
        <f>IF($A10="","",IFERROR(INDEX('Driver Factors'!$C$19:$C$24,MATCH($S10,'Driver Factors'!$B$19:$B$24,0)),"?"))</f>
        <v>0.9</v>
      </c>
      <c r="BC10" s="98">
        <f>IF($A10="","",IFERROR(INDEX('Driver Factors'!$C$28:$C$36,MATCH($T10,'Driver Factors'!$B$28:$B$36,0)),"?"))</f>
        <v>1.1499999999999999</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1.05</v>
      </c>
      <c r="BH10" s="98">
        <f>IF($A10="","",IFERROR(INDEX('Usage and Coverage'!$C$24:$C$30,MATCH($O10,'Usage and Coverage'!$B$24:$B$30,0)),"?"))</f>
        <v>1</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0.83</v>
      </c>
      <c r="BL10" s="98">
        <f>IF($A10="","",IFERROR(INDEX('Usage and Coverage'!$C$63:$C$66,MATCH($X10,'Usage and Coverage'!$B$63:$B$66,0)),"?"))</f>
        <v>1.06</v>
      </c>
      <c r="BM10" s="98">
        <f>IF($A10="","",IFERROR(INDEX('Usage and Coverage'!$C$70:$C$75,MATCH($V10,'Usage and Coverage'!$B$70:$B$75,0)),"?"))</f>
        <v>0.9</v>
      </c>
      <c r="BN10" s="97">
        <f>IF($A10="","",IF($AB10="",1,IFERROR(INDEX(Deductibles!$C$48:$C$51,MATCH($AB10,Deductibles!$B$48:$B$51,0)),"?")))</f>
        <v>1</v>
      </c>
      <c r="BO10" s="98">
        <f>IF($A10="","",IF($AC10="",1,IFERROR(INDEX(Deductibles!$C$55:$C$57,MATCH($AC10,Deductibles!$B$55:$B$57,0)),"?")))</f>
        <v>1.0149999999999999</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1.0449999999999999</v>
      </c>
      <c r="CA10" s="97">
        <f>IF($A10="","",IF($AO10="",1,IFERROR(INDEX('Sublimits and Parts'!$C$105:$C$109,MATCH($AO10,'Sublimits and Parts'!$B$105:$B$109,0)),"?")))</f>
        <v>1</v>
      </c>
      <c r="CB10" s="98">
        <f t="shared" si="2"/>
        <v>2.0800768070430005</v>
      </c>
      <c r="CC10" s="98">
        <f t="shared" si="3"/>
        <v>1.1121601644999997</v>
      </c>
      <c r="CD10" s="101">
        <f>IF($A10="","",IF(OR($CB10="?",$CC10="?"),"?",MIN($CB10*$CC10,'Technical Premium'!$C$17)))</f>
        <v>2.3133785638935773</v>
      </c>
      <c r="CE10" s="100">
        <f t="shared" si="4"/>
        <v>29518.710475282045</v>
      </c>
      <c r="CF10" s="100">
        <f>IF($A10="","",IFERROR(INDEX('Territory Factors'!$F$6:$F$56,MATCH($K10,'Territory Factors'!$B$6:$B$56,0)),"?"))</f>
        <v>760</v>
      </c>
      <c r="CG10" s="98">
        <f>IF($A10="","",IFERROR(INDEX('Usage and Coverage'!$C$79:$C$84,MATCH($Y10,'Usage and Coverage'!$B$79:$B$84,0)),"?"))</f>
        <v>1.68</v>
      </c>
      <c r="CH10" s="100">
        <f>IFERROR(IF(ISNUMBER($CD10),$CF10*$CG10*MIN($BG10*$BA10*$BC10*$BD10*$BH10*$BF10,'Technical Premium'!$C$17),""),"")</f>
        <v>2060.5301640000002</v>
      </c>
      <c r="CI10" s="100">
        <f t="shared" si="5"/>
        <v>31579.240639282045</v>
      </c>
      <c r="CJ10" s="100">
        <f>IFERROR($CI10*(1+'Technical Premium'!$C$5)*(1+'Technical Premium'!$C$6),"")</f>
        <v>35810.858884945847</v>
      </c>
      <c r="CK10" s="100">
        <f>IFERROR($CE10*INDEX('Territory Factors'!$G$6:$G$56,MATCH($K10,'Territory Factors'!$B$6:$B$56,0))*$AU10*$AV10,"")</f>
        <v>3683.9350673151989</v>
      </c>
      <c r="CL10" s="100">
        <f>IFERROR(($CJ10+$CK10)*(1+'Technical Premium'!$C$7),"")</f>
        <v>42456.903498680622</v>
      </c>
      <c r="CM10" s="102">
        <f>IFERROR($CL10/'Technical Premium'!$C$13,"")</f>
        <v>76498.925222847975</v>
      </c>
      <c r="CN10" s="103">
        <f t="shared" si="6"/>
        <v>3.4772238737658165</v>
      </c>
      <c r="CO10" s="102">
        <f t="shared" si="7"/>
        <v>80323.87148399037</v>
      </c>
      <c r="CP10" s="103">
        <f t="shared" si="8"/>
        <v>3.6510850674541082</v>
      </c>
      <c r="CQ10" s="104">
        <f t="shared" si="9"/>
        <v>1.0500000000000003</v>
      </c>
      <c r="CR10" s="100">
        <f>IF(ISNUMBER($CM10),'Technical Premium'!$C$14+IF($J10&gt;=1000000,'Technical Premium'!$C$15,0),"")</f>
        <v>600</v>
      </c>
      <c r="CS10" s="100">
        <f>IFERROR(($CO10+$CR10)*(INDEX('Territory Factors'!$K$6:$K$56,MATCH($K10,'Territory Factors'!$B$6:$B$56,0))+'Commission Structure'!$C$21),"")</f>
        <v>2573.3791131908938</v>
      </c>
      <c r="CT10" s="102">
        <f t="shared" si="10"/>
        <v>83497.250597181264</v>
      </c>
      <c r="CU10" s="100">
        <f>IFERROR($CO10*('Commission Structure'!$C$6+'Commission Structure'!$C$7),"")</f>
        <v>14056.677509698315</v>
      </c>
      <c r="CV10" s="100">
        <f>IFERROR($CO10*'Commission Structure'!$C$5-$CU10,"")</f>
        <v>8032.387148399037</v>
      </c>
      <c r="CW10" s="100">
        <f>IFERROR($CO10*(1-'Commission Structure'!$C$5),"")</f>
        <v>58234.806825893014</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6">
        <f t="shared" si="11"/>
        <v>5.0000000000000044E-2</v>
      </c>
      <c r="CZ10" s="97" t="str">
        <f>IF($CY10="","",IF($CY10&lt;'Technical Premium'!$C$19,"BEYOND AUTHORITY",IF($CY10&gt;0.005,"Above technical",IF($CY10&lt;-0.005,"BELOW technical","At technical"))))</f>
        <v>Above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6</v>
      </c>
    </row>
    <row r="6" spans="2:8" x14ac:dyDescent="0.25">
      <c r="B6" s="36" t="s">
        <v>579</v>
      </c>
      <c r="C6" s="58">
        <f>SUM('Portfolio Register'!$J$5:$J$304)</f>
        <v>8140000</v>
      </c>
    </row>
    <row r="7" spans="2:8" x14ac:dyDescent="0.25">
      <c r="B7" s="32" t="s">
        <v>580</v>
      </c>
      <c r="C7" s="76">
        <f>SUM('Portfolio Register'!$CM$5:$CM$304)</f>
        <v>206413.86321032306</v>
      </c>
    </row>
    <row r="8" spans="2:8" x14ac:dyDescent="0.25">
      <c r="B8" s="32" t="s">
        <v>581</v>
      </c>
      <c r="C8" s="76">
        <f>SUM('Portfolio Register'!$CO$5:$CO$304)</f>
        <v>213646.92679144282</v>
      </c>
    </row>
    <row r="9" spans="2:8" x14ac:dyDescent="0.25">
      <c r="B9" s="36" t="s">
        <v>582</v>
      </c>
      <c r="C9" s="58">
        <f>SUM('Portfolio Register'!$CR$5:$CR$304)+SUM('Portfolio Register'!$CS$5:$CS$304)</f>
        <v>10517.43260989488</v>
      </c>
    </row>
    <row r="10" spans="2:8" x14ac:dyDescent="0.25">
      <c r="B10" s="36" t="s">
        <v>583</v>
      </c>
      <c r="C10" s="58">
        <f>SUM('Portfolio Register'!$CT$5:$CT$304)</f>
        <v>224164.35940133772</v>
      </c>
    </row>
    <row r="11" spans="2:8" x14ac:dyDescent="0.25">
      <c r="B11" s="36" t="s">
        <v>584</v>
      </c>
      <c r="C11" s="58">
        <f>SUM('Portfolio Register'!$CU$5:$CU$304)</f>
        <v>37388.212188502497</v>
      </c>
    </row>
    <row r="12" spans="2:8" x14ac:dyDescent="0.25">
      <c r="B12" s="32" t="s">
        <v>585</v>
      </c>
      <c r="C12" s="76">
        <f>SUM('Portfolio Register'!$CV$5:$CV$304)</f>
        <v>21364.692679144289</v>
      </c>
    </row>
    <row r="13" spans="2:8" x14ac:dyDescent="0.25">
      <c r="B13" s="36" t="s">
        <v>346</v>
      </c>
      <c r="C13" s="58">
        <f>SUM('Portfolio Register'!$CW$5:$CW$304)</f>
        <v>154894.02192379604</v>
      </c>
    </row>
    <row r="14" spans="2:8" x14ac:dyDescent="0.25">
      <c r="B14" s="36" t="s">
        <v>586</v>
      </c>
      <c r="C14" s="108">
        <f>IFERROR(SUM('Portfolio Register'!$CM$5:$CM$304)/SUM('Portfolio Register'!$J$5:$J$304)*100,0)</f>
        <v>2.5357968453356641</v>
      </c>
    </row>
    <row r="15" spans="2:8" x14ac:dyDescent="0.25">
      <c r="B15" s="36" t="s">
        <v>587</v>
      </c>
      <c r="C15" s="108">
        <f>IFERROR(SUM('Portfolio Register'!$CO$5:$CO$304)/SUM('Portfolio Register'!$J$5:$J$304)*100,0)</f>
        <v>2.6246551202879953</v>
      </c>
    </row>
    <row r="16" spans="2:8" x14ac:dyDescent="0.25">
      <c r="B16" s="32" t="s">
        <v>588</v>
      </c>
      <c r="C16" s="109">
        <f>IFERROR(SUM('Portfolio Register'!$CO$5:$CO$304)/SUM('Portfolio Register'!$CM$5:$CM$304),0)</f>
        <v>1.0350415590727533</v>
      </c>
    </row>
    <row r="17" spans="2:8" x14ac:dyDescent="0.25">
      <c r="B17" s="36" t="s">
        <v>589</v>
      </c>
      <c r="C17" s="58">
        <f>IFERROR(C8/C5,0)</f>
        <v>35607.821131907134</v>
      </c>
    </row>
    <row r="18" spans="2:8" x14ac:dyDescent="0.25">
      <c r="B18" s="36" t="s">
        <v>590</v>
      </c>
      <c r="C18" s="58">
        <f>IFERROR(MAX('Portfolio Register'!$J$5:$J$304),0)</f>
        <v>3600000</v>
      </c>
    </row>
    <row r="19" spans="2:8" x14ac:dyDescent="0.25">
      <c r="B19" s="36" t="s">
        <v>591</v>
      </c>
      <c r="C19" s="107">
        <f>COUNTIF('Portfolio Register'!$CX$5:$CX$304,"AUTO-BIND")</f>
        <v>3</v>
      </c>
    </row>
    <row r="20" spans="2:8" x14ac:dyDescent="0.25">
      <c r="B20" s="36" t="s">
        <v>592</v>
      </c>
      <c r="C20" s="107">
        <f>COUNTIF('Portfolio Register'!$CX$5:$CX$304,"REFER")</f>
        <v>3</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1</v>
      </c>
      <c r="D27" s="116">
        <f>SUMIFS('Portfolio Register'!$J$5:$J$304,'Portfolio Register'!$I$5:$I$304,$B27)</f>
        <v>185000</v>
      </c>
      <c r="E27" s="116">
        <f>SUMIFS('Portfolio Register'!$CM$5:$CM$304,'Portfolio Register'!$I$5:$I$304,$B27)</f>
        <v>3482.471573774309</v>
      </c>
      <c r="F27" s="116">
        <f>SUMIFS('Portfolio Register'!$CO$5:$CO$304,'Portfolio Register'!$I$5:$I$304,$B27)</f>
        <v>3064.5749849213921</v>
      </c>
      <c r="G27" s="117">
        <f t="shared" si="0"/>
        <v>1.882417066905032</v>
      </c>
    </row>
    <row r="28" spans="2:8" x14ac:dyDescent="0.25">
      <c r="B28" s="27" t="str">
        <f>'Base Rates'!B7</f>
        <v>03 - Supercar</v>
      </c>
      <c r="C28" s="111">
        <f>COUNTIFS('Portfolio Register'!$I$5:$I$304,$B28)</f>
        <v>2</v>
      </c>
      <c r="D28" s="112">
        <f>SUMIFS('Portfolio Register'!$J$5:$J$304,'Portfolio Register'!$I$5:$I$304,$B28)</f>
        <v>705000</v>
      </c>
      <c r="E28" s="112">
        <f>SUMIFS('Portfolio Register'!$CM$5:$CM$304,'Portfolio Register'!$I$5:$I$304,$B28)</f>
        <v>71244.432618247462</v>
      </c>
      <c r="F28" s="112">
        <f>SUMIFS('Portfolio Register'!$CO$5:$CO$304,'Portfolio Register'!$I$5:$I$304,$B28)</f>
        <v>75863.118983112334</v>
      </c>
      <c r="G28" s="113">
        <f t="shared" si="0"/>
        <v>10.105593279184037</v>
      </c>
    </row>
    <row r="29" spans="2:8" x14ac:dyDescent="0.25">
      <c r="B29" s="114" t="str">
        <f>'Base Rates'!B8</f>
        <v>04 - Hypercar</v>
      </c>
      <c r="C29" s="115">
        <f>COUNTIFS('Portfolio Register'!$I$5:$I$304,$B29)</f>
        <v>1</v>
      </c>
      <c r="D29" s="116">
        <f>SUMIFS('Portfolio Register'!$J$5:$J$304,'Portfolio Register'!$I$5:$I$304,$B29)</f>
        <v>3600000</v>
      </c>
      <c r="E29" s="116">
        <f>SUMIFS('Portfolio Register'!$CM$5:$CM$304,'Portfolio Register'!$I$5:$I$304,$B29)</f>
        <v>45279.628095021042</v>
      </c>
      <c r="F29" s="116">
        <f>SUMIFS('Portfolio Register'!$CO$5:$CO$304,'Portfolio Register'!$I$5:$I$304,$B29)</f>
        <v>45279.628095021042</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1450000</v>
      </c>
      <c r="E32" s="112">
        <f>SUMIFS('Portfolio Register'!$CM$5:$CM$304,'Portfolio Register'!$I$5:$I$304,$B32)</f>
        <v>9908.4057004322822</v>
      </c>
      <c r="F32" s="112">
        <f>SUMIFS('Portfolio Register'!$CO$5:$CO$304,'Portfolio Register'!$I$5:$I$304,$B32)</f>
        <v>9115.7332443976993</v>
      </c>
      <c r="G32" s="113">
        <f t="shared" si="0"/>
        <v>0.68333832416774365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2200000</v>
      </c>
      <c r="E36" s="112">
        <f>SUMIFS('Portfolio Register'!$CM$5:$CM$304,'Portfolio Register'!$I$5:$I$304,$B36)</f>
        <v>76498.925222847975</v>
      </c>
      <c r="F36" s="112">
        <f>SUMIFS('Portfolio Register'!$CO$5:$CO$304,'Portfolio Register'!$I$5:$I$304,$B36)</f>
        <v>80323.87148399037</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2</v>
      </c>
      <c r="D43" s="112">
        <f>SUMIFS('Portfolio Register'!$J$5:$J$304,'Portfolio Register'!$K$5:$K$304,$B43)</f>
        <v>5050000</v>
      </c>
      <c r="E43" s="112">
        <f>SUMIFS('Portfolio Register'!$CO$5:$CO$304,'Portfolio Register'!$K$5:$K$304,$B43)</f>
        <v>54395.361339418741</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1</v>
      </c>
      <c r="D45" s="112">
        <f>SUMIFS('Portfolio Register'!$J$5:$J$304,'Portfolio Register'!$K$5:$K$304,$B45)</f>
        <v>2200000</v>
      </c>
      <c r="E45" s="112">
        <f>SUMIFS('Portfolio Register'!$CO$5:$CO$304,'Portfolio Register'!$K$5:$K$304,$B45)</f>
        <v>80323.87148399037</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1</v>
      </c>
      <c r="D50" s="116">
        <f>SUMIFS('Portfolio Register'!$J$5:$J$304,'Portfolio Register'!$K$5:$K$304,$B50)</f>
        <v>425000</v>
      </c>
      <c r="E50" s="116">
        <f>SUMIFS('Portfolio Register'!$CO$5:$CO$304,'Portfolio Register'!$K$5:$K$304,$B50)</f>
        <v>25057.568969598808</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1</v>
      </c>
      <c r="D69" s="112">
        <f>SUMIFS('Portfolio Register'!$J$5:$J$304,'Portfolio Register'!$K$5:$K$304,$B69)</f>
        <v>280000</v>
      </c>
      <c r="E69" s="112">
        <f>SUMIFS('Portfolio Register'!$CO$5:$CO$304,'Portfolio Register'!$K$5:$K$304,$B69)</f>
        <v>50805.550013513523</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1</v>
      </c>
      <c r="D80" s="116">
        <f>SUMIFS('Portfolio Register'!$J$5:$J$304,'Portfolio Register'!$K$5:$K$304,$B80)</f>
        <v>185000</v>
      </c>
      <c r="E80" s="116">
        <f>SUMIFS('Portfolio Register'!$CO$5:$CO$304,'Portfolio Register'!$K$5:$K$304,$B80)</f>
        <v>3064.5749849213921</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1</v>
      </c>
      <c r="D96" s="112">
        <f>SUMIFS('Portfolio Register'!$J$5:$J$304,'Portfolio Register'!$AS$5:$AS$304,$B96)</f>
        <v>425000</v>
      </c>
      <c r="E96" s="112">
        <f>SUMIFS('Portfolio Register'!$CO$5:$CO$304,'Portfolio Register'!$AS$5:$AS$304,$B96)</f>
        <v>25057.568969598808</v>
      </c>
    </row>
    <row r="97" spans="2:8" x14ac:dyDescent="0.25">
      <c r="B97" s="114" t="str">
        <f>'Natural Catastrophe'!B7</f>
        <v>Tier 2 - Coastal wind (1-25 miles)</v>
      </c>
      <c r="C97" s="115">
        <f>COUNTIFS('Portfolio Register'!$AS$5:$AS$304,$B97)</f>
        <v>1</v>
      </c>
      <c r="D97" s="116">
        <f>SUMIFS('Portfolio Register'!$J$5:$J$304,'Portfolio Register'!$AS$5:$AS$304,$B97)</f>
        <v>185000</v>
      </c>
      <c r="E97" s="116">
        <f>SUMIFS('Portfolio Register'!$CO$5:$CO$304,'Portfolio Register'!$AS$5:$AS$304,$B97)</f>
        <v>3064.5749849213921</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2</v>
      </c>
      <c r="D101" s="116">
        <f>SUMIFS('Portfolio Register'!$J$5:$J$304,'Portfolio Register'!$AS$5:$AS$304,$B101)</f>
        <v>5050000</v>
      </c>
      <c r="E101" s="116">
        <f>SUMIFS('Portfolio Register'!$CO$5:$CO$304,'Portfolio Register'!$AS$5:$AS$304,$B101)</f>
        <v>54395.361339418741</v>
      </c>
    </row>
    <row r="102" spans="2:8" x14ac:dyDescent="0.25">
      <c r="B102" s="27" t="str">
        <f>'Natural Catastrophe'!B12</f>
        <v>Wildfire - WUI high hazard</v>
      </c>
      <c r="C102" s="111">
        <f>COUNTIFS('Portfolio Register'!$AS$5:$AS$304,$B102)</f>
        <v>1</v>
      </c>
      <c r="D102" s="112">
        <f>SUMIFS('Portfolio Register'!$J$5:$J$304,'Portfolio Register'!$AS$5:$AS$304,$B102)</f>
        <v>2200000</v>
      </c>
      <c r="E102" s="112">
        <f>SUMIFS('Portfolio Register'!$CO$5:$CO$304,'Portfolio Register'!$AS$5:$AS$304,$B102)</f>
        <v>80323.87148399037</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1</v>
      </c>
      <c r="D107" s="116">
        <f>SUMIFS('Portfolio Register'!$J$5:$J$304,'Portfolio Register'!$AS$5:$AS$304,$B107)</f>
        <v>280000</v>
      </c>
      <c r="E107" s="116">
        <f>SUMIFS('Portfolio Register'!$CO$5:$CO$304,'Portfolio Register'!$AS$5:$AS$304,$B107)</f>
        <v>50805.550013513523</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2</v>
      </c>
      <c r="D114" s="118">
        <f>IFERROR(C114/$C$5,0)</f>
        <v>0.33333333333333331</v>
      </c>
      <c r="E114" s="112">
        <f>SUMIFS('Portfolio Register'!$CO$5:$CO$304,'Portfolio Register'!$CZ$5:$CZ$304,$B114)</f>
        <v>131129.42149750388</v>
      </c>
      <c r="F114" s="118">
        <f>IFERROR(E114/$C$8,0)</f>
        <v>0.61376694468209869</v>
      </c>
      <c r="G114" s="112">
        <f>SUMIFS('Portfolio Register'!$CM$5:$CM$304,'Portfolio Register'!$CZ$5:$CZ$304,$B114)</f>
        <v>122685.78887149662</v>
      </c>
      <c r="H114" s="112">
        <f>E114-G114</f>
        <v>8443.6326260072528</v>
      </c>
    </row>
    <row r="115" spans="2:8" x14ac:dyDescent="0.25">
      <c r="B115" s="119" t="s">
        <v>616</v>
      </c>
      <c r="C115" s="115">
        <f>COUNTIFS('Portfolio Register'!$CZ$5:$CZ$304,$B115)</f>
        <v>2</v>
      </c>
      <c r="D115" s="120">
        <f>IFERROR(C115/$C$5,0)</f>
        <v>0.33333333333333331</v>
      </c>
      <c r="E115" s="116">
        <f>SUMIFS('Portfolio Register'!$CO$5:$CO$304,'Portfolio Register'!$CZ$5:$CZ$304,$B115)</f>
        <v>70337.197064619846</v>
      </c>
      <c r="F115" s="120">
        <f>IFERROR(E115/$C$8,0)</f>
        <v>0.32922166548775772</v>
      </c>
      <c r="G115" s="116">
        <f>SUMIFS('Portfolio Register'!$CM$5:$CM$304,'Portfolio Register'!$CZ$5:$CZ$304,$B115)</f>
        <v>70337.197064619846</v>
      </c>
      <c r="H115" s="116">
        <f>E115-G115</f>
        <v>0</v>
      </c>
    </row>
    <row r="116" spans="2:8" x14ac:dyDescent="0.25">
      <c r="B116" s="121" t="s">
        <v>617</v>
      </c>
      <c r="C116" s="111">
        <f>COUNTIFS('Portfolio Register'!$CZ$5:$CZ$304,$B116)</f>
        <v>2</v>
      </c>
      <c r="D116" s="118">
        <f>IFERROR(C116/$C$5,0)</f>
        <v>0.33333333333333331</v>
      </c>
      <c r="E116" s="112">
        <f>SUMIFS('Portfolio Register'!$CO$5:$CO$304,'Portfolio Register'!$CZ$5:$CZ$304,$B116)</f>
        <v>12180.308229319091</v>
      </c>
      <c r="F116" s="118">
        <f>IFERROR(E116/$C$8,0)</f>
        <v>5.7011389830143568E-2</v>
      </c>
      <c r="G116" s="112">
        <f>SUMIFS('Portfolio Register'!$CM$5:$CM$304,'Portfolio Register'!$CZ$5:$CZ$304,$B116)</f>
        <v>13390.877274206592</v>
      </c>
      <c r="H116" s="112">
        <f>E116-G116</f>
        <v>-1210.5690448875011</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3.5041559072753303E-2</v>
      </c>
    </row>
    <row r="120" spans="2:8" x14ac:dyDescent="0.25">
      <c r="B120" s="36" t="s">
        <v>620</v>
      </c>
      <c r="C120" s="58">
        <f>SUMIF('Portfolio Register'!$CZ$5:$CZ$304,"Above technical",'Portfolio Register'!$CO$5:$CO$304)-SUMIF('Portfolio Register'!$CZ$5:$CZ$304,"Above technical",'Portfolio Register'!$CM$5:$CM$304)</f>
        <v>8443.6326260072528</v>
      </c>
    </row>
    <row r="121" spans="2:8" x14ac:dyDescent="0.25">
      <c r="B121" s="36" t="s">
        <v>621</v>
      </c>
      <c r="C121" s="58">
        <f>SUMIF('Portfolio Register'!$CZ$5:$CZ$304,"BELOW technical",'Portfolio Register'!$CO$5:$CO$304)-SUMIF('Portfolio Register'!$CZ$5:$CZ$304,"BELOW technical",'Portfolio Register'!$CM$5:$CM$304)</f>
        <v>-1210.5690448875011</v>
      </c>
    </row>
    <row r="122" spans="2:8" x14ac:dyDescent="0.25">
      <c r="B122" s="32" t="s">
        <v>622</v>
      </c>
      <c r="C122" s="76">
        <f>$C$8-$C$7</f>
        <v>7233.0635811197571</v>
      </c>
    </row>
    <row r="123" spans="2:8" x14ac:dyDescent="0.25">
      <c r="B123" s="36" t="s">
        <v>623</v>
      </c>
      <c r="C123" s="123">
        <f>IFERROR(MIN('Portfolio Register'!$CY$5:$CY$304),0)</f>
        <v>-0.12</v>
      </c>
    </row>
    <row r="124" spans="2:8" x14ac:dyDescent="0.25">
      <c r="B124" s="36" t="s">
        <v>624</v>
      </c>
      <c r="C124" s="123">
        <f>IFERROR(MAX('Portfolio Register'!$CY$5:$CY$304),0)</f>
        <v>0.10000000000000009</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1</v>
      </c>
      <c r="D136" s="112">
        <f>SUMIFS('Portfolio Register'!$J$5:$J$304,'Portfolio Register'!$C$5:$C$304,"&gt;="&amp;$B136,'Portfolio Register'!$C$5:$C$304,"&lt;"&amp;EDATE($B136,1))</f>
        <v>425000</v>
      </c>
      <c r="E136" s="112">
        <f>SUMIFS('Portfolio Register'!$CM$5:$CM$304,'Portfolio Register'!$C$5:$C$304,"&gt;="&amp;$B136,'Portfolio Register'!$C$5:$C$304,"&lt;"&amp;EDATE($B136,1))</f>
        <v>25057.568969598808</v>
      </c>
      <c r="F136" s="112">
        <f>SUMIFS('Portfolio Register'!$CO$5:$CO$304,'Portfolio Register'!$C$5:$C$304,"&gt;="&amp;$B136,'Portfolio Register'!$C$5:$C$304,"&lt;"&amp;EDATE($B136,1))</f>
        <v>25057.568969598808</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1</v>
      </c>
      <c r="D137" s="116">
        <f>SUMIFS('Portfolio Register'!$J$5:$J$304,'Portfolio Register'!$C$5:$C$304,"&gt;="&amp;$B137,'Portfolio Register'!$C$5:$C$304,"&lt;"&amp;EDATE($B137,1))</f>
        <v>3600000</v>
      </c>
      <c r="E137" s="116">
        <f>SUMIFS('Portfolio Register'!$CM$5:$CM$304,'Portfolio Register'!$C$5:$C$304,"&gt;="&amp;$B137,'Portfolio Register'!$C$5:$C$304,"&lt;"&amp;EDATE($B137,1))</f>
        <v>45279.628095021042</v>
      </c>
      <c r="F137" s="116">
        <f>SUMIFS('Portfolio Register'!$CO$5:$CO$304,'Portfolio Register'!$C$5:$C$304,"&gt;="&amp;$B137,'Portfolio Register'!$C$5:$C$304,"&lt;"&amp;EDATE($B137,1))</f>
        <v>45279.628095021042</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1</v>
      </c>
      <c r="D138" s="112">
        <f>SUMIFS('Portfolio Register'!$J$5:$J$304,'Portfolio Register'!$C$5:$C$304,"&gt;="&amp;$B138,'Portfolio Register'!$C$5:$C$304,"&lt;"&amp;EDATE($B138,1))</f>
        <v>1450000</v>
      </c>
      <c r="E138" s="112">
        <f>SUMIFS('Portfolio Register'!$CM$5:$CM$304,'Portfolio Register'!$C$5:$C$304,"&gt;="&amp;$B138,'Portfolio Register'!$C$5:$C$304,"&lt;"&amp;EDATE($B138,1))</f>
        <v>9908.4057004322822</v>
      </c>
      <c r="F138" s="112">
        <f>SUMIFS('Portfolio Register'!$CO$5:$CO$304,'Portfolio Register'!$C$5:$C$304,"&gt;="&amp;$B138,'Portfolio Register'!$C$5:$C$304,"&lt;"&amp;EDATE($B138,1))</f>
        <v>9115.7332443976993</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1</v>
      </c>
      <c r="D139" s="116">
        <f>SUMIFS('Portfolio Register'!$J$5:$J$304,'Portfolio Register'!$C$5:$C$304,"&gt;="&amp;$B139,'Portfolio Register'!$C$5:$C$304,"&lt;"&amp;EDATE($B139,1))</f>
        <v>280000</v>
      </c>
      <c r="E139" s="116">
        <f>SUMIFS('Portfolio Register'!$CM$5:$CM$304,'Portfolio Register'!$C$5:$C$304,"&gt;="&amp;$B139,'Portfolio Register'!$C$5:$C$304,"&lt;"&amp;EDATE($B139,1))</f>
        <v>46186.86364864865</v>
      </c>
      <c r="F139" s="116">
        <f>SUMIFS('Portfolio Register'!$CO$5:$CO$304,'Portfolio Register'!$C$5:$C$304,"&gt;="&amp;$B139,'Portfolio Register'!$C$5:$C$304,"&lt;"&amp;EDATE($B139,1))</f>
        <v>50805.550013513523</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1</v>
      </c>
      <c r="D140" s="112">
        <f>SUMIFS('Portfolio Register'!$J$5:$J$304,'Portfolio Register'!$C$5:$C$304,"&gt;="&amp;$B140,'Portfolio Register'!$C$5:$C$304,"&lt;"&amp;EDATE($B140,1))</f>
        <v>185000</v>
      </c>
      <c r="E140" s="112">
        <f>SUMIFS('Portfolio Register'!$CM$5:$CM$304,'Portfolio Register'!$C$5:$C$304,"&gt;="&amp;$B140,'Portfolio Register'!$C$5:$C$304,"&lt;"&amp;EDATE($B140,1))</f>
        <v>3482.471573774309</v>
      </c>
      <c r="F140" s="112">
        <f>SUMIFS('Portfolio Register'!$CO$5:$CO$304,'Portfolio Register'!$C$5:$C$304,"&gt;="&amp;$B140,'Portfolio Register'!$C$5:$C$304,"&lt;"&amp;EDATE($B140,1))</f>
        <v>3064.5749849213921</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1</v>
      </c>
      <c r="D141" s="116">
        <f>SUMIFS('Portfolio Register'!$J$5:$J$304,'Portfolio Register'!$C$5:$C$304,"&gt;="&amp;$B141,'Portfolio Register'!$C$5:$C$304,"&lt;"&amp;EDATE($B141,1))</f>
        <v>2200000</v>
      </c>
      <c r="E141" s="116">
        <f>SUMIFS('Portfolio Register'!$CM$5:$CM$304,'Portfolio Register'!$C$5:$C$304,"&gt;="&amp;$B141,'Portfolio Register'!$C$5:$C$304,"&lt;"&amp;EDATE($B141,1))</f>
        <v>76498.925222847975</v>
      </c>
      <c r="F141" s="116">
        <f>SUMIFS('Portfolio Register'!$CO$5:$CO$304,'Portfolio Register'!$C$5:$C$304,"&gt;="&amp;$B141,'Portfolio Register'!$C$5:$C$304,"&lt;"&amp;EDATE($B141,1))</f>
        <v>80323.87148399037</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