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<sst xmlns="http://schemas.openxmlformats.org/spreadsheetml/2006/main" count="621" uniqueCount="445">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</sst>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Bordereaux'!$D$5:$D$503,"Bound*",'UW Bordereaux'!$AD$5:$AD$503))*$D24</f>
      </c>
      <c r="F24" s="15">
        <f>(SUMIF('UW Bordereaux'!$D$5:$D$503,"Bound*",'UW Bordereaux'!$AB$5:$AB$503))*$D24</f>
      </c>
      <c r="G24" s="15">
        <f>(SUMIF('UW Bordereaux'!$D$5:$D$503,"Bound*",'UW Bordereaux'!$AQ$5:$AQ$503))*$D24</f>
      </c>
    </row>
    <row r="25" spans="2:7" ht="15" customHeight="1" x14ac:dyDescent="0.25">
      <c r="B25" s="16" t="s">
        <v>77</v>
      </c>
      <c r="C25" s="17" t="s">
        <v>78</v>
      </c>
      <c r="D25" s="18">
        <v>0.1</v>
      </c>
      <c r="E25" s="19">
        <f>(SUMIF('UW Bordereaux'!$D$5:$D$503,"Bound*",'UW Bordereaux'!$AD$5:$AD$503))*$D25</f>
      </c>
      <c r="F25" s="19">
        <f>(SUMIF('UW Bordereaux'!$D$5:$D$503,"Bound*",'UW Bordereaux'!$AB$5:$AB$503))*$D25</f>
      </c>
      <c r="G25" s="19">
        <f>(SUMIF('UW Bordereaux'!$D$5:$D$503,"Bound*",'UW Bordereaux'!$AQ$5:$AQ$503))*$D25</f>
      </c>
    </row>
    <row r="26" spans="2:7" ht="15" customHeight="1" x14ac:dyDescent="0.25">
      <c r="B26" s="13" t="s">
        <v>79</v>
      </c>
      <c r="C26" s="14" t="s">
        <v>80</v>
      </c>
      <c r="D26" s="6">
        <v>0.1</v>
      </c>
      <c r="E26" s="15">
        <f>(SUMIF('UW Bordereaux'!$D$5:$D$503,"Bound*",'UW Bordereaux'!$AD$5:$AD$503))*$D26</f>
      </c>
      <c r="F26" s="15">
        <f>(SUMIF('UW Bordereaux'!$D$5:$D$503,"Bound*",'UW Bordereaux'!$AB$5:$AB$503))*$D26</f>
      </c>
      <c r="G26" s="15">
        <f>(SUMIF('UW Bordereaux'!$D$5:$D$503,"Bound*",'UW Bordereaux'!$AQ$5:$AQ$503))*$D26</f>
      </c>
    </row>
    <row r="27" spans="2:7" ht="15" customHeight="1" x14ac:dyDescent="0.25">
      <c r="B27" s="16" t="s">
        <v>81</v>
      </c>
      <c r="C27" s="17" t="s">
        <v>82</v>
      </c>
      <c r="D27" s="18">
        <v>0.1</v>
      </c>
      <c r="E27" s="19">
        <f>(SUMIF('UW Bordereaux'!$D$5:$D$503,"Bound*",'UW Bordereaux'!$AD$5:$AD$503))*$D27</f>
      </c>
      <c r="F27" s="19">
        <f>(SUMIF('UW Bordereaux'!$D$5:$D$503,"Bound*",'UW Bordereaux'!$AB$5:$AB$503))*$D27</f>
      </c>
      <c r="G27" s="19">
        <f>(SUMIF('UW Bordereaux'!$D$5:$D$503,"Bound*",'UW Bordereaux'!$AQ$5:$AQ$503))*$D27</f>
      </c>
    </row>
    <row r="28" spans="2:7" ht="15" customHeight="1" x14ac:dyDescent="0.25">
      <c r="B28" s="13" t="s">
        <v>83</v>
      </c>
      <c r="C28" s="14" t="s">
        <v>84</v>
      </c>
      <c r="D28" s="6">
        <v>0.1</v>
      </c>
      <c r="E28" s="15">
        <f>(SUMIF('UW Bordereaux'!$D$5:$D$503,"Bound*",'UW Bordereaux'!$AD$5:$AD$503))*$D28</f>
      </c>
      <c r="F28" s="15">
        <f>(SUMIF('UW Bordereaux'!$D$5:$D$503,"Bound*",'UW Bordereaux'!$AB$5:$AB$503))*$D28</f>
      </c>
      <c r="G28" s="15">
        <f>(SUMIF('UW Bordereaux'!$D$5:$D$503,"Bound*",'UW Bordereaux'!$AQ$5:$AQ$503))*$D28</f>
      </c>
    </row>
    <row r="29" spans="2:7" ht="15" customHeight="1" x14ac:dyDescent="0.25">
      <c r="B29" s="16" t="s">
        <v>85</v>
      </c>
      <c r="C29" s="17" t="s">
        <v>86</v>
      </c>
      <c r="D29" s="18">
        <v>0.1</v>
      </c>
      <c r="E29" s="19">
        <f>(SUMIF('UW Bordereaux'!$D$5:$D$503,"Bound*",'UW Bordereaux'!$AD$5:$AD$503))*$D29</f>
      </c>
      <c r="F29" s="19">
        <f>(SUMIF('UW Bordereaux'!$D$5:$D$503,"Bound*",'UW Bordereaux'!$AB$5:$AB$503))*$D29</f>
      </c>
      <c r="G29" s="19">
        <f>(SUMIF('UW Bordereaux'!$D$5:$D$503,"Bound*",'UW Bordereaux'!$AQ$5:$AQ$503))*$D29</f>
      </c>
    </row>
    <row r="30" spans="2:7" ht="15" customHeight="1" x14ac:dyDescent="0.25">
      <c r="B30" s="13" t="s">
        <v>87</v>
      </c>
      <c r="C30" s="14" t="s">
        <v>88</v>
      </c>
      <c r="D30" s="6">
        <v>0.1</v>
      </c>
      <c r="E30" s="15">
        <f>(SUMIF('UW Bordereaux'!$D$5:$D$503,"Bound*",'UW Bordereaux'!$AD$5:$AD$503))*$D30</f>
      </c>
      <c r="F30" s="15">
        <f>(SUMIF('UW Bordereaux'!$D$5:$D$503,"Bound*",'UW Bordereaux'!$AB$5:$AB$503))*$D30</f>
      </c>
      <c r="G30" s="15">
        <f>(SUMIF('UW Bordereaux'!$D$5:$D$503,"Bound*",'UW Bordereaux'!$AQ$5:$AQ$503))*$D30</f>
      </c>
    </row>
    <row r="31" spans="2:7" ht="15" customHeight="1" x14ac:dyDescent="0.25">
      <c r="B31" s="16" t="s">
        <v>89</v>
      </c>
      <c r="C31" s="17" t="s">
        <v>90</v>
      </c>
      <c r="D31" s="18">
        <v>0.1</v>
      </c>
      <c r="E31" s="19">
        <f>(SUMIF('UW Bordereaux'!$D$5:$D$503,"Bound*",'UW Bordereaux'!$AD$5:$AD$503))*$D31</f>
      </c>
      <c r="F31" s="19">
        <f>(SUMIF('UW Bordereaux'!$D$5:$D$503,"Bound*",'UW Bordereaux'!$AB$5:$AB$503))*$D31</f>
      </c>
      <c r="G31" s="19">
        <f>(SUMIF('UW Bordereaux'!$D$5:$D$503,"Bound*",'UW Bordereaux'!$AQ$5:$AQ$503))*$D31</f>
      </c>
    </row>
    <row r="32" spans="2:7" ht="15" customHeight="1" x14ac:dyDescent="0.25">
      <c r="B32" s="13" t="s">
        <v>91</v>
      </c>
      <c r="C32" s="14" t="s">
        <v>92</v>
      </c>
      <c r="D32" s="6">
        <v>0.1</v>
      </c>
      <c r="E32" s="15">
        <f>(SUMIF('UW Bordereaux'!$D$5:$D$503,"Bound*",'UW Bordereaux'!$AD$5:$AD$503))*$D32</f>
      </c>
      <c r="F32" s="15">
        <f>(SUMIF('UW Bordereaux'!$D$5:$D$503,"Bound*",'UW Bordereaux'!$AB$5:$AB$503))*$D32</f>
      </c>
      <c r="G32" s="15">
        <f>(SUMIF('UW Bordereaux'!$D$5:$D$503,"Bound*",'UW Bordereaux'!$AQ$5:$AQ$503))*$D32</f>
      </c>
    </row>
    <row r="33" spans="2:7" ht="15" customHeight="1" x14ac:dyDescent="0.25">
      <c r="B33" s="16" t="s">
        <v>93</v>
      </c>
      <c r="C33" s="17" t="s">
        <v>94</v>
      </c>
      <c r="D33" s="18">
        <v>0.1</v>
      </c>
      <c r="E33" s="19">
        <f>(SUMIF('UW Bordereaux'!$D$5:$D$503,"Bound*",'UW Bordereaux'!$AD$5:$AD$503))*$D33</f>
      </c>
      <c r="F33" s="19">
        <f>(SUMIF('UW Bordereaux'!$D$5:$D$503,"Bound*",'UW Bordereaux'!$AB$5:$AB$503))*$D33</f>
      </c>
      <c r="G33" s="19">
        <f>(SUMIF('UW Bordereaux'!$D$5:$D$503,"Bound*",'UW Bordereaux'!$AQ$5:$AQ$503))*$D33</f>
      </c>
    </row>
    <row r="34" spans="2:7" ht="15" customHeight="1" x14ac:dyDescent="0.25">
      <c r="C34" s="20" t="s">
        <v>95</v>
      </c>
      <c r="D34" s="21">
        <f>SUM(D24:D33)</f>
      </c>
      <c r="E34" s="22">
        <f>SUMIF('UW Bordereaux'!$D$5:$D$503,"Bound*",'UW Bordereaux'!$AD$5:$AD$503)</f>
      </c>
      <c r="F34" s="22">
        <f>SUMIF('UW Bordereaux'!$D$5:$D$503,"Bound*",'UW Bordereaux'!$AB$5:$AB$503)</f>
      </c>
      <c r="G34" s="22">
        <f>SUMIF('UW Bordereaux'!$D$5:$D$503,"Bound*",'UW Bordereaux'!$AQ$5:$AQ$503)</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Bordereaux'!$A$5:$A$503)</f>
      </c>
    </row>
    <row r="39" spans="2:7" ht="15" customHeight="1" x14ac:dyDescent="0.25">
      <c r="B39" s="23" t="s">
        <v>98</v>
      </c>
      <c r="C39" s="24">
        <f>COUNTIF('UW Bordereaux'!$D$5:$D$503,"Bound*")</f>
      </c>
    </row>
    <row r="40" spans="2:7" ht="15" customHeight="1" x14ac:dyDescent="0.25">
      <c r="B40" s="23" t="s">
        <v>99</v>
      </c>
      <c r="C40" s="24">
        <f>COUNTIF('UW Bordereaux'!$D$5:$D$503,"Declined")+COUNTIF('UW Bordereaux'!$D$5:$D$503,"Cancelled")+COUNTIF('UW Bordereaux'!$D$5:$D$503,"Lapsed")</f>
      </c>
    </row>
    <row r="41" spans="2:7" ht="15" customHeight="1" x14ac:dyDescent="0.25">
      <c r="B41" s="25" t="s">
        <v>100</v>
      </c>
      <c r="C41" s="26">
        <f>SUMIF('UW Bordereaux'!$D$5:$D$503,"Bound*",'UW Bordereaux'!$AD$5:$AD$503)</f>
      </c>
    </row>
    <row r="42" spans="2:7" ht="15" customHeight="1" x14ac:dyDescent="0.25">
      <c r="B42" s="25" t="s">
        <v>101</v>
      </c>
      <c r="C42" s="26">
        <f>SUMIF('UW Bordereaux'!$D$5:$D$503,"Bound*",'UW Bordereaux'!$AB$5:$AB$503)</f>
      </c>
    </row>
    <row r="43" spans="2:7" ht="15" customHeight="1" x14ac:dyDescent="0.25">
      <c r="B43" s="25" t="s">
        <v>102</v>
      </c>
      <c r="C43" s="27">
        <f>IFERROR((SUMIF('UW Bordereaux'!$D$5:$D$503,"Bound*",'UW Bordereaux'!$AD$5:$AD$503))/(SUMIF('UW Bordereaux'!$D$5:$D$503,"Bound*",'UW Bordereaux'!$AB$5:$AB$503)),0)</f>
      </c>
    </row>
    <row r="44" spans="2:7" ht="15" customHeight="1" x14ac:dyDescent="0.25">
      <c r="B44" s="23" t="s">
        <v>103</v>
      </c>
      <c r="C44" s="28">
        <f>SUMIF('UW Bordereaux'!$D$5:$D$503,"Bound*",'UW Bordereaux'!$AQ$5:$AQ$503)</f>
      </c>
    </row>
    <row r="45" spans="2:7" ht="15" customHeight="1" x14ac:dyDescent="0.25">
      <c r="B45" s="23" t="s">
        <v>104</v>
      </c>
      <c r="C45" s="28">
        <f>SUMIF('UW Bordereaux'!$D$5:$D$503,"Bound*",'UW Bordereaux'!$AE$5:$AE$503)</f>
      </c>
    </row>
    <row r="46" spans="2:7" ht="15" customHeight="1" x14ac:dyDescent="0.25">
      <c r="B46" s="23" t="s">
        <v>105</v>
      </c>
      <c r="C46" s="28">
        <f>SUMIF('UW Bordereaux'!$D$5:$D$503,"Bound*",'UW Bordereaux'!$AH$5:$AH$503)</f>
      </c>
    </row>
    <row r="47" spans="2:7" ht="15" customHeight="1" x14ac:dyDescent="0.25">
      <c r="B47" s="23" t="s">
        <v>106</v>
      </c>
      <c r="C47" s="24">
        <f>COUNTIFS('UW Bordereaux'!$AD$5:$AD$503,"&gt;="&amp;Header!$C$18,'UW Bordereaux'!$D$5:$D$503,"Bound*")</f>
      </c>
    </row>
    <row r="48" spans="2:7" ht="15" customHeight="1" x14ac:dyDescent="0.25">
      <c r="B48" s="23" t="s">
        <v>107</v>
      </c>
      <c r="C48" s="24">
        <f>COUNTIF('UW Bordereaux'!$AL$5:$AL$503,"BEYOND AUTHORITY")</f>
      </c>
    </row>
    <row r="49" spans="2:3" ht="15" customHeight="1" x14ac:dyDescent="0.25">
      <c r="B49" s="23" t="s">
        <v>108</v>
      </c>
      <c r="C49" s="24">
        <f>COUNTA('UW Bordereaux'!$A$5:$A$503)-COUNTIF('UW Bordereaux'!$D$5:$D$503,"Bound*")-COUNTIF('UW Bordereaux'!$D$5:$D$503,"Declined")-COUNTIF('UW Bordereaux'!$D$5:$D$503,"Cancelled")-COUNTIF('UW Bordereaux'!$D$5:$D$503,"Lapsed")-COUNTIF('UW Bordereaux'!$D$5:$D$503,"Quoted*")-COUNTIF('UW Bordereaux'!$D$5:$D$503,"Void")-COUNTIF('UW Bordereaux'!$D$5:$D$503,"Reinstatement")</f>
      </c>
    </row>
    <row r="50" spans="2:3" ht="15" customHeight="1" x14ac:dyDescent="0.25">
      <c r="B50" s="23" t="s">
        <v>109</v>
      </c>
      <c r="C50" s="24">
        <f>COUNTIF('UW Bordereaux'!$AX$5:$AX$503,"FAIL*")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03"/>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CANON-202601-003048</t>
        </is>
      </c>
      <c r="B5" s="30" t="inlineStr">
        <is>
          <t xml:space="preserve">Cassius Bellandi</t>
        </is>
      </c>
      <c r="C5" s="31">
        <v>46053</v>
      </c>
      <c r="D5" s="32" t="inlineStr">
        <is>
          <t xml:space="preserve">Bound - within authority</t>
        </is>
      </c>
      <c r="E5" s="32" t="inlineStr">
        <is>
          <t xml:space="preserve">New business</t>
        </is>
      </c>
      <c r="F5" s="30" t="inlineStr">
        <is>
          <t xml:space="preserve">B1234EXOTIC26</t>
        </is>
      </c>
      <c r="G5" s="33">
        <f>IF($A5="","",IF($C5="","",YEAR($C5)))</f>
      </c>
      <c r="H5" s="34">
        <v>1993</v>
      </c>
      <c r="I5" s="30" t="inlineStr">
        <is>
          <t xml:space="preserve">Maserati</t>
        </is>
      </c>
      <c r="J5" s="30" t="inlineStr">
        <is>
          <t xml:space="preserve">GranTurismo</t>
        </is>
      </c>
      <c r="K5" s="30" t="inlineStr">
        <is>
          <t xml:space="preserve">XJ6YUDZZZKR27JGP8</t>
        </is>
      </c>
      <c r="L5" s="32" t="inlineStr">
        <is>
          <t xml:space="preserve">02 - Sports / GT</t>
        </is>
      </c>
      <c r="M5" s="35">
        <v>280000</v>
      </c>
      <c r="N5" s="32" t="inlineStr">
        <is>
          <t xml:space="preserve">Personal</t>
        </is>
      </c>
      <c r="O5" s="30" t="inlineStr">
        <is>
          <t xml:space="preserve">Personal - regular use</t>
        </is>
      </c>
      <c r="P5" s="30" t="inlineStr">
        <is>
          <t xml:space="preserve">1,000 - 2,500</t>
        </is>
      </c>
      <c r="Q5" s="30" t="inlineStr">
        <is>
          <t xml:space="preserve">Minnesota</t>
        </is>
      </c>
      <c r="R5" s="30" t="inlineStr">
        <is>
          <t xml:space="preserve">55401</t>
        </is>
      </c>
      <c r="S5" s="32" t="inlineStr">
        <is>
          <t xml:space="preserve">Severe convective - hail / tornado (moderate)</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4692.53</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CANON-202601-003051</t>
        </is>
      </c>
      <c r="B6" s="46" t="inlineStr">
        <is>
          <t xml:space="preserve">Ottilie Harrington</t>
        </is>
      </c>
      <c r="C6" s="47">
        <v>46044</v>
      </c>
      <c r="D6" s="48" t="inlineStr">
        <is>
          <t xml:space="preserve">Bound - within authority</t>
        </is>
      </c>
      <c r="E6" s="48" t="inlineStr">
        <is>
          <t xml:space="preserve">New business</t>
        </is>
      </c>
      <c r="F6" s="46" t="inlineStr">
        <is>
          <t xml:space="preserve">B1234EXOTIC26</t>
        </is>
      </c>
      <c r="G6" s="33">
        <f>IF($A6="","",IF($C6="","",YEAR($C6)))</f>
      </c>
      <c r="H6" s="49">
        <v>1978</v>
      </c>
      <c r="I6" s="46" t="inlineStr">
        <is>
          <t xml:space="preserve">Aston Martin</t>
        </is>
      </c>
      <c r="J6" s="46" t="inlineStr">
        <is>
          <t xml:space="preserve">DB5</t>
        </is>
      </c>
      <c r="K6" s="46" t="inlineStr">
        <is>
          <t xml:space="preserve">3LGA8W2JM0MZG1SZX</t>
        </is>
      </c>
      <c r="L6" s="48" t="inlineStr">
        <is>
          <t xml:space="preserve">08 - Modern Classic (1973-1999)</t>
        </is>
      </c>
      <c r="M6" s="50">
        <v>495000</v>
      </c>
      <c r="N6" s="48" t="inlineStr">
        <is>
          <t xml:space="preserve">Personal</t>
        </is>
      </c>
      <c r="O6" s="46" t="inlineStr">
        <is>
          <t xml:space="preserve">Personal - regular use</t>
        </is>
      </c>
      <c r="P6" s="46" t="inlineStr">
        <is>
          <t xml:space="preserve">2,500 - 5,000</t>
        </is>
      </c>
      <c r="Q6" s="46" t="inlineStr">
        <is>
          <t xml:space="preserve">Wyoming</t>
        </is>
      </c>
      <c r="R6" s="46" t="inlineStr">
        <is>
          <t xml:space="preserve">82001</t>
        </is>
      </c>
      <c r="S6" s="48" t="inlineStr">
        <is>
          <t xml:space="preserve">Severe convective - hail alley (high)</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4303.72</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CANON-202601-003053</t>
        </is>
      </c>
      <c r="B7" s="30" t="inlineStr">
        <is>
          <t xml:space="preserve">Everett Underwood</t>
        </is>
      </c>
      <c r="C7" s="31">
        <v>46041</v>
      </c>
      <c r="D7" s="32" t="inlineStr">
        <is>
          <t xml:space="preserve">Bound - within authority</t>
        </is>
      </c>
      <c r="E7" s="32" t="inlineStr">
        <is>
          <t xml:space="preserve">New business</t>
        </is>
      </c>
      <c r="F7" s="30" t="inlineStr">
        <is>
          <t xml:space="preserve">B1234EXOTIC26</t>
        </is>
      </c>
      <c r="G7" s="33">
        <f>IF($A7="","",IF($C7="","",YEAR($C7)))</f>
      </c>
      <c r="H7" s="34">
        <v>1956</v>
      </c>
      <c r="I7" s="30" t="inlineStr">
        <is>
          <t xml:space="preserve">Bentley</t>
        </is>
      </c>
      <c r="J7" s="30" t="inlineStr">
        <is>
          <t xml:space="preserve">Continental GT</t>
        </is>
      </c>
      <c r="K7" s="30" t="inlineStr">
        <is>
          <t xml:space="preserve">ZVAFRSN39EXSE2KJ8</t>
        </is>
      </c>
      <c r="L7" s="32" t="inlineStr">
        <is>
          <t xml:space="preserve">02 - Sports / GT</t>
        </is>
      </c>
      <c r="M7" s="35">
        <v>455000</v>
      </c>
      <c r="N7" s="32" t="inlineStr">
        <is>
          <t xml:space="preserve">Personal</t>
        </is>
      </c>
      <c r="O7" s="30" t="inlineStr">
        <is>
          <t xml:space="preserve">Personal - regular use</t>
        </is>
      </c>
      <c r="P7" s="30" t="inlineStr">
        <is>
          <t xml:space="preserve">Under 1,000</t>
        </is>
      </c>
      <c r="Q7" s="30" t="inlineStr">
        <is>
          <t xml:space="preserve">Utah</t>
        </is>
      </c>
      <c r="R7" s="30" t="inlineStr">
        <is>
          <t xml:space="preserve">84101</t>
        </is>
      </c>
      <c r="S7" s="32" t="inlineStr">
        <is>
          <t xml:space="preserve">Wildfire - WUI high hazard</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7798.66</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CANON-202601-003054</t>
        </is>
      </c>
      <c r="B8" s="46" t="inlineStr">
        <is>
          <t xml:space="preserve">Callum Rourke</t>
        </is>
      </c>
      <c r="C8" s="47">
        <v>46049</v>
      </c>
      <c r="D8" s="48" t="inlineStr">
        <is>
          <t xml:space="preserve">Bound - within authority</t>
        </is>
      </c>
      <c r="E8" s="48" t="inlineStr">
        <is>
          <t xml:space="preserve">New business</t>
        </is>
      </c>
      <c r="F8" s="46" t="inlineStr">
        <is>
          <t xml:space="preserve">B1234EXOTIC26</t>
        </is>
      </c>
      <c r="G8" s="33">
        <f>IF($A8="","",IF($C8="","",YEAR($C8)))</f>
      </c>
      <c r="H8" s="49">
        <v>1960</v>
      </c>
      <c r="I8" s="46" t="inlineStr">
        <is>
          <t xml:space="preserve">Jaguar</t>
        </is>
      </c>
      <c r="J8" s="46" t="inlineStr">
        <is>
          <t xml:space="preserve">E-Type Series 1</t>
        </is>
      </c>
      <c r="K8" s="46" t="inlineStr">
        <is>
          <t xml:space="preserve">L1X9F6CHL29ZNR75G</t>
        </is>
      </c>
      <c r="L8" s="48" t="inlineStr">
        <is>
          <t xml:space="preserve">07 - Post-War Classic (1946-1972)</t>
        </is>
      </c>
      <c r="M8" s="50">
        <v>210000</v>
      </c>
      <c r="N8" s="48" t="inlineStr">
        <is>
          <t xml:space="preserve">Personal</t>
        </is>
      </c>
      <c r="O8" s="46" t="inlineStr">
        <is>
          <t xml:space="preserve">Personal - regular use</t>
        </is>
      </c>
      <c r="P8" s="46" t="inlineStr">
        <is>
          <t xml:space="preserve">1,000 - 2,500</t>
        </is>
      </c>
      <c r="Q8" s="46" t="inlineStr">
        <is>
          <t xml:space="preserve">Maine</t>
        </is>
      </c>
      <c r="R8" s="46" t="inlineStr">
        <is>
          <t xml:space="preserve">04101</t>
        </is>
      </c>
      <c r="S8" s="48" t="inlineStr">
        <is>
          <t xml:space="preserve">Tier 3 - Coastal wind (25-100 miles)</t>
        </is>
      </c>
      <c r="T8" s="36">
        <f>IF($A8="","",IF($S8="","",IFERROR(INDEX('[1]natural catastrophe'!$D$6:$D$17,MATCH($S8,'[1]natural catastrophe'!$B$6:$B$17,0)),"?")))</f>
      </c>
      <c r="U8" s="46" t="inlineStr">
        <is>
          <t xml:space="preserve">2% of agreed value, minimum $10,000</t>
        </is>
      </c>
      <c r="V8" s="48" t="inlineStr">
        <is>
          <t xml:space="preserve">Agreed Value</t>
        </is>
      </c>
      <c r="W8" s="46" t="inlineStr">
        <is>
          <t xml:space="preserve">$1,000</t>
        </is>
      </c>
      <c r="X8" s="48" t="inlineStr">
        <is>
          <t xml:space="preserve">$1,000,000 CSL</t>
        </is>
      </c>
      <c r="Y8" s="46"/>
      <c r="Z8" s="46"/>
      <c r="AA8" s="48" t="inlineStr">
        <is>
          <t xml:space="preserve">Surplus Lines</t>
        </is>
      </c>
      <c r="AB8" s="50">
        <v>2188.42</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CANON-202601-003055</t>
        </is>
      </c>
      <c r="B9" s="30" t="inlineStr">
        <is>
          <t xml:space="preserve">Ramona Delacroix</t>
        </is>
      </c>
      <c r="C9" s="31">
        <v>46035</v>
      </c>
      <c r="D9" s="32" t="inlineStr">
        <is>
          <t xml:space="preserve">Bound - within authority</t>
        </is>
      </c>
      <c r="E9" s="32" t="inlineStr">
        <is>
          <t xml:space="preserve">New business</t>
        </is>
      </c>
      <c r="F9" s="30" t="inlineStr">
        <is>
          <t xml:space="preserve">B1234EXOTIC26</t>
        </is>
      </c>
      <c r="G9" s="33">
        <f>IF($A9="","",IF($C9="","",YEAR($C9)))</f>
      </c>
      <c r="H9" s="34">
        <v>2003</v>
      </c>
      <c r="I9" s="30" t="inlineStr">
        <is>
          <t xml:space="preserve">Aston Martin</t>
        </is>
      </c>
      <c r="J9" s="30" t="inlineStr">
        <is>
          <t xml:space="preserve">DB12</t>
        </is>
      </c>
      <c r="K9" s="30" t="inlineStr">
        <is>
          <t xml:space="preserve">9HSRV48TVK8NJ4DPM</t>
        </is>
      </c>
      <c r="L9" s="32" t="inlineStr">
        <is>
          <t xml:space="preserve">02 - Sports / GT</t>
        </is>
      </c>
      <c r="M9" s="35">
        <v>625000</v>
      </c>
      <c r="N9" s="32" t="inlineStr">
        <is>
          <t xml:space="preserve">Personal</t>
        </is>
      </c>
      <c r="O9" s="30" t="inlineStr">
        <is>
          <t xml:space="preserve">Personal - regular use</t>
        </is>
      </c>
      <c r="P9" s="30" t="inlineStr">
        <is>
          <t xml:space="preserve">Under 1,000</t>
        </is>
      </c>
      <c r="Q9" s="30" t="inlineStr">
        <is>
          <t xml:space="preserve">Illinois</t>
        </is>
      </c>
      <c r="R9" s="30" t="inlineStr">
        <is>
          <t xml:space="preserve">60601</t>
        </is>
      </c>
      <c r="S9" s="32" t="inlineStr">
        <is>
          <t xml:space="preserve">Severe convective - hail / tornado (moderate)</t>
        </is>
      </c>
      <c r="T9" s="36">
        <f>IF($A9="","",IF($S9="","",IFERROR(INDEX('[1]natural catastrophe'!$D$6:$D$17,MATCH($S9,'[1]natural catastrophe'!$B$6:$B$17,0)),"?")))</f>
      </c>
      <c r="U9" s="30" t="inlineStr">
        <is>
          <t xml:space="preserve">$5,000</t>
        </is>
      </c>
      <c r="V9" s="32" t="inlineStr">
        <is>
          <t xml:space="preserve">Agreed Value</t>
        </is>
      </c>
      <c r="W9" s="30" t="inlineStr">
        <is>
          <t xml:space="preserve">$1,000</t>
        </is>
      </c>
      <c r="X9" s="32" t="inlineStr">
        <is>
          <t xml:space="preserve">$1,000,000 CSL</t>
        </is>
      </c>
      <c r="Y9" s="30"/>
      <c r="Z9" s="30"/>
      <c r="AA9" s="32" t="inlineStr">
        <is>
          <t xml:space="preserve">Surplus Lines</t>
        </is>
      </c>
      <c r="AB9" s="35">
        <v>9352.89</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CANON-202601-003056</t>
        </is>
      </c>
      <c r="B10" s="46" t="inlineStr">
        <is>
          <t xml:space="preserve">Priya Rourke</t>
        </is>
      </c>
      <c r="C10" s="47">
        <v>46045</v>
      </c>
      <c r="D10" s="48" t="inlineStr">
        <is>
          <t xml:space="preserve">Bound - within authority</t>
        </is>
      </c>
      <c r="E10" s="48" t="inlineStr">
        <is>
          <t xml:space="preserve">New business</t>
        </is>
      </c>
      <c r="F10" s="46" t="inlineStr">
        <is>
          <t xml:space="preserve">B1234EXOTIC26</t>
        </is>
      </c>
      <c r="G10" s="33">
        <f>IF($A10="","",IF($C10="","",YEAR($C10)))</f>
      </c>
      <c r="H10" s="49">
        <v>1959</v>
      </c>
      <c r="I10" s="46" t="inlineStr">
        <is>
          <t xml:space="preserve">Mercedes-Benz</t>
        </is>
      </c>
      <c r="J10" s="46" t="inlineStr">
        <is>
          <t xml:space="preserve">AMG GT</t>
        </is>
      </c>
      <c r="K10" s="46" t="inlineStr">
        <is>
          <t xml:space="preserve">W3L8L1XA9E9DASE3K</t>
        </is>
      </c>
      <c r="L10" s="48" t="inlineStr">
        <is>
          <t xml:space="preserve">02 - Sports / GT</t>
        </is>
      </c>
      <c r="M10" s="50">
        <v>150000</v>
      </c>
      <c r="N10" s="48" t="inlineStr">
        <is>
          <t xml:space="preserve">Personal</t>
        </is>
      </c>
      <c r="O10" s="46" t="inlineStr">
        <is>
          <t xml:space="preserve">Personal - regular use</t>
        </is>
      </c>
      <c r="P10" s="46" t="inlineStr">
        <is>
          <t xml:space="preserve">2,500 - 5,000</t>
        </is>
      </c>
      <c r="Q10" s="46" t="inlineStr">
        <is>
          <t xml:space="preserve">North Carolina</t>
        </is>
      </c>
      <c r="R10" s="46" t="inlineStr">
        <is>
          <t xml:space="preserve">28202</t>
        </is>
      </c>
      <c r="S10" s="48" t="inlineStr">
        <is>
          <t xml:space="preserve">Tier 2 - Coastal wind (1-25 miles)</t>
        </is>
      </c>
      <c r="T10" s="36">
        <f>IF($A10="","",IF($S10="","",IFERROR(INDEX('[1]natural catastrophe'!$D$6:$D$17,MATCH($S10,'[1]natural catastrophe'!$B$6:$B$17,0)),"?")))</f>
      </c>
      <c r="U10" s="46" t="inlineStr">
        <is>
          <t xml:space="preserve">2% of agreed value, minimum $10,000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2686.52</v>
      </c>
      <c r="AC10" s="51">
        <v>0</v>
      </c>
      <c r="AD10" s="38">
        <f>IF(ISNUMBER($AB10),$AB10*(1+N($AC10)),"")</f>
      </c>
      <c r="AE10" s="50">
        <v>350</v>
      </c>
      <c r="AF10" s="50">
        <v>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CANON-202601-003057</t>
        </is>
      </c>
      <c r="B11" s="30" t="inlineStr">
        <is>
          <t xml:space="preserve">Anouk Montoya</t>
        </is>
      </c>
      <c r="C11" s="31">
        <v>46038</v>
      </c>
      <c r="D11" s="32" t="inlineStr">
        <is>
          <t xml:space="preserve">Bound - within authority</t>
        </is>
      </c>
      <c r="E11" s="32" t="inlineStr">
        <is>
          <t xml:space="preserve">New business</t>
        </is>
      </c>
      <c r="F11" s="30" t="inlineStr">
        <is>
          <t xml:space="preserve">B1234EXOTIC26</t>
        </is>
      </c>
      <c r="G11" s="33">
        <f>IF($A11="","",IF($C11="","",YEAR($C11)))</f>
      </c>
      <c r="H11" s="34">
        <v>1962</v>
      </c>
      <c r="I11" s="30" t="inlineStr">
        <is>
          <t xml:space="preserve">BMW</t>
        </is>
      </c>
      <c r="J11" s="30" t="inlineStr">
        <is>
          <t xml:space="preserve">M8 Competition</t>
        </is>
      </c>
      <c r="K11" s="30" t="inlineStr">
        <is>
          <t xml:space="preserve">LWCA0D9PLH9JMJX3A</t>
        </is>
      </c>
      <c r="L11" s="32" t="inlineStr">
        <is>
          <t xml:space="preserve">02 - Sports / GT</t>
        </is>
      </c>
      <c r="M11" s="35">
        <v>720000</v>
      </c>
      <c r="N11" s="32" t="inlineStr">
        <is>
          <t xml:space="preserve">Personal</t>
        </is>
      </c>
      <c r="O11" s="30" t="inlineStr">
        <is>
          <t xml:space="preserve">Personal - regular use</t>
        </is>
      </c>
      <c r="P11" s="30" t="inlineStr">
        <is>
          <t xml:space="preserve">Under 1,000</t>
        </is>
      </c>
      <c r="Q11" s="30" t="inlineStr">
        <is>
          <t xml:space="preserve">Georgia</t>
        </is>
      </c>
      <c r="R11" s="30" t="inlineStr">
        <is>
          <t xml:space="preserve">30303</t>
        </is>
      </c>
      <c r="S11" s="32" t="inlineStr">
        <is>
          <t xml:space="preserve">Tier 2 - Coastal wind (1-25 miles)</t>
        </is>
      </c>
      <c r="T11" s="36">
        <f>IF($A11="","",IF($S11="","",IFERROR(INDEX('[1]natural catastrophe'!$D$6:$D$17,MATCH($S11,'[1]natural catastrophe'!$B$6:$B$17,0)),"?")))</f>
      </c>
      <c r="U11" s="30" t="inlineStr">
        <is>
          <t xml:space="preserve">2% of agreed value, minimum $10,000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8873.14</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CANON-202601-003058</t>
        </is>
      </c>
      <c r="B12" s="46" t="inlineStr">
        <is>
          <t xml:space="preserve">Saoirse Vasquez</t>
        </is>
      </c>
      <c r="C12" s="47">
        <v>46023</v>
      </c>
      <c r="D12" s="48" t="inlineStr">
        <is>
          <t xml:space="preserve">Bound - within authority</t>
        </is>
      </c>
      <c r="E12" s="48" t="inlineStr">
        <is>
          <t xml:space="preserve">New business</t>
        </is>
      </c>
      <c r="F12" s="46" t="inlineStr">
        <is>
          <t xml:space="preserve">B1234EXOTIC26</t>
        </is>
      </c>
      <c r="G12" s="33">
        <f>IF($A12="","",IF($C12="","",YEAR($C12)))</f>
      </c>
      <c r="H12" s="49">
        <v>1995</v>
      </c>
      <c r="I12" s="46" t="inlineStr">
        <is>
          <t xml:space="preserve">Aston Martin</t>
        </is>
      </c>
      <c r="J12" s="46" t="inlineStr">
        <is>
          <t xml:space="preserve">DB12</t>
        </is>
      </c>
      <c r="K12" s="46" t="inlineStr">
        <is>
          <t xml:space="preserve">DNTW2YAC2PV8ZX25V</t>
        </is>
      </c>
      <c r="L12" s="48" t="inlineStr">
        <is>
          <t xml:space="preserve">02 - Sports / GT</t>
        </is>
      </c>
      <c r="M12" s="50">
        <v>680000</v>
      </c>
      <c r="N12" s="48" t="inlineStr">
        <is>
          <t xml:space="preserve">Personal</t>
        </is>
      </c>
      <c r="O12" s="46" t="inlineStr">
        <is>
          <t xml:space="preserve">Personal - regular use</t>
        </is>
      </c>
      <c r="P12" s="46" t="inlineStr">
        <is>
          <t xml:space="preserve">2,500 - 5,000</t>
        </is>
      </c>
      <c r="Q12" s="46" t="inlineStr">
        <is>
          <t xml:space="preserve">Virginia</t>
        </is>
      </c>
      <c r="R12" s="46" t="inlineStr">
        <is>
          <t xml:space="preserve">23219</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8155.72</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CANON-202601-003061</t>
        </is>
      </c>
      <c r="B13" s="30" t="inlineStr">
        <is>
          <t xml:space="preserve">Everett Castellanos</t>
        </is>
      </c>
      <c r="C13" s="31">
        <v>46043</v>
      </c>
      <c r="D13" s="32" t="inlineStr">
        <is>
          <t xml:space="preserve">Bound - within authority</t>
        </is>
      </c>
      <c r="E13" s="32" t="inlineStr">
        <is>
          <t xml:space="preserve">New business</t>
        </is>
      </c>
      <c r="F13" s="30" t="inlineStr">
        <is>
          <t xml:space="preserve">B1234EXOTIC26</t>
        </is>
      </c>
      <c r="G13" s="33">
        <f>IF($A13="","",IF($C13="","",YEAR($C13)))</f>
      </c>
      <c r="H13" s="34">
        <v>1958</v>
      </c>
      <c r="I13" s="30" t="inlineStr">
        <is>
          <t xml:space="preserve">Aston Martin</t>
        </is>
      </c>
      <c r="J13" s="30" t="inlineStr">
        <is>
          <t xml:space="preserve">DB12</t>
        </is>
      </c>
      <c r="K13" s="30" t="inlineStr">
        <is>
          <t xml:space="preserve">50G2R7MSUJF5XHWM5</t>
        </is>
      </c>
      <c r="L13" s="32" t="inlineStr">
        <is>
          <t xml:space="preserve">02 - Sports / GT</t>
        </is>
      </c>
      <c r="M13" s="35">
        <v>485000</v>
      </c>
      <c r="N13" s="32" t="inlineStr">
        <is>
          <t xml:space="preserve">Personal</t>
        </is>
      </c>
      <c r="O13" s="30" t="inlineStr">
        <is>
          <t xml:space="preserve">Personal - regular use</t>
        </is>
      </c>
      <c r="P13" s="30" t="inlineStr">
        <is>
          <t xml:space="preserve">1,000 - 2,500</t>
        </is>
      </c>
      <c r="Q13" s="30" t="inlineStr">
        <is>
          <t xml:space="preserve">Massachusetts</t>
        </is>
      </c>
      <c r="R13" s="30" t="inlineStr">
        <is>
          <t xml:space="preserve">02108</t>
        </is>
      </c>
      <c r="S13" s="32" t="inlineStr">
        <is>
          <t xml:space="preserve">Tier 3 - Coastal wind (25-100 miles)</t>
        </is>
      </c>
      <c r="T13" s="36">
        <f>IF($A13="","",IF($S13="","",IFERROR(INDEX('[1]natural catastrophe'!$D$6:$D$17,MATCH($S13,'[1]natural catastrophe'!$B$6:$B$17,0)),"?")))</f>
      </c>
      <c r="U13" s="30" t="inlineStr">
        <is>
          <t xml:space="preserve">2% of agreed value, minimum $10,000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7697.09</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CANON-202601-003062</t>
        </is>
      </c>
      <c r="B14" s="46" t="inlineStr">
        <is>
          <t xml:space="preserve">Everett Ashcombe</t>
        </is>
      </c>
      <c r="C14" s="47">
        <v>46044</v>
      </c>
      <c r="D14" s="48" t="inlineStr">
        <is>
          <t xml:space="preserve">Bound - within authority</t>
        </is>
      </c>
      <c r="E14" s="48" t="inlineStr">
        <is>
          <t xml:space="preserve">New business</t>
        </is>
      </c>
      <c r="F14" s="46" t="inlineStr">
        <is>
          <t xml:space="preserve">B1234EXOTIC26</t>
        </is>
      </c>
      <c r="G14" s="33">
        <f>IF($A14="","",IF($C14="","",YEAR($C14)))</f>
      </c>
      <c r="H14" s="49">
        <v>1992</v>
      </c>
      <c r="I14" s="46" t="inlineStr">
        <is>
          <t xml:space="preserve">Bugatti</t>
        </is>
      </c>
      <c r="J14" s="46" t="inlineStr">
        <is>
          <t xml:space="preserve">Type 57</t>
        </is>
      </c>
      <c r="K14" s="46" t="inlineStr">
        <is>
          <t xml:space="preserve">TFF3RF4BMJ4GHS2FU</t>
        </is>
      </c>
      <c r="L14" s="48" t="inlineStr">
        <is>
          <t xml:space="preserve">08 - Modern Classic (1973-1999)</t>
        </is>
      </c>
      <c r="M14" s="50">
        <v>495000</v>
      </c>
      <c r="N14" s="48" t="inlineStr">
        <is>
          <t xml:space="preserve">Personal</t>
        </is>
      </c>
      <c r="O14" s="46" t="inlineStr">
        <is>
          <t xml:space="preserve">Personal - regular use</t>
        </is>
      </c>
      <c r="P14" s="46" t="inlineStr">
        <is>
          <t xml:space="preserve">2,500 - 5,000</t>
        </is>
      </c>
      <c r="Q14" s="46" t="inlineStr">
        <is>
          <t xml:space="preserve">Wyoming</t>
        </is>
      </c>
      <c r="R14" s="46" t="inlineStr">
        <is>
          <t xml:space="preserve">82001</t>
        </is>
      </c>
      <c r="S14" s="48" t="inlineStr">
        <is>
          <t xml:space="preserve">Severe convective - hail alley (high)</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3765.75</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CANON-202601-003063</t>
        </is>
      </c>
      <c r="B15" s="30" t="inlineStr">
        <is>
          <t xml:space="preserve">Fitzgerald Vandermeer</t>
        </is>
      </c>
      <c r="C15" s="31">
        <v>46053</v>
      </c>
      <c r="D15" s="32" t="inlineStr">
        <is>
          <t xml:space="preserve">Bound - within authority</t>
        </is>
      </c>
      <c r="E15" s="32" t="inlineStr">
        <is>
          <t xml:space="preserve">New business</t>
        </is>
      </c>
      <c r="F15" s="30" t="inlineStr">
        <is>
          <t xml:space="preserve">B1234EXOTIC26</t>
        </is>
      </c>
      <c r="G15" s="33">
        <f>IF($A15="","",IF($C15="","",YEAR($C15)))</f>
      </c>
      <c r="H15" s="34">
        <v>2019</v>
      </c>
      <c r="I15" s="30" t="inlineStr">
        <is>
          <t xml:space="preserve">McLaren</t>
        </is>
      </c>
      <c r="J15" s="30" t="inlineStr">
        <is>
          <t xml:space="preserve">750S</t>
        </is>
      </c>
      <c r="K15" s="30" t="inlineStr">
        <is>
          <t xml:space="preserve">02UACS7FG8E52JSNN</t>
        </is>
      </c>
      <c r="L15" s="32" t="inlineStr">
        <is>
          <t xml:space="preserve">03 - Supercar</t>
        </is>
      </c>
      <c r="M15" s="35">
        <v>415000</v>
      </c>
      <c r="N15" s="32" t="inlineStr">
        <is>
          <t xml:space="preserve">Personal</t>
        </is>
      </c>
      <c r="O15" s="30" t="inlineStr">
        <is>
          <t xml:space="preserve">Personal - regular use</t>
        </is>
      </c>
      <c r="P15" s="30" t="inlineStr">
        <is>
          <t xml:space="preserve">2,500 - 5,000</t>
        </is>
      </c>
      <c r="Q15" s="30" t="inlineStr">
        <is>
          <t xml:space="preserve">South Carolina</t>
        </is>
      </c>
      <c r="R15" s="30" t="inlineStr">
        <is>
          <t xml:space="preserve">29401</t>
        </is>
      </c>
      <c r="S15" s="32" t="inlineStr">
        <is>
          <t xml:space="preserve">Tier 2 - Coastal wind (1-25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10018</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CANON-202601-003064</t>
        </is>
      </c>
      <c r="B16" s="46" t="inlineStr">
        <is>
          <t xml:space="preserve">Everett Rourke</t>
        </is>
      </c>
      <c r="C16" s="47">
        <v>46036</v>
      </c>
      <c r="D16" s="48" t="inlineStr">
        <is>
          <t xml:space="preserve">Bound - within authority</t>
        </is>
      </c>
      <c r="E16" s="48" t="inlineStr">
        <is>
          <t xml:space="preserve">New business</t>
        </is>
      </c>
      <c r="F16" s="46" t="inlineStr">
        <is>
          <t xml:space="preserve">B1234EXOTIC26</t>
        </is>
      </c>
      <c r="G16" s="33">
        <f>IF($A16="","",IF($C16="","",YEAR($C16)))</f>
      </c>
      <c r="H16" s="49">
        <v>1965</v>
      </c>
      <c r="I16" s="46" t="inlineStr">
        <is>
          <t xml:space="preserve">Maserati</t>
        </is>
      </c>
      <c r="J16" s="46" t="inlineStr">
        <is>
          <t xml:space="preserve">GranTurismo</t>
        </is>
      </c>
      <c r="K16" s="46" t="inlineStr">
        <is>
          <t xml:space="preserve">PAHFS3GXVBY5UJA9C</t>
        </is>
      </c>
      <c r="L16" s="48" t="inlineStr">
        <is>
          <t xml:space="preserve">02 - Sports / GT</t>
        </is>
      </c>
      <c r="M16" s="50">
        <v>445000</v>
      </c>
      <c r="N16" s="48" t="inlineStr">
        <is>
          <t xml:space="preserve">Personal</t>
        </is>
      </c>
      <c r="O16" s="46" t="inlineStr">
        <is>
          <t xml:space="preserve">Personal - regular use</t>
        </is>
      </c>
      <c r="P16" s="46" t="inlineStr">
        <is>
          <t xml:space="preserve">2,500 - 5,000</t>
        </is>
      </c>
      <c r="Q16" s="46" t="inlineStr">
        <is>
          <t xml:space="preserve">Kentucky</t>
        </is>
      </c>
      <c r="R16" s="46" t="inlineStr">
        <is>
          <t xml:space="preserve">40202</t>
        </is>
      </c>
      <c r="S16" s="48" t="inlineStr">
        <is>
          <t xml:space="preserve">Severe convective - hail / tornado (moderate)</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7570.76</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CANON-202601-003065</t>
        </is>
      </c>
      <c r="B17" s="30" t="inlineStr">
        <is>
          <t xml:space="preserve">Noor Underwood</t>
        </is>
      </c>
      <c r="C17" s="31">
        <v>46034</v>
      </c>
      <c r="D17" s="32" t="inlineStr">
        <is>
          <t xml:space="preserve">Bound - within authority</t>
        </is>
      </c>
      <c r="E17" s="32" t="inlineStr">
        <is>
          <t xml:space="preserve">New business</t>
        </is>
      </c>
      <c r="F17" s="30" t="inlineStr">
        <is>
          <t xml:space="preserve">B1234EXOTIC26</t>
        </is>
      </c>
      <c r="G17" s="33">
        <f>IF($A17="","",IF($C17="","",YEAR($C17)))</f>
      </c>
      <c r="H17" s="34">
        <v>1955</v>
      </c>
      <c r="I17" s="30" t="inlineStr">
        <is>
          <t xml:space="preserve">Bentley</t>
        </is>
      </c>
      <c r="J17" s="30" t="inlineStr">
        <is>
          <t xml:space="preserve">Continental GT</t>
        </is>
      </c>
      <c r="K17" s="30" t="inlineStr">
        <is>
          <t xml:space="preserve">DXAMJJR36ATDSJ72C</t>
        </is>
      </c>
      <c r="L17" s="32" t="inlineStr">
        <is>
          <t xml:space="preserve">02 - Sports / GT</t>
        </is>
      </c>
      <c r="M17" s="35">
        <v>395000</v>
      </c>
      <c r="N17" s="32" t="inlineStr">
        <is>
          <t xml:space="preserve">Personal</t>
        </is>
      </c>
      <c r="O17" s="30" t="inlineStr">
        <is>
          <t xml:space="preserve">Personal - regular use</t>
        </is>
      </c>
      <c r="P17" s="30" t="inlineStr">
        <is>
          <t xml:space="preserve">Under 1,000</t>
        </is>
      </c>
      <c r="Q17" s="30" t="inlineStr">
        <is>
          <t xml:space="preserve">Maine</t>
        </is>
      </c>
      <c r="R17" s="30" t="inlineStr">
        <is>
          <t xml:space="preserve">04101</t>
        </is>
      </c>
      <c r="S17" s="32" t="inlineStr">
        <is>
          <t xml:space="preserve">Tier 3 - Coastal wind (25-100 miles)</t>
        </is>
      </c>
      <c r="T17" s="36">
        <f>IF($A17="","",IF($S17="","",IFERROR(INDEX('[1]natural catastrophe'!$D$6:$D$17,MATCH($S17,'[1]natural catastrophe'!$B$6:$B$17,0)),"?")))</f>
      </c>
      <c r="U17" s="30" t="inlineStr">
        <is>
          <t xml:space="preserve">2% of agreed value, minimum $10,000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5416.21</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CANON-202601-003066</t>
        </is>
      </c>
      <c r="B18" s="46" t="inlineStr">
        <is>
          <t xml:space="preserve">Mireille Bellandi</t>
        </is>
      </c>
      <c r="C18" s="47">
        <v>46030</v>
      </c>
      <c r="D18" s="48" t="inlineStr">
        <is>
          <t xml:space="preserve">Bound - within authority</t>
        </is>
      </c>
      <c r="E18" s="48" t="inlineStr">
        <is>
          <t xml:space="preserve">New business</t>
        </is>
      </c>
      <c r="F18" s="46" t="inlineStr">
        <is>
          <t xml:space="preserve">B1234EXOTIC26</t>
        </is>
      </c>
      <c r="G18" s="33">
        <f>IF($A18="","",IF($C18="","",YEAR($C18)))</f>
      </c>
      <c r="H18" s="49">
        <v>1974</v>
      </c>
      <c r="I18" s="46" t="inlineStr">
        <is>
          <t xml:space="preserve">Maserati</t>
        </is>
      </c>
      <c r="J18" s="46" t="inlineStr">
        <is>
          <t xml:space="preserve">GranTurismo</t>
        </is>
      </c>
      <c r="K18" s="46" t="inlineStr">
        <is>
          <t xml:space="preserve">9GG3KJTPXCXZ8SEPG</t>
        </is>
      </c>
      <c r="L18" s="48" t="inlineStr">
        <is>
          <t xml:space="preserve">02 - Sports / GT</t>
        </is>
      </c>
      <c r="M18" s="50">
        <v>1155000</v>
      </c>
      <c r="N18" s="48" t="inlineStr">
        <is>
          <t xml:space="preserve">Personal</t>
        </is>
      </c>
      <c r="O18" s="46" t="inlineStr">
        <is>
          <t xml:space="preserve">Personal - regular use</t>
        </is>
      </c>
      <c r="P18" s="46" t="inlineStr">
        <is>
          <t xml:space="preserve">2,500 - 5,000</t>
        </is>
      </c>
      <c r="Q18" s="46" t="inlineStr">
        <is>
          <t xml:space="preserve">Minnesota</t>
        </is>
      </c>
      <c r="R18" s="46" t="inlineStr">
        <is>
          <t xml:space="preserve">55401</t>
        </is>
      </c>
      <c r="S18" s="48" t="inlineStr">
        <is>
          <t xml:space="preserve">Severe convective - hail / tornado (moderate)</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14194.89</v>
      </c>
      <c r="AC18" s="51">
        <v>0</v>
      </c>
      <c r="AD18" s="38">
        <f>IF(ISNUMBER($AB18),$AB18*(1+N($AC18)),"")</f>
      </c>
      <c r="AE18" s="50">
        <v>350</v>
      </c>
      <c r="AF18" s="50">
        <v>250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CANON-202601-003067</t>
        </is>
      </c>
      <c r="B19" s="30" t="inlineStr">
        <is>
          <t xml:space="preserve">Callum Merriweather</t>
        </is>
      </c>
      <c r="C19" s="31">
        <v>46031</v>
      </c>
      <c r="D19" s="32" t="inlineStr">
        <is>
          <t xml:space="preserve">Bound - within authority</t>
        </is>
      </c>
      <c r="E19" s="32" t="inlineStr">
        <is>
          <t xml:space="preserve">New business</t>
        </is>
      </c>
      <c r="F19" s="30" t="inlineStr">
        <is>
          <t xml:space="preserve">B1234EXOTIC26</t>
        </is>
      </c>
      <c r="G19" s="33">
        <f>IF($A19="","",IF($C19="","",YEAR($C19)))</f>
      </c>
      <c r="H19" s="34">
        <v>2004</v>
      </c>
      <c r="I19" s="30" t="inlineStr">
        <is>
          <t xml:space="preserve">Porsche</t>
        </is>
      </c>
      <c r="J19" s="30" t="inlineStr">
        <is>
          <t xml:space="preserve">911 Turbo S</t>
        </is>
      </c>
      <c r="K19" s="30" t="inlineStr">
        <is>
          <t xml:space="preserve">B8153TLS774MWV5RE</t>
        </is>
      </c>
      <c r="L19" s="32" t="inlineStr">
        <is>
          <t xml:space="preserve">02 - Sports / GT</t>
        </is>
      </c>
      <c r="M19" s="35">
        <v>740000</v>
      </c>
      <c r="N19" s="32" t="inlineStr">
        <is>
          <t xml:space="preserve">Personal</t>
        </is>
      </c>
      <c r="O19" s="30" t="inlineStr">
        <is>
          <t xml:space="preserve">Personal - regular use</t>
        </is>
      </c>
      <c r="P19" s="30" t="inlineStr">
        <is>
          <t xml:space="preserve">1,000 - 2,500</t>
        </is>
      </c>
      <c r="Q19" s="30" t="inlineStr">
        <is>
          <t xml:space="preserve">Vermont</t>
        </is>
      </c>
      <c r="R19" s="30" t="inlineStr">
        <is>
          <t xml:space="preserve">05601</t>
        </is>
      </c>
      <c r="S19" s="32" t="inlineStr">
        <is>
          <t xml:space="preserve">Low hazard - inland benign</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9933.87</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CANON-202601-003068</t>
        </is>
      </c>
      <c r="B20" s="46" t="inlineStr">
        <is>
          <t xml:space="preserve">Ottilie Thistlewood</t>
        </is>
      </c>
      <c r="C20" s="47">
        <v>46037</v>
      </c>
      <c r="D20" s="48" t="inlineStr">
        <is>
          <t xml:space="preserve">Bound - within authority</t>
        </is>
      </c>
      <c r="E20" s="48" t="inlineStr">
        <is>
          <t xml:space="preserve">New business</t>
        </is>
      </c>
      <c r="F20" s="46" t="inlineStr">
        <is>
          <t xml:space="preserve">B1234EXOTIC26</t>
        </is>
      </c>
      <c r="G20" s="33">
        <f>IF($A20="","",IF($C20="","",YEAR($C20)))</f>
      </c>
      <c r="H20" s="49">
        <v>1983</v>
      </c>
      <c r="I20" s="46" t="inlineStr">
        <is>
          <t xml:space="preserve">Ferrari</t>
        </is>
      </c>
      <c r="J20" s="46" t="inlineStr">
        <is>
          <t xml:space="preserve">SF90 Stradale</t>
        </is>
      </c>
      <c r="K20" s="46" t="inlineStr">
        <is>
          <t xml:space="preserve">5CJ2E5EUX0Z595TU8</t>
        </is>
      </c>
      <c r="L20" s="48" t="inlineStr">
        <is>
          <t xml:space="preserve">03 - Supercar</t>
        </is>
      </c>
      <c r="M20" s="50">
        <v>665000</v>
      </c>
      <c r="N20" s="48" t="inlineStr">
        <is>
          <t xml:space="preserve">Personal</t>
        </is>
      </c>
      <c r="O20" s="46" t="inlineStr">
        <is>
          <t xml:space="preserve">Personal - regular use</t>
        </is>
      </c>
      <c r="P20" s="46" t="inlineStr">
        <is>
          <t xml:space="preserve">1,000 - 2,500</t>
        </is>
      </c>
      <c r="Q20" s="46" t="inlineStr">
        <is>
          <t xml:space="preserve">Montana</t>
        </is>
      </c>
      <c r="R20" s="46" t="inlineStr">
        <is>
          <t xml:space="preserve">59601</t>
        </is>
      </c>
      <c r="S20" s="48" t="inlineStr">
        <is>
          <t xml:space="preserve">Wildfire - WUI high hazard</t>
        </is>
      </c>
      <c r="T20" s="36">
        <f>IF($A20="","",IF($S20="","",IFERROR(INDEX('[1]natural catastrophe'!$D$6:$D$17,MATCH($S20,'[1]natural catastrophe'!$B$6:$B$17,0)),"?")))</f>
      </c>
      <c r="U20" s="46" t="inlineStr">
        <is>
          <t xml:space="preserve">$5,000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9945.84</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CANON-202601-003070</t>
        </is>
      </c>
      <c r="B21" s="30" t="inlineStr">
        <is>
          <t xml:space="preserve">Delphine Fairweather</t>
        </is>
      </c>
      <c r="C21" s="31">
        <v>46052</v>
      </c>
      <c r="D21" s="32" t="inlineStr">
        <is>
          <t xml:space="preserve">Bound - within authority</t>
        </is>
      </c>
      <c r="E21" s="32" t="inlineStr">
        <is>
          <t xml:space="preserve">New business</t>
        </is>
      </c>
      <c r="F21" s="30" t="inlineStr">
        <is>
          <t xml:space="preserve">B1234EXOTIC26</t>
        </is>
      </c>
      <c r="G21" s="33">
        <f>IF($A21="","",IF($C21="","",YEAR($C21)))</f>
      </c>
      <c r="H21" s="34">
        <v>1971</v>
      </c>
      <c r="I21" s="30" t="inlineStr">
        <is>
          <t xml:space="preserve">Jaguar</t>
        </is>
      </c>
      <c r="J21" s="30" t="inlineStr">
        <is>
          <t xml:space="preserve">E-Type Series 1</t>
        </is>
      </c>
      <c r="K21" s="30" t="inlineStr">
        <is>
          <t xml:space="preserve">DLVM08BH6WBP3V6YC</t>
        </is>
      </c>
      <c r="L21" s="32" t="inlineStr">
        <is>
          <t xml:space="preserve">07 - Post-War Classic (1946-1972)</t>
        </is>
      </c>
      <c r="M21" s="35">
        <v>1000000</v>
      </c>
      <c r="N21" s="32" t="inlineStr">
        <is>
          <t xml:space="preserve">Personal</t>
        </is>
      </c>
      <c r="O21" s="30" t="inlineStr">
        <is>
          <t xml:space="preserve">Personal - regular use</t>
        </is>
      </c>
      <c r="P21" s="30" t="inlineStr">
        <is>
          <t xml:space="preserve">1,000 - 2,500</t>
        </is>
      </c>
      <c r="Q21" s="30" t="inlineStr">
        <is>
          <t xml:space="preserve">New York</t>
        </is>
      </c>
      <c r="R21" s="30" t="inlineStr">
        <is>
          <t xml:space="preserve">10022</t>
        </is>
      </c>
      <c r="S21" s="32" t="inlineStr">
        <is>
          <t xml:space="preserve">Tier 3 - Coastal wind (25-100 miles)</t>
        </is>
      </c>
      <c r="T21" s="36">
        <f>IF($A21="","",IF($S21="","",IFERROR(INDEX('[1]natural catastrophe'!$D$6:$D$17,MATCH($S21,'[1]natural catastrophe'!$B$6:$B$17,0)),"?")))</f>
      </c>
      <c r="U21" s="30" t="inlineStr">
        <is>
          <t xml:space="preserve">2% of agreed value, minimum $10,000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8233.93</v>
      </c>
      <c r="AC21" s="37">
        <v>0</v>
      </c>
      <c r="AD21" s="38">
        <f>IF(ISNUMBER($AB21),$AB21*(1+N($AC21)),"")</f>
      </c>
      <c r="AE21" s="35">
        <v>350</v>
      </c>
      <c r="AF21" s="35">
        <v>250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CANON-202601-003071</t>
        </is>
      </c>
      <c r="B22" s="46" t="inlineStr">
        <is>
          <t xml:space="preserve">Aurelio Ashcombe</t>
        </is>
      </c>
      <c r="C22" s="47">
        <v>46037</v>
      </c>
      <c r="D22" s="48" t="inlineStr">
        <is>
          <t xml:space="preserve">Bound - within authority</t>
        </is>
      </c>
      <c r="E22" s="48" t="inlineStr">
        <is>
          <t xml:space="preserve">New business</t>
        </is>
      </c>
      <c r="F22" s="46" t="inlineStr">
        <is>
          <t xml:space="preserve">B1234EXOTIC26</t>
        </is>
      </c>
      <c r="G22" s="33">
        <f>IF($A22="","",IF($C22="","",YEAR($C22)))</f>
      </c>
      <c r="H22" s="49">
        <v>2024</v>
      </c>
      <c r="I22" s="46" t="inlineStr">
        <is>
          <t xml:space="preserve">Jaguar</t>
        </is>
      </c>
      <c r="J22" s="46" t="inlineStr">
        <is>
          <t xml:space="preserve">E-Type Series 1</t>
        </is>
      </c>
      <c r="K22" s="46" t="inlineStr">
        <is>
          <t xml:space="preserve">U2ES0KWPF5FNNPTKX</t>
        </is>
      </c>
      <c r="L22" s="48" t="inlineStr">
        <is>
          <t xml:space="preserve">02 - Sports / GT</t>
        </is>
      </c>
      <c r="M22" s="50">
        <v>1800000</v>
      </c>
      <c r="N22" s="48" t="inlineStr">
        <is>
          <t xml:space="preserve">Personal</t>
        </is>
      </c>
      <c r="O22" s="46" t="inlineStr">
        <is>
          <t xml:space="preserve">Personal - regular use</t>
        </is>
      </c>
      <c r="P22" s="46" t="inlineStr">
        <is>
          <t xml:space="preserve">2,500 - 5,000</t>
        </is>
      </c>
      <c r="Q22" s="46" t="inlineStr">
        <is>
          <t xml:space="preserve">Ohio</t>
        </is>
      </c>
      <c r="R22" s="46" t="inlineStr">
        <is>
          <t xml:space="preserve">43215</t>
        </is>
      </c>
      <c r="S22" s="48" t="inlineStr">
        <is>
          <t xml:space="preserve">Severe convective - hail / tornado (moderate)</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16094.75</v>
      </c>
      <c r="AC22" s="51">
        <v>0</v>
      </c>
      <c r="AD22" s="38">
        <f>IF(ISNUMBER($AB22),$AB22*(1+N($AC22)),"")</f>
      </c>
      <c r="AE22" s="50">
        <v>350</v>
      </c>
      <c r="AF22" s="50">
        <v>250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CANON-202601-003074</t>
        </is>
      </c>
      <c r="B23" s="30" t="inlineStr">
        <is>
          <t xml:space="preserve">Ingrid Underwood</t>
        </is>
      </c>
      <c r="C23" s="31">
        <v>46033</v>
      </c>
      <c r="D23" s="32" t="inlineStr">
        <is>
          <t xml:space="preserve">Bound - within authority</t>
        </is>
      </c>
      <c r="E23" s="32" t="inlineStr">
        <is>
          <t xml:space="preserve">New business</t>
        </is>
      </c>
      <c r="F23" s="30" t="inlineStr">
        <is>
          <t xml:space="preserve">B1234EXOTIC26</t>
        </is>
      </c>
      <c r="G23" s="33">
        <f>IF($A23="","",IF($C23="","",YEAR($C23)))</f>
      </c>
      <c r="H23" s="34">
        <v>2020</v>
      </c>
      <c r="I23" s="30" t="inlineStr">
        <is>
          <t xml:space="preserve">Aston Martin</t>
        </is>
      </c>
      <c r="J23" s="30" t="inlineStr">
        <is>
          <t xml:space="preserve">DB12</t>
        </is>
      </c>
      <c r="K23" s="30" t="inlineStr">
        <is>
          <t xml:space="preserve">60F9GU7MTXNUW9THR</t>
        </is>
      </c>
      <c r="L23" s="32" t="inlineStr">
        <is>
          <t xml:space="preserve">02 - Sports / GT</t>
        </is>
      </c>
      <c r="M23" s="35">
        <v>240000</v>
      </c>
      <c r="N23" s="32" t="inlineStr">
        <is>
          <t xml:space="preserve">Personal</t>
        </is>
      </c>
      <c r="O23" s="30" t="inlineStr">
        <is>
          <t xml:space="preserve">Personal - regular use</t>
        </is>
      </c>
      <c r="P23" s="30" t="inlineStr">
        <is>
          <t xml:space="preserve">Under 1,000</t>
        </is>
      </c>
      <c r="Q23" s="30" t="inlineStr">
        <is>
          <t xml:space="preserve">West Virginia</t>
        </is>
      </c>
      <c r="R23" s="30" t="inlineStr">
        <is>
          <t xml:space="preserve">25301</t>
        </is>
      </c>
      <c r="S23" s="32" t="inlineStr">
        <is>
          <t xml:space="preserve">Low hazard - inland benign</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4971.23</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CANON-202601-003075</t>
        </is>
      </c>
      <c r="B24" s="46" t="inlineStr">
        <is>
          <t xml:space="preserve">Anouk Larsson</t>
        </is>
      </c>
      <c r="C24" s="47">
        <v>46044</v>
      </c>
      <c r="D24" s="48" t="inlineStr">
        <is>
          <t xml:space="preserve">Bound - within authority</t>
        </is>
      </c>
      <c r="E24" s="48" t="inlineStr">
        <is>
          <t xml:space="preserve">New business</t>
        </is>
      </c>
      <c r="F24" s="46" t="inlineStr">
        <is>
          <t xml:space="preserve">B1234EXOTIC26</t>
        </is>
      </c>
      <c r="G24" s="33">
        <f>IF($A24="","",IF($C24="","",YEAR($C24)))</f>
      </c>
      <c r="H24" s="49">
        <v>1965</v>
      </c>
      <c r="I24" s="46" t="inlineStr">
        <is>
          <t xml:space="preserve">Lamborghini</t>
        </is>
      </c>
      <c r="J24" s="46" t="inlineStr">
        <is>
          <t xml:space="preserve">Huracan EVO</t>
        </is>
      </c>
      <c r="K24" s="46" t="inlineStr">
        <is>
          <t xml:space="preserve">FYUBY2ECE8FM7KPU0</t>
        </is>
      </c>
      <c r="L24" s="48" t="inlineStr">
        <is>
          <t xml:space="preserve">03 - Supercar</t>
        </is>
      </c>
      <c r="M24" s="50">
        <v>805000</v>
      </c>
      <c r="N24" s="48" t="inlineStr">
        <is>
          <t xml:space="preserve">Personal</t>
        </is>
      </c>
      <c r="O24" s="46" t="inlineStr">
        <is>
          <t xml:space="preserve">Personal - regular use</t>
        </is>
      </c>
      <c r="P24" s="46" t="inlineStr">
        <is>
          <t xml:space="preserve">2,500 - 5,000</t>
        </is>
      </c>
      <c r="Q24" s="46" t="inlineStr">
        <is>
          <t xml:space="preserve">Maine</t>
        </is>
      </c>
      <c r="R24" s="46" t="inlineStr">
        <is>
          <t xml:space="preserve">04101</t>
        </is>
      </c>
      <c r="S24" s="48" t="inlineStr">
        <is>
          <t xml:space="preserve">Tier 3 - Coastal wind (25-100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13981.59</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CANON-202601-003076</t>
        </is>
      </c>
      <c r="B25" s="30" t="inlineStr">
        <is>
          <t xml:space="preserve">Fitzgerald Montoya</t>
        </is>
      </c>
      <c r="C25" s="31">
        <v>46037</v>
      </c>
      <c r="D25" s="32" t="inlineStr">
        <is>
          <t xml:space="preserve">Bound - within authority</t>
        </is>
      </c>
      <c r="E25" s="32" t="inlineStr">
        <is>
          <t xml:space="preserve">New business</t>
        </is>
      </c>
      <c r="F25" s="30" t="inlineStr">
        <is>
          <t xml:space="preserve">B1234EXOTIC26</t>
        </is>
      </c>
      <c r="G25" s="33">
        <f>IF($A25="","",IF($C25="","",YEAR($C25)))</f>
      </c>
      <c r="H25" s="34">
        <v>2019</v>
      </c>
      <c r="I25" s="30" t="inlineStr">
        <is>
          <t xml:space="preserve">Lamborghini</t>
        </is>
      </c>
      <c r="J25" s="30" t="inlineStr">
        <is>
          <t xml:space="preserve">Huracan EVO</t>
        </is>
      </c>
      <c r="K25" s="30" t="inlineStr">
        <is>
          <t xml:space="preserve">WS8N6JBJA9APZ2665</t>
        </is>
      </c>
      <c r="L25" s="32" t="inlineStr">
        <is>
          <t xml:space="preserve">03 - Supercar</t>
        </is>
      </c>
      <c r="M25" s="35">
        <v>840000</v>
      </c>
      <c r="N25" s="32" t="inlineStr">
        <is>
          <t xml:space="preserve">Personal</t>
        </is>
      </c>
      <c r="O25" s="30" t="inlineStr">
        <is>
          <t xml:space="preserve">Personal - regular use</t>
        </is>
      </c>
      <c r="P25" s="30" t="inlineStr">
        <is>
          <t xml:space="preserve">1,000 - 2,500</t>
        </is>
      </c>
      <c r="Q25" s="30" t="inlineStr">
        <is>
          <t xml:space="preserve">New Jersey</t>
        </is>
      </c>
      <c r="R25" s="30" t="inlineStr">
        <is>
          <t xml:space="preserve">07102</t>
        </is>
      </c>
      <c r="S25" s="32" t="inlineStr">
        <is>
          <t xml:space="preserve">Tier 3 - Coastal wind (25-100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12292.99</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CANON-202601-003077</t>
        </is>
      </c>
      <c r="B26" s="46" t="inlineStr">
        <is>
          <t xml:space="preserve">Aurelio Whitlock</t>
        </is>
      </c>
      <c r="C26" s="47">
        <v>46038</v>
      </c>
      <c r="D26" s="48" t="inlineStr">
        <is>
          <t xml:space="preserve">Bound - within authority</t>
        </is>
      </c>
      <c r="E26" s="48" t="inlineStr">
        <is>
          <t xml:space="preserve">New business</t>
        </is>
      </c>
      <c r="F26" s="46" t="inlineStr">
        <is>
          <t xml:space="preserve">B1234EXOTIC26</t>
        </is>
      </c>
      <c r="G26" s="33">
        <f>IF($A26="","",IF($C26="","",YEAR($C26)))</f>
      </c>
      <c r="H26" s="49">
        <v>1970</v>
      </c>
      <c r="I26" s="46" t="inlineStr">
        <is>
          <t xml:space="preserve">Maserati</t>
        </is>
      </c>
      <c r="J26" s="46" t="inlineStr">
        <is>
          <t xml:space="preserve">GranTurismo</t>
        </is>
      </c>
      <c r="K26" s="46" t="inlineStr">
        <is>
          <t xml:space="preserve">FKAHAD2XLLKCJB9YT</t>
        </is>
      </c>
      <c r="L26" s="48" t="inlineStr">
        <is>
          <t xml:space="preserve">02 - Sports / GT</t>
        </is>
      </c>
      <c r="M26" s="50">
        <v>315000</v>
      </c>
      <c r="N26" s="48" t="inlineStr">
        <is>
          <t xml:space="preserve">Personal</t>
        </is>
      </c>
      <c r="O26" s="46" t="inlineStr">
        <is>
          <t xml:space="preserve">Personal - regular use</t>
        </is>
      </c>
      <c r="P26" s="46" t="inlineStr">
        <is>
          <t xml:space="preserve">Under 1,000</t>
        </is>
      </c>
      <c r="Q26" s="46" t="inlineStr">
        <is>
          <t xml:space="preserve">Massachusetts</t>
        </is>
      </c>
      <c r="R26" s="46" t="inlineStr">
        <is>
          <t xml:space="preserve">02108</t>
        </is>
      </c>
      <c r="S26" s="48" t="inlineStr">
        <is>
          <t xml:space="preserve">Tier 3 - Coastal wind (25-100 miles)</t>
        </is>
      </c>
      <c r="T26" s="36">
        <f>IF($A26="","",IF($S26="","",IFERROR(INDEX('[1]natural catastrophe'!$D$6:$D$17,MATCH($S26,'[1]natural catastrophe'!$B$6:$B$17,0)),"?")))</f>
      </c>
      <c r="U26" s="46" t="inlineStr">
        <is>
          <t xml:space="preserve">2% of agreed value, minimum $10,000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4999.14</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CANON-202601-003078</t>
        </is>
      </c>
      <c r="B27" s="30" t="inlineStr">
        <is>
          <t xml:space="preserve">Saoirse Farkas</t>
        </is>
      </c>
      <c r="C27" s="31">
        <v>46040</v>
      </c>
      <c r="D27" s="32" t="inlineStr">
        <is>
          <t xml:space="preserve">Bound - within authority</t>
        </is>
      </c>
      <c r="E27" s="32" t="inlineStr">
        <is>
          <t xml:space="preserve">New business</t>
        </is>
      </c>
      <c r="F27" s="30" t="inlineStr">
        <is>
          <t xml:space="preserve">B1234EXOTIC26</t>
        </is>
      </c>
      <c r="G27" s="33">
        <f>IF($A27="","",IF($C27="","",YEAR($C27)))</f>
      </c>
      <c r="H27" s="34">
        <v>1957</v>
      </c>
      <c r="I27" s="30" t="inlineStr">
        <is>
          <t xml:space="preserve">Maserati</t>
        </is>
      </c>
      <c r="J27" s="30" t="inlineStr">
        <is>
          <t xml:space="preserve">GranTurismo</t>
        </is>
      </c>
      <c r="K27" s="30" t="inlineStr">
        <is>
          <t xml:space="preserve">80VDBKD4Y6KN1E1YA</t>
        </is>
      </c>
      <c r="L27" s="32" t="inlineStr">
        <is>
          <t xml:space="preserve">02 - Sports / GT</t>
        </is>
      </c>
      <c r="M27" s="35">
        <v>1030000</v>
      </c>
      <c r="N27" s="32" t="inlineStr">
        <is>
          <t xml:space="preserve">Personal</t>
        </is>
      </c>
      <c r="O27" s="30" t="inlineStr">
        <is>
          <t xml:space="preserve">Personal - regular use</t>
        </is>
      </c>
      <c r="P27" s="30" t="inlineStr">
        <is>
          <t xml:space="preserve">Under 1,000</t>
        </is>
      </c>
      <c r="Q27" s="30" t="inlineStr">
        <is>
          <t xml:space="preserve">Colorado</t>
        </is>
      </c>
      <c r="R27" s="30" t="inlineStr">
        <is>
          <t xml:space="preserve">80202</t>
        </is>
      </c>
      <c r="S27" s="32" t="inlineStr">
        <is>
          <t xml:space="preserve">Severe convective - hail alley (high)</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10548.87</v>
      </c>
      <c r="AC27" s="37">
        <v>0</v>
      </c>
      <c r="AD27" s="38">
        <f>IF(ISNUMBER($AB27),$AB27*(1+N($AC27)),"")</f>
      </c>
      <c r="AE27" s="35">
        <v>350</v>
      </c>
      <c r="AF27" s="35">
        <v>250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CANON-202601-003079</t>
        </is>
      </c>
      <c r="B28" s="46" t="inlineStr">
        <is>
          <t xml:space="preserve">Cassius Thistlewood</t>
        </is>
      </c>
      <c r="C28" s="47">
        <v>46037</v>
      </c>
      <c r="D28" s="48" t="inlineStr">
        <is>
          <t xml:space="preserve">Bound - within authority</t>
        </is>
      </c>
      <c r="E28" s="48" t="inlineStr">
        <is>
          <t xml:space="preserve">New business</t>
        </is>
      </c>
      <c r="F28" s="46" t="inlineStr">
        <is>
          <t xml:space="preserve">B1234EXOTIC26</t>
        </is>
      </c>
      <c r="G28" s="33">
        <f>IF($A28="","",IF($C28="","",YEAR($C28)))</f>
      </c>
      <c r="H28" s="49">
        <v>1976</v>
      </c>
      <c r="I28" s="46" t="inlineStr">
        <is>
          <t xml:space="preserve">Ferrari</t>
        </is>
      </c>
      <c r="J28" s="46" t="inlineStr">
        <is>
          <t xml:space="preserve">296 GTB</t>
        </is>
      </c>
      <c r="K28" s="46" t="inlineStr">
        <is>
          <t xml:space="preserve">5E6HM8PP0U99XJ6ZP</t>
        </is>
      </c>
      <c r="L28" s="48" t="inlineStr">
        <is>
          <t xml:space="preserve">03 - Supercar</t>
        </is>
      </c>
      <c r="M28" s="50">
        <v>1235000</v>
      </c>
      <c r="N28" s="48" t="inlineStr">
        <is>
          <t xml:space="preserve">Personal</t>
        </is>
      </c>
      <c r="O28" s="46" t="inlineStr">
        <is>
          <t xml:space="preserve">Personal - regular use</t>
        </is>
      </c>
      <c r="P28" s="46" t="inlineStr">
        <is>
          <t xml:space="preserve">1,000 - 2,500</t>
        </is>
      </c>
      <c r="Q28" s="46" t="inlineStr">
        <is>
          <t xml:space="preserve">Nevada</t>
        </is>
      </c>
      <c r="R28" s="46" t="inlineStr">
        <is>
          <t xml:space="preserve">89101</t>
        </is>
      </c>
      <c r="S28" s="48" t="inlineStr">
        <is>
          <t xml:space="preserve">Wildfire - WUI high hazard</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19568.44</v>
      </c>
      <c r="AC28" s="51">
        <v>0</v>
      </c>
      <c r="AD28" s="38">
        <f>IF(ISNUMBER($AB28),$AB28*(1+N($AC28)),"")</f>
      </c>
      <c r="AE28" s="50">
        <v>350</v>
      </c>
      <c r="AF28" s="50">
        <v>250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CANON-202601-003080</t>
        </is>
      </c>
      <c r="B29" s="30" t="inlineStr">
        <is>
          <t xml:space="preserve">Callum Fairweather</t>
        </is>
      </c>
      <c r="C29" s="31">
        <v>46046</v>
      </c>
      <c r="D29" s="32" t="inlineStr">
        <is>
          <t xml:space="preserve">Bound - within authority</t>
        </is>
      </c>
      <c r="E29" s="32" t="inlineStr">
        <is>
          <t xml:space="preserve">New business</t>
        </is>
      </c>
      <c r="F29" s="30" t="inlineStr">
        <is>
          <t xml:space="preserve">B1234EXOTIC26</t>
        </is>
      </c>
      <c r="G29" s="33">
        <f>IF($A29="","",IF($C29="","",YEAR($C29)))</f>
      </c>
      <c r="H29" s="34">
        <v>1971</v>
      </c>
      <c r="I29" s="30" t="inlineStr">
        <is>
          <t xml:space="preserve">BMW</t>
        </is>
      </c>
      <c r="J29" s="30" t="inlineStr">
        <is>
          <t xml:space="preserve">M8 Competition</t>
        </is>
      </c>
      <c r="K29" s="30" t="inlineStr">
        <is>
          <t xml:space="preserve">8SE4X2UHN2U39YAX1</t>
        </is>
      </c>
      <c r="L29" s="32" t="inlineStr">
        <is>
          <t xml:space="preserve">02 - Sports / GT</t>
        </is>
      </c>
      <c r="M29" s="35">
        <v>480000</v>
      </c>
      <c r="N29" s="32" t="inlineStr">
        <is>
          <t xml:space="preserve">Personal</t>
        </is>
      </c>
      <c r="O29" s="30" t="inlineStr">
        <is>
          <t xml:space="preserve">Personal - regular use</t>
        </is>
      </c>
      <c r="P29" s="30" t="inlineStr">
        <is>
          <t xml:space="preserve">1,000 - 2,500</t>
        </is>
      </c>
      <c r="Q29" s="30" t="inlineStr">
        <is>
          <t xml:space="preserve">Kentucky</t>
        </is>
      </c>
      <c r="R29" s="30" t="inlineStr">
        <is>
          <t xml:space="preserve">40202</t>
        </is>
      </c>
      <c r="S29" s="32" t="inlineStr">
        <is>
          <t xml:space="preserve">Severe convective - hail / tornado (moderate)</t>
        </is>
      </c>
      <c r="T29" s="36">
        <f>IF($A29="","",IF($S29="","",IFERROR(INDEX('[1]natural catastrophe'!$D$6:$D$17,MATCH($S29,'[1]natural catastrophe'!$B$6:$B$17,0)),"?")))</f>
      </c>
      <c r="U29" s="30" t="inlineStr">
        <is>
          <t xml:space="preserve">$5,000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8166.22</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CANON-202601-003081</t>
        </is>
      </c>
      <c r="B30" s="46" t="inlineStr">
        <is>
          <t xml:space="preserve">Beatrix Harrington</t>
        </is>
      </c>
      <c r="C30" s="47">
        <v>46047</v>
      </c>
      <c r="D30" s="48" t="inlineStr">
        <is>
          <t xml:space="preserve">Bound - within authority</t>
        </is>
      </c>
      <c r="E30" s="48" t="inlineStr">
        <is>
          <t xml:space="preserve">New business</t>
        </is>
      </c>
      <c r="F30" s="46" t="inlineStr">
        <is>
          <t xml:space="preserve">B1234EXOTIC26</t>
        </is>
      </c>
      <c r="G30" s="33">
        <f>IF($A30="","",IF($C30="","",YEAR($C30)))</f>
      </c>
      <c r="H30" s="49">
        <v>2005</v>
      </c>
      <c r="I30" s="46" t="inlineStr">
        <is>
          <t xml:space="preserve">Jaguar</t>
        </is>
      </c>
      <c r="J30" s="46" t="inlineStr">
        <is>
          <t xml:space="preserve">E-Type Series 1</t>
        </is>
      </c>
      <c r="K30" s="46" t="inlineStr">
        <is>
          <t xml:space="preserve">VDBBN2W1GETPSP5NV</t>
        </is>
      </c>
      <c r="L30" s="48" t="inlineStr">
        <is>
          <t xml:space="preserve">09 - Youngtimer / Collectible (2000-2010)</t>
        </is>
      </c>
      <c r="M30" s="50">
        <v>765000</v>
      </c>
      <c r="N30" s="48" t="inlineStr">
        <is>
          <t xml:space="preserve">Personal</t>
        </is>
      </c>
      <c r="O30" s="46" t="inlineStr">
        <is>
          <t xml:space="preserve">Personal - regular use</t>
        </is>
      </c>
      <c r="P30" s="46" t="inlineStr">
        <is>
          <t xml:space="preserve">1,000 - 2,500</t>
        </is>
      </c>
      <c r="Q30" s="46" t="inlineStr">
        <is>
          <t xml:space="preserve">Tennessee</t>
        </is>
      </c>
      <c r="R30" s="46" t="inlineStr">
        <is>
          <t xml:space="preserve">37203</t>
        </is>
      </c>
      <c r="S30" s="48" t="inlineStr">
        <is>
          <t xml:space="preserve">Severe convective - hail / tornado (moderate)</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5457.19</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CANON-202601-003082</t>
        </is>
      </c>
      <c r="B31" s="30" t="inlineStr">
        <is>
          <t xml:space="preserve">Priya Ashcombe</t>
        </is>
      </c>
      <c r="C31" s="31">
        <v>46038</v>
      </c>
      <c r="D31" s="32" t="inlineStr">
        <is>
          <t xml:space="preserve">Bound - within authority</t>
        </is>
      </c>
      <c r="E31" s="32" t="inlineStr">
        <is>
          <t xml:space="preserve">New business</t>
        </is>
      </c>
      <c r="F31" s="30" t="inlineStr">
        <is>
          <t xml:space="preserve">B1234EXOTIC26</t>
        </is>
      </c>
      <c r="G31" s="33">
        <f>IF($A31="","",IF($C31="","",YEAR($C31)))</f>
      </c>
      <c r="H31" s="34">
        <v>2018</v>
      </c>
      <c r="I31" s="30" t="inlineStr">
        <is>
          <t xml:space="preserve">Maserati</t>
        </is>
      </c>
      <c r="J31" s="30" t="inlineStr">
        <is>
          <t xml:space="preserve">GranTurismo</t>
        </is>
      </c>
      <c r="K31" s="30" t="inlineStr">
        <is>
          <t xml:space="preserve">N2EAYGABHTU9SW2TF</t>
        </is>
      </c>
      <c r="L31" s="32" t="inlineStr">
        <is>
          <t xml:space="preserve">02 - Sports / GT</t>
        </is>
      </c>
      <c r="M31" s="35">
        <v>1090000</v>
      </c>
      <c r="N31" s="32" t="inlineStr">
        <is>
          <t xml:space="preserve">Personal</t>
        </is>
      </c>
      <c r="O31" s="30" t="inlineStr">
        <is>
          <t xml:space="preserve">Personal - regular use</t>
        </is>
      </c>
      <c r="P31" s="30" t="inlineStr">
        <is>
          <t xml:space="preserve">Under 1,000</t>
        </is>
      </c>
      <c r="Q31" s="30" t="inlineStr">
        <is>
          <t xml:space="preserve">North Dakota</t>
        </is>
      </c>
      <c r="R31" s="30" t="inlineStr">
        <is>
          <t xml:space="preserve">58501</t>
        </is>
      </c>
      <c r="S31" s="32" t="inlineStr">
        <is>
          <t xml:space="preserve">Severe convective - hail alley (high)</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10351.49</v>
      </c>
      <c r="AC31" s="37">
        <v>0</v>
      </c>
      <c r="AD31" s="38">
        <f>IF(ISNUMBER($AB31),$AB31*(1+N($AC31)),"")</f>
      </c>
      <c r="AE31" s="35">
        <v>350</v>
      </c>
      <c r="AF31" s="35">
        <v>250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CANON-202601-003086</t>
        </is>
      </c>
      <c r="B32" s="46" t="inlineStr">
        <is>
          <t xml:space="preserve">Leopold Chattopadhyay</t>
        </is>
      </c>
      <c r="C32" s="47">
        <v>46048</v>
      </c>
      <c r="D32" s="48" t="inlineStr">
        <is>
          <t xml:space="preserve">Bound - within authority</t>
        </is>
      </c>
      <c r="E32" s="48" t="inlineStr">
        <is>
          <t xml:space="preserve">New business</t>
        </is>
      </c>
      <c r="F32" s="46" t="inlineStr">
        <is>
          <t xml:space="preserve">B1234EXOTIC26</t>
        </is>
      </c>
      <c r="G32" s="33">
        <f>IF($A32="","",IF($C32="","",YEAR($C32)))</f>
      </c>
      <c r="H32" s="49">
        <v>1975</v>
      </c>
      <c r="I32" s="46" t="inlineStr">
        <is>
          <t xml:space="preserve">Ferrari</t>
        </is>
      </c>
      <c r="J32" s="46" t="inlineStr">
        <is>
          <t xml:space="preserve">296 GTB</t>
        </is>
      </c>
      <c r="K32" s="46" t="inlineStr">
        <is>
          <t xml:space="preserve">SDUY3P3TF3LBJ0KSS</t>
        </is>
      </c>
      <c r="L32" s="48" t="inlineStr">
        <is>
          <t xml:space="preserve">03 - Supercar</t>
        </is>
      </c>
      <c r="M32" s="50">
        <v>1130000</v>
      </c>
      <c r="N32" s="48" t="inlineStr">
        <is>
          <t xml:space="preserve">Personal</t>
        </is>
      </c>
      <c r="O32" s="46" t="inlineStr">
        <is>
          <t xml:space="preserve">Personal - regular use</t>
        </is>
      </c>
      <c r="P32" s="46" t="inlineStr">
        <is>
          <t xml:space="preserve">Under 1,000</t>
        </is>
      </c>
      <c r="Q32" s="46" t="inlineStr">
        <is>
          <t xml:space="preserve">California</t>
        </is>
      </c>
      <c r="R32" s="46" t="inlineStr">
        <is>
          <t xml:space="preserve">90012</t>
        </is>
      </c>
      <c r="S32" s="48" t="inlineStr">
        <is>
          <t xml:space="preserve">Earthquake - high (CA, Cascadia, New Madrid)</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20659.3</v>
      </c>
      <c r="AC32" s="51">
        <v>0</v>
      </c>
      <c r="AD32" s="38">
        <f>IF(ISNUMBER($AB32),$AB32*(1+N($AC32)),"")</f>
      </c>
      <c r="AE32" s="50">
        <v>350</v>
      </c>
      <c r="AF32" s="50">
        <v>250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CANON-202601-003087</t>
        </is>
      </c>
      <c r="B33" s="30" t="inlineStr">
        <is>
          <t xml:space="preserve">Ramona Bellandi</t>
        </is>
      </c>
      <c r="C33" s="31">
        <v>46025</v>
      </c>
      <c r="D33" s="32" t="inlineStr">
        <is>
          <t xml:space="preserve">Bound - within authority</t>
        </is>
      </c>
      <c r="E33" s="32" t="inlineStr">
        <is>
          <t xml:space="preserve">New business</t>
        </is>
      </c>
      <c r="F33" s="30" t="inlineStr">
        <is>
          <t xml:space="preserve">B1234EXOTIC26</t>
        </is>
      </c>
      <c r="G33" s="33">
        <f>IF($A33="","",IF($C33="","",YEAR($C33)))</f>
      </c>
      <c r="H33" s="34">
        <v>1986</v>
      </c>
      <c r="I33" s="30" t="inlineStr">
        <is>
          <t xml:space="preserve">Bugatti</t>
        </is>
      </c>
      <c r="J33" s="30" t="inlineStr">
        <is>
          <t xml:space="preserve">Type 57</t>
        </is>
      </c>
      <c r="K33" s="30" t="inlineStr">
        <is>
          <t xml:space="preserve">H62FL27ZKULK59FMB</t>
        </is>
      </c>
      <c r="L33" s="32" t="inlineStr">
        <is>
          <t xml:space="preserve">08 - Modern Classic (1973-1999)</t>
        </is>
      </c>
      <c r="M33" s="35">
        <v>1275000</v>
      </c>
      <c r="N33" s="32" t="inlineStr">
        <is>
          <t xml:space="preserve">Personal</t>
        </is>
      </c>
      <c r="O33" s="30" t="inlineStr">
        <is>
          <t xml:space="preserve">Personal - regular use</t>
        </is>
      </c>
      <c r="P33" s="30" t="inlineStr">
        <is>
          <t xml:space="preserve">2,500 - 5,000</t>
        </is>
      </c>
      <c r="Q33" s="30" t="inlineStr">
        <is>
          <t xml:space="preserve">Pennsylvania</t>
        </is>
      </c>
      <c r="R33" s="30" t="inlineStr">
        <is>
          <t xml:space="preserve">19103</t>
        </is>
      </c>
      <c r="S33" s="32" t="inlineStr">
        <is>
          <t xml:space="preserve">Low hazard - inland benign</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7338.42</v>
      </c>
      <c r="AC33" s="37">
        <v>0</v>
      </c>
      <c r="AD33" s="38">
        <f>IF(ISNUMBER($AB33),$AB33*(1+N($AC33)),"")</f>
      </c>
      <c r="AE33" s="35">
        <v>350</v>
      </c>
      <c r="AF33" s="35">
        <v>250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CANON-202601-003088</t>
        </is>
      </c>
      <c r="B34" s="46" t="inlineStr">
        <is>
          <t xml:space="preserve">Sunniva Merriweather</t>
        </is>
      </c>
      <c r="C34" s="47">
        <v>46027</v>
      </c>
      <c r="D34" s="48" t="inlineStr">
        <is>
          <t xml:space="preserve">Bound - within authority</t>
        </is>
      </c>
      <c r="E34" s="48" t="inlineStr">
        <is>
          <t xml:space="preserve">New business</t>
        </is>
      </c>
      <c r="F34" s="46" t="inlineStr">
        <is>
          <t xml:space="preserve">B1234EXOTIC26</t>
        </is>
      </c>
      <c r="G34" s="33">
        <f>IF($A34="","",IF($C34="","",YEAR($C34)))</f>
      </c>
      <c r="H34" s="49">
        <v>1980</v>
      </c>
      <c r="I34" s="46" t="inlineStr">
        <is>
          <t xml:space="preserve">Porsche</t>
        </is>
      </c>
      <c r="J34" s="46" t="inlineStr">
        <is>
          <t xml:space="preserve">911 Turbo S</t>
        </is>
      </c>
      <c r="K34" s="46" t="inlineStr">
        <is>
          <t xml:space="preserve">BU34F5546XF61KSL9</t>
        </is>
      </c>
      <c r="L34" s="48" t="inlineStr">
        <is>
          <t xml:space="preserve">02 - Sports / GT</t>
        </is>
      </c>
      <c r="M34" s="50">
        <v>500000</v>
      </c>
      <c r="N34" s="48" t="inlineStr">
        <is>
          <t xml:space="preserve">Personal</t>
        </is>
      </c>
      <c r="O34" s="46" t="inlineStr">
        <is>
          <t xml:space="preserve">Personal - regular use</t>
        </is>
      </c>
      <c r="P34" s="46" t="inlineStr">
        <is>
          <t xml:space="preserve">2,500 - 5,000</t>
        </is>
      </c>
      <c r="Q34" s="46" t="inlineStr">
        <is>
          <t xml:space="preserve">North Dakota</t>
        </is>
      </c>
      <c r="R34" s="46" t="inlineStr">
        <is>
          <t xml:space="preserve">58501</t>
        </is>
      </c>
      <c r="S34" s="48" t="inlineStr">
        <is>
          <t xml:space="preserve">Severe convective - hail alley (high)</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5611.73</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CANON-202601-003090</t>
        </is>
      </c>
      <c r="B35" s="30" t="inlineStr">
        <is>
          <t xml:space="preserve">Noor Larsson</t>
        </is>
      </c>
      <c r="C35" s="31">
        <v>46035</v>
      </c>
      <c r="D35" s="32" t="inlineStr">
        <is>
          <t xml:space="preserve">Bound - within authority</t>
        </is>
      </c>
      <c r="E35" s="32" t="inlineStr">
        <is>
          <t xml:space="preserve">New business</t>
        </is>
      </c>
      <c r="F35" s="30" t="inlineStr">
        <is>
          <t xml:space="preserve">B1234EXOTIC26</t>
        </is>
      </c>
      <c r="G35" s="33">
        <f>IF($A35="","",IF($C35="","",YEAR($C35)))</f>
      </c>
      <c r="H35" s="34">
        <v>2022</v>
      </c>
      <c r="I35" s="30" t="inlineStr">
        <is>
          <t xml:space="preserve">Porsche</t>
        </is>
      </c>
      <c r="J35" s="30" t="inlineStr">
        <is>
          <t xml:space="preserve">911 Turbo S</t>
        </is>
      </c>
      <c r="K35" s="30" t="inlineStr">
        <is>
          <t xml:space="preserve">L2J39MWHU2YPVB04K</t>
        </is>
      </c>
      <c r="L35" s="32" t="inlineStr">
        <is>
          <t xml:space="preserve">02 - Sports / GT</t>
        </is>
      </c>
      <c r="M35" s="35">
        <v>515000</v>
      </c>
      <c r="N35" s="32" t="inlineStr">
        <is>
          <t xml:space="preserve">Personal</t>
        </is>
      </c>
      <c r="O35" s="30" t="inlineStr">
        <is>
          <t xml:space="preserve">Personal - regular use</t>
        </is>
      </c>
      <c r="P35" s="30" t="inlineStr">
        <is>
          <t xml:space="preserve">2,500 - 5,000</t>
        </is>
      </c>
      <c r="Q35" s="30" t="inlineStr">
        <is>
          <t xml:space="preserve">Pennsylvania</t>
        </is>
      </c>
      <c r="R35" s="30" t="inlineStr">
        <is>
          <t xml:space="preserve">19103</t>
        </is>
      </c>
      <c r="S35" s="32" t="inlineStr">
        <is>
          <t xml:space="preserve">Low hazard - inland benign</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5666.75</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CANON-202601-003091</t>
        </is>
      </c>
      <c r="B36" s="46" t="inlineStr">
        <is>
          <t xml:space="preserve">Fenwick Vasquez</t>
        </is>
      </c>
      <c r="C36" s="47">
        <v>46027</v>
      </c>
      <c r="D36" s="48" t="inlineStr">
        <is>
          <t xml:space="preserve">Bound - within authority</t>
        </is>
      </c>
      <c r="E36" s="48" t="inlineStr">
        <is>
          <t xml:space="preserve">New business</t>
        </is>
      </c>
      <c r="F36" s="46" t="inlineStr">
        <is>
          <t xml:space="preserve">B1234EXOTIC26</t>
        </is>
      </c>
      <c r="G36" s="33">
        <f>IF($A36="","",IF($C36="","",YEAR($C36)))</f>
      </c>
      <c r="H36" s="49">
        <v>1972</v>
      </c>
      <c r="I36" s="46" t="inlineStr">
        <is>
          <t xml:space="preserve">Aston Martin</t>
        </is>
      </c>
      <c r="J36" s="46" t="inlineStr">
        <is>
          <t xml:space="preserve">DB12</t>
        </is>
      </c>
      <c r="K36" s="46" t="inlineStr">
        <is>
          <t xml:space="preserve">1YR891WM7K5Z7FT3T</t>
        </is>
      </c>
      <c r="L36" s="48" t="inlineStr">
        <is>
          <t xml:space="preserve">02 - Sports / GT</t>
        </is>
      </c>
      <c r="M36" s="50">
        <v>1200000</v>
      </c>
      <c r="N36" s="48" t="inlineStr">
        <is>
          <t xml:space="preserve">Personal</t>
        </is>
      </c>
      <c r="O36" s="46" t="inlineStr">
        <is>
          <t xml:space="preserve">Personal - regular use</t>
        </is>
      </c>
      <c r="P36" s="46" t="inlineStr">
        <is>
          <t xml:space="preserve">2,500 - 5,000</t>
        </is>
      </c>
      <c r="Q36" s="46" t="inlineStr">
        <is>
          <t xml:space="preserve">Nevada</t>
        </is>
      </c>
      <c r="R36" s="46" t="inlineStr">
        <is>
          <t xml:space="preserve">89101</t>
        </is>
      </c>
      <c r="S36" s="48" t="inlineStr">
        <is>
          <t xml:space="preserve">Wildfire - WUI high hazard</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13072.03</v>
      </c>
      <c r="AC36" s="51">
        <v>0</v>
      </c>
      <c r="AD36" s="38">
        <f>IF(ISNUMBER($AB36),$AB36*(1+N($AC36)),"")</f>
      </c>
      <c r="AE36" s="50">
        <v>350</v>
      </c>
      <c r="AF36" s="50">
        <v>250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CANON-202601-003092</t>
        </is>
      </c>
      <c r="B37" s="30" t="inlineStr">
        <is>
          <t xml:space="preserve">Wilhelmina Delacroix</t>
        </is>
      </c>
      <c r="C37" s="31">
        <v>46053</v>
      </c>
      <c r="D37" s="32" t="inlineStr">
        <is>
          <t xml:space="preserve">Bound - within authority</t>
        </is>
      </c>
      <c r="E37" s="32" t="inlineStr">
        <is>
          <t xml:space="preserve">New business</t>
        </is>
      </c>
      <c r="F37" s="30" t="inlineStr">
        <is>
          <t xml:space="preserve">B1234EXOTIC26</t>
        </is>
      </c>
      <c r="G37" s="33">
        <f>IF($A37="","",IF($C37="","",YEAR($C37)))</f>
      </c>
      <c r="H37" s="34">
        <v>1984</v>
      </c>
      <c r="I37" s="30" t="inlineStr">
        <is>
          <t xml:space="preserve">Mercedes-Benz</t>
        </is>
      </c>
      <c r="J37" s="30" t="inlineStr">
        <is>
          <t xml:space="preserve">AMG GT</t>
        </is>
      </c>
      <c r="K37" s="30" t="inlineStr">
        <is>
          <t xml:space="preserve">GC7XTH6DPKZ1NCRFP</t>
        </is>
      </c>
      <c r="L37" s="32" t="inlineStr">
        <is>
          <t xml:space="preserve">02 - Sports / GT</t>
        </is>
      </c>
      <c r="M37" s="35">
        <v>945000</v>
      </c>
      <c r="N37" s="32" t="inlineStr">
        <is>
          <t xml:space="preserve">Personal</t>
        </is>
      </c>
      <c r="O37" s="30" t="inlineStr">
        <is>
          <t xml:space="preserve">Personal - regular use</t>
        </is>
      </c>
      <c r="P37" s="30" t="inlineStr">
        <is>
          <t xml:space="preserve">1,000 - 2,500</t>
        </is>
      </c>
      <c r="Q37" s="30" t="inlineStr">
        <is>
          <t xml:space="preserve">Louisiana</t>
        </is>
      </c>
      <c r="R37" s="30" t="inlineStr">
        <is>
          <t xml:space="preserve">70112</t>
        </is>
      </c>
      <c r="S37" s="32" t="inlineStr">
        <is>
          <t xml:space="preserve">Tier 2 - Coastal wind (1-25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12581.83</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CANON-202601-003093</t>
        </is>
      </c>
      <c r="B38" s="46" t="inlineStr">
        <is>
          <t xml:space="preserve">Fitzgerald Montoya</t>
        </is>
      </c>
      <c r="C38" s="47">
        <v>46028</v>
      </c>
      <c r="D38" s="48" t="inlineStr">
        <is>
          <t xml:space="preserve">Bound - within authority</t>
        </is>
      </c>
      <c r="E38" s="48" t="inlineStr">
        <is>
          <t xml:space="preserve">New business</t>
        </is>
      </c>
      <c r="F38" s="46" t="inlineStr">
        <is>
          <t xml:space="preserve">B1234EXOTIC26</t>
        </is>
      </c>
      <c r="G38" s="33">
        <f>IF($A38="","",IF($C38="","",YEAR($C38)))</f>
      </c>
      <c r="H38" s="49">
        <v>1966</v>
      </c>
      <c r="I38" s="46" t="inlineStr">
        <is>
          <t xml:space="preserve">Ferrari</t>
        </is>
      </c>
      <c r="J38" s="46" t="inlineStr">
        <is>
          <t xml:space="preserve">296 GTB</t>
        </is>
      </c>
      <c r="K38" s="46" t="inlineStr">
        <is>
          <t xml:space="preserve">7N4PZZ5VCTFPSDV1Z</t>
        </is>
      </c>
      <c r="L38" s="48" t="inlineStr">
        <is>
          <t xml:space="preserve">03 - Supercar</t>
        </is>
      </c>
      <c r="M38" s="50">
        <v>1525000</v>
      </c>
      <c r="N38" s="48" t="inlineStr">
        <is>
          <t xml:space="preserve">Personal</t>
        </is>
      </c>
      <c r="O38" s="46" t="inlineStr">
        <is>
          <t xml:space="preserve">Personal - regular use</t>
        </is>
      </c>
      <c r="P38" s="46" t="inlineStr">
        <is>
          <t xml:space="preserve">1,000 - 2,500</t>
        </is>
      </c>
      <c r="Q38" s="46" t="inlineStr">
        <is>
          <t xml:space="preserve">Nebraska</t>
        </is>
      </c>
      <c r="R38" s="46" t="inlineStr">
        <is>
          <t xml:space="preserve">68102</t>
        </is>
      </c>
      <c r="S38" s="48" t="inlineStr">
        <is>
          <t xml:space="preserve">Severe convective - hail alley (high)</t>
        </is>
      </c>
      <c r="T38" s="36">
        <f>IF($A38="","",IF($S38="","",IFERROR(INDEX('[1]natural catastrophe'!$D$6:$D$17,MATCH($S38,'[1]natural catastrophe'!$B$6:$B$17,0)),"?")))</f>
      </c>
      <c r="U38" s="46" t="inlineStr">
        <is>
          <t xml:space="preserve">$5,000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26848.29</v>
      </c>
      <c r="AC38" s="51">
        <v>0</v>
      </c>
      <c r="AD38" s="38">
        <f>IF(ISNUMBER($AB38),$AB38*(1+N($AC38)),"")</f>
      </c>
      <c r="AE38" s="50">
        <v>350</v>
      </c>
      <c r="AF38" s="50">
        <v>250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CANON-202601-003095</t>
        </is>
      </c>
      <c r="B39" s="30" t="inlineStr">
        <is>
          <t xml:space="preserve">Priya Chattopadhyay</t>
        </is>
      </c>
      <c r="C39" s="31">
        <v>46045</v>
      </c>
      <c r="D39" s="32" t="inlineStr">
        <is>
          <t xml:space="preserve">Bound - within authority</t>
        </is>
      </c>
      <c r="E39" s="32" t="inlineStr">
        <is>
          <t xml:space="preserve">New business</t>
        </is>
      </c>
      <c r="F39" s="30" t="inlineStr">
        <is>
          <t xml:space="preserve">B1234EXOTIC26</t>
        </is>
      </c>
      <c r="G39" s="33">
        <f>IF($A39="","",IF($C39="","",YEAR($C39)))</f>
      </c>
      <c r="H39" s="34">
        <v>2020</v>
      </c>
      <c r="I39" s="30" t="inlineStr">
        <is>
          <t xml:space="preserve">Porsche</t>
        </is>
      </c>
      <c r="J39" s="30" t="inlineStr">
        <is>
          <t xml:space="preserve">911 Turbo S</t>
        </is>
      </c>
      <c r="K39" s="30" t="inlineStr">
        <is>
          <t xml:space="preserve">JJAKKBR9M77RP1WVZ</t>
        </is>
      </c>
      <c r="L39" s="32" t="inlineStr">
        <is>
          <t xml:space="preserve">02 - Sports / GT</t>
        </is>
      </c>
      <c r="M39" s="35">
        <v>495000</v>
      </c>
      <c r="N39" s="32" t="inlineStr">
        <is>
          <t xml:space="preserve">Personal</t>
        </is>
      </c>
      <c r="O39" s="30" t="inlineStr">
        <is>
          <t xml:space="preserve">Personal - regular use</t>
        </is>
      </c>
      <c r="P39" s="30" t="inlineStr">
        <is>
          <t xml:space="preserve">1,000 - 2,500</t>
        </is>
      </c>
      <c r="Q39" s="30" t="inlineStr">
        <is>
          <t xml:space="preserve">Idaho</t>
        </is>
      </c>
      <c r="R39" s="30" t="inlineStr">
        <is>
          <t xml:space="preserve">83702</t>
        </is>
      </c>
      <c r="S39" s="32" t="inlineStr">
        <is>
          <t xml:space="preserve">Wildfire - WUI high hazard</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6221.79</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CANON-202601-003096</t>
        </is>
      </c>
      <c r="B40" s="46" t="inlineStr">
        <is>
          <t xml:space="preserve">Lorenzo Thistlewood</t>
        </is>
      </c>
      <c r="C40" s="47">
        <v>46028</v>
      </c>
      <c r="D40" s="48" t="inlineStr">
        <is>
          <t xml:space="preserve">Bound - within authority</t>
        </is>
      </c>
      <c r="E40" s="48" t="inlineStr">
        <is>
          <t xml:space="preserve">New business</t>
        </is>
      </c>
      <c r="F40" s="46" t="inlineStr">
        <is>
          <t xml:space="preserve">B1234EXOTIC26</t>
        </is>
      </c>
      <c r="G40" s="33">
        <f>IF($A40="","",IF($C40="","",YEAR($C40)))</f>
      </c>
      <c r="H40" s="49">
        <v>2017</v>
      </c>
      <c r="I40" s="46" t="inlineStr">
        <is>
          <t xml:space="preserve">Ferrari</t>
        </is>
      </c>
      <c r="J40" s="46" t="inlineStr">
        <is>
          <t xml:space="preserve">SF90 Stradale</t>
        </is>
      </c>
      <c r="K40" s="46" t="inlineStr">
        <is>
          <t xml:space="preserve">LSCUB3LSJ5MK1L811</t>
        </is>
      </c>
      <c r="L40" s="48" t="inlineStr">
        <is>
          <t xml:space="preserve">03 - Supercar</t>
        </is>
      </c>
      <c r="M40" s="50">
        <v>380000</v>
      </c>
      <c r="N40" s="48" t="inlineStr">
        <is>
          <t xml:space="preserve">Personal</t>
        </is>
      </c>
      <c r="O40" s="46" t="inlineStr">
        <is>
          <t xml:space="preserve">Personal - regular use</t>
        </is>
      </c>
      <c r="P40" s="46" t="inlineStr">
        <is>
          <t xml:space="preserve">2,500 - 5,000</t>
        </is>
      </c>
      <c r="Q40" s="46" t="inlineStr">
        <is>
          <t xml:space="preserve">California</t>
        </is>
      </c>
      <c r="R40" s="46" t="inlineStr">
        <is>
          <t xml:space="preserve">90012</t>
        </is>
      </c>
      <c r="S40" s="48" t="inlineStr">
        <is>
          <t xml:space="preserve">Earthquake - high (CA, Cascadia, New Madrid)</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9986.85</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CANON-202601-003097</t>
        </is>
      </c>
      <c r="B41" s="30" t="inlineStr">
        <is>
          <t xml:space="preserve">Callum Bellandi</t>
        </is>
      </c>
      <c r="C41" s="31">
        <v>46025</v>
      </c>
      <c r="D41" s="32" t="inlineStr">
        <is>
          <t xml:space="preserve">Bound - within authority</t>
        </is>
      </c>
      <c r="E41" s="32" t="inlineStr">
        <is>
          <t xml:space="preserve">New business</t>
        </is>
      </c>
      <c r="F41" s="30" t="inlineStr">
        <is>
          <t xml:space="preserve">B1234EXOTIC26</t>
        </is>
      </c>
      <c r="G41" s="33">
        <f>IF($A41="","",IF($C41="","",YEAR($C41)))</f>
      </c>
      <c r="H41" s="34">
        <v>1991</v>
      </c>
      <c r="I41" s="30" t="inlineStr">
        <is>
          <t xml:space="preserve">Jaguar</t>
        </is>
      </c>
      <c r="J41" s="30" t="inlineStr">
        <is>
          <t xml:space="preserve">E-Type Series 1</t>
        </is>
      </c>
      <c r="K41" s="30" t="inlineStr">
        <is>
          <t xml:space="preserve">GCBAK8DD4CV9ECNP2</t>
        </is>
      </c>
      <c r="L41" s="32" t="inlineStr">
        <is>
          <t xml:space="preserve">08 - Modern Classic (1973-1999)</t>
        </is>
      </c>
      <c r="M41" s="35">
        <v>440000</v>
      </c>
      <c r="N41" s="32" t="inlineStr">
        <is>
          <t xml:space="preserve">Personal</t>
        </is>
      </c>
      <c r="O41" s="30" t="inlineStr">
        <is>
          <t xml:space="preserve">Personal - regular use</t>
        </is>
      </c>
      <c r="P41" s="30" t="inlineStr">
        <is>
          <t xml:space="preserve">1,000 - 2,500</t>
        </is>
      </c>
      <c r="Q41" s="30" t="inlineStr">
        <is>
          <t xml:space="preserve">Minnesota</t>
        </is>
      </c>
      <c r="R41" s="30" t="inlineStr">
        <is>
          <t xml:space="preserve">55401</t>
        </is>
      </c>
      <c r="S41" s="32" t="inlineStr">
        <is>
          <t xml:space="preserve">Severe convective - hail / tornado (moderate)</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4719.34</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CANON-202601-003099</t>
        </is>
      </c>
      <c r="B42" s="46" t="inlineStr">
        <is>
          <t xml:space="preserve">Saoirse Kingsford</t>
        </is>
      </c>
      <c r="C42" s="47">
        <v>46035</v>
      </c>
      <c r="D42" s="48" t="inlineStr">
        <is>
          <t xml:space="preserve">Bound - within authority</t>
        </is>
      </c>
      <c r="E42" s="48" t="inlineStr">
        <is>
          <t xml:space="preserve">New business</t>
        </is>
      </c>
      <c r="F42" s="46" t="inlineStr">
        <is>
          <t xml:space="preserve">B1234EXOTIC26</t>
        </is>
      </c>
      <c r="G42" s="33">
        <f>IF($A42="","",IF($C42="","",YEAR($C42)))</f>
      </c>
      <c r="H42" s="49">
        <v>2009</v>
      </c>
      <c r="I42" s="46" t="inlineStr">
        <is>
          <t xml:space="preserve">Lamborghini</t>
        </is>
      </c>
      <c r="J42" s="46" t="inlineStr">
        <is>
          <t xml:space="preserve">Huracan EVO</t>
        </is>
      </c>
      <c r="K42" s="46" t="inlineStr">
        <is>
          <t xml:space="preserve">8H3FYETCYXE9G4US1</t>
        </is>
      </c>
      <c r="L42" s="48" t="inlineStr">
        <is>
          <t xml:space="preserve">03 - Supercar</t>
        </is>
      </c>
      <c r="M42" s="50">
        <v>1465000</v>
      </c>
      <c r="N42" s="48" t="inlineStr">
        <is>
          <t xml:space="preserve">Personal</t>
        </is>
      </c>
      <c r="O42" s="46" t="inlineStr">
        <is>
          <t xml:space="preserve">Personal - regular use</t>
        </is>
      </c>
      <c r="P42" s="46" t="inlineStr">
        <is>
          <t xml:space="preserve">Under 1,000</t>
        </is>
      </c>
      <c r="Q42" s="46" t="inlineStr">
        <is>
          <t xml:space="preserve">Colorado</t>
        </is>
      </c>
      <c r="R42" s="46" t="inlineStr">
        <is>
          <t xml:space="preserve">80202</t>
        </is>
      </c>
      <c r="S42" s="48" t="inlineStr">
        <is>
          <t xml:space="preserve">Severe convective - hail alley (high)</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21823.97</v>
      </c>
      <c r="AC42" s="51">
        <v>0</v>
      </c>
      <c r="AD42" s="38">
        <f>IF(ISNUMBER($AB42),$AB42*(1+N($AC42)),"")</f>
      </c>
      <c r="AE42" s="50">
        <v>350</v>
      </c>
      <c r="AF42" s="50">
        <v>250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CANON-202601-003100</t>
        </is>
      </c>
      <c r="B43" s="30" t="inlineStr">
        <is>
          <t xml:space="preserve">Lorenzo Chattopadhyay</t>
        </is>
      </c>
      <c r="C43" s="31">
        <v>46046</v>
      </c>
      <c r="D43" s="32" t="inlineStr">
        <is>
          <t xml:space="preserve">Bound - within authority</t>
        </is>
      </c>
      <c r="E43" s="32" t="inlineStr">
        <is>
          <t xml:space="preserve">New business</t>
        </is>
      </c>
      <c r="F43" s="30" t="inlineStr">
        <is>
          <t xml:space="preserve">B1234EXOTIC26</t>
        </is>
      </c>
      <c r="G43" s="33">
        <f>IF($A43="","",IF($C43="","",YEAR($C43)))</f>
      </c>
      <c r="H43" s="34">
        <v>1994</v>
      </c>
      <c r="I43" s="30" t="inlineStr">
        <is>
          <t xml:space="preserve">Maserati</t>
        </is>
      </c>
      <c r="J43" s="30" t="inlineStr">
        <is>
          <t xml:space="preserve">GranTurismo</t>
        </is>
      </c>
      <c r="K43" s="30" t="inlineStr">
        <is>
          <t xml:space="preserve">TMWDPFFJ7USS1FES4</t>
        </is>
      </c>
      <c r="L43" s="32" t="inlineStr">
        <is>
          <t xml:space="preserve">02 - Sports / GT</t>
        </is>
      </c>
      <c r="M43" s="35">
        <v>805000</v>
      </c>
      <c r="N43" s="32" t="inlineStr">
        <is>
          <t xml:space="preserve">Personal</t>
        </is>
      </c>
      <c r="O43" s="30" t="inlineStr">
        <is>
          <t xml:space="preserve">Personal - regular use</t>
        </is>
      </c>
      <c r="P43" s="30" t="inlineStr">
        <is>
          <t xml:space="preserve">2,500 - 5,000</t>
        </is>
      </c>
      <c r="Q43" s="30" t="inlineStr">
        <is>
          <t xml:space="preserve">New Mexico</t>
        </is>
      </c>
      <c r="R43" s="30" t="inlineStr">
        <is>
          <t xml:space="preserve">87501</t>
        </is>
      </c>
      <c r="S43" s="32" t="inlineStr">
        <is>
          <t xml:space="preserve">Wildfire - WUI high hazard</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11337.9</v>
      </c>
      <c r="AC43" s="37">
        <v>0</v>
      </c>
      <c r="AD43" s="38">
        <f>IF(ISNUMBER($AB43),$AB43*(1+N($AC43)),"")</f>
      </c>
      <c r="AE43" s="35">
        <v>350</v>
      </c>
      <c r="AF43" s="35">
        <v>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CANON-202601-003101</t>
        </is>
      </c>
      <c r="B44" s="46" t="inlineStr">
        <is>
          <t xml:space="preserve">Emiliano Pennington</t>
        </is>
      </c>
      <c r="C44" s="47">
        <v>46032</v>
      </c>
      <c r="D44" s="48" t="inlineStr">
        <is>
          <t xml:space="preserve">Bound - within authority</t>
        </is>
      </c>
      <c r="E44" s="48" t="inlineStr">
        <is>
          <t xml:space="preserve">New business</t>
        </is>
      </c>
      <c r="F44" s="46" t="inlineStr">
        <is>
          <t xml:space="preserve">B1234EXOTIC26</t>
        </is>
      </c>
      <c r="G44" s="33">
        <f>IF($A44="","",IF($C44="","",YEAR($C44)))</f>
      </c>
      <c r="H44" s="49">
        <v>1955</v>
      </c>
      <c r="I44" s="46" t="inlineStr">
        <is>
          <t xml:space="preserve">Ferrari</t>
        </is>
      </c>
      <c r="J44" s="46" t="inlineStr">
        <is>
          <t xml:space="preserve">296 GTB</t>
        </is>
      </c>
      <c r="K44" s="46" t="inlineStr">
        <is>
          <t xml:space="preserve">6WADYAYR91PGW7XKY</t>
        </is>
      </c>
      <c r="L44" s="48" t="inlineStr">
        <is>
          <t xml:space="preserve">03 - Supercar</t>
        </is>
      </c>
      <c r="M44" s="50">
        <v>690000</v>
      </c>
      <c r="N44" s="48" t="inlineStr">
        <is>
          <t xml:space="preserve">Personal</t>
        </is>
      </c>
      <c r="O44" s="46" t="inlineStr">
        <is>
          <t xml:space="preserve">Personal - regular use</t>
        </is>
      </c>
      <c r="P44" s="46" t="inlineStr">
        <is>
          <t xml:space="preserve">1,000 - 2,500</t>
        </is>
      </c>
      <c r="Q44" s="46" t="inlineStr">
        <is>
          <t xml:space="preserve">Texas</t>
        </is>
      </c>
      <c r="R44" s="46" t="inlineStr">
        <is>
          <t xml:space="preserve">75201</t>
        </is>
      </c>
      <c r="S44" s="48" t="inlineStr">
        <is>
          <t xml:space="preserve">Tier 2 - Coastal wind (1-25 miles)</t>
        </is>
      </c>
      <c r="T44" s="36">
        <f>IF($A44="","",IF($S44="","",IFERROR(INDEX('[1]natural catastrophe'!$D$6:$D$17,MATCH($S44,'[1]natural catastrophe'!$B$6:$B$17,0)),"?")))</f>
      </c>
      <c r="U44" s="46" t="inlineStr">
        <is>
          <t xml:space="preserve">2% of agreed value, minimum $10,000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12760.97</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CANON-202601-003102</t>
        </is>
      </c>
      <c r="B45" s="30" t="inlineStr">
        <is>
          <t xml:space="preserve">Delphine Delacroix</t>
        </is>
      </c>
      <c r="C45" s="31">
        <v>46044</v>
      </c>
      <c r="D45" s="32" t="inlineStr">
        <is>
          <t xml:space="preserve">Bound - within authority</t>
        </is>
      </c>
      <c r="E45" s="32" t="inlineStr">
        <is>
          <t xml:space="preserve">New business</t>
        </is>
      </c>
      <c r="F45" s="30" t="inlineStr">
        <is>
          <t xml:space="preserve">B1234EXOTIC26</t>
        </is>
      </c>
      <c r="G45" s="33">
        <f>IF($A45="","",IF($C45="","",YEAR($C45)))</f>
      </c>
      <c r="H45" s="34">
        <v>2004</v>
      </c>
      <c r="I45" s="30" t="inlineStr">
        <is>
          <t xml:space="preserve">Singer</t>
        </is>
      </c>
      <c r="J45" s="30" t="inlineStr">
        <is>
          <t xml:space="preserve">911 Reimagined</t>
        </is>
      </c>
      <c r="K45" s="30" t="inlineStr">
        <is>
          <t xml:space="preserve">1F3HUB9CBGCEKKJTS</t>
        </is>
      </c>
      <c r="L45" s="32" t="inlineStr">
        <is>
          <t xml:space="preserve">11 - Restomod / Coachbuilt / Bespoke</t>
        </is>
      </c>
      <c r="M45" s="35">
        <v>845000</v>
      </c>
      <c r="N45" s="32" t="inlineStr">
        <is>
          <t xml:space="preserve">Personal</t>
        </is>
      </c>
      <c r="O45" s="30" t="inlineStr">
        <is>
          <t xml:space="preserve">Personal - regular use</t>
        </is>
      </c>
      <c r="P45" s="30" t="inlineStr">
        <is>
          <t xml:space="preserve">1,000 - 2,500</t>
        </is>
      </c>
      <c r="Q45" s="30" t="inlineStr">
        <is>
          <t xml:space="preserve">Idaho</t>
        </is>
      </c>
      <c r="R45" s="30" t="inlineStr">
        <is>
          <t xml:space="preserve">83702</t>
        </is>
      </c>
      <c r="S45" s="32" t="inlineStr">
        <is>
          <t xml:space="preserve">Wildfire - WUI high hazard</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11045.87</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CANON-202601-003103</t>
        </is>
      </c>
      <c r="B46" s="46" t="inlineStr">
        <is>
          <t xml:space="preserve">Mireille Rourke</t>
        </is>
      </c>
      <c r="C46" s="47">
        <v>46032</v>
      </c>
      <c r="D46" s="48" t="inlineStr">
        <is>
          <t xml:space="preserve">Bound - within authority</t>
        </is>
      </c>
      <c r="E46" s="48" t="inlineStr">
        <is>
          <t xml:space="preserve">New business</t>
        </is>
      </c>
      <c r="F46" s="46" t="inlineStr">
        <is>
          <t xml:space="preserve">B1234EXOTIC26</t>
        </is>
      </c>
      <c r="G46" s="33">
        <f>IF($A46="","",IF($C46="","",YEAR($C46)))</f>
      </c>
      <c r="H46" s="49">
        <v>1955</v>
      </c>
      <c r="I46" s="46" t="inlineStr">
        <is>
          <t xml:space="preserve">Mercedes-Benz</t>
        </is>
      </c>
      <c r="J46" s="46" t="inlineStr">
        <is>
          <t xml:space="preserve">AMG GT</t>
        </is>
      </c>
      <c r="K46" s="46" t="inlineStr">
        <is>
          <t xml:space="preserve">4VZ0VYBRSG1GH0W81</t>
        </is>
      </c>
      <c r="L46" s="48" t="inlineStr">
        <is>
          <t xml:space="preserve">02 - Sports / GT</t>
        </is>
      </c>
      <c r="M46" s="50">
        <v>1345000</v>
      </c>
      <c r="N46" s="48" t="inlineStr">
        <is>
          <t xml:space="preserve">Personal</t>
        </is>
      </c>
      <c r="O46" s="46" t="inlineStr">
        <is>
          <t xml:space="preserve">Personal - regular use</t>
        </is>
      </c>
      <c r="P46" s="46" t="inlineStr">
        <is>
          <t xml:space="preserve">Under 1,000</t>
        </is>
      </c>
      <c r="Q46" s="46" t="inlineStr">
        <is>
          <t xml:space="preserve">New Mexico</t>
        </is>
      </c>
      <c r="R46" s="46" t="inlineStr">
        <is>
          <t xml:space="preserve">87501</t>
        </is>
      </c>
      <c r="S46" s="48" t="inlineStr">
        <is>
          <t xml:space="preserve">Wildfire - WUI high hazard</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16029.07</v>
      </c>
      <c r="AC46" s="51">
        <v>0</v>
      </c>
      <c r="AD46" s="38">
        <f>IF(ISNUMBER($AB46),$AB46*(1+N($AC46)),"")</f>
      </c>
      <c r="AE46" s="50">
        <v>350</v>
      </c>
      <c r="AF46" s="50">
        <v>250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CANON-202601-003104</t>
        </is>
      </c>
      <c r="B47" s="30" t="inlineStr">
        <is>
          <t xml:space="preserve">Desmond Okonkwo</t>
        </is>
      </c>
      <c r="C47" s="31">
        <v>46037</v>
      </c>
      <c r="D47" s="32" t="inlineStr">
        <is>
          <t xml:space="preserve">Bound - within authority</t>
        </is>
      </c>
      <c r="E47" s="32" t="inlineStr">
        <is>
          <t xml:space="preserve">New business</t>
        </is>
      </c>
      <c r="F47" s="30" t="inlineStr">
        <is>
          <t xml:space="preserve">B1234EXOTIC26</t>
        </is>
      </c>
      <c r="G47" s="33">
        <f>IF($A47="","",IF($C47="","",YEAR($C47)))</f>
      </c>
      <c r="H47" s="34">
        <v>1985</v>
      </c>
      <c r="I47" s="30" t="inlineStr">
        <is>
          <t xml:space="preserve">Mercedes-Benz</t>
        </is>
      </c>
      <c r="J47" s="30" t="inlineStr">
        <is>
          <t xml:space="preserve">AMG GT</t>
        </is>
      </c>
      <c r="K47" s="30" t="inlineStr">
        <is>
          <t xml:space="preserve">2ER3TUG2WLU6KGM62</t>
        </is>
      </c>
      <c r="L47" s="32" t="inlineStr">
        <is>
          <t xml:space="preserve">02 - Sports / GT</t>
        </is>
      </c>
      <c r="M47" s="35">
        <v>1795000</v>
      </c>
      <c r="N47" s="32" t="inlineStr">
        <is>
          <t xml:space="preserve">Personal</t>
        </is>
      </c>
      <c r="O47" s="30" t="inlineStr">
        <is>
          <t xml:space="preserve">Personal - regular use</t>
        </is>
      </c>
      <c r="P47" s="30" t="inlineStr">
        <is>
          <t xml:space="preserve">1,000 - 2,500</t>
        </is>
      </c>
      <c r="Q47" s="30" t="inlineStr">
        <is>
          <t xml:space="preserve">North Dakota</t>
        </is>
      </c>
      <c r="R47" s="30" t="inlineStr">
        <is>
          <t xml:space="preserve">58501</t>
        </is>
      </c>
      <c r="S47" s="32" t="inlineStr">
        <is>
          <t xml:space="preserve">Severe convective - hail alley (high)</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17046.72</v>
      </c>
      <c r="AC47" s="37">
        <v>0</v>
      </c>
      <c r="AD47" s="38">
        <f>IF(ISNUMBER($AB47),$AB47*(1+N($AC47)),"")</f>
      </c>
      <c r="AE47" s="35">
        <v>350</v>
      </c>
      <c r="AF47" s="35">
        <v>250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CANON-202601-003105</t>
        </is>
      </c>
      <c r="B48" s="46" t="inlineStr">
        <is>
          <t xml:space="preserve">Desmond Vasquez</t>
        </is>
      </c>
      <c r="C48" s="47">
        <v>46041</v>
      </c>
      <c r="D48" s="48" t="inlineStr">
        <is>
          <t xml:space="preserve">Bound - within authority</t>
        </is>
      </c>
      <c r="E48" s="48" t="inlineStr">
        <is>
          <t xml:space="preserve">New business</t>
        </is>
      </c>
      <c r="F48" s="46" t="inlineStr">
        <is>
          <t xml:space="preserve">B1234EXOTIC26</t>
        </is>
      </c>
      <c r="G48" s="33">
        <f>IF($A48="","",IF($C48="","",YEAR($C48)))</f>
      </c>
      <c r="H48" s="49">
        <v>1998</v>
      </c>
      <c r="I48" s="46" t="inlineStr">
        <is>
          <t xml:space="preserve">Bentley</t>
        </is>
      </c>
      <c r="J48" s="46" t="inlineStr">
        <is>
          <t xml:space="preserve">Continental GT</t>
        </is>
      </c>
      <c r="K48" s="46" t="inlineStr">
        <is>
          <t xml:space="preserve">3AVJ6L4WZ2HT6R8BZ</t>
        </is>
      </c>
      <c r="L48" s="48" t="inlineStr">
        <is>
          <t xml:space="preserve">02 - Sports / GT</t>
        </is>
      </c>
      <c r="M48" s="50">
        <v>315000</v>
      </c>
      <c r="N48" s="48" t="inlineStr">
        <is>
          <t xml:space="preserve">Personal</t>
        </is>
      </c>
      <c r="O48" s="46" t="inlineStr">
        <is>
          <t xml:space="preserve">Personal - regular use</t>
        </is>
      </c>
      <c r="P48" s="46" t="inlineStr">
        <is>
          <t xml:space="preserve">2,500 - 5,000</t>
        </is>
      </c>
      <c r="Q48" s="46" t="inlineStr">
        <is>
          <t xml:space="preserve">Texas</t>
        </is>
      </c>
      <c r="R48" s="46" t="inlineStr">
        <is>
          <t xml:space="preserve">75201</t>
        </is>
      </c>
      <c r="S48" s="48" t="inlineStr">
        <is>
          <t xml:space="preserve">Tier 2 - Coastal wind (1-25 miles)</t>
        </is>
      </c>
      <c r="T48" s="36">
        <f>IF($A48="","",IF($S48="","",IFERROR(INDEX('[1]natural catastrophe'!$D$6:$D$17,MATCH($S48,'[1]natural catastrophe'!$B$6:$B$17,0)),"?")))</f>
      </c>
      <c r="U48" s="46" t="inlineStr">
        <is>
          <t xml:space="preserve">2% of agreed value, minimum $10,000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4599.21</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CANON-202601-003106</t>
        </is>
      </c>
      <c r="B49" s="30" t="inlineStr">
        <is>
          <t xml:space="preserve">Ingrid Underwood</t>
        </is>
      </c>
      <c r="C49" s="31">
        <v>46033</v>
      </c>
      <c r="D49" s="32" t="inlineStr">
        <is>
          <t xml:space="preserve">Bound - within authority</t>
        </is>
      </c>
      <c r="E49" s="32" t="inlineStr">
        <is>
          <t xml:space="preserve">New business</t>
        </is>
      </c>
      <c r="F49" s="30" t="inlineStr">
        <is>
          <t xml:space="preserve">B1234EXOTIC26</t>
        </is>
      </c>
      <c r="G49" s="33">
        <f>IF($A49="","",IF($C49="","",YEAR($C49)))</f>
      </c>
      <c r="H49" s="34">
        <v>1992</v>
      </c>
      <c r="I49" s="30" t="inlineStr">
        <is>
          <t xml:space="preserve">Porsche</t>
        </is>
      </c>
      <c r="J49" s="30" t="inlineStr">
        <is>
          <t xml:space="preserve">911 Turbo S</t>
        </is>
      </c>
      <c r="K49" s="30" t="inlineStr">
        <is>
          <t xml:space="preserve">EG2PJBXLS0E54J6T1</t>
        </is>
      </c>
      <c r="L49" s="32" t="inlineStr">
        <is>
          <t xml:space="preserve">02 - Sports / GT</t>
        </is>
      </c>
      <c r="M49" s="35">
        <v>820000</v>
      </c>
      <c r="N49" s="32" t="inlineStr">
        <is>
          <t xml:space="preserve">Personal</t>
        </is>
      </c>
      <c r="O49" s="30" t="inlineStr">
        <is>
          <t xml:space="preserve">Personal - regular use</t>
        </is>
      </c>
      <c r="P49" s="30" t="inlineStr">
        <is>
          <t xml:space="preserve">Under 1,000</t>
        </is>
      </c>
      <c r="Q49" s="30" t="inlineStr">
        <is>
          <t xml:space="preserve">Hawaii</t>
        </is>
      </c>
      <c r="R49" s="30" t="inlineStr">
        <is>
          <t xml:space="preserve">96813</t>
        </is>
      </c>
      <c r="S49" s="32" t="inlineStr">
        <is>
          <t xml:space="preserve">Earthquake - high (CA, Cascadia, New Madrid)</t>
        </is>
      </c>
      <c r="T49" s="36">
        <f>IF($A49="","",IF($S49="","",IFERROR(INDEX('[1]natural catastrophe'!$D$6:$D$17,MATCH($S49,'[1]natural catastrophe'!$B$6:$B$17,0)),"?")))</f>
      </c>
      <c r="U49" s="30" t="inlineStr">
        <is>
          <t xml:space="preserve">$5,000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11729.62</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CANON-202601-003108</t>
        </is>
      </c>
      <c r="B50" s="46" t="inlineStr">
        <is>
          <t xml:space="preserve">Fenwick Vandermeer</t>
        </is>
      </c>
      <c r="C50" s="47">
        <v>46042</v>
      </c>
      <c r="D50" s="48" t="inlineStr">
        <is>
          <t xml:space="preserve">Bound - within authority</t>
        </is>
      </c>
      <c r="E50" s="48" t="inlineStr">
        <is>
          <t xml:space="preserve">New business</t>
        </is>
      </c>
      <c r="F50" s="46" t="inlineStr">
        <is>
          <t xml:space="preserve">B1234EXOTIC26</t>
        </is>
      </c>
      <c r="G50" s="33">
        <f>IF($A50="","",IF($C50="","",YEAR($C50)))</f>
      </c>
      <c r="H50" s="49">
        <v>2016</v>
      </c>
      <c r="I50" s="46" t="inlineStr">
        <is>
          <t xml:space="preserve">Aston Martin</t>
        </is>
      </c>
      <c r="J50" s="46" t="inlineStr">
        <is>
          <t xml:space="preserve">DB12</t>
        </is>
      </c>
      <c r="K50" s="46" t="inlineStr">
        <is>
          <t xml:space="preserve">Z7C726EPU2BF00YZW</t>
        </is>
      </c>
      <c r="L50" s="48" t="inlineStr">
        <is>
          <t xml:space="preserve">02 - Sports / GT</t>
        </is>
      </c>
      <c r="M50" s="50">
        <v>565000</v>
      </c>
      <c r="N50" s="48" t="inlineStr">
        <is>
          <t xml:space="preserve">Personal</t>
        </is>
      </c>
      <c r="O50" s="46" t="inlineStr">
        <is>
          <t xml:space="preserve">Personal - regular use</t>
        </is>
      </c>
      <c r="P50" s="46" t="inlineStr">
        <is>
          <t xml:space="preserve">1,000 - 2,500</t>
        </is>
      </c>
      <c r="Q50" s="46" t="inlineStr">
        <is>
          <t xml:space="preserve">Georgia</t>
        </is>
      </c>
      <c r="R50" s="46" t="inlineStr">
        <is>
          <t xml:space="preserve">30303</t>
        </is>
      </c>
      <c r="S50" s="48" t="inlineStr">
        <is>
          <t xml:space="preserve">Tier 2 - Coastal wind (1-25 miles)</t>
        </is>
      </c>
      <c r="T50" s="36">
        <f>IF($A50="","",IF($S50="","",IFERROR(INDEX('[1]natural catastrophe'!$D$6:$D$17,MATCH($S50,'[1]natural catastrophe'!$B$6:$B$17,0)),"?")))</f>
      </c>
      <c r="U50" s="46" t="inlineStr">
        <is>
          <t xml:space="preserve">2% of agreed value, minimum $10,000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6962.94</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CANON-202601-003109</t>
        </is>
      </c>
      <c r="B51" s="30" t="inlineStr">
        <is>
          <t xml:space="preserve">Everett Montoya</t>
        </is>
      </c>
      <c r="C51" s="31">
        <v>46024</v>
      </c>
      <c r="D51" s="32" t="inlineStr">
        <is>
          <t xml:space="preserve">Bound - within authority</t>
        </is>
      </c>
      <c r="E51" s="32" t="inlineStr">
        <is>
          <t xml:space="preserve">New business</t>
        </is>
      </c>
      <c r="F51" s="30" t="inlineStr">
        <is>
          <t xml:space="preserve">B1234EXOTIC26</t>
        </is>
      </c>
      <c r="G51" s="33">
        <f>IF($A51="","",IF($C51="","",YEAR($C51)))</f>
      </c>
      <c r="H51" s="34">
        <v>2022</v>
      </c>
      <c r="I51" s="30" t="inlineStr">
        <is>
          <t xml:space="preserve">Maserati</t>
        </is>
      </c>
      <c r="J51" s="30" t="inlineStr">
        <is>
          <t xml:space="preserve">GranTurismo</t>
        </is>
      </c>
      <c r="K51" s="30" t="inlineStr">
        <is>
          <t xml:space="preserve">8C4AF13EK0AW4WBRJ</t>
        </is>
      </c>
      <c r="L51" s="32" t="inlineStr">
        <is>
          <t xml:space="preserve">02 - Sports / GT</t>
        </is>
      </c>
      <c r="M51" s="35">
        <v>565000</v>
      </c>
      <c r="N51" s="32" t="inlineStr">
        <is>
          <t xml:space="preserve">Personal</t>
        </is>
      </c>
      <c r="O51" s="30" t="inlineStr">
        <is>
          <t xml:space="preserve">Personal - regular use</t>
        </is>
      </c>
      <c r="P51" s="30" t="inlineStr">
        <is>
          <t xml:space="preserve">2,500 - 5,000</t>
        </is>
      </c>
      <c r="Q51" s="30" t="inlineStr">
        <is>
          <t xml:space="preserve">Indiana</t>
        </is>
      </c>
      <c r="R51" s="30" t="inlineStr">
        <is>
          <t xml:space="preserve">46204</t>
        </is>
      </c>
      <c r="S51" s="32" t="inlineStr">
        <is>
          <t xml:space="preserve">Severe convective - hail / tornado (moderate)</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7646.81</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CANON-202601-003110</t>
        </is>
      </c>
      <c r="B52" s="46" t="inlineStr">
        <is>
          <t xml:space="preserve">Sunniva Vasquez</t>
        </is>
      </c>
      <c r="C52" s="47">
        <v>46034</v>
      </c>
      <c r="D52" s="48" t="inlineStr">
        <is>
          <t xml:space="preserve">Bound - within authority</t>
        </is>
      </c>
      <c r="E52" s="48" t="inlineStr">
        <is>
          <t xml:space="preserve">New business</t>
        </is>
      </c>
      <c r="F52" s="46" t="inlineStr">
        <is>
          <t xml:space="preserve">B1234EXOTIC26</t>
        </is>
      </c>
      <c r="G52" s="33">
        <f>IF($A52="","",IF($C52="","",YEAR($C52)))</f>
      </c>
      <c r="H52" s="49">
        <v>1996</v>
      </c>
      <c r="I52" s="46" t="inlineStr">
        <is>
          <t xml:space="preserve">Aston Martin</t>
        </is>
      </c>
      <c r="J52" s="46" t="inlineStr">
        <is>
          <t xml:space="preserve">DB12</t>
        </is>
      </c>
      <c r="K52" s="46" t="inlineStr">
        <is>
          <t xml:space="preserve">J153NXSK8XZ12Z7P4</t>
        </is>
      </c>
      <c r="L52" s="48" t="inlineStr">
        <is>
          <t xml:space="preserve">02 - Sports / GT</t>
        </is>
      </c>
      <c r="M52" s="50">
        <v>425000</v>
      </c>
      <c r="N52" s="48" t="inlineStr">
        <is>
          <t xml:space="preserve">Personal</t>
        </is>
      </c>
      <c r="O52" s="46" t="inlineStr">
        <is>
          <t xml:space="preserve">Personal - regular use</t>
        </is>
      </c>
      <c r="P52" s="46" t="inlineStr">
        <is>
          <t xml:space="preserve">1,000 - 2,500</t>
        </is>
      </c>
      <c r="Q52" s="46" t="inlineStr">
        <is>
          <t xml:space="preserve">Missouri</t>
        </is>
      </c>
      <c r="R52" s="46" t="inlineStr">
        <is>
          <t xml:space="preserve">63101</t>
        </is>
      </c>
      <c r="S52" s="48" t="inlineStr">
        <is>
          <t xml:space="preserve">Severe convective - hail / tornado (moderate)</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5719.65</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CANON-202601-003111</t>
        </is>
      </c>
      <c r="B53" s="30" t="inlineStr">
        <is>
          <t xml:space="preserve">Cassius Nakashima</t>
        </is>
      </c>
      <c r="C53" s="31">
        <v>46023</v>
      </c>
      <c r="D53" s="32" t="inlineStr">
        <is>
          <t xml:space="preserve">Bound - within authority</t>
        </is>
      </c>
      <c r="E53" s="32" t="inlineStr">
        <is>
          <t xml:space="preserve">New business</t>
        </is>
      </c>
      <c r="F53" s="30" t="inlineStr">
        <is>
          <t xml:space="preserve">B1234EXOTIC26</t>
        </is>
      </c>
      <c r="G53" s="33">
        <f>IF($A53="","",IF($C53="","",YEAR($C53)))</f>
      </c>
      <c r="H53" s="34">
        <v>1969</v>
      </c>
      <c r="I53" s="30" t="inlineStr">
        <is>
          <t xml:space="preserve">Maserati</t>
        </is>
      </c>
      <c r="J53" s="30" t="inlineStr">
        <is>
          <t xml:space="preserve">GranTurismo</t>
        </is>
      </c>
      <c r="K53" s="30" t="inlineStr">
        <is>
          <t xml:space="preserve">FWPL35LXR3RH7542K</t>
        </is>
      </c>
      <c r="L53" s="32" t="inlineStr">
        <is>
          <t xml:space="preserve">02 - Sports / GT</t>
        </is>
      </c>
      <c r="M53" s="35">
        <v>560000</v>
      </c>
      <c r="N53" s="32" t="inlineStr">
        <is>
          <t xml:space="preserve">Personal</t>
        </is>
      </c>
      <c r="O53" s="30" t="inlineStr">
        <is>
          <t xml:space="preserve">Personal - regular use</t>
        </is>
      </c>
      <c r="P53" s="30" t="inlineStr">
        <is>
          <t xml:space="preserve">1,000 - 2,500</t>
        </is>
      </c>
      <c r="Q53" s="30" t="inlineStr">
        <is>
          <t xml:space="preserve">Arizona</t>
        </is>
      </c>
      <c r="R53" s="30" t="inlineStr">
        <is>
          <t xml:space="preserve">85001</t>
        </is>
      </c>
      <c r="S53" s="32" t="inlineStr">
        <is>
          <t xml:space="preserve">Wildfire - WUI high hazard</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6223.52</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CANON-202601-003113</t>
        </is>
      </c>
      <c r="B54" s="46" t="inlineStr">
        <is>
          <t xml:space="preserve">Beatrix Thistlewood</t>
        </is>
      </c>
      <c r="C54" s="47">
        <v>46042</v>
      </c>
      <c r="D54" s="48" t="inlineStr">
        <is>
          <t xml:space="preserve">Bound - within authority</t>
        </is>
      </c>
      <c r="E54" s="48" t="inlineStr">
        <is>
          <t xml:space="preserve">New business</t>
        </is>
      </c>
      <c r="F54" s="46" t="inlineStr">
        <is>
          <t xml:space="preserve">B1234EXOTIC26</t>
        </is>
      </c>
      <c r="G54" s="33">
        <f>IF($A54="","",IF($C54="","",YEAR($C54)))</f>
      </c>
      <c r="H54" s="49">
        <v>2009</v>
      </c>
      <c r="I54" s="46" t="inlineStr">
        <is>
          <t xml:space="preserve">Maserati</t>
        </is>
      </c>
      <c r="J54" s="46" t="inlineStr">
        <is>
          <t xml:space="preserve">GranTurismo</t>
        </is>
      </c>
      <c r="K54" s="46" t="inlineStr">
        <is>
          <t xml:space="preserve">TC0EKE4USTJNS6N79</t>
        </is>
      </c>
      <c r="L54" s="48" t="inlineStr">
        <is>
          <t xml:space="preserve">02 - Sports / GT</t>
        </is>
      </c>
      <c r="M54" s="50">
        <v>450000</v>
      </c>
      <c r="N54" s="48" t="inlineStr">
        <is>
          <t xml:space="preserve">Personal</t>
        </is>
      </c>
      <c r="O54" s="46" t="inlineStr">
        <is>
          <t xml:space="preserve">Personal - regular use</t>
        </is>
      </c>
      <c r="P54" s="46" t="inlineStr">
        <is>
          <t xml:space="preserve">1,000 - 2,500</t>
        </is>
      </c>
      <c r="Q54" s="46" t="inlineStr">
        <is>
          <t xml:space="preserve">Arizona</t>
        </is>
      </c>
      <c r="R54" s="46" t="inlineStr">
        <is>
          <t xml:space="preserve">85001</t>
        </is>
      </c>
      <c r="S54" s="48" t="inlineStr">
        <is>
          <t xml:space="preserve">Wildfire - WUI high hazard</t>
        </is>
      </c>
      <c r="T54" s="36">
        <f>IF($A54="","",IF($S54="","",IFERROR(INDEX('[1]natural catastrophe'!$D$6:$D$17,MATCH($S54,'[1]natural catastrophe'!$B$6:$B$17,0)),"?")))</f>
      </c>
      <c r="U54" s="46" t="inlineStr">
        <is>
          <t xml:space="preserve">$5,000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5770.43</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CANON-202601-003114</t>
        </is>
      </c>
      <c r="B55" s="30" t="inlineStr">
        <is>
          <t xml:space="preserve">Anouk Larsson</t>
        </is>
      </c>
      <c r="C55" s="31">
        <v>46046</v>
      </c>
      <c r="D55" s="32" t="inlineStr">
        <is>
          <t xml:space="preserve">Bound - within authority</t>
        </is>
      </c>
      <c r="E55" s="32" t="inlineStr">
        <is>
          <t xml:space="preserve">New business</t>
        </is>
      </c>
      <c r="F55" s="30" t="inlineStr">
        <is>
          <t xml:space="preserve">B1234EXOTIC26</t>
        </is>
      </c>
      <c r="G55" s="33">
        <f>IF($A55="","",IF($C55="","",YEAR($C55)))</f>
      </c>
      <c r="H55" s="34">
        <v>1984</v>
      </c>
      <c r="I55" s="30" t="inlineStr">
        <is>
          <t xml:space="preserve">Lamborghini</t>
        </is>
      </c>
      <c r="J55" s="30" t="inlineStr">
        <is>
          <t xml:space="preserve">Huracan EVO</t>
        </is>
      </c>
      <c r="K55" s="30" t="inlineStr">
        <is>
          <t xml:space="preserve">AR28YWFP8N701GXVE</t>
        </is>
      </c>
      <c r="L55" s="32" t="inlineStr">
        <is>
          <t xml:space="preserve">03 - Supercar</t>
        </is>
      </c>
      <c r="M55" s="35">
        <v>530000</v>
      </c>
      <c r="N55" s="32" t="inlineStr">
        <is>
          <t xml:space="preserve">Personal</t>
        </is>
      </c>
      <c r="O55" s="30" t="inlineStr">
        <is>
          <t xml:space="preserve">Personal - regular use</t>
        </is>
      </c>
      <c r="P55" s="30" t="inlineStr">
        <is>
          <t xml:space="preserve">Under 1,000</t>
        </is>
      </c>
      <c r="Q55" s="30" t="inlineStr">
        <is>
          <t xml:space="preserve">Iowa</t>
        </is>
      </c>
      <c r="R55" s="30" t="inlineStr">
        <is>
          <t xml:space="preserve">50309</t>
        </is>
      </c>
      <c r="S55" s="32" t="inlineStr">
        <is>
          <t xml:space="preserve">Severe convective - hail alley (high)</t>
        </is>
      </c>
      <c r="T55" s="36">
        <f>IF($A55="","",IF($S55="","",IFERROR(INDEX('[1]natural catastrophe'!$D$6:$D$17,MATCH($S55,'[1]natural catastrophe'!$B$6:$B$17,0)),"?")))</f>
      </c>
      <c r="U55" s="30" t="inlineStr">
        <is>
          <t xml:space="preserve">$5,000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9375.74</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CANON-202601-003115</t>
        </is>
      </c>
      <c r="B56" s="46" t="inlineStr">
        <is>
          <t xml:space="preserve">Leopold Ashcombe</t>
        </is>
      </c>
      <c r="C56" s="47">
        <v>46040</v>
      </c>
      <c r="D56" s="48" t="inlineStr">
        <is>
          <t xml:space="preserve">Bound - within authority</t>
        </is>
      </c>
      <c r="E56" s="48" t="inlineStr">
        <is>
          <t xml:space="preserve">New business</t>
        </is>
      </c>
      <c r="F56" s="46" t="inlineStr">
        <is>
          <t xml:space="preserve">B1234EXOTIC26</t>
        </is>
      </c>
      <c r="G56" s="33">
        <f>IF($A56="","",IF($C56="","",YEAR($C56)))</f>
      </c>
      <c r="H56" s="49">
        <v>1990</v>
      </c>
      <c r="I56" s="46" t="inlineStr">
        <is>
          <t xml:space="preserve">Aston Martin</t>
        </is>
      </c>
      <c r="J56" s="46" t="inlineStr">
        <is>
          <t xml:space="preserve">DB5</t>
        </is>
      </c>
      <c r="K56" s="46" t="inlineStr">
        <is>
          <t xml:space="preserve">DJEE6X3UTV456PPEG</t>
        </is>
      </c>
      <c r="L56" s="48" t="inlineStr">
        <is>
          <t xml:space="preserve">08 - Modern Classic (1973-1999)</t>
        </is>
      </c>
      <c r="M56" s="50">
        <v>815000</v>
      </c>
      <c r="N56" s="48" t="inlineStr">
        <is>
          <t xml:space="preserve">Personal</t>
        </is>
      </c>
      <c r="O56" s="46" t="inlineStr">
        <is>
          <t xml:space="preserve">Personal - regular use</t>
        </is>
      </c>
      <c r="P56" s="46" t="inlineStr">
        <is>
          <t xml:space="preserve">Under 1,000</t>
        </is>
      </c>
      <c r="Q56" s="46" t="inlineStr">
        <is>
          <t xml:space="preserve">New Jersey</t>
        </is>
      </c>
      <c r="R56" s="46" t="inlineStr">
        <is>
          <t xml:space="preserve">07102</t>
        </is>
      </c>
      <c r="S56" s="48" t="inlineStr">
        <is>
          <t xml:space="preserve">Tier 3 - Coastal wind (25-100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5398.6</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CANON-202601-003116</t>
        </is>
      </c>
      <c r="B57" s="30" t="inlineStr">
        <is>
          <t xml:space="preserve">Mireille Ashcombe</t>
        </is>
      </c>
      <c r="C57" s="31">
        <v>46053</v>
      </c>
      <c r="D57" s="32" t="inlineStr">
        <is>
          <t xml:space="preserve">Bound - within authority</t>
        </is>
      </c>
      <c r="E57" s="32" t="inlineStr">
        <is>
          <t xml:space="preserve">New business</t>
        </is>
      </c>
      <c r="F57" s="30" t="inlineStr">
        <is>
          <t xml:space="preserve">B1234EXOTIC26</t>
        </is>
      </c>
      <c r="G57" s="33">
        <f>IF($A57="","",IF($C57="","",YEAR($C57)))</f>
      </c>
      <c r="H57" s="34">
        <v>2023</v>
      </c>
      <c r="I57" s="30" t="inlineStr">
        <is>
          <t xml:space="preserve">Bentley</t>
        </is>
      </c>
      <c r="J57" s="30" t="inlineStr">
        <is>
          <t xml:space="preserve">Continental GT</t>
        </is>
      </c>
      <c r="K57" s="30" t="inlineStr">
        <is>
          <t xml:space="preserve">V9245A0LV4K670ETP</t>
        </is>
      </c>
      <c r="L57" s="32" t="inlineStr">
        <is>
          <t xml:space="preserve">02 - Sports / GT</t>
        </is>
      </c>
      <c r="M57" s="35">
        <v>630000</v>
      </c>
      <c r="N57" s="32" t="inlineStr">
        <is>
          <t xml:space="preserve">Personal</t>
        </is>
      </c>
      <c r="O57" s="30" t="inlineStr">
        <is>
          <t xml:space="preserve">Personal - regular use</t>
        </is>
      </c>
      <c r="P57" s="30" t="inlineStr">
        <is>
          <t xml:space="preserve">Under 1,000</t>
        </is>
      </c>
      <c r="Q57" s="30" t="inlineStr">
        <is>
          <t xml:space="preserve">Alaska</t>
        </is>
      </c>
      <c r="R57" s="30" t="inlineStr">
        <is>
          <t xml:space="preserve">99501</t>
        </is>
      </c>
      <c r="S57" s="32" t="inlineStr">
        <is>
          <t xml:space="preserve">Earthquake - high (CA, Cascadia, New Madrid)</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7902.64</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CANON-202601-003117</t>
        </is>
      </c>
      <c r="B58" s="46" t="inlineStr">
        <is>
          <t xml:space="preserve">Saoirse Vandermeer</t>
        </is>
      </c>
      <c r="C58" s="47">
        <v>46034</v>
      </c>
      <c r="D58" s="48" t="inlineStr">
        <is>
          <t xml:space="preserve">Bound - within authority</t>
        </is>
      </c>
      <c r="E58" s="48" t="inlineStr">
        <is>
          <t xml:space="preserve">New business</t>
        </is>
      </c>
      <c r="F58" s="46" t="inlineStr">
        <is>
          <t xml:space="preserve">B1234EXOTIC26</t>
        </is>
      </c>
      <c r="G58" s="33">
        <f>IF($A58="","",IF($C58="","",YEAR($C58)))</f>
      </c>
      <c r="H58" s="49">
        <v>2024</v>
      </c>
      <c r="I58" s="46" t="inlineStr">
        <is>
          <t xml:space="preserve">Ferrari</t>
        </is>
      </c>
      <c r="J58" s="46" t="inlineStr">
        <is>
          <t xml:space="preserve">296 GTB</t>
        </is>
      </c>
      <c r="K58" s="46" t="inlineStr">
        <is>
          <t xml:space="preserve">TCXP09W6LFZ93TS89</t>
        </is>
      </c>
      <c r="L58" s="48" t="inlineStr">
        <is>
          <t xml:space="preserve">03 - Supercar</t>
        </is>
      </c>
      <c r="M58" s="50">
        <v>1435000</v>
      </c>
      <c r="N58" s="48" t="inlineStr">
        <is>
          <t xml:space="preserve">Personal</t>
        </is>
      </c>
      <c r="O58" s="46" t="inlineStr">
        <is>
          <t xml:space="preserve">Personal - regular use</t>
        </is>
      </c>
      <c r="P58" s="46" t="inlineStr">
        <is>
          <t xml:space="preserve">1,000 - 2,500</t>
        </is>
      </c>
      <c r="Q58" s="46" t="inlineStr">
        <is>
          <t xml:space="preserve">California</t>
        </is>
      </c>
      <c r="R58" s="46" t="inlineStr">
        <is>
          <t xml:space="preserve">90012</t>
        </is>
      </c>
      <c r="S58" s="48" t="inlineStr">
        <is>
          <t xml:space="preserve">Earthquake - high (CA, Cascadia, New Madrid)</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26235.48</v>
      </c>
      <c r="AC58" s="51">
        <v>0</v>
      </c>
      <c r="AD58" s="38">
        <f>IF(ISNUMBER($AB58),$AB58*(1+N($AC58)),"")</f>
      </c>
      <c r="AE58" s="50">
        <v>350</v>
      </c>
      <c r="AF58" s="50">
        <v>250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CANON-202601-003120</t>
        </is>
      </c>
      <c r="B59" s="30" t="inlineStr">
        <is>
          <t xml:space="preserve">Desmond Larsson</t>
        </is>
      </c>
      <c r="C59" s="31">
        <v>46026</v>
      </c>
      <c r="D59" s="32" t="inlineStr">
        <is>
          <t xml:space="preserve">Bound - within authority</t>
        </is>
      </c>
      <c r="E59" s="32" t="inlineStr">
        <is>
          <t xml:space="preserve">New business</t>
        </is>
      </c>
      <c r="F59" s="30" t="inlineStr">
        <is>
          <t xml:space="preserve">B1234EXOTIC26</t>
        </is>
      </c>
      <c r="G59" s="33">
        <f>IF($A59="","",IF($C59="","",YEAR($C59)))</f>
      </c>
      <c r="H59" s="34">
        <v>1968</v>
      </c>
      <c r="I59" s="30" t="inlineStr">
        <is>
          <t xml:space="preserve">Porsche</t>
        </is>
      </c>
      <c r="J59" s="30" t="inlineStr">
        <is>
          <t xml:space="preserve">911 Turbo S</t>
        </is>
      </c>
      <c r="K59" s="30" t="inlineStr">
        <is>
          <t xml:space="preserve">YZ5YRDFK22P39PX4S</t>
        </is>
      </c>
      <c r="L59" s="32" t="inlineStr">
        <is>
          <t xml:space="preserve">02 - Sports / GT</t>
        </is>
      </c>
      <c r="M59" s="35">
        <v>825000</v>
      </c>
      <c r="N59" s="32" t="inlineStr">
        <is>
          <t xml:space="preserve">Personal</t>
        </is>
      </c>
      <c r="O59" s="30" t="inlineStr">
        <is>
          <t xml:space="preserve">Personal - regular use</t>
        </is>
      </c>
      <c r="P59" s="30" t="inlineStr">
        <is>
          <t xml:space="preserve">Under 1,000</t>
        </is>
      </c>
      <c r="Q59" s="30" t="inlineStr">
        <is>
          <t xml:space="preserve">Arizona</t>
        </is>
      </c>
      <c r="R59" s="30" t="inlineStr">
        <is>
          <t xml:space="preserve">85001</t>
        </is>
      </c>
      <c r="S59" s="32" t="inlineStr">
        <is>
          <t xml:space="preserve">Wildfire - WUI high hazard</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9168.58</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CANON-202601-003121</t>
        </is>
      </c>
      <c r="B60" s="46" t="inlineStr">
        <is>
          <t xml:space="preserve">Delphine Okonkwo</t>
        </is>
      </c>
      <c r="C60" s="47">
        <v>46027</v>
      </c>
      <c r="D60" s="48" t="inlineStr">
        <is>
          <t xml:space="preserve">Bound - within authority</t>
        </is>
      </c>
      <c r="E60" s="48" t="inlineStr">
        <is>
          <t xml:space="preserve">New business</t>
        </is>
      </c>
      <c r="F60" s="46" t="inlineStr">
        <is>
          <t xml:space="preserve">B1234EXOTIC26</t>
        </is>
      </c>
      <c r="G60" s="33">
        <f>IF($A60="","",IF($C60="","",YEAR($C60)))</f>
      </c>
      <c r="H60" s="49">
        <v>2020</v>
      </c>
      <c r="I60" s="46" t="inlineStr">
        <is>
          <t xml:space="preserve">Mercedes-Benz</t>
        </is>
      </c>
      <c r="J60" s="46" t="inlineStr">
        <is>
          <t xml:space="preserve">AMG GT</t>
        </is>
      </c>
      <c r="K60" s="46" t="inlineStr">
        <is>
          <t xml:space="preserve">KTENGVZCN38984EC3</t>
        </is>
      </c>
      <c r="L60" s="48" t="inlineStr">
        <is>
          <t xml:space="preserve">02 - Sports / GT</t>
        </is>
      </c>
      <c r="M60" s="50">
        <v>1325000</v>
      </c>
      <c r="N60" s="48" t="inlineStr">
        <is>
          <t xml:space="preserve">Personal</t>
        </is>
      </c>
      <c r="O60" s="46" t="inlineStr">
        <is>
          <t xml:space="preserve">Personal - regular use</t>
        </is>
      </c>
      <c r="P60" s="46" t="inlineStr">
        <is>
          <t xml:space="preserve">Under 1,000</t>
        </is>
      </c>
      <c r="Q60" s="46" t="inlineStr">
        <is>
          <t xml:space="preserve">Oklahoma</t>
        </is>
      </c>
      <c r="R60" s="46" t="inlineStr">
        <is>
          <t xml:space="preserve">73102</t>
        </is>
      </c>
      <c r="S60" s="48" t="inlineStr">
        <is>
          <t xml:space="preserve">Severe convective - hail alley (high)</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15543.99</v>
      </c>
      <c r="AC60" s="51">
        <v>0</v>
      </c>
      <c r="AD60" s="38">
        <f>IF(ISNUMBER($AB60),$AB60*(1+N($AC60)),"")</f>
      </c>
      <c r="AE60" s="50">
        <v>350</v>
      </c>
      <c r="AF60" s="50">
        <v>250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CANON-202601-003122</t>
        </is>
      </c>
      <c r="B61" s="30" t="inlineStr">
        <is>
          <t xml:space="preserve">Ramona Fairweather</t>
        </is>
      </c>
      <c r="C61" s="31">
        <v>46048</v>
      </c>
      <c r="D61" s="32" t="inlineStr">
        <is>
          <t xml:space="preserve">Bound - within authority</t>
        </is>
      </c>
      <c r="E61" s="32" t="inlineStr">
        <is>
          <t xml:space="preserve">New business</t>
        </is>
      </c>
      <c r="F61" s="30" t="inlineStr">
        <is>
          <t xml:space="preserve">B1234EXOTIC26</t>
        </is>
      </c>
      <c r="G61" s="33">
        <f>IF($A61="","",IF($C61="","",YEAR($C61)))</f>
      </c>
      <c r="H61" s="34">
        <v>1969</v>
      </c>
      <c r="I61" s="30" t="inlineStr">
        <is>
          <t xml:space="preserve">Bentley</t>
        </is>
      </c>
      <c r="J61" s="30" t="inlineStr">
        <is>
          <t xml:space="preserve">Continental GT</t>
        </is>
      </c>
      <c r="K61" s="30" t="inlineStr">
        <is>
          <t xml:space="preserve">L175RTDVZNKDYW9B7</t>
        </is>
      </c>
      <c r="L61" s="32" t="inlineStr">
        <is>
          <t xml:space="preserve">02 - Sports / GT</t>
        </is>
      </c>
      <c r="M61" s="35">
        <v>320000</v>
      </c>
      <c r="N61" s="32" t="inlineStr">
        <is>
          <t xml:space="preserve">Personal</t>
        </is>
      </c>
      <c r="O61" s="30" t="inlineStr">
        <is>
          <t xml:space="preserve">Personal - regular use</t>
        </is>
      </c>
      <c r="P61" s="30" t="inlineStr">
        <is>
          <t xml:space="preserve">2,500 - 5,000</t>
        </is>
      </c>
      <c r="Q61" s="30" t="inlineStr">
        <is>
          <t xml:space="preserve">Pennsylvania</t>
        </is>
      </c>
      <c r="R61" s="30" t="inlineStr">
        <is>
          <t xml:space="preserve">19103</t>
        </is>
      </c>
      <c r="S61" s="32" t="inlineStr">
        <is>
          <t xml:space="preserve">Low hazard - inland benign</t>
        </is>
      </c>
      <c r="T61" s="36">
        <f>IF($A61="","",IF($S61="","",IFERROR(INDEX('[1]natural catastrophe'!$D$6:$D$17,MATCH($S61,'[1]natural catastrophe'!$B$6:$B$17,0)),"?")))</f>
      </c>
      <c r="U61" s="30" t="inlineStr">
        <is>
          <t xml:space="preserve">$5,000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4062.79</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CANON-202601-003125</t>
        </is>
      </c>
      <c r="B62" s="46" t="inlineStr">
        <is>
          <t xml:space="preserve">Noor Thistlewood</t>
        </is>
      </c>
      <c r="C62" s="47">
        <v>46029</v>
      </c>
      <c r="D62" s="48" t="inlineStr">
        <is>
          <t xml:space="preserve">Bound - within authority</t>
        </is>
      </c>
      <c r="E62" s="48" t="inlineStr">
        <is>
          <t xml:space="preserve">New business</t>
        </is>
      </c>
      <c r="F62" s="46" t="inlineStr">
        <is>
          <t xml:space="preserve">B1234EXOTIC26</t>
        </is>
      </c>
      <c r="G62" s="33">
        <f>IF($A62="","",IF($C62="","",YEAR($C62)))</f>
      </c>
      <c r="H62" s="49">
        <v>1972</v>
      </c>
      <c r="I62" s="46" t="inlineStr">
        <is>
          <t xml:space="preserve">Aston Martin</t>
        </is>
      </c>
      <c r="J62" s="46" t="inlineStr">
        <is>
          <t xml:space="preserve">DB12</t>
        </is>
      </c>
      <c r="K62" s="46" t="inlineStr">
        <is>
          <t xml:space="preserve">1855AR4U5AHY838GH</t>
        </is>
      </c>
      <c r="L62" s="48" t="inlineStr">
        <is>
          <t xml:space="preserve">02 - Sports / GT</t>
        </is>
      </c>
      <c r="M62" s="50">
        <v>390000</v>
      </c>
      <c r="N62" s="48" t="inlineStr">
        <is>
          <t xml:space="preserve">Personal</t>
        </is>
      </c>
      <c r="O62" s="46" t="inlineStr">
        <is>
          <t xml:space="preserve">Personal - regular use</t>
        </is>
      </c>
      <c r="P62" s="46" t="inlineStr">
        <is>
          <t xml:space="preserve">1,000 - 2,500</t>
        </is>
      </c>
      <c r="Q62" s="46" t="inlineStr">
        <is>
          <t xml:space="preserve">Iowa</t>
        </is>
      </c>
      <c r="R62" s="46" t="inlineStr">
        <is>
          <t xml:space="preserve">50309</t>
        </is>
      </c>
      <c r="S62" s="48" t="inlineStr">
        <is>
          <t xml:space="preserve">Severe convective - hail alley (high)</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5446.68</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CANON-202601-003126</t>
        </is>
      </c>
      <c r="B63" s="30" t="inlineStr">
        <is>
          <t xml:space="preserve">Anouk Underwood</t>
        </is>
      </c>
      <c r="C63" s="31">
        <v>46045</v>
      </c>
      <c r="D63" s="32" t="inlineStr">
        <is>
          <t xml:space="preserve">Bound - within authority</t>
        </is>
      </c>
      <c r="E63" s="32" t="inlineStr">
        <is>
          <t xml:space="preserve">New business</t>
        </is>
      </c>
      <c r="F63" s="30" t="inlineStr">
        <is>
          <t xml:space="preserve">B1234EXOTIC26</t>
        </is>
      </c>
      <c r="G63" s="33">
        <f>IF($A63="","",IF($C63="","",YEAR($C63)))</f>
      </c>
      <c r="H63" s="34">
        <v>1963</v>
      </c>
      <c r="I63" s="30" t="inlineStr">
        <is>
          <t xml:space="preserve">BMW</t>
        </is>
      </c>
      <c r="J63" s="30" t="inlineStr">
        <is>
          <t xml:space="preserve">M8 Competition</t>
        </is>
      </c>
      <c r="K63" s="30" t="inlineStr">
        <is>
          <t xml:space="preserve">MXBCWCRJY6AGEZF52</t>
        </is>
      </c>
      <c r="L63" s="32" t="inlineStr">
        <is>
          <t xml:space="preserve">02 - Sports / GT</t>
        </is>
      </c>
      <c r="M63" s="35">
        <v>665000</v>
      </c>
      <c r="N63" s="32" t="inlineStr">
        <is>
          <t xml:space="preserve">Personal</t>
        </is>
      </c>
      <c r="O63" s="30" t="inlineStr">
        <is>
          <t xml:space="preserve">Personal - regular use</t>
        </is>
      </c>
      <c r="P63" s="30" t="inlineStr">
        <is>
          <t xml:space="preserve">2,500 - 5,000</t>
        </is>
      </c>
      <c r="Q63" s="30" t="inlineStr">
        <is>
          <t xml:space="preserve">Michigan</t>
        </is>
      </c>
      <c r="R63" s="30" t="inlineStr">
        <is>
          <t xml:space="preserve">48226</t>
        </is>
      </c>
      <c r="S63" s="32" t="inlineStr">
        <is>
          <t xml:space="preserve">Severe convective - hail / tornado (moderate)</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11341.75</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CANON-202601-003127</t>
        </is>
      </c>
      <c r="B64" s="46" t="inlineStr">
        <is>
          <t xml:space="preserve">Fitzgerald Fairweather</t>
        </is>
      </c>
      <c r="C64" s="47">
        <v>46045</v>
      </c>
      <c r="D64" s="48" t="inlineStr">
        <is>
          <t xml:space="preserve">Bound - within authority</t>
        </is>
      </c>
      <c r="E64" s="48" t="inlineStr">
        <is>
          <t xml:space="preserve">New business</t>
        </is>
      </c>
      <c r="F64" s="46" t="inlineStr">
        <is>
          <t xml:space="preserve">B1234EXOTIC26</t>
        </is>
      </c>
      <c r="G64" s="33">
        <f>IF($A64="","",IF($C64="","",YEAR($C64)))</f>
      </c>
      <c r="H64" s="49">
        <v>1994</v>
      </c>
      <c r="I64" s="46" t="inlineStr">
        <is>
          <t xml:space="preserve">Maserati</t>
        </is>
      </c>
      <c r="J64" s="46" t="inlineStr">
        <is>
          <t xml:space="preserve">GranTurismo</t>
        </is>
      </c>
      <c r="K64" s="46" t="inlineStr">
        <is>
          <t xml:space="preserve">DMMH48VGHPNCP8FYF</t>
        </is>
      </c>
      <c r="L64" s="48" t="inlineStr">
        <is>
          <t xml:space="preserve">02 - Sports / GT</t>
        </is>
      </c>
      <c r="M64" s="50">
        <v>195000</v>
      </c>
      <c r="N64" s="48" t="inlineStr">
        <is>
          <t xml:space="preserve">Personal</t>
        </is>
      </c>
      <c r="O64" s="46" t="inlineStr">
        <is>
          <t xml:space="preserve">Personal - regular use</t>
        </is>
      </c>
      <c r="P64" s="46" t="inlineStr">
        <is>
          <t xml:space="preserve">1,000 - 2,500</t>
        </is>
      </c>
      <c r="Q64" s="46" t="inlineStr">
        <is>
          <t xml:space="preserve">Florida</t>
        </is>
      </c>
      <c r="R64" s="46" t="inlineStr">
        <is>
          <t xml:space="preserve">33139</t>
        </is>
      </c>
      <c r="S64" s="48" t="inlineStr">
        <is>
          <t xml:space="preserve">Tier 2 - Coastal wind (1-25 miles)</t>
        </is>
      </c>
      <c r="T64" s="36">
        <f>IF($A64="","",IF($S64="","",IFERROR(INDEX('[1]natural catastrophe'!$D$6:$D$17,MATCH($S64,'[1]natural catastrophe'!$B$6:$B$17,0)),"?")))</f>
      </c>
      <c r="U64" s="46" t="inlineStr">
        <is>
          <t xml:space="preserve">2% of agreed value, minimum $10,000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4312.45</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CANON-202601-003128</t>
        </is>
      </c>
      <c r="B65" s="30" t="inlineStr">
        <is>
          <t xml:space="preserve">Noor Merriweather</t>
        </is>
      </c>
      <c r="C65" s="31">
        <v>46028</v>
      </c>
      <c r="D65" s="32" t="inlineStr">
        <is>
          <t xml:space="preserve">Bound - within authority</t>
        </is>
      </c>
      <c r="E65" s="32" t="inlineStr">
        <is>
          <t xml:space="preserve">New business</t>
        </is>
      </c>
      <c r="F65" s="30" t="inlineStr">
        <is>
          <t xml:space="preserve">B1234EXOTIC26</t>
        </is>
      </c>
      <c r="G65" s="33">
        <f>IF($A65="","",IF($C65="","",YEAR($C65)))</f>
      </c>
      <c r="H65" s="34">
        <v>1980</v>
      </c>
      <c r="I65" s="30" t="inlineStr">
        <is>
          <t xml:space="preserve">McLaren</t>
        </is>
      </c>
      <c r="J65" s="30" t="inlineStr">
        <is>
          <t xml:space="preserve">750S</t>
        </is>
      </c>
      <c r="K65" s="30" t="inlineStr">
        <is>
          <t xml:space="preserve">V66T79U0LF1CDHVWA</t>
        </is>
      </c>
      <c r="L65" s="32" t="inlineStr">
        <is>
          <t xml:space="preserve">03 - Supercar</t>
        </is>
      </c>
      <c r="M65" s="35">
        <v>1575000</v>
      </c>
      <c r="N65" s="32" t="inlineStr">
        <is>
          <t xml:space="preserve">Personal</t>
        </is>
      </c>
      <c r="O65" s="30" t="inlineStr">
        <is>
          <t xml:space="preserve">Personal - regular use</t>
        </is>
      </c>
      <c r="P65" s="30" t="inlineStr">
        <is>
          <t xml:space="preserve">1,000 - 2,500</t>
        </is>
      </c>
      <c r="Q65" s="30" t="inlineStr">
        <is>
          <t xml:space="preserve">Delaware</t>
        </is>
      </c>
      <c r="R65" s="30" t="inlineStr">
        <is>
          <t xml:space="preserve">19801</t>
        </is>
      </c>
      <c r="S65" s="32" t="inlineStr">
        <is>
          <t xml:space="preserve">Tier 3 - Coastal wind (25-100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26662.07</v>
      </c>
      <c r="AC65" s="37">
        <v>0</v>
      </c>
      <c r="AD65" s="38">
        <f>IF(ISNUMBER($AB65),$AB65*(1+N($AC65)),"")</f>
      </c>
      <c r="AE65" s="35">
        <v>350</v>
      </c>
      <c r="AF65" s="35">
        <v>250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CANON-202601-003129</t>
        </is>
      </c>
      <c r="B66" s="46" t="inlineStr">
        <is>
          <t xml:space="preserve">Beatrix Delacroix</t>
        </is>
      </c>
      <c r="C66" s="47">
        <v>46029</v>
      </c>
      <c r="D66" s="48" t="inlineStr">
        <is>
          <t xml:space="preserve">Bound - within authority</t>
        </is>
      </c>
      <c r="E66" s="48" t="inlineStr">
        <is>
          <t xml:space="preserve">New business</t>
        </is>
      </c>
      <c r="F66" s="46" t="inlineStr">
        <is>
          <t xml:space="preserve">B1234EXOTIC26</t>
        </is>
      </c>
      <c r="G66" s="33">
        <f>IF($A66="","",IF($C66="","",YEAR($C66)))</f>
      </c>
      <c r="H66" s="49">
        <v>1973</v>
      </c>
      <c r="I66" s="46" t="inlineStr">
        <is>
          <t xml:space="preserve">Singer</t>
        </is>
      </c>
      <c r="J66" s="46" t="inlineStr">
        <is>
          <t xml:space="preserve">911 Reimagined</t>
        </is>
      </c>
      <c r="K66" s="46" t="inlineStr">
        <is>
          <t xml:space="preserve">BS9XXSSGMK8K21UUZ</t>
        </is>
      </c>
      <c r="L66" s="48" t="inlineStr">
        <is>
          <t xml:space="preserve">11 - Restomod / Coachbuilt / Bespoke</t>
        </is>
      </c>
      <c r="M66" s="50">
        <v>790000</v>
      </c>
      <c r="N66" s="48" t="inlineStr">
        <is>
          <t xml:space="preserve">Personal</t>
        </is>
      </c>
      <c r="O66" s="46" t="inlineStr">
        <is>
          <t xml:space="preserve">Personal - regular use</t>
        </is>
      </c>
      <c r="P66" s="46" t="inlineStr">
        <is>
          <t xml:space="preserve">2,500 - 5,000</t>
        </is>
      </c>
      <c r="Q66" s="46" t="inlineStr">
        <is>
          <t xml:space="preserve">California</t>
        </is>
      </c>
      <c r="R66" s="46" t="inlineStr">
        <is>
          <t xml:space="preserve">90012</t>
        </is>
      </c>
      <c r="S66" s="48" t="inlineStr">
        <is>
          <t xml:space="preserve">Earthquake - high (CA, Cascadia, New Madrid)</t>
        </is>
      </c>
      <c r="T66" s="36">
        <f>IF($A66="","",IF($S66="","",IFERROR(INDEX('[1]natural catastrophe'!$D$6:$D$17,MATCH($S66,'[1]natural catastrophe'!$B$6:$B$17,0)),"?")))</f>
      </c>
      <c r="U66" s="46" t="inlineStr">
        <is>
          <t xml:space="preserve">$5,000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14082.15</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CANON-202601-003130</t>
        </is>
      </c>
      <c r="B67" s="30" t="inlineStr">
        <is>
          <t xml:space="preserve">Horace Nakashima</t>
        </is>
      </c>
      <c r="C67" s="31">
        <v>46045</v>
      </c>
      <c r="D67" s="32" t="inlineStr">
        <is>
          <t xml:space="preserve">Bound - within authority</t>
        </is>
      </c>
      <c r="E67" s="32" t="inlineStr">
        <is>
          <t xml:space="preserve">New business</t>
        </is>
      </c>
      <c r="F67" s="30" t="inlineStr">
        <is>
          <t xml:space="preserve">B1234EXOTIC26</t>
        </is>
      </c>
      <c r="G67" s="33">
        <f>IF($A67="","",IF($C67="","",YEAR($C67)))</f>
      </c>
      <c r="H67" s="34">
        <v>2021</v>
      </c>
      <c r="I67" s="30" t="inlineStr">
        <is>
          <t xml:space="preserve">Maserati</t>
        </is>
      </c>
      <c r="J67" s="30" t="inlineStr">
        <is>
          <t xml:space="preserve">GranTurismo</t>
        </is>
      </c>
      <c r="K67" s="30" t="inlineStr">
        <is>
          <t xml:space="preserve">36LGGLJV575Y90EX6</t>
        </is>
      </c>
      <c r="L67" s="32" t="inlineStr">
        <is>
          <t xml:space="preserve">02 - Sports / GT</t>
        </is>
      </c>
      <c r="M67" s="35">
        <v>1125000</v>
      </c>
      <c r="N67" s="32" t="inlineStr">
        <is>
          <t xml:space="preserve">Personal</t>
        </is>
      </c>
      <c r="O67" s="30" t="inlineStr">
        <is>
          <t xml:space="preserve">Personal - regular use</t>
        </is>
      </c>
      <c r="P67" s="30" t="inlineStr">
        <is>
          <t xml:space="preserve">1,000 - 2,500</t>
        </is>
      </c>
      <c r="Q67" s="30" t="inlineStr">
        <is>
          <t xml:space="preserve">Alaska</t>
        </is>
      </c>
      <c r="R67" s="30" t="inlineStr">
        <is>
          <t xml:space="preserve">99501</t>
        </is>
      </c>
      <c r="S67" s="32" t="inlineStr">
        <is>
          <t xml:space="preserve">Earthquake - high (CA, Cascadia, New Madrid)</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11940.8</v>
      </c>
      <c r="AC67" s="37">
        <v>0</v>
      </c>
      <c r="AD67" s="38">
        <f>IF(ISNUMBER($AB67),$AB67*(1+N($AC67)),"")</f>
      </c>
      <c r="AE67" s="35">
        <v>350</v>
      </c>
      <c r="AF67" s="35">
        <v>250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CANON-202601-003131</t>
        </is>
      </c>
      <c r="B68" s="46" t="inlineStr">
        <is>
          <t xml:space="preserve">Beatrix Kingsford</t>
        </is>
      </c>
      <c r="C68" s="47">
        <v>46032</v>
      </c>
      <c r="D68" s="48" t="inlineStr">
        <is>
          <t xml:space="preserve">Bound - within authority</t>
        </is>
      </c>
      <c r="E68" s="48" t="inlineStr">
        <is>
          <t xml:space="preserve">New business</t>
        </is>
      </c>
      <c r="F68" s="46" t="inlineStr">
        <is>
          <t xml:space="preserve">B1234EXOTIC26</t>
        </is>
      </c>
      <c r="G68" s="33">
        <f>IF($A68="","",IF($C68="","",YEAR($C68)))</f>
      </c>
      <c r="H68" s="49">
        <v>1969</v>
      </c>
      <c r="I68" s="46" t="inlineStr">
        <is>
          <t xml:space="preserve">Jaguar</t>
        </is>
      </c>
      <c r="J68" s="46" t="inlineStr">
        <is>
          <t xml:space="preserve">E-Type Series 1</t>
        </is>
      </c>
      <c r="K68" s="46" t="inlineStr">
        <is>
          <t xml:space="preserve">BJNLECVGXGSHDS8TV</t>
        </is>
      </c>
      <c r="L68" s="48" t="inlineStr">
        <is>
          <t xml:space="preserve">07 - Post-War Classic (1946-1972)</t>
        </is>
      </c>
      <c r="M68" s="50">
        <v>1950000</v>
      </c>
      <c r="N68" s="48" t="inlineStr">
        <is>
          <t xml:space="preserve">Personal</t>
        </is>
      </c>
      <c r="O68" s="46" t="inlineStr">
        <is>
          <t xml:space="preserve">Personal - regular use</t>
        </is>
      </c>
      <c r="P68" s="46" t="inlineStr">
        <is>
          <t xml:space="preserve">Under 1,000</t>
        </is>
      </c>
      <c r="Q68" s="46" t="inlineStr">
        <is>
          <t xml:space="preserve">Kansas</t>
        </is>
      </c>
      <c r="R68" s="46" t="inlineStr">
        <is>
          <t xml:space="preserve">66603</t>
        </is>
      </c>
      <c r="S68" s="48" t="inlineStr">
        <is>
          <t xml:space="preserve">Severe convective - hail alley (high)</t>
        </is>
      </c>
      <c r="T68" s="36">
        <f>IF($A68="","",IF($S68="","",IFERROR(INDEX('[1]natural catastrophe'!$D$6:$D$17,MATCH($S68,'[1]natural catastrophe'!$B$6:$B$17,0)),"?")))</f>
      </c>
      <c r="U68" s="46" t="inlineStr">
        <is>
          <t xml:space="preserve">$5,000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12167.56</v>
      </c>
      <c r="AC68" s="51">
        <v>0</v>
      </c>
      <c r="AD68" s="38">
        <f>IF(ISNUMBER($AB68),$AB68*(1+N($AC68)),"")</f>
      </c>
      <c r="AE68" s="50">
        <v>350</v>
      </c>
      <c r="AF68" s="50">
        <v>250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CANON-202601-003132</t>
        </is>
      </c>
      <c r="B69" s="30" t="inlineStr">
        <is>
          <t xml:space="preserve">Aurelio Montoya</t>
        </is>
      </c>
      <c r="C69" s="31">
        <v>46038</v>
      </c>
      <c r="D69" s="32" t="inlineStr">
        <is>
          <t xml:space="preserve">Bound - within authority</t>
        </is>
      </c>
      <c r="E69" s="32" t="inlineStr">
        <is>
          <t xml:space="preserve">New business</t>
        </is>
      </c>
      <c r="F69" s="30" t="inlineStr">
        <is>
          <t xml:space="preserve">B1234EXOTIC26</t>
        </is>
      </c>
      <c r="G69" s="33">
        <f>IF($A69="","",IF($C69="","",YEAR($C69)))</f>
      </c>
      <c r="H69" s="34">
        <v>1973</v>
      </c>
      <c r="I69" s="30" t="inlineStr">
        <is>
          <t xml:space="preserve">McLaren</t>
        </is>
      </c>
      <c r="J69" s="30" t="inlineStr">
        <is>
          <t xml:space="preserve">750S</t>
        </is>
      </c>
      <c r="K69" s="30" t="inlineStr">
        <is>
          <t xml:space="preserve">90F510PFL5GCMUWT6</t>
        </is>
      </c>
      <c r="L69" s="32" t="inlineStr">
        <is>
          <t xml:space="preserve">03 - Supercar</t>
        </is>
      </c>
      <c r="M69" s="35">
        <v>910000</v>
      </c>
      <c r="N69" s="32" t="inlineStr">
        <is>
          <t xml:space="preserve">Personal</t>
        </is>
      </c>
      <c r="O69" s="30" t="inlineStr">
        <is>
          <t xml:space="preserve">Personal - regular use</t>
        </is>
      </c>
      <c r="P69" s="30" t="inlineStr">
        <is>
          <t xml:space="preserve">1,000 - 2,500</t>
        </is>
      </c>
      <c r="Q69" s="30" t="inlineStr">
        <is>
          <t xml:space="preserve">Wisconsin</t>
        </is>
      </c>
      <c r="R69" s="30" t="inlineStr">
        <is>
          <t xml:space="preserve">53202</t>
        </is>
      </c>
      <c r="S69" s="32" t="inlineStr">
        <is>
          <t xml:space="preserve">Severe convective - hail / tornado (moderate)</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17561.42</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CANON-202601-003133</t>
        </is>
      </c>
      <c r="B70" s="46" t="inlineStr">
        <is>
          <t xml:space="preserve">Aurelio Larsson</t>
        </is>
      </c>
      <c r="C70" s="47">
        <v>46038</v>
      </c>
      <c r="D70" s="48" t="inlineStr">
        <is>
          <t xml:space="preserve">Bound - within authority</t>
        </is>
      </c>
      <c r="E70" s="48" t="inlineStr">
        <is>
          <t xml:space="preserve">New business</t>
        </is>
      </c>
      <c r="F70" s="46" t="inlineStr">
        <is>
          <t xml:space="preserve">B1234EXOTIC26</t>
        </is>
      </c>
      <c r="G70" s="33">
        <f>IF($A70="","",IF($C70="","",YEAR($C70)))</f>
      </c>
      <c r="H70" s="49">
        <v>2021</v>
      </c>
      <c r="I70" s="46" t="inlineStr">
        <is>
          <t xml:space="preserve">Lamborghini</t>
        </is>
      </c>
      <c r="J70" s="46" t="inlineStr">
        <is>
          <t xml:space="preserve">Huracan EVO</t>
        </is>
      </c>
      <c r="K70" s="46" t="inlineStr">
        <is>
          <t xml:space="preserve">3BB7NCVBJC1AYM4VX</t>
        </is>
      </c>
      <c r="L70" s="48" t="inlineStr">
        <is>
          <t xml:space="preserve">03 - Supercar</t>
        </is>
      </c>
      <c r="M70" s="50">
        <v>480000</v>
      </c>
      <c r="N70" s="48" t="inlineStr">
        <is>
          <t xml:space="preserve">Personal</t>
        </is>
      </c>
      <c r="O70" s="46" t="inlineStr">
        <is>
          <t xml:space="preserve">Personal - regular use</t>
        </is>
      </c>
      <c r="P70" s="46" t="inlineStr">
        <is>
          <t xml:space="preserve">Under 1,000</t>
        </is>
      </c>
      <c r="Q70" s="46" t="inlineStr">
        <is>
          <t xml:space="preserve">Maryland</t>
        </is>
      </c>
      <c r="R70" s="46" t="inlineStr">
        <is>
          <t xml:space="preserve">21201</t>
        </is>
      </c>
      <c r="S70" s="48" t="inlineStr">
        <is>
          <t xml:space="preserve">Tier 3 - Coastal wind (25-100 miles)</t>
        </is>
      </c>
      <c r="T70" s="36">
        <f>IF($A70="","",IF($S70="","",IFERROR(INDEX('[1]natural catastrophe'!$D$6:$D$17,MATCH($S70,'[1]natural catastrophe'!$B$6:$B$17,0)),"?")))</f>
      </c>
      <c r="U70" s="46" t="inlineStr">
        <is>
          <t xml:space="preserve">2% of agreed value, minimum $10,000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8877.2</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CANON-202601-003134</t>
        </is>
      </c>
      <c r="B71" s="30" t="inlineStr">
        <is>
          <t xml:space="preserve">Delphine Rourke</t>
        </is>
      </c>
      <c r="C71" s="31">
        <v>46050</v>
      </c>
      <c r="D71" s="32" t="inlineStr">
        <is>
          <t xml:space="preserve">Bound - within authority</t>
        </is>
      </c>
      <c r="E71" s="32" t="inlineStr">
        <is>
          <t xml:space="preserve">New business</t>
        </is>
      </c>
      <c r="F71" s="30" t="inlineStr">
        <is>
          <t xml:space="preserve">B1234EXOTIC26</t>
        </is>
      </c>
      <c r="G71" s="33">
        <f>IF($A71="","",IF($C71="","",YEAR($C71)))</f>
      </c>
      <c r="H71" s="34">
        <v>1975</v>
      </c>
      <c r="I71" s="30" t="inlineStr">
        <is>
          <t xml:space="preserve">McLaren</t>
        </is>
      </c>
      <c r="J71" s="30" t="inlineStr">
        <is>
          <t xml:space="preserve">750S</t>
        </is>
      </c>
      <c r="K71" s="30" t="inlineStr">
        <is>
          <t xml:space="preserve">EYH51GWXUNFU79YTX</t>
        </is>
      </c>
      <c r="L71" s="32" t="inlineStr">
        <is>
          <t xml:space="preserve">03 - Supercar</t>
        </is>
      </c>
      <c r="M71" s="35">
        <v>1235000</v>
      </c>
      <c r="N71" s="32" t="inlineStr">
        <is>
          <t xml:space="preserve">Personal</t>
        </is>
      </c>
      <c r="O71" s="30" t="inlineStr">
        <is>
          <t xml:space="preserve">Personal - regular use</t>
        </is>
      </c>
      <c r="P71" s="30" t="inlineStr">
        <is>
          <t xml:space="preserve">1,000 - 2,500</t>
        </is>
      </c>
      <c r="Q71" s="30" t="inlineStr">
        <is>
          <t xml:space="preserve">Alabama</t>
        </is>
      </c>
      <c r="R71" s="30" t="inlineStr">
        <is>
          <t xml:space="preserve">35203</t>
        </is>
      </c>
      <c r="S71" s="32" t="inlineStr">
        <is>
          <t xml:space="preserve">Tier 2 - Coastal wind (1-25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21240.96</v>
      </c>
      <c r="AC71" s="37">
        <v>0</v>
      </c>
      <c r="AD71" s="38">
        <f>IF(ISNUMBER($AB71),$AB71*(1+N($AC71)),"")</f>
      </c>
      <c r="AE71" s="35">
        <v>350</v>
      </c>
      <c r="AF71" s="35">
        <v>250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CANON-202601-003135</t>
        </is>
      </c>
      <c r="B72" s="46" t="inlineStr">
        <is>
          <t xml:space="preserve">Cassius Harrington</t>
        </is>
      </c>
      <c r="C72" s="47">
        <v>46046</v>
      </c>
      <c r="D72" s="48" t="inlineStr">
        <is>
          <t xml:space="preserve">Bound - within authority</t>
        </is>
      </c>
      <c r="E72" s="48" t="inlineStr">
        <is>
          <t xml:space="preserve">New business</t>
        </is>
      </c>
      <c r="F72" s="46" t="inlineStr">
        <is>
          <t xml:space="preserve">B1234EXOTIC26</t>
        </is>
      </c>
      <c r="G72" s="33">
        <f>IF($A72="","",IF($C72="","",YEAR($C72)))</f>
      </c>
      <c r="H72" s="49">
        <v>2010</v>
      </c>
      <c r="I72" s="46" t="inlineStr">
        <is>
          <t xml:space="preserve">Singer</t>
        </is>
      </c>
      <c r="J72" s="46" t="inlineStr">
        <is>
          <t xml:space="preserve">911 Reimagined</t>
        </is>
      </c>
      <c r="K72" s="46" t="inlineStr">
        <is>
          <t xml:space="preserve">RN6WGVX7N4L2A05K4</t>
        </is>
      </c>
      <c r="L72" s="48" t="inlineStr">
        <is>
          <t xml:space="preserve">11 - Restomod / Coachbuilt / Bespoke</t>
        </is>
      </c>
      <c r="M72" s="50">
        <v>620000</v>
      </c>
      <c r="N72" s="48" t="inlineStr">
        <is>
          <t xml:space="preserve">Personal</t>
        </is>
      </c>
      <c r="O72" s="46" t="inlineStr">
        <is>
          <t xml:space="preserve">Personal - regular use</t>
        </is>
      </c>
      <c r="P72" s="46" t="inlineStr">
        <is>
          <t xml:space="preserve">2,500 - 5,000</t>
        </is>
      </c>
      <c r="Q72" s="46" t="inlineStr">
        <is>
          <t xml:space="preserve">South Carolina</t>
        </is>
      </c>
      <c r="R72" s="46" t="inlineStr">
        <is>
          <t xml:space="preserve">29401</t>
        </is>
      </c>
      <c r="S72" s="48" t="inlineStr">
        <is>
          <t xml:space="preserve">Tier 2 - Coastal wind (1-25 miles)</t>
        </is>
      </c>
      <c r="T72" s="36">
        <f>IF($A72="","",IF($S72="","",IFERROR(INDEX('[1]natural catastrophe'!$D$6:$D$17,MATCH($S72,'[1]natural catastrophe'!$B$6:$B$17,0)),"?")))</f>
      </c>
      <c r="U72" s="46" t="inlineStr">
        <is>
          <t xml:space="preserve">2% of agreed value, minimum $10,000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10151.3</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CANON-202601-003137</t>
        </is>
      </c>
      <c r="B73" s="30" t="inlineStr">
        <is>
          <t xml:space="preserve">Delphine Chattopadhyay</t>
        </is>
      </c>
      <c r="C73" s="31">
        <v>46028</v>
      </c>
      <c r="D73" s="32" t="inlineStr">
        <is>
          <t xml:space="preserve">Bound - within authority</t>
        </is>
      </c>
      <c r="E73" s="32" t="inlineStr">
        <is>
          <t xml:space="preserve">New business</t>
        </is>
      </c>
      <c r="F73" s="30" t="inlineStr">
        <is>
          <t xml:space="preserve">B1234EXOTIC26</t>
        </is>
      </c>
      <c r="G73" s="33">
        <f>IF($A73="","",IF($C73="","",YEAR($C73)))</f>
      </c>
      <c r="H73" s="34">
        <v>1993</v>
      </c>
      <c r="I73" s="30" t="inlineStr">
        <is>
          <t xml:space="preserve">McLaren</t>
        </is>
      </c>
      <c r="J73" s="30" t="inlineStr">
        <is>
          <t xml:space="preserve">750S</t>
        </is>
      </c>
      <c r="K73" s="30" t="inlineStr">
        <is>
          <t xml:space="preserve">HU9TM57RLVT3H8X66</t>
        </is>
      </c>
      <c r="L73" s="32" t="inlineStr">
        <is>
          <t xml:space="preserve">03 - Supercar</t>
        </is>
      </c>
      <c r="M73" s="35">
        <v>1405000</v>
      </c>
      <c r="N73" s="32" t="inlineStr">
        <is>
          <t xml:space="preserve">Personal</t>
        </is>
      </c>
      <c r="O73" s="30" t="inlineStr">
        <is>
          <t xml:space="preserve">Personal - regular use</t>
        </is>
      </c>
      <c r="P73" s="30" t="inlineStr">
        <is>
          <t xml:space="preserve">Under 1,000</t>
        </is>
      </c>
      <c r="Q73" s="30" t="inlineStr">
        <is>
          <t xml:space="preserve">Florida</t>
        </is>
      </c>
      <c r="R73" s="30" t="inlineStr">
        <is>
          <t xml:space="preserve">33139</t>
        </is>
      </c>
      <c r="S73" s="32" t="inlineStr">
        <is>
          <t xml:space="preserve">Tier 2 - Coastal wind (1-25 miles)</t>
        </is>
      </c>
      <c r="T73" s="36">
        <f>IF($A73="","",IF($S73="","",IFERROR(INDEX('[1]natural catastrophe'!$D$6:$D$17,MATCH($S73,'[1]natural catastrophe'!$B$6:$B$17,0)),"?")))</f>
      </c>
      <c r="U73" s="30" t="inlineStr">
        <is>
          <t xml:space="preserve">2% of agreed value, minimum $10,000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27018.93</v>
      </c>
      <c r="AC73" s="37">
        <v>0</v>
      </c>
      <c r="AD73" s="38">
        <f>IF(ISNUMBER($AB73),$AB73*(1+N($AC73)),"")</f>
      </c>
      <c r="AE73" s="35">
        <v>350</v>
      </c>
      <c r="AF73" s="35">
        <v>250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CANON-202601-003138</t>
        </is>
      </c>
      <c r="B74" s="46" t="inlineStr">
        <is>
          <t xml:space="preserve">Desmond Whitlock</t>
        </is>
      </c>
      <c r="C74" s="47">
        <v>46023</v>
      </c>
      <c r="D74" s="48" t="inlineStr">
        <is>
          <t xml:space="preserve">Bound - within authority</t>
        </is>
      </c>
      <c r="E74" s="48" t="inlineStr">
        <is>
          <t xml:space="preserve">New business</t>
        </is>
      </c>
      <c r="F74" s="46" t="inlineStr">
        <is>
          <t xml:space="preserve">B1234EXOTIC26</t>
        </is>
      </c>
      <c r="G74" s="33">
        <f>IF($A74="","",IF($C74="","",YEAR($C74)))</f>
      </c>
      <c r="H74" s="49">
        <v>2001</v>
      </c>
      <c r="I74" s="46" t="inlineStr">
        <is>
          <t xml:space="preserve">Mercedes-Benz</t>
        </is>
      </c>
      <c r="J74" s="46" t="inlineStr">
        <is>
          <t xml:space="preserve">AMG GT</t>
        </is>
      </c>
      <c r="K74" s="46" t="inlineStr">
        <is>
          <t xml:space="preserve">A04Y1ZCZMH6CJXTBF</t>
        </is>
      </c>
      <c r="L74" s="48" t="inlineStr">
        <is>
          <t xml:space="preserve">02 - Sports / GT</t>
        </is>
      </c>
      <c r="M74" s="50">
        <v>365000</v>
      </c>
      <c r="N74" s="48" t="inlineStr">
        <is>
          <t xml:space="preserve">Personal</t>
        </is>
      </c>
      <c r="O74" s="46" t="inlineStr">
        <is>
          <t xml:space="preserve">Personal - regular use</t>
        </is>
      </c>
      <c r="P74" s="46" t="inlineStr">
        <is>
          <t xml:space="preserve">2,500 - 5,000</t>
        </is>
      </c>
      <c r="Q74" s="46" t="inlineStr">
        <is>
          <t xml:space="preserve">Tennessee</t>
        </is>
      </c>
      <c r="R74" s="46" t="inlineStr">
        <is>
          <t xml:space="preserve">37203</t>
        </is>
      </c>
      <c r="S74" s="48" t="inlineStr">
        <is>
          <t xml:space="preserve">Severe convective - hail / tornado (moderate)</t>
        </is>
      </c>
      <c r="T74" s="36">
        <f>IF($A74="","",IF($S74="","",IFERROR(INDEX('[1]natural catastrophe'!$D$6:$D$17,MATCH($S74,'[1]natural catastrophe'!$B$6:$B$17,0)),"?")))</f>
      </c>
      <c r="U74" s="46" t="inlineStr">
        <is>
          <t xml:space="preserve">$5,000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4541.44</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CANON-202601-003139</t>
        </is>
      </c>
      <c r="B75" s="30" t="inlineStr">
        <is>
          <t xml:space="preserve">Beatrix Larsson</t>
        </is>
      </c>
      <c r="C75" s="31">
        <v>46047</v>
      </c>
      <c r="D75" s="32" t="inlineStr">
        <is>
          <t xml:space="preserve">Bound - within authority</t>
        </is>
      </c>
      <c r="E75" s="32" t="inlineStr">
        <is>
          <t xml:space="preserve">New business</t>
        </is>
      </c>
      <c r="F75" s="30" t="inlineStr">
        <is>
          <t xml:space="preserve">B1234EXOTIC26</t>
        </is>
      </c>
      <c r="G75" s="33">
        <f>IF($A75="","",IF($C75="","",YEAR($C75)))</f>
      </c>
      <c r="H75" s="34">
        <v>1957</v>
      </c>
      <c r="I75" s="30" t="inlineStr">
        <is>
          <t xml:space="preserve">Mercedes-Benz</t>
        </is>
      </c>
      <c r="J75" s="30" t="inlineStr">
        <is>
          <t xml:space="preserve">AMG GT</t>
        </is>
      </c>
      <c r="K75" s="30" t="inlineStr">
        <is>
          <t xml:space="preserve">N1XHDX88EP21P5FBS</t>
        </is>
      </c>
      <c r="L75" s="32" t="inlineStr">
        <is>
          <t xml:space="preserve">02 - Sports / GT</t>
        </is>
      </c>
      <c r="M75" s="35">
        <v>380000</v>
      </c>
      <c r="N75" s="32" t="inlineStr">
        <is>
          <t xml:space="preserve">Personal</t>
        </is>
      </c>
      <c r="O75" s="30" t="inlineStr">
        <is>
          <t xml:space="preserve">Personal - regular use</t>
        </is>
      </c>
      <c r="P75" s="30" t="inlineStr">
        <is>
          <t xml:space="preserve">2,500 - 5,000</t>
        </is>
      </c>
      <c r="Q75" s="30" t="inlineStr">
        <is>
          <t xml:space="preserve">Iowa</t>
        </is>
      </c>
      <c r="R75" s="30" t="inlineStr">
        <is>
          <t xml:space="preserve">50309</t>
        </is>
      </c>
      <c r="S75" s="32" t="inlineStr">
        <is>
          <t xml:space="preserve">Severe convective - hail alley (high)</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5307.02</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CANON-202601-003140</t>
        </is>
      </c>
      <c r="B76" s="46" t="inlineStr">
        <is>
          <t xml:space="preserve">Ingrid Ashcombe</t>
        </is>
      </c>
      <c r="C76" s="47">
        <v>46044</v>
      </c>
      <c r="D76" s="48" t="inlineStr">
        <is>
          <t xml:space="preserve">Bound - within authority</t>
        </is>
      </c>
      <c r="E76" s="48" t="inlineStr">
        <is>
          <t xml:space="preserve">New business</t>
        </is>
      </c>
      <c r="F76" s="46" t="inlineStr">
        <is>
          <t xml:space="preserve">B1234EXOTIC26</t>
        </is>
      </c>
      <c r="G76" s="33">
        <f>IF($A76="","",IF($C76="","",YEAR($C76)))</f>
      </c>
      <c r="H76" s="49">
        <v>1983</v>
      </c>
      <c r="I76" s="46" t="inlineStr">
        <is>
          <t xml:space="preserve">Aston Martin</t>
        </is>
      </c>
      <c r="J76" s="46" t="inlineStr">
        <is>
          <t xml:space="preserve">DB12</t>
        </is>
      </c>
      <c r="K76" s="46" t="inlineStr">
        <is>
          <t xml:space="preserve">6A31TG4K5XTZZYHL8</t>
        </is>
      </c>
      <c r="L76" s="48" t="inlineStr">
        <is>
          <t xml:space="preserve">02 - Sports / GT</t>
        </is>
      </c>
      <c r="M76" s="50">
        <v>955000</v>
      </c>
      <c r="N76" s="48" t="inlineStr">
        <is>
          <t xml:space="preserve">Personal</t>
        </is>
      </c>
      <c r="O76" s="46" t="inlineStr">
        <is>
          <t xml:space="preserve">Personal - regular use</t>
        </is>
      </c>
      <c r="P76" s="46" t="inlineStr">
        <is>
          <t xml:space="preserve">Under 1,000</t>
        </is>
      </c>
      <c r="Q76" s="46" t="inlineStr">
        <is>
          <t xml:space="preserve">South Carolina</t>
        </is>
      </c>
      <c r="R76" s="46" t="inlineStr">
        <is>
          <t xml:space="preserve">29401</t>
        </is>
      </c>
      <c r="S76" s="48" t="inlineStr">
        <is>
          <t xml:space="preserve">Tier 2 - Coastal wind (1-25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13030.22</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CANON-202601-003142</t>
        </is>
      </c>
      <c r="B77" s="30" t="inlineStr">
        <is>
          <t xml:space="preserve">Callum Rourke</t>
        </is>
      </c>
      <c r="C77" s="31">
        <v>46045</v>
      </c>
      <c r="D77" s="32" t="inlineStr">
        <is>
          <t xml:space="preserve">Bound - within authority</t>
        </is>
      </c>
      <c r="E77" s="32" t="inlineStr">
        <is>
          <t xml:space="preserve">New business</t>
        </is>
      </c>
      <c r="F77" s="30" t="inlineStr">
        <is>
          <t xml:space="preserve">B1234EXOTIC26</t>
        </is>
      </c>
      <c r="G77" s="33">
        <f>IF($A77="","",IF($C77="","",YEAR($C77)))</f>
      </c>
      <c r="H77" s="34">
        <v>1973</v>
      </c>
      <c r="I77" s="30" t="inlineStr">
        <is>
          <t xml:space="preserve">Bentley</t>
        </is>
      </c>
      <c r="J77" s="30" t="inlineStr">
        <is>
          <t xml:space="preserve">Continental GT</t>
        </is>
      </c>
      <c r="K77" s="30" t="inlineStr">
        <is>
          <t xml:space="preserve">B5ANS15X1NJYPFJXE</t>
        </is>
      </c>
      <c r="L77" s="32" t="inlineStr">
        <is>
          <t xml:space="preserve">02 - Sports / GT</t>
        </is>
      </c>
      <c r="M77" s="35">
        <v>440000</v>
      </c>
      <c r="N77" s="32" t="inlineStr">
        <is>
          <t xml:space="preserve">Personal</t>
        </is>
      </c>
      <c r="O77" s="30" t="inlineStr">
        <is>
          <t xml:space="preserve">Personal - regular use</t>
        </is>
      </c>
      <c r="P77" s="30" t="inlineStr">
        <is>
          <t xml:space="preserve">1,000 - 2,500</t>
        </is>
      </c>
      <c r="Q77" s="30" t="inlineStr">
        <is>
          <t xml:space="preserve">West Virginia</t>
        </is>
      </c>
      <c r="R77" s="30" t="inlineStr">
        <is>
          <t xml:space="preserve">25301</t>
        </is>
      </c>
      <c r="S77" s="32" t="inlineStr">
        <is>
          <t xml:space="preserve">Low hazard - inland benign</t>
        </is>
      </c>
      <c r="T77" s="36">
        <f>IF($A77="","",IF($S77="","",IFERROR(INDEX('[1]natural catastrophe'!$D$6:$D$17,MATCH($S77,'[1]natural catastrophe'!$B$6:$B$17,0)),"?")))</f>
      </c>
      <c r="U77" s="30" t="inlineStr">
        <is>
          <t xml:space="preserve">$5,000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7429.83</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CANON-202601-003144</t>
        </is>
      </c>
      <c r="B78" s="46" t="inlineStr">
        <is>
          <t xml:space="preserve">Priya Nakashima</t>
        </is>
      </c>
      <c r="C78" s="47">
        <v>46049</v>
      </c>
      <c r="D78" s="48" t="inlineStr">
        <is>
          <t xml:space="preserve">Bound - within authority</t>
        </is>
      </c>
      <c r="E78" s="48" t="inlineStr">
        <is>
          <t xml:space="preserve">New business</t>
        </is>
      </c>
      <c r="F78" s="46" t="inlineStr">
        <is>
          <t xml:space="preserve">B1234EXOTIC26</t>
        </is>
      </c>
      <c r="G78" s="33">
        <f>IF($A78="","",IF($C78="","",YEAR($C78)))</f>
      </c>
      <c r="H78" s="49">
        <v>2019</v>
      </c>
      <c r="I78" s="46" t="inlineStr">
        <is>
          <t xml:space="preserve">Icon</t>
        </is>
      </c>
      <c r="J78" s="46" t="inlineStr">
        <is>
          <t xml:space="preserve">Derelict</t>
        </is>
      </c>
      <c r="K78" s="46" t="inlineStr">
        <is>
          <t xml:space="preserve">1635TSS8GP4HDNL14</t>
        </is>
      </c>
      <c r="L78" s="48" t="inlineStr">
        <is>
          <t xml:space="preserve">11 - Restomod / Coachbuilt / Bespoke</t>
        </is>
      </c>
      <c r="M78" s="50">
        <v>555000</v>
      </c>
      <c r="N78" s="48" t="inlineStr">
        <is>
          <t xml:space="preserve">Personal</t>
        </is>
      </c>
      <c r="O78" s="46" t="inlineStr">
        <is>
          <t xml:space="preserve">Personal - regular use</t>
        </is>
      </c>
      <c r="P78" s="46" t="inlineStr">
        <is>
          <t xml:space="preserve">2,500 - 5,000</t>
        </is>
      </c>
      <c r="Q78" s="46" t="inlineStr">
        <is>
          <t xml:space="preserve">Alabama</t>
        </is>
      </c>
      <c r="R78" s="46" t="inlineStr">
        <is>
          <t xml:space="preserve">35203</t>
        </is>
      </c>
      <c r="S78" s="48" t="inlineStr">
        <is>
          <t xml:space="preserve">Tier 2 - Coastal wind (1-25 miles)</t>
        </is>
      </c>
      <c r="T78" s="36">
        <f>IF($A78="","",IF($S78="","",IFERROR(INDEX('[1]natural catastrophe'!$D$6:$D$17,MATCH($S78,'[1]natural catastrophe'!$B$6:$B$17,0)),"?")))</f>
      </c>
      <c r="U78" s="46" t="inlineStr">
        <is>
          <t xml:space="preserve">2% of agreed value, minimum $10,000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9306.89</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CANON-202601-003145</t>
        </is>
      </c>
      <c r="B79" s="30" t="inlineStr">
        <is>
          <t xml:space="preserve">Anouk Farkas</t>
        </is>
      </c>
      <c r="C79" s="31">
        <v>46041</v>
      </c>
      <c r="D79" s="32" t="inlineStr">
        <is>
          <t xml:space="preserve">Bound - within authority</t>
        </is>
      </c>
      <c r="E79" s="32" t="inlineStr">
        <is>
          <t xml:space="preserve">New business</t>
        </is>
      </c>
      <c r="F79" s="30" t="inlineStr">
        <is>
          <t xml:space="preserve">B1234EXOTIC26</t>
        </is>
      </c>
      <c r="G79" s="33">
        <f>IF($A79="","",IF($C79="","",YEAR($C79)))</f>
      </c>
      <c r="H79" s="34">
        <v>1974</v>
      </c>
      <c r="I79" s="30" t="inlineStr">
        <is>
          <t xml:space="preserve">Lamborghini</t>
        </is>
      </c>
      <c r="J79" s="30" t="inlineStr">
        <is>
          <t xml:space="preserve">Huracan EVO</t>
        </is>
      </c>
      <c r="K79" s="30" t="inlineStr">
        <is>
          <t xml:space="preserve">NSKE5BFD5RLHP0H2V</t>
        </is>
      </c>
      <c r="L79" s="32" t="inlineStr">
        <is>
          <t xml:space="preserve">03 - Supercar</t>
        </is>
      </c>
      <c r="M79" s="35">
        <v>950000</v>
      </c>
      <c r="N79" s="32" t="inlineStr">
        <is>
          <t xml:space="preserve">Personal</t>
        </is>
      </c>
      <c r="O79" s="30" t="inlineStr">
        <is>
          <t xml:space="preserve">Personal - regular use</t>
        </is>
      </c>
      <c r="P79" s="30" t="inlineStr">
        <is>
          <t xml:space="preserve">2,500 - 5,000</t>
        </is>
      </c>
      <c r="Q79" s="30" t="inlineStr">
        <is>
          <t xml:space="preserve">California</t>
        </is>
      </c>
      <c r="R79" s="30" t="inlineStr">
        <is>
          <t xml:space="preserve">90012</t>
        </is>
      </c>
      <c r="S79" s="32" t="inlineStr">
        <is>
          <t xml:space="preserve">Earthquake - high (CA, Cascadia, New Madrid)</t>
        </is>
      </c>
      <c r="T79" s="36">
        <f>IF($A79="","",IF($S79="","",IFERROR(INDEX('[1]natural catastrophe'!$D$6:$D$17,MATCH($S79,'[1]natural catastrophe'!$B$6:$B$17,0)),"?")))</f>
      </c>
      <c r="U79" s="30" t="inlineStr">
        <is>
          <t xml:space="preserve">$5,000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20625.02</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CANON-202601-003147</t>
        </is>
      </c>
      <c r="B80" s="46" t="inlineStr">
        <is>
          <t xml:space="preserve">Leopold Castellanos</t>
        </is>
      </c>
      <c r="C80" s="47">
        <v>46050</v>
      </c>
      <c r="D80" s="48" t="inlineStr">
        <is>
          <t xml:space="preserve">Bound - within authority</t>
        </is>
      </c>
      <c r="E80" s="48" t="inlineStr">
        <is>
          <t xml:space="preserve">New business</t>
        </is>
      </c>
      <c r="F80" s="46" t="inlineStr">
        <is>
          <t xml:space="preserve">B1234EXOTIC26</t>
        </is>
      </c>
      <c r="G80" s="33">
        <f>IF($A80="","",IF($C80="","",YEAR($C80)))</f>
      </c>
      <c r="H80" s="49">
        <v>1981</v>
      </c>
      <c r="I80" s="46" t="inlineStr">
        <is>
          <t xml:space="preserve">Ferrari</t>
        </is>
      </c>
      <c r="J80" s="46" t="inlineStr">
        <is>
          <t xml:space="preserve">SF90 Stradale</t>
        </is>
      </c>
      <c r="K80" s="46" t="inlineStr">
        <is>
          <t xml:space="preserve">FRFX1T2P7B4U91080</t>
        </is>
      </c>
      <c r="L80" s="48" t="inlineStr">
        <is>
          <t xml:space="preserve">03 - Supercar</t>
        </is>
      </c>
      <c r="M80" s="50">
        <v>390000</v>
      </c>
      <c r="N80" s="48" t="inlineStr">
        <is>
          <t xml:space="preserve">Personal</t>
        </is>
      </c>
      <c r="O80" s="46" t="inlineStr">
        <is>
          <t xml:space="preserve">Personal - regular use</t>
        </is>
      </c>
      <c r="P80" s="46" t="inlineStr">
        <is>
          <t xml:space="preserve">2,500 - 5,000</t>
        </is>
      </c>
      <c r="Q80" s="46" t="inlineStr">
        <is>
          <t xml:space="preserve">Michigan</t>
        </is>
      </c>
      <c r="R80" s="46" t="inlineStr">
        <is>
          <t xml:space="preserve">48226</t>
        </is>
      </c>
      <c r="S80" s="48" t="inlineStr">
        <is>
          <t xml:space="preserve">Severe convective - hail / tornado (moderate)</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11768.13</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CANON-202601-003149</t>
        </is>
      </c>
      <c r="B81" s="30" t="inlineStr">
        <is>
          <t xml:space="preserve">Beatrix Nakashima</t>
        </is>
      </c>
      <c r="C81" s="31">
        <v>46041</v>
      </c>
      <c r="D81" s="32" t="inlineStr">
        <is>
          <t xml:space="preserve">Bound - within authority</t>
        </is>
      </c>
      <c r="E81" s="32" t="inlineStr">
        <is>
          <t xml:space="preserve">New business</t>
        </is>
      </c>
      <c r="F81" s="30" t="inlineStr">
        <is>
          <t xml:space="preserve">B1234EXOTIC26</t>
        </is>
      </c>
      <c r="G81" s="33">
        <f>IF($A81="","",IF($C81="","",YEAR($C81)))</f>
      </c>
      <c r="H81" s="34">
        <v>1982</v>
      </c>
      <c r="I81" s="30" t="inlineStr">
        <is>
          <t xml:space="preserve">Ferrari</t>
        </is>
      </c>
      <c r="J81" s="30" t="inlineStr">
        <is>
          <t xml:space="preserve">SF90 Stradale</t>
        </is>
      </c>
      <c r="K81" s="30" t="inlineStr">
        <is>
          <t xml:space="preserve">4P9P1R297F7Y1UJ7C</t>
        </is>
      </c>
      <c r="L81" s="32" t="inlineStr">
        <is>
          <t xml:space="preserve">03 - Supercar</t>
        </is>
      </c>
      <c r="M81" s="35">
        <v>395000</v>
      </c>
      <c r="N81" s="32" t="inlineStr">
        <is>
          <t xml:space="preserve">Personal</t>
        </is>
      </c>
      <c r="O81" s="30" t="inlineStr">
        <is>
          <t xml:space="preserve">Personal - regular use</t>
        </is>
      </c>
      <c r="P81" s="30" t="inlineStr">
        <is>
          <t xml:space="preserve">1,000 - 2,500</t>
        </is>
      </c>
      <c r="Q81" s="30" t="inlineStr">
        <is>
          <t xml:space="preserve">Rhode Island</t>
        </is>
      </c>
      <c r="R81" s="30" t="inlineStr">
        <is>
          <t xml:space="preserve">02903</t>
        </is>
      </c>
      <c r="S81" s="32" t="inlineStr">
        <is>
          <t xml:space="preserve">Tier 3 - Coastal wind (25-100 miles)</t>
        </is>
      </c>
      <c r="T81" s="36">
        <f>IF($A81="","",IF($S81="","",IFERROR(INDEX('[1]natural catastrophe'!$D$6:$D$17,MATCH($S81,'[1]natural catastrophe'!$B$6:$B$17,0)),"?")))</f>
      </c>
      <c r="U81" s="30" t="inlineStr">
        <is>
          <t xml:space="preserve">2% of agreed value, minimum $10,000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10534.86</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CANON-202601-003151</t>
        </is>
      </c>
      <c r="B82" s="46" t="inlineStr">
        <is>
          <t xml:space="preserve">Mireille Rourke</t>
        </is>
      </c>
      <c r="C82" s="47">
        <v>46030</v>
      </c>
      <c r="D82" s="48" t="inlineStr">
        <is>
          <t xml:space="preserve">Bound - within authority</t>
        </is>
      </c>
      <c r="E82" s="48" t="inlineStr">
        <is>
          <t xml:space="preserve">New business</t>
        </is>
      </c>
      <c r="F82" s="46" t="inlineStr">
        <is>
          <t xml:space="preserve">B1234EXOTIC26</t>
        </is>
      </c>
      <c r="G82" s="33">
        <f>IF($A82="","",IF($C82="","",YEAR($C82)))</f>
      </c>
      <c r="H82" s="49">
        <v>1968</v>
      </c>
      <c r="I82" s="46" t="inlineStr">
        <is>
          <t xml:space="preserve">Aston Martin</t>
        </is>
      </c>
      <c r="J82" s="46" t="inlineStr">
        <is>
          <t xml:space="preserve">DB12</t>
        </is>
      </c>
      <c r="K82" s="46" t="inlineStr">
        <is>
          <t xml:space="preserve">BDJZWT9JSDZWCNYVR</t>
        </is>
      </c>
      <c r="L82" s="48" t="inlineStr">
        <is>
          <t xml:space="preserve">02 - Sports / GT</t>
        </is>
      </c>
      <c r="M82" s="50">
        <v>990000</v>
      </c>
      <c r="N82" s="48" t="inlineStr">
        <is>
          <t xml:space="preserve">Personal</t>
        </is>
      </c>
      <c r="O82" s="46" t="inlineStr">
        <is>
          <t xml:space="preserve">Personal - regular use</t>
        </is>
      </c>
      <c r="P82" s="46" t="inlineStr">
        <is>
          <t xml:space="preserve">2,500 - 5,000</t>
        </is>
      </c>
      <c r="Q82" s="46" t="inlineStr">
        <is>
          <t xml:space="preserve">California</t>
        </is>
      </c>
      <c r="R82" s="46" t="inlineStr">
        <is>
          <t xml:space="preserve">90012</t>
        </is>
      </c>
      <c r="S82" s="48" t="inlineStr">
        <is>
          <t xml:space="preserve">Earthquake - high (CA, Cascadia, New Madrid)</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14706.04</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CANON-202601-003153</t>
        </is>
      </c>
      <c r="B83" s="30" t="inlineStr">
        <is>
          <t xml:space="preserve">Priya Whitlock</t>
        </is>
      </c>
      <c r="C83" s="31">
        <v>46045</v>
      </c>
      <c r="D83" s="32" t="inlineStr">
        <is>
          <t xml:space="preserve">Bound - within authority</t>
        </is>
      </c>
      <c r="E83" s="32" t="inlineStr">
        <is>
          <t xml:space="preserve">New business</t>
        </is>
      </c>
      <c r="F83" s="30" t="inlineStr">
        <is>
          <t xml:space="preserve">B1234EXOTIC26</t>
        </is>
      </c>
      <c r="G83" s="33">
        <f>IF($A83="","",IF($C83="","",YEAR($C83)))</f>
      </c>
      <c r="H83" s="34">
        <v>1995</v>
      </c>
      <c r="I83" s="30" t="inlineStr">
        <is>
          <t xml:space="preserve">Jaguar</t>
        </is>
      </c>
      <c r="J83" s="30" t="inlineStr">
        <is>
          <t xml:space="preserve">E-Type Series 1</t>
        </is>
      </c>
      <c r="K83" s="30" t="inlineStr">
        <is>
          <t xml:space="preserve">3GXF2ART3X1JBFVFT</t>
        </is>
      </c>
      <c r="L83" s="32" t="inlineStr">
        <is>
          <t xml:space="preserve">08 - Modern Classic (1973-1999)</t>
        </is>
      </c>
      <c r="M83" s="35">
        <v>1615000</v>
      </c>
      <c r="N83" s="32" t="inlineStr">
        <is>
          <t xml:space="preserve">Personal</t>
        </is>
      </c>
      <c r="O83" s="30" t="inlineStr">
        <is>
          <t xml:space="preserve">Personal - regular use</t>
        </is>
      </c>
      <c r="P83" s="30" t="inlineStr">
        <is>
          <t xml:space="preserve">1,000 - 2,500</t>
        </is>
      </c>
      <c r="Q83" s="30" t="inlineStr">
        <is>
          <t xml:space="preserve">California</t>
        </is>
      </c>
      <c r="R83" s="30" t="inlineStr">
        <is>
          <t xml:space="preserve">90012</t>
        </is>
      </c>
      <c r="S83" s="32" t="inlineStr">
        <is>
          <t xml:space="preserve">Earthquake - high (CA, Cascadia, New Madrid)</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14025.01</v>
      </c>
      <c r="AC83" s="37">
        <v>0</v>
      </c>
      <c r="AD83" s="38">
        <f>IF(ISNUMBER($AB83),$AB83*(1+N($AC83)),"")</f>
      </c>
      <c r="AE83" s="35">
        <v>350</v>
      </c>
      <c r="AF83" s="35">
        <v>250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CANON-202601-003154</t>
        </is>
      </c>
      <c r="B84" s="46" t="inlineStr">
        <is>
          <t xml:space="preserve">Horace Chattopadhyay</t>
        </is>
      </c>
      <c r="C84" s="47">
        <v>46044</v>
      </c>
      <c r="D84" s="48" t="inlineStr">
        <is>
          <t xml:space="preserve">Bound - within authority</t>
        </is>
      </c>
      <c r="E84" s="48" t="inlineStr">
        <is>
          <t xml:space="preserve">New business</t>
        </is>
      </c>
      <c r="F84" s="46" t="inlineStr">
        <is>
          <t xml:space="preserve">B1234EXOTIC26</t>
        </is>
      </c>
      <c r="G84" s="33">
        <f>IF($A84="","",IF($C84="","",YEAR($C84)))</f>
      </c>
      <c r="H84" s="49">
        <v>1988</v>
      </c>
      <c r="I84" s="46" t="inlineStr">
        <is>
          <t xml:space="preserve">BMW</t>
        </is>
      </c>
      <c r="J84" s="46" t="inlineStr">
        <is>
          <t xml:space="preserve">M8 Competition</t>
        </is>
      </c>
      <c r="K84" s="46" t="inlineStr">
        <is>
          <t xml:space="preserve">JUXXURLZ8AWTH88H5</t>
        </is>
      </c>
      <c r="L84" s="48" t="inlineStr">
        <is>
          <t xml:space="preserve">02 - Sports / GT</t>
        </is>
      </c>
      <c r="M84" s="50">
        <v>660000</v>
      </c>
      <c r="N84" s="48" t="inlineStr">
        <is>
          <t xml:space="preserve">Personal</t>
        </is>
      </c>
      <c r="O84" s="46" t="inlineStr">
        <is>
          <t xml:space="preserve">Personal - regular use</t>
        </is>
      </c>
      <c r="P84" s="46" t="inlineStr">
        <is>
          <t xml:space="preserve">2,500 - 5,000</t>
        </is>
      </c>
      <c r="Q84" s="46" t="inlineStr">
        <is>
          <t xml:space="preserve">Virginia</t>
        </is>
      </c>
      <c r="R84" s="46" t="inlineStr">
        <is>
          <t xml:space="preserve">23219</t>
        </is>
      </c>
      <c r="S84" s="48" t="inlineStr">
        <is>
          <t xml:space="preserve">Tier 3 - Coastal wind (25-100 miles)</t>
        </is>
      </c>
      <c r="T84" s="36">
        <f>IF($A84="","",IF($S84="","",IFERROR(INDEX('[1]natural catastrophe'!$D$6:$D$17,MATCH($S84,'[1]natural catastrophe'!$B$6:$B$17,0)),"?")))</f>
      </c>
      <c r="U84" s="46" t="inlineStr">
        <is>
          <t xml:space="preserve">2% of agreed value, minimum $10,000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7915.84</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CANON-202601-003156</t>
        </is>
      </c>
      <c r="B85" s="30" t="inlineStr">
        <is>
          <t xml:space="preserve">Horace Vasquez</t>
        </is>
      </c>
      <c r="C85" s="31">
        <v>46027</v>
      </c>
      <c r="D85" s="32" t="inlineStr">
        <is>
          <t xml:space="preserve">Bound - within authority</t>
        </is>
      </c>
      <c r="E85" s="32" t="inlineStr">
        <is>
          <t xml:space="preserve">New business</t>
        </is>
      </c>
      <c r="F85" s="30" t="inlineStr">
        <is>
          <t xml:space="preserve">B1234EXOTIC26</t>
        </is>
      </c>
      <c r="G85" s="33">
        <f>IF($A85="","",IF($C85="","",YEAR($C85)))</f>
      </c>
      <c r="H85" s="34">
        <v>1962</v>
      </c>
      <c r="I85" s="30" t="inlineStr">
        <is>
          <t xml:space="preserve">Ferrari</t>
        </is>
      </c>
      <c r="J85" s="30" t="inlineStr">
        <is>
          <t xml:space="preserve">275 GTB/4</t>
        </is>
      </c>
      <c r="K85" s="30" t="inlineStr">
        <is>
          <t xml:space="preserve">555UL0LCFGXG9JNKZ</t>
        </is>
      </c>
      <c r="L85" s="32" t="inlineStr">
        <is>
          <t xml:space="preserve">07 - Post-War Classic (1946-1972)</t>
        </is>
      </c>
      <c r="M85" s="35">
        <v>1610000</v>
      </c>
      <c r="N85" s="32" t="inlineStr">
        <is>
          <t xml:space="preserve">Personal</t>
        </is>
      </c>
      <c r="O85" s="30" t="inlineStr">
        <is>
          <t xml:space="preserve">Personal - regular use</t>
        </is>
      </c>
      <c r="P85" s="30" t="inlineStr">
        <is>
          <t xml:space="preserve">2,500 - 5,000</t>
        </is>
      </c>
      <c r="Q85" s="30" t="inlineStr">
        <is>
          <t xml:space="preserve">Minnesota</t>
        </is>
      </c>
      <c r="R85" s="30" t="inlineStr">
        <is>
          <t xml:space="preserve">55401</t>
        </is>
      </c>
      <c r="S85" s="32" t="inlineStr">
        <is>
          <t xml:space="preserve">Severe convective - hail / tornado (moderate)</t>
        </is>
      </c>
      <c r="T85" s="36">
        <f>IF($A85="","",IF($S85="","",IFERROR(INDEX('[1]natural catastrophe'!$D$6:$D$17,MATCH($S85,'[1]natural catastrophe'!$B$6:$B$17,0)),"?")))</f>
      </c>
      <c r="U85" s="30" t="inlineStr">
        <is>
          <t xml:space="preserve">$5,000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13670.89</v>
      </c>
      <c r="AC85" s="37">
        <v>0</v>
      </c>
      <c r="AD85" s="38">
        <f>IF(ISNUMBER($AB85),$AB85*(1+N($AC85)),"")</f>
      </c>
      <c r="AE85" s="35">
        <v>350</v>
      </c>
      <c r="AF85" s="35">
        <v>250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CANON-202601-003157</t>
        </is>
      </c>
      <c r="B86" s="46" t="inlineStr">
        <is>
          <t xml:space="preserve">Ramona Castellanos</t>
        </is>
      </c>
      <c r="C86" s="47">
        <v>46025</v>
      </c>
      <c r="D86" s="48" t="inlineStr">
        <is>
          <t xml:space="preserve">Bound - within authority</t>
        </is>
      </c>
      <c r="E86" s="48" t="inlineStr">
        <is>
          <t xml:space="preserve">New business</t>
        </is>
      </c>
      <c r="F86" s="46" t="inlineStr">
        <is>
          <t xml:space="preserve">B1234EXOTIC26</t>
        </is>
      </c>
      <c r="G86" s="33">
        <f>IF($A86="","",IF($C86="","",YEAR($C86)))</f>
      </c>
      <c r="H86" s="49">
        <v>1957</v>
      </c>
      <c r="I86" s="46" t="inlineStr">
        <is>
          <t xml:space="preserve">Maserati</t>
        </is>
      </c>
      <c r="J86" s="46" t="inlineStr">
        <is>
          <t xml:space="preserve">GranTurismo</t>
        </is>
      </c>
      <c r="K86" s="46" t="inlineStr">
        <is>
          <t xml:space="preserve">DZR9EXKGBE3L6P54W</t>
        </is>
      </c>
      <c r="L86" s="48" t="inlineStr">
        <is>
          <t xml:space="preserve">02 - Sports / GT</t>
        </is>
      </c>
      <c r="M86" s="50">
        <v>545000</v>
      </c>
      <c r="N86" s="48" t="inlineStr">
        <is>
          <t xml:space="preserve">Personal</t>
        </is>
      </c>
      <c r="O86" s="46" t="inlineStr">
        <is>
          <t xml:space="preserve">Personal - regular use</t>
        </is>
      </c>
      <c r="P86" s="46" t="inlineStr">
        <is>
          <t xml:space="preserve">1,000 - 2,500</t>
        </is>
      </c>
      <c r="Q86" s="46" t="inlineStr">
        <is>
          <t xml:space="preserve">Vermont</t>
        </is>
      </c>
      <c r="R86" s="46" t="inlineStr">
        <is>
          <t xml:space="preserve">05601</t>
        </is>
      </c>
      <c r="S86" s="48" t="inlineStr">
        <is>
          <t xml:space="preserve">Low hazard - inland benign</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7316.15</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CANON-202601-003158</t>
        </is>
      </c>
      <c r="B87" s="30" t="inlineStr">
        <is>
          <t xml:space="preserve">Horace Vandermeer</t>
        </is>
      </c>
      <c r="C87" s="31">
        <v>46046</v>
      </c>
      <c r="D87" s="32" t="inlineStr">
        <is>
          <t xml:space="preserve">Bound - within authority</t>
        </is>
      </c>
      <c r="E87" s="32" t="inlineStr">
        <is>
          <t xml:space="preserve">New business</t>
        </is>
      </c>
      <c r="F87" s="30" t="inlineStr">
        <is>
          <t xml:space="preserve">B1234EXOTIC26</t>
        </is>
      </c>
      <c r="G87" s="33">
        <f>IF($A87="","",IF($C87="","",YEAR($C87)))</f>
      </c>
      <c r="H87" s="34">
        <v>1974</v>
      </c>
      <c r="I87" s="30" t="inlineStr">
        <is>
          <t xml:space="preserve">Bentley</t>
        </is>
      </c>
      <c r="J87" s="30" t="inlineStr">
        <is>
          <t xml:space="preserve">4.5 Litre</t>
        </is>
      </c>
      <c r="K87" s="30" t="inlineStr">
        <is>
          <t xml:space="preserve">T9XC500Y6WVX2MXSW</t>
        </is>
      </c>
      <c r="L87" s="32" t="inlineStr">
        <is>
          <t xml:space="preserve">08 - Modern Classic (1973-1999)</t>
        </is>
      </c>
      <c r="M87" s="35">
        <v>580000</v>
      </c>
      <c r="N87" s="32" t="inlineStr">
        <is>
          <t xml:space="preserve">Personal</t>
        </is>
      </c>
      <c r="O87" s="30" t="inlineStr">
        <is>
          <t xml:space="preserve">Personal - regular use</t>
        </is>
      </c>
      <c r="P87" s="30" t="inlineStr">
        <is>
          <t xml:space="preserve">Under 1,000</t>
        </is>
      </c>
      <c r="Q87" s="30" t="inlineStr">
        <is>
          <t xml:space="preserve">Ohio</t>
        </is>
      </c>
      <c r="R87" s="30" t="inlineStr">
        <is>
          <t xml:space="preserve">43215</t>
        </is>
      </c>
      <c r="S87" s="32" t="inlineStr">
        <is>
          <t xml:space="preserve">Severe convective - hail / tornado (moderate)</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5186.09</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CANON-202601-003159</t>
        </is>
      </c>
      <c r="B88" s="46" t="inlineStr">
        <is>
          <t xml:space="preserve">Horace Okonkwo</t>
        </is>
      </c>
      <c r="C88" s="47">
        <v>46039</v>
      </c>
      <c r="D88" s="48" t="inlineStr">
        <is>
          <t xml:space="preserve">Bound - within authority</t>
        </is>
      </c>
      <c r="E88" s="48" t="inlineStr">
        <is>
          <t xml:space="preserve">New business</t>
        </is>
      </c>
      <c r="F88" s="46" t="inlineStr">
        <is>
          <t xml:space="preserve">B1234EXOTIC26</t>
        </is>
      </c>
      <c r="G88" s="33">
        <f>IF($A88="","",IF($C88="","",YEAR($C88)))</f>
      </c>
      <c r="H88" s="49">
        <v>1994</v>
      </c>
      <c r="I88" s="46" t="inlineStr">
        <is>
          <t xml:space="preserve">Maserati</t>
        </is>
      </c>
      <c r="J88" s="46" t="inlineStr">
        <is>
          <t xml:space="preserve">GranTurismo</t>
        </is>
      </c>
      <c r="K88" s="46" t="inlineStr">
        <is>
          <t xml:space="preserve">JNS64J0A3FY42G5E9</t>
        </is>
      </c>
      <c r="L88" s="48" t="inlineStr">
        <is>
          <t xml:space="preserve">02 - Sports / GT</t>
        </is>
      </c>
      <c r="M88" s="50">
        <v>555000</v>
      </c>
      <c r="N88" s="48" t="inlineStr">
        <is>
          <t xml:space="preserve">Personal</t>
        </is>
      </c>
      <c r="O88" s="46" t="inlineStr">
        <is>
          <t xml:space="preserve">Personal - regular use</t>
        </is>
      </c>
      <c r="P88" s="46" t="inlineStr">
        <is>
          <t xml:space="preserve">Under 1,000</t>
        </is>
      </c>
      <c r="Q88" s="46" t="inlineStr">
        <is>
          <t xml:space="preserve">Idaho</t>
        </is>
      </c>
      <c r="R88" s="46" t="inlineStr">
        <is>
          <t xml:space="preserve">83702</t>
        </is>
      </c>
      <c r="S88" s="48" t="inlineStr">
        <is>
          <t xml:space="preserve">Wildfire - WUI high hazard</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6045.82</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CANON-202601-003162</t>
        </is>
      </c>
      <c r="B89" s="30" t="inlineStr">
        <is>
          <t xml:space="preserve">Mireille Larsson</t>
        </is>
      </c>
      <c r="C89" s="31">
        <v>46030</v>
      </c>
      <c r="D89" s="32" t="inlineStr">
        <is>
          <t xml:space="preserve">Bound - within authority</t>
        </is>
      </c>
      <c r="E89" s="32" t="inlineStr">
        <is>
          <t xml:space="preserve">New business</t>
        </is>
      </c>
      <c r="F89" s="30" t="inlineStr">
        <is>
          <t xml:space="preserve">B1234EXOTIC26</t>
        </is>
      </c>
      <c r="G89" s="33">
        <f>IF($A89="","",IF($C89="","",YEAR($C89)))</f>
      </c>
      <c r="H89" s="34">
        <v>1976</v>
      </c>
      <c r="I89" s="30" t="inlineStr">
        <is>
          <t xml:space="preserve">Aston Martin</t>
        </is>
      </c>
      <c r="J89" s="30" t="inlineStr">
        <is>
          <t xml:space="preserve">DB12</t>
        </is>
      </c>
      <c r="K89" s="30" t="inlineStr">
        <is>
          <t xml:space="preserve">DV7B8GA92EB1U2F76</t>
        </is>
      </c>
      <c r="L89" s="32" t="inlineStr">
        <is>
          <t xml:space="preserve">02 - Sports / GT</t>
        </is>
      </c>
      <c r="M89" s="35">
        <v>715000</v>
      </c>
      <c r="N89" s="32" t="inlineStr">
        <is>
          <t xml:space="preserve">Personal</t>
        </is>
      </c>
      <c r="O89" s="30" t="inlineStr">
        <is>
          <t xml:space="preserve">Personal - regular use</t>
        </is>
      </c>
      <c r="P89" s="30" t="inlineStr">
        <is>
          <t xml:space="preserve">2,500 - 5,000</t>
        </is>
      </c>
      <c r="Q89" s="30" t="inlineStr">
        <is>
          <t xml:space="preserve">New Jersey</t>
        </is>
      </c>
      <c r="R89" s="30" t="inlineStr">
        <is>
          <t xml:space="preserve">07102</t>
        </is>
      </c>
      <c r="S89" s="32" t="inlineStr">
        <is>
          <t xml:space="preserve">Tier 3 - Coastal wind (25-100 miles)</t>
        </is>
      </c>
      <c r="T89" s="36">
        <f>IF($A89="","",IF($S89="","",IFERROR(INDEX('[1]natural catastrophe'!$D$6:$D$17,MATCH($S89,'[1]natural catastrophe'!$B$6:$B$17,0)),"?")))</f>
      </c>
      <c r="U89" s="30" t="inlineStr">
        <is>
          <t xml:space="preserve">2% of agreed value, minimum $10,000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7159.36</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CANON-202601-003163</t>
        </is>
      </c>
      <c r="B90" s="46" t="inlineStr">
        <is>
          <t xml:space="preserve">Ingrid Harrington</t>
        </is>
      </c>
      <c r="C90" s="47">
        <v>46045</v>
      </c>
      <c r="D90" s="48" t="inlineStr">
        <is>
          <t xml:space="preserve">Bound - within authority</t>
        </is>
      </c>
      <c r="E90" s="48" t="inlineStr">
        <is>
          <t xml:space="preserve">New business</t>
        </is>
      </c>
      <c r="F90" s="46" t="inlineStr">
        <is>
          <t xml:space="preserve">B1234EXOTIC26</t>
        </is>
      </c>
      <c r="G90" s="33">
        <f>IF($A90="","",IF($C90="","",YEAR($C90)))</f>
      </c>
      <c r="H90" s="49">
        <v>1959</v>
      </c>
      <c r="I90" s="46" t="inlineStr">
        <is>
          <t xml:space="preserve">Ferrari</t>
        </is>
      </c>
      <c r="J90" s="46" t="inlineStr">
        <is>
          <t xml:space="preserve">SF90 Stradale</t>
        </is>
      </c>
      <c r="K90" s="46" t="inlineStr">
        <is>
          <t xml:space="preserve">R3MLHUEYRCRCTPR12</t>
        </is>
      </c>
      <c r="L90" s="48" t="inlineStr">
        <is>
          <t xml:space="preserve">03 - Supercar</t>
        </is>
      </c>
      <c r="M90" s="50">
        <v>500000</v>
      </c>
      <c r="N90" s="48" t="inlineStr">
        <is>
          <t xml:space="preserve">Personal</t>
        </is>
      </c>
      <c r="O90" s="46" t="inlineStr">
        <is>
          <t xml:space="preserve">Personal - regular use</t>
        </is>
      </c>
      <c r="P90" s="46" t="inlineStr">
        <is>
          <t xml:space="preserve">2,500 - 5,000</t>
        </is>
      </c>
      <c r="Q90" s="46" t="inlineStr">
        <is>
          <t xml:space="preserve">New York</t>
        </is>
      </c>
      <c r="R90" s="46" t="inlineStr">
        <is>
          <t xml:space="preserve">10022</t>
        </is>
      </c>
      <c r="S90" s="48" t="inlineStr">
        <is>
          <t xml:space="preserve">Tier 3 - Coastal wind (25-100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10292.41</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CANON-202601-003164</t>
        </is>
      </c>
      <c r="B91" s="30" t="inlineStr">
        <is>
          <t xml:space="preserve">Aurelio Montoya</t>
        </is>
      </c>
      <c r="C91" s="31">
        <v>46026</v>
      </c>
      <c r="D91" s="32" t="inlineStr">
        <is>
          <t xml:space="preserve">Bound - within authority</t>
        </is>
      </c>
      <c r="E91" s="32" t="inlineStr">
        <is>
          <t xml:space="preserve">New business</t>
        </is>
      </c>
      <c r="F91" s="30" t="inlineStr">
        <is>
          <t xml:space="preserve">B1234EXOTIC26</t>
        </is>
      </c>
      <c r="G91" s="33">
        <f>IF($A91="","",IF($C91="","",YEAR($C91)))</f>
      </c>
      <c r="H91" s="34">
        <v>1976</v>
      </c>
      <c r="I91" s="30" t="inlineStr">
        <is>
          <t xml:space="preserve">Ferrari</t>
        </is>
      </c>
      <c r="J91" s="30" t="inlineStr">
        <is>
          <t xml:space="preserve">SF90 Stradale</t>
        </is>
      </c>
      <c r="K91" s="30" t="inlineStr">
        <is>
          <t xml:space="preserve">M8A4ESVW1H9H6VFLT</t>
        </is>
      </c>
      <c r="L91" s="32" t="inlineStr">
        <is>
          <t xml:space="preserve">03 - Supercar</t>
        </is>
      </c>
      <c r="M91" s="35">
        <v>1205000</v>
      </c>
      <c r="N91" s="32" t="inlineStr">
        <is>
          <t xml:space="preserve">Personal</t>
        </is>
      </c>
      <c r="O91" s="30" t="inlineStr">
        <is>
          <t xml:space="preserve">Personal - regular use</t>
        </is>
      </c>
      <c r="P91" s="30" t="inlineStr">
        <is>
          <t xml:space="preserve">Under 1,000</t>
        </is>
      </c>
      <c r="Q91" s="30" t="inlineStr">
        <is>
          <t xml:space="preserve">Oregon</t>
        </is>
      </c>
      <c r="R91" s="30" t="inlineStr">
        <is>
          <t xml:space="preserve">97204</t>
        </is>
      </c>
      <c r="S91" s="32" t="inlineStr">
        <is>
          <t xml:space="preserve">Earthquake - high (CA, Cascadia, New Madrid)</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18440.34</v>
      </c>
      <c r="AC91" s="37">
        <v>0</v>
      </c>
      <c r="AD91" s="38">
        <f>IF(ISNUMBER($AB91),$AB91*(1+N($AC91)),"")</f>
      </c>
      <c r="AE91" s="35">
        <v>350</v>
      </c>
      <c r="AF91" s="35">
        <v>250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CANON-202601-003165</t>
        </is>
      </c>
      <c r="B92" s="46" t="inlineStr">
        <is>
          <t xml:space="preserve">Everett Underwood</t>
        </is>
      </c>
      <c r="C92" s="47">
        <v>46040</v>
      </c>
      <c r="D92" s="48" t="inlineStr">
        <is>
          <t xml:space="preserve">Bound - within authority</t>
        </is>
      </c>
      <c r="E92" s="48" t="inlineStr">
        <is>
          <t xml:space="preserve">New business</t>
        </is>
      </c>
      <c r="F92" s="46" t="inlineStr">
        <is>
          <t xml:space="preserve">B1234EXOTIC26</t>
        </is>
      </c>
      <c r="G92" s="33">
        <f>IF($A92="","",IF($C92="","",YEAR($C92)))</f>
      </c>
      <c r="H92" s="49">
        <v>2015</v>
      </c>
      <c r="I92" s="46" t="inlineStr">
        <is>
          <t xml:space="preserve">Mercedes-Benz</t>
        </is>
      </c>
      <c r="J92" s="46" t="inlineStr">
        <is>
          <t xml:space="preserve">AMG GT</t>
        </is>
      </c>
      <c r="K92" s="46" t="inlineStr">
        <is>
          <t xml:space="preserve">R9UJPBT9RKVXPUVMX</t>
        </is>
      </c>
      <c r="L92" s="48" t="inlineStr">
        <is>
          <t xml:space="preserve">02 - Sports / GT</t>
        </is>
      </c>
      <c r="M92" s="50">
        <v>300000</v>
      </c>
      <c r="N92" s="48" t="inlineStr">
        <is>
          <t xml:space="preserve">Personal</t>
        </is>
      </c>
      <c r="O92" s="46" t="inlineStr">
        <is>
          <t xml:space="preserve">Personal - regular use</t>
        </is>
      </c>
      <c r="P92" s="46" t="inlineStr">
        <is>
          <t xml:space="preserve">1,000 - 2,500</t>
        </is>
      </c>
      <c r="Q92" s="46" t="inlineStr">
        <is>
          <t xml:space="preserve">Washington</t>
        </is>
      </c>
      <c r="R92" s="46" t="inlineStr">
        <is>
          <t xml:space="preserve">98101</t>
        </is>
      </c>
      <c r="S92" s="48" t="inlineStr">
        <is>
          <t xml:space="preserve">Earthquake - high (CA, Cascadia, New Madrid)</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3656.51</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CANON-202601-003166</t>
        </is>
      </c>
      <c r="B93" s="30" t="inlineStr">
        <is>
          <t xml:space="preserve">Beatrix Harrington</t>
        </is>
      </c>
      <c r="C93" s="31">
        <v>46030</v>
      </c>
      <c r="D93" s="32" t="inlineStr">
        <is>
          <t xml:space="preserve">Bound - within authority</t>
        </is>
      </c>
      <c r="E93" s="32" t="inlineStr">
        <is>
          <t xml:space="preserve">New business</t>
        </is>
      </c>
      <c r="F93" s="30" t="inlineStr">
        <is>
          <t xml:space="preserve">B1234EXOTIC26</t>
        </is>
      </c>
      <c r="G93" s="33">
        <f>IF($A93="","",IF($C93="","",YEAR($C93)))</f>
      </c>
      <c r="H93" s="34">
        <v>1959</v>
      </c>
      <c r="I93" s="30" t="inlineStr">
        <is>
          <t xml:space="preserve">Bentley</t>
        </is>
      </c>
      <c r="J93" s="30" t="inlineStr">
        <is>
          <t xml:space="preserve">Continental GT</t>
        </is>
      </c>
      <c r="K93" s="30" t="inlineStr">
        <is>
          <t xml:space="preserve">6D0SSAPJRUVU71UGS</t>
        </is>
      </c>
      <c r="L93" s="32" t="inlineStr">
        <is>
          <t xml:space="preserve">02 - Sports / GT</t>
        </is>
      </c>
      <c r="M93" s="35">
        <v>650000</v>
      </c>
      <c r="N93" s="32" t="inlineStr">
        <is>
          <t xml:space="preserve">Personal</t>
        </is>
      </c>
      <c r="O93" s="30" t="inlineStr">
        <is>
          <t xml:space="preserve">Personal - regular use</t>
        </is>
      </c>
      <c r="P93" s="30" t="inlineStr">
        <is>
          <t xml:space="preserve">Under 1,000</t>
        </is>
      </c>
      <c r="Q93" s="30" t="inlineStr">
        <is>
          <t xml:space="preserve">Mississippi</t>
        </is>
      </c>
      <c r="R93" s="30" t="inlineStr">
        <is>
          <t xml:space="preserve">39201</t>
        </is>
      </c>
      <c r="S93" s="32" t="inlineStr">
        <is>
          <t xml:space="preserve">Tier 2 - Coastal wind (1-25 miles)</t>
        </is>
      </c>
      <c r="T93" s="36">
        <f>IF($A93="","",IF($S93="","",IFERROR(INDEX('[1]natural catastrophe'!$D$6:$D$17,MATCH($S93,'[1]natural catastrophe'!$B$6:$B$17,0)),"?")))</f>
      </c>
      <c r="U93" s="30" t="inlineStr">
        <is>
          <t xml:space="preserve">2% of agreed value, minimum $10,000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8511.13</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CANON-202601-003167</t>
        </is>
      </c>
      <c r="B94" s="46" t="inlineStr">
        <is>
          <t xml:space="preserve">Ramona Castellanos</t>
        </is>
      </c>
      <c r="C94" s="47">
        <v>46051</v>
      </c>
      <c r="D94" s="48" t="inlineStr">
        <is>
          <t xml:space="preserve">Bound - within authority</t>
        </is>
      </c>
      <c r="E94" s="48" t="inlineStr">
        <is>
          <t xml:space="preserve">New business</t>
        </is>
      </c>
      <c r="F94" s="46" t="inlineStr">
        <is>
          <t xml:space="preserve">B1234EXOTIC26</t>
        </is>
      </c>
      <c r="G94" s="33">
        <f>IF($A94="","",IF($C94="","",YEAR($C94)))</f>
      </c>
      <c r="H94" s="49">
        <v>1976</v>
      </c>
      <c r="I94" s="46" t="inlineStr">
        <is>
          <t xml:space="preserve">Mercedes-Benz</t>
        </is>
      </c>
      <c r="J94" s="46" t="inlineStr">
        <is>
          <t xml:space="preserve">AMG GT</t>
        </is>
      </c>
      <c r="K94" s="46" t="inlineStr">
        <is>
          <t xml:space="preserve">YVEW1UXJ0JYJE81G0</t>
        </is>
      </c>
      <c r="L94" s="48" t="inlineStr">
        <is>
          <t xml:space="preserve">02 - Sports / GT</t>
        </is>
      </c>
      <c r="M94" s="50">
        <v>1705000</v>
      </c>
      <c r="N94" s="48" t="inlineStr">
        <is>
          <t xml:space="preserve">Personal</t>
        </is>
      </c>
      <c r="O94" s="46" t="inlineStr">
        <is>
          <t xml:space="preserve">Personal - regular use</t>
        </is>
      </c>
      <c r="P94" s="46" t="inlineStr">
        <is>
          <t xml:space="preserve">Under 1,000</t>
        </is>
      </c>
      <c r="Q94" s="46" t="inlineStr">
        <is>
          <t xml:space="preserve">Minnesota</t>
        </is>
      </c>
      <c r="R94" s="46" t="inlineStr">
        <is>
          <t xml:space="preserve">55401</t>
        </is>
      </c>
      <c r="S94" s="48" t="inlineStr">
        <is>
          <t xml:space="preserve">Severe convective - hail / tornado (moderate)</t>
        </is>
      </c>
      <c r="T94" s="36">
        <f>IF($A94="","",IF($S94="","",IFERROR(INDEX('[1]natural catastrophe'!$D$6:$D$17,MATCH($S94,'[1]natural catastrophe'!$B$6:$B$17,0)),"?")))</f>
      </c>
      <c r="U94" s="46" t="inlineStr">
        <is>
          <t xml:space="preserve">$5,000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20954.36</v>
      </c>
      <c r="AC94" s="51">
        <v>0</v>
      </c>
      <c r="AD94" s="38">
        <f>IF(ISNUMBER($AB94),$AB94*(1+N($AC94)),"")</f>
      </c>
      <c r="AE94" s="50">
        <v>350</v>
      </c>
      <c r="AF94" s="50">
        <v>250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CANON-202601-003168</t>
        </is>
      </c>
      <c r="B95" s="30" t="inlineStr">
        <is>
          <t xml:space="preserve">Leopold Fairweather</t>
        </is>
      </c>
      <c r="C95" s="31">
        <v>46044</v>
      </c>
      <c r="D95" s="32" t="inlineStr">
        <is>
          <t xml:space="preserve">Bound - within authority</t>
        </is>
      </c>
      <c r="E95" s="32" t="inlineStr">
        <is>
          <t xml:space="preserve">New business</t>
        </is>
      </c>
      <c r="F95" s="30" t="inlineStr">
        <is>
          <t xml:space="preserve">B1234EXOTIC26</t>
        </is>
      </c>
      <c r="G95" s="33">
        <f>IF($A95="","",IF($C95="","",YEAR($C95)))</f>
      </c>
      <c r="H95" s="34">
        <v>2009</v>
      </c>
      <c r="I95" s="30" t="inlineStr">
        <is>
          <t xml:space="preserve">McLaren</t>
        </is>
      </c>
      <c r="J95" s="30" t="inlineStr">
        <is>
          <t xml:space="preserve">750S</t>
        </is>
      </c>
      <c r="K95" s="30" t="inlineStr">
        <is>
          <t xml:space="preserve">E1JTKBNTCSXGXMNRP</t>
        </is>
      </c>
      <c r="L95" s="32" t="inlineStr">
        <is>
          <t xml:space="preserve">03 - Supercar</t>
        </is>
      </c>
      <c r="M95" s="35">
        <v>1085000</v>
      </c>
      <c r="N95" s="32" t="inlineStr">
        <is>
          <t xml:space="preserve">Personal</t>
        </is>
      </c>
      <c r="O95" s="30" t="inlineStr">
        <is>
          <t xml:space="preserve">Personal - regular use</t>
        </is>
      </c>
      <c r="P95" s="30" t="inlineStr">
        <is>
          <t xml:space="preserve">1,000 - 2,500</t>
        </is>
      </c>
      <c r="Q95" s="30" t="inlineStr">
        <is>
          <t xml:space="preserve">Oregon</t>
        </is>
      </c>
      <c r="R95" s="30" t="inlineStr">
        <is>
          <t xml:space="preserve">97204</t>
        </is>
      </c>
      <c r="S95" s="32" t="inlineStr">
        <is>
          <t xml:space="preserve">Earthquake - high (CA, Cascadia, New Madrid)</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16603.96</v>
      </c>
      <c r="AC95" s="37">
        <v>0</v>
      </c>
      <c r="AD95" s="38">
        <f>IF(ISNUMBER($AB95),$AB95*(1+N($AC95)),"")</f>
      </c>
      <c r="AE95" s="35">
        <v>350</v>
      </c>
      <c r="AF95" s="35">
        <v>250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CANON-202601-003169</t>
        </is>
      </c>
      <c r="B96" s="46" t="inlineStr">
        <is>
          <t xml:space="preserve">Fitzgerald Thistlewood</t>
        </is>
      </c>
      <c r="C96" s="47">
        <v>46052</v>
      </c>
      <c r="D96" s="48" t="inlineStr">
        <is>
          <t xml:space="preserve">Bound - within authority</t>
        </is>
      </c>
      <c r="E96" s="48" t="inlineStr">
        <is>
          <t xml:space="preserve">New business</t>
        </is>
      </c>
      <c r="F96" s="46" t="inlineStr">
        <is>
          <t xml:space="preserve">B1234EXOTIC26</t>
        </is>
      </c>
      <c r="G96" s="33">
        <f>IF($A96="","",IF($C96="","",YEAR($C96)))</f>
      </c>
      <c r="H96" s="49">
        <v>2022</v>
      </c>
      <c r="I96" s="46" t="inlineStr">
        <is>
          <t xml:space="preserve">Mercedes-Benz</t>
        </is>
      </c>
      <c r="J96" s="46" t="inlineStr">
        <is>
          <t xml:space="preserve">AMG GT</t>
        </is>
      </c>
      <c r="K96" s="46" t="inlineStr">
        <is>
          <t xml:space="preserve">51FURDN44U4FLNJFL</t>
        </is>
      </c>
      <c r="L96" s="48" t="inlineStr">
        <is>
          <t xml:space="preserve">02 - Sports / GT</t>
        </is>
      </c>
      <c r="M96" s="50">
        <v>630000</v>
      </c>
      <c r="N96" s="48" t="inlineStr">
        <is>
          <t xml:space="preserve">Personal</t>
        </is>
      </c>
      <c r="O96" s="46" t="inlineStr">
        <is>
          <t xml:space="preserve">Personal - regular use</t>
        </is>
      </c>
      <c r="P96" s="46" t="inlineStr">
        <is>
          <t xml:space="preserve">1,000 - 2,500</t>
        </is>
      </c>
      <c r="Q96" s="46" t="inlineStr">
        <is>
          <t xml:space="preserve">Pennsylvania</t>
        </is>
      </c>
      <c r="R96" s="46" t="inlineStr">
        <is>
          <t xml:space="preserve">19103</t>
        </is>
      </c>
      <c r="S96" s="48" t="inlineStr">
        <is>
          <t xml:space="preserve">Low hazard - inland benign</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6932.14</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CANON-202601-003170</t>
        </is>
      </c>
      <c r="B97" s="30" t="inlineStr">
        <is>
          <t xml:space="preserve">Priya Rourke</t>
        </is>
      </c>
      <c r="C97" s="31">
        <v>46045</v>
      </c>
      <c r="D97" s="32" t="inlineStr">
        <is>
          <t xml:space="preserve">Bound - within authority</t>
        </is>
      </c>
      <c r="E97" s="32" t="inlineStr">
        <is>
          <t xml:space="preserve">New business</t>
        </is>
      </c>
      <c r="F97" s="30" t="inlineStr">
        <is>
          <t xml:space="preserve">B1234EXOTIC26</t>
        </is>
      </c>
      <c r="G97" s="33">
        <f>IF($A97="","",IF($C97="","",YEAR($C97)))</f>
      </c>
      <c r="H97" s="34">
        <v>1982</v>
      </c>
      <c r="I97" s="30" t="inlineStr">
        <is>
          <t xml:space="preserve">Bentley</t>
        </is>
      </c>
      <c r="J97" s="30" t="inlineStr">
        <is>
          <t xml:space="preserve">4.5 Litre</t>
        </is>
      </c>
      <c r="K97" s="30" t="inlineStr">
        <is>
          <t xml:space="preserve">9W44CLEJFK8AJHANS</t>
        </is>
      </c>
      <c r="L97" s="32" t="inlineStr">
        <is>
          <t xml:space="preserve">08 - Modern Classic (1973-1999)</t>
        </is>
      </c>
      <c r="M97" s="35">
        <v>1950000</v>
      </c>
      <c r="N97" s="32" t="inlineStr">
        <is>
          <t xml:space="preserve">Personal</t>
        </is>
      </c>
      <c r="O97" s="30" t="inlineStr">
        <is>
          <t xml:space="preserve">Personal - regular use</t>
        </is>
      </c>
      <c r="P97" s="30" t="inlineStr">
        <is>
          <t xml:space="preserve">2,500 - 5,000</t>
        </is>
      </c>
      <c r="Q97" s="30" t="inlineStr">
        <is>
          <t xml:space="preserve">Nevada</t>
        </is>
      </c>
      <c r="R97" s="30" t="inlineStr">
        <is>
          <t xml:space="preserve">89101</t>
        </is>
      </c>
      <c r="S97" s="32" t="inlineStr">
        <is>
          <t xml:space="preserve">Wildfire - WUI high hazard</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13131.46</v>
      </c>
      <c r="AC97" s="37">
        <v>0</v>
      </c>
      <c r="AD97" s="38">
        <f>IF(ISNUMBER($AB97),$AB97*(1+N($AC97)),"")</f>
      </c>
      <c r="AE97" s="35">
        <v>350</v>
      </c>
      <c r="AF97" s="35">
        <v>250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CANON-202601-003171</t>
        </is>
      </c>
      <c r="B98" s="46" t="inlineStr">
        <is>
          <t xml:space="preserve">Sunniva Harrington</t>
        </is>
      </c>
      <c r="C98" s="47">
        <v>46030</v>
      </c>
      <c r="D98" s="48" t="inlineStr">
        <is>
          <t xml:space="preserve">Bound - within authority</t>
        </is>
      </c>
      <c r="E98" s="48" t="inlineStr">
        <is>
          <t xml:space="preserve">New business</t>
        </is>
      </c>
      <c r="F98" s="46" t="inlineStr">
        <is>
          <t xml:space="preserve">B1234EXOTIC26</t>
        </is>
      </c>
      <c r="G98" s="33">
        <f>IF($A98="","",IF($C98="","",YEAR($C98)))</f>
      </c>
      <c r="H98" s="49">
        <v>2008</v>
      </c>
      <c r="I98" s="46" t="inlineStr">
        <is>
          <t xml:space="preserve">Maserati</t>
        </is>
      </c>
      <c r="J98" s="46" t="inlineStr">
        <is>
          <t xml:space="preserve">GranTurismo</t>
        </is>
      </c>
      <c r="K98" s="46" t="inlineStr">
        <is>
          <t xml:space="preserve">KLNT8CYPVH0651WYS</t>
        </is>
      </c>
      <c r="L98" s="48" t="inlineStr">
        <is>
          <t xml:space="preserve">02 - Sports / GT</t>
        </is>
      </c>
      <c r="M98" s="50">
        <v>370000</v>
      </c>
      <c r="N98" s="48" t="inlineStr">
        <is>
          <t xml:space="preserve">Personal</t>
        </is>
      </c>
      <c r="O98" s="46" t="inlineStr">
        <is>
          <t xml:space="preserve">Personal - regular use</t>
        </is>
      </c>
      <c r="P98" s="46" t="inlineStr">
        <is>
          <t xml:space="preserve">2,500 - 5,000</t>
        </is>
      </c>
      <c r="Q98" s="46" t="inlineStr">
        <is>
          <t xml:space="preserve">Rhode Island</t>
        </is>
      </c>
      <c r="R98" s="46" t="inlineStr">
        <is>
          <t xml:space="preserve">02903</t>
        </is>
      </c>
      <c r="S98" s="48" t="inlineStr">
        <is>
          <t xml:space="preserve">Tier 3 - Coastal wind (25-100 miles)</t>
        </is>
      </c>
      <c r="T98" s="36">
        <f>IF($A98="","",IF($S98="","",IFERROR(INDEX('[1]natural catastrophe'!$D$6:$D$17,MATCH($S98,'[1]natural catastrophe'!$B$6:$B$17,0)),"?")))</f>
      </c>
      <c r="U98" s="46" t="inlineStr">
        <is>
          <t xml:space="preserve">2% of agreed value, minimum $10,000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6435.71</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CANON-202601-003172</t>
        </is>
      </c>
      <c r="B99" s="30" t="inlineStr">
        <is>
          <t xml:space="preserve">Ingrid Vandermeer</t>
        </is>
      </c>
      <c r="C99" s="31">
        <v>46047</v>
      </c>
      <c r="D99" s="32" t="inlineStr">
        <is>
          <t xml:space="preserve">Bound - within authority</t>
        </is>
      </c>
      <c r="E99" s="32" t="inlineStr">
        <is>
          <t xml:space="preserve">New business</t>
        </is>
      </c>
      <c r="F99" s="30" t="inlineStr">
        <is>
          <t xml:space="preserve">B1234EXOTIC26</t>
        </is>
      </c>
      <c r="G99" s="33">
        <f>IF($A99="","",IF($C99="","",YEAR($C99)))</f>
      </c>
      <c r="H99" s="34">
        <v>2011</v>
      </c>
      <c r="I99" s="30" t="inlineStr">
        <is>
          <t xml:space="preserve">Maserati</t>
        </is>
      </c>
      <c r="J99" s="30" t="inlineStr">
        <is>
          <t xml:space="preserve">GranTurismo</t>
        </is>
      </c>
      <c r="K99" s="30" t="inlineStr">
        <is>
          <t xml:space="preserve">D0JB7HS36ZGP606KJ</t>
        </is>
      </c>
      <c r="L99" s="32" t="inlineStr">
        <is>
          <t xml:space="preserve">02 - Sports / GT</t>
        </is>
      </c>
      <c r="M99" s="35">
        <v>925000</v>
      </c>
      <c r="N99" s="32" t="inlineStr">
        <is>
          <t xml:space="preserve">Personal</t>
        </is>
      </c>
      <c r="O99" s="30" t="inlineStr">
        <is>
          <t xml:space="preserve">Personal - regular use</t>
        </is>
      </c>
      <c r="P99" s="30" t="inlineStr">
        <is>
          <t xml:space="preserve">Under 1,000</t>
        </is>
      </c>
      <c r="Q99" s="30" t="inlineStr">
        <is>
          <t xml:space="preserve">South Carolina</t>
        </is>
      </c>
      <c r="R99" s="30" t="inlineStr">
        <is>
          <t xml:space="preserve">29401</t>
        </is>
      </c>
      <c r="S99" s="32" t="inlineStr">
        <is>
          <t xml:space="preserve">Tier 2 - Coastal wind (1-25 miles)</t>
        </is>
      </c>
      <c r="T99" s="36">
        <f>IF($A99="","",IF($S99="","",IFERROR(INDEX('[1]natural catastrophe'!$D$6:$D$17,MATCH($S99,'[1]natural catastrophe'!$B$6:$B$17,0)),"?")))</f>
      </c>
      <c r="U99" s="30" t="inlineStr">
        <is>
          <t xml:space="preserve">2% of agreed value, minimum $10,000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12620.89</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CANON-202601-003173</t>
        </is>
      </c>
      <c r="B100" s="46" t="inlineStr">
        <is>
          <t xml:space="preserve">Anouk Pennington</t>
        </is>
      </c>
      <c r="C100" s="47">
        <v>46032</v>
      </c>
      <c r="D100" s="48" t="inlineStr">
        <is>
          <t xml:space="preserve">Bound - within authority</t>
        </is>
      </c>
      <c r="E100" s="48" t="inlineStr">
        <is>
          <t xml:space="preserve">New business</t>
        </is>
      </c>
      <c r="F100" s="46" t="inlineStr">
        <is>
          <t xml:space="preserve">B1234EXOTIC26</t>
        </is>
      </c>
      <c r="G100" s="33">
        <f>IF($A100="","",IF($C100="","",YEAR($C100)))</f>
      </c>
      <c r="H100" s="49">
        <v>2016</v>
      </c>
      <c r="I100" s="46" t="inlineStr">
        <is>
          <t xml:space="preserve">Bentley</t>
        </is>
      </c>
      <c r="J100" s="46" t="inlineStr">
        <is>
          <t xml:space="preserve">Continental GT</t>
        </is>
      </c>
      <c r="K100" s="46" t="inlineStr">
        <is>
          <t xml:space="preserve">8G2L35FY7Y3W3JC05</t>
        </is>
      </c>
      <c r="L100" s="48" t="inlineStr">
        <is>
          <t xml:space="preserve">02 - Sports / GT</t>
        </is>
      </c>
      <c r="M100" s="50">
        <v>740000</v>
      </c>
      <c r="N100" s="48" t="inlineStr">
        <is>
          <t xml:space="preserve">Personal</t>
        </is>
      </c>
      <c r="O100" s="46" t="inlineStr">
        <is>
          <t xml:space="preserve">Personal - regular use</t>
        </is>
      </c>
      <c r="P100" s="46" t="inlineStr">
        <is>
          <t xml:space="preserve">1,000 - 2,500</t>
        </is>
      </c>
      <c r="Q100" s="46" t="inlineStr">
        <is>
          <t xml:space="preserve">Florida</t>
        </is>
      </c>
      <c r="R100" s="46" t="inlineStr">
        <is>
          <t xml:space="preserve">33139</t>
        </is>
      </c>
      <c r="S100" s="48" t="inlineStr">
        <is>
          <t xml:space="preserve">Tier 2 - Coastal wind (1-25 miles)</t>
        </is>
      </c>
      <c r="T100" s="36">
        <f>IF($A100="","",IF($S100="","",IFERROR(INDEX('[1]natural catastrophe'!$D$6:$D$17,MATCH($S100,'[1]natural catastrophe'!$B$6:$B$17,0)),"?")))</f>
      </c>
      <c r="U100" s="46" t="inlineStr">
        <is>
          <t xml:space="preserve">2% of agreed value, minimum $10,000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11562.37</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CANON-202601-003175</t>
        </is>
      </c>
      <c r="B101" s="30" t="inlineStr">
        <is>
          <t xml:space="preserve">Delphine Castellanos</t>
        </is>
      </c>
      <c r="C101" s="31">
        <v>46042</v>
      </c>
      <c r="D101" s="32" t="inlineStr">
        <is>
          <t xml:space="preserve">Bound - within authority</t>
        </is>
      </c>
      <c r="E101" s="32" t="inlineStr">
        <is>
          <t xml:space="preserve">New business</t>
        </is>
      </c>
      <c r="F101" s="30" t="inlineStr">
        <is>
          <t xml:space="preserve">B1234EXOTIC26</t>
        </is>
      </c>
      <c r="G101" s="33">
        <f>IF($A101="","",IF($C101="","",YEAR($C101)))</f>
      </c>
      <c r="H101" s="34">
        <v>1960</v>
      </c>
      <c r="I101" s="30" t="inlineStr">
        <is>
          <t xml:space="preserve">Jaguar</t>
        </is>
      </c>
      <c r="J101" s="30" t="inlineStr">
        <is>
          <t xml:space="preserve">E-Type Series 1</t>
        </is>
      </c>
      <c r="K101" s="30" t="inlineStr">
        <is>
          <t xml:space="preserve">W6MYFFYX09Y6SHFXM</t>
        </is>
      </c>
      <c r="L101" s="32" t="inlineStr">
        <is>
          <t xml:space="preserve">07 - Post-War Classic (1946-1972)</t>
        </is>
      </c>
      <c r="M101" s="35">
        <v>435000</v>
      </c>
      <c r="N101" s="32" t="inlineStr">
        <is>
          <t xml:space="preserve">Personal</t>
        </is>
      </c>
      <c r="O101" s="30" t="inlineStr">
        <is>
          <t xml:space="preserve">Personal - regular use</t>
        </is>
      </c>
      <c r="P101" s="30" t="inlineStr">
        <is>
          <t xml:space="preserve">2,500 - 5,000</t>
        </is>
      </c>
      <c r="Q101" s="30" t="inlineStr">
        <is>
          <t xml:space="preserve">Illinois</t>
        </is>
      </c>
      <c r="R101" s="30" t="inlineStr">
        <is>
          <t xml:space="preserve">60601</t>
        </is>
      </c>
      <c r="S101" s="32" t="inlineStr">
        <is>
          <t xml:space="preserve">Severe convective - hail / tornado (moderate)</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4807.1</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CANON-202601-003177</t>
        </is>
      </c>
      <c r="B102" s="46" t="inlineStr">
        <is>
          <t xml:space="preserve">Desmond Pennington</t>
        </is>
      </c>
      <c r="C102" s="47">
        <v>46042</v>
      </c>
      <c r="D102" s="48" t="inlineStr">
        <is>
          <t xml:space="preserve">Bound - within authority</t>
        </is>
      </c>
      <c r="E102" s="48" t="inlineStr">
        <is>
          <t xml:space="preserve">New business</t>
        </is>
      </c>
      <c r="F102" s="46" t="inlineStr">
        <is>
          <t xml:space="preserve">B1234EXOTIC26</t>
        </is>
      </c>
      <c r="G102" s="33">
        <f>IF($A102="","",IF($C102="","",YEAR($C102)))</f>
      </c>
      <c r="H102" s="49">
        <v>1961</v>
      </c>
      <c r="I102" s="46" t="inlineStr">
        <is>
          <t xml:space="preserve">Maserati</t>
        </is>
      </c>
      <c r="J102" s="46" t="inlineStr">
        <is>
          <t xml:space="preserve">GranTurismo</t>
        </is>
      </c>
      <c r="K102" s="46" t="inlineStr">
        <is>
          <t xml:space="preserve">V4PMKRCH73BAB9YD5</t>
        </is>
      </c>
      <c r="L102" s="48" t="inlineStr">
        <is>
          <t xml:space="preserve">02 - Sports / GT</t>
        </is>
      </c>
      <c r="M102" s="50">
        <v>880000</v>
      </c>
      <c r="N102" s="48" t="inlineStr">
        <is>
          <t xml:space="preserve">Personal</t>
        </is>
      </c>
      <c r="O102" s="46" t="inlineStr">
        <is>
          <t xml:space="preserve">Personal - regular use</t>
        </is>
      </c>
      <c r="P102" s="46" t="inlineStr">
        <is>
          <t xml:space="preserve">Under 1,000</t>
        </is>
      </c>
      <c r="Q102" s="46" t="inlineStr">
        <is>
          <t xml:space="preserve">Arkansas</t>
        </is>
      </c>
      <c r="R102" s="46" t="inlineStr">
        <is>
          <t xml:space="preserve">72201</t>
        </is>
      </c>
      <c r="S102" s="48" t="inlineStr">
        <is>
          <t xml:space="preserve">Severe convective - hail / tornado (moderate)</t>
        </is>
      </c>
      <c r="T102" s="36">
        <f>IF($A102="","",IF($S102="","",IFERROR(INDEX('[1]natural catastrophe'!$D$6:$D$17,MATCH($S102,'[1]natural catastrophe'!$B$6:$B$17,0)),"?")))</f>
      </c>
      <c r="U102" s="46" t="inlineStr">
        <is>
          <t xml:space="preserve">$5,000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13362.52</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CANON-202601-003180</t>
        </is>
      </c>
      <c r="B103" s="30" t="inlineStr">
        <is>
          <t xml:space="preserve">Callum Ashcombe</t>
        </is>
      </c>
      <c r="C103" s="31">
        <v>46036</v>
      </c>
      <c r="D103" s="32" t="inlineStr">
        <is>
          <t xml:space="preserve">Bound - within authority</t>
        </is>
      </c>
      <c r="E103" s="32" t="inlineStr">
        <is>
          <t xml:space="preserve">New business</t>
        </is>
      </c>
      <c r="F103" s="30" t="inlineStr">
        <is>
          <t xml:space="preserve">B1234EXOTIC26</t>
        </is>
      </c>
      <c r="G103" s="33">
        <f>IF($A103="","",IF($C103="","",YEAR($C103)))</f>
      </c>
      <c r="H103" s="34">
        <v>2020</v>
      </c>
      <c r="I103" s="30" t="inlineStr">
        <is>
          <t xml:space="preserve">Mercedes-Benz</t>
        </is>
      </c>
      <c r="J103" s="30" t="inlineStr">
        <is>
          <t xml:space="preserve">AMG GT</t>
        </is>
      </c>
      <c r="K103" s="30" t="inlineStr">
        <is>
          <t xml:space="preserve">MDZTZKCUMJDKF7M4Z</t>
        </is>
      </c>
      <c r="L103" s="32" t="inlineStr">
        <is>
          <t xml:space="preserve">02 - Sports / GT</t>
        </is>
      </c>
      <c r="M103" s="35">
        <v>335000</v>
      </c>
      <c r="N103" s="32" t="inlineStr">
        <is>
          <t xml:space="preserve">Personal</t>
        </is>
      </c>
      <c r="O103" s="30" t="inlineStr">
        <is>
          <t xml:space="preserve">Personal - regular use</t>
        </is>
      </c>
      <c r="P103" s="30" t="inlineStr">
        <is>
          <t xml:space="preserve">2,500 - 5,000</t>
        </is>
      </c>
      <c r="Q103" s="30" t="inlineStr">
        <is>
          <t xml:space="preserve">Alabama</t>
        </is>
      </c>
      <c r="R103" s="30" t="inlineStr">
        <is>
          <t xml:space="preserve">35203</t>
        </is>
      </c>
      <c r="S103" s="32" t="inlineStr">
        <is>
          <t xml:space="preserve">Tier 2 - Coastal wind (1-25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5401.61</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CANON-202601-003182</t>
        </is>
      </c>
      <c r="B104" s="46" t="inlineStr">
        <is>
          <t xml:space="preserve">Noor Vasquez</t>
        </is>
      </c>
      <c r="C104" s="47">
        <v>46045</v>
      </c>
      <c r="D104" s="48" t="inlineStr">
        <is>
          <t xml:space="preserve">Bound - within authority</t>
        </is>
      </c>
      <c r="E104" s="48" t="inlineStr">
        <is>
          <t xml:space="preserve">New business</t>
        </is>
      </c>
      <c r="F104" s="46" t="inlineStr">
        <is>
          <t xml:space="preserve">B1234EXOTIC26</t>
        </is>
      </c>
      <c r="G104" s="33">
        <f>IF($A104="","",IF($C104="","",YEAR($C104)))</f>
      </c>
      <c r="H104" s="49">
        <v>1973</v>
      </c>
      <c r="I104" s="46" t="inlineStr">
        <is>
          <t xml:space="preserve">Ferrari</t>
        </is>
      </c>
      <c r="J104" s="46" t="inlineStr">
        <is>
          <t xml:space="preserve">SF90 Stradale</t>
        </is>
      </c>
      <c r="K104" s="46" t="inlineStr">
        <is>
          <t xml:space="preserve">FTH43YN02H0SZZ7FA</t>
        </is>
      </c>
      <c r="L104" s="48" t="inlineStr">
        <is>
          <t xml:space="preserve">03 - Supercar</t>
        </is>
      </c>
      <c r="M104" s="50">
        <v>1160000</v>
      </c>
      <c r="N104" s="48" t="inlineStr">
        <is>
          <t xml:space="preserve">Personal</t>
        </is>
      </c>
      <c r="O104" s="46" t="inlineStr">
        <is>
          <t xml:space="preserve">Personal - regular use</t>
        </is>
      </c>
      <c r="P104" s="46" t="inlineStr">
        <is>
          <t xml:space="preserve">Under 1,000</t>
        </is>
      </c>
      <c r="Q104" s="46" t="inlineStr">
        <is>
          <t xml:space="preserve">Kansas</t>
        </is>
      </c>
      <c r="R104" s="46" t="inlineStr">
        <is>
          <t xml:space="preserve">66603</t>
        </is>
      </c>
      <c r="S104" s="48" t="inlineStr">
        <is>
          <t xml:space="preserve">Severe convective - hail alley (high)</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15238.18</v>
      </c>
      <c r="AC104" s="51">
        <v>0</v>
      </c>
      <c r="AD104" s="38">
        <f>IF(ISNUMBER($AB104),$AB104*(1+N($AC104)),"")</f>
      </c>
      <c r="AE104" s="50">
        <v>350</v>
      </c>
      <c r="AF104" s="50">
        <v>250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CANON-202601-003188</t>
        </is>
      </c>
      <c r="B105" s="30" t="inlineStr">
        <is>
          <t xml:space="preserve">Mireille Okonkwo</t>
        </is>
      </c>
      <c r="C105" s="31">
        <v>46049</v>
      </c>
      <c r="D105" s="32" t="inlineStr">
        <is>
          <t xml:space="preserve">Bound - within authority</t>
        </is>
      </c>
      <c r="E105" s="32" t="inlineStr">
        <is>
          <t xml:space="preserve">New business</t>
        </is>
      </c>
      <c r="F105" s="30" t="inlineStr">
        <is>
          <t xml:space="preserve">B1234EXOTIC26</t>
        </is>
      </c>
      <c r="G105" s="33">
        <f>IF($A105="","",IF($C105="","",YEAR($C105)))</f>
      </c>
      <c r="H105" s="34">
        <v>2024</v>
      </c>
      <c r="I105" s="30" t="inlineStr">
        <is>
          <t xml:space="preserve">Aston Martin</t>
        </is>
      </c>
      <c r="J105" s="30" t="inlineStr">
        <is>
          <t xml:space="preserve">DB12</t>
        </is>
      </c>
      <c r="K105" s="30" t="inlineStr">
        <is>
          <t xml:space="preserve">9S7M48ABLCWFAZE9T</t>
        </is>
      </c>
      <c r="L105" s="32" t="inlineStr">
        <is>
          <t xml:space="preserve">02 - Sports / GT</t>
        </is>
      </c>
      <c r="M105" s="35">
        <v>415000</v>
      </c>
      <c r="N105" s="32" t="inlineStr">
        <is>
          <t xml:space="preserve">Personal</t>
        </is>
      </c>
      <c r="O105" s="30" t="inlineStr">
        <is>
          <t xml:space="preserve">Personal - regular use</t>
        </is>
      </c>
      <c r="P105" s="30" t="inlineStr">
        <is>
          <t xml:space="preserve">1,000 - 2,500</t>
        </is>
      </c>
      <c r="Q105" s="30" t="inlineStr">
        <is>
          <t xml:space="preserve">Montana</t>
        </is>
      </c>
      <c r="R105" s="30" t="inlineStr">
        <is>
          <t xml:space="preserve">59601</t>
        </is>
      </c>
      <c r="S105" s="32" t="inlineStr">
        <is>
          <t xml:space="preserve">Wildfire - WUI high hazard</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4900.11</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CANON-202601-003189</t>
        </is>
      </c>
      <c r="B106" s="46" t="inlineStr">
        <is>
          <t xml:space="preserve">Mireille Vasquez</t>
        </is>
      </c>
      <c r="C106" s="47">
        <v>46034</v>
      </c>
      <c r="D106" s="48" t="inlineStr">
        <is>
          <t xml:space="preserve">Bound - within authority</t>
        </is>
      </c>
      <c r="E106" s="48" t="inlineStr">
        <is>
          <t xml:space="preserve">New business</t>
        </is>
      </c>
      <c r="F106" s="46" t="inlineStr">
        <is>
          <t xml:space="preserve">B1234EXOTIC26</t>
        </is>
      </c>
      <c r="G106" s="33">
        <f>IF($A106="","",IF($C106="","",YEAR($C106)))</f>
      </c>
      <c r="H106" s="49">
        <v>1961</v>
      </c>
      <c r="I106" s="46" t="inlineStr">
        <is>
          <t xml:space="preserve">Aston Martin</t>
        </is>
      </c>
      <c r="J106" s="46" t="inlineStr">
        <is>
          <t xml:space="preserve">DB12</t>
        </is>
      </c>
      <c r="K106" s="46" t="inlineStr">
        <is>
          <t xml:space="preserve">SYRRDN6Z4F5G1EHNN</t>
        </is>
      </c>
      <c r="L106" s="48" t="inlineStr">
        <is>
          <t xml:space="preserve">02 - Sports / GT</t>
        </is>
      </c>
      <c r="M106" s="50">
        <v>460000</v>
      </c>
      <c r="N106" s="48" t="inlineStr">
        <is>
          <t xml:space="preserve">Personal</t>
        </is>
      </c>
      <c r="O106" s="46" t="inlineStr">
        <is>
          <t xml:space="preserve">Personal - regular use</t>
        </is>
      </c>
      <c r="P106" s="46" t="inlineStr">
        <is>
          <t xml:space="preserve">Under 1,000</t>
        </is>
      </c>
      <c r="Q106" s="46" t="inlineStr">
        <is>
          <t xml:space="preserve">Maryland</t>
        </is>
      </c>
      <c r="R106" s="46" t="inlineStr">
        <is>
          <t xml:space="preserve">21201</t>
        </is>
      </c>
      <c r="S106" s="48" t="inlineStr">
        <is>
          <t xml:space="preserve">Tier 3 - Coastal wind (25-100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5548.25</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CANON-202601-003192</t>
        </is>
      </c>
      <c r="B107" s="30" t="inlineStr">
        <is>
          <t xml:space="preserve">Cassius Vasquez</t>
        </is>
      </c>
      <c r="C107" s="31">
        <v>46051</v>
      </c>
      <c r="D107" s="32" t="inlineStr">
        <is>
          <t xml:space="preserve">Bound - within authority</t>
        </is>
      </c>
      <c r="E107" s="32" t="inlineStr">
        <is>
          <t xml:space="preserve">New business</t>
        </is>
      </c>
      <c r="F107" s="30" t="inlineStr">
        <is>
          <t xml:space="preserve">B1234EXOTIC26</t>
        </is>
      </c>
      <c r="G107" s="33">
        <f>IF($A107="","",IF($C107="","",YEAR($C107)))</f>
      </c>
      <c r="H107" s="34">
        <v>2001</v>
      </c>
      <c r="I107" s="30" t="inlineStr">
        <is>
          <t xml:space="preserve">Ringbrothers</t>
        </is>
      </c>
      <c r="J107" s="30" t="inlineStr">
        <is>
          <t xml:space="preserve">Mustang</t>
        </is>
      </c>
      <c r="K107" s="30" t="inlineStr">
        <is>
          <t xml:space="preserve">VV821MYHEVVTT41UJ</t>
        </is>
      </c>
      <c r="L107" s="32" t="inlineStr">
        <is>
          <t xml:space="preserve">11 - Restomod / Coachbuilt / Bespoke</t>
        </is>
      </c>
      <c r="M107" s="35">
        <v>285000</v>
      </c>
      <c r="N107" s="32" t="inlineStr">
        <is>
          <t xml:space="preserve">Personal</t>
        </is>
      </c>
      <c r="O107" s="30" t="inlineStr">
        <is>
          <t xml:space="preserve">Personal - regular use</t>
        </is>
      </c>
      <c r="P107" s="30" t="inlineStr">
        <is>
          <t xml:space="preserve">1,000 - 2,500</t>
        </is>
      </c>
      <c r="Q107" s="30" t="inlineStr">
        <is>
          <t xml:space="preserve">Illinois</t>
        </is>
      </c>
      <c r="R107" s="30" t="inlineStr">
        <is>
          <t xml:space="preserve">60601</t>
        </is>
      </c>
      <c r="S107" s="32" t="inlineStr">
        <is>
          <t xml:space="preserve">Severe convective - hail / tornado (moderate)</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5774.04</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CANON-202601-003193</t>
        </is>
      </c>
      <c r="B108" s="46" t="inlineStr">
        <is>
          <t xml:space="preserve">Sunniva Whitlock</t>
        </is>
      </c>
      <c r="C108" s="47">
        <v>46040</v>
      </c>
      <c r="D108" s="48" t="inlineStr">
        <is>
          <t xml:space="preserve">Bound - within authority</t>
        </is>
      </c>
      <c r="E108" s="48" t="inlineStr">
        <is>
          <t xml:space="preserve">New business</t>
        </is>
      </c>
      <c r="F108" s="46" t="inlineStr">
        <is>
          <t xml:space="preserve">B1234EXOTIC26</t>
        </is>
      </c>
      <c r="G108" s="33">
        <f>IF($A108="","",IF($C108="","",YEAR($C108)))</f>
      </c>
      <c r="H108" s="49">
        <v>1996</v>
      </c>
      <c r="I108" s="46" t="inlineStr">
        <is>
          <t xml:space="preserve">Aston Martin</t>
        </is>
      </c>
      <c r="J108" s="46" t="inlineStr">
        <is>
          <t xml:space="preserve">DB12</t>
        </is>
      </c>
      <c r="K108" s="46" t="inlineStr">
        <is>
          <t xml:space="preserve">2X0287HH47983055A</t>
        </is>
      </c>
      <c r="L108" s="48" t="inlineStr">
        <is>
          <t xml:space="preserve">02 - Sports / GT</t>
        </is>
      </c>
      <c r="M108" s="50">
        <v>235000</v>
      </c>
      <c r="N108" s="48" t="inlineStr">
        <is>
          <t xml:space="preserve">Personal</t>
        </is>
      </c>
      <c r="O108" s="46" t="inlineStr">
        <is>
          <t xml:space="preserve">Personal - regular use</t>
        </is>
      </c>
      <c r="P108" s="46" t="inlineStr">
        <is>
          <t xml:space="preserve">2,500 - 5,000</t>
        </is>
      </c>
      <c r="Q108" s="46" t="inlineStr">
        <is>
          <t xml:space="preserve">Maine</t>
        </is>
      </c>
      <c r="R108" s="46" t="inlineStr">
        <is>
          <t xml:space="preserve">04101</t>
        </is>
      </c>
      <c r="S108" s="48" t="inlineStr">
        <is>
          <t xml:space="preserve">Tier 3 - Coastal wind (25-100 miles)</t>
        </is>
      </c>
      <c r="T108" s="36">
        <f>IF($A108="","",IF($S108="","",IFERROR(INDEX('[1]natural catastrophe'!$D$6:$D$17,MATCH($S108,'[1]natural catastrophe'!$B$6:$B$17,0)),"?")))</f>
      </c>
      <c r="U108" s="46" t="inlineStr">
        <is>
          <t xml:space="preserve">2% of agreed value, minimum $10,000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3952.69</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CANON-202601-003194</t>
        </is>
      </c>
      <c r="B109" s="30" t="inlineStr">
        <is>
          <t xml:space="preserve">Everett Ashcombe</t>
        </is>
      </c>
      <c r="C109" s="31">
        <v>46037</v>
      </c>
      <c r="D109" s="32" t="inlineStr">
        <is>
          <t xml:space="preserve">Bound - within authority</t>
        </is>
      </c>
      <c r="E109" s="32" t="inlineStr">
        <is>
          <t xml:space="preserve">New business</t>
        </is>
      </c>
      <c r="F109" s="30" t="inlineStr">
        <is>
          <t xml:space="preserve">B1234EXOTIC26</t>
        </is>
      </c>
      <c r="G109" s="33">
        <f>IF($A109="","",IF($C109="","",YEAR($C109)))</f>
      </c>
      <c r="H109" s="34">
        <v>1983</v>
      </c>
      <c r="I109" s="30" t="inlineStr">
        <is>
          <t xml:space="preserve">Mercedes-Benz</t>
        </is>
      </c>
      <c r="J109" s="30" t="inlineStr">
        <is>
          <t xml:space="preserve">AMG GT</t>
        </is>
      </c>
      <c r="K109" s="30" t="inlineStr">
        <is>
          <t xml:space="preserve">RW3XEG08472VFZ0BF</t>
        </is>
      </c>
      <c r="L109" s="32" t="inlineStr">
        <is>
          <t xml:space="preserve">02 - Sports / GT</t>
        </is>
      </c>
      <c r="M109" s="35">
        <v>700000</v>
      </c>
      <c r="N109" s="32" t="inlineStr">
        <is>
          <t xml:space="preserve">Personal</t>
        </is>
      </c>
      <c r="O109" s="30" t="inlineStr">
        <is>
          <t xml:space="preserve">Personal - regular use</t>
        </is>
      </c>
      <c r="P109" s="30" t="inlineStr">
        <is>
          <t xml:space="preserve">Under 1,000</t>
        </is>
      </c>
      <c r="Q109" s="30" t="inlineStr">
        <is>
          <t xml:space="preserve">Pennsylvania</t>
        </is>
      </c>
      <c r="R109" s="30" t="inlineStr">
        <is>
          <t xml:space="preserve">19103</t>
        </is>
      </c>
      <c r="S109" s="32" t="inlineStr">
        <is>
          <t xml:space="preserve">Low hazard - inland benign</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7702.38</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CANON-202601-003195</t>
        </is>
      </c>
      <c r="B110" s="46" t="inlineStr">
        <is>
          <t xml:space="preserve">Aurelio Vandermeer</t>
        </is>
      </c>
      <c r="C110" s="47">
        <v>46026</v>
      </c>
      <c r="D110" s="48" t="inlineStr">
        <is>
          <t xml:space="preserve">Bound - within authority</t>
        </is>
      </c>
      <c r="E110" s="48" t="inlineStr">
        <is>
          <t xml:space="preserve">New business</t>
        </is>
      </c>
      <c r="F110" s="46" t="inlineStr">
        <is>
          <t xml:space="preserve">B1234EXOTIC26</t>
        </is>
      </c>
      <c r="G110" s="33">
        <f>IF($A110="","",IF($C110="","",YEAR($C110)))</f>
      </c>
      <c r="H110" s="49">
        <v>1957</v>
      </c>
      <c r="I110" s="46" t="inlineStr">
        <is>
          <t xml:space="preserve">Porsche</t>
        </is>
      </c>
      <c r="J110" s="46" t="inlineStr">
        <is>
          <t xml:space="preserve">911 Turbo S</t>
        </is>
      </c>
      <c r="K110" s="46" t="inlineStr">
        <is>
          <t xml:space="preserve">ESKAA9LF8ZB5F21XK</t>
        </is>
      </c>
      <c r="L110" s="48" t="inlineStr">
        <is>
          <t xml:space="preserve">02 - Sports / GT</t>
        </is>
      </c>
      <c r="M110" s="50">
        <v>1060000</v>
      </c>
      <c r="N110" s="48" t="inlineStr">
        <is>
          <t xml:space="preserve">Personal</t>
        </is>
      </c>
      <c r="O110" s="46" t="inlineStr">
        <is>
          <t xml:space="preserve">Personal - regular use</t>
        </is>
      </c>
      <c r="P110" s="46" t="inlineStr">
        <is>
          <t xml:space="preserve">2,500 - 5,000</t>
        </is>
      </c>
      <c r="Q110" s="46" t="inlineStr">
        <is>
          <t xml:space="preserve">Louisiana</t>
        </is>
      </c>
      <c r="R110" s="46" t="inlineStr">
        <is>
          <t xml:space="preserve">70112</t>
        </is>
      </c>
      <c r="S110" s="48" t="inlineStr">
        <is>
          <t xml:space="preserve">Tier 2 - Coastal wind (1-25 miles)</t>
        </is>
      </c>
      <c r="T110" s="36">
        <f>IF($A110="","",IF($S110="","",IFERROR(INDEX('[1]natural catastrophe'!$D$6:$D$17,MATCH($S110,'[1]natural catastrophe'!$B$6:$B$17,0)),"?")))</f>
      </c>
      <c r="U110" s="46" t="inlineStr">
        <is>
          <t xml:space="preserve">2% of agreed value, minimum $10,000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11941.73</v>
      </c>
      <c r="AC110" s="51">
        <v>0</v>
      </c>
      <c r="AD110" s="38">
        <f>IF(ISNUMBER($AB110),$AB110*(1+N($AC110)),"")</f>
      </c>
      <c r="AE110" s="50">
        <v>350</v>
      </c>
      <c r="AF110" s="50">
        <v>250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CANON-202601-003199</t>
        </is>
      </c>
      <c r="B111" s="30" t="inlineStr">
        <is>
          <t xml:space="preserve">Lorenzo Merriweather</t>
        </is>
      </c>
      <c r="C111" s="31">
        <v>46053</v>
      </c>
      <c r="D111" s="32" t="inlineStr">
        <is>
          <t xml:space="preserve">Bound - within authority</t>
        </is>
      </c>
      <c r="E111" s="32" t="inlineStr">
        <is>
          <t xml:space="preserve">New business</t>
        </is>
      </c>
      <c r="F111" s="30" t="inlineStr">
        <is>
          <t xml:space="preserve">B1234EXOTIC26</t>
        </is>
      </c>
      <c r="G111" s="33">
        <f>IF($A111="","",IF($C111="","",YEAR($C111)))</f>
      </c>
      <c r="H111" s="34">
        <v>1992</v>
      </c>
      <c r="I111" s="30" t="inlineStr">
        <is>
          <t xml:space="preserve">Aston Martin</t>
        </is>
      </c>
      <c r="J111" s="30" t="inlineStr">
        <is>
          <t xml:space="preserve">DB12</t>
        </is>
      </c>
      <c r="K111" s="30" t="inlineStr">
        <is>
          <t xml:space="preserve">HDSZGZS8CV7LKUXWY</t>
        </is>
      </c>
      <c r="L111" s="32" t="inlineStr">
        <is>
          <t xml:space="preserve">02 - Sports / GT</t>
        </is>
      </c>
      <c r="M111" s="35">
        <v>600000</v>
      </c>
      <c r="N111" s="32" t="inlineStr">
        <is>
          <t xml:space="preserve">Personal</t>
        </is>
      </c>
      <c r="O111" s="30" t="inlineStr">
        <is>
          <t xml:space="preserve">Personal - regular use</t>
        </is>
      </c>
      <c r="P111" s="30" t="inlineStr">
        <is>
          <t xml:space="preserve">Under 1,000</t>
        </is>
      </c>
      <c r="Q111" s="30" t="inlineStr">
        <is>
          <t xml:space="preserve">Massachusetts</t>
        </is>
      </c>
      <c r="R111" s="30" t="inlineStr">
        <is>
          <t xml:space="preserve">02108</t>
        </is>
      </c>
      <c r="S111" s="32" t="inlineStr">
        <is>
          <t xml:space="preserve">Tier 3 - Coastal wind (25-100 miles)</t>
        </is>
      </c>
      <c r="T111" s="36">
        <f>IF($A111="","",IF($S111="","",IFERROR(INDEX('[1]natural catastrophe'!$D$6:$D$17,MATCH($S111,'[1]natural catastrophe'!$B$6:$B$17,0)),"?")))</f>
      </c>
      <c r="U111" s="30" t="inlineStr">
        <is>
          <t xml:space="preserve">2% of agreed value, minimum $10,000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8252.54</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CANON-202601-003200</t>
        </is>
      </c>
      <c r="B112" s="46" t="inlineStr">
        <is>
          <t xml:space="preserve">Mireille Okonkwo</t>
        </is>
      </c>
      <c r="C112" s="47">
        <v>46040</v>
      </c>
      <c r="D112" s="48" t="inlineStr">
        <is>
          <t xml:space="preserve">Bound - within authority</t>
        </is>
      </c>
      <c r="E112" s="48" t="inlineStr">
        <is>
          <t xml:space="preserve">New business</t>
        </is>
      </c>
      <c r="F112" s="46" t="inlineStr">
        <is>
          <t xml:space="preserve">B1234EXOTIC26</t>
        </is>
      </c>
      <c r="G112" s="33">
        <f>IF($A112="","",IF($C112="","",YEAR($C112)))</f>
      </c>
      <c r="H112" s="49">
        <v>1959</v>
      </c>
      <c r="I112" s="46" t="inlineStr">
        <is>
          <t xml:space="preserve">Aston Martin</t>
        </is>
      </c>
      <c r="J112" s="46" t="inlineStr">
        <is>
          <t xml:space="preserve">DB12</t>
        </is>
      </c>
      <c r="K112" s="46" t="inlineStr">
        <is>
          <t xml:space="preserve">NHBM4SZSY970981WW</t>
        </is>
      </c>
      <c r="L112" s="48" t="inlineStr">
        <is>
          <t xml:space="preserve">02 - Sports / GT</t>
        </is>
      </c>
      <c r="M112" s="50">
        <v>380000</v>
      </c>
      <c r="N112" s="48" t="inlineStr">
        <is>
          <t xml:space="preserve">Personal</t>
        </is>
      </c>
      <c r="O112" s="46" t="inlineStr">
        <is>
          <t xml:space="preserve">Personal - regular use</t>
        </is>
      </c>
      <c r="P112" s="46" t="inlineStr">
        <is>
          <t xml:space="preserve">2,500 - 5,000</t>
        </is>
      </c>
      <c r="Q112" s="46" t="inlineStr">
        <is>
          <t xml:space="preserve">Washington</t>
        </is>
      </c>
      <c r="R112" s="46" t="inlineStr">
        <is>
          <t xml:space="preserve">98101</t>
        </is>
      </c>
      <c r="S112" s="48" t="inlineStr">
        <is>
          <t xml:space="preserve">Earthquake - high (CA, Cascadia, New Madrid)</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4631.58</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CANON-202601-003201</t>
        </is>
      </c>
      <c r="B113" s="30" t="inlineStr">
        <is>
          <t xml:space="preserve">Priya Montoya</t>
        </is>
      </c>
      <c r="C113" s="31">
        <v>46036</v>
      </c>
      <c r="D113" s="32" t="inlineStr">
        <is>
          <t xml:space="preserve">Bound - within authority</t>
        </is>
      </c>
      <c r="E113" s="32" t="inlineStr">
        <is>
          <t xml:space="preserve">New business</t>
        </is>
      </c>
      <c r="F113" s="30" t="inlineStr">
        <is>
          <t xml:space="preserve">B1234EXOTIC26</t>
        </is>
      </c>
      <c r="G113" s="33">
        <f>IF($A113="","",IF($C113="","",YEAR($C113)))</f>
      </c>
      <c r="H113" s="34">
        <v>1992</v>
      </c>
      <c r="I113" s="30" t="inlineStr">
        <is>
          <t xml:space="preserve">BMW</t>
        </is>
      </c>
      <c r="J113" s="30" t="inlineStr">
        <is>
          <t xml:space="preserve">M8 Competition</t>
        </is>
      </c>
      <c r="K113" s="30" t="inlineStr">
        <is>
          <t xml:space="preserve">EPGZVPKGWDYD76S9C</t>
        </is>
      </c>
      <c r="L113" s="32" t="inlineStr">
        <is>
          <t xml:space="preserve">02 - Sports / GT</t>
        </is>
      </c>
      <c r="M113" s="35">
        <v>380000</v>
      </c>
      <c r="N113" s="32" t="inlineStr">
        <is>
          <t xml:space="preserve">Personal</t>
        </is>
      </c>
      <c r="O113" s="30" t="inlineStr">
        <is>
          <t xml:space="preserve">Personal - regular use</t>
        </is>
      </c>
      <c r="P113" s="30" t="inlineStr">
        <is>
          <t xml:space="preserve">2,500 - 5,000</t>
        </is>
      </c>
      <c r="Q113" s="30" t="inlineStr">
        <is>
          <t xml:space="preserve">New York</t>
        </is>
      </c>
      <c r="R113" s="30" t="inlineStr">
        <is>
          <t xml:space="preserve">10022</t>
        </is>
      </c>
      <c r="S113" s="32" t="inlineStr">
        <is>
          <t xml:space="preserve">Tier 3 - Coastal wind (25-100 miles)</t>
        </is>
      </c>
      <c r="T113" s="36">
        <f>IF($A113="","",IF($S113="","",IFERROR(INDEX('[1]natural catastrophe'!$D$6:$D$17,MATCH($S113,'[1]natural catastrophe'!$B$6:$B$17,0)),"?")))</f>
      </c>
      <c r="U113" s="30" t="inlineStr">
        <is>
          <t xml:space="preserve">2% of agreed value, minimum $10,000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6175.45</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CANON-202601-003204</t>
        </is>
      </c>
      <c r="B114" s="46" t="inlineStr">
        <is>
          <t xml:space="preserve">Marisol Farkas</t>
        </is>
      </c>
      <c r="C114" s="47">
        <v>46044</v>
      </c>
      <c r="D114" s="48" t="inlineStr">
        <is>
          <t xml:space="preserve">Bound - within authority</t>
        </is>
      </c>
      <c r="E114" s="48" t="inlineStr">
        <is>
          <t xml:space="preserve">New business</t>
        </is>
      </c>
      <c r="F114" s="46" t="inlineStr">
        <is>
          <t xml:space="preserve">B1234EXOTIC26</t>
        </is>
      </c>
      <c r="G114" s="33">
        <f>IF($A114="","",IF($C114="","",YEAR($C114)))</f>
      </c>
      <c r="H114" s="49">
        <v>2015</v>
      </c>
      <c r="I114" s="46" t="inlineStr">
        <is>
          <t xml:space="preserve">Mercedes-Benz</t>
        </is>
      </c>
      <c r="J114" s="46" t="inlineStr">
        <is>
          <t xml:space="preserve">AMG GT</t>
        </is>
      </c>
      <c r="K114" s="46" t="inlineStr">
        <is>
          <t xml:space="preserve">Z4K9M5TSZAEDRRREA</t>
        </is>
      </c>
      <c r="L114" s="48" t="inlineStr">
        <is>
          <t xml:space="preserve">02 - Sports / GT</t>
        </is>
      </c>
      <c r="M114" s="50">
        <v>660000</v>
      </c>
      <c r="N114" s="48" t="inlineStr">
        <is>
          <t xml:space="preserve">Personal</t>
        </is>
      </c>
      <c r="O114" s="46" t="inlineStr">
        <is>
          <t xml:space="preserve">Personal - regular use</t>
        </is>
      </c>
      <c r="P114" s="46" t="inlineStr">
        <is>
          <t xml:space="preserve">2,500 - 5,000</t>
        </is>
      </c>
      <c r="Q114" s="46" t="inlineStr">
        <is>
          <t xml:space="preserve">Washington</t>
        </is>
      </c>
      <c r="R114" s="46" t="inlineStr">
        <is>
          <t xml:space="preserve">98101</t>
        </is>
      </c>
      <c r="S114" s="48" t="inlineStr">
        <is>
          <t xml:space="preserve">Earthquake - high (CA, Cascadia, New Madrid)</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6971.76</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CANON-202601-003205</t>
        </is>
      </c>
      <c r="B115" s="30" t="inlineStr">
        <is>
          <t xml:space="preserve">Marisol Farkas</t>
        </is>
      </c>
      <c r="C115" s="31">
        <v>46031</v>
      </c>
      <c r="D115" s="32" t="inlineStr">
        <is>
          <t xml:space="preserve">Bound - within authority</t>
        </is>
      </c>
      <c r="E115" s="32" t="inlineStr">
        <is>
          <t xml:space="preserve">New business</t>
        </is>
      </c>
      <c r="F115" s="30" t="inlineStr">
        <is>
          <t xml:space="preserve">B1234EXOTIC26</t>
        </is>
      </c>
      <c r="G115" s="33">
        <f>IF($A115="","",IF($C115="","",YEAR($C115)))</f>
      </c>
      <c r="H115" s="34">
        <v>1959</v>
      </c>
      <c r="I115" s="30" t="inlineStr">
        <is>
          <t xml:space="preserve">BMW</t>
        </is>
      </c>
      <c r="J115" s="30" t="inlineStr">
        <is>
          <t xml:space="preserve">M8 Competition</t>
        </is>
      </c>
      <c r="K115" s="30" t="inlineStr">
        <is>
          <t xml:space="preserve">F5WS80FYGGLH0BSDH</t>
        </is>
      </c>
      <c r="L115" s="32" t="inlineStr">
        <is>
          <t xml:space="preserve">02 - Sports / GT</t>
        </is>
      </c>
      <c r="M115" s="35">
        <v>440000</v>
      </c>
      <c r="N115" s="32" t="inlineStr">
        <is>
          <t xml:space="preserve">Personal</t>
        </is>
      </c>
      <c r="O115" s="30" t="inlineStr">
        <is>
          <t xml:space="preserve">Personal - regular use</t>
        </is>
      </c>
      <c r="P115" s="30" t="inlineStr">
        <is>
          <t xml:space="preserve">2,500 - 5,000</t>
        </is>
      </c>
      <c r="Q115" s="30" t="inlineStr">
        <is>
          <t xml:space="preserve">Idaho</t>
        </is>
      </c>
      <c r="R115" s="30" t="inlineStr">
        <is>
          <t xml:space="preserve">83702</t>
        </is>
      </c>
      <c r="S115" s="32" t="inlineStr">
        <is>
          <t xml:space="preserve">Wildfire - WUI high hazard</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5530.48</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CANON-202601-003206</t>
        </is>
      </c>
      <c r="B116" s="46" t="inlineStr">
        <is>
          <t xml:space="preserve">Saoirse Ashcombe</t>
        </is>
      </c>
      <c r="C116" s="47">
        <v>46033</v>
      </c>
      <c r="D116" s="48" t="inlineStr">
        <is>
          <t xml:space="preserve">Bound - within authority</t>
        </is>
      </c>
      <c r="E116" s="48" t="inlineStr">
        <is>
          <t xml:space="preserve">New business</t>
        </is>
      </c>
      <c r="F116" s="46" t="inlineStr">
        <is>
          <t xml:space="preserve">B1234EXOTIC26</t>
        </is>
      </c>
      <c r="G116" s="33">
        <f>IF($A116="","",IF($C116="","",YEAR($C116)))</f>
      </c>
      <c r="H116" s="49">
        <v>1963</v>
      </c>
      <c r="I116" s="46" t="inlineStr">
        <is>
          <t xml:space="preserve">Mercedes-Benz</t>
        </is>
      </c>
      <c r="J116" s="46" t="inlineStr">
        <is>
          <t xml:space="preserve">AMG GT</t>
        </is>
      </c>
      <c r="K116" s="46" t="inlineStr">
        <is>
          <t xml:space="preserve">WZEHGHG4NR07Z6VYE</t>
        </is>
      </c>
      <c r="L116" s="48" t="inlineStr">
        <is>
          <t xml:space="preserve">02 - Sports / GT</t>
        </is>
      </c>
      <c r="M116" s="50">
        <v>610000</v>
      </c>
      <c r="N116" s="48" t="inlineStr">
        <is>
          <t xml:space="preserve">Personal</t>
        </is>
      </c>
      <c r="O116" s="46" t="inlineStr">
        <is>
          <t xml:space="preserve">Personal - regular use</t>
        </is>
      </c>
      <c r="P116" s="46" t="inlineStr">
        <is>
          <t xml:space="preserve">2,500 - 5,000</t>
        </is>
      </c>
      <c r="Q116" s="46" t="inlineStr">
        <is>
          <t xml:space="preserve">California</t>
        </is>
      </c>
      <c r="R116" s="46" t="inlineStr">
        <is>
          <t xml:space="preserve">90012</t>
        </is>
      </c>
      <c r="S116" s="48" t="inlineStr">
        <is>
          <t xml:space="preserve">Earthquake - high (CA, Cascadia, New Madrid)</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9061.3</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CANON-202601-003207</t>
        </is>
      </c>
      <c r="B117" s="30" t="inlineStr">
        <is>
          <t xml:space="preserve">Ramona Okonkwo</t>
        </is>
      </c>
      <c r="C117" s="31">
        <v>46033</v>
      </c>
      <c r="D117" s="32" t="inlineStr">
        <is>
          <t xml:space="preserve">Bound - within authority</t>
        </is>
      </c>
      <c r="E117" s="32" t="inlineStr">
        <is>
          <t xml:space="preserve">New business</t>
        </is>
      </c>
      <c r="F117" s="30" t="inlineStr">
        <is>
          <t xml:space="preserve">B1234EXOTIC26</t>
        </is>
      </c>
      <c r="G117" s="33">
        <f>IF($A117="","",IF($C117="","",YEAR($C117)))</f>
      </c>
      <c r="H117" s="34">
        <v>1955</v>
      </c>
      <c r="I117" s="30" t="inlineStr">
        <is>
          <t xml:space="preserve">Aston Martin</t>
        </is>
      </c>
      <c r="J117" s="30" t="inlineStr">
        <is>
          <t xml:space="preserve">DB5</t>
        </is>
      </c>
      <c r="K117" s="30" t="inlineStr">
        <is>
          <t xml:space="preserve">12NUVUWAJAUYAD7CN</t>
        </is>
      </c>
      <c r="L117" s="32" t="inlineStr">
        <is>
          <t xml:space="preserve">07 - Post-War Classic (1946-1972)</t>
        </is>
      </c>
      <c r="M117" s="35">
        <v>1175000</v>
      </c>
      <c r="N117" s="32" t="inlineStr">
        <is>
          <t xml:space="preserve">Personal</t>
        </is>
      </c>
      <c r="O117" s="30" t="inlineStr">
        <is>
          <t xml:space="preserve">Personal - regular use</t>
        </is>
      </c>
      <c r="P117" s="30" t="inlineStr">
        <is>
          <t xml:space="preserve">1,000 - 2,500</t>
        </is>
      </c>
      <c r="Q117" s="30" t="inlineStr">
        <is>
          <t xml:space="preserve">Maryland</t>
        </is>
      </c>
      <c r="R117" s="30" t="inlineStr">
        <is>
          <t xml:space="preserve">21201</t>
        </is>
      </c>
      <c r="S117" s="32" t="inlineStr">
        <is>
          <t xml:space="preserve">Tier 3 - Coastal wind (25-100 miles)</t>
        </is>
      </c>
      <c r="T117" s="36">
        <f>IF($A117="","",IF($S117="","",IFERROR(INDEX('[1]natural catastrophe'!$D$6:$D$17,MATCH($S117,'[1]natural catastrophe'!$B$6:$B$17,0)),"?")))</f>
      </c>
      <c r="U117" s="30" t="inlineStr">
        <is>
          <t xml:space="preserve">2% of agreed value, minimum $10,000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7180.56</v>
      </c>
      <c r="AC117" s="37">
        <v>0</v>
      </c>
      <c r="AD117" s="38">
        <f>IF(ISNUMBER($AB117),$AB117*(1+N($AC117)),"")</f>
      </c>
      <c r="AE117" s="35">
        <v>350</v>
      </c>
      <c r="AF117" s="35">
        <v>250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CANON-202601-003208</t>
        </is>
      </c>
      <c r="B118" s="46" t="inlineStr">
        <is>
          <t xml:space="preserve">Ottilie Underwood</t>
        </is>
      </c>
      <c r="C118" s="47">
        <v>46032</v>
      </c>
      <c r="D118" s="48" t="inlineStr">
        <is>
          <t xml:space="preserve">Bound - within authority</t>
        </is>
      </c>
      <c r="E118" s="48" t="inlineStr">
        <is>
          <t xml:space="preserve">New business</t>
        </is>
      </c>
      <c r="F118" s="46" t="inlineStr">
        <is>
          <t xml:space="preserve">B1234EXOTIC26</t>
        </is>
      </c>
      <c r="G118" s="33">
        <f>IF($A118="","",IF($C118="","",YEAR($C118)))</f>
      </c>
      <c r="H118" s="49">
        <v>1990</v>
      </c>
      <c r="I118" s="46" t="inlineStr">
        <is>
          <t xml:space="preserve">Porsche</t>
        </is>
      </c>
      <c r="J118" s="46" t="inlineStr">
        <is>
          <t xml:space="preserve">911 Turbo S</t>
        </is>
      </c>
      <c r="K118" s="46" t="inlineStr">
        <is>
          <t xml:space="preserve">GL75336B2MWZWWGWS</t>
        </is>
      </c>
      <c r="L118" s="48" t="inlineStr">
        <is>
          <t xml:space="preserve">02 - Sports / GT</t>
        </is>
      </c>
      <c r="M118" s="50">
        <v>460000</v>
      </c>
      <c r="N118" s="48" t="inlineStr">
        <is>
          <t xml:space="preserve">Personal</t>
        </is>
      </c>
      <c r="O118" s="46" t="inlineStr">
        <is>
          <t xml:space="preserve">Personal - regular use</t>
        </is>
      </c>
      <c r="P118" s="46" t="inlineStr">
        <is>
          <t xml:space="preserve">Under 1,000</t>
        </is>
      </c>
      <c r="Q118" s="46" t="inlineStr">
        <is>
          <t xml:space="preserve">Texas</t>
        </is>
      </c>
      <c r="R118" s="46" t="inlineStr">
        <is>
          <t xml:space="preserve">75201</t>
        </is>
      </c>
      <c r="S118" s="48" t="inlineStr">
        <is>
          <t xml:space="preserve">Tier 2 - Coastal wind (1-25 miles)</t>
        </is>
      </c>
      <c r="T118" s="36">
        <f>IF($A118="","",IF($S118="","",IFERROR(INDEX('[1]natural catastrophe'!$D$6:$D$17,MATCH($S118,'[1]natural catastrophe'!$B$6:$B$17,0)),"?")))</f>
      </c>
      <c r="U118" s="46" t="inlineStr">
        <is>
          <t xml:space="preserve">2% of agreed value, minimum $10,000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6716.3</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CANON-202601-003209</t>
        </is>
      </c>
      <c r="B119" s="30" t="inlineStr">
        <is>
          <t xml:space="preserve">Priya Okonkwo</t>
        </is>
      </c>
      <c r="C119" s="31">
        <v>46028</v>
      </c>
      <c r="D119" s="32" t="inlineStr">
        <is>
          <t xml:space="preserve">Bound - within authority</t>
        </is>
      </c>
      <c r="E119" s="32" t="inlineStr">
        <is>
          <t xml:space="preserve">New business</t>
        </is>
      </c>
      <c r="F119" s="30" t="inlineStr">
        <is>
          <t xml:space="preserve">B1234EXOTIC26</t>
        </is>
      </c>
      <c r="G119" s="33">
        <f>IF($A119="","",IF($C119="","",YEAR($C119)))</f>
      </c>
      <c r="H119" s="34">
        <v>1971</v>
      </c>
      <c r="I119" s="30" t="inlineStr">
        <is>
          <t xml:space="preserve">Ferrari</t>
        </is>
      </c>
      <c r="J119" s="30" t="inlineStr">
        <is>
          <t xml:space="preserve">296 GTB</t>
        </is>
      </c>
      <c r="K119" s="30" t="inlineStr">
        <is>
          <t xml:space="preserve">F9CZPAVC72DFL7FP3</t>
        </is>
      </c>
      <c r="L119" s="32" t="inlineStr">
        <is>
          <t xml:space="preserve">03 - Supercar</t>
        </is>
      </c>
      <c r="M119" s="35">
        <v>935000</v>
      </c>
      <c r="N119" s="32" t="inlineStr">
        <is>
          <t xml:space="preserve">Personal</t>
        </is>
      </c>
      <c r="O119" s="30" t="inlineStr">
        <is>
          <t xml:space="preserve">Personal - regular use</t>
        </is>
      </c>
      <c r="P119" s="30" t="inlineStr">
        <is>
          <t xml:space="preserve">1,000 - 2,500</t>
        </is>
      </c>
      <c r="Q119" s="30" t="inlineStr">
        <is>
          <t xml:space="preserve">Kentucky</t>
        </is>
      </c>
      <c r="R119" s="30" t="inlineStr">
        <is>
          <t xml:space="preserve">40202</t>
        </is>
      </c>
      <c r="S119" s="32" t="inlineStr">
        <is>
          <t xml:space="preserve">Severe convective - hail / tornado (moderate)</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20148.99</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CANON-202601-003210</t>
        </is>
      </c>
      <c r="B120" s="46" t="inlineStr">
        <is>
          <t xml:space="preserve">Aurelio Blackwood</t>
        </is>
      </c>
      <c r="C120" s="47">
        <v>46047</v>
      </c>
      <c r="D120" s="48" t="inlineStr">
        <is>
          <t xml:space="preserve">Bound - within authority</t>
        </is>
      </c>
      <c r="E120" s="48" t="inlineStr">
        <is>
          <t xml:space="preserve">New business</t>
        </is>
      </c>
      <c r="F120" s="46" t="inlineStr">
        <is>
          <t xml:space="preserve">B1234EXOTIC26</t>
        </is>
      </c>
      <c r="G120" s="33">
        <f>IF($A120="","",IF($C120="","",YEAR($C120)))</f>
      </c>
      <c r="H120" s="49">
        <v>2007</v>
      </c>
      <c r="I120" s="46" t="inlineStr">
        <is>
          <t xml:space="preserve">Aston Martin</t>
        </is>
      </c>
      <c r="J120" s="46" t="inlineStr">
        <is>
          <t xml:space="preserve">DB5</t>
        </is>
      </c>
      <c r="K120" s="46" t="inlineStr">
        <is>
          <t xml:space="preserve">06DKNS07YPKGEMV43</t>
        </is>
      </c>
      <c r="L120" s="48" t="inlineStr">
        <is>
          <t xml:space="preserve">09 - Youngtimer / Collectible (2000-2010)</t>
        </is>
      </c>
      <c r="M120" s="50">
        <v>1125000</v>
      </c>
      <c r="N120" s="48" t="inlineStr">
        <is>
          <t xml:space="preserve">Personal</t>
        </is>
      </c>
      <c r="O120" s="46" t="inlineStr">
        <is>
          <t xml:space="preserve">Personal - regular use</t>
        </is>
      </c>
      <c r="P120" s="46" t="inlineStr">
        <is>
          <t xml:space="preserve">1,000 - 2,500</t>
        </is>
      </c>
      <c r="Q120" s="46" t="inlineStr">
        <is>
          <t xml:space="preserve">Florida</t>
        </is>
      </c>
      <c r="R120" s="46" t="inlineStr">
        <is>
          <t xml:space="preserve">33139</t>
        </is>
      </c>
      <c r="S120" s="48" t="inlineStr">
        <is>
          <t xml:space="preserve">Tier 2 - Coastal wind (1-25 miles)</t>
        </is>
      </c>
      <c r="T120" s="36">
        <f>IF($A120="","",IF($S120="","",IFERROR(INDEX('[1]natural catastrophe'!$D$6:$D$17,MATCH($S120,'[1]natural catastrophe'!$B$6:$B$17,0)),"?")))</f>
      </c>
      <c r="U120" s="46" t="inlineStr">
        <is>
          <t xml:space="preserve">2% of agreed value, minimum $10,000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10276.32</v>
      </c>
      <c r="AC120" s="51">
        <v>0</v>
      </c>
      <c r="AD120" s="38">
        <f>IF(ISNUMBER($AB120),$AB120*(1+N($AC120)),"")</f>
      </c>
      <c r="AE120" s="50">
        <v>350</v>
      </c>
      <c r="AF120" s="50">
        <v>250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CANON-202601-003212</t>
        </is>
      </c>
      <c r="B121" s="30" t="inlineStr">
        <is>
          <t xml:space="preserve">Priya Merriweather</t>
        </is>
      </c>
      <c r="C121" s="31">
        <v>46039</v>
      </c>
      <c r="D121" s="32" t="inlineStr">
        <is>
          <t xml:space="preserve">Bound - within authority</t>
        </is>
      </c>
      <c r="E121" s="32" t="inlineStr">
        <is>
          <t xml:space="preserve">New business</t>
        </is>
      </c>
      <c r="F121" s="30" t="inlineStr">
        <is>
          <t xml:space="preserve">B1234EXOTIC26</t>
        </is>
      </c>
      <c r="G121" s="33">
        <f>IF($A121="","",IF($C121="","",YEAR($C121)))</f>
      </c>
      <c r="H121" s="34">
        <v>2021</v>
      </c>
      <c r="I121" s="30" t="inlineStr">
        <is>
          <t xml:space="preserve">Jaguar</t>
        </is>
      </c>
      <c r="J121" s="30" t="inlineStr">
        <is>
          <t xml:space="preserve">E-Type Series 1</t>
        </is>
      </c>
      <c r="K121" s="30" t="inlineStr">
        <is>
          <t xml:space="preserve">JVEZULWMCA6YY9P0M</t>
        </is>
      </c>
      <c r="L121" s="32" t="inlineStr">
        <is>
          <t xml:space="preserve">02 - Sports / GT</t>
        </is>
      </c>
      <c r="M121" s="35">
        <v>780000</v>
      </c>
      <c r="N121" s="32" t="inlineStr">
        <is>
          <t xml:space="preserve">Personal</t>
        </is>
      </c>
      <c r="O121" s="30" t="inlineStr">
        <is>
          <t xml:space="preserve">Personal - regular use</t>
        </is>
      </c>
      <c r="P121" s="30" t="inlineStr">
        <is>
          <t xml:space="preserve">2,500 - 5,000</t>
        </is>
      </c>
      <c r="Q121" s="30" t="inlineStr">
        <is>
          <t xml:space="preserve">Indiana</t>
        </is>
      </c>
      <c r="R121" s="30" t="inlineStr">
        <is>
          <t xml:space="preserve">46204</t>
        </is>
      </c>
      <c r="S121" s="32" t="inlineStr">
        <is>
          <t xml:space="preserve">Severe convective - hail / tornado (moderate)</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6983.63</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CANON-202601-003213</t>
        </is>
      </c>
      <c r="B122" s="46" t="inlineStr">
        <is>
          <t xml:space="preserve">Horace Vandermeer</t>
        </is>
      </c>
      <c r="C122" s="47">
        <v>46030</v>
      </c>
      <c r="D122" s="48" t="inlineStr">
        <is>
          <t xml:space="preserve">Bound - within authority</t>
        </is>
      </c>
      <c r="E122" s="48" t="inlineStr">
        <is>
          <t xml:space="preserve">New business</t>
        </is>
      </c>
      <c r="F122" s="46" t="inlineStr">
        <is>
          <t xml:space="preserve">B1234EXOTIC26</t>
        </is>
      </c>
      <c r="G122" s="33">
        <f>IF($A122="","",IF($C122="","",YEAR($C122)))</f>
      </c>
      <c r="H122" s="49">
        <v>1956</v>
      </c>
      <c r="I122" s="46" t="inlineStr">
        <is>
          <t xml:space="preserve">Porsche</t>
        </is>
      </c>
      <c r="J122" s="46" t="inlineStr">
        <is>
          <t xml:space="preserve">911 Turbo S</t>
        </is>
      </c>
      <c r="K122" s="46" t="inlineStr">
        <is>
          <t xml:space="preserve">CUN388U100PMP47LB</t>
        </is>
      </c>
      <c r="L122" s="48" t="inlineStr">
        <is>
          <t xml:space="preserve">02 - Sports / GT</t>
        </is>
      </c>
      <c r="M122" s="50">
        <v>445000</v>
      </c>
      <c r="N122" s="48" t="inlineStr">
        <is>
          <t xml:space="preserve">Personal</t>
        </is>
      </c>
      <c r="O122" s="46" t="inlineStr">
        <is>
          <t xml:space="preserve">Personal - regular use</t>
        </is>
      </c>
      <c r="P122" s="46" t="inlineStr">
        <is>
          <t xml:space="preserve">2,500 - 5,000</t>
        </is>
      </c>
      <c r="Q122" s="46" t="inlineStr">
        <is>
          <t xml:space="preserve">Louisiana</t>
        </is>
      </c>
      <c r="R122" s="46" t="inlineStr">
        <is>
          <t xml:space="preserve">70112</t>
        </is>
      </c>
      <c r="S122" s="48" t="inlineStr">
        <is>
          <t xml:space="preserve">Tier 2 - Coastal wind (1-25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6836.29</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CANON-202601-003214</t>
        </is>
      </c>
      <c r="B123" s="30" t="inlineStr">
        <is>
          <t xml:space="preserve">Priya Ashcombe</t>
        </is>
      </c>
      <c r="C123" s="31">
        <v>46049</v>
      </c>
      <c r="D123" s="32" t="inlineStr">
        <is>
          <t xml:space="preserve">Bound - within authority</t>
        </is>
      </c>
      <c r="E123" s="32" t="inlineStr">
        <is>
          <t xml:space="preserve">New business</t>
        </is>
      </c>
      <c r="F123" s="30" t="inlineStr">
        <is>
          <t xml:space="preserve">B1234EXOTIC26</t>
        </is>
      </c>
      <c r="G123" s="33">
        <f>IF($A123="","",IF($C123="","",YEAR($C123)))</f>
      </c>
      <c r="H123" s="34">
        <v>1992</v>
      </c>
      <c r="I123" s="30" t="inlineStr">
        <is>
          <t xml:space="preserve">Maserati</t>
        </is>
      </c>
      <c r="J123" s="30" t="inlineStr">
        <is>
          <t xml:space="preserve">GranTurismo</t>
        </is>
      </c>
      <c r="K123" s="30" t="inlineStr">
        <is>
          <t xml:space="preserve">7BX16JGG6UYP80241</t>
        </is>
      </c>
      <c r="L123" s="32" t="inlineStr">
        <is>
          <t xml:space="preserve">02 - Sports / GT</t>
        </is>
      </c>
      <c r="M123" s="35">
        <v>440000</v>
      </c>
      <c r="N123" s="32" t="inlineStr">
        <is>
          <t xml:space="preserve">Personal</t>
        </is>
      </c>
      <c r="O123" s="30" t="inlineStr">
        <is>
          <t xml:space="preserve">Personal - regular use</t>
        </is>
      </c>
      <c r="P123" s="30" t="inlineStr">
        <is>
          <t xml:space="preserve">1,000 - 2,500</t>
        </is>
      </c>
      <c r="Q123" s="30" t="inlineStr">
        <is>
          <t xml:space="preserve">Massachusetts</t>
        </is>
      </c>
      <c r="R123" s="30" t="inlineStr">
        <is>
          <t xml:space="preserve">02108</t>
        </is>
      </c>
      <c r="S123" s="32" t="inlineStr">
        <is>
          <t xml:space="preserve">Tier 3 - Coastal wind (25-100 miles)</t>
        </is>
      </c>
      <c r="T123" s="36">
        <f>IF($A123="","",IF($S123="","",IFERROR(INDEX('[1]natural catastrophe'!$D$6:$D$17,MATCH($S123,'[1]natural catastrophe'!$B$6:$B$17,0)),"?")))</f>
      </c>
      <c r="U123" s="30" t="inlineStr">
        <is>
          <t xml:space="preserve">2% of agreed value, minimum $10,000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6982.93</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CANON-202601-003215</t>
        </is>
      </c>
      <c r="B124" s="46" t="inlineStr">
        <is>
          <t xml:space="preserve">Noor Blackwood</t>
        </is>
      </c>
      <c r="C124" s="47">
        <v>46044</v>
      </c>
      <c r="D124" s="48" t="inlineStr">
        <is>
          <t xml:space="preserve">Bound - within authority</t>
        </is>
      </c>
      <c r="E124" s="48" t="inlineStr">
        <is>
          <t xml:space="preserve">New business</t>
        </is>
      </c>
      <c r="F124" s="46" t="inlineStr">
        <is>
          <t xml:space="preserve">B1234EXOTIC26</t>
        </is>
      </c>
      <c r="G124" s="33">
        <f>IF($A124="","",IF($C124="","",YEAR($C124)))</f>
      </c>
      <c r="H124" s="49">
        <v>1972</v>
      </c>
      <c r="I124" s="46" t="inlineStr">
        <is>
          <t xml:space="preserve">Aston Martin</t>
        </is>
      </c>
      <c r="J124" s="46" t="inlineStr">
        <is>
          <t xml:space="preserve">DB5</t>
        </is>
      </c>
      <c r="K124" s="46" t="inlineStr">
        <is>
          <t xml:space="preserve">7H78APGBJMLADCUA9</t>
        </is>
      </c>
      <c r="L124" s="48" t="inlineStr">
        <is>
          <t xml:space="preserve">07 - Post-War Classic (1946-1972)</t>
        </is>
      </c>
      <c r="M124" s="50">
        <v>1040000</v>
      </c>
      <c r="N124" s="48" t="inlineStr">
        <is>
          <t xml:space="preserve">Personal</t>
        </is>
      </c>
      <c r="O124" s="46" t="inlineStr">
        <is>
          <t xml:space="preserve">Personal - regular use</t>
        </is>
      </c>
      <c r="P124" s="46" t="inlineStr">
        <is>
          <t xml:space="preserve">1,000 - 2,500</t>
        </is>
      </c>
      <c r="Q124" s="46" t="inlineStr">
        <is>
          <t xml:space="preserve">California</t>
        </is>
      </c>
      <c r="R124" s="46" t="inlineStr">
        <is>
          <t xml:space="preserve">90012</t>
        </is>
      </c>
      <c r="S124" s="48" t="inlineStr">
        <is>
          <t xml:space="preserve">Earthquake - high (CA, Cascadia, New Madrid)</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9031.59</v>
      </c>
      <c r="AC124" s="51">
        <v>0</v>
      </c>
      <c r="AD124" s="38">
        <f>IF(ISNUMBER($AB124),$AB124*(1+N($AC124)),"")</f>
      </c>
      <c r="AE124" s="50">
        <v>350</v>
      </c>
      <c r="AF124" s="50">
        <v>250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CANON-202601-003217</t>
        </is>
      </c>
      <c r="B125" s="30" t="inlineStr">
        <is>
          <t xml:space="preserve">Lorenzo Thistlewood</t>
        </is>
      </c>
      <c r="C125" s="31">
        <v>46024</v>
      </c>
      <c r="D125" s="32" t="inlineStr">
        <is>
          <t xml:space="preserve">Bound - within authority</t>
        </is>
      </c>
      <c r="E125" s="32" t="inlineStr">
        <is>
          <t xml:space="preserve">New business</t>
        </is>
      </c>
      <c r="F125" s="30" t="inlineStr">
        <is>
          <t xml:space="preserve">B1234EXOTIC26</t>
        </is>
      </c>
      <c r="G125" s="33">
        <f>IF($A125="","",IF($C125="","",YEAR($C125)))</f>
      </c>
      <c r="H125" s="34">
        <v>2009</v>
      </c>
      <c r="I125" s="30" t="inlineStr">
        <is>
          <t xml:space="preserve">Mercedes-Benz</t>
        </is>
      </c>
      <c r="J125" s="30" t="inlineStr">
        <is>
          <t xml:space="preserve">280SL Pagoda</t>
        </is>
      </c>
      <c r="K125" s="30" t="inlineStr">
        <is>
          <t xml:space="preserve">PPY9ZZK5CJLD40MSY</t>
        </is>
      </c>
      <c r="L125" s="32" t="inlineStr">
        <is>
          <t xml:space="preserve">09 - Youngtimer / Collectible (2000-2010)</t>
        </is>
      </c>
      <c r="M125" s="35">
        <v>1950000</v>
      </c>
      <c r="N125" s="32" t="inlineStr">
        <is>
          <t xml:space="preserve">Personal</t>
        </is>
      </c>
      <c r="O125" s="30" t="inlineStr">
        <is>
          <t xml:space="preserve">Personal - regular use</t>
        </is>
      </c>
      <c r="P125" s="30" t="inlineStr">
        <is>
          <t xml:space="preserve">2,500 - 5,000</t>
        </is>
      </c>
      <c r="Q125" s="30" t="inlineStr">
        <is>
          <t xml:space="preserve">Kentucky</t>
        </is>
      </c>
      <c r="R125" s="30" t="inlineStr">
        <is>
          <t xml:space="preserve">40202</t>
        </is>
      </c>
      <c r="S125" s="32" t="inlineStr">
        <is>
          <t xml:space="preserve">Severe convective - hail / tornado (moderate)</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16808.79</v>
      </c>
      <c r="AC125" s="37">
        <v>0</v>
      </c>
      <c r="AD125" s="38">
        <f>IF(ISNUMBER($AB125),$AB125*(1+N($AC125)),"")</f>
      </c>
      <c r="AE125" s="35">
        <v>350</v>
      </c>
      <c r="AF125" s="35">
        <v>250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CANON-202601-003219</t>
        </is>
      </c>
      <c r="B126" s="46" t="inlineStr">
        <is>
          <t xml:space="preserve">Leopold Okonkwo</t>
        </is>
      </c>
      <c r="C126" s="47">
        <v>46031</v>
      </c>
      <c r="D126" s="48" t="inlineStr">
        <is>
          <t xml:space="preserve">Bound - within authority</t>
        </is>
      </c>
      <c r="E126" s="48" t="inlineStr">
        <is>
          <t xml:space="preserve">New business</t>
        </is>
      </c>
      <c r="F126" s="46" t="inlineStr">
        <is>
          <t xml:space="preserve">B1234EXOTIC26</t>
        </is>
      </c>
      <c r="G126" s="33">
        <f>IF($A126="","",IF($C126="","",YEAR($C126)))</f>
      </c>
      <c r="H126" s="49">
        <v>1961</v>
      </c>
      <c r="I126" s="46" t="inlineStr">
        <is>
          <t xml:space="preserve">Porsche</t>
        </is>
      </c>
      <c r="J126" s="46" t="inlineStr">
        <is>
          <t xml:space="preserve">911 Turbo S</t>
        </is>
      </c>
      <c r="K126" s="46" t="inlineStr">
        <is>
          <t xml:space="preserve">G7Z0E1VH05S63D36U</t>
        </is>
      </c>
      <c r="L126" s="48" t="inlineStr">
        <is>
          <t xml:space="preserve">02 - Sports / GT</t>
        </is>
      </c>
      <c r="M126" s="50">
        <v>350000</v>
      </c>
      <c r="N126" s="48" t="inlineStr">
        <is>
          <t xml:space="preserve">Personal</t>
        </is>
      </c>
      <c r="O126" s="46" t="inlineStr">
        <is>
          <t xml:space="preserve">Personal - regular use</t>
        </is>
      </c>
      <c r="P126" s="46" t="inlineStr">
        <is>
          <t xml:space="preserve">1,000 - 2,500</t>
        </is>
      </c>
      <c r="Q126" s="46" t="inlineStr">
        <is>
          <t xml:space="preserve">Utah</t>
        </is>
      </c>
      <c r="R126" s="46" t="inlineStr">
        <is>
          <t xml:space="preserve">84101</t>
        </is>
      </c>
      <c r="S126" s="48" t="inlineStr">
        <is>
          <t xml:space="preserve">Wildfire - WUI high hazard</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5998.97</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CANON-202601-003220</t>
        </is>
      </c>
      <c r="B127" s="30" t="inlineStr">
        <is>
          <t xml:space="preserve">Mireille Fairweather</t>
        </is>
      </c>
      <c r="C127" s="31">
        <v>46045</v>
      </c>
      <c r="D127" s="32" t="inlineStr">
        <is>
          <t xml:space="preserve">Bound - within authority</t>
        </is>
      </c>
      <c r="E127" s="32" t="inlineStr">
        <is>
          <t xml:space="preserve">New business</t>
        </is>
      </c>
      <c r="F127" s="30" t="inlineStr">
        <is>
          <t xml:space="preserve">B1234EXOTIC26</t>
        </is>
      </c>
      <c r="G127" s="33">
        <f>IF($A127="","",IF($C127="","",YEAR($C127)))</f>
      </c>
      <c r="H127" s="34">
        <v>1956</v>
      </c>
      <c r="I127" s="30" t="inlineStr">
        <is>
          <t xml:space="preserve">Mercedes-Benz</t>
        </is>
      </c>
      <c r="J127" s="30" t="inlineStr">
        <is>
          <t xml:space="preserve">AMG GT</t>
        </is>
      </c>
      <c r="K127" s="30" t="inlineStr">
        <is>
          <t xml:space="preserve">4E9203H0MK63G4KL1</t>
        </is>
      </c>
      <c r="L127" s="32" t="inlineStr">
        <is>
          <t xml:space="preserve">02 - Sports / GT</t>
        </is>
      </c>
      <c r="M127" s="35">
        <v>485000</v>
      </c>
      <c r="N127" s="32" t="inlineStr">
        <is>
          <t xml:space="preserve">Personal</t>
        </is>
      </c>
      <c r="O127" s="30" t="inlineStr">
        <is>
          <t xml:space="preserve">Personal - regular use</t>
        </is>
      </c>
      <c r="P127" s="30" t="inlineStr">
        <is>
          <t xml:space="preserve">2,500 - 5,000</t>
        </is>
      </c>
      <c r="Q127" s="30" t="inlineStr">
        <is>
          <t xml:space="preserve">Kentucky</t>
        </is>
      </c>
      <c r="R127" s="30" t="inlineStr">
        <is>
          <t xml:space="preserve">40202</t>
        </is>
      </c>
      <c r="S127" s="32" t="inlineStr">
        <is>
          <t xml:space="preserve">Severe convective - hail / tornado (moderate)</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8251.28</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CANON-202601-003223</t>
        </is>
      </c>
      <c r="B128" s="46" t="inlineStr">
        <is>
          <t xml:space="preserve">Priya Rourke</t>
        </is>
      </c>
      <c r="C128" s="47">
        <v>46052</v>
      </c>
      <c r="D128" s="48" t="inlineStr">
        <is>
          <t xml:space="preserve">Bound - within authority</t>
        </is>
      </c>
      <c r="E128" s="48" t="inlineStr">
        <is>
          <t xml:space="preserve">New business</t>
        </is>
      </c>
      <c r="F128" s="46" t="inlineStr">
        <is>
          <t xml:space="preserve">B1234EXOTIC26</t>
        </is>
      </c>
      <c r="G128" s="33">
        <f>IF($A128="","",IF($C128="","",YEAR($C128)))</f>
      </c>
      <c r="H128" s="49">
        <v>1960</v>
      </c>
      <c r="I128" s="46" t="inlineStr">
        <is>
          <t xml:space="preserve">Ferrari</t>
        </is>
      </c>
      <c r="J128" s="46" t="inlineStr">
        <is>
          <t xml:space="preserve">SF90 Stradale</t>
        </is>
      </c>
      <c r="K128" s="46" t="inlineStr">
        <is>
          <t xml:space="preserve">9P1FGVLM1LWDX6N08</t>
        </is>
      </c>
      <c r="L128" s="48" t="inlineStr">
        <is>
          <t xml:space="preserve">03 - Supercar</t>
        </is>
      </c>
      <c r="M128" s="50">
        <v>1950000</v>
      </c>
      <c r="N128" s="48" t="inlineStr">
        <is>
          <t xml:space="preserve">Personal</t>
        </is>
      </c>
      <c r="O128" s="46" t="inlineStr">
        <is>
          <t xml:space="preserve">Personal - regular use</t>
        </is>
      </c>
      <c r="P128" s="46" t="inlineStr">
        <is>
          <t xml:space="preserve">1,000 - 2,500</t>
        </is>
      </c>
      <c r="Q128" s="46" t="inlineStr">
        <is>
          <t xml:space="preserve">New Mexico</t>
        </is>
      </c>
      <c r="R128" s="46" t="inlineStr">
        <is>
          <t xml:space="preserve">87501</t>
        </is>
      </c>
      <c r="S128" s="48" t="inlineStr">
        <is>
          <t xml:space="preserve">Wildfire - WUI high hazard</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33802.43</v>
      </c>
      <c r="AC128" s="51">
        <v>0</v>
      </c>
      <c r="AD128" s="38">
        <f>IF(ISNUMBER($AB128),$AB128*(1+N($AC128)),"")</f>
      </c>
      <c r="AE128" s="50">
        <v>350</v>
      </c>
      <c r="AF128" s="50">
        <v>250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CANON-202601-003225</t>
        </is>
      </c>
      <c r="B129" s="30" t="inlineStr">
        <is>
          <t xml:space="preserve">Anouk Bellandi</t>
        </is>
      </c>
      <c r="C129" s="31">
        <v>46026</v>
      </c>
      <c r="D129" s="32" t="inlineStr">
        <is>
          <t xml:space="preserve">Bound - within authority</t>
        </is>
      </c>
      <c r="E129" s="32" t="inlineStr">
        <is>
          <t xml:space="preserve">New business</t>
        </is>
      </c>
      <c r="F129" s="30" t="inlineStr">
        <is>
          <t xml:space="preserve">B1234EXOTIC26</t>
        </is>
      </c>
      <c r="G129" s="33">
        <f>IF($A129="","",IF($C129="","",YEAR($C129)))</f>
      </c>
      <c r="H129" s="34">
        <v>1965</v>
      </c>
      <c r="I129" s="30" t="inlineStr">
        <is>
          <t xml:space="preserve">McLaren</t>
        </is>
      </c>
      <c r="J129" s="30" t="inlineStr">
        <is>
          <t xml:space="preserve">750S</t>
        </is>
      </c>
      <c r="K129" s="30" t="inlineStr">
        <is>
          <t xml:space="preserve">U4GUMRCYNHDJNBDXE</t>
        </is>
      </c>
      <c r="L129" s="32" t="inlineStr">
        <is>
          <t xml:space="preserve">03 - Supercar</t>
        </is>
      </c>
      <c r="M129" s="35">
        <v>565000</v>
      </c>
      <c r="N129" s="32" t="inlineStr">
        <is>
          <t xml:space="preserve">Personal</t>
        </is>
      </c>
      <c r="O129" s="30" t="inlineStr">
        <is>
          <t xml:space="preserve">Personal - regular use</t>
        </is>
      </c>
      <c r="P129" s="30" t="inlineStr">
        <is>
          <t xml:space="preserve">2,500 - 5,000</t>
        </is>
      </c>
      <c r="Q129" s="30" t="inlineStr">
        <is>
          <t xml:space="preserve">Maryland</t>
        </is>
      </c>
      <c r="R129" s="30" t="inlineStr">
        <is>
          <t xml:space="preserve">21201</t>
        </is>
      </c>
      <c r="S129" s="32" t="inlineStr">
        <is>
          <t xml:space="preserve">Tier 3 - Coastal wind (25-100 miles)</t>
        </is>
      </c>
      <c r="T129" s="36">
        <f>IF($A129="","",IF($S129="","",IFERROR(INDEX('[1]natural catastrophe'!$D$6:$D$17,MATCH($S129,'[1]natural catastrophe'!$B$6:$B$17,0)),"?")))</f>
      </c>
      <c r="U129" s="30" t="inlineStr">
        <is>
          <t xml:space="preserve">2% of agreed value, minimum $10,000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8631.95</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CANON-202601-003226</t>
        </is>
      </c>
      <c r="B130" s="46" t="inlineStr">
        <is>
          <t xml:space="preserve">Marisol Bellandi</t>
        </is>
      </c>
      <c r="C130" s="47">
        <v>46035</v>
      </c>
      <c r="D130" s="48" t="inlineStr">
        <is>
          <t xml:space="preserve">Bound - within authority</t>
        </is>
      </c>
      <c r="E130" s="48" t="inlineStr">
        <is>
          <t xml:space="preserve">New business</t>
        </is>
      </c>
      <c r="F130" s="46" t="inlineStr">
        <is>
          <t xml:space="preserve">B1234EXOTIC26</t>
        </is>
      </c>
      <c r="G130" s="33">
        <f>IF($A130="","",IF($C130="","",YEAR($C130)))</f>
      </c>
      <c r="H130" s="49">
        <v>1959</v>
      </c>
      <c r="I130" s="46" t="inlineStr">
        <is>
          <t xml:space="preserve">Porsche</t>
        </is>
      </c>
      <c r="J130" s="46" t="inlineStr">
        <is>
          <t xml:space="preserve">911 Turbo S</t>
        </is>
      </c>
      <c r="K130" s="46" t="inlineStr">
        <is>
          <t xml:space="preserve">PYTV0X6K38NKF09J1</t>
        </is>
      </c>
      <c r="L130" s="48" t="inlineStr">
        <is>
          <t xml:space="preserve">02 - Sports / GT</t>
        </is>
      </c>
      <c r="M130" s="50">
        <v>540000</v>
      </c>
      <c r="N130" s="48" t="inlineStr">
        <is>
          <t xml:space="preserve">Personal</t>
        </is>
      </c>
      <c r="O130" s="46" t="inlineStr">
        <is>
          <t xml:space="preserve">Personal - regular use</t>
        </is>
      </c>
      <c r="P130" s="46" t="inlineStr">
        <is>
          <t xml:space="preserve">2,500 - 5,000</t>
        </is>
      </c>
      <c r="Q130" s="46" t="inlineStr">
        <is>
          <t xml:space="preserve">Georgia</t>
        </is>
      </c>
      <c r="R130" s="46" t="inlineStr">
        <is>
          <t xml:space="preserve">30303</t>
        </is>
      </c>
      <c r="S130" s="48" t="inlineStr">
        <is>
          <t xml:space="preserve">Tier 2 - Coastal wind (1-25 miles)</t>
        </is>
      </c>
      <c r="T130" s="36">
        <f>IF($A130="","",IF($S130="","",IFERROR(INDEX('[1]natural catastrophe'!$D$6:$D$17,MATCH($S130,'[1]natural catastrophe'!$B$6:$B$17,0)),"?")))</f>
      </c>
      <c r="U130" s="46" t="inlineStr">
        <is>
          <t xml:space="preserve">2% of agreed value, minimum $10,000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6654.86</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CANON-202601-003229</t>
        </is>
      </c>
      <c r="B131" s="30" t="inlineStr">
        <is>
          <t xml:space="preserve">Fenwick Larsson</t>
        </is>
      </c>
      <c r="C131" s="31">
        <v>46053</v>
      </c>
      <c r="D131" s="32" t="inlineStr">
        <is>
          <t xml:space="preserve">Bound - within authority</t>
        </is>
      </c>
      <c r="E131" s="32" t="inlineStr">
        <is>
          <t xml:space="preserve">New business</t>
        </is>
      </c>
      <c r="F131" s="30" t="inlineStr">
        <is>
          <t xml:space="preserve">B1234EXOTIC26</t>
        </is>
      </c>
      <c r="G131" s="33">
        <f>IF($A131="","",IF($C131="","",YEAR($C131)))</f>
      </c>
      <c r="H131" s="34">
        <v>1967</v>
      </c>
      <c r="I131" s="30" t="inlineStr">
        <is>
          <t xml:space="preserve">Ferrari</t>
        </is>
      </c>
      <c r="J131" s="30" t="inlineStr">
        <is>
          <t xml:space="preserve">296 GTB</t>
        </is>
      </c>
      <c r="K131" s="30" t="inlineStr">
        <is>
          <t xml:space="preserve">933T887PFY4U6TS7S</t>
        </is>
      </c>
      <c r="L131" s="32" t="inlineStr">
        <is>
          <t xml:space="preserve">03 - Supercar</t>
        </is>
      </c>
      <c r="M131" s="35">
        <v>415000</v>
      </c>
      <c r="N131" s="32" t="inlineStr">
        <is>
          <t xml:space="preserve">Personal</t>
        </is>
      </c>
      <c r="O131" s="30" t="inlineStr">
        <is>
          <t xml:space="preserve">Personal - regular use</t>
        </is>
      </c>
      <c r="P131" s="30" t="inlineStr">
        <is>
          <t xml:space="preserve">Under 1,000</t>
        </is>
      </c>
      <c r="Q131" s="30" t="inlineStr">
        <is>
          <t xml:space="preserve">New Jersey</t>
        </is>
      </c>
      <c r="R131" s="30" t="inlineStr">
        <is>
          <t xml:space="preserve">07102</t>
        </is>
      </c>
      <c r="S131" s="32" t="inlineStr">
        <is>
          <t xml:space="preserve">Tier 3 - Coastal wind (25-100 miles)</t>
        </is>
      </c>
      <c r="T131" s="36">
        <f>IF($A131="","",IF($S131="","",IFERROR(INDEX('[1]natural catastrophe'!$D$6:$D$17,MATCH($S131,'[1]natural catastrophe'!$B$6:$B$17,0)),"?")))</f>
      </c>
      <c r="U131" s="30" t="inlineStr">
        <is>
          <t xml:space="preserve">2% of agreed value, minimum $10,000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7351.92</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CANON-202601-003230</t>
        </is>
      </c>
      <c r="B132" s="46" t="inlineStr">
        <is>
          <t xml:space="preserve">Mireille Vasquez</t>
        </is>
      </c>
      <c r="C132" s="47">
        <v>46030</v>
      </c>
      <c r="D132" s="48" t="inlineStr">
        <is>
          <t xml:space="preserve">Bound - within authority</t>
        </is>
      </c>
      <c r="E132" s="48" t="inlineStr">
        <is>
          <t xml:space="preserve">New business</t>
        </is>
      </c>
      <c r="F132" s="46" t="inlineStr">
        <is>
          <t xml:space="preserve">B1234EXOTIC26</t>
        </is>
      </c>
      <c r="G132" s="33">
        <f>IF($A132="","",IF($C132="","",YEAR($C132)))</f>
      </c>
      <c r="H132" s="49">
        <v>1975</v>
      </c>
      <c r="I132" s="46" t="inlineStr">
        <is>
          <t xml:space="preserve">Aston Martin</t>
        </is>
      </c>
      <c r="J132" s="46" t="inlineStr">
        <is>
          <t xml:space="preserve">DB12</t>
        </is>
      </c>
      <c r="K132" s="46" t="inlineStr">
        <is>
          <t xml:space="preserve">N6CLHA2TKLWDWX4JX</t>
        </is>
      </c>
      <c r="L132" s="48" t="inlineStr">
        <is>
          <t xml:space="preserve">02 - Sports / GT</t>
        </is>
      </c>
      <c r="M132" s="50">
        <v>400000</v>
      </c>
      <c r="N132" s="48" t="inlineStr">
        <is>
          <t xml:space="preserve">Personal</t>
        </is>
      </c>
      <c r="O132" s="46" t="inlineStr">
        <is>
          <t xml:space="preserve">Personal - regular use</t>
        </is>
      </c>
      <c r="P132" s="46" t="inlineStr">
        <is>
          <t xml:space="preserve">Under 1,000</t>
        </is>
      </c>
      <c r="Q132" s="46" t="inlineStr">
        <is>
          <t xml:space="preserve">Kansas</t>
        </is>
      </c>
      <c r="R132" s="46" t="inlineStr">
        <is>
          <t xml:space="preserve">66603</t>
        </is>
      </c>
      <c r="S132" s="48" t="inlineStr">
        <is>
          <t xml:space="preserve">Severe convective - hail alley (high)</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4926.14</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CANON-202601-003231</t>
        </is>
      </c>
      <c r="B133" s="30" t="inlineStr">
        <is>
          <t xml:space="preserve">Everett Farkas</t>
        </is>
      </c>
      <c r="C133" s="31">
        <v>46027</v>
      </c>
      <c r="D133" s="32" t="inlineStr">
        <is>
          <t xml:space="preserve">Bound - within authority</t>
        </is>
      </c>
      <c r="E133" s="32" t="inlineStr">
        <is>
          <t xml:space="preserve">New business</t>
        </is>
      </c>
      <c r="F133" s="30" t="inlineStr">
        <is>
          <t xml:space="preserve">B1234EXOTIC26</t>
        </is>
      </c>
      <c r="G133" s="33">
        <f>IF($A133="","",IF($C133="","",YEAR($C133)))</f>
      </c>
      <c r="H133" s="34">
        <v>2023</v>
      </c>
      <c r="I133" s="30" t="inlineStr">
        <is>
          <t xml:space="preserve">Porsche</t>
        </is>
      </c>
      <c r="J133" s="30" t="inlineStr">
        <is>
          <t xml:space="preserve">911 Turbo S</t>
        </is>
      </c>
      <c r="K133" s="30" t="inlineStr">
        <is>
          <t xml:space="preserve">Z6V0K6PRRUGZJHLKP</t>
        </is>
      </c>
      <c r="L133" s="32" t="inlineStr">
        <is>
          <t xml:space="preserve">02 - Sports / GT</t>
        </is>
      </c>
      <c r="M133" s="35">
        <v>375000</v>
      </c>
      <c r="N133" s="32" t="inlineStr">
        <is>
          <t xml:space="preserve">Personal</t>
        </is>
      </c>
      <c r="O133" s="30" t="inlineStr">
        <is>
          <t xml:space="preserve">Personal - regular use</t>
        </is>
      </c>
      <c r="P133" s="30" t="inlineStr">
        <is>
          <t xml:space="preserve">Under 1,000</t>
        </is>
      </c>
      <c r="Q133" s="30" t="inlineStr">
        <is>
          <t xml:space="preserve">Iowa</t>
        </is>
      </c>
      <c r="R133" s="30" t="inlineStr">
        <is>
          <t xml:space="preserve">50309</t>
        </is>
      </c>
      <c r="S133" s="32" t="inlineStr">
        <is>
          <t xml:space="preserve">Severe convective - hail alley (high)</t>
        </is>
      </c>
      <c r="T133" s="36">
        <f>IF($A133="","",IF($S133="","",IFERROR(INDEX('[1]natural catastrophe'!$D$6:$D$17,MATCH($S133,'[1]natural catastrophe'!$B$6:$B$17,0)),"?")))</f>
      </c>
      <c r="U133" s="30" t="inlineStr">
        <is>
          <t xml:space="preserve">$5,000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5237.19</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CANON-202601-003232</t>
        </is>
      </c>
      <c r="B134" s="46" t="inlineStr">
        <is>
          <t xml:space="preserve">Cassius Harrington</t>
        </is>
      </c>
      <c r="C134" s="47">
        <v>46030</v>
      </c>
      <c r="D134" s="48" t="inlineStr">
        <is>
          <t xml:space="preserve">Bound - within authority</t>
        </is>
      </c>
      <c r="E134" s="48" t="inlineStr">
        <is>
          <t xml:space="preserve">New business</t>
        </is>
      </c>
      <c r="F134" s="46" t="inlineStr">
        <is>
          <t xml:space="preserve">B1234EXOTIC26</t>
        </is>
      </c>
      <c r="G134" s="33">
        <f>IF($A134="","",IF($C134="","",YEAR($C134)))</f>
      </c>
      <c r="H134" s="49">
        <v>2011</v>
      </c>
      <c r="I134" s="46" t="inlineStr">
        <is>
          <t xml:space="preserve">McLaren</t>
        </is>
      </c>
      <c r="J134" s="46" t="inlineStr">
        <is>
          <t xml:space="preserve">750S</t>
        </is>
      </c>
      <c r="K134" s="46" t="inlineStr">
        <is>
          <t xml:space="preserve">55XBJ6FCKG9GMM5N9</t>
        </is>
      </c>
      <c r="L134" s="48" t="inlineStr">
        <is>
          <t xml:space="preserve">03 - Supercar</t>
        </is>
      </c>
      <c r="M134" s="50">
        <v>790000</v>
      </c>
      <c r="N134" s="48" t="inlineStr">
        <is>
          <t xml:space="preserve">Personal</t>
        </is>
      </c>
      <c r="O134" s="46" t="inlineStr">
        <is>
          <t xml:space="preserve">Personal - regular use</t>
        </is>
      </c>
      <c r="P134" s="46" t="inlineStr">
        <is>
          <t xml:space="preserve">Under 1,000</t>
        </is>
      </c>
      <c r="Q134" s="46" t="inlineStr">
        <is>
          <t xml:space="preserve">Maryland</t>
        </is>
      </c>
      <c r="R134" s="46" t="inlineStr">
        <is>
          <t xml:space="preserve">21201</t>
        </is>
      </c>
      <c r="S134" s="48" t="inlineStr">
        <is>
          <t xml:space="preserve">Tier 3 - Coastal wind (25-100 miles)</t>
        </is>
      </c>
      <c r="T134" s="36">
        <f>IF($A134="","",IF($S134="","",IFERROR(INDEX('[1]natural catastrophe'!$D$6:$D$17,MATCH($S134,'[1]natural catastrophe'!$B$6:$B$17,0)),"?")))</f>
      </c>
      <c r="U134" s="46" t="inlineStr">
        <is>
          <t xml:space="preserve">2% of agreed value, minimum $10,000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12069.46</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CANON-202601-003233</t>
        </is>
      </c>
      <c r="B135" s="30" t="inlineStr">
        <is>
          <t xml:space="preserve">Marisol Chattopadhyay</t>
        </is>
      </c>
      <c r="C135" s="31">
        <v>46044</v>
      </c>
      <c r="D135" s="32" t="inlineStr">
        <is>
          <t xml:space="preserve">Bound - within authority</t>
        </is>
      </c>
      <c r="E135" s="32" t="inlineStr">
        <is>
          <t xml:space="preserve">New business</t>
        </is>
      </c>
      <c r="F135" s="30" t="inlineStr">
        <is>
          <t xml:space="preserve">B1234EXOTIC26</t>
        </is>
      </c>
      <c r="G135" s="33">
        <f>IF($A135="","",IF($C135="","",YEAR($C135)))</f>
      </c>
      <c r="H135" s="34">
        <v>1957</v>
      </c>
      <c r="I135" s="30" t="inlineStr">
        <is>
          <t xml:space="preserve">Porsche</t>
        </is>
      </c>
      <c r="J135" s="30" t="inlineStr">
        <is>
          <t xml:space="preserve">911 Turbo S</t>
        </is>
      </c>
      <c r="K135" s="30" t="inlineStr">
        <is>
          <t xml:space="preserve">PDHMSP8AKN2B46559</t>
        </is>
      </c>
      <c r="L135" s="32" t="inlineStr">
        <is>
          <t xml:space="preserve">02 - Sports / GT</t>
        </is>
      </c>
      <c r="M135" s="35">
        <v>460000</v>
      </c>
      <c r="N135" s="32" t="inlineStr">
        <is>
          <t xml:space="preserve">Personal</t>
        </is>
      </c>
      <c r="O135" s="30" t="inlineStr">
        <is>
          <t xml:space="preserve">Personal - regular use</t>
        </is>
      </c>
      <c r="P135" s="30" t="inlineStr">
        <is>
          <t xml:space="preserve">Under 1,000</t>
        </is>
      </c>
      <c r="Q135" s="30" t="inlineStr">
        <is>
          <t xml:space="preserve">Florida</t>
        </is>
      </c>
      <c r="R135" s="30" t="inlineStr">
        <is>
          <t xml:space="preserve">33139</t>
        </is>
      </c>
      <c r="S135" s="32" t="inlineStr">
        <is>
          <t xml:space="preserve">Tier 2 - Coastal wind (1-25 miles)</t>
        </is>
      </c>
      <c r="T135" s="36">
        <f>IF($A135="","",IF($S135="","",IFERROR(INDEX('[1]natural catastrophe'!$D$6:$D$17,MATCH($S135,'[1]natural catastrophe'!$B$6:$B$17,0)),"?")))</f>
      </c>
      <c r="U135" s="30" t="inlineStr">
        <is>
          <t xml:space="preserve">2% of agreed value, minimum $10,000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8293.18</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CANON-202601-003234</t>
        </is>
      </c>
      <c r="B136" s="46" t="inlineStr">
        <is>
          <t xml:space="preserve">Horace Farkas</t>
        </is>
      </c>
      <c r="C136" s="47">
        <v>46029</v>
      </c>
      <c r="D136" s="48" t="inlineStr">
        <is>
          <t xml:space="preserve">Bound - within authority</t>
        </is>
      </c>
      <c r="E136" s="48" t="inlineStr">
        <is>
          <t xml:space="preserve">New business</t>
        </is>
      </c>
      <c r="F136" s="46" t="inlineStr">
        <is>
          <t xml:space="preserve">B1234EXOTIC26</t>
        </is>
      </c>
      <c r="G136" s="33">
        <f>IF($A136="","",IF($C136="","",YEAR($C136)))</f>
      </c>
      <c r="H136" s="49">
        <v>1975</v>
      </c>
      <c r="I136" s="46" t="inlineStr">
        <is>
          <t xml:space="preserve">Porsche</t>
        </is>
      </c>
      <c r="J136" s="46" t="inlineStr">
        <is>
          <t xml:space="preserve">911 Turbo S</t>
        </is>
      </c>
      <c r="K136" s="46" t="inlineStr">
        <is>
          <t xml:space="preserve">UML29S1Y9C4KPMH65</t>
        </is>
      </c>
      <c r="L136" s="48" t="inlineStr">
        <is>
          <t xml:space="preserve">02 - Sports / GT</t>
        </is>
      </c>
      <c r="M136" s="50">
        <v>505000</v>
      </c>
      <c r="N136" s="48" t="inlineStr">
        <is>
          <t xml:space="preserve">Personal</t>
        </is>
      </c>
      <c r="O136" s="46" t="inlineStr">
        <is>
          <t xml:space="preserve">Personal - regular use</t>
        </is>
      </c>
      <c r="P136" s="46" t="inlineStr">
        <is>
          <t xml:space="preserve">2,500 - 5,000</t>
        </is>
      </c>
      <c r="Q136" s="46" t="inlineStr">
        <is>
          <t xml:space="preserve">Mississippi</t>
        </is>
      </c>
      <c r="R136" s="46" t="inlineStr">
        <is>
          <t xml:space="preserve">39201</t>
        </is>
      </c>
      <c r="S136" s="48" t="inlineStr">
        <is>
          <t xml:space="preserve">Tier 2 - Coastal wind (1-25 miles)</t>
        </is>
      </c>
      <c r="T136" s="36">
        <f>IF($A136="","",IF($S136="","",IFERROR(INDEX('[1]natural catastrophe'!$D$6:$D$17,MATCH($S136,'[1]natural catastrophe'!$B$6:$B$17,0)),"?")))</f>
      </c>
      <c r="U136" s="46" t="inlineStr">
        <is>
          <t xml:space="preserve">2% of agreed value, minimum $10,000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6612.49</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CANON-202601-003236</t>
        </is>
      </c>
      <c r="B137" s="30" t="inlineStr">
        <is>
          <t xml:space="preserve">Aurelio Blackwood</t>
        </is>
      </c>
      <c r="C137" s="31">
        <v>46048</v>
      </c>
      <c r="D137" s="32" t="inlineStr">
        <is>
          <t xml:space="preserve">Bound - within authority</t>
        </is>
      </c>
      <c r="E137" s="32" t="inlineStr">
        <is>
          <t xml:space="preserve">New business</t>
        </is>
      </c>
      <c r="F137" s="30" t="inlineStr">
        <is>
          <t xml:space="preserve">B1234EXOTIC26</t>
        </is>
      </c>
      <c r="G137" s="33">
        <f>IF($A137="","",IF($C137="","",YEAR($C137)))</f>
      </c>
      <c r="H137" s="34">
        <v>2015</v>
      </c>
      <c r="I137" s="30" t="inlineStr">
        <is>
          <t xml:space="preserve">Bentley</t>
        </is>
      </c>
      <c r="J137" s="30" t="inlineStr">
        <is>
          <t xml:space="preserve">Continental GT</t>
        </is>
      </c>
      <c r="K137" s="30" t="inlineStr">
        <is>
          <t xml:space="preserve">905YX8G05DAMWT0NG</t>
        </is>
      </c>
      <c r="L137" s="32" t="inlineStr">
        <is>
          <t xml:space="preserve">02 - Sports / GT</t>
        </is>
      </c>
      <c r="M137" s="35">
        <v>845000</v>
      </c>
      <c r="N137" s="32" t="inlineStr">
        <is>
          <t xml:space="preserve">Personal</t>
        </is>
      </c>
      <c r="O137" s="30" t="inlineStr">
        <is>
          <t xml:space="preserve">Personal - regular use</t>
        </is>
      </c>
      <c r="P137" s="30" t="inlineStr">
        <is>
          <t xml:space="preserve">2,500 - 5,000</t>
        </is>
      </c>
      <c r="Q137" s="30" t="inlineStr">
        <is>
          <t xml:space="preserve">California</t>
        </is>
      </c>
      <c r="R137" s="30" t="inlineStr">
        <is>
          <t xml:space="preserve">90012</t>
        </is>
      </c>
      <c r="S137" s="32" t="inlineStr">
        <is>
          <t xml:space="preserve">Earthquake - high (CA, Cascadia, New Madrid)</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12552.12</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CANON-202601-003237</t>
        </is>
      </c>
      <c r="B138" s="46" t="inlineStr">
        <is>
          <t xml:space="preserve">Fenwick Blackwood</t>
        </is>
      </c>
      <c r="C138" s="47">
        <v>46042</v>
      </c>
      <c r="D138" s="48" t="inlineStr">
        <is>
          <t xml:space="preserve">Bound - within authority</t>
        </is>
      </c>
      <c r="E138" s="48" t="inlineStr">
        <is>
          <t xml:space="preserve">New business</t>
        </is>
      </c>
      <c r="F138" s="46" t="inlineStr">
        <is>
          <t xml:space="preserve">B1234EXOTIC26</t>
        </is>
      </c>
      <c r="G138" s="33">
        <f>IF($A138="","",IF($C138="","",YEAR($C138)))</f>
      </c>
      <c r="H138" s="49">
        <v>1966</v>
      </c>
      <c r="I138" s="46" t="inlineStr">
        <is>
          <t xml:space="preserve">BMW</t>
        </is>
      </c>
      <c r="J138" s="46" t="inlineStr">
        <is>
          <t xml:space="preserve">M8 Competition</t>
        </is>
      </c>
      <c r="K138" s="46" t="inlineStr">
        <is>
          <t xml:space="preserve">9RTC9R0ASFN03664J</t>
        </is>
      </c>
      <c r="L138" s="48" t="inlineStr">
        <is>
          <t xml:space="preserve">02 - Sports / GT</t>
        </is>
      </c>
      <c r="M138" s="50">
        <v>540000</v>
      </c>
      <c r="N138" s="48" t="inlineStr">
        <is>
          <t xml:space="preserve">Personal</t>
        </is>
      </c>
      <c r="O138" s="46" t="inlineStr">
        <is>
          <t xml:space="preserve">Personal - regular use</t>
        </is>
      </c>
      <c r="P138" s="46" t="inlineStr">
        <is>
          <t xml:space="preserve">1,000 - 2,500</t>
        </is>
      </c>
      <c r="Q138" s="46" t="inlineStr">
        <is>
          <t xml:space="preserve">New Jersey</t>
        </is>
      </c>
      <c r="R138" s="46" t="inlineStr">
        <is>
          <t xml:space="preserve">07102</t>
        </is>
      </c>
      <c r="S138" s="48" t="inlineStr">
        <is>
          <t xml:space="preserve">Tier 3 - Coastal wind (25-100 miles)</t>
        </is>
      </c>
      <c r="T138" s="36">
        <f>IF($A138="","",IF($S138="","",IFERROR(INDEX('[1]natural catastrophe'!$D$6:$D$17,MATCH($S138,'[1]natural catastrophe'!$B$6:$B$17,0)),"?")))</f>
      </c>
      <c r="U138" s="46" t="inlineStr">
        <is>
          <t xml:space="preserve">2% of agreed value, minimum $10,000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5407.07</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CANON-202601-003238</t>
        </is>
      </c>
      <c r="B139" s="30" t="inlineStr">
        <is>
          <t xml:space="preserve">Lorenzo Nakashima</t>
        </is>
      </c>
      <c r="C139" s="31">
        <v>46048</v>
      </c>
      <c r="D139" s="32" t="inlineStr">
        <is>
          <t xml:space="preserve">Bound - within authority</t>
        </is>
      </c>
      <c r="E139" s="32" t="inlineStr">
        <is>
          <t xml:space="preserve">New business</t>
        </is>
      </c>
      <c r="F139" s="30" t="inlineStr">
        <is>
          <t xml:space="preserve">B1234EXOTIC26</t>
        </is>
      </c>
      <c r="G139" s="33">
        <f>IF($A139="","",IF($C139="","",YEAR($C139)))</f>
      </c>
      <c r="H139" s="34">
        <v>1991</v>
      </c>
      <c r="I139" s="30" t="inlineStr">
        <is>
          <t xml:space="preserve">Ferrari</t>
        </is>
      </c>
      <c r="J139" s="30" t="inlineStr">
        <is>
          <t xml:space="preserve">296 GTB</t>
        </is>
      </c>
      <c r="K139" s="30" t="inlineStr">
        <is>
          <t xml:space="preserve">2XLTVAPP9RNFMK8VW</t>
        </is>
      </c>
      <c r="L139" s="32" t="inlineStr">
        <is>
          <t xml:space="preserve">03 - Supercar</t>
        </is>
      </c>
      <c r="M139" s="35">
        <v>440000</v>
      </c>
      <c r="N139" s="32" t="inlineStr">
        <is>
          <t xml:space="preserve">Personal</t>
        </is>
      </c>
      <c r="O139" s="30" t="inlineStr">
        <is>
          <t xml:space="preserve">Personal - regular use</t>
        </is>
      </c>
      <c r="P139" s="30" t="inlineStr">
        <is>
          <t xml:space="preserve">Under 1,000</t>
        </is>
      </c>
      <c r="Q139" s="30" t="inlineStr">
        <is>
          <t xml:space="preserve">Illinois</t>
        </is>
      </c>
      <c r="R139" s="30" t="inlineStr">
        <is>
          <t xml:space="preserve">60601</t>
        </is>
      </c>
      <c r="S139" s="32" t="inlineStr">
        <is>
          <t xml:space="preserve">Severe convective - hail / tornado (moderate)</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11649.38</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CANON-202601-003239</t>
        </is>
      </c>
      <c r="B140" s="46" t="inlineStr">
        <is>
          <t xml:space="preserve">Emiliano Merriweather</t>
        </is>
      </c>
      <c r="C140" s="47">
        <v>46043</v>
      </c>
      <c r="D140" s="48" t="inlineStr">
        <is>
          <t xml:space="preserve">Bound - within authority</t>
        </is>
      </c>
      <c r="E140" s="48" t="inlineStr">
        <is>
          <t xml:space="preserve">New business</t>
        </is>
      </c>
      <c r="F140" s="46" t="inlineStr">
        <is>
          <t xml:space="preserve">B1234EXOTIC26</t>
        </is>
      </c>
      <c r="G140" s="33">
        <f>IF($A140="","",IF($C140="","",YEAR($C140)))</f>
      </c>
      <c r="H140" s="49">
        <v>1968</v>
      </c>
      <c r="I140" s="46" t="inlineStr">
        <is>
          <t xml:space="preserve">Maserati</t>
        </is>
      </c>
      <c r="J140" s="46" t="inlineStr">
        <is>
          <t xml:space="preserve">GranTurismo</t>
        </is>
      </c>
      <c r="K140" s="46" t="inlineStr">
        <is>
          <t xml:space="preserve">LWTT4BFFJWUGK3JNS</t>
        </is>
      </c>
      <c r="L140" s="48" t="inlineStr">
        <is>
          <t xml:space="preserve">02 - Sports / GT</t>
        </is>
      </c>
      <c r="M140" s="50">
        <v>745000</v>
      </c>
      <c r="N140" s="48" t="inlineStr">
        <is>
          <t xml:space="preserve">Personal</t>
        </is>
      </c>
      <c r="O140" s="46" t="inlineStr">
        <is>
          <t xml:space="preserve">Personal - regular use</t>
        </is>
      </c>
      <c r="P140" s="46" t="inlineStr">
        <is>
          <t xml:space="preserve">1,000 - 2,500</t>
        </is>
      </c>
      <c r="Q140" s="46" t="inlineStr">
        <is>
          <t xml:space="preserve">Texas</t>
        </is>
      </c>
      <c r="R140" s="46" t="inlineStr">
        <is>
          <t xml:space="preserve">75201</t>
        </is>
      </c>
      <c r="S140" s="48" t="inlineStr">
        <is>
          <t xml:space="preserve">Tier 2 - Coastal wind (1-25 miles)</t>
        </is>
      </c>
      <c r="T140" s="36">
        <f>IF($A140="","",IF($S140="","",IFERROR(INDEX('[1]natural catastrophe'!$D$6:$D$17,MATCH($S140,'[1]natural catastrophe'!$B$6:$B$17,0)),"?")))</f>
      </c>
      <c r="U140" s="46" t="inlineStr">
        <is>
          <t xml:space="preserve">2% of agreed value, minimum $10,000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9427.16</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CANON-202601-003241</t>
        </is>
      </c>
      <c r="B141" s="30" t="inlineStr">
        <is>
          <t xml:space="preserve">Wilhelmina Nakashima</t>
        </is>
      </c>
      <c r="C141" s="31">
        <v>46037</v>
      </c>
      <c r="D141" s="32" t="inlineStr">
        <is>
          <t xml:space="preserve">Bound - within authority</t>
        </is>
      </c>
      <c r="E141" s="32" t="inlineStr">
        <is>
          <t xml:space="preserve">New business</t>
        </is>
      </c>
      <c r="F141" s="30" t="inlineStr">
        <is>
          <t xml:space="preserve">B1234EXOTIC26</t>
        </is>
      </c>
      <c r="G141" s="33">
        <f>IF($A141="","",IF($C141="","",YEAR($C141)))</f>
      </c>
      <c r="H141" s="34">
        <v>2006</v>
      </c>
      <c r="I141" s="30" t="inlineStr">
        <is>
          <t xml:space="preserve">Bentley</t>
        </is>
      </c>
      <c r="J141" s="30" t="inlineStr">
        <is>
          <t xml:space="preserve">Continental GT</t>
        </is>
      </c>
      <c r="K141" s="30" t="inlineStr">
        <is>
          <t xml:space="preserve">W5ZZXL8YM7HZ4TF7P</t>
        </is>
      </c>
      <c r="L141" s="32" t="inlineStr">
        <is>
          <t xml:space="preserve">02 - Sports / GT</t>
        </is>
      </c>
      <c r="M141" s="35">
        <v>350000</v>
      </c>
      <c r="N141" s="32" t="inlineStr">
        <is>
          <t xml:space="preserve">Personal</t>
        </is>
      </c>
      <c r="O141" s="30" t="inlineStr">
        <is>
          <t xml:space="preserve">Personal - regular use</t>
        </is>
      </c>
      <c r="P141" s="30" t="inlineStr">
        <is>
          <t xml:space="preserve">1,000 - 2,500</t>
        </is>
      </c>
      <c r="Q141" s="30" t="inlineStr">
        <is>
          <t xml:space="preserve">Illinois</t>
        </is>
      </c>
      <c r="R141" s="30" t="inlineStr">
        <is>
          <t xml:space="preserve">60601</t>
        </is>
      </c>
      <c r="S141" s="32" t="inlineStr">
        <is>
          <t xml:space="preserve">Severe convective - hail / tornado (moderate)</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6043.4</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CANON-202601-003242</t>
        </is>
      </c>
      <c r="B142" s="46" t="inlineStr">
        <is>
          <t xml:space="preserve">Noor Merriweather</t>
        </is>
      </c>
      <c r="C142" s="47">
        <v>46050</v>
      </c>
      <c r="D142" s="48" t="inlineStr">
        <is>
          <t xml:space="preserve">Bound - within authority</t>
        </is>
      </c>
      <c r="E142" s="48" t="inlineStr">
        <is>
          <t xml:space="preserve">New business</t>
        </is>
      </c>
      <c r="F142" s="46" t="inlineStr">
        <is>
          <t xml:space="preserve">B1234EXOTIC26</t>
        </is>
      </c>
      <c r="G142" s="33">
        <f>IF($A142="","",IF($C142="","",YEAR($C142)))</f>
      </c>
      <c r="H142" s="49">
        <v>1987</v>
      </c>
      <c r="I142" s="46" t="inlineStr">
        <is>
          <t xml:space="preserve">Porsche</t>
        </is>
      </c>
      <c r="J142" s="46" t="inlineStr">
        <is>
          <t xml:space="preserve">911 Turbo S</t>
        </is>
      </c>
      <c r="K142" s="46" t="inlineStr">
        <is>
          <t xml:space="preserve">1LCWSXKGKGDU9LSHW</t>
        </is>
      </c>
      <c r="L142" s="48" t="inlineStr">
        <is>
          <t xml:space="preserve">02 - Sports / GT</t>
        </is>
      </c>
      <c r="M142" s="50">
        <v>525000</v>
      </c>
      <c r="N142" s="48" t="inlineStr">
        <is>
          <t xml:space="preserve">Personal</t>
        </is>
      </c>
      <c r="O142" s="46" t="inlineStr">
        <is>
          <t xml:space="preserve">Personal - regular use</t>
        </is>
      </c>
      <c r="P142" s="46" t="inlineStr">
        <is>
          <t xml:space="preserve">2,500 - 5,000</t>
        </is>
      </c>
      <c r="Q142" s="46" t="inlineStr">
        <is>
          <t xml:space="preserve">Montana</t>
        </is>
      </c>
      <c r="R142" s="46" t="inlineStr">
        <is>
          <t xml:space="preserve">59601</t>
        </is>
      </c>
      <c r="S142" s="48" t="inlineStr">
        <is>
          <t xml:space="preserve">Wildfire - WUI high hazard</t>
        </is>
      </c>
      <c r="T142" s="36">
        <f>IF($A142="","",IF($S142="","",IFERROR(INDEX('[1]natural catastrophe'!$D$6:$D$17,MATCH($S142,'[1]natural catastrophe'!$B$6:$B$17,0)),"?")))</f>
      </c>
      <c r="U142" s="46" t="inlineStr">
        <is>
          <t xml:space="preserve">$5,000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5372.41</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CANON-202601-003247</t>
        </is>
      </c>
      <c r="B143" s="30" t="inlineStr">
        <is>
          <t xml:space="preserve">Priya Harrington</t>
        </is>
      </c>
      <c r="C143" s="31">
        <v>46050</v>
      </c>
      <c r="D143" s="32" t="inlineStr">
        <is>
          <t xml:space="preserve">Bound - within authority</t>
        </is>
      </c>
      <c r="E143" s="32" t="inlineStr">
        <is>
          <t xml:space="preserve">New business</t>
        </is>
      </c>
      <c r="F143" s="30" t="inlineStr">
        <is>
          <t xml:space="preserve">B1234EXOTIC26</t>
        </is>
      </c>
      <c r="G143" s="33">
        <f>IF($A143="","",IF($C143="","",YEAR($C143)))</f>
      </c>
      <c r="H143" s="34">
        <v>1999</v>
      </c>
      <c r="I143" s="30" t="inlineStr">
        <is>
          <t xml:space="preserve">Aston Martin</t>
        </is>
      </c>
      <c r="J143" s="30" t="inlineStr">
        <is>
          <t xml:space="preserve">DB5</t>
        </is>
      </c>
      <c r="K143" s="30" t="inlineStr">
        <is>
          <t xml:space="preserve">XNULZJETDV94LRFSL</t>
        </is>
      </c>
      <c r="L143" s="32" t="inlineStr">
        <is>
          <t xml:space="preserve">08 - Modern Classic (1973-1999)</t>
        </is>
      </c>
      <c r="M143" s="35">
        <v>530000</v>
      </c>
      <c r="N143" s="32" t="inlineStr">
        <is>
          <t xml:space="preserve">Personal</t>
        </is>
      </c>
      <c r="O143" s="30" t="inlineStr">
        <is>
          <t xml:space="preserve">Personal - regular use</t>
        </is>
      </c>
      <c r="P143" s="30" t="inlineStr">
        <is>
          <t xml:space="preserve">1,000 - 2,500</t>
        </is>
      </c>
      <c r="Q143" s="30" t="inlineStr">
        <is>
          <t xml:space="preserve">Massachusetts</t>
        </is>
      </c>
      <c r="R143" s="30" t="inlineStr">
        <is>
          <t xml:space="preserve">02108</t>
        </is>
      </c>
      <c r="S143" s="32" t="inlineStr">
        <is>
          <t xml:space="preserve">Tier 3 - Coastal wind (25-100 miles)</t>
        </is>
      </c>
      <c r="T143" s="36">
        <f>IF($A143="","",IF($S143="","",IFERROR(INDEX('[1]natural catastrophe'!$D$6:$D$17,MATCH($S143,'[1]natural catastrophe'!$B$6:$B$17,0)),"?")))</f>
      </c>
      <c r="U143" s="30" t="inlineStr">
        <is>
          <t xml:space="preserve">2% of agreed value, minimum $10,000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4822.45</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CANON-202601-003248</t>
        </is>
      </c>
      <c r="B144" s="46" t="inlineStr">
        <is>
          <t xml:space="preserve">Ottilie Delacroix</t>
        </is>
      </c>
      <c r="C144" s="47">
        <v>46033</v>
      </c>
      <c r="D144" s="48" t="inlineStr">
        <is>
          <t xml:space="preserve">Bound - within authority</t>
        </is>
      </c>
      <c r="E144" s="48" t="inlineStr">
        <is>
          <t xml:space="preserve">New business</t>
        </is>
      </c>
      <c r="F144" s="46" t="inlineStr">
        <is>
          <t xml:space="preserve">B1234EXOTIC26</t>
        </is>
      </c>
      <c r="G144" s="33">
        <f>IF($A144="","",IF($C144="","",YEAR($C144)))</f>
      </c>
      <c r="H144" s="49">
        <v>1997</v>
      </c>
      <c r="I144" s="46" t="inlineStr">
        <is>
          <t xml:space="preserve">McLaren</t>
        </is>
      </c>
      <c r="J144" s="46" t="inlineStr">
        <is>
          <t xml:space="preserve">750S</t>
        </is>
      </c>
      <c r="K144" s="46" t="inlineStr">
        <is>
          <t xml:space="preserve">96BS787W13DCLBCA7</t>
        </is>
      </c>
      <c r="L144" s="48" t="inlineStr">
        <is>
          <t xml:space="preserve">03 - Supercar</t>
        </is>
      </c>
      <c r="M144" s="50">
        <v>1435000</v>
      </c>
      <c r="N144" s="48" t="inlineStr">
        <is>
          <t xml:space="preserve">Personal</t>
        </is>
      </c>
      <c r="O144" s="46" t="inlineStr">
        <is>
          <t xml:space="preserve">Personal - regular use</t>
        </is>
      </c>
      <c r="P144" s="46" t="inlineStr">
        <is>
          <t xml:space="preserve">2,500 - 5,000</t>
        </is>
      </c>
      <c r="Q144" s="46" t="inlineStr">
        <is>
          <t xml:space="preserve">Rhode Island</t>
        </is>
      </c>
      <c r="R144" s="46" t="inlineStr">
        <is>
          <t xml:space="preserve">02903</t>
        </is>
      </c>
      <c r="S144" s="48" t="inlineStr">
        <is>
          <t xml:space="preserve">Tier 3 - Coastal wind (25-100 miles)</t>
        </is>
      </c>
      <c r="T144" s="36">
        <f>IF($A144="","",IF($S144="","",IFERROR(INDEX('[1]natural catastrophe'!$D$6:$D$17,MATCH($S144,'[1]natural catastrophe'!$B$6:$B$17,0)),"?")))</f>
      </c>
      <c r="U144" s="46" t="inlineStr">
        <is>
          <t xml:space="preserve">2% of agreed value, minimum $10,000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26624.16</v>
      </c>
      <c r="AC144" s="51">
        <v>0</v>
      </c>
      <c r="AD144" s="38">
        <f>IF(ISNUMBER($AB144),$AB144*(1+N($AC144)),"")</f>
      </c>
      <c r="AE144" s="50">
        <v>350</v>
      </c>
      <c r="AF144" s="50">
        <v>250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CANON-202601-003249</t>
        </is>
      </c>
      <c r="B145" s="30" t="inlineStr">
        <is>
          <t xml:space="preserve">Fitzgerald Nakashima</t>
        </is>
      </c>
      <c r="C145" s="31">
        <v>46044</v>
      </c>
      <c r="D145" s="32" t="inlineStr">
        <is>
          <t xml:space="preserve">Bound - within authority</t>
        </is>
      </c>
      <c r="E145" s="32" t="inlineStr">
        <is>
          <t xml:space="preserve">New business</t>
        </is>
      </c>
      <c r="F145" s="30" t="inlineStr">
        <is>
          <t xml:space="preserve">B1234EXOTIC26</t>
        </is>
      </c>
      <c r="G145" s="33">
        <f>IF($A145="","",IF($C145="","",YEAR($C145)))</f>
      </c>
      <c r="H145" s="34">
        <v>2020</v>
      </c>
      <c r="I145" s="30" t="inlineStr">
        <is>
          <t xml:space="preserve">Bentley</t>
        </is>
      </c>
      <c r="J145" s="30" t="inlineStr">
        <is>
          <t xml:space="preserve">Continental GT</t>
        </is>
      </c>
      <c r="K145" s="30" t="inlineStr">
        <is>
          <t xml:space="preserve">FM3W5CEJMAX47NW1L</t>
        </is>
      </c>
      <c r="L145" s="32" t="inlineStr">
        <is>
          <t xml:space="preserve">02 - Sports / GT</t>
        </is>
      </c>
      <c r="M145" s="35">
        <v>195000</v>
      </c>
      <c r="N145" s="32" t="inlineStr">
        <is>
          <t xml:space="preserve">Personal</t>
        </is>
      </c>
      <c r="O145" s="30" t="inlineStr">
        <is>
          <t xml:space="preserve">Personal - regular use</t>
        </is>
      </c>
      <c r="P145" s="30" t="inlineStr">
        <is>
          <t xml:space="preserve">Under 1,000</t>
        </is>
      </c>
      <c r="Q145" s="30" t="inlineStr">
        <is>
          <t xml:space="preserve">Utah</t>
        </is>
      </c>
      <c r="R145" s="30" t="inlineStr">
        <is>
          <t xml:space="preserve">84101</t>
        </is>
      </c>
      <c r="S145" s="32" t="inlineStr">
        <is>
          <t xml:space="preserve">Wildfire - WUI high hazard</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4099.86</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CANON-202601-003250</t>
        </is>
      </c>
      <c r="B146" s="46" t="inlineStr">
        <is>
          <t xml:space="preserve">Delphine Kingsford</t>
        </is>
      </c>
      <c r="C146" s="47">
        <v>46029</v>
      </c>
      <c r="D146" s="48" t="inlineStr">
        <is>
          <t xml:space="preserve">Bound - within authority</t>
        </is>
      </c>
      <c r="E146" s="48" t="inlineStr">
        <is>
          <t xml:space="preserve">New business</t>
        </is>
      </c>
      <c r="F146" s="46" t="inlineStr">
        <is>
          <t xml:space="preserve">B1234EXOTIC26</t>
        </is>
      </c>
      <c r="G146" s="33">
        <f>IF($A146="","",IF($C146="","",YEAR($C146)))</f>
      </c>
      <c r="H146" s="49">
        <v>2006</v>
      </c>
      <c r="I146" s="46" t="inlineStr">
        <is>
          <t xml:space="preserve">BMW</t>
        </is>
      </c>
      <c r="J146" s="46" t="inlineStr">
        <is>
          <t xml:space="preserve">M8 Competition</t>
        </is>
      </c>
      <c r="K146" s="46" t="inlineStr">
        <is>
          <t xml:space="preserve">URSP73CCH0NZXSXUR</t>
        </is>
      </c>
      <c r="L146" s="48" t="inlineStr">
        <is>
          <t xml:space="preserve">02 - Sports / GT</t>
        </is>
      </c>
      <c r="M146" s="50">
        <v>565000</v>
      </c>
      <c r="N146" s="48" t="inlineStr">
        <is>
          <t xml:space="preserve">Personal</t>
        </is>
      </c>
      <c r="O146" s="46" t="inlineStr">
        <is>
          <t xml:space="preserve">Personal - regular use</t>
        </is>
      </c>
      <c r="P146" s="46" t="inlineStr">
        <is>
          <t xml:space="preserve">2,500 - 5,000</t>
        </is>
      </c>
      <c r="Q146" s="46" t="inlineStr">
        <is>
          <t xml:space="preserve">Minnesota</t>
        </is>
      </c>
      <c r="R146" s="46" t="inlineStr">
        <is>
          <t xml:space="preserve">55401</t>
        </is>
      </c>
      <c r="S146" s="48" t="inlineStr">
        <is>
          <t xml:space="preserve">Severe convective - hail / tornado (moderate)</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8206.33</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CANON-202601-003252</t>
        </is>
      </c>
      <c r="B147" s="30" t="inlineStr">
        <is>
          <t xml:space="preserve">Callum Underwood</t>
        </is>
      </c>
      <c r="C147" s="31">
        <v>46034</v>
      </c>
      <c r="D147" s="32" t="inlineStr">
        <is>
          <t xml:space="preserve">Bound - within authority</t>
        </is>
      </c>
      <c r="E147" s="32" t="inlineStr">
        <is>
          <t xml:space="preserve">New business</t>
        </is>
      </c>
      <c r="F147" s="30" t="inlineStr">
        <is>
          <t xml:space="preserve">B1234EXOTIC26</t>
        </is>
      </c>
      <c r="G147" s="33">
        <f>IF($A147="","",IF($C147="","",YEAR($C147)))</f>
      </c>
      <c r="H147" s="34">
        <v>2007</v>
      </c>
      <c r="I147" s="30" t="inlineStr">
        <is>
          <t xml:space="preserve">Ferrari</t>
        </is>
      </c>
      <c r="J147" s="30" t="inlineStr">
        <is>
          <t xml:space="preserve">275 GTB/4</t>
        </is>
      </c>
      <c r="K147" s="30" t="inlineStr">
        <is>
          <t xml:space="preserve">E57ZTGGX7LV206169</t>
        </is>
      </c>
      <c r="L147" s="32" t="inlineStr">
        <is>
          <t xml:space="preserve">09 - Youngtimer / Collectible (2000-2010)</t>
        </is>
      </c>
      <c r="M147" s="35">
        <v>690000</v>
      </c>
      <c r="N147" s="32" t="inlineStr">
        <is>
          <t xml:space="preserve">Personal</t>
        </is>
      </c>
      <c r="O147" s="30" t="inlineStr">
        <is>
          <t xml:space="preserve">Personal - regular use</t>
        </is>
      </c>
      <c r="P147" s="30" t="inlineStr">
        <is>
          <t xml:space="preserve">Under 1,000</t>
        </is>
      </c>
      <c r="Q147" s="30" t="inlineStr">
        <is>
          <t xml:space="preserve">Washington</t>
        </is>
      </c>
      <c r="R147" s="30" t="inlineStr">
        <is>
          <t xml:space="preserve">98101</t>
        </is>
      </c>
      <c r="S147" s="32" t="inlineStr">
        <is>
          <t xml:space="preserve">Earthquake - high (CA, Cascadia, New Madrid)</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4821.72</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CANON-202601-003255</t>
        </is>
      </c>
      <c r="B148" s="46" t="inlineStr">
        <is>
          <t xml:space="preserve">Thaddeus Larsson</t>
        </is>
      </c>
      <c r="C148" s="47">
        <v>46027</v>
      </c>
      <c r="D148" s="48" t="inlineStr">
        <is>
          <t xml:space="preserve">Bound - within authority</t>
        </is>
      </c>
      <c r="E148" s="48" t="inlineStr">
        <is>
          <t xml:space="preserve">New business</t>
        </is>
      </c>
      <c r="F148" s="46" t="inlineStr">
        <is>
          <t xml:space="preserve">B1234EXOTIC26</t>
        </is>
      </c>
      <c r="G148" s="33">
        <f>IF($A148="","",IF($C148="","",YEAR($C148)))</f>
      </c>
      <c r="H148" s="49">
        <v>2012</v>
      </c>
      <c r="I148" s="46" t="inlineStr">
        <is>
          <t xml:space="preserve">Aston Martin</t>
        </is>
      </c>
      <c r="J148" s="46" t="inlineStr">
        <is>
          <t xml:space="preserve">DB12</t>
        </is>
      </c>
      <c r="K148" s="46" t="inlineStr">
        <is>
          <t xml:space="preserve">DRFTPLKHTDPH0NRKU</t>
        </is>
      </c>
      <c r="L148" s="48" t="inlineStr">
        <is>
          <t xml:space="preserve">02 - Sports / GT</t>
        </is>
      </c>
      <c r="M148" s="50">
        <v>655000</v>
      </c>
      <c r="N148" s="48" t="inlineStr">
        <is>
          <t xml:space="preserve">Personal</t>
        </is>
      </c>
      <c r="O148" s="46" t="inlineStr">
        <is>
          <t xml:space="preserve">Personal - regular use</t>
        </is>
      </c>
      <c r="P148" s="46" t="inlineStr">
        <is>
          <t xml:space="preserve">1,000 - 2,500</t>
        </is>
      </c>
      <c r="Q148" s="46" t="inlineStr">
        <is>
          <t xml:space="preserve">California</t>
        </is>
      </c>
      <c r="R148" s="46" t="inlineStr">
        <is>
          <t xml:space="preserve">90012</t>
        </is>
      </c>
      <c r="S148" s="48" t="inlineStr">
        <is>
          <t xml:space="preserve">Earthquake - high (CA, Cascadia, New Madrid)</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9729.76</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CANON-202601-003257</t>
        </is>
      </c>
      <c r="B149" s="30" t="inlineStr">
        <is>
          <t xml:space="preserve">Emiliano Fairweather</t>
        </is>
      </c>
      <c r="C149" s="31">
        <v>46047</v>
      </c>
      <c r="D149" s="32" t="inlineStr">
        <is>
          <t xml:space="preserve">Bound - within authority</t>
        </is>
      </c>
      <c r="E149" s="32" t="inlineStr">
        <is>
          <t xml:space="preserve">New business</t>
        </is>
      </c>
      <c r="F149" s="30" t="inlineStr">
        <is>
          <t xml:space="preserve">B1234EXOTIC26</t>
        </is>
      </c>
      <c r="G149" s="33">
        <f>IF($A149="","",IF($C149="","",YEAR($C149)))</f>
      </c>
      <c r="H149" s="34">
        <v>2015</v>
      </c>
      <c r="I149" s="30" t="inlineStr">
        <is>
          <t xml:space="preserve">Bentley</t>
        </is>
      </c>
      <c r="J149" s="30" t="inlineStr">
        <is>
          <t xml:space="preserve">Continental GT</t>
        </is>
      </c>
      <c r="K149" s="30" t="inlineStr">
        <is>
          <t xml:space="preserve">4LCL6YR6KZKNZCEMX</t>
        </is>
      </c>
      <c r="L149" s="32" t="inlineStr">
        <is>
          <t xml:space="preserve">02 - Sports / GT</t>
        </is>
      </c>
      <c r="M149" s="35">
        <v>260000</v>
      </c>
      <c r="N149" s="32" t="inlineStr">
        <is>
          <t xml:space="preserve">Personal</t>
        </is>
      </c>
      <c r="O149" s="30" t="inlineStr">
        <is>
          <t xml:space="preserve">Personal - regular use</t>
        </is>
      </c>
      <c r="P149" s="30" t="inlineStr">
        <is>
          <t xml:space="preserve">2,500 - 5,000</t>
        </is>
      </c>
      <c r="Q149" s="30" t="inlineStr">
        <is>
          <t xml:space="preserve">Oregon</t>
        </is>
      </c>
      <c r="R149" s="30" t="inlineStr">
        <is>
          <t xml:space="preserve">97204</t>
        </is>
      </c>
      <c r="S149" s="32" t="inlineStr">
        <is>
          <t xml:space="preserve">Earthquake - high (CA, Cascadia, New Madrid)</t>
        </is>
      </c>
      <c r="T149" s="36">
        <f>IF($A149="","",IF($S149="","",IFERROR(INDEX('[1]natural catastrophe'!$D$6:$D$17,MATCH($S149,'[1]natural catastrophe'!$B$6:$B$17,0)),"?")))</f>
      </c>
      <c r="U149" s="30" t="inlineStr">
        <is>
          <t xml:space="preserve">$5,000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3730.15</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CANON-202601-003258</t>
        </is>
      </c>
      <c r="B150" s="46" t="inlineStr">
        <is>
          <t xml:space="preserve">Delphine Farkas</t>
        </is>
      </c>
      <c r="C150" s="47">
        <v>46034</v>
      </c>
      <c r="D150" s="48" t="inlineStr">
        <is>
          <t xml:space="preserve">Bound - within authority</t>
        </is>
      </c>
      <c r="E150" s="48" t="inlineStr">
        <is>
          <t xml:space="preserve">New business</t>
        </is>
      </c>
      <c r="F150" s="46" t="inlineStr">
        <is>
          <t xml:space="preserve">B1234EXOTIC26</t>
        </is>
      </c>
      <c r="G150" s="33">
        <f>IF($A150="","",IF($C150="","",YEAR($C150)))</f>
      </c>
      <c r="H150" s="49">
        <v>1965</v>
      </c>
      <c r="I150" s="46" t="inlineStr">
        <is>
          <t xml:space="preserve">Mercedes-Benz</t>
        </is>
      </c>
      <c r="J150" s="46" t="inlineStr">
        <is>
          <t xml:space="preserve">280SL Pagoda</t>
        </is>
      </c>
      <c r="K150" s="46" t="inlineStr">
        <is>
          <t xml:space="preserve">A56338YHVNCH6MMXE</t>
        </is>
      </c>
      <c r="L150" s="48" t="inlineStr">
        <is>
          <t xml:space="preserve">07 - Post-War Classic (1946-1972)</t>
        </is>
      </c>
      <c r="M150" s="50">
        <v>1885000</v>
      </c>
      <c r="N150" s="48" t="inlineStr">
        <is>
          <t xml:space="preserve">Personal</t>
        </is>
      </c>
      <c r="O150" s="46" t="inlineStr">
        <is>
          <t xml:space="preserve">Personal - regular use</t>
        </is>
      </c>
      <c r="P150" s="46" t="inlineStr">
        <is>
          <t xml:space="preserve">Under 1,000</t>
        </is>
      </c>
      <c r="Q150" s="46" t="inlineStr">
        <is>
          <t xml:space="preserve">New Hampshire</t>
        </is>
      </c>
      <c r="R150" s="46" t="inlineStr">
        <is>
          <t xml:space="preserve">03301</t>
        </is>
      </c>
      <c r="S150" s="48" t="inlineStr">
        <is>
          <t xml:space="preserve">Tier 3 - Coastal wind (25-100 miles)</t>
        </is>
      </c>
      <c r="T150" s="36">
        <f>IF($A150="","",IF($S150="","",IFERROR(INDEX('[1]natural catastrophe'!$D$6:$D$17,MATCH($S150,'[1]natural catastrophe'!$B$6:$B$17,0)),"?")))</f>
      </c>
      <c r="U150" s="46" t="inlineStr">
        <is>
          <t xml:space="preserve">2% of agreed value, minimum $10,000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12610.77</v>
      </c>
      <c r="AC150" s="51">
        <v>0</v>
      </c>
      <c r="AD150" s="38">
        <f>IF(ISNUMBER($AB150),$AB150*(1+N($AC150)),"")</f>
      </c>
      <c r="AE150" s="50">
        <v>350</v>
      </c>
      <c r="AF150" s="50">
        <v>250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CANON-202601-003259</t>
        </is>
      </c>
      <c r="B151" s="30" t="inlineStr">
        <is>
          <t xml:space="preserve">Beatrix Montoya</t>
        </is>
      </c>
      <c r="C151" s="31">
        <v>46033</v>
      </c>
      <c r="D151" s="32" t="inlineStr">
        <is>
          <t xml:space="preserve">Bound - within authority</t>
        </is>
      </c>
      <c r="E151" s="32" t="inlineStr">
        <is>
          <t xml:space="preserve">New business</t>
        </is>
      </c>
      <c r="F151" s="30" t="inlineStr">
        <is>
          <t xml:space="preserve">B1234EXOTIC26</t>
        </is>
      </c>
      <c r="G151" s="33">
        <f>IF($A151="","",IF($C151="","",YEAR($C151)))</f>
      </c>
      <c r="H151" s="34">
        <v>1984</v>
      </c>
      <c r="I151" s="30" t="inlineStr">
        <is>
          <t xml:space="preserve">Mercedes-Benz</t>
        </is>
      </c>
      <c r="J151" s="30" t="inlineStr">
        <is>
          <t xml:space="preserve">AMG GT</t>
        </is>
      </c>
      <c r="K151" s="30" t="inlineStr">
        <is>
          <t xml:space="preserve">22PMXXMV3PTVGAYJW</t>
        </is>
      </c>
      <c r="L151" s="32" t="inlineStr">
        <is>
          <t xml:space="preserve">02 - Sports / GT</t>
        </is>
      </c>
      <c r="M151" s="35">
        <v>1475000</v>
      </c>
      <c r="N151" s="32" t="inlineStr">
        <is>
          <t xml:space="preserve">Personal</t>
        </is>
      </c>
      <c r="O151" s="30" t="inlineStr">
        <is>
          <t xml:space="preserve">Personal - regular use</t>
        </is>
      </c>
      <c r="P151" s="30" t="inlineStr">
        <is>
          <t xml:space="preserve">1,000 - 2,500</t>
        </is>
      </c>
      <c r="Q151" s="30" t="inlineStr">
        <is>
          <t xml:space="preserve">Oregon</t>
        </is>
      </c>
      <c r="R151" s="30" t="inlineStr">
        <is>
          <t xml:space="preserve">97204</t>
        </is>
      </c>
      <c r="S151" s="32" t="inlineStr">
        <is>
          <t xml:space="preserve">Earthquake - high (CA, Cascadia, New Madrid)</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15518.38</v>
      </c>
      <c r="AC151" s="37">
        <v>0</v>
      </c>
      <c r="AD151" s="38">
        <f>IF(ISNUMBER($AB151),$AB151*(1+N($AC151)),"")</f>
      </c>
      <c r="AE151" s="35">
        <v>350</v>
      </c>
      <c r="AF151" s="35">
        <v>250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CANON-202601-003260</t>
        </is>
      </c>
      <c r="B152" s="46" t="inlineStr">
        <is>
          <t xml:space="preserve">Leopold Castellanos</t>
        </is>
      </c>
      <c r="C152" s="47">
        <v>46041</v>
      </c>
      <c r="D152" s="48" t="inlineStr">
        <is>
          <t xml:space="preserve">Bound - within authority</t>
        </is>
      </c>
      <c r="E152" s="48" t="inlineStr">
        <is>
          <t xml:space="preserve">New business</t>
        </is>
      </c>
      <c r="F152" s="46" t="inlineStr">
        <is>
          <t xml:space="preserve">B1234EXOTIC26</t>
        </is>
      </c>
      <c r="G152" s="33">
        <f>IF($A152="","",IF($C152="","",YEAR($C152)))</f>
      </c>
      <c r="H152" s="49">
        <v>1960</v>
      </c>
      <c r="I152" s="46" t="inlineStr">
        <is>
          <t xml:space="preserve">Porsche</t>
        </is>
      </c>
      <c r="J152" s="46" t="inlineStr">
        <is>
          <t xml:space="preserve">911 Turbo S</t>
        </is>
      </c>
      <c r="K152" s="46" t="inlineStr">
        <is>
          <t xml:space="preserve">B5870WW9T7T42BP35</t>
        </is>
      </c>
      <c r="L152" s="48" t="inlineStr">
        <is>
          <t xml:space="preserve">02 - Sports / GT</t>
        </is>
      </c>
      <c r="M152" s="50">
        <v>305000</v>
      </c>
      <c r="N152" s="48" t="inlineStr">
        <is>
          <t xml:space="preserve">Personal</t>
        </is>
      </c>
      <c r="O152" s="46" t="inlineStr">
        <is>
          <t xml:space="preserve">Personal - regular use</t>
        </is>
      </c>
      <c r="P152" s="46" t="inlineStr">
        <is>
          <t xml:space="preserve">Under 1,000</t>
        </is>
      </c>
      <c r="Q152" s="46" t="inlineStr">
        <is>
          <t xml:space="preserve">New York</t>
        </is>
      </c>
      <c r="R152" s="46" t="inlineStr">
        <is>
          <t xml:space="preserve">10022</t>
        </is>
      </c>
      <c r="S152" s="48" t="inlineStr">
        <is>
          <t xml:space="preserve">Tier 3 - Coastal wind (25-100 miles)</t>
        </is>
      </c>
      <c r="T152" s="36">
        <f>IF($A152="","",IF($S152="","",IFERROR(INDEX('[1]natural catastrophe'!$D$6:$D$17,MATCH($S152,'[1]natural catastrophe'!$B$6:$B$17,0)),"?")))</f>
      </c>
      <c r="U152" s="46" t="inlineStr">
        <is>
          <t xml:space="preserve">2% of agreed value, minimum $10,000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4956.61</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CANON-202601-003261</t>
        </is>
      </c>
      <c r="B153" s="30" t="inlineStr">
        <is>
          <t xml:space="preserve">Sunniva Blackwood</t>
        </is>
      </c>
      <c r="C153" s="31">
        <v>46028</v>
      </c>
      <c r="D153" s="32" t="inlineStr">
        <is>
          <t xml:space="preserve">Bound - within authority</t>
        </is>
      </c>
      <c r="E153" s="32" t="inlineStr">
        <is>
          <t xml:space="preserve">New business</t>
        </is>
      </c>
      <c r="F153" s="30" t="inlineStr">
        <is>
          <t xml:space="preserve">B1234EXOTIC26</t>
        </is>
      </c>
      <c r="G153" s="33">
        <f>IF($A153="","",IF($C153="","",YEAR($C153)))</f>
      </c>
      <c r="H153" s="34">
        <v>1986</v>
      </c>
      <c r="I153" s="30" t="inlineStr">
        <is>
          <t xml:space="preserve">Ferrari</t>
        </is>
      </c>
      <c r="J153" s="30" t="inlineStr">
        <is>
          <t xml:space="preserve">SF90 Stradale</t>
        </is>
      </c>
      <c r="K153" s="30" t="inlineStr">
        <is>
          <t xml:space="preserve">PGF9K1Y4T80AVUJ9L</t>
        </is>
      </c>
      <c r="L153" s="32" t="inlineStr">
        <is>
          <t xml:space="preserve">03 - Supercar</t>
        </is>
      </c>
      <c r="M153" s="35">
        <v>620000</v>
      </c>
      <c r="N153" s="32" t="inlineStr">
        <is>
          <t xml:space="preserve">Personal</t>
        </is>
      </c>
      <c r="O153" s="30" t="inlineStr">
        <is>
          <t xml:space="preserve">Personal - regular use</t>
        </is>
      </c>
      <c r="P153" s="30" t="inlineStr">
        <is>
          <t xml:space="preserve">Under 1,000</t>
        </is>
      </c>
      <c r="Q153" s="30" t="inlineStr">
        <is>
          <t xml:space="preserve">Colorado</t>
        </is>
      </c>
      <c r="R153" s="30" t="inlineStr">
        <is>
          <t xml:space="preserve">80202</t>
        </is>
      </c>
      <c r="S153" s="32" t="inlineStr">
        <is>
          <t xml:space="preserve">Severe convective - hail alley (high)</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10967.85</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CANON-202601-003262</t>
        </is>
      </c>
      <c r="B154" s="46" t="inlineStr">
        <is>
          <t xml:space="preserve">Mireille Vasquez</t>
        </is>
      </c>
      <c r="C154" s="47">
        <v>46042</v>
      </c>
      <c r="D154" s="48" t="inlineStr">
        <is>
          <t xml:space="preserve">Bound - within authority</t>
        </is>
      </c>
      <c r="E154" s="48" t="inlineStr">
        <is>
          <t xml:space="preserve">New business</t>
        </is>
      </c>
      <c r="F154" s="46" t="inlineStr">
        <is>
          <t xml:space="preserve">B1234EXOTIC26</t>
        </is>
      </c>
      <c r="G154" s="33">
        <f>IF($A154="","",IF($C154="","",YEAR($C154)))</f>
      </c>
      <c r="H154" s="49">
        <v>2015</v>
      </c>
      <c r="I154" s="46" t="inlineStr">
        <is>
          <t xml:space="preserve">Ferrari</t>
        </is>
      </c>
      <c r="J154" s="46" t="inlineStr">
        <is>
          <t xml:space="preserve">SF90 Stradale</t>
        </is>
      </c>
      <c r="K154" s="46" t="inlineStr">
        <is>
          <t xml:space="preserve">8U7PYH4C47CZ8ZSRK</t>
        </is>
      </c>
      <c r="L154" s="48" t="inlineStr">
        <is>
          <t xml:space="preserve">03 - Supercar</t>
        </is>
      </c>
      <c r="M154" s="50">
        <v>1830000</v>
      </c>
      <c r="N154" s="48" t="inlineStr">
        <is>
          <t xml:space="preserve">Personal</t>
        </is>
      </c>
      <c r="O154" s="46" t="inlineStr">
        <is>
          <t xml:space="preserve">Personal - regular use</t>
        </is>
      </c>
      <c r="P154" s="46" t="inlineStr">
        <is>
          <t xml:space="preserve">1,000 - 2,500</t>
        </is>
      </c>
      <c r="Q154" s="46" t="inlineStr">
        <is>
          <t xml:space="preserve">Florida</t>
        </is>
      </c>
      <c r="R154" s="46" t="inlineStr">
        <is>
          <t xml:space="preserve">33139</t>
        </is>
      </c>
      <c r="S154" s="48" t="inlineStr">
        <is>
          <t xml:space="preserve">Tier 2 - Coastal wind (1-25 miles)</t>
        </is>
      </c>
      <c r="T154" s="36">
        <f>IF($A154="","",IF($S154="","",IFERROR(INDEX('[1]natural catastrophe'!$D$6:$D$17,MATCH($S154,'[1]natural catastrophe'!$B$6:$B$17,0)),"?")))</f>
      </c>
      <c r="U154" s="46" t="inlineStr">
        <is>
          <t xml:space="preserve">2% of agreed value, minimum $10,000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35191.91</v>
      </c>
      <c r="AC154" s="51">
        <v>0</v>
      </c>
      <c r="AD154" s="38">
        <f>IF(ISNUMBER($AB154),$AB154*(1+N($AC154)),"")</f>
      </c>
      <c r="AE154" s="50">
        <v>350</v>
      </c>
      <c r="AF154" s="50">
        <v>250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CANON-202601-003263</t>
        </is>
      </c>
      <c r="B155" s="30" t="inlineStr">
        <is>
          <t xml:space="preserve">Horace Thistlewood</t>
        </is>
      </c>
      <c r="C155" s="31">
        <v>46043</v>
      </c>
      <c r="D155" s="32" t="inlineStr">
        <is>
          <t xml:space="preserve">Bound - within authority</t>
        </is>
      </c>
      <c r="E155" s="32" t="inlineStr">
        <is>
          <t xml:space="preserve">New business</t>
        </is>
      </c>
      <c r="F155" s="30" t="inlineStr">
        <is>
          <t xml:space="preserve">B1234EXOTIC26</t>
        </is>
      </c>
      <c r="G155" s="33">
        <f>IF($A155="","",IF($C155="","",YEAR($C155)))</f>
      </c>
      <c r="H155" s="34">
        <v>2004</v>
      </c>
      <c r="I155" s="30" t="inlineStr">
        <is>
          <t xml:space="preserve">Aston Martin</t>
        </is>
      </c>
      <c r="J155" s="30" t="inlineStr">
        <is>
          <t xml:space="preserve">DB12</t>
        </is>
      </c>
      <c r="K155" s="30" t="inlineStr">
        <is>
          <t xml:space="preserve">H0ZKVV3MJTAJE1S16</t>
        </is>
      </c>
      <c r="L155" s="32" t="inlineStr">
        <is>
          <t xml:space="preserve">02 - Sports / GT</t>
        </is>
      </c>
      <c r="M155" s="35">
        <v>1065000</v>
      </c>
      <c r="N155" s="32" t="inlineStr">
        <is>
          <t xml:space="preserve">Personal</t>
        </is>
      </c>
      <c r="O155" s="30" t="inlineStr">
        <is>
          <t xml:space="preserve">Personal - regular use</t>
        </is>
      </c>
      <c r="P155" s="30" t="inlineStr">
        <is>
          <t xml:space="preserve">Under 1,000</t>
        </is>
      </c>
      <c r="Q155" s="30" t="inlineStr">
        <is>
          <t xml:space="preserve">Kentucky</t>
        </is>
      </c>
      <c r="R155" s="30" t="inlineStr">
        <is>
          <t xml:space="preserve">40202</t>
        </is>
      </c>
      <c r="S155" s="32" t="inlineStr">
        <is>
          <t xml:space="preserve">Severe convective - hail / tornado (moderate)</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13287.11</v>
      </c>
      <c r="AC155" s="37">
        <v>0</v>
      </c>
      <c r="AD155" s="38">
        <f>IF(ISNUMBER($AB155),$AB155*(1+N($AC155)),"")</f>
      </c>
      <c r="AE155" s="35">
        <v>350</v>
      </c>
      <c r="AF155" s="35">
        <v>250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CANON-202601-003264</t>
        </is>
      </c>
      <c r="B156" s="46" t="inlineStr">
        <is>
          <t xml:space="preserve">Lorenzo Vasquez</t>
        </is>
      </c>
      <c r="C156" s="47">
        <v>46041</v>
      </c>
      <c r="D156" s="48" t="inlineStr">
        <is>
          <t xml:space="preserve">Bound - within authority</t>
        </is>
      </c>
      <c r="E156" s="48" t="inlineStr">
        <is>
          <t xml:space="preserve">New business</t>
        </is>
      </c>
      <c r="F156" s="46" t="inlineStr">
        <is>
          <t xml:space="preserve">B1234EXOTIC26</t>
        </is>
      </c>
      <c r="G156" s="33">
        <f>IF($A156="","",IF($C156="","",YEAR($C156)))</f>
      </c>
      <c r="H156" s="49">
        <v>1980</v>
      </c>
      <c r="I156" s="46" t="inlineStr">
        <is>
          <t xml:space="preserve">Porsche</t>
        </is>
      </c>
      <c r="J156" s="46" t="inlineStr">
        <is>
          <t xml:space="preserve">911 Turbo S</t>
        </is>
      </c>
      <c r="K156" s="46" t="inlineStr">
        <is>
          <t xml:space="preserve">JJC9BH948WLS38D73</t>
        </is>
      </c>
      <c r="L156" s="48" t="inlineStr">
        <is>
          <t xml:space="preserve">02 - Sports / GT</t>
        </is>
      </c>
      <c r="M156" s="50">
        <v>120000</v>
      </c>
      <c r="N156" s="48" t="inlineStr">
        <is>
          <t xml:space="preserve">Personal</t>
        </is>
      </c>
      <c r="O156" s="46" t="inlineStr">
        <is>
          <t xml:space="preserve">Personal - regular use</t>
        </is>
      </c>
      <c r="P156" s="46" t="inlineStr">
        <is>
          <t xml:space="preserve">Under 1,000</t>
        </is>
      </c>
      <c r="Q156" s="46" t="inlineStr">
        <is>
          <t xml:space="preserve">Connecticut</t>
        </is>
      </c>
      <c r="R156" s="46" t="inlineStr">
        <is>
          <t xml:space="preserve">06103</t>
        </is>
      </c>
      <c r="S156" s="48" t="inlineStr">
        <is>
          <t xml:space="preserve">Tier 3 - Coastal wind (25-100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2093.15</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CANON-202601-003265</t>
        </is>
      </c>
      <c r="B157" s="30" t="inlineStr">
        <is>
          <t xml:space="preserve">Emiliano Whitlock</t>
        </is>
      </c>
      <c r="C157" s="31">
        <v>46041</v>
      </c>
      <c r="D157" s="32" t="inlineStr">
        <is>
          <t xml:space="preserve">Bound - within authority</t>
        </is>
      </c>
      <c r="E157" s="32" t="inlineStr">
        <is>
          <t xml:space="preserve">New business</t>
        </is>
      </c>
      <c r="F157" s="30" t="inlineStr">
        <is>
          <t xml:space="preserve">B1234EXOTIC26</t>
        </is>
      </c>
      <c r="G157" s="33">
        <f>IF($A157="","",IF($C157="","",YEAR($C157)))</f>
      </c>
      <c r="H157" s="34">
        <v>2003</v>
      </c>
      <c r="I157" s="30" t="inlineStr">
        <is>
          <t xml:space="preserve">Porsche</t>
        </is>
      </c>
      <c r="J157" s="30" t="inlineStr">
        <is>
          <t xml:space="preserve">911 Turbo S</t>
        </is>
      </c>
      <c r="K157" s="30" t="inlineStr">
        <is>
          <t xml:space="preserve">NANJU4FDL8N4H11WN</t>
        </is>
      </c>
      <c r="L157" s="32" t="inlineStr">
        <is>
          <t xml:space="preserve">02 - Sports / GT</t>
        </is>
      </c>
      <c r="M157" s="35">
        <v>345000</v>
      </c>
      <c r="N157" s="32" t="inlineStr">
        <is>
          <t xml:space="preserve">Personal</t>
        </is>
      </c>
      <c r="O157" s="30" t="inlineStr">
        <is>
          <t xml:space="preserve">Personal - regular use</t>
        </is>
      </c>
      <c r="P157" s="30" t="inlineStr">
        <is>
          <t xml:space="preserve">2,500 - 5,000</t>
        </is>
      </c>
      <c r="Q157" s="30" t="inlineStr">
        <is>
          <t xml:space="preserve">Florida</t>
        </is>
      </c>
      <c r="R157" s="30" t="inlineStr">
        <is>
          <t xml:space="preserve">33139</t>
        </is>
      </c>
      <c r="S157" s="32" t="inlineStr">
        <is>
          <t xml:space="preserve">Tier 2 - Coastal wind (1-25 miles)</t>
        </is>
      </c>
      <c r="T157" s="36">
        <f>IF($A157="","",IF($S157="","",IFERROR(INDEX('[1]natural catastrophe'!$D$6:$D$17,MATCH($S157,'[1]natural catastrophe'!$B$6:$B$17,0)),"?")))</f>
      </c>
      <c r="U157" s="30" t="inlineStr">
        <is>
          <t xml:space="preserve">2% of agreed value, minimum $10,000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6219.88</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CANON-202601-003266</t>
        </is>
      </c>
      <c r="B158" s="46" t="inlineStr">
        <is>
          <t xml:space="preserve">Saoirse Montoya</t>
        </is>
      </c>
      <c r="C158" s="47">
        <v>46039</v>
      </c>
      <c r="D158" s="48" t="inlineStr">
        <is>
          <t xml:space="preserve">Bound - within authority</t>
        </is>
      </c>
      <c r="E158" s="48" t="inlineStr">
        <is>
          <t xml:space="preserve">New business</t>
        </is>
      </c>
      <c r="F158" s="46" t="inlineStr">
        <is>
          <t xml:space="preserve">B1234EXOTIC26</t>
        </is>
      </c>
      <c r="G158" s="33">
        <f>IF($A158="","",IF($C158="","",YEAR($C158)))</f>
      </c>
      <c r="H158" s="49">
        <v>1982</v>
      </c>
      <c r="I158" s="46" t="inlineStr">
        <is>
          <t xml:space="preserve">Porsche</t>
        </is>
      </c>
      <c r="J158" s="46" t="inlineStr">
        <is>
          <t xml:space="preserve">911 Turbo S</t>
        </is>
      </c>
      <c r="K158" s="46" t="inlineStr">
        <is>
          <t xml:space="preserve">C0FKXU7N2B6XBS84E</t>
        </is>
      </c>
      <c r="L158" s="48" t="inlineStr">
        <is>
          <t xml:space="preserve">02 - Sports / GT</t>
        </is>
      </c>
      <c r="M158" s="50">
        <v>810000</v>
      </c>
      <c r="N158" s="48" t="inlineStr">
        <is>
          <t xml:space="preserve">Personal</t>
        </is>
      </c>
      <c r="O158" s="46" t="inlineStr">
        <is>
          <t xml:space="preserve">Personal - regular use</t>
        </is>
      </c>
      <c r="P158" s="46" t="inlineStr">
        <is>
          <t xml:space="preserve">2,500 - 5,000</t>
        </is>
      </c>
      <c r="Q158" s="46" t="inlineStr">
        <is>
          <t xml:space="preserve">California</t>
        </is>
      </c>
      <c r="R158" s="46" t="inlineStr">
        <is>
          <t xml:space="preserve">90012</t>
        </is>
      </c>
      <c r="S158" s="48" t="inlineStr">
        <is>
          <t xml:space="preserve">Earthquake - high (CA, Cascadia, New Madrid)</t>
        </is>
      </c>
      <c r="T158" s="36">
        <f>IF($A158="","",IF($S158="","",IFERROR(INDEX('[1]natural catastrophe'!$D$6:$D$17,MATCH($S158,'[1]natural catastrophe'!$B$6:$B$17,0)),"?")))</f>
      </c>
      <c r="U158" s="46" t="inlineStr">
        <is>
          <t xml:space="preserve">$5,000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12032.21</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CANON-202601-003267</t>
        </is>
      </c>
      <c r="B159" s="30" t="inlineStr">
        <is>
          <t xml:space="preserve">Priya Okonkwo</t>
        </is>
      </c>
      <c r="C159" s="31">
        <v>46045</v>
      </c>
      <c r="D159" s="32" t="inlineStr">
        <is>
          <t xml:space="preserve">Bound - within authority</t>
        </is>
      </c>
      <c r="E159" s="32" t="inlineStr">
        <is>
          <t xml:space="preserve">New business</t>
        </is>
      </c>
      <c r="F159" s="30" t="inlineStr">
        <is>
          <t xml:space="preserve">B1234EXOTIC26</t>
        </is>
      </c>
      <c r="G159" s="33">
        <f>IF($A159="","",IF($C159="","",YEAR($C159)))</f>
      </c>
      <c r="H159" s="34">
        <v>2005</v>
      </c>
      <c r="I159" s="30" t="inlineStr">
        <is>
          <t xml:space="preserve">Bentley</t>
        </is>
      </c>
      <c r="J159" s="30" t="inlineStr">
        <is>
          <t xml:space="preserve">Continental GT</t>
        </is>
      </c>
      <c r="K159" s="30" t="inlineStr">
        <is>
          <t xml:space="preserve">AUU0LHLV7G8U121SS</t>
        </is>
      </c>
      <c r="L159" s="32" t="inlineStr">
        <is>
          <t xml:space="preserve">02 - Sports / GT</t>
        </is>
      </c>
      <c r="M159" s="35">
        <v>515000</v>
      </c>
      <c r="N159" s="32" t="inlineStr">
        <is>
          <t xml:space="preserve">Personal</t>
        </is>
      </c>
      <c r="O159" s="30" t="inlineStr">
        <is>
          <t xml:space="preserve">Personal - regular use</t>
        </is>
      </c>
      <c r="P159" s="30" t="inlineStr">
        <is>
          <t xml:space="preserve">1,000 - 2,500</t>
        </is>
      </c>
      <c r="Q159" s="30" t="inlineStr">
        <is>
          <t xml:space="preserve">Colorado</t>
        </is>
      </c>
      <c r="R159" s="30" t="inlineStr">
        <is>
          <t xml:space="preserve">80202</t>
        </is>
      </c>
      <c r="S159" s="32" t="inlineStr">
        <is>
          <t xml:space="preserve">Severe convective - hail alley (high)</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6233.42</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CANON-202601-003268</t>
        </is>
      </c>
      <c r="B160" s="46" t="inlineStr">
        <is>
          <t xml:space="preserve">Saoirse Pennington</t>
        </is>
      </c>
      <c r="C160" s="47">
        <v>46052</v>
      </c>
      <c r="D160" s="48" t="inlineStr">
        <is>
          <t xml:space="preserve">Bound - within authority</t>
        </is>
      </c>
      <c r="E160" s="48" t="inlineStr">
        <is>
          <t xml:space="preserve">New business</t>
        </is>
      </c>
      <c r="F160" s="46" t="inlineStr">
        <is>
          <t xml:space="preserve">B1234EXOTIC26</t>
        </is>
      </c>
      <c r="G160" s="33">
        <f>IF($A160="","",IF($C160="","",YEAR($C160)))</f>
      </c>
      <c r="H160" s="49">
        <v>1998</v>
      </c>
      <c r="I160" s="46" t="inlineStr">
        <is>
          <t xml:space="preserve">Lamborghini</t>
        </is>
      </c>
      <c r="J160" s="46" t="inlineStr">
        <is>
          <t xml:space="preserve">Huracan EVO</t>
        </is>
      </c>
      <c r="K160" s="46" t="inlineStr">
        <is>
          <t xml:space="preserve">5A06YH2WV4B339HY2</t>
        </is>
      </c>
      <c r="L160" s="48" t="inlineStr">
        <is>
          <t xml:space="preserve">03 - Supercar</t>
        </is>
      </c>
      <c r="M160" s="50">
        <v>390000</v>
      </c>
      <c r="N160" s="48" t="inlineStr">
        <is>
          <t xml:space="preserve">Personal</t>
        </is>
      </c>
      <c r="O160" s="46" t="inlineStr">
        <is>
          <t xml:space="preserve">Personal - regular use</t>
        </is>
      </c>
      <c r="P160" s="46" t="inlineStr">
        <is>
          <t xml:space="preserve">2,500 - 5,000</t>
        </is>
      </c>
      <c r="Q160" s="46" t="inlineStr">
        <is>
          <t xml:space="preserve">Michigan</t>
        </is>
      </c>
      <c r="R160" s="46" t="inlineStr">
        <is>
          <t xml:space="preserve">48226</t>
        </is>
      </c>
      <c r="S160" s="48" t="inlineStr">
        <is>
          <t xml:space="preserve">Severe convective - hail / tornado (moderate)</t>
        </is>
      </c>
      <c r="T160" s="36">
        <f>IF($A160="","",IF($S160="","",IFERROR(INDEX('[1]natural catastrophe'!$D$6:$D$17,MATCH($S160,'[1]natural catastrophe'!$B$6:$B$17,0)),"?")))</f>
      </c>
      <c r="U160" s="46" t="inlineStr">
        <is>
          <t xml:space="preserve">$5,000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11768.13</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CANON-202601-003269</t>
        </is>
      </c>
      <c r="B161" s="30" t="inlineStr">
        <is>
          <t xml:space="preserve">Ottilie Montoya</t>
        </is>
      </c>
      <c r="C161" s="31">
        <v>46046</v>
      </c>
      <c r="D161" s="32" t="inlineStr">
        <is>
          <t xml:space="preserve">Bound - within authority</t>
        </is>
      </c>
      <c r="E161" s="32" t="inlineStr">
        <is>
          <t xml:space="preserve">New business</t>
        </is>
      </c>
      <c r="F161" s="30" t="inlineStr">
        <is>
          <t xml:space="preserve">B1234EXOTIC26</t>
        </is>
      </c>
      <c r="G161" s="33">
        <f>IF($A161="","",IF($C161="","",YEAR($C161)))</f>
      </c>
      <c r="H161" s="34">
        <v>1998</v>
      </c>
      <c r="I161" s="30" t="inlineStr">
        <is>
          <t xml:space="preserve">Aston Martin</t>
        </is>
      </c>
      <c r="J161" s="30" t="inlineStr">
        <is>
          <t xml:space="preserve">DB12</t>
        </is>
      </c>
      <c r="K161" s="30" t="inlineStr">
        <is>
          <t xml:space="preserve">EFUH30Y139KNVJL50</t>
        </is>
      </c>
      <c r="L161" s="32" t="inlineStr">
        <is>
          <t xml:space="preserve">02 - Sports / GT</t>
        </is>
      </c>
      <c r="M161" s="35">
        <v>290000</v>
      </c>
      <c r="N161" s="32" t="inlineStr">
        <is>
          <t xml:space="preserve">Personal</t>
        </is>
      </c>
      <c r="O161" s="30" t="inlineStr">
        <is>
          <t xml:space="preserve">Personal - regular use</t>
        </is>
      </c>
      <c r="P161" s="30" t="inlineStr">
        <is>
          <t xml:space="preserve">2,500 - 5,000</t>
        </is>
      </c>
      <c r="Q161" s="30" t="inlineStr">
        <is>
          <t xml:space="preserve">Illinois</t>
        </is>
      </c>
      <c r="R161" s="30" t="inlineStr">
        <is>
          <t xml:space="preserve">60601</t>
        </is>
      </c>
      <c r="S161" s="32" t="inlineStr">
        <is>
          <t xml:space="preserve">Severe convective - hail / tornado (moderate)</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5007.39</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CANON-202601-003270</t>
        </is>
      </c>
      <c r="B162" s="46" t="inlineStr">
        <is>
          <t xml:space="preserve">Sunniva Thistlewood</t>
        </is>
      </c>
      <c r="C162" s="47">
        <v>46034</v>
      </c>
      <c r="D162" s="48" t="inlineStr">
        <is>
          <t xml:space="preserve">Bound - within authority</t>
        </is>
      </c>
      <c r="E162" s="48" t="inlineStr">
        <is>
          <t xml:space="preserve">New business</t>
        </is>
      </c>
      <c r="F162" s="46" t="inlineStr">
        <is>
          <t xml:space="preserve">B1234EXOTIC26</t>
        </is>
      </c>
      <c r="G162" s="33">
        <f>IF($A162="","",IF($C162="","",YEAR($C162)))</f>
      </c>
      <c r="H162" s="49">
        <v>2011</v>
      </c>
      <c r="I162" s="46" t="inlineStr">
        <is>
          <t xml:space="preserve">Jaguar</t>
        </is>
      </c>
      <c r="J162" s="46" t="inlineStr">
        <is>
          <t xml:space="preserve">E-Type Series 1</t>
        </is>
      </c>
      <c r="K162" s="46" t="inlineStr">
        <is>
          <t xml:space="preserve">4DH3C5R1CLPTK1741</t>
        </is>
      </c>
      <c r="L162" s="48" t="inlineStr">
        <is>
          <t xml:space="preserve">02 - Sports / GT</t>
        </is>
      </c>
      <c r="M162" s="50">
        <v>1270000</v>
      </c>
      <c r="N162" s="48" t="inlineStr">
        <is>
          <t xml:space="preserve">Personal</t>
        </is>
      </c>
      <c r="O162" s="46" t="inlineStr">
        <is>
          <t xml:space="preserve">Personal - regular use</t>
        </is>
      </c>
      <c r="P162" s="46" t="inlineStr">
        <is>
          <t xml:space="preserve">2,500 - 5,000</t>
        </is>
      </c>
      <c r="Q162" s="46" t="inlineStr">
        <is>
          <t xml:space="preserve">Connecticut</t>
        </is>
      </c>
      <c r="R162" s="46" t="inlineStr">
        <is>
          <t xml:space="preserve">06103</t>
        </is>
      </c>
      <c r="S162" s="48" t="inlineStr">
        <is>
          <t xml:space="preserve">Tier 3 - Coastal wind (25-100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9149.95</v>
      </c>
      <c r="AC162" s="51">
        <v>0</v>
      </c>
      <c r="AD162" s="38">
        <f>IF(ISNUMBER($AB162),$AB162*(1+N($AC162)),"")</f>
      </c>
      <c r="AE162" s="50">
        <v>350</v>
      </c>
      <c r="AF162" s="50">
        <v>250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CANON-202601-003271</t>
        </is>
      </c>
      <c r="B163" s="30" t="inlineStr">
        <is>
          <t xml:space="preserve">Ottilie Whitlock</t>
        </is>
      </c>
      <c r="C163" s="31">
        <v>46046</v>
      </c>
      <c r="D163" s="32" t="inlineStr">
        <is>
          <t xml:space="preserve">Bound - within authority</t>
        </is>
      </c>
      <c r="E163" s="32" t="inlineStr">
        <is>
          <t xml:space="preserve">New business</t>
        </is>
      </c>
      <c r="F163" s="30" t="inlineStr">
        <is>
          <t xml:space="preserve">B1234EXOTIC26</t>
        </is>
      </c>
      <c r="G163" s="33">
        <f>IF($A163="","",IF($C163="","",YEAR($C163)))</f>
      </c>
      <c r="H163" s="34">
        <v>2010</v>
      </c>
      <c r="I163" s="30" t="inlineStr">
        <is>
          <t xml:space="preserve">Ferrari</t>
        </is>
      </c>
      <c r="J163" s="30" t="inlineStr">
        <is>
          <t xml:space="preserve">SF90 Stradale</t>
        </is>
      </c>
      <c r="K163" s="30" t="inlineStr">
        <is>
          <t xml:space="preserve">835R21P99DVAVZY8B</t>
        </is>
      </c>
      <c r="L163" s="32" t="inlineStr">
        <is>
          <t xml:space="preserve">03 - Supercar</t>
        </is>
      </c>
      <c r="M163" s="35">
        <v>395000</v>
      </c>
      <c r="N163" s="32" t="inlineStr">
        <is>
          <t xml:space="preserve">Personal</t>
        </is>
      </c>
      <c r="O163" s="30" t="inlineStr">
        <is>
          <t xml:space="preserve">Personal - regular use</t>
        </is>
      </c>
      <c r="P163" s="30" t="inlineStr">
        <is>
          <t xml:space="preserve">1,000 - 2,500</t>
        </is>
      </c>
      <c r="Q163" s="30" t="inlineStr">
        <is>
          <t xml:space="preserve">Pennsylvania</t>
        </is>
      </c>
      <c r="R163" s="30" t="inlineStr">
        <is>
          <t xml:space="preserve">19103</t>
        </is>
      </c>
      <c r="S163" s="32" t="inlineStr">
        <is>
          <t xml:space="preserve">Low hazard - inland benign</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7689.68</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CANON-202601-003272</t>
        </is>
      </c>
      <c r="B164" s="46" t="inlineStr">
        <is>
          <t xml:space="preserve">Sunniva Larsson</t>
        </is>
      </c>
      <c r="C164" s="47">
        <v>46032</v>
      </c>
      <c r="D164" s="48" t="inlineStr">
        <is>
          <t xml:space="preserve">Bound - within authority</t>
        </is>
      </c>
      <c r="E164" s="48" t="inlineStr">
        <is>
          <t xml:space="preserve">New business</t>
        </is>
      </c>
      <c r="F164" s="46" t="inlineStr">
        <is>
          <t xml:space="preserve">B1234EXOTIC26</t>
        </is>
      </c>
      <c r="G164" s="33">
        <f>IF($A164="","",IF($C164="","",YEAR($C164)))</f>
      </c>
      <c r="H164" s="49">
        <v>1999</v>
      </c>
      <c r="I164" s="46" t="inlineStr">
        <is>
          <t xml:space="preserve">Aston Martin</t>
        </is>
      </c>
      <c r="J164" s="46" t="inlineStr">
        <is>
          <t xml:space="preserve">DB5</t>
        </is>
      </c>
      <c r="K164" s="46" t="inlineStr">
        <is>
          <t xml:space="preserve">FJ6B785P356PA56TV</t>
        </is>
      </c>
      <c r="L164" s="48" t="inlineStr">
        <is>
          <t xml:space="preserve">08 - Modern Classic (1973-1999)</t>
        </is>
      </c>
      <c r="M164" s="50">
        <v>1165000</v>
      </c>
      <c r="N164" s="48" t="inlineStr">
        <is>
          <t xml:space="preserve">Personal</t>
        </is>
      </c>
      <c r="O164" s="46" t="inlineStr">
        <is>
          <t xml:space="preserve">Personal - regular use</t>
        </is>
      </c>
      <c r="P164" s="46" t="inlineStr">
        <is>
          <t xml:space="preserve">Under 1,000</t>
        </is>
      </c>
      <c r="Q164" s="46" t="inlineStr">
        <is>
          <t xml:space="preserve">Delaware</t>
        </is>
      </c>
      <c r="R164" s="46" t="inlineStr">
        <is>
          <t xml:space="preserve">19801</t>
        </is>
      </c>
      <c r="S164" s="48" t="inlineStr">
        <is>
          <t xml:space="preserve">Tier 3 - Coastal wind (25-100 miles)</t>
        </is>
      </c>
      <c r="T164" s="36">
        <f>IF($A164="","",IF($S164="","",IFERROR(INDEX('[1]natural catastrophe'!$D$6:$D$17,MATCH($S164,'[1]natural catastrophe'!$B$6:$B$17,0)),"?")))</f>
      </c>
      <c r="U164" s="46" t="inlineStr">
        <is>
          <t xml:space="preserve">2% of agreed value, minimum $10,000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9367.7</v>
      </c>
      <c r="AC164" s="51">
        <v>0</v>
      </c>
      <c r="AD164" s="38">
        <f>IF(ISNUMBER($AB164),$AB164*(1+N($AC164)),"")</f>
      </c>
      <c r="AE164" s="50">
        <v>350</v>
      </c>
      <c r="AF164" s="50">
        <v>250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CANON-202601-003273</t>
        </is>
      </c>
      <c r="B165" s="30" t="inlineStr">
        <is>
          <t xml:space="preserve">Leopold Montoya</t>
        </is>
      </c>
      <c r="C165" s="31">
        <v>46025</v>
      </c>
      <c r="D165" s="32" t="inlineStr">
        <is>
          <t xml:space="preserve">Bound - within authority</t>
        </is>
      </c>
      <c r="E165" s="32" t="inlineStr">
        <is>
          <t xml:space="preserve">New business</t>
        </is>
      </c>
      <c r="F165" s="30" t="inlineStr">
        <is>
          <t xml:space="preserve">B1234EXOTIC26</t>
        </is>
      </c>
      <c r="G165" s="33">
        <f>IF($A165="","",IF($C165="","",YEAR($C165)))</f>
      </c>
      <c r="H165" s="34">
        <v>1988</v>
      </c>
      <c r="I165" s="30" t="inlineStr">
        <is>
          <t xml:space="preserve">Lamborghini</t>
        </is>
      </c>
      <c r="J165" s="30" t="inlineStr">
        <is>
          <t xml:space="preserve">Huracan EVO</t>
        </is>
      </c>
      <c r="K165" s="30" t="inlineStr">
        <is>
          <t xml:space="preserve">B020C4LKMFCLVUR8A</t>
        </is>
      </c>
      <c r="L165" s="32" t="inlineStr">
        <is>
          <t xml:space="preserve">03 - Supercar</t>
        </is>
      </c>
      <c r="M165" s="35">
        <v>1150000</v>
      </c>
      <c r="N165" s="32" t="inlineStr">
        <is>
          <t xml:space="preserve">Personal</t>
        </is>
      </c>
      <c r="O165" s="30" t="inlineStr">
        <is>
          <t xml:space="preserve">Personal - regular use</t>
        </is>
      </c>
      <c r="P165" s="30" t="inlineStr">
        <is>
          <t xml:space="preserve">Under 1,000</t>
        </is>
      </c>
      <c r="Q165" s="30" t="inlineStr">
        <is>
          <t xml:space="preserve">Washington</t>
        </is>
      </c>
      <c r="R165" s="30" t="inlineStr">
        <is>
          <t xml:space="preserve">98101</t>
        </is>
      </c>
      <c r="S165" s="32" t="inlineStr">
        <is>
          <t xml:space="preserve">Earthquake - high (CA, Cascadia, New Madrid)</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14951.08</v>
      </c>
      <c r="AC165" s="37">
        <v>0</v>
      </c>
      <c r="AD165" s="38">
        <f>IF(ISNUMBER($AB165),$AB165*(1+N($AC165)),"")</f>
      </c>
      <c r="AE165" s="35">
        <v>350</v>
      </c>
      <c r="AF165" s="35">
        <v>250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CANON-202601-003274</t>
        </is>
      </c>
      <c r="B166" s="46" t="inlineStr">
        <is>
          <t xml:space="preserve">Leopold Ashcombe</t>
        </is>
      </c>
      <c r="C166" s="47">
        <v>46037</v>
      </c>
      <c r="D166" s="48" t="inlineStr">
        <is>
          <t xml:space="preserve">Bound - within authority</t>
        </is>
      </c>
      <c r="E166" s="48" t="inlineStr">
        <is>
          <t xml:space="preserve">New business</t>
        </is>
      </c>
      <c r="F166" s="46" t="inlineStr">
        <is>
          <t xml:space="preserve">B1234EXOTIC26</t>
        </is>
      </c>
      <c r="G166" s="33">
        <f>IF($A166="","",IF($C166="","",YEAR($C166)))</f>
      </c>
      <c r="H166" s="49">
        <v>1975</v>
      </c>
      <c r="I166" s="46" t="inlineStr">
        <is>
          <t xml:space="preserve">Aston Martin</t>
        </is>
      </c>
      <c r="J166" s="46" t="inlineStr">
        <is>
          <t xml:space="preserve">DB12</t>
        </is>
      </c>
      <c r="K166" s="46" t="inlineStr">
        <is>
          <t xml:space="preserve">DB096W9ENC77M7PY8</t>
        </is>
      </c>
      <c r="L166" s="48" t="inlineStr">
        <is>
          <t xml:space="preserve">02 - Sports / GT</t>
        </is>
      </c>
      <c r="M166" s="50">
        <v>1190000</v>
      </c>
      <c r="N166" s="48" t="inlineStr">
        <is>
          <t xml:space="preserve">Personal</t>
        </is>
      </c>
      <c r="O166" s="46" t="inlineStr">
        <is>
          <t xml:space="preserve">Personal - regular use</t>
        </is>
      </c>
      <c r="P166" s="46" t="inlineStr">
        <is>
          <t xml:space="preserve">2,500 - 5,000</t>
        </is>
      </c>
      <c r="Q166" s="46" t="inlineStr">
        <is>
          <t xml:space="preserve">Alaska</t>
        </is>
      </c>
      <c r="R166" s="46" t="inlineStr">
        <is>
          <t xml:space="preserve">99501</t>
        </is>
      </c>
      <c r="S166" s="48" t="inlineStr">
        <is>
          <t xml:space="preserve">Earthquake - high (CA, Cascadia, New Madrid)</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12630.71</v>
      </c>
      <c r="AC166" s="51">
        <v>0</v>
      </c>
      <c r="AD166" s="38">
        <f>IF(ISNUMBER($AB166),$AB166*(1+N($AC166)),"")</f>
      </c>
      <c r="AE166" s="50">
        <v>350</v>
      </c>
      <c r="AF166" s="50">
        <v>250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CANON-202601-003275</t>
        </is>
      </c>
      <c r="B167" s="30" t="inlineStr">
        <is>
          <t xml:space="preserve">Desmond Merriweather</t>
        </is>
      </c>
      <c r="C167" s="31">
        <v>46053</v>
      </c>
      <c r="D167" s="32" t="inlineStr">
        <is>
          <t xml:space="preserve">Bound - within authority</t>
        </is>
      </c>
      <c r="E167" s="32" t="inlineStr">
        <is>
          <t xml:space="preserve">New business</t>
        </is>
      </c>
      <c r="F167" s="30" t="inlineStr">
        <is>
          <t xml:space="preserve">B1234EXOTIC26</t>
        </is>
      </c>
      <c r="G167" s="33">
        <f>IF($A167="","",IF($C167="","",YEAR($C167)))</f>
      </c>
      <c r="H167" s="34">
        <v>2023</v>
      </c>
      <c r="I167" s="30" t="inlineStr">
        <is>
          <t xml:space="preserve">Ferrari</t>
        </is>
      </c>
      <c r="J167" s="30" t="inlineStr">
        <is>
          <t xml:space="preserve">275 GTB/4</t>
        </is>
      </c>
      <c r="K167" s="30" t="inlineStr">
        <is>
          <t xml:space="preserve">7U9354XJJC1MX08C8</t>
        </is>
      </c>
      <c r="L167" s="32" t="inlineStr">
        <is>
          <t xml:space="preserve">02 - Sports / GT</t>
        </is>
      </c>
      <c r="M167" s="35">
        <v>810000</v>
      </c>
      <c r="N167" s="32" t="inlineStr">
        <is>
          <t xml:space="preserve">Personal</t>
        </is>
      </c>
      <c r="O167" s="30" t="inlineStr">
        <is>
          <t xml:space="preserve">Personal - regular use</t>
        </is>
      </c>
      <c r="P167" s="30" t="inlineStr">
        <is>
          <t xml:space="preserve">Under 1,000</t>
        </is>
      </c>
      <c r="Q167" s="30" t="inlineStr">
        <is>
          <t xml:space="preserve">New York</t>
        </is>
      </c>
      <c r="R167" s="30" t="inlineStr">
        <is>
          <t xml:space="preserve">10022</t>
        </is>
      </c>
      <c r="S167" s="32" t="inlineStr">
        <is>
          <t xml:space="preserve">Tier 3 - Coastal wind (25-100 miles)</t>
        </is>
      </c>
      <c r="T167" s="36">
        <f>IF($A167="","",IF($S167="","",IFERROR(INDEX('[1]natural catastrophe'!$D$6:$D$17,MATCH($S167,'[1]natural catastrophe'!$B$6:$B$17,0)),"?")))</f>
      </c>
      <c r="U167" s="30" t="inlineStr">
        <is>
          <t xml:space="preserve">2% of agreed value, minimum $10,000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7547.04</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CANON-202601-003276</t>
        </is>
      </c>
      <c r="B168" s="46" t="inlineStr">
        <is>
          <t xml:space="preserve">Wilhelmina Rourke</t>
        </is>
      </c>
      <c r="C168" s="47">
        <v>46028</v>
      </c>
      <c r="D168" s="48" t="inlineStr">
        <is>
          <t xml:space="preserve">Bound - within authority</t>
        </is>
      </c>
      <c r="E168" s="48" t="inlineStr">
        <is>
          <t xml:space="preserve">New business</t>
        </is>
      </c>
      <c r="F168" s="46" t="inlineStr">
        <is>
          <t xml:space="preserve">B1234EXOTIC26</t>
        </is>
      </c>
      <c r="G168" s="33">
        <f>IF($A168="","",IF($C168="","",YEAR($C168)))</f>
      </c>
      <c r="H168" s="49">
        <v>1966</v>
      </c>
      <c r="I168" s="46" t="inlineStr">
        <is>
          <t xml:space="preserve">Jaguar</t>
        </is>
      </c>
      <c r="J168" s="46" t="inlineStr">
        <is>
          <t xml:space="preserve">E-Type Series 1</t>
        </is>
      </c>
      <c r="K168" s="46" t="inlineStr">
        <is>
          <t xml:space="preserve">B7HVK3D2NCVB847W3</t>
        </is>
      </c>
      <c r="L168" s="48" t="inlineStr">
        <is>
          <t xml:space="preserve">07 - Post-War Classic (1946-1972)</t>
        </is>
      </c>
      <c r="M168" s="50">
        <v>405000</v>
      </c>
      <c r="N168" s="48" t="inlineStr">
        <is>
          <t xml:space="preserve">Personal</t>
        </is>
      </c>
      <c r="O168" s="46" t="inlineStr">
        <is>
          <t xml:space="preserve">Personal - regular use</t>
        </is>
      </c>
      <c r="P168" s="46" t="inlineStr">
        <is>
          <t xml:space="preserve">2,500 - 5,000</t>
        </is>
      </c>
      <c r="Q168" s="46" t="inlineStr">
        <is>
          <t xml:space="preserve">South Carolina</t>
        </is>
      </c>
      <c r="R168" s="46" t="inlineStr">
        <is>
          <t xml:space="preserve">29401</t>
        </is>
      </c>
      <c r="S168" s="48" t="inlineStr">
        <is>
          <t xml:space="preserve">Tier 2 - Coastal wind (1-25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4080.67</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CANON-202601-003278</t>
        </is>
      </c>
      <c r="B169" s="30" t="inlineStr">
        <is>
          <t xml:space="preserve">Lorenzo Okonkwo</t>
        </is>
      </c>
      <c r="C169" s="31">
        <v>46037</v>
      </c>
      <c r="D169" s="32" t="inlineStr">
        <is>
          <t xml:space="preserve">Bound - within authority</t>
        </is>
      </c>
      <c r="E169" s="32" t="inlineStr">
        <is>
          <t xml:space="preserve">New business</t>
        </is>
      </c>
      <c r="F169" s="30" t="inlineStr">
        <is>
          <t xml:space="preserve">B1234EXOTIC26</t>
        </is>
      </c>
      <c r="G169" s="33">
        <f>IF($A169="","",IF($C169="","",YEAR($C169)))</f>
      </c>
      <c r="H169" s="34">
        <v>1978</v>
      </c>
      <c r="I169" s="30" t="inlineStr">
        <is>
          <t xml:space="preserve">Mercedes-Benz</t>
        </is>
      </c>
      <c r="J169" s="30" t="inlineStr">
        <is>
          <t xml:space="preserve">AMG GT</t>
        </is>
      </c>
      <c r="K169" s="30" t="inlineStr">
        <is>
          <t xml:space="preserve">RMAK1V14XW3B5HYC8</t>
        </is>
      </c>
      <c r="L169" s="32" t="inlineStr">
        <is>
          <t xml:space="preserve">02 - Sports / GT</t>
        </is>
      </c>
      <c r="M169" s="35">
        <v>1085000</v>
      </c>
      <c r="N169" s="32" t="inlineStr">
        <is>
          <t xml:space="preserve">Personal</t>
        </is>
      </c>
      <c r="O169" s="30" t="inlineStr">
        <is>
          <t xml:space="preserve">Personal - regular use</t>
        </is>
      </c>
      <c r="P169" s="30" t="inlineStr">
        <is>
          <t xml:space="preserve">1,000 - 2,500</t>
        </is>
      </c>
      <c r="Q169" s="30" t="inlineStr">
        <is>
          <t xml:space="preserve">West Virginia</t>
        </is>
      </c>
      <c r="R169" s="30" t="inlineStr">
        <is>
          <t xml:space="preserve">25301</t>
        </is>
      </c>
      <c r="S169" s="32" t="inlineStr">
        <is>
          <t xml:space="preserve">Low hazard - inland benign</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13435.61</v>
      </c>
      <c r="AC169" s="37">
        <v>0</v>
      </c>
      <c r="AD169" s="38">
        <f>IF(ISNUMBER($AB169),$AB169*(1+N($AC169)),"")</f>
      </c>
      <c r="AE169" s="35">
        <v>350</v>
      </c>
      <c r="AF169" s="35">
        <v>250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CANON-202601-003279</t>
        </is>
      </c>
      <c r="B170" s="46" t="inlineStr">
        <is>
          <t xml:space="preserve">Sunniva Delacroix</t>
        </is>
      </c>
      <c r="C170" s="47">
        <v>46036</v>
      </c>
      <c r="D170" s="48" t="inlineStr">
        <is>
          <t xml:space="preserve">Bound - within authority</t>
        </is>
      </c>
      <c r="E170" s="48" t="inlineStr">
        <is>
          <t xml:space="preserve">New business</t>
        </is>
      </c>
      <c r="F170" s="46" t="inlineStr">
        <is>
          <t xml:space="preserve">B1234EXOTIC26</t>
        </is>
      </c>
      <c r="G170" s="33">
        <f>IF($A170="","",IF($C170="","",YEAR($C170)))</f>
      </c>
      <c r="H170" s="49">
        <v>2007</v>
      </c>
      <c r="I170" s="46" t="inlineStr">
        <is>
          <t xml:space="preserve">Porsche</t>
        </is>
      </c>
      <c r="J170" s="46" t="inlineStr">
        <is>
          <t xml:space="preserve">911 Turbo S</t>
        </is>
      </c>
      <c r="K170" s="46" t="inlineStr">
        <is>
          <t xml:space="preserve">TL5Z3JYT7S0NWC999</t>
        </is>
      </c>
      <c r="L170" s="48" t="inlineStr">
        <is>
          <t xml:space="preserve">02 - Sports / GT</t>
        </is>
      </c>
      <c r="M170" s="50">
        <v>1950000</v>
      </c>
      <c r="N170" s="48" t="inlineStr">
        <is>
          <t xml:space="preserve">Personal</t>
        </is>
      </c>
      <c r="O170" s="46" t="inlineStr">
        <is>
          <t xml:space="preserve">Personal - regular use</t>
        </is>
      </c>
      <c r="P170" s="46" t="inlineStr">
        <is>
          <t xml:space="preserve">1,000 - 2,500</t>
        </is>
      </c>
      <c r="Q170" s="46" t="inlineStr">
        <is>
          <t xml:space="preserve">Wyoming</t>
        </is>
      </c>
      <c r="R170" s="46" t="inlineStr">
        <is>
          <t xml:space="preserve">82001</t>
        </is>
      </c>
      <c r="S170" s="48" t="inlineStr">
        <is>
          <t xml:space="preserve">Severe convective - hail alley (high)</t>
        </is>
      </c>
      <c r="T170" s="36">
        <f>IF($A170="","",IF($S170="","",IFERROR(INDEX('[1]natural catastrophe'!$D$6:$D$17,MATCH($S170,'[1]natural catastrophe'!$B$6:$B$17,0)),"?")))</f>
      </c>
      <c r="U170" s="46" t="inlineStr">
        <is>
          <t xml:space="preserve">$5,000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19426.5</v>
      </c>
      <c r="AC170" s="51">
        <v>0</v>
      </c>
      <c r="AD170" s="38">
        <f>IF(ISNUMBER($AB170),$AB170*(1+N($AC170)),"")</f>
      </c>
      <c r="AE170" s="50">
        <v>350</v>
      </c>
      <c r="AF170" s="50">
        <v>250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CANON-202601-003280</t>
        </is>
      </c>
      <c r="B171" s="30" t="inlineStr">
        <is>
          <t xml:space="preserve">Ramona Farkas</t>
        </is>
      </c>
      <c r="C171" s="31">
        <v>46052</v>
      </c>
      <c r="D171" s="32" t="inlineStr">
        <is>
          <t xml:space="preserve">Bound - within authority</t>
        </is>
      </c>
      <c r="E171" s="32" t="inlineStr">
        <is>
          <t xml:space="preserve">New business</t>
        </is>
      </c>
      <c r="F171" s="30" t="inlineStr">
        <is>
          <t xml:space="preserve">B1234EXOTIC26</t>
        </is>
      </c>
      <c r="G171" s="33">
        <f>IF($A171="","",IF($C171="","",YEAR($C171)))</f>
      </c>
      <c r="H171" s="34">
        <v>1987</v>
      </c>
      <c r="I171" s="30" t="inlineStr">
        <is>
          <t xml:space="preserve">Lamborghini</t>
        </is>
      </c>
      <c r="J171" s="30" t="inlineStr">
        <is>
          <t xml:space="preserve">Huracan EVO</t>
        </is>
      </c>
      <c r="K171" s="30" t="inlineStr">
        <is>
          <t xml:space="preserve">FHVSB0TEA14GB5JUZ</t>
        </is>
      </c>
      <c r="L171" s="32" t="inlineStr">
        <is>
          <t xml:space="preserve">03 - Supercar</t>
        </is>
      </c>
      <c r="M171" s="35">
        <v>315000</v>
      </c>
      <c r="N171" s="32" t="inlineStr">
        <is>
          <t xml:space="preserve">Personal</t>
        </is>
      </c>
      <c r="O171" s="30" t="inlineStr">
        <is>
          <t xml:space="preserve">Personal - regular use</t>
        </is>
      </c>
      <c r="P171" s="30" t="inlineStr">
        <is>
          <t xml:space="preserve">Under 1,000</t>
        </is>
      </c>
      <c r="Q171" s="30" t="inlineStr">
        <is>
          <t xml:space="preserve">North Carolina</t>
        </is>
      </c>
      <c r="R171" s="30" t="inlineStr">
        <is>
          <t xml:space="preserve">28202</t>
        </is>
      </c>
      <c r="S171" s="32" t="inlineStr">
        <is>
          <t xml:space="preserve">Tier 2 - Coastal wind (1-25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7052.12</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CANON-202601-003281</t>
        </is>
      </c>
      <c r="B172" s="46" t="inlineStr">
        <is>
          <t xml:space="preserve">Aurelio Rourke</t>
        </is>
      </c>
      <c r="C172" s="47">
        <v>46050</v>
      </c>
      <c r="D172" s="48" t="inlineStr">
        <is>
          <t xml:space="preserve">Bound - within authority</t>
        </is>
      </c>
      <c r="E172" s="48" t="inlineStr">
        <is>
          <t xml:space="preserve">New business</t>
        </is>
      </c>
      <c r="F172" s="46" t="inlineStr">
        <is>
          <t xml:space="preserve">B1234EXOTIC26</t>
        </is>
      </c>
      <c r="G172" s="33">
        <f>IF($A172="","",IF($C172="","",YEAR($C172)))</f>
      </c>
      <c r="H172" s="49">
        <v>1967</v>
      </c>
      <c r="I172" s="46" t="inlineStr">
        <is>
          <t xml:space="preserve">Bentley</t>
        </is>
      </c>
      <c r="J172" s="46" t="inlineStr">
        <is>
          <t xml:space="preserve">Continental GT</t>
        </is>
      </c>
      <c r="K172" s="46" t="inlineStr">
        <is>
          <t xml:space="preserve">93BSJBMFR2RHLJ26Y</t>
        </is>
      </c>
      <c r="L172" s="48" t="inlineStr">
        <is>
          <t xml:space="preserve">02 - Sports / GT</t>
        </is>
      </c>
      <c r="M172" s="50">
        <v>285000</v>
      </c>
      <c r="N172" s="48" t="inlineStr">
        <is>
          <t xml:space="preserve">Personal</t>
        </is>
      </c>
      <c r="O172" s="46" t="inlineStr">
        <is>
          <t xml:space="preserve">Personal - regular use</t>
        </is>
      </c>
      <c r="P172" s="46" t="inlineStr">
        <is>
          <t xml:space="preserve">1,000 - 2,500</t>
        </is>
      </c>
      <c r="Q172" s="46" t="inlineStr">
        <is>
          <t xml:space="preserve">Georgia</t>
        </is>
      </c>
      <c r="R172" s="46" t="inlineStr">
        <is>
          <t xml:space="preserve">30303</t>
        </is>
      </c>
      <c r="S172" s="48" t="inlineStr">
        <is>
          <t xml:space="preserve">Tier 2 - Coastal wind (1-25 miles)</t>
        </is>
      </c>
      <c r="T172" s="36">
        <f>IF($A172="","",IF($S172="","",IFERROR(INDEX('[1]natural catastrophe'!$D$6:$D$17,MATCH($S172,'[1]natural catastrophe'!$B$6:$B$17,0)),"?")))</f>
      </c>
      <c r="U172" s="46" t="inlineStr">
        <is>
          <t xml:space="preserve">2% of agreed value, minimum $10,000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4052.63</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CANON-202601-003282</t>
        </is>
      </c>
      <c r="B173" s="30" t="inlineStr">
        <is>
          <t xml:space="preserve">Ottilie Vasquez</t>
        </is>
      </c>
      <c r="C173" s="31">
        <v>46033</v>
      </c>
      <c r="D173" s="32" t="inlineStr">
        <is>
          <t xml:space="preserve">Bound - within authority</t>
        </is>
      </c>
      <c r="E173" s="32" t="inlineStr">
        <is>
          <t xml:space="preserve">New business</t>
        </is>
      </c>
      <c r="F173" s="30" t="inlineStr">
        <is>
          <t xml:space="preserve">B1234EXOTIC26</t>
        </is>
      </c>
      <c r="G173" s="33">
        <f>IF($A173="","",IF($C173="","",YEAR($C173)))</f>
      </c>
      <c r="H173" s="34">
        <v>1995</v>
      </c>
      <c r="I173" s="30" t="inlineStr">
        <is>
          <t xml:space="preserve">Bentley</t>
        </is>
      </c>
      <c r="J173" s="30" t="inlineStr">
        <is>
          <t xml:space="preserve">Continental GT</t>
        </is>
      </c>
      <c r="K173" s="30" t="inlineStr">
        <is>
          <t xml:space="preserve">5N3E7H1L9GXRXKBBS</t>
        </is>
      </c>
      <c r="L173" s="32" t="inlineStr">
        <is>
          <t xml:space="preserve">02 - Sports / GT</t>
        </is>
      </c>
      <c r="M173" s="35">
        <v>540000</v>
      </c>
      <c r="N173" s="32" t="inlineStr">
        <is>
          <t xml:space="preserve">Personal</t>
        </is>
      </c>
      <c r="O173" s="30" t="inlineStr">
        <is>
          <t xml:space="preserve">Personal - regular use</t>
        </is>
      </c>
      <c r="P173" s="30" t="inlineStr">
        <is>
          <t xml:space="preserve">1,000 - 2,500</t>
        </is>
      </c>
      <c r="Q173" s="30" t="inlineStr">
        <is>
          <t xml:space="preserve">Minnesota</t>
        </is>
      </c>
      <c r="R173" s="30" t="inlineStr">
        <is>
          <t xml:space="preserve">55401</t>
        </is>
      </c>
      <c r="S173" s="32" t="inlineStr">
        <is>
          <t xml:space="preserve">Severe convective - hail / tornado (moderate)</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7843.22</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CANON-202601-003283</t>
        </is>
      </c>
      <c r="B174" s="46" t="inlineStr">
        <is>
          <t xml:space="preserve">Callum Blackwood</t>
        </is>
      </c>
      <c r="C174" s="47">
        <v>46027</v>
      </c>
      <c r="D174" s="48" t="inlineStr">
        <is>
          <t xml:space="preserve">Bound - within authority</t>
        </is>
      </c>
      <c r="E174" s="48" t="inlineStr">
        <is>
          <t xml:space="preserve">New business</t>
        </is>
      </c>
      <c r="F174" s="46" t="inlineStr">
        <is>
          <t xml:space="preserve">B1234EXOTIC26</t>
        </is>
      </c>
      <c r="G174" s="33">
        <f>IF($A174="","",IF($C174="","",YEAR($C174)))</f>
      </c>
      <c r="H174" s="49">
        <v>1984</v>
      </c>
      <c r="I174" s="46" t="inlineStr">
        <is>
          <t xml:space="preserve">Porsche</t>
        </is>
      </c>
      <c r="J174" s="46" t="inlineStr">
        <is>
          <t xml:space="preserve">911 Turbo S</t>
        </is>
      </c>
      <c r="K174" s="46" t="inlineStr">
        <is>
          <t xml:space="preserve">42Z578P8TNYLP79MY</t>
        </is>
      </c>
      <c r="L174" s="48" t="inlineStr">
        <is>
          <t xml:space="preserve">02 - Sports / GT</t>
        </is>
      </c>
      <c r="M174" s="50">
        <v>340000</v>
      </c>
      <c r="N174" s="48" t="inlineStr">
        <is>
          <t xml:space="preserve">Personal</t>
        </is>
      </c>
      <c r="O174" s="46" t="inlineStr">
        <is>
          <t xml:space="preserve">Personal - regular use</t>
        </is>
      </c>
      <c r="P174" s="46" t="inlineStr">
        <is>
          <t xml:space="preserve">Under 1,000</t>
        </is>
      </c>
      <c r="Q174" s="46" t="inlineStr">
        <is>
          <t xml:space="preserve">Washington</t>
        </is>
      </c>
      <c r="R174" s="46" t="inlineStr">
        <is>
          <t xml:space="preserve">98101</t>
        </is>
      </c>
      <c r="S174" s="48" t="inlineStr">
        <is>
          <t xml:space="preserve">Earthquake - high (CA, Cascadia, New Madrid)</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4144.05</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CANON-202601-003284</t>
        </is>
      </c>
      <c r="B175" s="30" t="inlineStr">
        <is>
          <t xml:space="preserve">Ingrid Castellanos</t>
        </is>
      </c>
      <c r="C175" s="31">
        <v>46046</v>
      </c>
      <c r="D175" s="32" t="inlineStr">
        <is>
          <t xml:space="preserve">Bound - within authority</t>
        </is>
      </c>
      <c r="E175" s="32" t="inlineStr">
        <is>
          <t xml:space="preserve">New business</t>
        </is>
      </c>
      <c r="F175" s="30" t="inlineStr">
        <is>
          <t xml:space="preserve">B1234EXOTIC26</t>
        </is>
      </c>
      <c r="G175" s="33">
        <f>IF($A175="","",IF($C175="","",YEAR($C175)))</f>
      </c>
      <c r="H175" s="34">
        <v>2003</v>
      </c>
      <c r="I175" s="30" t="inlineStr">
        <is>
          <t xml:space="preserve">Ferrari</t>
        </is>
      </c>
      <c r="J175" s="30" t="inlineStr">
        <is>
          <t xml:space="preserve">296 GTB</t>
        </is>
      </c>
      <c r="K175" s="30" t="inlineStr">
        <is>
          <t xml:space="preserve">254VA2W7SBE9PC6FH</t>
        </is>
      </c>
      <c r="L175" s="32" t="inlineStr">
        <is>
          <t xml:space="preserve">03 - Supercar</t>
        </is>
      </c>
      <c r="M175" s="35">
        <v>650000</v>
      </c>
      <c r="N175" s="32" t="inlineStr">
        <is>
          <t xml:space="preserve">Personal</t>
        </is>
      </c>
      <c r="O175" s="30" t="inlineStr">
        <is>
          <t xml:space="preserve">Personal - regular use</t>
        </is>
      </c>
      <c r="P175" s="30" t="inlineStr">
        <is>
          <t xml:space="preserve">2,500 - 5,000</t>
        </is>
      </c>
      <c r="Q175" s="30" t="inlineStr">
        <is>
          <t xml:space="preserve">New York</t>
        </is>
      </c>
      <c r="R175" s="30" t="inlineStr">
        <is>
          <t xml:space="preserve">10022</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13380.13</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CANON-202601-003285</t>
        </is>
      </c>
      <c r="B176" s="46" t="inlineStr">
        <is>
          <t xml:space="preserve">Everett Rourke</t>
        </is>
      </c>
      <c r="C176" s="47">
        <v>46042</v>
      </c>
      <c r="D176" s="48" t="inlineStr">
        <is>
          <t xml:space="preserve">Bound - within authority</t>
        </is>
      </c>
      <c r="E176" s="48" t="inlineStr">
        <is>
          <t xml:space="preserve">New business</t>
        </is>
      </c>
      <c r="F176" s="46" t="inlineStr">
        <is>
          <t xml:space="preserve">B1234EXOTIC26</t>
        </is>
      </c>
      <c r="G176" s="33">
        <f>IF($A176="","",IF($C176="","",YEAR($C176)))</f>
      </c>
      <c r="H176" s="49">
        <v>1970</v>
      </c>
      <c r="I176" s="46" t="inlineStr">
        <is>
          <t xml:space="preserve">Porsche</t>
        </is>
      </c>
      <c r="J176" s="46" t="inlineStr">
        <is>
          <t xml:space="preserve">911 Turbo S</t>
        </is>
      </c>
      <c r="K176" s="46" t="inlineStr">
        <is>
          <t xml:space="preserve">AYUZWM7DPA29FYC97</t>
        </is>
      </c>
      <c r="L176" s="48" t="inlineStr">
        <is>
          <t xml:space="preserve">02 - Sports / GT</t>
        </is>
      </c>
      <c r="M176" s="50">
        <v>660000</v>
      </c>
      <c r="N176" s="48" t="inlineStr">
        <is>
          <t xml:space="preserve">Personal</t>
        </is>
      </c>
      <c r="O176" s="46" t="inlineStr">
        <is>
          <t xml:space="preserve">Personal - regular use</t>
        </is>
      </c>
      <c r="P176" s="46" t="inlineStr">
        <is>
          <t xml:space="preserve">1,000 - 2,500</t>
        </is>
      </c>
      <c r="Q176" s="46" t="inlineStr">
        <is>
          <t xml:space="preserve">Mississippi</t>
        </is>
      </c>
      <c r="R176" s="46" t="inlineStr">
        <is>
          <t xml:space="preserve">39201</t>
        </is>
      </c>
      <c r="S176" s="48" t="inlineStr">
        <is>
          <t xml:space="preserve">Tier 2 - Coastal wind (1-25 miles)</t>
        </is>
      </c>
      <c r="T176" s="36">
        <f>IF($A176="","",IF($S176="","",IFERROR(INDEX('[1]natural catastrophe'!$D$6:$D$17,MATCH($S176,'[1]natural catastrophe'!$B$6:$B$17,0)),"?")))</f>
      </c>
      <c r="U176" s="46" t="inlineStr">
        <is>
          <t xml:space="preserve">2% of agreed value, minimum $10,000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8642.06</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CANON-202601-003286</t>
        </is>
      </c>
      <c r="B177" s="30" t="inlineStr">
        <is>
          <t xml:space="preserve">Anouk Bellandi</t>
        </is>
      </c>
      <c r="C177" s="31">
        <v>46026</v>
      </c>
      <c r="D177" s="32" t="inlineStr">
        <is>
          <t xml:space="preserve">Bound - within authority</t>
        </is>
      </c>
      <c r="E177" s="32" t="inlineStr">
        <is>
          <t xml:space="preserve">New business</t>
        </is>
      </c>
      <c r="F177" s="30" t="inlineStr">
        <is>
          <t xml:space="preserve">B1234EXOTIC26</t>
        </is>
      </c>
      <c r="G177" s="33">
        <f>IF($A177="","",IF($C177="","",YEAR($C177)))</f>
      </c>
      <c r="H177" s="34">
        <v>2003</v>
      </c>
      <c r="I177" s="30" t="inlineStr">
        <is>
          <t xml:space="preserve">Porsche</t>
        </is>
      </c>
      <c r="J177" s="30" t="inlineStr">
        <is>
          <t xml:space="preserve">911 Turbo S</t>
        </is>
      </c>
      <c r="K177" s="30" t="inlineStr">
        <is>
          <t xml:space="preserve">HMBT7AY16TGCYCLLG</t>
        </is>
      </c>
      <c r="L177" s="32" t="inlineStr">
        <is>
          <t xml:space="preserve">02 - Sports / GT</t>
        </is>
      </c>
      <c r="M177" s="35">
        <v>610000</v>
      </c>
      <c r="N177" s="32" t="inlineStr">
        <is>
          <t xml:space="preserve">Personal</t>
        </is>
      </c>
      <c r="O177" s="30" t="inlineStr">
        <is>
          <t xml:space="preserve">Personal - regular use</t>
        </is>
      </c>
      <c r="P177" s="30" t="inlineStr">
        <is>
          <t xml:space="preserve">2,500 - 5,000</t>
        </is>
      </c>
      <c r="Q177" s="30" t="inlineStr">
        <is>
          <t xml:space="preserve">Arizona</t>
        </is>
      </c>
      <c r="R177" s="30" t="inlineStr">
        <is>
          <t xml:space="preserve">85001</t>
        </is>
      </c>
      <c r="S177" s="32" t="inlineStr">
        <is>
          <t xml:space="preserve">Wildfire - WUI high hazard</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6779.19</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CANON-202601-003288</t>
        </is>
      </c>
      <c r="B178" s="46" t="inlineStr">
        <is>
          <t xml:space="preserve">Leopold Fairweather</t>
        </is>
      </c>
      <c r="C178" s="47">
        <v>46044</v>
      </c>
      <c r="D178" s="48" t="inlineStr">
        <is>
          <t xml:space="preserve">Bound - within authority</t>
        </is>
      </c>
      <c r="E178" s="48" t="inlineStr">
        <is>
          <t xml:space="preserve">New business</t>
        </is>
      </c>
      <c r="F178" s="46" t="inlineStr">
        <is>
          <t xml:space="preserve">B1234EXOTIC26</t>
        </is>
      </c>
      <c r="G178" s="33">
        <f>IF($A178="","",IF($C178="","",YEAR($C178)))</f>
      </c>
      <c r="H178" s="49">
        <v>2018</v>
      </c>
      <c r="I178" s="46" t="inlineStr">
        <is>
          <t xml:space="preserve">Bentley</t>
        </is>
      </c>
      <c r="J178" s="46" t="inlineStr">
        <is>
          <t xml:space="preserve">Continental GT</t>
        </is>
      </c>
      <c r="K178" s="46" t="inlineStr">
        <is>
          <t xml:space="preserve">7N93DYCJRE0FMENS1</t>
        </is>
      </c>
      <c r="L178" s="48" t="inlineStr">
        <is>
          <t xml:space="preserve">02 - Sports / GT</t>
        </is>
      </c>
      <c r="M178" s="50">
        <v>500000</v>
      </c>
      <c r="N178" s="48" t="inlineStr">
        <is>
          <t xml:space="preserve">Personal</t>
        </is>
      </c>
      <c r="O178" s="46" t="inlineStr">
        <is>
          <t xml:space="preserve">Personal - regular use</t>
        </is>
      </c>
      <c r="P178" s="46" t="inlineStr">
        <is>
          <t xml:space="preserve">1,000 - 2,500</t>
        </is>
      </c>
      <c r="Q178" s="46" t="inlineStr">
        <is>
          <t xml:space="preserve">Texas</t>
        </is>
      </c>
      <c r="R178" s="46" t="inlineStr">
        <is>
          <t xml:space="preserve">75201</t>
        </is>
      </c>
      <c r="S178" s="48" t="inlineStr">
        <is>
          <t xml:space="preserve">Tier 2 - Coastal wind (1-25 miles)</t>
        </is>
      </c>
      <c r="T178" s="36">
        <f>IF($A178="","",IF($S178="","",IFERROR(INDEX('[1]natural catastrophe'!$D$6:$D$17,MATCH($S178,'[1]natural catastrophe'!$B$6:$B$17,0)),"?")))</f>
      </c>
      <c r="U178" s="46" t="inlineStr">
        <is>
          <t xml:space="preserve">2% of agreed value, minimum $10,000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6326.96</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CANON-202601-003291</t>
        </is>
      </c>
      <c r="B179" s="30" t="inlineStr">
        <is>
          <t xml:space="preserve">Marisol Vasquez</t>
        </is>
      </c>
      <c r="C179" s="31">
        <v>46046</v>
      </c>
      <c r="D179" s="32" t="inlineStr">
        <is>
          <t xml:space="preserve">Bound - within authority</t>
        </is>
      </c>
      <c r="E179" s="32" t="inlineStr">
        <is>
          <t xml:space="preserve">New business</t>
        </is>
      </c>
      <c r="F179" s="30" t="inlineStr">
        <is>
          <t xml:space="preserve">B1234EXOTIC26</t>
        </is>
      </c>
      <c r="G179" s="33">
        <f>IF($A179="","",IF($C179="","",YEAR($C179)))</f>
      </c>
      <c r="H179" s="34">
        <v>2016</v>
      </c>
      <c r="I179" s="30" t="inlineStr">
        <is>
          <t xml:space="preserve">Aston Martin</t>
        </is>
      </c>
      <c r="J179" s="30" t="inlineStr">
        <is>
          <t xml:space="preserve">DB12</t>
        </is>
      </c>
      <c r="K179" s="30" t="inlineStr">
        <is>
          <t xml:space="preserve">5NBMM59KCGZZB65AJ</t>
        </is>
      </c>
      <c r="L179" s="32" t="inlineStr">
        <is>
          <t xml:space="preserve">02 - Sports / GT</t>
        </is>
      </c>
      <c r="M179" s="35">
        <v>375000</v>
      </c>
      <c r="N179" s="32" t="inlineStr">
        <is>
          <t xml:space="preserve">Personal</t>
        </is>
      </c>
      <c r="O179" s="30" t="inlineStr">
        <is>
          <t xml:space="preserve">Personal - regular use</t>
        </is>
      </c>
      <c r="P179" s="30" t="inlineStr">
        <is>
          <t xml:space="preserve">2,500 - 5,000</t>
        </is>
      </c>
      <c r="Q179" s="30" t="inlineStr">
        <is>
          <t xml:space="preserve">New Mexico</t>
        </is>
      </c>
      <c r="R179" s="30" t="inlineStr">
        <is>
          <t xml:space="preserve">87501</t>
        </is>
      </c>
      <c r="S179" s="32" t="inlineStr">
        <is>
          <t xml:space="preserve">Wildfire - WUI high hazard</t>
        </is>
      </c>
      <c r="T179" s="36">
        <f>IF($A179="","",IF($S179="","",IFERROR(INDEX('[1]natural catastrophe'!$D$6:$D$17,MATCH($S179,'[1]natural catastrophe'!$B$6:$B$17,0)),"?")))</f>
      </c>
      <c r="U179" s="30" t="inlineStr">
        <is>
          <t xml:space="preserve">$5,000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6094.19</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CANON-202601-003292</t>
        </is>
      </c>
      <c r="B180" s="46" t="inlineStr">
        <is>
          <t xml:space="preserve">Beatrix Kingsford</t>
        </is>
      </c>
      <c r="C180" s="47">
        <v>46023</v>
      </c>
      <c r="D180" s="48" t="inlineStr">
        <is>
          <t xml:space="preserve">Bound - within authority</t>
        </is>
      </c>
      <c r="E180" s="48" t="inlineStr">
        <is>
          <t xml:space="preserve">New business</t>
        </is>
      </c>
      <c r="F180" s="46" t="inlineStr">
        <is>
          <t xml:space="preserve">B1234EXOTIC26</t>
        </is>
      </c>
      <c r="G180" s="33">
        <f>IF($A180="","",IF($C180="","",YEAR($C180)))</f>
      </c>
      <c r="H180" s="49">
        <v>2016</v>
      </c>
      <c r="I180" s="46" t="inlineStr">
        <is>
          <t xml:space="preserve">Jaguar</t>
        </is>
      </c>
      <c r="J180" s="46" t="inlineStr">
        <is>
          <t xml:space="preserve">E-Type Series 1</t>
        </is>
      </c>
      <c r="K180" s="46" t="inlineStr">
        <is>
          <t xml:space="preserve">8V1N3RYTPYM3PECLK</t>
        </is>
      </c>
      <c r="L180" s="48" t="inlineStr">
        <is>
          <t xml:space="preserve">02 - Sports / GT</t>
        </is>
      </c>
      <c r="M180" s="50">
        <v>800000</v>
      </c>
      <c r="N180" s="48" t="inlineStr">
        <is>
          <t xml:space="preserve">Personal</t>
        </is>
      </c>
      <c r="O180" s="46" t="inlineStr">
        <is>
          <t xml:space="preserve">Personal - regular use</t>
        </is>
      </c>
      <c r="P180" s="46" t="inlineStr">
        <is>
          <t xml:space="preserve">Under 1,000</t>
        </is>
      </c>
      <c r="Q180" s="46" t="inlineStr">
        <is>
          <t xml:space="preserve">Texas</t>
        </is>
      </c>
      <c r="R180" s="46" t="inlineStr">
        <is>
          <t xml:space="preserve">75201</t>
        </is>
      </c>
      <c r="S180" s="48" t="inlineStr">
        <is>
          <t xml:space="preserve">Tier 2 - Coastal wind (1-25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6696.84</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CANON-202601-003293</t>
        </is>
      </c>
      <c r="B181" s="30" t="inlineStr">
        <is>
          <t xml:space="preserve">Callum Blackwood</t>
        </is>
      </c>
      <c r="C181" s="31">
        <v>46038</v>
      </c>
      <c r="D181" s="32" t="inlineStr">
        <is>
          <t xml:space="preserve">Bound - within authority</t>
        </is>
      </c>
      <c r="E181" s="32" t="inlineStr">
        <is>
          <t xml:space="preserve">New business</t>
        </is>
      </c>
      <c r="F181" s="30" t="inlineStr">
        <is>
          <t xml:space="preserve">B1234EXOTIC26</t>
        </is>
      </c>
      <c r="G181" s="33">
        <f>IF($A181="","",IF($C181="","",YEAR($C181)))</f>
      </c>
      <c r="H181" s="34">
        <v>2003</v>
      </c>
      <c r="I181" s="30" t="inlineStr">
        <is>
          <t xml:space="preserve">Porsche</t>
        </is>
      </c>
      <c r="J181" s="30" t="inlineStr">
        <is>
          <t xml:space="preserve">911 Turbo S</t>
        </is>
      </c>
      <c r="K181" s="30" t="inlineStr">
        <is>
          <t xml:space="preserve">3P3AFG8ZNW04AJLA3</t>
        </is>
      </c>
      <c r="L181" s="32" t="inlineStr">
        <is>
          <t xml:space="preserve">02 - Sports / GT</t>
        </is>
      </c>
      <c r="M181" s="35">
        <v>1650000</v>
      </c>
      <c r="N181" s="32" t="inlineStr">
        <is>
          <t xml:space="preserve">Personal</t>
        </is>
      </c>
      <c r="O181" s="30" t="inlineStr">
        <is>
          <t xml:space="preserve">Personal - regular use</t>
        </is>
      </c>
      <c r="P181" s="30" t="inlineStr">
        <is>
          <t xml:space="preserve">Under 1,000</t>
        </is>
      </c>
      <c r="Q181" s="30" t="inlineStr">
        <is>
          <t xml:space="preserve">Colorado</t>
        </is>
      </c>
      <c r="R181" s="30" t="inlineStr">
        <is>
          <t xml:space="preserve">80202</t>
        </is>
      </c>
      <c r="S181" s="32" t="inlineStr">
        <is>
          <t xml:space="preserve">Severe convective - hail alley (high)</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16898.68</v>
      </c>
      <c r="AC181" s="37">
        <v>0</v>
      </c>
      <c r="AD181" s="38">
        <f>IF(ISNUMBER($AB181),$AB181*(1+N($AC181)),"")</f>
      </c>
      <c r="AE181" s="35">
        <v>350</v>
      </c>
      <c r="AF181" s="35">
        <v>250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CANON-202601-003294</t>
        </is>
      </c>
      <c r="B182" s="46" t="inlineStr">
        <is>
          <t xml:space="preserve">Horace Underwood</t>
        </is>
      </c>
      <c r="C182" s="47">
        <v>46052</v>
      </c>
      <c r="D182" s="48" t="inlineStr">
        <is>
          <t xml:space="preserve">Bound - within authority</t>
        </is>
      </c>
      <c r="E182" s="48" t="inlineStr">
        <is>
          <t xml:space="preserve">New business</t>
        </is>
      </c>
      <c r="F182" s="46" t="inlineStr">
        <is>
          <t xml:space="preserve">B1234EXOTIC26</t>
        </is>
      </c>
      <c r="G182" s="33">
        <f>IF($A182="","",IF($C182="","",YEAR($C182)))</f>
      </c>
      <c r="H182" s="49">
        <v>2006</v>
      </c>
      <c r="I182" s="46" t="inlineStr">
        <is>
          <t xml:space="preserve">Bentley</t>
        </is>
      </c>
      <c r="J182" s="46" t="inlineStr">
        <is>
          <t xml:space="preserve">4.5 Litre</t>
        </is>
      </c>
      <c r="K182" s="46" t="inlineStr">
        <is>
          <t xml:space="preserve">LBNZK9KFL0RC6F1V6</t>
        </is>
      </c>
      <c r="L182" s="48" t="inlineStr">
        <is>
          <t xml:space="preserve">09 - Youngtimer / Collectible (2000-2010)</t>
        </is>
      </c>
      <c r="M182" s="50">
        <v>815000</v>
      </c>
      <c r="N182" s="48" t="inlineStr">
        <is>
          <t xml:space="preserve">Personal</t>
        </is>
      </c>
      <c r="O182" s="46" t="inlineStr">
        <is>
          <t xml:space="preserve">Personal - regular use</t>
        </is>
      </c>
      <c r="P182" s="46" t="inlineStr">
        <is>
          <t xml:space="preserve">1,000 - 2,500</t>
        </is>
      </c>
      <c r="Q182" s="46" t="inlineStr">
        <is>
          <t xml:space="preserve">Kentucky</t>
        </is>
      </c>
      <c r="R182" s="46" t="inlineStr">
        <is>
          <t xml:space="preserve">40202</t>
        </is>
      </c>
      <c r="S182" s="48" t="inlineStr">
        <is>
          <t xml:space="preserve">Severe convective - hail / tornado (moderate)</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7025.21</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CANON-202601-003295</t>
        </is>
      </c>
      <c r="B183" s="30" t="inlineStr">
        <is>
          <t xml:space="preserve">Mireille Fairweather</t>
        </is>
      </c>
      <c r="C183" s="31">
        <v>46043</v>
      </c>
      <c r="D183" s="32" t="inlineStr">
        <is>
          <t xml:space="preserve">Bound - within authority</t>
        </is>
      </c>
      <c r="E183" s="32" t="inlineStr">
        <is>
          <t xml:space="preserve">New business</t>
        </is>
      </c>
      <c r="F183" s="30" t="inlineStr">
        <is>
          <t xml:space="preserve">B1234EXOTIC26</t>
        </is>
      </c>
      <c r="G183" s="33">
        <f>IF($A183="","",IF($C183="","",YEAR($C183)))</f>
      </c>
      <c r="H183" s="34">
        <v>1988</v>
      </c>
      <c r="I183" s="30" t="inlineStr">
        <is>
          <t xml:space="preserve">Lamborghini</t>
        </is>
      </c>
      <c r="J183" s="30" t="inlineStr">
        <is>
          <t xml:space="preserve">Huracan EVO</t>
        </is>
      </c>
      <c r="K183" s="30" t="inlineStr">
        <is>
          <t xml:space="preserve">WDK0203DNVEWGD2RN</t>
        </is>
      </c>
      <c r="L183" s="32" t="inlineStr">
        <is>
          <t xml:space="preserve">03 - Supercar</t>
        </is>
      </c>
      <c r="M183" s="35">
        <v>520000</v>
      </c>
      <c r="N183" s="32" t="inlineStr">
        <is>
          <t xml:space="preserve">Personal</t>
        </is>
      </c>
      <c r="O183" s="30" t="inlineStr">
        <is>
          <t xml:space="preserve">Personal - regular use</t>
        </is>
      </c>
      <c r="P183" s="30" t="inlineStr">
        <is>
          <t xml:space="preserve">Under 1,000</t>
        </is>
      </c>
      <c r="Q183" s="30" t="inlineStr">
        <is>
          <t xml:space="preserve">Arkansas</t>
        </is>
      </c>
      <c r="R183" s="30" t="inlineStr">
        <is>
          <t xml:space="preserve">72201</t>
        </is>
      </c>
      <c r="S183" s="32" t="inlineStr">
        <is>
          <t xml:space="preserve">Severe convective - hail / tornado (moderate)</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11540.36</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CANON-202601-003296</t>
        </is>
      </c>
      <c r="B184" s="46" t="inlineStr">
        <is>
          <t xml:space="preserve">Fenwick Harrington</t>
        </is>
      </c>
      <c r="C184" s="47">
        <v>46053</v>
      </c>
      <c r="D184" s="48" t="inlineStr">
        <is>
          <t xml:space="preserve">Bound - within authority</t>
        </is>
      </c>
      <c r="E184" s="48" t="inlineStr">
        <is>
          <t xml:space="preserve">New business</t>
        </is>
      </c>
      <c r="F184" s="46" t="inlineStr">
        <is>
          <t xml:space="preserve">B1234EXOTIC26</t>
        </is>
      </c>
      <c r="G184" s="33">
        <f>IF($A184="","",IF($C184="","",YEAR($C184)))</f>
      </c>
      <c r="H184" s="49">
        <v>1968</v>
      </c>
      <c r="I184" s="46" t="inlineStr">
        <is>
          <t xml:space="preserve">Lamborghini</t>
        </is>
      </c>
      <c r="J184" s="46" t="inlineStr">
        <is>
          <t xml:space="preserve">Huracan EVO</t>
        </is>
      </c>
      <c r="K184" s="46" t="inlineStr">
        <is>
          <t xml:space="preserve">TYB6MVF8EY3JXG47W</t>
        </is>
      </c>
      <c r="L184" s="48" t="inlineStr">
        <is>
          <t xml:space="preserve">03 - Supercar</t>
        </is>
      </c>
      <c r="M184" s="50">
        <v>700000</v>
      </c>
      <c r="N184" s="48" t="inlineStr">
        <is>
          <t xml:space="preserve">Personal</t>
        </is>
      </c>
      <c r="O184" s="46" t="inlineStr">
        <is>
          <t xml:space="preserve">Personal - regular use</t>
        </is>
      </c>
      <c r="P184" s="46" t="inlineStr">
        <is>
          <t xml:space="preserve">1,000 - 2,500</t>
        </is>
      </c>
      <c r="Q184" s="46" t="inlineStr">
        <is>
          <t xml:space="preserve">Alaska</t>
        </is>
      </c>
      <c r="R184" s="46" t="inlineStr">
        <is>
          <t xml:space="preserve">99501</t>
        </is>
      </c>
      <c r="S184" s="48" t="inlineStr">
        <is>
          <t xml:space="preserve">Earthquake - high (CA, Cascadia, New Madrid)</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12833.34</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CANON-202601-003297</t>
        </is>
      </c>
      <c r="B185" s="30" t="inlineStr">
        <is>
          <t xml:space="preserve">Fitzgerald Larsson</t>
        </is>
      </c>
      <c r="C185" s="31">
        <v>46046</v>
      </c>
      <c r="D185" s="32" t="inlineStr">
        <is>
          <t xml:space="preserve">Bound - within authority</t>
        </is>
      </c>
      <c r="E185" s="32" t="inlineStr">
        <is>
          <t xml:space="preserve">New business</t>
        </is>
      </c>
      <c r="F185" s="30" t="inlineStr">
        <is>
          <t xml:space="preserve">B1234EXOTIC26</t>
        </is>
      </c>
      <c r="G185" s="33">
        <f>IF($A185="","",IF($C185="","",YEAR($C185)))</f>
      </c>
      <c r="H185" s="34">
        <v>1996</v>
      </c>
      <c r="I185" s="30" t="inlineStr">
        <is>
          <t xml:space="preserve">Aston Martin</t>
        </is>
      </c>
      <c r="J185" s="30" t="inlineStr">
        <is>
          <t xml:space="preserve">DB12</t>
        </is>
      </c>
      <c r="K185" s="30" t="inlineStr">
        <is>
          <t xml:space="preserve">A7MR7KSE8W0R0DT2R</t>
        </is>
      </c>
      <c r="L185" s="32" t="inlineStr">
        <is>
          <t xml:space="preserve">02 - Sports / GT</t>
        </is>
      </c>
      <c r="M185" s="35">
        <v>390000</v>
      </c>
      <c r="N185" s="32" t="inlineStr">
        <is>
          <t xml:space="preserve">Personal</t>
        </is>
      </c>
      <c r="O185" s="30" t="inlineStr">
        <is>
          <t xml:space="preserve">Personal - regular use</t>
        </is>
      </c>
      <c r="P185" s="30" t="inlineStr">
        <is>
          <t xml:space="preserve">Under 1,000</t>
        </is>
      </c>
      <c r="Q185" s="30" t="inlineStr">
        <is>
          <t xml:space="preserve">Wyoming</t>
        </is>
      </c>
      <c r="R185" s="30" t="inlineStr">
        <is>
          <t xml:space="preserve">82001</t>
        </is>
      </c>
      <c r="S185" s="32" t="inlineStr">
        <is>
          <t xml:space="preserve">Severe convective - hail alley (high)</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5298.14</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CANON-202601-003299</t>
        </is>
      </c>
      <c r="B186" s="46" t="inlineStr">
        <is>
          <t xml:space="preserve">Sunniva Montoya</t>
        </is>
      </c>
      <c r="C186" s="47">
        <v>46030</v>
      </c>
      <c r="D186" s="48" t="inlineStr">
        <is>
          <t xml:space="preserve">Bound - within authority</t>
        </is>
      </c>
      <c r="E186" s="48" t="inlineStr">
        <is>
          <t xml:space="preserve">New business</t>
        </is>
      </c>
      <c r="F186" s="46" t="inlineStr">
        <is>
          <t xml:space="preserve">B1234EXOTIC26</t>
        </is>
      </c>
      <c r="G186" s="33">
        <f>IF($A186="","",IF($C186="","",YEAR($C186)))</f>
      </c>
      <c r="H186" s="49">
        <v>1975</v>
      </c>
      <c r="I186" s="46" t="inlineStr">
        <is>
          <t xml:space="preserve">Maserati</t>
        </is>
      </c>
      <c r="J186" s="46" t="inlineStr">
        <is>
          <t xml:space="preserve">GranTurismo</t>
        </is>
      </c>
      <c r="K186" s="46" t="inlineStr">
        <is>
          <t xml:space="preserve">B84K6DP1AWKVL2CPM</t>
        </is>
      </c>
      <c r="L186" s="48" t="inlineStr">
        <is>
          <t xml:space="preserve">02 - Sports / GT</t>
        </is>
      </c>
      <c r="M186" s="50">
        <v>560000</v>
      </c>
      <c r="N186" s="48" t="inlineStr">
        <is>
          <t xml:space="preserve">Personal</t>
        </is>
      </c>
      <c r="O186" s="46" t="inlineStr">
        <is>
          <t xml:space="preserve">Personal - regular use</t>
        </is>
      </c>
      <c r="P186" s="46" t="inlineStr">
        <is>
          <t xml:space="preserve">2,500 - 5,000</t>
        </is>
      </c>
      <c r="Q186" s="46" t="inlineStr">
        <is>
          <t xml:space="preserve">Tennessee</t>
        </is>
      </c>
      <c r="R186" s="46" t="inlineStr">
        <is>
          <t xml:space="preserve">37203</t>
        </is>
      </c>
      <c r="S186" s="48" t="inlineStr">
        <is>
          <t xml:space="preserve">Severe convective - hail / tornado (moderate)</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6038.67</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CANON-202601-003300</t>
        </is>
      </c>
      <c r="B187" s="30" t="inlineStr">
        <is>
          <t xml:space="preserve">Desmond Ashcombe</t>
        </is>
      </c>
      <c r="C187" s="31">
        <v>46051</v>
      </c>
      <c r="D187" s="32" t="inlineStr">
        <is>
          <t xml:space="preserve">Bound - within authority</t>
        </is>
      </c>
      <c r="E187" s="32" t="inlineStr">
        <is>
          <t xml:space="preserve">New business</t>
        </is>
      </c>
      <c r="F187" s="30" t="inlineStr">
        <is>
          <t xml:space="preserve">B1234EXOTIC26</t>
        </is>
      </c>
      <c r="G187" s="33">
        <f>IF($A187="","",IF($C187="","",YEAR($C187)))</f>
      </c>
      <c r="H187" s="34">
        <v>2014</v>
      </c>
      <c r="I187" s="30" t="inlineStr">
        <is>
          <t xml:space="preserve">Bentley</t>
        </is>
      </c>
      <c r="J187" s="30" t="inlineStr">
        <is>
          <t xml:space="preserve">Continental GT</t>
        </is>
      </c>
      <c r="K187" s="30" t="inlineStr">
        <is>
          <t xml:space="preserve">TWNC9729WA95FTWSW</t>
        </is>
      </c>
      <c r="L187" s="32" t="inlineStr">
        <is>
          <t xml:space="preserve">02 - Sports / GT</t>
        </is>
      </c>
      <c r="M187" s="35">
        <v>235000</v>
      </c>
      <c r="N187" s="32" t="inlineStr">
        <is>
          <t xml:space="preserve">Personal</t>
        </is>
      </c>
      <c r="O187" s="30" t="inlineStr">
        <is>
          <t xml:space="preserve">Personal - regular use</t>
        </is>
      </c>
      <c r="P187" s="30" t="inlineStr">
        <is>
          <t xml:space="preserve">2,500 - 5,000</t>
        </is>
      </c>
      <c r="Q187" s="30" t="inlineStr">
        <is>
          <t xml:space="preserve">Pennsylvania</t>
        </is>
      </c>
      <c r="R187" s="30" t="inlineStr">
        <is>
          <t xml:space="preserve">19103</t>
        </is>
      </c>
      <c r="S187" s="32" t="inlineStr">
        <is>
          <t xml:space="preserve">Low hazard - inland benign</t>
        </is>
      </c>
      <c r="T187" s="36">
        <f>IF($A187="","",IF($S187="","",IFERROR(INDEX('[1]natural catastrophe'!$D$6:$D$17,MATCH($S187,'[1]natural catastrophe'!$B$6:$B$17,0)),"?")))</f>
      </c>
      <c r="U187" s="30" t="inlineStr">
        <is>
          <t xml:space="preserve">$5,000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3659.9</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CANON-202601-003301</t>
        </is>
      </c>
      <c r="B188" s="46" t="inlineStr">
        <is>
          <t xml:space="preserve">Desmond Kingsford</t>
        </is>
      </c>
      <c r="C188" s="47">
        <v>46023</v>
      </c>
      <c r="D188" s="48" t="inlineStr">
        <is>
          <t xml:space="preserve">Bound - within authority</t>
        </is>
      </c>
      <c r="E188" s="48" t="inlineStr">
        <is>
          <t xml:space="preserve">New business</t>
        </is>
      </c>
      <c r="F188" s="46" t="inlineStr">
        <is>
          <t xml:space="preserve">B1234EXOTIC26</t>
        </is>
      </c>
      <c r="G188" s="33">
        <f>IF($A188="","",IF($C188="","",YEAR($C188)))</f>
      </c>
      <c r="H188" s="49">
        <v>2000</v>
      </c>
      <c r="I188" s="46" t="inlineStr">
        <is>
          <t xml:space="preserve">Mercedes-Benz</t>
        </is>
      </c>
      <c r="J188" s="46" t="inlineStr">
        <is>
          <t xml:space="preserve">AMG GT</t>
        </is>
      </c>
      <c r="K188" s="46" t="inlineStr">
        <is>
          <t xml:space="preserve">AWV4N7RP7JT64HKP8</t>
        </is>
      </c>
      <c r="L188" s="48" t="inlineStr">
        <is>
          <t xml:space="preserve">02 - Sports / GT</t>
        </is>
      </c>
      <c r="M188" s="50">
        <v>1015000</v>
      </c>
      <c r="N188" s="48" t="inlineStr">
        <is>
          <t xml:space="preserve">Personal</t>
        </is>
      </c>
      <c r="O188" s="46" t="inlineStr">
        <is>
          <t xml:space="preserve">Personal - regular use</t>
        </is>
      </c>
      <c r="P188" s="46" t="inlineStr">
        <is>
          <t xml:space="preserve">2,500 - 5,000</t>
        </is>
      </c>
      <c r="Q188" s="46" t="inlineStr">
        <is>
          <t xml:space="preserve">Massachusetts</t>
        </is>
      </c>
      <c r="R188" s="46" t="inlineStr">
        <is>
          <t xml:space="preserve">02108</t>
        </is>
      </c>
      <c r="S188" s="48" t="inlineStr">
        <is>
          <t xml:space="preserve">Tier 3 - Coastal wind (25-100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11812.78</v>
      </c>
      <c r="AC188" s="51">
        <v>0</v>
      </c>
      <c r="AD188" s="38">
        <f>IF(ISNUMBER($AB188),$AB188*(1+N($AC188)),"")</f>
      </c>
      <c r="AE188" s="50">
        <v>350</v>
      </c>
      <c r="AF188" s="50">
        <v>250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CANON-202601-003302</t>
        </is>
      </c>
      <c r="B189" s="30" t="inlineStr">
        <is>
          <t xml:space="preserve">Ottilie Delacroix</t>
        </is>
      </c>
      <c r="C189" s="31">
        <v>46051</v>
      </c>
      <c r="D189" s="32" t="inlineStr">
        <is>
          <t xml:space="preserve">Bound - within authority</t>
        </is>
      </c>
      <c r="E189" s="32" t="inlineStr">
        <is>
          <t xml:space="preserve">New business</t>
        </is>
      </c>
      <c r="F189" s="30" t="inlineStr">
        <is>
          <t xml:space="preserve">B1234EXOTIC26</t>
        </is>
      </c>
      <c r="G189" s="33">
        <f>IF($A189="","",IF($C189="","",YEAR($C189)))</f>
      </c>
      <c r="H189" s="34">
        <v>2006</v>
      </c>
      <c r="I189" s="30" t="inlineStr">
        <is>
          <t xml:space="preserve">Bugatti</t>
        </is>
      </c>
      <c r="J189" s="30" t="inlineStr">
        <is>
          <t xml:space="preserve">Type 57</t>
        </is>
      </c>
      <c r="K189" s="30" t="inlineStr">
        <is>
          <t xml:space="preserve">D0M518ZRZGSSVEGY9</t>
        </is>
      </c>
      <c r="L189" s="32" t="inlineStr">
        <is>
          <t xml:space="preserve">09 - Youngtimer / Collectible (2000-2010)</t>
        </is>
      </c>
      <c r="M189" s="35">
        <v>450000</v>
      </c>
      <c r="N189" s="32" t="inlineStr">
        <is>
          <t xml:space="preserve">Personal</t>
        </is>
      </c>
      <c r="O189" s="30" t="inlineStr">
        <is>
          <t xml:space="preserve">Personal - regular use</t>
        </is>
      </c>
      <c r="P189" s="30" t="inlineStr">
        <is>
          <t xml:space="preserve">Under 1,000</t>
        </is>
      </c>
      <c r="Q189" s="30" t="inlineStr">
        <is>
          <t xml:space="preserve">Michigan</t>
        </is>
      </c>
      <c r="R189" s="30" t="inlineStr">
        <is>
          <t xml:space="preserve">48226</t>
        </is>
      </c>
      <c r="S189" s="32" t="inlineStr">
        <is>
          <t xml:space="preserve">Severe convective - hail / tornado (moderate)</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4959.15</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CANON-202601-003303</t>
        </is>
      </c>
      <c r="B190" s="46" t="inlineStr">
        <is>
          <t xml:space="preserve">Sunniva Blackwood</t>
        </is>
      </c>
      <c r="C190" s="47">
        <v>46047</v>
      </c>
      <c r="D190" s="48" t="inlineStr">
        <is>
          <t xml:space="preserve">Bound - within authority</t>
        </is>
      </c>
      <c r="E190" s="48" t="inlineStr">
        <is>
          <t xml:space="preserve">New business</t>
        </is>
      </c>
      <c r="F190" s="46" t="inlineStr">
        <is>
          <t xml:space="preserve">B1234EXOTIC26</t>
        </is>
      </c>
      <c r="G190" s="33">
        <f>IF($A190="","",IF($C190="","",YEAR($C190)))</f>
      </c>
      <c r="H190" s="49">
        <v>2014</v>
      </c>
      <c r="I190" s="46" t="inlineStr">
        <is>
          <t xml:space="preserve">Mercedes-Benz</t>
        </is>
      </c>
      <c r="J190" s="46" t="inlineStr">
        <is>
          <t xml:space="preserve">AMG GT</t>
        </is>
      </c>
      <c r="K190" s="46" t="inlineStr">
        <is>
          <t xml:space="preserve">9C51L3TAVK8228FTZ</t>
        </is>
      </c>
      <c r="L190" s="48" t="inlineStr">
        <is>
          <t xml:space="preserve">02 - Sports / GT</t>
        </is>
      </c>
      <c r="M190" s="50">
        <v>510000</v>
      </c>
      <c r="N190" s="48" t="inlineStr">
        <is>
          <t xml:space="preserve">Personal</t>
        </is>
      </c>
      <c r="O190" s="46" t="inlineStr">
        <is>
          <t xml:space="preserve">Personal - regular use</t>
        </is>
      </c>
      <c r="P190" s="46" t="inlineStr">
        <is>
          <t xml:space="preserve">Under 1,000</t>
        </is>
      </c>
      <c r="Q190" s="46" t="inlineStr">
        <is>
          <t xml:space="preserve">South Dakota</t>
        </is>
      </c>
      <c r="R190" s="46" t="inlineStr">
        <is>
          <t xml:space="preserve">57501</t>
        </is>
      </c>
      <c r="S190" s="48" t="inlineStr">
        <is>
          <t xml:space="preserve">Severe convective - hail alley (high)</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6229.03</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CANON-202601-003304</t>
        </is>
      </c>
      <c r="B191" s="30" t="inlineStr">
        <is>
          <t xml:space="preserve">Ingrid Underwood</t>
        </is>
      </c>
      <c r="C191" s="31">
        <v>46028</v>
      </c>
      <c r="D191" s="32" t="inlineStr">
        <is>
          <t xml:space="preserve">Bound - within authority</t>
        </is>
      </c>
      <c r="E191" s="32" t="inlineStr">
        <is>
          <t xml:space="preserve">New business</t>
        </is>
      </c>
      <c r="F191" s="30" t="inlineStr">
        <is>
          <t xml:space="preserve">B1234EXOTIC26</t>
        </is>
      </c>
      <c r="G191" s="33">
        <f>IF($A191="","",IF($C191="","",YEAR($C191)))</f>
      </c>
      <c r="H191" s="34">
        <v>2023</v>
      </c>
      <c r="I191" s="30" t="inlineStr">
        <is>
          <t xml:space="preserve">Aston Martin</t>
        </is>
      </c>
      <c r="J191" s="30" t="inlineStr">
        <is>
          <t xml:space="preserve">DB5</t>
        </is>
      </c>
      <c r="K191" s="30" t="inlineStr">
        <is>
          <t xml:space="preserve">5N6GAK56TCK70H2E2</t>
        </is>
      </c>
      <c r="L191" s="32" t="inlineStr">
        <is>
          <t xml:space="preserve">02 - Sports / GT</t>
        </is>
      </c>
      <c r="M191" s="35">
        <v>625000</v>
      </c>
      <c r="N191" s="32" t="inlineStr">
        <is>
          <t xml:space="preserve">Personal</t>
        </is>
      </c>
      <c r="O191" s="30" t="inlineStr">
        <is>
          <t xml:space="preserve">Personal - regular use</t>
        </is>
      </c>
      <c r="P191" s="30" t="inlineStr">
        <is>
          <t xml:space="preserve">Under 1,000</t>
        </is>
      </c>
      <c r="Q191" s="30" t="inlineStr">
        <is>
          <t xml:space="preserve">Washington</t>
        </is>
      </c>
      <c r="R191" s="30" t="inlineStr">
        <is>
          <t xml:space="preserve">98101</t>
        </is>
      </c>
      <c r="S191" s="32" t="inlineStr">
        <is>
          <t xml:space="preserve">Earthquake - high (CA, Cascadia, New Madrid)</t>
        </is>
      </c>
      <c r="T191" s="36">
        <f>IF($A191="","",IF($S191="","",IFERROR(INDEX('[1]natural catastrophe'!$D$6:$D$17,MATCH($S191,'[1]natural catastrophe'!$B$6:$B$17,0)),"?")))</f>
      </c>
      <c r="U191" s="30" t="inlineStr">
        <is>
          <t xml:space="preserve">$5,000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4367.5</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CANON-202601-003305</t>
        </is>
      </c>
      <c r="B192" s="46" t="inlineStr">
        <is>
          <t xml:space="preserve">Noor Harrington</t>
        </is>
      </c>
      <c r="C192" s="47">
        <v>46030</v>
      </c>
      <c r="D192" s="48" t="inlineStr">
        <is>
          <t xml:space="preserve">Bound - within authority</t>
        </is>
      </c>
      <c r="E192" s="48" t="inlineStr">
        <is>
          <t xml:space="preserve">New business</t>
        </is>
      </c>
      <c r="F192" s="46" t="inlineStr">
        <is>
          <t xml:space="preserve">B1234EXOTIC26</t>
        </is>
      </c>
      <c r="G192" s="33">
        <f>IF($A192="","",IF($C192="","",YEAR($C192)))</f>
      </c>
      <c r="H192" s="49">
        <v>1957</v>
      </c>
      <c r="I192" s="46" t="inlineStr">
        <is>
          <t xml:space="preserve">Porsche</t>
        </is>
      </c>
      <c r="J192" s="46" t="inlineStr">
        <is>
          <t xml:space="preserve">911 Turbo S</t>
        </is>
      </c>
      <c r="K192" s="46" t="inlineStr">
        <is>
          <t xml:space="preserve">FMU07HTPHX7T8UETW</t>
        </is>
      </c>
      <c r="L192" s="48" t="inlineStr">
        <is>
          <t xml:space="preserve">02 - Sports / GT</t>
        </is>
      </c>
      <c r="M192" s="50">
        <v>525000</v>
      </c>
      <c r="N192" s="48" t="inlineStr">
        <is>
          <t xml:space="preserve">Personal</t>
        </is>
      </c>
      <c r="O192" s="46" t="inlineStr">
        <is>
          <t xml:space="preserve">Personal - regular use</t>
        </is>
      </c>
      <c r="P192" s="46" t="inlineStr">
        <is>
          <t xml:space="preserve">1,000 - 2,500</t>
        </is>
      </c>
      <c r="Q192" s="46" t="inlineStr">
        <is>
          <t xml:space="preserve">Maine</t>
        </is>
      </c>
      <c r="R192" s="46" t="inlineStr">
        <is>
          <t xml:space="preserve">04101</t>
        </is>
      </c>
      <c r="S192" s="48" t="inlineStr">
        <is>
          <t xml:space="preserve">Tier 3 - Coastal wind (25-100 miles)</t>
        </is>
      </c>
      <c r="T192" s="36">
        <f>IF($A192="","",IF($S192="","",IFERROR(INDEX('[1]natural catastrophe'!$D$6:$D$17,MATCH($S192,'[1]natural catastrophe'!$B$6:$B$17,0)),"?")))</f>
      </c>
      <c r="U192" s="46" t="inlineStr">
        <is>
          <t xml:space="preserve">2% of agreed value, minimum $10,000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6238.92</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CANON-202601-003306</t>
        </is>
      </c>
      <c r="B193" s="30" t="inlineStr">
        <is>
          <t xml:space="preserve">Lorenzo Nakashima</t>
        </is>
      </c>
      <c r="C193" s="31">
        <v>46050</v>
      </c>
      <c r="D193" s="32" t="inlineStr">
        <is>
          <t xml:space="preserve">Bound - within authority</t>
        </is>
      </c>
      <c r="E193" s="32" t="inlineStr">
        <is>
          <t xml:space="preserve">New business</t>
        </is>
      </c>
      <c r="F193" s="30" t="inlineStr">
        <is>
          <t xml:space="preserve">B1234EXOTIC26</t>
        </is>
      </c>
      <c r="G193" s="33">
        <f>IF($A193="","",IF($C193="","",YEAR($C193)))</f>
      </c>
      <c r="H193" s="34">
        <v>1996</v>
      </c>
      <c r="I193" s="30" t="inlineStr">
        <is>
          <t xml:space="preserve">Aston Martin</t>
        </is>
      </c>
      <c r="J193" s="30" t="inlineStr">
        <is>
          <t xml:space="preserve">DB12</t>
        </is>
      </c>
      <c r="K193" s="30" t="inlineStr">
        <is>
          <t xml:space="preserve">K2LCKVE6YUZW8XE11</t>
        </is>
      </c>
      <c r="L193" s="32" t="inlineStr">
        <is>
          <t xml:space="preserve">02 - Sports / GT</t>
        </is>
      </c>
      <c r="M193" s="35">
        <v>1900000</v>
      </c>
      <c r="N193" s="32" t="inlineStr">
        <is>
          <t xml:space="preserve">Personal</t>
        </is>
      </c>
      <c r="O193" s="30" t="inlineStr">
        <is>
          <t xml:space="preserve">Personal - regular use</t>
        </is>
      </c>
      <c r="P193" s="30" t="inlineStr">
        <is>
          <t xml:space="preserve">2,500 - 5,000</t>
        </is>
      </c>
      <c r="Q193" s="30" t="inlineStr">
        <is>
          <t xml:space="preserve">Virginia</t>
        </is>
      </c>
      <c r="R193" s="30" t="inlineStr">
        <is>
          <t xml:space="preserve">23219</t>
        </is>
      </c>
      <c r="S193" s="32" t="inlineStr">
        <is>
          <t xml:space="preserve">Tier 3 - Coastal wind (25-100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19282.18</v>
      </c>
      <c r="AC193" s="37">
        <v>0</v>
      </c>
      <c r="AD193" s="38">
        <f>IF(ISNUMBER($AB193),$AB193*(1+N($AC193)),"")</f>
      </c>
      <c r="AE193" s="35">
        <v>350</v>
      </c>
      <c r="AF193" s="35">
        <v>250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CANON-202601-003307</t>
        </is>
      </c>
      <c r="B194" s="46" t="inlineStr">
        <is>
          <t xml:space="preserve">Aurelio Ashcombe</t>
        </is>
      </c>
      <c r="C194" s="47">
        <v>46035</v>
      </c>
      <c r="D194" s="48" t="inlineStr">
        <is>
          <t xml:space="preserve">Bound - within authority</t>
        </is>
      </c>
      <c r="E194" s="48" t="inlineStr">
        <is>
          <t xml:space="preserve">New business</t>
        </is>
      </c>
      <c r="F194" s="46" t="inlineStr">
        <is>
          <t xml:space="preserve">B1234EXOTIC26</t>
        </is>
      </c>
      <c r="G194" s="33">
        <f>IF($A194="","",IF($C194="","",YEAR($C194)))</f>
      </c>
      <c r="H194" s="49">
        <v>2000</v>
      </c>
      <c r="I194" s="46" t="inlineStr">
        <is>
          <t xml:space="preserve">Ferrari</t>
        </is>
      </c>
      <c r="J194" s="46" t="inlineStr">
        <is>
          <t xml:space="preserve">275 GTB/4</t>
        </is>
      </c>
      <c r="K194" s="46" t="inlineStr">
        <is>
          <t xml:space="preserve">DP5EJE7XWJ2P0B27J</t>
        </is>
      </c>
      <c r="L194" s="48" t="inlineStr">
        <is>
          <t xml:space="preserve">09 - Youngtimer / Collectible (2000-2010)</t>
        </is>
      </c>
      <c r="M194" s="50">
        <v>375000</v>
      </c>
      <c r="N194" s="48" t="inlineStr">
        <is>
          <t xml:space="preserve">Personal</t>
        </is>
      </c>
      <c r="O194" s="46" t="inlineStr">
        <is>
          <t xml:space="preserve">Personal - regular use</t>
        </is>
      </c>
      <c r="P194" s="46" t="inlineStr">
        <is>
          <t xml:space="preserve">Under 1,000</t>
        </is>
      </c>
      <c r="Q194" s="46" t="inlineStr">
        <is>
          <t xml:space="preserve">Montana</t>
        </is>
      </c>
      <c r="R194" s="46" t="inlineStr">
        <is>
          <t xml:space="preserve">59601</t>
        </is>
      </c>
      <c r="S194" s="48" t="inlineStr">
        <is>
          <t xml:space="preserve">Wildfire - WUI high hazard</t>
        </is>
      </c>
      <c r="T194" s="36">
        <f>IF($A194="","",IF($S194="","",IFERROR(INDEX('[1]natural catastrophe'!$D$6:$D$17,MATCH($S194,'[1]natural catastrophe'!$B$6:$B$17,0)),"?")))</f>
      </c>
      <c r="U194" s="46" t="inlineStr">
        <is>
          <t xml:space="preserve">$5,000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2833.8</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CANON-202601-003308</t>
        </is>
      </c>
      <c r="B195" s="30" t="inlineStr">
        <is>
          <t xml:space="preserve">Saoirse Okonkwo</t>
        </is>
      </c>
      <c r="C195" s="31">
        <v>46041</v>
      </c>
      <c r="D195" s="32" t="inlineStr">
        <is>
          <t xml:space="preserve">Bound - within authority</t>
        </is>
      </c>
      <c r="E195" s="32" t="inlineStr">
        <is>
          <t xml:space="preserve">New business</t>
        </is>
      </c>
      <c r="F195" s="30" t="inlineStr">
        <is>
          <t xml:space="preserve">B1234EXOTIC26</t>
        </is>
      </c>
      <c r="G195" s="33">
        <f>IF($A195="","",IF($C195="","",YEAR($C195)))</f>
      </c>
      <c r="H195" s="34">
        <v>1980</v>
      </c>
      <c r="I195" s="30" t="inlineStr">
        <is>
          <t xml:space="preserve">Lamborghini</t>
        </is>
      </c>
      <c r="J195" s="30" t="inlineStr">
        <is>
          <t xml:space="preserve">Huracan EVO</t>
        </is>
      </c>
      <c r="K195" s="30" t="inlineStr">
        <is>
          <t xml:space="preserve">NGT335YZNTLXX0UYL</t>
        </is>
      </c>
      <c r="L195" s="32" t="inlineStr">
        <is>
          <t xml:space="preserve">03 - Supercar</t>
        </is>
      </c>
      <c r="M195" s="35">
        <v>1245000</v>
      </c>
      <c r="N195" s="32" t="inlineStr">
        <is>
          <t xml:space="preserve">Personal</t>
        </is>
      </c>
      <c r="O195" s="30" t="inlineStr">
        <is>
          <t xml:space="preserve">Personal - regular use</t>
        </is>
      </c>
      <c r="P195" s="30" t="inlineStr">
        <is>
          <t xml:space="preserve">2,500 - 5,000</t>
        </is>
      </c>
      <c r="Q195" s="30" t="inlineStr">
        <is>
          <t xml:space="preserve">North Dakota</t>
        </is>
      </c>
      <c r="R195" s="30" t="inlineStr">
        <is>
          <t xml:space="preserve">58501</t>
        </is>
      </c>
      <c r="S195" s="32" t="inlineStr">
        <is>
          <t xml:space="preserve">Severe convective - hail alley (high)</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17197.8</v>
      </c>
      <c r="AC195" s="37">
        <v>0</v>
      </c>
      <c r="AD195" s="38">
        <f>IF(ISNUMBER($AB195),$AB195*(1+N($AC195)),"")</f>
      </c>
      <c r="AE195" s="35">
        <v>350</v>
      </c>
      <c r="AF195" s="35">
        <v>250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CANON-202601-003310</t>
        </is>
      </c>
      <c r="B196" s="46" t="inlineStr">
        <is>
          <t xml:space="preserve">Emiliano Rourke</t>
        </is>
      </c>
      <c r="C196" s="47">
        <v>46047</v>
      </c>
      <c r="D196" s="48" t="inlineStr">
        <is>
          <t xml:space="preserve">Bound - within authority</t>
        </is>
      </c>
      <c r="E196" s="48" t="inlineStr">
        <is>
          <t xml:space="preserve">New business</t>
        </is>
      </c>
      <c r="F196" s="46" t="inlineStr">
        <is>
          <t xml:space="preserve">B1234EXOTIC26</t>
        </is>
      </c>
      <c r="G196" s="33">
        <f>IF($A196="","",IF($C196="","",YEAR($C196)))</f>
      </c>
      <c r="H196" s="49">
        <v>1974</v>
      </c>
      <c r="I196" s="46" t="inlineStr">
        <is>
          <t xml:space="preserve">Aston Martin</t>
        </is>
      </c>
      <c r="J196" s="46" t="inlineStr">
        <is>
          <t xml:space="preserve">DB5</t>
        </is>
      </c>
      <c r="K196" s="46" t="inlineStr">
        <is>
          <t xml:space="preserve">M5ZCR7JU1MAU7WUMG</t>
        </is>
      </c>
      <c r="L196" s="48" t="inlineStr">
        <is>
          <t xml:space="preserve">08 - Modern Classic (1973-1999)</t>
        </is>
      </c>
      <c r="M196" s="50">
        <v>280000</v>
      </c>
      <c r="N196" s="48" t="inlineStr">
        <is>
          <t xml:space="preserve">Personal</t>
        </is>
      </c>
      <c r="O196" s="46" t="inlineStr">
        <is>
          <t xml:space="preserve">Personal - regular use</t>
        </is>
      </c>
      <c r="P196" s="46" t="inlineStr">
        <is>
          <t xml:space="preserve">Under 1,000</t>
        </is>
      </c>
      <c r="Q196" s="46" t="inlineStr">
        <is>
          <t xml:space="preserve">Ohio</t>
        </is>
      </c>
      <c r="R196" s="46" t="inlineStr">
        <is>
          <t xml:space="preserve">43215</t>
        </is>
      </c>
      <c r="S196" s="48" t="inlineStr">
        <is>
          <t xml:space="preserve">Severe convective - hail / tornado (moderate)</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3162.48</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CANON-202601-003311</t>
        </is>
      </c>
      <c r="B197" s="30" t="inlineStr">
        <is>
          <t xml:space="preserve">Everett Delacroix</t>
        </is>
      </c>
      <c r="C197" s="31">
        <v>46048</v>
      </c>
      <c r="D197" s="32" t="inlineStr">
        <is>
          <t xml:space="preserve">Bound - within authority</t>
        </is>
      </c>
      <c r="E197" s="32" t="inlineStr">
        <is>
          <t xml:space="preserve">New business</t>
        </is>
      </c>
      <c r="F197" s="30" t="inlineStr">
        <is>
          <t xml:space="preserve">B1234EXOTIC26</t>
        </is>
      </c>
      <c r="G197" s="33">
        <f>IF($A197="","",IF($C197="","",YEAR($C197)))</f>
      </c>
      <c r="H197" s="34">
        <v>2023</v>
      </c>
      <c r="I197" s="30" t="inlineStr">
        <is>
          <t xml:space="preserve">Aston Martin</t>
        </is>
      </c>
      <c r="J197" s="30" t="inlineStr">
        <is>
          <t xml:space="preserve">DB5</t>
        </is>
      </c>
      <c r="K197" s="30" t="inlineStr">
        <is>
          <t xml:space="preserve">FGJPYNUNWG38Y3UZF</t>
        </is>
      </c>
      <c r="L197" s="32" t="inlineStr">
        <is>
          <t xml:space="preserve">02 - Sports / GT</t>
        </is>
      </c>
      <c r="M197" s="35">
        <v>295000</v>
      </c>
      <c r="N197" s="32" t="inlineStr">
        <is>
          <t xml:space="preserve">Personal</t>
        </is>
      </c>
      <c r="O197" s="30" t="inlineStr">
        <is>
          <t xml:space="preserve">Personal - regular use</t>
        </is>
      </c>
      <c r="P197" s="30" t="inlineStr">
        <is>
          <t xml:space="preserve">Under 1,000</t>
        </is>
      </c>
      <c r="Q197" s="30" t="inlineStr">
        <is>
          <t xml:space="preserve">California</t>
        </is>
      </c>
      <c r="R197" s="30" t="inlineStr">
        <is>
          <t xml:space="preserve">90012</t>
        </is>
      </c>
      <c r="S197" s="32" t="inlineStr">
        <is>
          <t xml:space="preserve">Earthquake - high (CA, Cascadia, New Madrid)</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3236.01</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CANON-202601-003312</t>
        </is>
      </c>
      <c r="B198" s="46" t="inlineStr">
        <is>
          <t xml:space="preserve">Everett Thistlewood</t>
        </is>
      </c>
      <c r="C198" s="47">
        <v>46048</v>
      </c>
      <c r="D198" s="48" t="inlineStr">
        <is>
          <t xml:space="preserve">Bound - within authority</t>
        </is>
      </c>
      <c r="E198" s="48" t="inlineStr">
        <is>
          <t xml:space="preserve">New business</t>
        </is>
      </c>
      <c r="F198" s="46" t="inlineStr">
        <is>
          <t xml:space="preserve">B1234EXOTIC26</t>
        </is>
      </c>
      <c r="G198" s="33">
        <f>IF($A198="","",IF($C198="","",YEAR($C198)))</f>
      </c>
      <c r="H198" s="49">
        <v>2008</v>
      </c>
      <c r="I198" s="46" t="inlineStr">
        <is>
          <t xml:space="preserve">Aston Martin</t>
        </is>
      </c>
      <c r="J198" s="46" t="inlineStr">
        <is>
          <t xml:space="preserve">DB12</t>
        </is>
      </c>
      <c r="K198" s="46" t="inlineStr">
        <is>
          <t xml:space="preserve">D7R0NSMVU84YNXB3G</t>
        </is>
      </c>
      <c r="L198" s="48" t="inlineStr">
        <is>
          <t xml:space="preserve">02 - Sports / GT</t>
        </is>
      </c>
      <c r="M198" s="50">
        <v>285000</v>
      </c>
      <c r="N198" s="48" t="inlineStr">
        <is>
          <t xml:space="preserve">Personal</t>
        </is>
      </c>
      <c r="O198" s="46" t="inlineStr">
        <is>
          <t xml:space="preserve">Personal - regular use</t>
        </is>
      </c>
      <c r="P198" s="46" t="inlineStr">
        <is>
          <t xml:space="preserve">2,500 - 5,000</t>
        </is>
      </c>
      <c r="Q198" s="46" t="inlineStr">
        <is>
          <t xml:space="preserve">Maine</t>
        </is>
      </c>
      <c r="R198" s="46" t="inlineStr">
        <is>
          <t xml:space="preserve">04101</t>
        </is>
      </c>
      <c r="S198" s="48" t="inlineStr">
        <is>
          <t xml:space="preserve">Tier 3 - Coastal wind (25-100 miles)</t>
        </is>
      </c>
      <c r="T198" s="36">
        <f>IF($A198="","",IF($S198="","",IFERROR(INDEX('[1]natural catastrophe'!$D$6:$D$17,MATCH($S198,'[1]natural catastrophe'!$B$6:$B$17,0)),"?")))</f>
      </c>
      <c r="U198" s="46" t="inlineStr">
        <is>
          <t xml:space="preserve">2% of agreed value, minimum $10,000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3907.9</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CANON-202601-003313</t>
        </is>
      </c>
      <c r="B199" s="30" t="inlineStr">
        <is>
          <t xml:space="preserve">Leopold Delacroix</t>
        </is>
      </c>
      <c r="C199" s="31">
        <v>46043</v>
      </c>
      <c r="D199" s="32" t="inlineStr">
        <is>
          <t xml:space="preserve">Bound - within authority</t>
        </is>
      </c>
      <c r="E199" s="32" t="inlineStr">
        <is>
          <t xml:space="preserve">New business</t>
        </is>
      </c>
      <c r="F199" s="30" t="inlineStr">
        <is>
          <t xml:space="preserve">B1234EXOTIC26</t>
        </is>
      </c>
      <c r="G199" s="33">
        <f>IF($A199="","",IF($C199="","",YEAR($C199)))</f>
      </c>
      <c r="H199" s="34">
        <v>1974</v>
      </c>
      <c r="I199" s="30" t="inlineStr">
        <is>
          <t xml:space="preserve">Ferrari</t>
        </is>
      </c>
      <c r="J199" s="30" t="inlineStr">
        <is>
          <t xml:space="preserve">SF90 Stradale</t>
        </is>
      </c>
      <c r="K199" s="30" t="inlineStr">
        <is>
          <t xml:space="preserve">AXC0LKEP9FSZXW5FH</t>
        </is>
      </c>
      <c r="L199" s="32" t="inlineStr">
        <is>
          <t xml:space="preserve">03 - Supercar</t>
        </is>
      </c>
      <c r="M199" s="35">
        <v>750000</v>
      </c>
      <c r="N199" s="32" t="inlineStr">
        <is>
          <t xml:space="preserve">Personal</t>
        </is>
      </c>
      <c r="O199" s="30" t="inlineStr">
        <is>
          <t xml:space="preserve">Personal - regular use</t>
        </is>
      </c>
      <c r="P199" s="30" t="inlineStr">
        <is>
          <t xml:space="preserve">2,500 - 5,000</t>
        </is>
      </c>
      <c r="Q199" s="30" t="inlineStr">
        <is>
          <t xml:space="preserve">Ohio</t>
        </is>
      </c>
      <c r="R199" s="30" t="inlineStr">
        <is>
          <t xml:space="preserve">43215</t>
        </is>
      </c>
      <c r="S199" s="32" t="inlineStr">
        <is>
          <t xml:space="preserve">Severe convective - hail / tornado (moderate)</t>
        </is>
      </c>
      <c r="T199" s="36">
        <f>IF($A199="","",IF($S199="","",IFERROR(INDEX('[1]natural catastrophe'!$D$6:$D$17,MATCH($S199,'[1]natural catastrophe'!$B$6:$B$17,0)),"?")))</f>
      </c>
      <c r="U199" s="30" t="inlineStr">
        <is>
          <t xml:space="preserve">$5,000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16765.37</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CANON-202601-003314</t>
        </is>
      </c>
      <c r="B200" s="46" t="inlineStr">
        <is>
          <t xml:space="preserve">Sunniva Ashcombe</t>
        </is>
      </c>
      <c r="C200" s="47">
        <v>46041</v>
      </c>
      <c r="D200" s="48" t="inlineStr">
        <is>
          <t xml:space="preserve">Bound - within authority</t>
        </is>
      </c>
      <c r="E200" s="48" t="inlineStr">
        <is>
          <t xml:space="preserve">New business</t>
        </is>
      </c>
      <c r="F200" s="46" t="inlineStr">
        <is>
          <t xml:space="preserve">B1234EXOTIC26</t>
        </is>
      </c>
      <c r="G200" s="33">
        <f>IF($A200="","",IF($C200="","",YEAR($C200)))</f>
      </c>
      <c r="H200" s="49">
        <v>1969</v>
      </c>
      <c r="I200" s="46" t="inlineStr">
        <is>
          <t xml:space="preserve">Bentley</t>
        </is>
      </c>
      <c r="J200" s="46" t="inlineStr">
        <is>
          <t xml:space="preserve">Continental GT</t>
        </is>
      </c>
      <c r="K200" s="46" t="inlineStr">
        <is>
          <t xml:space="preserve">9JE7AH5YM5VJY9CV3</t>
        </is>
      </c>
      <c r="L200" s="48" t="inlineStr">
        <is>
          <t xml:space="preserve">02 - Sports / GT</t>
        </is>
      </c>
      <c r="M200" s="50">
        <v>865000</v>
      </c>
      <c r="N200" s="48" t="inlineStr">
        <is>
          <t xml:space="preserve">Personal</t>
        </is>
      </c>
      <c r="O200" s="46" t="inlineStr">
        <is>
          <t xml:space="preserve">Personal - regular use</t>
        </is>
      </c>
      <c r="P200" s="46" t="inlineStr">
        <is>
          <t xml:space="preserve">1,000 - 2,500</t>
        </is>
      </c>
      <c r="Q200" s="46" t="inlineStr">
        <is>
          <t xml:space="preserve">Arizona</t>
        </is>
      </c>
      <c r="R200" s="46" t="inlineStr">
        <is>
          <t xml:space="preserve">85001</t>
        </is>
      </c>
      <c r="S200" s="48" t="inlineStr">
        <is>
          <t xml:space="preserve">Wildfire - WUI high hazard</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9613.12</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CANON-202601-003315</t>
        </is>
      </c>
      <c r="B201" s="30" t="inlineStr">
        <is>
          <t xml:space="preserve">Saoirse Larsson</t>
        </is>
      </c>
      <c r="C201" s="31">
        <v>46029</v>
      </c>
      <c r="D201" s="32" t="inlineStr">
        <is>
          <t xml:space="preserve">Bound - within authority</t>
        </is>
      </c>
      <c r="E201" s="32" t="inlineStr">
        <is>
          <t xml:space="preserve">New business</t>
        </is>
      </c>
      <c r="F201" s="30" t="inlineStr">
        <is>
          <t xml:space="preserve">B1234EXOTIC26</t>
        </is>
      </c>
      <c r="G201" s="33">
        <f>IF($A201="","",IF($C201="","",YEAR($C201)))</f>
      </c>
      <c r="H201" s="34">
        <v>2022</v>
      </c>
      <c r="I201" s="30" t="inlineStr">
        <is>
          <t xml:space="preserve">Ferrari</t>
        </is>
      </c>
      <c r="J201" s="30" t="inlineStr">
        <is>
          <t xml:space="preserve">275 GTB/4</t>
        </is>
      </c>
      <c r="K201" s="30" t="inlineStr">
        <is>
          <t xml:space="preserve">18MNWVFKNFJCX4HBV</t>
        </is>
      </c>
      <c r="L201" s="32" t="inlineStr">
        <is>
          <t xml:space="preserve">02 - Sports / GT</t>
        </is>
      </c>
      <c r="M201" s="35">
        <v>310000</v>
      </c>
      <c r="N201" s="32" t="inlineStr">
        <is>
          <t xml:space="preserve">Personal</t>
        </is>
      </c>
      <c r="O201" s="30" t="inlineStr">
        <is>
          <t xml:space="preserve">Personal - regular use</t>
        </is>
      </c>
      <c r="P201" s="30" t="inlineStr">
        <is>
          <t xml:space="preserve">2,500 - 5,000</t>
        </is>
      </c>
      <c r="Q201" s="30" t="inlineStr">
        <is>
          <t xml:space="preserve">Massachusetts</t>
        </is>
      </c>
      <c r="R201" s="30" t="inlineStr">
        <is>
          <t xml:space="preserve">02108</t>
        </is>
      </c>
      <c r="S201" s="32" t="inlineStr">
        <is>
          <t xml:space="preserve">Tier 3 - Coastal wind (25-100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3148.66</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CANON-202601-003316</t>
        </is>
      </c>
      <c r="B202" s="46" t="inlineStr">
        <is>
          <t xml:space="preserve">Horace Fairweather</t>
        </is>
      </c>
      <c r="C202" s="47">
        <v>46029</v>
      </c>
      <c r="D202" s="48" t="inlineStr">
        <is>
          <t xml:space="preserve">Bound - within authority</t>
        </is>
      </c>
      <c r="E202" s="48" t="inlineStr">
        <is>
          <t xml:space="preserve">New business</t>
        </is>
      </c>
      <c r="F202" s="46" t="inlineStr">
        <is>
          <t xml:space="preserve">B1234EXOTIC26</t>
        </is>
      </c>
      <c r="G202" s="33">
        <f>IF($A202="","",IF($C202="","",YEAR($C202)))</f>
      </c>
      <c r="H202" s="49">
        <v>1969</v>
      </c>
      <c r="I202" s="46" t="inlineStr">
        <is>
          <t xml:space="preserve">McLaren</t>
        </is>
      </c>
      <c r="J202" s="46" t="inlineStr">
        <is>
          <t xml:space="preserve">750S</t>
        </is>
      </c>
      <c r="K202" s="46" t="inlineStr">
        <is>
          <t xml:space="preserve">8RCZUH7PRZ018LYY4</t>
        </is>
      </c>
      <c r="L202" s="48" t="inlineStr">
        <is>
          <t xml:space="preserve">03 - Supercar</t>
        </is>
      </c>
      <c r="M202" s="50">
        <v>1130000</v>
      </c>
      <c r="N202" s="48" t="inlineStr">
        <is>
          <t xml:space="preserve">Personal</t>
        </is>
      </c>
      <c r="O202" s="46" t="inlineStr">
        <is>
          <t xml:space="preserve">Personal - regular use</t>
        </is>
      </c>
      <c r="P202" s="46" t="inlineStr">
        <is>
          <t xml:space="preserve">2,500 - 5,000</t>
        </is>
      </c>
      <c r="Q202" s="46" t="inlineStr">
        <is>
          <t xml:space="preserve">Mississippi</t>
        </is>
      </c>
      <c r="R202" s="46" t="inlineStr">
        <is>
          <t xml:space="preserve">39201</t>
        </is>
      </c>
      <c r="S202" s="48" t="inlineStr">
        <is>
          <t xml:space="preserve">Tier 2 - Coastal wind (1-25 miles)</t>
        </is>
      </c>
      <c r="T202" s="36">
        <f>IF($A202="","",IF($S202="","",IFERROR(INDEX('[1]natural catastrophe'!$D$6:$D$17,MATCH($S202,'[1]natural catastrophe'!$B$6:$B$17,0)),"?")))</f>
      </c>
      <c r="U202" s="46" t="inlineStr">
        <is>
          <t xml:space="preserve">2% of agreed value, minimum $10,000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18210.79</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CANON-202601-003317</t>
        </is>
      </c>
      <c r="B203" s="30" t="inlineStr">
        <is>
          <t xml:space="preserve">Noor Kingsford</t>
        </is>
      </c>
      <c r="C203" s="31">
        <v>46025</v>
      </c>
      <c r="D203" s="32" t="inlineStr">
        <is>
          <t xml:space="preserve">Bound - within authority</t>
        </is>
      </c>
      <c r="E203" s="32" t="inlineStr">
        <is>
          <t xml:space="preserve">New business</t>
        </is>
      </c>
      <c r="F203" s="30" t="inlineStr">
        <is>
          <t xml:space="preserve">B1234EXOTIC26</t>
        </is>
      </c>
      <c r="G203" s="33">
        <f>IF($A203="","",IF($C203="","",YEAR($C203)))</f>
      </c>
      <c r="H203" s="34">
        <v>1978</v>
      </c>
      <c r="I203" s="30" t="inlineStr">
        <is>
          <t xml:space="preserve">Mercedes-Benz</t>
        </is>
      </c>
      <c r="J203" s="30" t="inlineStr">
        <is>
          <t xml:space="preserve">280SL Pagoda</t>
        </is>
      </c>
      <c r="K203" s="30" t="inlineStr">
        <is>
          <t xml:space="preserve">UWNSHS87UFJC5CCXM</t>
        </is>
      </c>
      <c r="L203" s="32" t="inlineStr">
        <is>
          <t xml:space="preserve">08 - Modern Classic (1973-1999)</t>
        </is>
      </c>
      <c r="M203" s="35">
        <v>795000</v>
      </c>
      <c r="N203" s="32" t="inlineStr">
        <is>
          <t xml:space="preserve">Personal</t>
        </is>
      </c>
      <c r="O203" s="30" t="inlineStr">
        <is>
          <t xml:space="preserve">Personal - regular use</t>
        </is>
      </c>
      <c r="P203" s="30" t="inlineStr">
        <is>
          <t xml:space="preserve">Under 1,000</t>
        </is>
      </c>
      <c r="Q203" s="30" t="inlineStr">
        <is>
          <t xml:space="preserve">Washington</t>
        </is>
      </c>
      <c r="R203" s="30" t="inlineStr">
        <is>
          <t xml:space="preserve">98101</t>
        </is>
      </c>
      <c r="S203" s="32" t="inlineStr">
        <is>
          <t xml:space="preserve">Earthquake - high (CA, Cascadia, New Madrid)</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5555.46</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CANON-202601-003318</t>
        </is>
      </c>
      <c r="B204" s="46" t="inlineStr">
        <is>
          <t xml:space="preserve">Desmond Bellandi</t>
        </is>
      </c>
      <c r="C204" s="47">
        <v>46042</v>
      </c>
      <c r="D204" s="48" t="inlineStr">
        <is>
          <t xml:space="preserve">Bound - within authority</t>
        </is>
      </c>
      <c r="E204" s="48" t="inlineStr">
        <is>
          <t xml:space="preserve">New business</t>
        </is>
      </c>
      <c r="F204" s="46" t="inlineStr">
        <is>
          <t xml:space="preserve">B1234EXOTIC26</t>
        </is>
      </c>
      <c r="G204" s="33">
        <f>IF($A204="","",IF($C204="","",YEAR($C204)))</f>
      </c>
      <c r="H204" s="49">
        <v>1989</v>
      </c>
      <c r="I204" s="46" t="inlineStr">
        <is>
          <t xml:space="preserve">Aston Martin</t>
        </is>
      </c>
      <c r="J204" s="46" t="inlineStr">
        <is>
          <t xml:space="preserve">DB12</t>
        </is>
      </c>
      <c r="K204" s="46" t="inlineStr">
        <is>
          <t xml:space="preserve">D93F0VXBJT74C94AF</t>
        </is>
      </c>
      <c r="L204" s="48" t="inlineStr">
        <is>
          <t xml:space="preserve">02 - Sports / GT</t>
        </is>
      </c>
      <c r="M204" s="50">
        <v>120000</v>
      </c>
      <c r="N204" s="48" t="inlineStr">
        <is>
          <t xml:space="preserve">Personal</t>
        </is>
      </c>
      <c r="O204" s="46" t="inlineStr">
        <is>
          <t xml:space="preserve">Personal - regular use</t>
        </is>
      </c>
      <c r="P204" s="46" t="inlineStr">
        <is>
          <t xml:space="preserve">1,000 - 2,500</t>
        </is>
      </c>
      <c r="Q204" s="46" t="inlineStr">
        <is>
          <t xml:space="preserve">Alabama</t>
        </is>
      </c>
      <c r="R204" s="46" t="inlineStr">
        <is>
          <t xml:space="preserve">35203</t>
        </is>
      </c>
      <c r="S204" s="48" t="inlineStr">
        <is>
          <t xml:space="preserve">Tier 2 - Coastal wind (1-25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2373.48</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CANON-202601-003319</t>
        </is>
      </c>
      <c r="B205" s="30" t="inlineStr">
        <is>
          <t xml:space="preserve">Emiliano Thistlewood</t>
        </is>
      </c>
      <c r="C205" s="31">
        <v>46025</v>
      </c>
      <c r="D205" s="32" t="inlineStr">
        <is>
          <t xml:space="preserve">Bound - within authority</t>
        </is>
      </c>
      <c r="E205" s="32" t="inlineStr">
        <is>
          <t xml:space="preserve">New business</t>
        </is>
      </c>
      <c r="F205" s="30" t="inlineStr">
        <is>
          <t xml:space="preserve">B1234EXOTIC26</t>
        </is>
      </c>
      <c r="G205" s="33">
        <f>IF($A205="","",IF($C205="","",YEAR($C205)))</f>
      </c>
      <c r="H205" s="34">
        <v>1989</v>
      </c>
      <c r="I205" s="30" t="inlineStr">
        <is>
          <t xml:space="preserve">Maserati</t>
        </is>
      </c>
      <c r="J205" s="30" t="inlineStr">
        <is>
          <t xml:space="preserve">GranTurismo</t>
        </is>
      </c>
      <c r="K205" s="30" t="inlineStr">
        <is>
          <t xml:space="preserve">68P0U3CY5AFV3SJ91</t>
        </is>
      </c>
      <c r="L205" s="32" t="inlineStr">
        <is>
          <t xml:space="preserve">02 - Sports / GT</t>
        </is>
      </c>
      <c r="M205" s="35">
        <v>185000</v>
      </c>
      <c r="N205" s="32" t="inlineStr">
        <is>
          <t xml:space="preserve">Personal</t>
        </is>
      </c>
      <c r="O205" s="30" t="inlineStr">
        <is>
          <t xml:space="preserve">Personal - regular use</t>
        </is>
      </c>
      <c r="P205" s="30" t="inlineStr">
        <is>
          <t xml:space="preserve">Under 1,000</t>
        </is>
      </c>
      <c r="Q205" s="30" t="inlineStr">
        <is>
          <t xml:space="preserve">Alabama</t>
        </is>
      </c>
      <c r="R205" s="30" t="inlineStr">
        <is>
          <t xml:space="preserve">35203</t>
        </is>
      </c>
      <c r="S205" s="32" t="inlineStr">
        <is>
          <t xml:space="preserve">Tier 2 - Coastal wind (1-25 miles)</t>
        </is>
      </c>
      <c r="T205" s="36">
        <f>IF($A205="","",IF($S205="","",IFERROR(INDEX('[1]natural catastrophe'!$D$6:$D$17,MATCH($S205,'[1]natural catastrophe'!$B$6:$B$17,0)),"?")))</f>
      </c>
      <c r="U205" s="30" t="inlineStr">
        <is>
          <t xml:space="preserve">2% of agreed value, minimum $10,000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3659.12</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CANON-202601-003320</t>
        </is>
      </c>
      <c r="B206" s="46" t="inlineStr">
        <is>
          <t xml:space="preserve">Everett Montoya</t>
        </is>
      </c>
      <c r="C206" s="47">
        <v>46052</v>
      </c>
      <c r="D206" s="48" t="inlineStr">
        <is>
          <t xml:space="preserve">Bound - within authority</t>
        </is>
      </c>
      <c r="E206" s="48" t="inlineStr">
        <is>
          <t xml:space="preserve">New business</t>
        </is>
      </c>
      <c r="F206" s="46" t="inlineStr">
        <is>
          <t xml:space="preserve">B1234EXOTIC26</t>
        </is>
      </c>
      <c r="G206" s="33">
        <f>IF($A206="","",IF($C206="","",YEAR($C206)))</f>
      </c>
      <c r="H206" s="49">
        <v>1993</v>
      </c>
      <c r="I206" s="46" t="inlineStr">
        <is>
          <t xml:space="preserve">BMW</t>
        </is>
      </c>
      <c r="J206" s="46" t="inlineStr">
        <is>
          <t xml:space="preserve">M8 Competition</t>
        </is>
      </c>
      <c r="K206" s="46" t="inlineStr">
        <is>
          <t xml:space="preserve">6GWH697KW0REPURM3</t>
        </is>
      </c>
      <c r="L206" s="48" t="inlineStr">
        <is>
          <t xml:space="preserve">02 - Sports / GT</t>
        </is>
      </c>
      <c r="M206" s="50">
        <v>775000</v>
      </c>
      <c r="N206" s="48" t="inlineStr">
        <is>
          <t xml:space="preserve">Personal</t>
        </is>
      </c>
      <c r="O206" s="46" t="inlineStr">
        <is>
          <t xml:space="preserve">Personal - regular use</t>
        </is>
      </c>
      <c r="P206" s="46" t="inlineStr">
        <is>
          <t xml:space="preserve">Under 1,000</t>
        </is>
      </c>
      <c r="Q206" s="46" t="inlineStr">
        <is>
          <t xml:space="preserve">Iowa</t>
        </is>
      </c>
      <c r="R206" s="46" t="inlineStr">
        <is>
          <t xml:space="preserve">50309</t>
        </is>
      </c>
      <c r="S206" s="48" t="inlineStr">
        <is>
          <t xml:space="preserve">Severe convective - hail alley (high)</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9380.4</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CANON-202601-003321</t>
        </is>
      </c>
      <c r="B207" s="30" t="inlineStr">
        <is>
          <t xml:space="preserve">Ottilie Bellandi</t>
        </is>
      </c>
      <c r="C207" s="31">
        <v>46039</v>
      </c>
      <c r="D207" s="32" t="inlineStr">
        <is>
          <t xml:space="preserve">Bound - within authority</t>
        </is>
      </c>
      <c r="E207" s="32" t="inlineStr">
        <is>
          <t xml:space="preserve">New business</t>
        </is>
      </c>
      <c r="F207" s="30" t="inlineStr">
        <is>
          <t xml:space="preserve">B1234EXOTIC26</t>
        </is>
      </c>
      <c r="G207" s="33">
        <f>IF($A207="","",IF($C207="","",YEAR($C207)))</f>
      </c>
      <c r="H207" s="34">
        <v>1972</v>
      </c>
      <c r="I207" s="30" t="inlineStr">
        <is>
          <t xml:space="preserve">Aston Martin</t>
        </is>
      </c>
      <c r="J207" s="30" t="inlineStr">
        <is>
          <t xml:space="preserve">DB12</t>
        </is>
      </c>
      <c r="K207" s="30" t="inlineStr">
        <is>
          <t xml:space="preserve">2J8SXKV3DMM07GBHZ</t>
        </is>
      </c>
      <c r="L207" s="32" t="inlineStr">
        <is>
          <t xml:space="preserve">02 - Sports / GT</t>
        </is>
      </c>
      <c r="M207" s="35">
        <v>625000</v>
      </c>
      <c r="N207" s="32" t="inlineStr">
        <is>
          <t xml:space="preserve">Personal</t>
        </is>
      </c>
      <c r="O207" s="30" t="inlineStr">
        <is>
          <t xml:space="preserve">Personal - regular use</t>
        </is>
      </c>
      <c r="P207" s="30" t="inlineStr">
        <is>
          <t xml:space="preserve">Under 1,000</t>
        </is>
      </c>
      <c r="Q207" s="30" t="inlineStr">
        <is>
          <t xml:space="preserve">Maryland</t>
        </is>
      </c>
      <c r="R207" s="30" t="inlineStr">
        <is>
          <t xml:space="preserve">21201</t>
        </is>
      </c>
      <c r="S207" s="32" t="inlineStr">
        <is>
          <t xml:space="preserve">Tier 3 - Coastal wind (25-100 miles)</t>
        </is>
      </c>
      <c r="T207" s="36">
        <f>IF($A207="","",IF($S207="","",IFERROR(INDEX('[1]natural catastrophe'!$D$6:$D$17,MATCH($S207,'[1]natural catastrophe'!$B$6:$B$17,0)),"?")))</f>
      </c>
      <c r="U207" s="30" t="inlineStr">
        <is>
          <t xml:space="preserve">2% of agreed value, minimum $10,000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6533.27</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CANON-202601-003322</t>
        </is>
      </c>
      <c r="B208" s="46" t="inlineStr">
        <is>
          <t xml:space="preserve">Aurelio Farkas</t>
        </is>
      </c>
      <c r="C208" s="47">
        <v>46052</v>
      </c>
      <c r="D208" s="48" t="inlineStr">
        <is>
          <t xml:space="preserve">Bound - within authority</t>
        </is>
      </c>
      <c r="E208" s="48" t="inlineStr">
        <is>
          <t xml:space="preserve">New business</t>
        </is>
      </c>
      <c r="F208" s="46" t="inlineStr">
        <is>
          <t xml:space="preserve">B1234EXOTIC26</t>
        </is>
      </c>
      <c r="G208" s="33">
        <f>IF($A208="","",IF($C208="","",YEAR($C208)))</f>
      </c>
      <c r="H208" s="49">
        <v>1961</v>
      </c>
      <c r="I208" s="46" t="inlineStr">
        <is>
          <t xml:space="preserve">Aston Martin</t>
        </is>
      </c>
      <c r="J208" s="46" t="inlineStr">
        <is>
          <t xml:space="preserve">DB5</t>
        </is>
      </c>
      <c r="K208" s="46" t="inlineStr">
        <is>
          <t xml:space="preserve">9EW65N4T6M6KT1FTA</t>
        </is>
      </c>
      <c r="L208" s="48" t="inlineStr">
        <is>
          <t xml:space="preserve">07 - Post-War Classic (1946-1972)</t>
        </is>
      </c>
      <c r="M208" s="50">
        <v>1950000</v>
      </c>
      <c r="N208" s="48" t="inlineStr">
        <is>
          <t xml:space="preserve">Personal</t>
        </is>
      </c>
      <c r="O208" s="46" t="inlineStr">
        <is>
          <t xml:space="preserve">Personal - regular use</t>
        </is>
      </c>
      <c r="P208" s="46" t="inlineStr">
        <is>
          <t xml:space="preserve">2,500 - 5,000</t>
        </is>
      </c>
      <c r="Q208" s="46" t="inlineStr">
        <is>
          <t xml:space="preserve">New York</t>
        </is>
      </c>
      <c r="R208" s="46" t="inlineStr">
        <is>
          <t xml:space="preserve">10022</t>
        </is>
      </c>
      <c r="S208" s="48" t="inlineStr">
        <is>
          <t xml:space="preserve">Tier 3 - Coastal wind (25-100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16056.16</v>
      </c>
      <c r="AC208" s="51">
        <v>0</v>
      </c>
      <c r="AD208" s="38">
        <f>IF(ISNUMBER($AB208),$AB208*(1+N($AC208)),"")</f>
      </c>
      <c r="AE208" s="50">
        <v>350</v>
      </c>
      <c r="AF208" s="50">
        <v>250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CANON-202601-003327</t>
        </is>
      </c>
      <c r="B209" s="30" t="inlineStr">
        <is>
          <t xml:space="preserve">Wilhelmina Okonkwo</t>
        </is>
      </c>
      <c r="C209" s="31">
        <v>46038</v>
      </c>
      <c r="D209" s="32" t="inlineStr">
        <is>
          <t xml:space="preserve">Bound - within authority</t>
        </is>
      </c>
      <c r="E209" s="32" t="inlineStr">
        <is>
          <t xml:space="preserve">New business</t>
        </is>
      </c>
      <c r="F209" s="30" t="inlineStr">
        <is>
          <t xml:space="preserve">B1234EXOTIC26</t>
        </is>
      </c>
      <c r="G209" s="33">
        <f>IF($A209="","",IF($C209="","",YEAR($C209)))</f>
      </c>
      <c r="H209" s="34">
        <v>1978</v>
      </c>
      <c r="I209" s="30" t="inlineStr">
        <is>
          <t xml:space="preserve">Porsche</t>
        </is>
      </c>
      <c r="J209" s="30" t="inlineStr">
        <is>
          <t xml:space="preserve">911 Turbo S</t>
        </is>
      </c>
      <c r="K209" s="30" t="inlineStr">
        <is>
          <t xml:space="preserve">WFR0FSZ9DKPAX0DBV</t>
        </is>
      </c>
      <c r="L209" s="32" t="inlineStr">
        <is>
          <t xml:space="preserve">02 - Sports / GT</t>
        </is>
      </c>
      <c r="M209" s="35">
        <v>685000</v>
      </c>
      <c r="N209" s="32" t="inlineStr">
        <is>
          <t xml:space="preserve">Personal</t>
        </is>
      </c>
      <c r="O209" s="30" t="inlineStr">
        <is>
          <t xml:space="preserve">Personal - regular use</t>
        </is>
      </c>
      <c r="P209" s="30" t="inlineStr">
        <is>
          <t xml:space="preserve">Under 1,000</t>
        </is>
      </c>
      <c r="Q209" s="30" t="inlineStr">
        <is>
          <t xml:space="preserve">West Virginia</t>
        </is>
      </c>
      <c r="R209" s="30" t="inlineStr">
        <is>
          <t xml:space="preserve">25301</t>
        </is>
      </c>
      <c r="S209" s="32" t="inlineStr">
        <is>
          <t xml:space="preserve">Low hazard - inland benign</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10024.64</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CANON-202601-003329</t>
        </is>
      </c>
      <c r="B210" s="46" t="inlineStr">
        <is>
          <t xml:space="preserve">Aurelio Merriweather</t>
        </is>
      </c>
      <c r="C210" s="47">
        <v>46025</v>
      </c>
      <c r="D210" s="48" t="inlineStr">
        <is>
          <t xml:space="preserve">Bound - within authority</t>
        </is>
      </c>
      <c r="E210" s="48" t="inlineStr">
        <is>
          <t xml:space="preserve">New business</t>
        </is>
      </c>
      <c r="F210" s="46" t="inlineStr">
        <is>
          <t xml:space="preserve">B1234EXOTIC26</t>
        </is>
      </c>
      <c r="G210" s="33">
        <f>IF($A210="","",IF($C210="","",YEAR($C210)))</f>
      </c>
      <c r="H210" s="49">
        <v>1957</v>
      </c>
      <c r="I210" s="46" t="inlineStr">
        <is>
          <t xml:space="preserve">Ferrari</t>
        </is>
      </c>
      <c r="J210" s="46" t="inlineStr">
        <is>
          <t xml:space="preserve">296 GTB</t>
        </is>
      </c>
      <c r="K210" s="46" t="inlineStr">
        <is>
          <t xml:space="preserve">WHT6P4NMHDGMFTWBN</t>
        </is>
      </c>
      <c r="L210" s="48" t="inlineStr">
        <is>
          <t xml:space="preserve">03 - Supercar</t>
        </is>
      </c>
      <c r="M210" s="50">
        <v>975000</v>
      </c>
      <c r="N210" s="48" t="inlineStr">
        <is>
          <t xml:space="preserve">Personal</t>
        </is>
      </c>
      <c r="O210" s="46" t="inlineStr">
        <is>
          <t xml:space="preserve">Personal - regular use</t>
        </is>
      </c>
      <c r="P210" s="46" t="inlineStr">
        <is>
          <t xml:space="preserve">1,000 - 2,500</t>
        </is>
      </c>
      <c r="Q210" s="46" t="inlineStr">
        <is>
          <t xml:space="preserve">Massachusetts</t>
        </is>
      </c>
      <c r="R210" s="46" t="inlineStr">
        <is>
          <t xml:space="preserve">02108</t>
        </is>
      </c>
      <c r="S210" s="48" t="inlineStr">
        <is>
          <t xml:space="preserve">Tier 3 - Coastal wind (25-100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19599.8</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CANON-202601-003330</t>
        </is>
      </c>
      <c r="B211" s="30" t="inlineStr">
        <is>
          <t xml:space="preserve">Aurelio Ashcombe</t>
        </is>
      </c>
      <c r="C211" s="31">
        <v>46029</v>
      </c>
      <c r="D211" s="32" t="inlineStr">
        <is>
          <t xml:space="preserve">Bound - within authority</t>
        </is>
      </c>
      <c r="E211" s="32" t="inlineStr">
        <is>
          <t xml:space="preserve">New business</t>
        </is>
      </c>
      <c r="F211" s="30" t="inlineStr">
        <is>
          <t xml:space="preserve">B1234EXOTIC26</t>
        </is>
      </c>
      <c r="G211" s="33">
        <f>IF($A211="","",IF($C211="","",YEAR($C211)))</f>
      </c>
      <c r="H211" s="34">
        <v>2017</v>
      </c>
      <c r="I211" s="30" t="inlineStr">
        <is>
          <t xml:space="preserve">Maserati</t>
        </is>
      </c>
      <c r="J211" s="30" t="inlineStr">
        <is>
          <t xml:space="preserve">GranTurismo</t>
        </is>
      </c>
      <c r="K211" s="30" t="inlineStr">
        <is>
          <t xml:space="preserve">7LMH4U7BX22G5FR0L</t>
        </is>
      </c>
      <c r="L211" s="32" t="inlineStr">
        <is>
          <t xml:space="preserve">02 - Sports / GT</t>
        </is>
      </c>
      <c r="M211" s="35">
        <v>1000000</v>
      </c>
      <c r="N211" s="32" t="inlineStr">
        <is>
          <t xml:space="preserve">Personal</t>
        </is>
      </c>
      <c r="O211" s="30" t="inlineStr">
        <is>
          <t xml:space="preserve">Personal - regular use</t>
        </is>
      </c>
      <c r="P211" s="30" t="inlineStr">
        <is>
          <t xml:space="preserve">2,500 - 5,000</t>
        </is>
      </c>
      <c r="Q211" s="30" t="inlineStr">
        <is>
          <t xml:space="preserve">New York</t>
        </is>
      </c>
      <c r="R211" s="30" t="inlineStr">
        <is>
          <t xml:space="preserve">10022</t>
        </is>
      </c>
      <c r="S211" s="32" t="inlineStr">
        <is>
          <t xml:space="preserve">Tier 3 - Coastal wind (25-100 miles)</t>
        </is>
      </c>
      <c r="T211" s="36">
        <f>IF($A211="","",IF($S211="","",IFERROR(INDEX('[1]natural catastrophe'!$D$6:$D$17,MATCH($S211,'[1]natural catastrophe'!$B$6:$B$17,0)),"?")))</f>
      </c>
      <c r="U211" s="30" t="inlineStr">
        <is>
          <t xml:space="preserve">2% of agreed value, minimum $10,000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11917.53</v>
      </c>
      <c r="AC211" s="37">
        <v>0</v>
      </c>
      <c r="AD211" s="38">
        <f>IF(ISNUMBER($AB211),$AB211*(1+N($AC211)),"")</f>
      </c>
      <c r="AE211" s="35">
        <v>350</v>
      </c>
      <c r="AF211" s="35">
        <v>250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CANON-202601-003331</t>
        </is>
      </c>
      <c r="B212" s="46" t="inlineStr">
        <is>
          <t xml:space="preserve">Marisol Chattopadhyay</t>
        </is>
      </c>
      <c r="C212" s="47">
        <v>46023</v>
      </c>
      <c r="D212" s="48" t="inlineStr">
        <is>
          <t xml:space="preserve">Bound - within authority</t>
        </is>
      </c>
      <c r="E212" s="48" t="inlineStr">
        <is>
          <t xml:space="preserve">New business</t>
        </is>
      </c>
      <c r="F212" s="46" t="inlineStr">
        <is>
          <t xml:space="preserve">B1234EXOTIC26</t>
        </is>
      </c>
      <c r="G212" s="33">
        <f>IF($A212="","",IF($C212="","",YEAR($C212)))</f>
      </c>
      <c r="H212" s="49">
        <v>1956</v>
      </c>
      <c r="I212" s="46" t="inlineStr">
        <is>
          <t xml:space="preserve">Lamborghini</t>
        </is>
      </c>
      <c r="J212" s="46" t="inlineStr">
        <is>
          <t xml:space="preserve">Huracan EVO</t>
        </is>
      </c>
      <c r="K212" s="46" t="inlineStr">
        <is>
          <t xml:space="preserve">S12VWTKUDRJUGL2GM</t>
        </is>
      </c>
      <c r="L212" s="48" t="inlineStr">
        <is>
          <t xml:space="preserve">03 - Supercar</t>
        </is>
      </c>
      <c r="M212" s="50">
        <v>825000</v>
      </c>
      <c r="N212" s="48" t="inlineStr">
        <is>
          <t xml:space="preserve">Personal</t>
        </is>
      </c>
      <c r="O212" s="46" t="inlineStr">
        <is>
          <t xml:space="preserve">Personal - regular use</t>
        </is>
      </c>
      <c r="P212" s="46" t="inlineStr">
        <is>
          <t xml:space="preserve">1,000 - 2,500</t>
        </is>
      </c>
      <c r="Q212" s="46" t="inlineStr">
        <is>
          <t xml:space="preserve">California</t>
        </is>
      </c>
      <c r="R212" s="46" t="inlineStr">
        <is>
          <t xml:space="preserve">90012</t>
        </is>
      </c>
      <c r="S212" s="48" t="inlineStr">
        <is>
          <t xml:space="preserve">Earthquake - high (CA, Cascadia, New Madrid)</t>
        </is>
      </c>
      <c r="T212" s="36">
        <f>IF($A212="","",IF($S212="","",IFERROR(INDEX('[1]natural catastrophe'!$D$6:$D$17,MATCH($S212,'[1]natural catastrophe'!$B$6:$B$17,0)),"?")))</f>
      </c>
      <c r="U212" s="46" t="inlineStr">
        <is>
          <t xml:space="preserve">$5,000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17911.2</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CANON-202601-003332</t>
        </is>
      </c>
      <c r="B213" s="30" t="inlineStr">
        <is>
          <t xml:space="preserve">Wilhelmina Fairweather</t>
        </is>
      </c>
      <c r="C213" s="31">
        <v>46043</v>
      </c>
      <c r="D213" s="32" t="inlineStr">
        <is>
          <t xml:space="preserve">Bound - within authority</t>
        </is>
      </c>
      <c r="E213" s="32" t="inlineStr">
        <is>
          <t xml:space="preserve">New business</t>
        </is>
      </c>
      <c r="F213" s="30" t="inlineStr">
        <is>
          <t xml:space="preserve">B1234EXOTIC26</t>
        </is>
      </c>
      <c r="G213" s="33">
        <f>IF($A213="","",IF($C213="","",YEAR($C213)))</f>
      </c>
      <c r="H213" s="34">
        <v>2023</v>
      </c>
      <c r="I213" s="30" t="inlineStr">
        <is>
          <t xml:space="preserve">BMW</t>
        </is>
      </c>
      <c r="J213" s="30" t="inlineStr">
        <is>
          <t xml:space="preserve">M8 Competition</t>
        </is>
      </c>
      <c r="K213" s="30" t="inlineStr">
        <is>
          <t xml:space="preserve">E2016U883ELASFX0V</t>
        </is>
      </c>
      <c r="L213" s="32" t="inlineStr">
        <is>
          <t xml:space="preserve">02 - Sports / GT</t>
        </is>
      </c>
      <c r="M213" s="35">
        <v>420000</v>
      </c>
      <c r="N213" s="32" t="inlineStr">
        <is>
          <t xml:space="preserve">Personal</t>
        </is>
      </c>
      <c r="O213" s="30" t="inlineStr">
        <is>
          <t xml:space="preserve">Personal - regular use</t>
        </is>
      </c>
      <c r="P213" s="30" t="inlineStr">
        <is>
          <t xml:space="preserve">2,500 - 5,000</t>
        </is>
      </c>
      <c r="Q213" s="30" t="inlineStr">
        <is>
          <t xml:space="preserve">Utah</t>
        </is>
      </c>
      <c r="R213" s="30" t="inlineStr">
        <is>
          <t xml:space="preserve">84101</t>
        </is>
      </c>
      <c r="S213" s="32" t="inlineStr">
        <is>
          <t xml:space="preserve">Wildfire - WUI high hazard</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7198.76</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CANON-202601-003334</t>
        </is>
      </c>
      <c r="B214" s="46" t="inlineStr">
        <is>
          <t xml:space="preserve">Horace Underwood</t>
        </is>
      </c>
      <c r="C214" s="47">
        <v>46046</v>
      </c>
      <c r="D214" s="48" t="inlineStr">
        <is>
          <t xml:space="preserve">Bound - within authority</t>
        </is>
      </c>
      <c r="E214" s="48" t="inlineStr">
        <is>
          <t xml:space="preserve">New business</t>
        </is>
      </c>
      <c r="F214" s="46" t="inlineStr">
        <is>
          <t xml:space="preserve">B1234EXOTIC26</t>
        </is>
      </c>
      <c r="G214" s="33">
        <f>IF($A214="","",IF($C214="","",YEAR($C214)))</f>
      </c>
      <c r="H214" s="49">
        <v>1982</v>
      </c>
      <c r="I214" s="46" t="inlineStr">
        <is>
          <t xml:space="preserve">Mercedes-Benz</t>
        </is>
      </c>
      <c r="J214" s="46" t="inlineStr">
        <is>
          <t xml:space="preserve">AMG GT</t>
        </is>
      </c>
      <c r="K214" s="46" t="inlineStr">
        <is>
          <t xml:space="preserve">MPE73X52Y3FHCUCF2</t>
        </is>
      </c>
      <c r="L214" s="48" t="inlineStr">
        <is>
          <t xml:space="preserve">02 - Sports / GT</t>
        </is>
      </c>
      <c r="M214" s="50">
        <v>445000</v>
      </c>
      <c r="N214" s="48" t="inlineStr">
        <is>
          <t xml:space="preserve">Personal</t>
        </is>
      </c>
      <c r="O214" s="46" t="inlineStr">
        <is>
          <t xml:space="preserve">Personal - regular use</t>
        </is>
      </c>
      <c r="P214" s="46" t="inlineStr">
        <is>
          <t xml:space="preserve">Under 1,000</t>
        </is>
      </c>
      <c r="Q214" s="46" t="inlineStr">
        <is>
          <t xml:space="preserve">Texas</t>
        </is>
      </c>
      <c r="R214" s="46" t="inlineStr">
        <is>
          <t xml:space="preserve">75201</t>
        </is>
      </c>
      <c r="S214" s="48" t="inlineStr">
        <is>
          <t xml:space="preserve">Tier 2 - Coastal wind (1-25 miles)</t>
        </is>
      </c>
      <c r="T214" s="36">
        <f>IF($A214="","",IF($S214="","",IFERROR(INDEX('[1]natural catastrophe'!$D$6:$D$17,MATCH($S214,'[1]natural catastrophe'!$B$6:$B$17,0)),"?")))</f>
      </c>
      <c r="U214" s="46" t="inlineStr">
        <is>
          <t xml:space="preserve">2% of agreed value, minimum $10,000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6497.3</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CANON-202601-003336</t>
        </is>
      </c>
      <c r="B215" s="30" t="inlineStr">
        <is>
          <t xml:space="preserve">Anouk Bellandi</t>
        </is>
      </c>
      <c r="C215" s="31">
        <v>46032</v>
      </c>
      <c r="D215" s="32" t="inlineStr">
        <is>
          <t xml:space="preserve">Bound - within authority</t>
        </is>
      </c>
      <c r="E215" s="32" t="inlineStr">
        <is>
          <t xml:space="preserve">New business</t>
        </is>
      </c>
      <c r="F215" s="30" t="inlineStr">
        <is>
          <t xml:space="preserve">B1234EXOTIC26</t>
        </is>
      </c>
      <c r="G215" s="33">
        <f>IF($A215="","",IF($C215="","",YEAR($C215)))</f>
      </c>
      <c r="H215" s="34">
        <v>1996</v>
      </c>
      <c r="I215" s="30" t="inlineStr">
        <is>
          <t xml:space="preserve">Maserati</t>
        </is>
      </c>
      <c r="J215" s="30" t="inlineStr">
        <is>
          <t xml:space="preserve">GranTurismo</t>
        </is>
      </c>
      <c r="K215" s="30" t="inlineStr">
        <is>
          <t xml:space="preserve">S1JVUWS1BNXY8JPG2</t>
        </is>
      </c>
      <c r="L215" s="32" t="inlineStr">
        <is>
          <t xml:space="preserve">02 - Sports / GT</t>
        </is>
      </c>
      <c r="M215" s="35">
        <v>350000</v>
      </c>
      <c r="N215" s="32" t="inlineStr">
        <is>
          <t xml:space="preserve">Personal</t>
        </is>
      </c>
      <c r="O215" s="30" t="inlineStr">
        <is>
          <t xml:space="preserve">Personal - regular use</t>
        </is>
      </c>
      <c r="P215" s="30" t="inlineStr">
        <is>
          <t xml:space="preserve">1,000 - 2,500</t>
        </is>
      </c>
      <c r="Q215" s="30" t="inlineStr">
        <is>
          <t xml:space="preserve">Colorado</t>
        </is>
      </c>
      <c r="R215" s="30" t="inlineStr">
        <is>
          <t xml:space="preserve">80202</t>
        </is>
      </c>
      <c r="S215" s="32" t="inlineStr">
        <is>
          <t xml:space="preserve">Severe convective - hail alley (high)</t>
        </is>
      </c>
      <c r="T215" s="36">
        <f>IF($A215="","",IF($S215="","",IFERROR(INDEX('[1]natural catastrophe'!$D$6:$D$17,MATCH($S215,'[1]natural catastrophe'!$B$6:$B$17,0)),"?")))</f>
      </c>
      <c r="U215" s="30" t="inlineStr">
        <is>
          <t xml:space="preserve">$5,000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4888.04</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CANON-202601-003337</t>
        </is>
      </c>
      <c r="B216" s="46" t="inlineStr">
        <is>
          <t xml:space="preserve">Cassius Whitlock</t>
        </is>
      </c>
      <c r="C216" s="47">
        <v>46030</v>
      </c>
      <c r="D216" s="48" t="inlineStr">
        <is>
          <t xml:space="preserve">Bound - within authority</t>
        </is>
      </c>
      <c r="E216" s="48" t="inlineStr">
        <is>
          <t xml:space="preserve">New business</t>
        </is>
      </c>
      <c r="F216" s="46" t="inlineStr">
        <is>
          <t xml:space="preserve">B1234EXOTIC26</t>
        </is>
      </c>
      <c r="G216" s="33">
        <f>IF($A216="","",IF($C216="","",YEAR($C216)))</f>
      </c>
      <c r="H216" s="49">
        <v>1984</v>
      </c>
      <c r="I216" s="46" t="inlineStr">
        <is>
          <t xml:space="preserve">Aston Martin</t>
        </is>
      </c>
      <c r="J216" s="46" t="inlineStr">
        <is>
          <t xml:space="preserve">DB12</t>
        </is>
      </c>
      <c r="K216" s="46" t="inlineStr">
        <is>
          <t xml:space="preserve">Y6A2WK75KG5YGW9P2</t>
        </is>
      </c>
      <c r="L216" s="48" t="inlineStr">
        <is>
          <t xml:space="preserve">02 - Sports / GT</t>
        </is>
      </c>
      <c r="M216" s="50">
        <v>290000</v>
      </c>
      <c r="N216" s="48" t="inlineStr">
        <is>
          <t xml:space="preserve">Personal</t>
        </is>
      </c>
      <c r="O216" s="46" t="inlineStr">
        <is>
          <t xml:space="preserve">Personal - regular use</t>
        </is>
      </c>
      <c r="P216" s="46" t="inlineStr">
        <is>
          <t xml:space="preserve">2,500 - 5,000</t>
        </is>
      </c>
      <c r="Q216" s="46" t="inlineStr">
        <is>
          <t xml:space="preserve">Alaska</t>
        </is>
      </c>
      <c r="R216" s="46" t="inlineStr">
        <is>
          <t xml:space="preserve">99501</t>
        </is>
      </c>
      <c r="S216" s="48" t="inlineStr">
        <is>
          <t xml:space="preserve">Earthquake - high (CA, Cascadia, New Madrid)</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4197.37</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CANON-202601-003338</t>
        </is>
      </c>
      <c r="B217" s="30" t="inlineStr">
        <is>
          <t xml:space="preserve">Ramona Farkas</t>
        </is>
      </c>
      <c r="C217" s="31">
        <v>46052</v>
      </c>
      <c r="D217" s="32" t="inlineStr">
        <is>
          <t xml:space="preserve">Bound - within authority</t>
        </is>
      </c>
      <c r="E217" s="32" t="inlineStr">
        <is>
          <t xml:space="preserve">New business</t>
        </is>
      </c>
      <c r="F217" s="30" t="inlineStr">
        <is>
          <t xml:space="preserve">B1234EXOTIC26</t>
        </is>
      </c>
      <c r="G217" s="33">
        <f>IF($A217="","",IF($C217="","",YEAR($C217)))</f>
      </c>
      <c r="H217" s="34">
        <v>2003</v>
      </c>
      <c r="I217" s="30" t="inlineStr">
        <is>
          <t xml:space="preserve">Mercedes-Benz</t>
        </is>
      </c>
      <c r="J217" s="30" t="inlineStr">
        <is>
          <t xml:space="preserve">AMG GT</t>
        </is>
      </c>
      <c r="K217" s="30" t="inlineStr">
        <is>
          <t xml:space="preserve">NLJTH08Y19MX0NHF9</t>
        </is>
      </c>
      <c r="L217" s="32" t="inlineStr">
        <is>
          <t xml:space="preserve">02 - Sports / GT</t>
        </is>
      </c>
      <c r="M217" s="35">
        <v>715000</v>
      </c>
      <c r="N217" s="32" t="inlineStr">
        <is>
          <t xml:space="preserve">Personal</t>
        </is>
      </c>
      <c r="O217" s="30" t="inlineStr">
        <is>
          <t xml:space="preserve">Personal - regular use</t>
        </is>
      </c>
      <c r="P217" s="30" t="inlineStr">
        <is>
          <t xml:space="preserve">2,500 - 5,000</t>
        </is>
      </c>
      <c r="Q217" s="30" t="inlineStr">
        <is>
          <t xml:space="preserve">Ohio</t>
        </is>
      </c>
      <c r="R217" s="30" t="inlineStr">
        <is>
          <t xml:space="preserve">43215</t>
        </is>
      </c>
      <c r="S217" s="32" t="inlineStr">
        <is>
          <t xml:space="preserve">Severe convective - hail / tornado (moderate)</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10935.73</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CANON-202601-003339</t>
        </is>
      </c>
      <c r="B218" s="46" t="inlineStr">
        <is>
          <t xml:space="preserve">Mireille Pennington</t>
        </is>
      </c>
      <c r="C218" s="47">
        <v>46025</v>
      </c>
      <c r="D218" s="48" t="inlineStr">
        <is>
          <t xml:space="preserve">Bound - within authority</t>
        </is>
      </c>
      <c r="E218" s="48" t="inlineStr">
        <is>
          <t xml:space="preserve">New business</t>
        </is>
      </c>
      <c r="F218" s="46" t="inlineStr">
        <is>
          <t xml:space="preserve">B1234EXOTIC26</t>
        </is>
      </c>
      <c r="G218" s="33">
        <f>IF($A218="","",IF($C218="","",YEAR($C218)))</f>
      </c>
      <c r="H218" s="49">
        <v>1992</v>
      </c>
      <c r="I218" s="46" t="inlineStr">
        <is>
          <t xml:space="preserve">Bentley</t>
        </is>
      </c>
      <c r="J218" s="46" t="inlineStr">
        <is>
          <t xml:space="preserve">Continental GT</t>
        </is>
      </c>
      <c r="K218" s="46" t="inlineStr">
        <is>
          <t xml:space="preserve">SFETV58751NAPVCNP</t>
        </is>
      </c>
      <c r="L218" s="48" t="inlineStr">
        <is>
          <t xml:space="preserve">02 - Sports / GT</t>
        </is>
      </c>
      <c r="M218" s="50">
        <v>575000</v>
      </c>
      <c r="N218" s="48" t="inlineStr">
        <is>
          <t xml:space="preserve">Personal</t>
        </is>
      </c>
      <c r="O218" s="46" t="inlineStr">
        <is>
          <t xml:space="preserve">Personal - regular use</t>
        </is>
      </c>
      <c r="P218" s="46" t="inlineStr">
        <is>
          <t xml:space="preserve">2,500 - 5,000</t>
        </is>
      </c>
      <c r="Q218" s="46" t="inlineStr">
        <is>
          <t xml:space="preserve">Nevada</t>
        </is>
      </c>
      <c r="R218" s="46" t="inlineStr">
        <is>
          <t xml:space="preserve">89101</t>
        </is>
      </c>
      <c r="S218" s="48" t="inlineStr">
        <is>
          <t xml:space="preserve">Wildfire - WUI high hazard</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7402.54</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CANON-202601-003340</t>
        </is>
      </c>
      <c r="B219" s="30" t="inlineStr">
        <is>
          <t xml:space="preserve">Emiliano Kingsford</t>
        </is>
      </c>
      <c r="C219" s="31">
        <v>46038</v>
      </c>
      <c r="D219" s="32" t="inlineStr">
        <is>
          <t xml:space="preserve">Bound - within authority</t>
        </is>
      </c>
      <c r="E219" s="32" t="inlineStr">
        <is>
          <t xml:space="preserve">New business</t>
        </is>
      </c>
      <c r="F219" s="30" t="inlineStr">
        <is>
          <t xml:space="preserve">B1234EXOTIC26</t>
        </is>
      </c>
      <c r="G219" s="33">
        <f>IF($A219="","",IF($C219="","",YEAR($C219)))</f>
      </c>
      <c r="H219" s="34">
        <v>1985</v>
      </c>
      <c r="I219" s="30" t="inlineStr">
        <is>
          <t xml:space="preserve">Ringbrothers</t>
        </is>
      </c>
      <c r="J219" s="30" t="inlineStr">
        <is>
          <t xml:space="preserve">Mustang</t>
        </is>
      </c>
      <c r="K219" s="30" t="inlineStr">
        <is>
          <t xml:space="preserve">JCAUP9W752WDTXVVU</t>
        </is>
      </c>
      <c r="L219" s="32" t="inlineStr">
        <is>
          <t xml:space="preserve">11 - Restomod / Coachbuilt / Bespoke</t>
        </is>
      </c>
      <c r="M219" s="35">
        <v>185000</v>
      </c>
      <c r="N219" s="32" t="inlineStr">
        <is>
          <t xml:space="preserve">Personal</t>
        </is>
      </c>
      <c r="O219" s="30" t="inlineStr">
        <is>
          <t xml:space="preserve">Personal - regular use</t>
        </is>
      </c>
      <c r="P219" s="30" t="inlineStr">
        <is>
          <t xml:space="preserve">2,500 - 5,000</t>
        </is>
      </c>
      <c r="Q219" s="30" t="inlineStr">
        <is>
          <t xml:space="preserve">Connecticut</t>
        </is>
      </c>
      <c r="R219" s="30" t="inlineStr">
        <is>
          <t xml:space="preserve">06103</t>
        </is>
      </c>
      <c r="S219" s="32" t="inlineStr">
        <is>
          <t xml:space="preserve">Tier 3 - Coastal wind (25-100 miles)</t>
        </is>
      </c>
      <c r="T219" s="36">
        <f>IF($A219="","",IF($S219="","",IFERROR(INDEX('[1]natural catastrophe'!$D$6:$D$17,MATCH($S219,'[1]natural catastrophe'!$B$6:$B$17,0)),"?")))</f>
      </c>
      <c r="U219" s="30" t="inlineStr">
        <is>
          <t xml:space="preserve">2% of agreed value, minimum $10,000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3682.93</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CANON-202601-003341</t>
        </is>
      </c>
      <c r="B220" s="46" t="inlineStr">
        <is>
          <t xml:space="preserve">Everett Harrington</t>
        </is>
      </c>
      <c r="C220" s="47">
        <v>46026</v>
      </c>
      <c r="D220" s="48" t="inlineStr">
        <is>
          <t xml:space="preserve">Bound - within authority</t>
        </is>
      </c>
      <c r="E220" s="48" t="inlineStr">
        <is>
          <t xml:space="preserve">New business</t>
        </is>
      </c>
      <c r="F220" s="46" t="inlineStr">
        <is>
          <t xml:space="preserve">B1234EXOTIC26</t>
        </is>
      </c>
      <c r="G220" s="33">
        <f>IF($A220="","",IF($C220="","",YEAR($C220)))</f>
      </c>
      <c r="H220" s="49">
        <v>1957</v>
      </c>
      <c r="I220" s="46" t="inlineStr">
        <is>
          <t xml:space="preserve">Porsche</t>
        </is>
      </c>
      <c r="J220" s="46" t="inlineStr">
        <is>
          <t xml:space="preserve">911 Turbo S</t>
        </is>
      </c>
      <c r="K220" s="46" t="inlineStr">
        <is>
          <t xml:space="preserve">HX1PX9VC72W2CJ5CH</t>
        </is>
      </c>
      <c r="L220" s="48" t="inlineStr">
        <is>
          <t xml:space="preserve">02 - Sports / GT</t>
        </is>
      </c>
      <c r="M220" s="50">
        <v>1255000</v>
      </c>
      <c r="N220" s="48" t="inlineStr">
        <is>
          <t xml:space="preserve">Personal</t>
        </is>
      </c>
      <c r="O220" s="46" t="inlineStr">
        <is>
          <t xml:space="preserve">Personal - regular use</t>
        </is>
      </c>
      <c r="P220" s="46" t="inlineStr">
        <is>
          <t xml:space="preserve">Under 1,000</t>
        </is>
      </c>
      <c r="Q220" s="46" t="inlineStr">
        <is>
          <t xml:space="preserve">Pennsylvania</t>
        </is>
      </c>
      <c r="R220" s="46" t="inlineStr">
        <is>
          <t xml:space="preserve">19103</t>
        </is>
      </c>
      <c r="S220" s="48" t="inlineStr">
        <is>
          <t xml:space="preserve">Low hazard - inland benign</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11684.76</v>
      </c>
      <c r="AC220" s="51">
        <v>0</v>
      </c>
      <c r="AD220" s="38">
        <f>IF(ISNUMBER($AB220),$AB220*(1+N($AC220)),"")</f>
      </c>
      <c r="AE220" s="50">
        <v>350</v>
      </c>
      <c r="AF220" s="50">
        <v>250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CANON-202601-003344</t>
        </is>
      </c>
      <c r="B221" s="30" t="inlineStr">
        <is>
          <t xml:space="preserve">Lorenzo Delacroix</t>
        </is>
      </c>
      <c r="C221" s="31">
        <v>46033</v>
      </c>
      <c r="D221" s="32" t="inlineStr">
        <is>
          <t xml:space="preserve">Bound - within authority</t>
        </is>
      </c>
      <c r="E221" s="32" t="inlineStr">
        <is>
          <t xml:space="preserve">New business</t>
        </is>
      </c>
      <c r="F221" s="30" t="inlineStr">
        <is>
          <t xml:space="preserve">B1234EXOTIC26</t>
        </is>
      </c>
      <c r="G221" s="33">
        <f>IF($A221="","",IF($C221="","",YEAR($C221)))</f>
      </c>
      <c r="H221" s="34">
        <v>2001</v>
      </c>
      <c r="I221" s="30" t="inlineStr">
        <is>
          <t xml:space="preserve">Mercedes-Benz</t>
        </is>
      </c>
      <c r="J221" s="30" t="inlineStr">
        <is>
          <t xml:space="preserve">AMG GT</t>
        </is>
      </c>
      <c r="K221" s="30" t="inlineStr">
        <is>
          <t xml:space="preserve">LY84090GFUEEGDSWF</t>
        </is>
      </c>
      <c r="L221" s="32" t="inlineStr">
        <is>
          <t xml:space="preserve">02 - Sports / GT</t>
        </is>
      </c>
      <c r="M221" s="35">
        <v>930000</v>
      </c>
      <c r="N221" s="32" t="inlineStr">
        <is>
          <t xml:space="preserve">Personal</t>
        </is>
      </c>
      <c r="O221" s="30" t="inlineStr">
        <is>
          <t xml:space="preserve">Personal - regular use</t>
        </is>
      </c>
      <c r="P221" s="30" t="inlineStr">
        <is>
          <t xml:space="preserve">Under 1,000</t>
        </is>
      </c>
      <c r="Q221" s="30" t="inlineStr">
        <is>
          <t xml:space="preserve">Florida</t>
        </is>
      </c>
      <c r="R221" s="30" t="inlineStr">
        <is>
          <t xml:space="preserve">33139</t>
        </is>
      </c>
      <c r="S221" s="32" t="inlineStr">
        <is>
          <t xml:space="preserve">Tier 2 - Coastal wind (1-25 miles)</t>
        </is>
      </c>
      <c r="T221" s="36">
        <f>IF($A221="","",IF($S221="","",IFERROR(INDEX('[1]natural catastrophe'!$D$6:$D$17,MATCH($S221,'[1]natural catastrophe'!$B$6:$B$17,0)),"?")))</f>
      </c>
      <c r="U221" s="30" t="inlineStr">
        <is>
          <t xml:space="preserve">2% of agreed value, minimum $10,000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14531.09</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CANON-202601-003345</t>
        </is>
      </c>
      <c r="B222" s="46" t="inlineStr">
        <is>
          <t xml:space="preserve">Everett Kingsford</t>
        </is>
      </c>
      <c r="C222" s="47">
        <v>46047</v>
      </c>
      <c r="D222" s="48" t="inlineStr">
        <is>
          <t xml:space="preserve">Bound - within authority</t>
        </is>
      </c>
      <c r="E222" s="48" t="inlineStr">
        <is>
          <t xml:space="preserve">New business</t>
        </is>
      </c>
      <c r="F222" s="46" t="inlineStr">
        <is>
          <t xml:space="preserve">B1234EXOTIC26</t>
        </is>
      </c>
      <c r="G222" s="33">
        <f>IF($A222="","",IF($C222="","",YEAR($C222)))</f>
      </c>
      <c r="H222" s="49">
        <v>2002</v>
      </c>
      <c r="I222" s="46" t="inlineStr">
        <is>
          <t xml:space="preserve">Aston Martin</t>
        </is>
      </c>
      <c r="J222" s="46" t="inlineStr">
        <is>
          <t xml:space="preserve">DB12</t>
        </is>
      </c>
      <c r="K222" s="46" t="inlineStr">
        <is>
          <t xml:space="preserve">543FYLS5GK34111UM</t>
        </is>
      </c>
      <c r="L222" s="48" t="inlineStr">
        <is>
          <t xml:space="preserve">02 - Sports / GT</t>
        </is>
      </c>
      <c r="M222" s="50">
        <v>160000</v>
      </c>
      <c r="N222" s="48" t="inlineStr">
        <is>
          <t xml:space="preserve">Personal</t>
        </is>
      </c>
      <c r="O222" s="46" t="inlineStr">
        <is>
          <t xml:space="preserve">Personal - regular use</t>
        </is>
      </c>
      <c r="P222" s="46" t="inlineStr">
        <is>
          <t xml:space="preserve">2,500 - 5,000</t>
        </is>
      </c>
      <c r="Q222" s="46" t="inlineStr">
        <is>
          <t xml:space="preserve">Louisiana</t>
        </is>
      </c>
      <c r="R222" s="46" t="inlineStr">
        <is>
          <t xml:space="preserve">70112</t>
        </is>
      </c>
      <c r="S222" s="48" t="inlineStr">
        <is>
          <t xml:space="preserve">Tier 2 - Coastal wind (1-25 miles)</t>
        </is>
      </c>
      <c r="T222" s="36">
        <f>IF($A222="","",IF($S222="","",IFERROR(INDEX('[1]natural catastrophe'!$D$6:$D$17,MATCH($S222,'[1]natural catastrophe'!$B$6:$B$17,0)),"?")))</f>
      </c>
      <c r="U222" s="46" t="inlineStr">
        <is>
          <t xml:space="preserve">2% of agreed value, minimum $10,000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3015.13</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CANON-202601-003346</t>
        </is>
      </c>
      <c r="B223" s="30" t="inlineStr">
        <is>
          <t xml:space="preserve">Emiliano Okonkwo</t>
        </is>
      </c>
      <c r="C223" s="31">
        <v>46052</v>
      </c>
      <c r="D223" s="32" t="inlineStr">
        <is>
          <t xml:space="preserve">Bound - within authority</t>
        </is>
      </c>
      <c r="E223" s="32" t="inlineStr">
        <is>
          <t xml:space="preserve">New business</t>
        </is>
      </c>
      <c r="F223" s="30" t="inlineStr">
        <is>
          <t xml:space="preserve">B1234EXOTIC26</t>
        </is>
      </c>
      <c r="G223" s="33">
        <f>IF($A223="","",IF($C223="","",YEAR($C223)))</f>
      </c>
      <c r="H223" s="34">
        <v>1974</v>
      </c>
      <c r="I223" s="30" t="inlineStr">
        <is>
          <t xml:space="preserve">Aston Martin</t>
        </is>
      </c>
      <c r="J223" s="30" t="inlineStr">
        <is>
          <t xml:space="preserve">DB12</t>
        </is>
      </c>
      <c r="K223" s="30" t="inlineStr">
        <is>
          <t xml:space="preserve">MX4YC4LBH78D27VZJ</t>
        </is>
      </c>
      <c r="L223" s="32" t="inlineStr">
        <is>
          <t xml:space="preserve">02 - Sports / GT</t>
        </is>
      </c>
      <c r="M223" s="35">
        <v>620000</v>
      </c>
      <c r="N223" s="32" t="inlineStr">
        <is>
          <t xml:space="preserve">Personal</t>
        </is>
      </c>
      <c r="O223" s="30" t="inlineStr">
        <is>
          <t xml:space="preserve">Personal - regular use</t>
        </is>
      </c>
      <c r="P223" s="30" t="inlineStr">
        <is>
          <t xml:space="preserve">1,000 - 2,500</t>
        </is>
      </c>
      <c r="Q223" s="30" t="inlineStr">
        <is>
          <t xml:space="preserve">Kentucky</t>
        </is>
      </c>
      <c r="R223" s="30" t="inlineStr">
        <is>
          <t xml:space="preserve">40202</t>
        </is>
      </c>
      <c r="S223" s="32" t="inlineStr">
        <is>
          <t xml:space="preserve">Severe convective - hail / tornado (moderate)</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9141.62</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CANON-202601-003347</t>
        </is>
      </c>
      <c r="B224" s="46" t="inlineStr">
        <is>
          <t xml:space="preserve">Noor Nakashima</t>
        </is>
      </c>
      <c r="C224" s="47">
        <v>46034</v>
      </c>
      <c r="D224" s="48" t="inlineStr">
        <is>
          <t xml:space="preserve">Bound - within authority</t>
        </is>
      </c>
      <c r="E224" s="48" t="inlineStr">
        <is>
          <t xml:space="preserve">New business</t>
        </is>
      </c>
      <c r="F224" s="46" t="inlineStr">
        <is>
          <t xml:space="preserve">B1234EXOTIC26</t>
        </is>
      </c>
      <c r="G224" s="33">
        <f>IF($A224="","",IF($C224="","",YEAR($C224)))</f>
      </c>
      <c r="H224" s="49">
        <v>1960</v>
      </c>
      <c r="I224" s="46" t="inlineStr">
        <is>
          <t xml:space="preserve">Aston Martin</t>
        </is>
      </c>
      <c r="J224" s="46" t="inlineStr">
        <is>
          <t xml:space="preserve">DB12</t>
        </is>
      </c>
      <c r="K224" s="46" t="inlineStr">
        <is>
          <t xml:space="preserve">8TBF2JMCGNPC3M4V0</t>
        </is>
      </c>
      <c r="L224" s="48" t="inlineStr">
        <is>
          <t xml:space="preserve">02 - Sports / GT</t>
        </is>
      </c>
      <c r="M224" s="50">
        <v>635000</v>
      </c>
      <c r="N224" s="48" t="inlineStr">
        <is>
          <t xml:space="preserve">Personal</t>
        </is>
      </c>
      <c r="O224" s="46" t="inlineStr">
        <is>
          <t xml:space="preserve">Personal - regular use</t>
        </is>
      </c>
      <c r="P224" s="46" t="inlineStr">
        <is>
          <t xml:space="preserve">Under 1,000</t>
        </is>
      </c>
      <c r="Q224" s="46" t="inlineStr">
        <is>
          <t xml:space="preserve">Vermont</t>
        </is>
      </c>
      <c r="R224" s="46" t="inlineStr">
        <is>
          <t xml:space="preserve">05601</t>
        </is>
      </c>
      <c r="S224" s="48" t="inlineStr">
        <is>
          <t xml:space="preserve">Low hazard - inland benign</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8524.33</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CANON-202601-003348</t>
        </is>
      </c>
      <c r="B225" s="30" t="inlineStr">
        <is>
          <t xml:space="preserve">Wilhelmina Vandermeer</t>
        </is>
      </c>
      <c r="C225" s="31">
        <v>46023</v>
      </c>
      <c r="D225" s="32" t="inlineStr">
        <is>
          <t xml:space="preserve">Bound - within authority</t>
        </is>
      </c>
      <c r="E225" s="32" t="inlineStr">
        <is>
          <t xml:space="preserve">New business</t>
        </is>
      </c>
      <c r="F225" s="30" t="inlineStr">
        <is>
          <t xml:space="preserve">B1234EXOTIC26</t>
        </is>
      </c>
      <c r="G225" s="33">
        <f>IF($A225="","",IF($C225="","",YEAR($C225)))</f>
      </c>
      <c r="H225" s="34">
        <v>1987</v>
      </c>
      <c r="I225" s="30" t="inlineStr">
        <is>
          <t xml:space="preserve">McLaren</t>
        </is>
      </c>
      <c r="J225" s="30" t="inlineStr">
        <is>
          <t xml:space="preserve">750S</t>
        </is>
      </c>
      <c r="K225" s="30" t="inlineStr">
        <is>
          <t xml:space="preserve">EFKN6PEP5FWRG8P81</t>
        </is>
      </c>
      <c r="L225" s="32" t="inlineStr">
        <is>
          <t xml:space="preserve">03 - Supercar</t>
        </is>
      </c>
      <c r="M225" s="35">
        <v>1440000</v>
      </c>
      <c r="N225" s="32" t="inlineStr">
        <is>
          <t xml:space="preserve">Personal</t>
        </is>
      </c>
      <c r="O225" s="30" t="inlineStr">
        <is>
          <t xml:space="preserve">Personal - regular use</t>
        </is>
      </c>
      <c r="P225" s="30" t="inlineStr">
        <is>
          <t xml:space="preserve">Under 1,000</t>
        </is>
      </c>
      <c r="Q225" s="30" t="inlineStr">
        <is>
          <t xml:space="preserve">Oregon</t>
        </is>
      </c>
      <c r="R225" s="30" t="inlineStr">
        <is>
          <t xml:space="preserve">97204</t>
        </is>
      </c>
      <c r="S225" s="32" t="inlineStr">
        <is>
          <t xml:space="preserve">Earthquake - high (CA, Cascadia, New Madrid)</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22036.59</v>
      </c>
      <c r="AC225" s="37">
        <v>0</v>
      </c>
      <c r="AD225" s="38">
        <f>IF(ISNUMBER($AB225),$AB225*(1+N($AC225)),"")</f>
      </c>
      <c r="AE225" s="35">
        <v>350</v>
      </c>
      <c r="AF225" s="35">
        <v>250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CANON-202601-003349</t>
        </is>
      </c>
      <c r="B226" s="46" t="inlineStr">
        <is>
          <t xml:space="preserve">Everett Castellanos</t>
        </is>
      </c>
      <c r="C226" s="47">
        <v>46027</v>
      </c>
      <c r="D226" s="48" t="inlineStr">
        <is>
          <t xml:space="preserve">Bound - within authority</t>
        </is>
      </c>
      <c r="E226" s="48" t="inlineStr">
        <is>
          <t xml:space="preserve">New business</t>
        </is>
      </c>
      <c r="F226" s="46" t="inlineStr">
        <is>
          <t xml:space="preserve">B1234EXOTIC26</t>
        </is>
      </c>
      <c r="G226" s="33">
        <f>IF($A226="","",IF($C226="","",YEAR($C226)))</f>
      </c>
      <c r="H226" s="49">
        <v>2013</v>
      </c>
      <c r="I226" s="46" t="inlineStr">
        <is>
          <t xml:space="preserve">BMW</t>
        </is>
      </c>
      <c r="J226" s="46" t="inlineStr">
        <is>
          <t xml:space="preserve">M8 Competition</t>
        </is>
      </c>
      <c r="K226" s="46" t="inlineStr">
        <is>
          <t xml:space="preserve">W98MB0MC72Y4ZSVLS</t>
        </is>
      </c>
      <c r="L226" s="48" t="inlineStr">
        <is>
          <t xml:space="preserve">02 - Sports / GT</t>
        </is>
      </c>
      <c r="M226" s="50">
        <v>620000</v>
      </c>
      <c r="N226" s="48" t="inlineStr">
        <is>
          <t xml:space="preserve">Personal</t>
        </is>
      </c>
      <c r="O226" s="46" t="inlineStr">
        <is>
          <t xml:space="preserve">Personal - regular use</t>
        </is>
      </c>
      <c r="P226" s="46" t="inlineStr">
        <is>
          <t xml:space="preserve">1,000 - 2,500</t>
        </is>
      </c>
      <c r="Q226" s="46" t="inlineStr">
        <is>
          <t xml:space="preserve">Kentucky</t>
        </is>
      </c>
      <c r="R226" s="46" t="inlineStr">
        <is>
          <t xml:space="preserve">40202</t>
        </is>
      </c>
      <c r="S226" s="48" t="inlineStr">
        <is>
          <t xml:space="preserve">Severe convective - hail / tornado (moderate)</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9141.62</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CANON-202601-003350</t>
        </is>
      </c>
      <c r="B227" s="30" t="inlineStr">
        <is>
          <t xml:space="preserve">Delphine Rourke</t>
        </is>
      </c>
      <c r="C227" s="31">
        <v>46046</v>
      </c>
      <c r="D227" s="32" t="inlineStr">
        <is>
          <t xml:space="preserve">Bound - within authority</t>
        </is>
      </c>
      <c r="E227" s="32" t="inlineStr">
        <is>
          <t xml:space="preserve">New business</t>
        </is>
      </c>
      <c r="F227" s="30" t="inlineStr">
        <is>
          <t xml:space="preserve">B1234EXOTIC26</t>
        </is>
      </c>
      <c r="G227" s="33">
        <f>IF($A227="","",IF($C227="","",YEAR($C227)))</f>
      </c>
      <c r="H227" s="34">
        <v>2014</v>
      </c>
      <c r="I227" s="30" t="inlineStr">
        <is>
          <t xml:space="preserve">Aston Martin</t>
        </is>
      </c>
      <c r="J227" s="30" t="inlineStr">
        <is>
          <t xml:space="preserve">DB5</t>
        </is>
      </c>
      <c r="K227" s="30" t="inlineStr">
        <is>
          <t xml:space="preserve">XGYPYAXCG2VKKLZX8</t>
        </is>
      </c>
      <c r="L227" s="32" t="inlineStr">
        <is>
          <t xml:space="preserve">02 - Sports / GT</t>
        </is>
      </c>
      <c r="M227" s="35">
        <v>925000</v>
      </c>
      <c r="N227" s="32" t="inlineStr">
        <is>
          <t xml:space="preserve">Personal</t>
        </is>
      </c>
      <c r="O227" s="30" t="inlineStr">
        <is>
          <t xml:space="preserve">Personal - regular use</t>
        </is>
      </c>
      <c r="P227" s="30" t="inlineStr">
        <is>
          <t xml:space="preserve">1,000 - 2,500</t>
        </is>
      </c>
      <c r="Q227" s="30" t="inlineStr">
        <is>
          <t xml:space="preserve">Georgia</t>
        </is>
      </c>
      <c r="R227" s="30" t="inlineStr">
        <is>
          <t xml:space="preserve">30303</t>
        </is>
      </c>
      <c r="S227" s="32" t="inlineStr">
        <is>
          <t xml:space="preserve">Tier 2 - Coastal wind (1-25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7541.22</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CANON-202601-003351</t>
        </is>
      </c>
      <c r="B228" s="46" t="inlineStr">
        <is>
          <t xml:space="preserve">Sunniva Farkas</t>
        </is>
      </c>
      <c r="C228" s="47">
        <v>46023</v>
      </c>
      <c r="D228" s="48" t="inlineStr">
        <is>
          <t xml:space="preserve">Bound - within authority</t>
        </is>
      </c>
      <c r="E228" s="48" t="inlineStr">
        <is>
          <t xml:space="preserve">New business</t>
        </is>
      </c>
      <c r="F228" s="46" t="inlineStr">
        <is>
          <t xml:space="preserve">B1234EXOTIC26</t>
        </is>
      </c>
      <c r="G228" s="33">
        <f>IF($A228="","",IF($C228="","",YEAR($C228)))</f>
      </c>
      <c r="H228" s="49">
        <v>1979</v>
      </c>
      <c r="I228" s="46" t="inlineStr">
        <is>
          <t xml:space="preserve">Mercedes-Benz</t>
        </is>
      </c>
      <c r="J228" s="46" t="inlineStr">
        <is>
          <t xml:space="preserve">AMG GT</t>
        </is>
      </c>
      <c r="K228" s="46" t="inlineStr">
        <is>
          <t xml:space="preserve">30VLBTL9NGEKJGKEA</t>
        </is>
      </c>
      <c r="L228" s="48" t="inlineStr">
        <is>
          <t xml:space="preserve">02 - Sports / GT</t>
        </is>
      </c>
      <c r="M228" s="50">
        <v>420000</v>
      </c>
      <c r="N228" s="48" t="inlineStr">
        <is>
          <t xml:space="preserve">Personal</t>
        </is>
      </c>
      <c r="O228" s="46" t="inlineStr">
        <is>
          <t xml:space="preserve">Personal - regular use</t>
        </is>
      </c>
      <c r="P228" s="46" t="inlineStr">
        <is>
          <t xml:space="preserve">1,000 - 2,500</t>
        </is>
      </c>
      <c r="Q228" s="46" t="inlineStr">
        <is>
          <t xml:space="preserve">Mississippi</t>
        </is>
      </c>
      <c r="R228" s="46" t="inlineStr">
        <is>
          <t xml:space="preserve">39201</t>
        </is>
      </c>
      <c r="S228" s="48" t="inlineStr">
        <is>
          <t xml:space="preserve">Tier 2 - Coastal wind (1-25 miles)</t>
        </is>
      </c>
      <c r="T228" s="36">
        <f>IF($A228="","",IF($S228="","",IFERROR(INDEX('[1]natural catastrophe'!$D$6:$D$17,MATCH($S228,'[1]natural catastrophe'!$B$6:$B$17,0)),"?")))</f>
      </c>
      <c r="U228" s="46" t="inlineStr">
        <is>
          <t xml:space="preserve">2% of agreed value, minimum $10,000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6345.57</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CANON-202601-003352</t>
        </is>
      </c>
      <c r="B229" s="30" t="inlineStr">
        <is>
          <t xml:space="preserve">Beatrix Larsson</t>
        </is>
      </c>
      <c r="C229" s="31">
        <v>46037</v>
      </c>
      <c r="D229" s="32" t="inlineStr">
        <is>
          <t xml:space="preserve">Bound - within authority</t>
        </is>
      </c>
      <c r="E229" s="32" t="inlineStr">
        <is>
          <t xml:space="preserve">New business</t>
        </is>
      </c>
      <c r="F229" s="30" t="inlineStr">
        <is>
          <t xml:space="preserve">B1234EXOTIC26</t>
        </is>
      </c>
      <c r="G229" s="33">
        <f>IF($A229="","",IF($C229="","",YEAR($C229)))</f>
      </c>
      <c r="H229" s="34">
        <v>2001</v>
      </c>
      <c r="I229" s="30" t="inlineStr">
        <is>
          <t xml:space="preserve">Aston Martin</t>
        </is>
      </c>
      <c r="J229" s="30" t="inlineStr">
        <is>
          <t xml:space="preserve">DB12</t>
        </is>
      </c>
      <c r="K229" s="30" t="inlineStr">
        <is>
          <t xml:space="preserve">A0WZKWBGBW5V6MUU8</t>
        </is>
      </c>
      <c r="L229" s="32" t="inlineStr">
        <is>
          <t xml:space="preserve">02 - Sports / GT</t>
        </is>
      </c>
      <c r="M229" s="35">
        <v>520000</v>
      </c>
      <c r="N229" s="32" t="inlineStr">
        <is>
          <t xml:space="preserve">Personal</t>
        </is>
      </c>
      <c r="O229" s="30" t="inlineStr">
        <is>
          <t xml:space="preserve">Personal - regular use</t>
        </is>
      </c>
      <c r="P229" s="30" t="inlineStr">
        <is>
          <t xml:space="preserve">Under 1,000</t>
        </is>
      </c>
      <c r="Q229" s="30" t="inlineStr">
        <is>
          <t xml:space="preserve">Arkansas</t>
        </is>
      </c>
      <c r="R229" s="30" t="inlineStr">
        <is>
          <t xml:space="preserve">72201</t>
        </is>
      </c>
      <c r="S229" s="32" t="inlineStr">
        <is>
          <t xml:space="preserve">Severe convective - hail / tornado (moderate)</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7896.03</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CANON-202601-003353</t>
        </is>
      </c>
      <c r="B230" s="46" t="inlineStr">
        <is>
          <t xml:space="preserve">Noor Vasquez</t>
        </is>
      </c>
      <c r="C230" s="47">
        <v>46052</v>
      </c>
      <c r="D230" s="48" t="inlineStr">
        <is>
          <t xml:space="preserve">Bound - within authority</t>
        </is>
      </c>
      <c r="E230" s="48" t="inlineStr">
        <is>
          <t xml:space="preserve">New business</t>
        </is>
      </c>
      <c r="F230" s="46" t="inlineStr">
        <is>
          <t xml:space="preserve">B1234EXOTIC26</t>
        </is>
      </c>
      <c r="G230" s="33">
        <f>IF($A230="","",IF($C230="","",YEAR($C230)))</f>
      </c>
      <c r="H230" s="49">
        <v>1989</v>
      </c>
      <c r="I230" s="46" t="inlineStr">
        <is>
          <t xml:space="preserve">Ringbrothers</t>
        </is>
      </c>
      <c r="J230" s="46" t="inlineStr">
        <is>
          <t xml:space="preserve">Mustang</t>
        </is>
      </c>
      <c r="K230" s="46" t="inlineStr">
        <is>
          <t xml:space="preserve">R0CBCX0NF7J0H6FUS</t>
        </is>
      </c>
      <c r="L230" s="48" t="inlineStr">
        <is>
          <t xml:space="preserve">11 - Restomod / Coachbuilt / Bespoke</t>
        </is>
      </c>
      <c r="M230" s="50">
        <v>1415000</v>
      </c>
      <c r="N230" s="48" t="inlineStr">
        <is>
          <t xml:space="preserve">Personal</t>
        </is>
      </c>
      <c r="O230" s="46" t="inlineStr">
        <is>
          <t xml:space="preserve">Personal - regular use</t>
        </is>
      </c>
      <c r="P230" s="46" t="inlineStr">
        <is>
          <t xml:space="preserve">1,000 - 2,500</t>
        </is>
      </c>
      <c r="Q230" s="46" t="inlineStr">
        <is>
          <t xml:space="preserve">Idaho</t>
        </is>
      </c>
      <c r="R230" s="46" t="inlineStr">
        <is>
          <t xml:space="preserve">83702</t>
        </is>
      </c>
      <c r="S230" s="48" t="inlineStr">
        <is>
          <t xml:space="preserve">Wildfire - WUI high hazard</t>
        </is>
      </c>
      <c r="T230" s="36">
        <f>IF($A230="","",IF($S230="","",IFERROR(INDEX('[1]natural catastrophe'!$D$6:$D$17,MATCH($S230,'[1]natural catastrophe'!$B$6:$B$17,0)),"?")))</f>
      </c>
      <c r="U230" s="46" t="inlineStr">
        <is>
          <t xml:space="preserve">$5,000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16125.53</v>
      </c>
      <c r="AC230" s="51">
        <v>0</v>
      </c>
      <c r="AD230" s="38">
        <f>IF(ISNUMBER($AB230),$AB230*(1+N($AC230)),"")</f>
      </c>
      <c r="AE230" s="50">
        <v>350</v>
      </c>
      <c r="AF230" s="50">
        <v>250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CANON-202601-003354</t>
        </is>
      </c>
      <c r="B231" s="30" t="inlineStr">
        <is>
          <t xml:space="preserve">Delphine Fairweather</t>
        </is>
      </c>
      <c r="C231" s="31">
        <v>46048</v>
      </c>
      <c r="D231" s="32" t="inlineStr">
        <is>
          <t xml:space="preserve">Bound - within authority</t>
        </is>
      </c>
      <c r="E231" s="32" t="inlineStr">
        <is>
          <t xml:space="preserve">New business</t>
        </is>
      </c>
      <c r="F231" s="30" t="inlineStr">
        <is>
          <t xml:space="preserve">B1234EXOTIC26</t>
        </is>
      </c>
      <c r="G231" s="33">
        <f>IF($A231="","",IF($C231="","",YEAR($C231)))</f>
      </c>
      <c r="H231" s="34">
        <v>2017</v>
      </c>
      <c r="I231" s="30" t="inlineStr">
        <is>
          <t xml:space="preserve">BMW</t>
        </is>
      </c>
      <c r="J231" s="30" t="inlineStr">
        <is>
          <t xml:space="preserve">M8 Competition</t>
        </is>
      </c>
      <c r="K231" s="30" t="inlineStr">
        <is>
          <t xml:space="preserve">V6PJBNZY68RBEY8P8</t>
        </is>
      </c>
      <c r="L231" s="32" t="inlineStr">
        <is>
          <t xml:space="preserve">02 - Sports / GT</t>
        </is>
      </c>
      <c r="M231" s="35">
        <v>745000</v>
      </c>
      <c r="N231" s="32" t="inlineStr">
        <is>
          <t xml:space="preserve">Personal</t>
        </is>
      </c>
      <c r="O231" s="30" t="inlineStr">
        <is>
          <t xml:space="preserve">Personal - regular use</t>
        </is>
      </c>
      <c r="P231" s="30" t="inlineStr">
        <is>
          <t xml:space="preserve">2,500 - 5,000</t>
        </is>
      </c>
      <c r="Q231" s="30" t="inlineStr">
        <is>
          <t xml:space="preserve">New Jersey</t>
        </is>
      </c>
      <c r="R231" s="30" t="inlineStr">
        <is>
          <t xml:space="preserve">07102</t>
        </is>
      </c>
      <c r="S231" s="32" t="inlineStr">
        <is>
          <t xml:space="preserve">Tier 3 - Coastal wind (25-100 miles)</t>
        </is>
      </c>
      <c r="T231" s="36">
        <f>IF($A231="","",IF($S231="","",IFERROR(INDEX('[1]natural catastrophe'!$D$6:$D$17,MATCH($S231,'[1]natural catastrophe'!$B$6:$B$17,0)),"?")))</f>
      </c>
      <c r="U231" s="30" t="inlineStr">
        <is>
          <t xml:space="preserve">2% of agreed value, minimum $10,000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7459.75</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CANON-202601-003355</t>
        </is>
      </c>
      <c r="B232" s="46" t="inlineStr">
        <is>
          <t xml:space="preserve">Delphine Nakashima</t>
        </is>
      </c>
      <c r="C232" s="47">
        <v>46028</v>
      </c>
      <c r="D232" s="48" t="inlineStr">
        <is>
          <t xml:space="preserve">Bound - within authority</t>
        </is>
      </c>
      <c r="E232" s="48" t="inlineStr">
        <is>
          <t xml:space="preserve">New business</t>
        </is>
      </c>
      <c r="F232" s="46" t="inlineStr">
        <is>
          <t xml:space="preserve">B1234EXOTIC26</t>
        </is>
      </c>
      <c r="G232" s="33">
        <f>IF($A232="","",IF($C232="","",YEAR($C232)))</f>
      </c>
      <c r="H232" s="49">
        <v>1984</v>
      </c>
      <c r="I232" s="46" t="inlineStr">
        <is>
          <t xml:space="preserve">Icon</t>
        </is>
      </c>
      <c r="J232" s="46" t="inlineStr">
        <is>
          <t xml:space="preserve">Derelict</t>
        </is>
      </c>
      <c r="K232" s="46" t="inlineStr">
        <is>
          <t xml:space="preserve">8S3U6EH4SXXL19ZBH</t>
        </is>
      </c>
      <c r="L232" s="48" t="inlineStr">
        <is>
          <t xml:space="preserve">11 - Restomod / Coachbuilt / Bespoke</t>
        </is>
      </c>
      <c r="M232" s="50">
        <v>320000</v>
      </c>
      <c r="N232" s="48" t="inlineStr">
        <is>
          <t xml:space="preserve">Personal</t>
        </is>
      </c>
      <c r="O232" s="46" t="inlineStr">
        <is>
          <t xml:space="preserve">Personal - regular use</t>
        </is>
      </c>
      <c r="P232" s="46" t="inlineStr">
        <is>
          <t xml:space="preserve">1,000 - 2,500</t>
        </is>
      </c>
      <c r="Q232" s="46" t="inlineStr">
        <is>
          <t xml:space="preserve">Illinois</t>
        </is>
      </c>
      <c r="R232" s="46" t="inlineStr">
        <is>
          <t xml:space="preserve">60601</t>
        </is>
      </c>
      <c r="S232" s="48" t="inlineStr">
        <is>
          <t xml:space="preserve">Severe convective - hail / tornado (moderate)</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6483.13</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CANON-202601-003357</t>
        </is>
      </c>
      <c r="B233" s="30" t="inlineStr">
        <is>
          <t xml:space="preserve">Desmond Vandermeer</t>
        </is>
      </c>
      <c r="C233" s="31">
        <v>46043</v>
      </c>
      <c r="D233" s="32" t="inlineStr">
        <is>
          <t xml:space="preserve">Bound - within authority</t>
        </is>
      </c>
      <c r="E233" s="32" t="inlineStr">
        <is>
          <t xml:space="preserve">New business</t>
        </is>
      </c>
      <c r="F233" s="30" t="inlineStr">
        <is>
          <t xml:space="preserve">B1234EXOTIC26</t>
        </is>
      </c>
      <c r="G233" s="33">
        <f>IF($A233="","",IF($C233="","",YEAR($C233)))</f>
      </c>
      <c r="H233" s="34">
        <v>1984</v>
      </c>
      <c r="I233" s="30" t="inlineStr">
        <is>
          <t xml:space="preserve">Bentley</t>
        </is>
      </c>
      <c r="J233" s="30" t="inlineStr">
        <is>
          <t xml:space="preserve">Continental GT</t>
        </is>
      </c>
      <c r="K233" s="30" t="inlineStr">
        <is>
          <t xml:space="preserve">7DMWN7J6DN9RV7VXC</t>
        </is>
      </c>
      <c r="L233" s="32" t="inlineStr">
        <is>
          <t xml:space="preserve">02 - Sports / GT</t>
        </is>
      </c>
      <c r="M233" s="35">
        <v>560000</v>
      </c>
      <c r="N233" s="32" t="inlineStr">
        <is>
          <t xml:space="preserve">Personal</t>
        </is>
      </c>
      <c r="O233" s="30" t="inlineStr">
        <is>
          <t xml:space="preserve">Personal - regular use</t>
        </is>
      </c>
      <c r="P233" s="30" t="inlineStr">
        <is>
          <t xml:space="preserve">Under 1,000</t>
        </is>
      </c>
      <c r="Q233" s="30" t="inlineStr">
        <is>
          <t xml:space="preserve">California</t>
        </is>
      </c>
      <c r="R233" s="30" t="inlineStr">
        <is>
          <t xml:space="preserve">90012</t>
        </is>
      </c>
      <c r="S233" s="32" t="inlineStr">
        <is>
          <t xml:space="preserve">Earthquake - high (CA, Cascadia, New Madrid)</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8318.57</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CANON-202601-003358</t>
        </is>
      </c>
      <c r="B234" s="46" t="inlineStr">
        <is>
          <t xml:space="preserve">Beatrix Merriweather</t>
        </is>
      </c>
      <c r="C234" s="47">
        <v>46033</v>
      </c>
      <c r="D234" s="48" t="inlineStr">
        <is>
          <t xml:space="preserve">Bound - within authority</t>
        </is>
      </c>
      <c r="E234" s="48" t="inlineStr">
        <is>
          <t xml:space="preserve">New business</t>
        </is>
      </c>
      <c r="F234" s="46" t="inlineStr">
        <is>
          <t xml:space="preserve">B1234EXOTIC26</t>
        </is>
      </c>
      <c r="G234" s="33">
        <f>IF($A234="","",IF($C234="","",YEAR($C234)))</f>
      </c>
      <c r="H234" s="49">
        <v>2020</v>
      </c>
      <c r="I234" s="46" t="inlineStr">
        <is>
          <t xml:space="preserve">Aston Martin</t>
        </is>
      </c>
      <c r="J234" s="46" t="inlineStr">
        <is>
          <t xml:space="preserve">DB12</t>
        </is>
      </c>
      <c r="K234" s="46" t="inlineStr">
        <is>
          <t xml:space="preserve">ZKAJJ0MLZ7MP4NU1P</t>
        </is>
      </c>
      <c r="L234" s="48" t="inlineStr">
        <is>
          <t xml:space="preserve">02 - Sports / GT</t>
        </is>
      </c>
      <c r="M234" s="50">
        <v>1700000</v>
      </c>
      <c r="N234" s="48" t="inlineStr">
        <is>
          <t xml:space="preserve">Personal</t>
        </is>
      </c>
      <c r="O234" s="46" t="inlineStr">
        <is>
          <t xml:space="preserve">Personal - regular use</t>
        </is>
      </c>
      <c r="P234" s="46" t="inlineStr">
        <is>
          <t xml:space="preserve">1,000 - 2,500</t>
        </is>
      </c>
      <c r="Q234" s="46" t="inlineStr">
        <is>
          <t xml:space="preserve">New Mexico</t>
        </is>
      </c>
      <c r="R234" s="46" t="inlineStr">
        <is>
          <t xml:space="preserve">87501</t>
        </is>
      </c>
      <c r="S234" s="48" t="inlineStr">
        <is>
          <t xml:space="preserve">Wildfire - WUI high hazard</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20259.79</v>
      </c>
      <c r="AC234" s="51">
        <v>0</v>
      </c>
      <c r="AD234" s="38">
        <f>IF(ISNUMBER($AB234),$AB234*(1+N($AC234)),"")</f>
      </c>
      <c r="AE234" s="50">
        <v>350</v>
      </c>
      <c r="AF234" s="50">
        <v>250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CANON-202601-003360</t>
        </is>
      </c>
      <c r="B235" s="30" t="inlineStr">
        <is>
          <t xml:space="preserve">Leopold Okonkwo</t>
        </is>
      </c>
      <c r="C235" s="31">
        <v>46042</v>
      </c>
      <c r="D235" s="32" t="inlineStr">
        <is>
          <t xml:space="preserve">Bound - within authority</t>
        </is>
      </c>
      <c r="E235" s="32" t="inlineStr">
        <is>
          <t xml:space="preserve">New business</t>
        </is>
      </c>
      <c r="F235" s="30" t="inlineStr">
        <is>
          <t xml:space="preserve">B1234EXOTIC26</t>
        </is>
      </c>
      <c r="G235" s="33">
        <f>IF($A235="","",IF($C235="","",YEAR($C235)))</f>
      </c>
      <c r="H235" s="34">
        <v>2003</v>
      </c>
      <c r="I235" s="30" t="inlineStr">
        <is>
          <t xml:space="preserve">Porsche</t>
        </is>
      </c>
      <c r="J235" s="30" t="inlineStr">
        <is>
          <t xml:space="preserve">911 Turbo S</t>
        </is>
      </c>
      <c r="K235" s="30" t="inlineStr">
        <is>
          <t xml:space="preserve">ER5R1AKGYX3EWPZVS</t>
        </is>
      </c>
      <c r="L235" s="32" t="inlineStr">
        <is>
          <t xml:space="preserve">02 - Sports / GT</t>
        </is>
      </c>
      <c r="M235" s="35">
        <v>1705000</v>
      </c>
      <c r="N235" s="32" t="inlineStr">
        <is>
          <t xml:space="preserve">Personal</t>
        </is>
      </c>
      <c r="O235" s="30" t="inlineStr">
        <is>
          <t xml:space="preserve">Personal - regular use</t>
        </is>
      </c>
      <c r="P235" s="30" t="inlineStr">
        <is>
          <t xml:space="preserve">Under 1,000</t>
        </is>
      </c>
      <c r="Q235" s="30" t="inlineStr">
        <is>
          <t xml:space="preserve">Colorado</t>
        </is>
      </c>
      <c r="R235" s="30" t="inlineStr">
        <is>
          <t xml:space="preserve">80202</t>
        </is>
      </c>
      <c r="S235" s="32" t="inlineStr">
        <is>
          <t xml:space="preserve">Severe convective - hail alley (high)</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17461.97</v>
      </c>
      <c r="AC235" s="37">
        <v>0</v>
      </c>
      <c r="AD235" s="38">
        <f>IF(ISNUMBER($AB235),$AB235*(1+N($AC235)),"")</f>
      </c>
      <c r="AE235" s="35">
        <v>350</v>
      </c>
      <c r="AF235" s="35">
        <v>250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CANON-202601-003361</t>
        </is>
      </c>
      <c r="B236" s="46" t="inlineStr">
        <is>
          <t xml:space="preserve">Fitzgerald Vasquez</t>
        </is>
      </c>
      <c r="C236" s="47">
        <v>46031</v>
      </c>
      <c r="D236" s="48" t="inlineStr">
        <is>
          <t xml:space="preserve">Bound - within authority</t>
        </is>
      </c>
      <c r="E236" s="48" t="inlineStr">
        <is>
          <t xml:space="preserve">New business</t>
        </is>
      </c>
      <c r="F236" s="46" t="inlineStr">
        <is>
          <t xml:space="preserve">B1234EXOTIC26</t>
        </is>
      </c>
      <c r="G236" s="33">
        <f>IF($A236="","",IF($C236="","",YEAR($C236)))</f>
      </c>
      <c r="H236" s="49">
        <v>2007</v>
      </c>
      <c r="I236" s="46" t="inlineStr">
        <is>
          <t xml:space="preserve">Ferrari</t>
        </is>
      </c>
      <c r="J236" s="46" t="inlineStr">
        <is>
          <t xml:space="preserve">SF90 Stradale</t>
        </is>
      </c>
      <c r="K236" s="46" t="inlineStr">
        <is>
          <t xml:space="preserve">9RHZF4V59XDGTX22B</t>
        </is>
      </c>
      <c r="L236" s="48" t="inlineStr">
        <is>
          <t xml:space="preserve">03 - Supercar</t>
        </is>
      </c>
      <c r="M236" s="50">
        <v>1090000</v>
      </c>
      <c r="N236" s="48" t="inlineStr">
        <is>
          <t xml:space="preserve">Personal</t>
        </is>
      </c>
      <c r="O236" s="46" t="inlineStr">
        <is>
          <t xml:space="preserve">Personal - regular use</t>
        </is>
      </c>
      <c r="P236" s="46" t="inlineStr">
        <is>
          <t xml:space="preserve">Under 1,000</t>
        </is>
      </c>
      <c r="Q236" s="46" t="inlineStr">
        <is>
          <t xml:space="preserve">Florida</t>
        </is>
      </c>
      <c r="R236" s="46" t="inlineStr">
        <is>
          <t xml:space="preserve">33139</t>
        </is>
      </c>
      <c r="S236" s="48" t="inlineStr">
        <is>
          <t xml:space="preserve">Tier 2 - Coastal wind (1-25 miles)</t>
        </is>
      </c>
      <c r="T236" s="36">
        <f>IF($A236="","",IF($S236="","",IFERROR(INDEX('[1]natural catastrophe'!$D$6:$D$17,MATCH($S236,'[1]natural catastrophe'!$B$6:$B$17,0)),"?")))</f>
      </c>
      <c r="U236" s="46" t="inlineStr">
        <is>
          <t xml:space="preserve">2% of agreed value, minimum $10,000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20961.3</v>
      </c>
      <c r="AC236" s="51">
        <v>0</v>
      </c>
      <c r="AD236" s="38">
        <f>IF(ISNUMBER($AB236),$AB236*(1+N($AC236)),"")</f>
      </c>
      <c r="AE236" s="50">
        <v>350</v>
      </c>
      <c r="AF236" s="50">
        <v>250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CANON-202601-003362</t>
        </is>
      </c>
      <c r="B237" s="30" t="inlineStr">
        <is>
          <t xml:space="preserve">Marisol Okonkwo</t>
        </is>
      </c>
      <c r="C237" s="31">
        <v>46039</v>
      </c>
      <c r="D237" s="32" t="inlineStr">
        <is>
          <t xml:space="preserve">Bound - within authority</t>
        </is>
      </c>
      <c r="E237" s="32" t="inlineStr">
        <is>
          <t xml:space="preserve">New business</t>
        </is>
      </c>
      <c r="F237" s="30" t="inlineStr">
        <is>
          <t xml:space="preserve">B1234EXOTIC26</t>
        </is>
      </c>
      <c r="G237" s="33">
        <f>IF($A237="","",IF($C237="","",YEAR($C237)))</f>
      </c>
      <c r="H237" s="34">
        <v>1977</v>
      </c>
      <c r="I237" s="30" t="inlineStr">
        <is>
          <t xml:space="preserve">Ferrari</t>
        </is>
      </c>
      <c r="J237" s="30" t="inlineStr">
        <is>
          <t xml:space="preserve">296 GTB</t>
        </is>
      </c>
      <c r="K237" s="30" t="inlineStr">
        <is>
          <t xml:space="preserve">HYX82F6DF1YTVS529</t>
        </is>
      </c>
      <c r="L237" s="32" t="inlineStr">
        <is>
          <t xml:space="preserve">03 - Supercar</t>
        </is>
      </c>
      <c r="M237" s="35">
        <v>500000</v>
      </c>
      <c r="N237" s="32" t="inlineStr">
        <is>
          <t xml:space="preserve">Personal</t>
        </is>
      </c>
      <c r="O237" s="30" t="inlineStr">
        <is>
          <t xml:space="preserve">Personal - regular use</t>
        </is>
      </c>
      <c r="P237" s="30" t="inlineStr">
        <is>
          <t xml:space="preserve">Under 1,000</t>
        </is>
      </c>
      <c r="Q237" s="30" t="inlineStr">
        <is>
          <t xml:space="preserve">West Virginia</t>
        </is>
      </c>
      <c r="R237" s="30" t="inlineStr">
        <is>
          <t xml:space="preserve">25301</t>
        </is>
      </c>
      <c r="S237" s="32" t="inlineStr">
        <is>
          <t xml:space="preserve">Low hazard - inland benign</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10694.45</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CANON-202601-003363</t>
        </is>
      </c>
      <c r="B238" s="46" t="inlineStr">
        <is>
          <t xml:space="preserve">Priya Farkas</t>
        </is>
      </c>
      <c r="C238" s="47">
        <v>46030</v>
      </c>
      <c r="D238" s="48" t="inlineStr">
        <is>
          <t xml:space="preserve">Bound - within authority</t>
        </is>
      </c>
      <c r="E238" s="48" t="inlineStr">
        <is>
          <t xml:space="preserve">New business</t>
        </is>
      </c>
      <c r="F238" s="46" t="inlineStr">
        <is>
          <t xml:space="preserve">B1234EXOTIC26</t>
        </is>
      </c>
      <c r="G238" s="33">
        <f>IF($A238="","",IF($C238="","",YEAR($C238)))</f>
      </c>
      <c r="H238" s="49">
        <v>1956</v>
      </c>
      <c r="I238" s="46" t="inlineStr">
        <is>
          <t xml:space="preserve">Bentley</t>
        </is>
      </c>
      <c r="J238" s="46" t="inlineStr">
        <is>
          <t xml:space="preserve">Continental GT</t>
        </is>
      </c>
      <c r="K238" s="46" t="inlineStr">
        <is>
          <t xml:space="preserve">4P302L3NAR0CH4NLM</t>
        </is>
      </c>
      <c r="L238" s="48" t="inlineStr">
        <is>
          <t xml:space="preserve">02 - Sports / GT</t>
        </is>
      </c>
      <c r="M238" s="50">
        <v>360000</v>
      </c>
      <c r="N238" s="48" t="inlineStr">
        <is>
          <t xml:space="preserve">Personal</t>
        </is>
      </c>
      <c r="O238" s="46" t="inlineStr">
        <is>
          <t xml:space="preserve">Personal - regular use</t>
        </is>
      </c>
      <c r="P238" s="46" t="inlineStr">
        <is>
          <t xml:space="preserve">2,500 - 5,000</t>
        </is>
      </c>
      <c r="Q238" s="46" t="inlineStr">
        <is>
          <t xml:space="preserve">New York</t>
        </is>
      </c>
      <c r="R238" s="46" t="inlineStr">
        <is>
          <t xml:space="preserve">10022</t>
        </is>
      </c>
      <c r="S238" s="48" t="inlineStr">
        <is>
          <t xml:space="preserve">Tier 3 - Coastal wind (25-100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5850.42</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CANON-202601-003364</t>
        </is>
      </c>
      <c r="B239" s="30" t="inlineStr">
        <is>
          <t xml:space="preserve">Horace Montoya</t>
        </is>
      </c>
      <c r="C239" s="31">
        <v>46024</v>
      </c>
      <c r="D239" s="32" t="inlineStr">
        <is>
          <t xml:space="preserve">Bound - within authority</t>
        </is>
      </c>
      <c r="E239" s="32" t="inlineStr">
        <is>
          <t xml:space="preserve">New business</t>
        </is>
      </c>
      <c r="F239" s="30" t="inlineStr">
        <is>
          <t xml:space="preserve">B1234EXOTIC26</t>
        </is>
      </c>
      <c r="G239" s="33">
        <f>IF($A239="","",IF($C239="","",YEAR($C239)))</f>
      </c>
      <c r="H239" s="34">
        <v>1992</v>
      </c>
      <c r="I239" s="30" t="inlineStr">
        <is>
          <t xml:space="preserve">Ferrari</t>
        </is>
      </c>
      <c r="J239" s="30" t="inlineStr">
        <is>
          <t xml:space="preserve">275 GTB/4</t>
        </is>
      </c>
      <c r="K239" s="30" t="inlineStr">
        <is>
          <t xml:space="preserve">MLKVH8K39LSUNPU92</t>
        </is>
      </c>
      <c r="L239" s="32" t="inlineStr">
        <is>
          <t xml:space="preserve">08 - Modern Classic (1973-1999)</t>
        </is>
      </c>
      <c r="M239" s="35">
        <v>915000</v>
      </c>
      <c r="N239" s="32" t="inlineStr">
        <is>
          <t xml:space="preserve">Personal</t>
        </is>
      </c>
      <c r="O239" s="30" t="inlineStr">
        <is>
          <t xml:space="preserve">Personal - regular use</t>
        </is>
      </c>
      <c r="P239" s="30" t="inlineStr">
        <is>
          <t xml:space="preserve">2,500 - 5,000</t>
        </is>
      </c>
      <c r="Q239" s="30" t="inlineStr">
        <is>
          <t xml:space="preserve">New Jersey</t>
        </is>
      </c>
      <c r="R239" s="30" t="inlineStr">
        <is>
          <t xml:space="preserve">07102</t>
        </is>
      </c>
      <c r="S239" s="32" t="inlineStr">
        <is>
          <t xml:space="preserve">Tier 3 - Coastal wind (25-100 miles)</t>
        </is>
      </c>
      <c r="T239" s="36">
        <f>IF($A239="","",IF($S239="","",IFERROR(INDEX('[1]natural catastrophe'!$D$6:$D$17,MATCH($S239,'[1]natural catastrophe'!$B$6:$B$17,0)),"?")))</f>
      </c>
      <c r="U239" s="30" t="inlineStr">
        <is>
          <t xml:space="preserve">2% of agreed value, minimum $10,000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6061</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CANON-202601-003365</t>
        </is>
      </c>
      <c r="B240" s="46" t="inlineStr">
        <is>
          <t xml:space="preserve">Saoirse Pennington</t>
        </is>
      </c>
      <c r="C240" s="47">
        <v>46047</v>
      </c>
      <c r="D240" s="48" t="inlineStr">
        <is>
          <t xml:space="preserve">Bound - within authority</t>
        </is>
      </c>
      <c r="E240" s="48" t="inlineStr">
        <is>
          <t xml:space="preserve">New business</t>
        </is>
      </c>
      <c r="F240" s="46" t="inlineStr">
        <is>
          <t xml:space="preserve">B1234EXOTIC26</t>
        </is>
      </c>
      <c r="G240" s="33">
        <f>IF($A240="","",IF($C240="","",YEAR($C240)))</f>
      </c>
      <c r="H240" s="49">
        <v>1987</v>
      </c>
      <c r="I240" s="46" t="inlineStr">
        <is>
          <t xml:space="preserve">Bentley</t>
        </is>
      </c>
      <c r="J240" s="46" t="inlineStr">
        <is>
          <t xml:space="preserve">Continental GT</t>
        </is>
      </c>
      <c r="K240" s="46" t="inlineStr">
        <is>
          <t xml:space="preserve">8VNMYJTSV4W4VWSHE</t>
        </is>
      </c>
      <c r="L240" s="48" t="inlineStr">
        <is>
          <t xml:space="preserve">02 - Sports / GT</t>
        </is>
      </c>
      <c r="M240" s="50">
        <v>515000</v>
      </c>
      <c r="N240" s="48" t="inlineStr">
        <is>
          <t xml:space="preserve">Personal</t>
        </is>
      </c>
      <c r="O240" s="46" t="inlineStr">
        <is>
          <t xml:space="preserve">Personal - regular use</t>
        </is>
      </c>
      <c r="P240" s="46" t="inlineStr">
        <is>
          <t xml:space="preserve">1,000 - 2,500</t>
        </is>
      </c>
      <c r="Q240" s="46" t="inlineStr">
        <is>
          <t xml:space="preserve">Louisiana</t>
        </is>
      </c>
      <c r="R240" s="46" t="inlineStr">
        <is>
          <t xml:space="preserve">70112</t>
        </is>
      </c>
      <c r="S240" s="48" t="inlineStr">
        <is>
          <t xml:space="preserve">Tier 2 - Coastal wind (1-25 miles)</t>
        </is>
      </c>
      <c r="T240" s="36">
        <f>IF($A240="","",IF($S240="","",IFERROR(INDEX('[1]natural catastrophe'!$D$6:$D$17,MATCH($S240,'[1]natural catastrophe'!$B$6:$B$17,0)),"?")))</f>
      </c>
      <c r="U240" s="46" t="inlineStr">
        <is>
          <t xml:space="preserve">2% of agreed value, minimum $10,000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6856.77</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CANON-202601-003367</t>
        </is>
      </c>
      <c r="B241" s="30" t="inlineStr">
        <is>
          <t xml:space="preserve">Lorenzo Harrington</t>
        </is>
      </c>
      <c r="C241" s="31">
        <v>46033</v>
      </c>
      <c r="D241" s="32" t="inlineStr">
        <is>
          <t xml:space="preserve">Bound - within authority</t>
        </is>
      </c>
      <c r="E241" s="32" t="inlineStr">
        <is>
          <t xml:space="preserve">New business</t>
        </is>
      </c>
      <c r="F241" s="30" t="inlineStr">
        <is>
          <t xml:space="preserve">B1234EXOTIC26</t>
        </is>
      </c>
      <c r="G241" s="33">
        <f>IF($A241="","",IF($C241="","",YEAR($C241)))</f>
      </c>
      <c r="H241" s="34">
        <v>1961</v>
      </c>
      <c r="I241" s="30" t="inlineStr">
        <is>
          <t xml:space="preserve">Mercedes-Benz</t>
        </is>
      </c>
      <c r="J241" s="30" t="inlineStr">
        <is>
          <t xml:space="preserve">AMG GT</t>
        </is>
      </c>
      <c r="K241" s="30" t="inlineStr">
        <is>
          <t xml:space="preserve">AVBYNYV9UABN270L1</t>
        </is>
      </c>
      <c r="L241" s="32" t="inlineStr">
        <is>
          <t xml:space="preserve">02 - Sports / GT</t>
        </is>
      </c>
      <c r="M241" s="35">
        <v>700000</v>
      </c>
      <c r="N241" s="32" t="inlineStr">
        <is>
          <t xml:space="preserve">Personal</t>
        </is>
      </c>
      <c r="O241" s="30" t="inlineStr">
        <is>
          <t xml:space="preserve">Personal - regular use</t>
        </is>
      </c>
      <c r="P241" s="30" t="inlineStr">
        <is>
          <t xml:space="preserve">Under 1,000</t>
        </is>
      </c>
      <c r="Q241" s="30" t="inlineStr">
        <is>
          <t xml:space="preserve">Wisconsin</t>
        </is>
      </c>
      <c r="R241" s="30" t="inlineStr">
        <is>
          <t xml:space="preserve">53202</t>
        </is>
      </c>
      <c r="S241" s="32" t="inlineStr">
        <is>
          <t xml:space="preserve">Severe convective - hail / tornado (moderate)</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9242.86</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CANON-202601-003369</t>
        </is>
      </c>
      <c r="B242" s="46" t="inlineStr">
        <is>
          <t xml:space="preserve">Leopold Rourke</t>
        </is>
      </c>
      <c r="C242" s="47">
        <v>46027</v>
      </c>
      <c r="D242" s="48" t="inlineStr">
        <is>
          <t xml:space="preserve">Bound - within authority</t>
        </is>
      </c>
      <c r="E242" s="48" t="inlineStr">
        <is>
          <t xml:space="preserve">New business</t>
        </is>
      </c>
      <c r="F242" s="46" t="inlineStr">
        <is>
          <t xml:space="preserve">B1234EXOTIC26</t>
        </is>
      </c>
      <c r="G242" s="33">
        <f>IF($A242="","",IF($C242="","",YEAR($C242)))</f>
      </c>
      <c r="H242" s="49">
        <v>2013</v>
      </c>
      <c r="I242" s="46" t="inlineStr">
        <is>
          <t xml:space="preserve">Aston Martin</t>
        </is>
      </c>
      <c r="J242" s="46" t="inlineStr">
        <is>
          <t xml:space="preserve">DB12</t>
        </is>
      </c>
      <c r="K242" s="46" t="inlineStr">
        <is>
          <t xml:space="preserve">K4M6133ZZRXSAZY0T</t>
        </is>
      </c>
      <c r="L242" s="48" t="inlineStr">
        <is>
          <t xml:space="preserve">02 - Sports / GT</t>
        </is>
      </c>
      <c r="M242" s="50">
        <v>785000</v>
      </c>
      <c r="N242" s="48" t="inlineStr">
        <is>
          <t xml:space="preserve">Personal</t>
        </is>
      </c>
      <c r="O242" s="46" t="inlineStr">
        <is>
          <t xml:space="preserve">Personal - regular use</t>
        </is>
      </c>
      <c r="P242" s="46" t="inlineStr">
        <is>
          <t xml:space="preserve">1,000 - 2,500</t>
        </is>
      </c>
      <c r="Q242" s="46" t="inlineStr">
        <is>
          <t xml:space="preserve">North Dakota</t>
        </is>
      </c>
      <c r="R242" s="46" t="inlineStr">
        <is>
          <t xml:space="preserve">58501</t>
        </is>
      </c>
      <c r="S242" s="48" t="inlineStr">
        <is>
          <t xml:space="preserve">Severe convective - hail alley (high)</t>
        </is>
      </c>
      <c r="T242" s="36">
        <f>IF($A242="","",IF($S242="","",IFERROR(INDEX('[1]natural catastrophe'!$D$6:$D$17,MATCH($S242,'[1]natural catastrophe'!$B$6:$B$17,0)),"?")))</f>
      </c>
      <c r="U242" s="46" t="inlineStr">
        <is>
          <t xml:space="preserve">$5,000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8810.42</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CANON-202601-003370</t>
        </is>
      </c>
      <c r="B243" s="30" t="inlineStr">
        <is>
          <t xml:space="preserve">Wilhelmina Kingsford</t>
        </is>
      </c>
      <c r="C243" s="31">
        <v>46026</v>
      </c>
      <c r="D243" s="32" t="inlineStr">
        <is>
          <t xml:space="preserve">Bound - within authority</t>
        </is>
      </c>
      <c r="E243" s="32" t="inlineStr">
        <is>
          <t xml:space="preserve">New business</t>
        </is>
      </c>
      <c r="F243" s="30" t="inlineStr">
        <is>
          <t xml:space="preserve">B1234EXOTIC26</t>
        </is>
      </c>
      <c r="G243" s="33">
        <f>IF($A243="","",IF($C243="","",YEAR($C243)))</f>
      </c>
      <c r="H243" s="34">
        <v>1992</v>
      </c>
      <c r="I243" s="30" t="inlineStr">
        <is>
          <t xml:space="preserve">Lamborghini</t>
        </is>
      </c>
      <c r="J243" s="30" t="inlineStr">
        <is>
          <t xml:space="preserve">Huracan EVO</t>
        </is>
      </c>
      <c r="K243" s="30" t="inlineStr">
        <is>
          <t xml:space="preserve">3FMSW2SCPCX7TZ09J</t>
        </is>
      </c>
      <c r="L243" s="32" t="inlineStr">
        <is>
          <t xml:space="preserve">03 - Supercar</t>
        </is>
      </c>
      <c r="M243" s="35">
        <v>400000</v>
      </c>
      <c r="N243" s="32" t="inlineStr">
        <is>
          <t xml:space="preserve">Personal</t>
        </is>
      </c>
      <c r="O243" s="30" t="inlineStr">
        <is>
          <t xml:space="preserve">Personal - regular use</t>
        </is>
      </c>
      <c r="P243" s="30" t="inlineStr">
        <is>
          <t xml:space="preserve">1,000 - 2,500</t>
        </is>
      </c>
      <c r="Q243" s="30" t="inlineStr">
        <is>
          <t xml:space="preserve">Arkansas</t>
        </is>
      </c>
      <c r="R243" s="30" t="inlineStr">
        <is>
          <t xml:space="preserve">72201</t>
        </is>
      </c>
      <c r="S243" s="32" t="inlineStr">
        <is>
          <t xml:space="preserve">Severe convective - hail / tornado (moderate)</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10746.09</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CANON-202601-003371</t>
        </is>
      </c>
      <c r="B244" s="46" t="inlineStr">
        <is>
          <t xml:space="preserve">Anouk Whitlock</t>
        </is>
      </c>
      <c r="C244" s="47">
        <v>46053</v>
      </c>
      <c r="D244" s="48" t="inlineStr">
        <is>
          <t xml:space="preserve">Bound - within authority</t>
        </is>
      </c>
      <c r="E244" s="48" t="inlineStr">
        <is>
          <t xml:space="preserve">New business</t>
        </is>
      </c>
      <c r="F244" s="46" t="inlineStr">
        <is>
          <t xml:space="preserve">B1234EXOTIC26</t>
        </is>
      </c>
      <c r="G244" s="33">
        <f>IF($A244="","",IF($C244="","",YEAR($C244)))</f>
      </c>
      <c r="H244" s="49">
        <v>2008</v>
      </c>
      <c r="I244" s="46" t="inlineStr">
        <is>
          <t xml:space="preserve">Bentley</t>
        </is>
      </c>
      <c r="J244" s="46" t="inlineStr">
        <is>
          <t xml:space="preserve">Continental GT</t>
        </is>
      </c>
      <c r="K244" s="46" t="inlineStr">
        <is>
          <t xml:space="preserve">YZNNRGGU09SN3X5RP</t>
        </is>
      </c>
      <c r="L244" s="48" t="inlineStr">
        <is>
          <t xml:space="preserve">02 - Sports / GT</t>
        </is>
      </c>
      <c r="M244" s="50">
        <v>270000</v>
      </c>
      <c r="N244" s="48" t="inlineStr">
        <is>
          <t xml:space="preserve">Personal</t>
        </is>
      </c>
      <c r="O244" s="46" t="inlineStr">
        <is>
          <t xml:space="preserve">Personal - regular use</t>
        </is>
      </c>
      <c r="P244" s="46" t="inlineStr">
        <is>
          <t xml:space="preserve">2,500 - 5,000</t>
        </is>
      </c>
      <c r="Q244" s="46" t="inlineStr">
        <is>
          <t xml:space="preserve">Wyoming</t>
        </is>
      </c>
      <c r="R244" s="46" t="inlineStr">
        <is>
          <t xml:space="preserve">82001</t>
        </is>
      </c>
      <c r="S244" s="48" t="inlineStr">
        <is>
          <t xml:space="preserve">Severe convective - hail alley (high)</t>
        </is>
      </c>
      <c r="T244" s="36">
        <f>IF($A244="","",IF($S244="","",IFERROR(INDEX('[1]natural catastrophe'!$D$6:$D$17,MATCH($S244,'[1]natural catastrophe'!$B$6:$B$17,0)),"?")))</f>
      </c>
      <c r="U244" s="46" t="inlineStr">
        <is>
          <t xml:space="preserve">$5,000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3667.94</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CANON-202601-003372</t>
        </is>
      </c>
      <c r="B245" s="30" t="inlineStr">
        <is>
          <t xml:space="preserve">Mireille Chattopadhyay</t>
        </is>
      </c>
      <c r="C245" s="31">
        <v>46035</v>
      </c>
      <c r="D245" s="32" t="inlineStr">
        <is>
          <t xml:space="preserve">Bound - within authority</t>
        </is>
      </c>
      <c r="E245" s="32" t="inlineStr">
        <is>
          <t xml:space="preserve">New business</t>
        </is>
      </c>
      <c r="F245" s="30" t="inlineStr">
        <is>
          <t xml:space="preserve">B1234EXOTIC26</t>
        </is>
      </c>
      <c r="G245" s="33">
        <f>IF($A245="","",IF($C245="","",YEAR($C245)))</f>
      </c>
      <c r="H245" s="34">
        <v>1984</v>
      </c>
      <c r="I245" s="30" t="inlineStr">
        <is>
          <t xml:space="preserve">BMW</t>
        </is>
      </c>
      <c r="J245" s="30" t="inlineStr">
        <is>
          <t xml:space="preserve">M8 Competition</t>
        </is>
      </c>
      <c r="K245" s="30" t="inlineStr">
        <is>
          <t xml:space="preserve">K74ZZD6R2JBMYKUA8</t>
        </is>
      </c>
      <c r="L245" s="32" t="inlineStr">
        <is>
          <t xml:space="preserve">02 - Sports / GT</t>
        </is>
      </c>
      <c r="M245" s="35">
        <v>610000</v>
      </c>
      <c r="N245" s="32" t="inlineStr">
        <is>
          <t xml:space="preserve">Personal</t>
        </is>
      </c>
      <c r="O245" s="30" t="inlineStr">
        <is>
          <t xml:space="preserve">Personal - regular use</t>
        </is>
      </c>
      <c r="P245" s="30" t="inlineStr">
        <is>
          <t xml:space="preserve">Under 1,000</t>
        </is>
      </c>
      <c r="Q245" s="30" t="inlineStr">
        <is>
          <t xml:space="preserve">Pennsylvania</t>
        </is>
      </c>
      <c r="R245" s="30" t="inlineStr">
        <is>
          <t xml:space="preserve">19103</t>
        </is>
      </c>
      <c r="S245" s="32" t="inlineStr">
        <is>
          <t xml:space="preserve">Low hazard - inland benign</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6712.07</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CANON-202601-003373</t>
        </is>
      </c>
      <c r="B246" s="46" t="inlineStr">
        <is>
          <t xml:space="preserve">Fitzgerald Kingsford</t>
        </is>
      </c>
      <c r="C246" s="47">
        <v>46053</v>
      </c>
      <c r="D246" s="48" t="inlineStr">
        <is>
          <t xml:space="preserve">Bound - within authority</t>
        </is>
      </c>
      <c r="E246" s="48" t="inlineStr">
        <is>
          <t xml:space="preserve">New business</t>
        </is>
      </c>
      <c r="F246" s="46" t="inlineStr">
        <is>
          <t xml:space="preserve">B1234EXOTIC26</t>
        </is>
      </c>
      <c r="G246" s="33">
        <f>IF($A246="","",IF($C246="","",YEAR($C246)))</f>
      </c>
      <c r="H246" s="49">
        <v>1965</v>
      </c>
      <c r="I246" s="46" t="inlineStr">
        <is>
          <t xml:space="preserve">Mercedes-Benz</t>
        </is>
      </c>
      <c r="J246" s="46" t="inlineStr">
        <is>
          <t xml:space="preserve">AMG GT</t>
        </is>
      </c>
      <c r="K246" s="46" t="inlineStr">
        <is>
          <t xml:space="preserve">ERGTH8TVJPPYXNTW7</t>
        </is>
      </c>
      <c r="L246" s="48" t="inlineStr">
        <is>
          <t xml:space="preserve">02 - Sports / GT</t>
        </is>
      </c>
      <c r="M246" s="50">
        <v>440000</v>
      </c>
      <c r="N246" s="48" t="inlineStr">
        <is>
          <t xml:space="preserve">Personal</t>
        </is>
      </c>
      <c r="O246" s="46" t="inlineStr">
        <is>
          <t xml:space="preserve">Personal - regular use</t>
        </is>
      </c>
      <c r="P246" s="46" t="inlineStr">
        <is>
          <t xml:space="preserve">Under 1,000</t>
        </is>
      </c>
      <c r="Q246" s="46" t="inlineStr">
        <is>
          <t xml:space="preserve">Massachusetts</t>
        </is>
      </c>
      <c r="R246" s="46" t="inlineStr">
        <is>
          <t xml:space="preserve">02108</t>
        </is>
      </c>
      <c r="S246" s="48" t="inlineStr">
        <is>
          <t xml:space="preserve">Tier 3 - Coastal wind (25-100 miles)</t>
        </is>
      </c>
      <c r="T246" s="36">
        <f>IF($A246="","",IF($S246="","",IFERROR(INDEX('[1]natural catastrophe'!$D$6:$D$17,MATCH($S246,'[1]natural catastrophe'!$B$6:$B$17,0)),"?")))</f>
      </c>
      <c r="U246" s="46" t="inlineStr">
        <is>
          <t xml:space="preserve">2% of agreed value, minimum $10,000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6982.93</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CANON-202601-003374</t>
        </is>
      </c>
      <c r="B247" s="30" t="inlineStr">
        <is>
          <t xml:space="preserve">Callum Larsson</t>
        </is>
      </c>
      <c r="C247" s="31">
        <v>46036</v>
      </c>
      <c r="D247" s="32" t="inlineStr">
        <is>
          <t xml:space="preserve">Bound - within authority</t>
        </is>
      </c>
      <c r="E247" s="32" t="inlineStr">
        <is>
          <t xml:space="preserve">New business</t>
        </is>
      </c>
      <c r="F247" s="30" t="inlineStr">
        <is>
          <t xml:space="preserve">B1234EXOTIC26</t>
        </is>
      </c>
      <c r="G247" s="33">
        <f>IF($A247="","",IF($C247="","",YEAR($C247)))</f>
      </c>
      <c r="H247" s="34">
        <v>2010</v>
      </c>
      <c r="I247" s="30" t="inlineStr">
        <is>
          <t xml:space="preserve">Aston Martin</t>
        </is>
      </c>
      <c r="J247" s="30" t="inlineStr">
        <is>
          <t xml:space="preserve">DB12</t>
        </is>
      </c>
      <c r="K247" s="30" t="inlineStr">
        <is>
          <t xml:space="preserve">DMR2E8FAV104BWKCA</t>
        </is>
      </c>
      <c r="L247" s="32" t="inlineStr">
        <is>
          <t xml:space="preserve">02 - Sports / GT</t>
        </is>
      </c>
      <c r="M247" s="35">
        <v>455000</v>
      </c>
      <c r="N247" s="32" t="inlineStr">
        <is>
          <t xml:space="preserve">Personal</t>
        </is>
      </c>
      <c r="O247" s="30" t="inlineStr">
        <is>
          <t xml:space="preserve">Personal - regular use</t>
        </is>
      </c>
      <c r="P247" s="30" t="inlineStr">
        <is>
          <t xml:space="preserve">1,000 - 2,500</t>
        </is>
      </c>
      <c r="Q247" s="30" t="inlineStr">
        <is>
          <t xml:space="preserve">Tennessee</t>
        </is>
      </c>
      <c r="R247" s="30" t="inlineStr">
        <is>
          <t xml:space="preserve">37203</t>
        </is>
      </c>
      <c r="S247" s="32" t="inlineStr">
        <is>
          <t xml:space="preserve">Severe convective - hail / tornado (moderate)</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5661.25</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CANON-202601-003376</t>
        </is>
      </c>
      <c r="B248" s="46" t="inlineStr">
        <is>
          <t xml:space="preserve">Wilhelmina Montoya</t>
        </is>
      </c>
      <c r="C248" s="47">
        <v>46029</v>
      </c>
      <c r="D248" s="48" t="inlineStr">
        <is>
          <t xml:space="preserve">Bound - within authority</t>
        </is>
      </c>
      <c r="E248" s="48" t="inlineStr">
        <is>
          <t xml:space="preserve">New business</t>
        </is>
      </c>
      <c r="F248" s="46" t="inlineStr">
        <is>
          <t xml:space="preserve">B1234EXOTIC26</t>
        </is>
      </c>
      <c r="G248" s="33">
        <f>IF($A248="","",IF($C248="","",YEAR($C248)))</f>
      </c>
      <c r="H248" s="49">
        <v>1971</v>
      </c>
      <c r="I248" s="46" t="inlineStr">
        <is>
          <t xml:space="preserve">Icon</t>
        </is>
      </c>
      <c r="J248" s="46" t="inlineStr">
        <is>
          <t xml:space="preserve">Derelict</t>
        </is>
      </c>
      <c r="K248" s="46" t="inlineStr">
        <is>
          <t xml:space="preserve">16EWSWNE1805UPZFY</t>
        </is>
      </c>
      <c r="L248" s="48" t="inlineStr">
        <is>
          <t xml:space="preserve">11 - Restomod / Coachbuilt / Bespoke</t>
        </is>
      </c>
      <c r="M248" s="50">
        <v>420000</v>
      </c>
      <c r="N248" s="48" t="inlineStr">
        <is>
          <t xml:space="preserve">Personal</t>
        </is>
      </c>
      <c r="O248" s="46" t="inlineStr">
        <is>
          <t xml:space="preserve">Personal - regular use</t>
        </is>
      </c>
      <c r="P248" s="46" t="inlineStr">
        <is>
          <t xml:space="preserve">2,500 - 5,000</t>
        </is>
      </c>
      <c r="Q248" s="46" t="inlineStr">
        <is>
          <t xml:space="preserve">Louisiana</t>
        </is>
      </c>
      <c r="R248" s="46" t="inlineStr">
        <is>
          <t xml:space="preserve">70112</t>
        </is>
      </c>
      <c r="S248" s="48" t="inlineStr">
        <is>
          <t xml:space="preserve">Tier 2 - Coastal wind (1-25 miles)</t>
        </is>
      </c>
      <c r="T248" s="36">
        <f>IF($A248="","",IF($S248="","",IFERROR(INDEX('[1]natural catastrophe'!$D$6:$D$17,MATCH($S248,'[1]natural catastrophe'!$B$6:$B$17,0)),"?")))</f>
      </c>
      <c r="U248" s="46" t="inlineStr">
        <is>
          <t xml:space="preserve">2% of agreed value, minimum $10,000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7570.61</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CANON-202601-003378</t>
        </is>
      </c>
      <c r="B249" s="30" t="inlineStr">
        <is>
          <t xml:space="preserve">Aurelio Harrington</t>
        </is>
      </c>
      <c r="C249" s="31">
        <v>46028</v>
      </c>
      <c r="D249" s="32" t="inlineStr">
        <is>
          <t xml:space="preserve">Bound - within authority</t>
        </is>
      </c>
      <c r="E249" s="32" t="inlineStr">
        <is>
          <t xml:space="preserve">New business</t>
        </is>
      </c>
      <c r="F249" s="30" t="inlineStr">
        <is>
          <t xml:space="preserve">B1234EXOTIC26</t>
        </is>
      </c>
      <c r="G249" s="33">
        <f>IF($A249="","",IF($C249="","",YEAR($C249)))</f>
      </c>
      <c r="H249" s="34">
        <v>1984</v>
      </c>
      <c r="I249" s="30" t="inlineStr">
        <is>
          <t xml:space="preserve">Mercedes-Benz</t>
        </is>
      </c>
      <c r="J249" s="30" t="inlineStr">
        <is>
          <t xml:space="preserve">280SL Pagoda</t>
        </is>
      </c>
      <c r="K249" s="30" t="inlineStr">
        <is>
          <t xml:space="preserve">B5TNH0JJGY8KP40J9</t>
        </is>
      </c>
      <c r="L249" s="32" t="inlineStr">
        <is>
          <t xml:space="preserve">08 - Modern Classic (1973-1999)</t>
        </is>
      </c>
      <c r="M249" s="35">
        <v>690000</v>
      </c>
      <c r="N249" s="32" t="inlineStr">
        <is>
          <t xml:space="preserve">Personal</t>
        </is>
      </c>
      <c r="O249" s="30" t="inlineStr">
        <is>
          <t xml:space="preserve">Personal - regular use</t>
        </is>
      </c>
      <c r="P249" s="30" t="inlineStr">
        <is>
          <t xml:space="preserve">Under 1,000</t>
        </is>
      </c>
      <c r="Q249" s="30" t="inlineStr">
        <is>
          <t xml:space="preserve">Louisiana</t>
        </is>
      </c>
      <c r="R249" s="30" t="inlineStr">
        <is>
          <t xml:space="preserve">70112</t>
        </is>
      </c>
      <c r="S249" s="32" t="inlineStr">
        <is>
          <t xml:space="preserve">Tier 2 - Coastal wind (1-25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6077.38</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CANON-202601-003379</t>
        </is>
      </c>
      <c r="B250" s="46" t="inlineStr">
        <is>
          <t xml:space="preserve">Mireille Blackwood</t>
        </is>
      </c>
      <c r="C250" s="47">
        <v>46024</v>
      </c>
      <c r="D250" s="48" t="inlineStr">
        <is>
          <t xml:space="preserve">Bound - within authority</t>
        </is>
      </c>
      <c r="E250" s="48" t="inlineStr">
        <is>
          <t xml:space="preserve">New business</t>
        </is>
      </c>
      <c r="F250" s="46" t="inlineStr">
        <is>
          <t xml:space="preserve">B1234EXOTIC26</t>
        </is>
      </c>
      <c r="G250" s="33">
        <f>IF($A250="","",IF($C250="","",YEAR($C250)))</f>
      </c>
      <c r="H250" s="49">
        <v>1998</v>
      </c>
      <c r="I250" s="46" t="inlineStr">
        <is>
          <t xml:space="preserve">Maserati</t>
        </is>
      </c>
      <c r="J250" s="46" t="inlineStr">
        <is>
          <t xml:space="preserve">GranTurismo</t>
        </is>
      </c>
      <c r="K250" s="46" t="inlineStr">
        <is>
          <t xml:space="preserve">09G16P52RV3WLXE90</t>
        </is>
      </c>
      <c r="L250" s="48" t="inlineStr">
        <is>
          <t xml:space="preserve">02 - Sports / GT</t>
        </is>
      </c>
      <c r="M250" s="50">
        <v>390000</v>
      </c>
      <c r="N250" s="48" t="inlineStr">
        <is>
          <t xml:space="preserve">Personal</t>
        </is>
      </c>
      <c r="O250" s="46" t="inlineStr">
        <is>
          <t xml:space="preserve">Personal - regular use</t>
        </is>
      </c>
      <c r="P250" s="46" t="inlineStr">
        <is>
          <t xml:space="preserve">2,500 - 5,000</t>
        </is>
      </c>
      <c r="Q250" s="46" t="inlineStr">
        <is>
          <t xml:space="preserve">Ohio</t>
        </is>
      </c>
      <c r="R250" s="46" t="inlineStr">
        <is>
          <t xml:space="preserve">43215</t>
        </is>
      </c>
      <c r="S250" s="48" t="inlineStr">
        <is>
          <t xml:space="preserve">Severe convective - hail / tornado (moderate)</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6882.63</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CANON-202601-003380</t>
        </is>
      </c>
      <c r="B251" s="30" t="inlineStr">
        <is>
          <t xml:space="preserve">Everett Kingsford</t>
        </is>
      </c>
      <c r="C251" s="31">
        <v>46033</v>
      </c>
      <c r="D251" s="32" t="inlineStr">
        <is>
          <t xml:space="preserve">Bound - within authority</t>
        </is>
      </c>
      <c r="E251" s="32" t="inlineStr">
        <is>
          <t xml:space="preserve">New business</t>
        </is>
      </c>
      <c r="F251" s="30" t="inlineStr">
        <is>
          <t xml:space="preserve">B1234EXOTIC26</t>
        </is>
      </c>
      <c r="G251" s="33">
        <f>IF($A251="","",IF($C251="","",YEAR($C251)))</f>
      </c>
      <c r="H251" s="34">
        <v>1984</v>
      </c>
      <c r="I251" s="30" t="inlineStr">
        <is>
          <t xml:space="preserve">Mercedes-Benz</t>
        </is>
      </c>
      <c r="J251" s="30" t="inlineStr">
        <is>
          <t xml:space="preserve">AMG GT</t>
        </is>
      </c>
      <c r="K251" s="30" t="inlineStr">
        <is>
          <t xml:space="preserve">XFH1X08RMCE0G84LN</t>
        </is>
      </c>
      <c r="L251" s="32" t="inlineStr">
        <is>
          <t xml:space="preserve">02 - Sports / GT</t>
        </is>
      </c>
      <c r="M251" s="35">
        <v>405000</v>
      </c>
      <c r="N251" s="32" t="inlineStr">
        <is>
          <t xml:space="preserve">Personal</t>
        </is>
      </c>
      <c r="O251" s="30" t="inlineStr">
        <is>
          <t xml:space="preserve">Personal - regular use</t>
        </is>
      </c>
      <c r="P251" s="30" t="inlineStr">
        <is>
          <t xml:space="preserve">2,500 - 5,000</t>
        </is>
      </c>
      <c r="Q251" s="30" t="inlineStr">
        <is>
          <t xml:space="preserve">Maryland</t>
        </is>
      </c>
      <c r="R251" s="30" t="inlineStr">
        <is>
          <t xml:space="preserve">21201</t>
        </is>
      </c>
      <c r="S251" s="32" t="inlineStr">
        <is>
          <t xml:space="preserve">Tier 3 - Coastal wind (25-100 miles)</t>
        </is>
      </c>
      <c r="T251" s="36">
        <f>IF($A251="","",IF($S251="","",IFERROR(INDEX('[1]natural catastrophe'!$D$6:$D$17,MATCH($S251,'[1]natural catastrophe'!$B$6:$B$17,0)),"?")))</f>
      </c>
      <c r="U251" s="30" t="inlineStr">
        <is>
          <t xml:space="preserve">2% of agreed value, minimum $10,000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4884.88</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CANON-202601-003381</t>
        </is>
      </c>
      <c r="B252" s="46" t="inlineStr">
        <is>
          <t xml:space="preserve">Desmond Merriweather</t>
        </is>
      </c>
      <c r="C252" s="47">
        <v>46041</v>
      </c>
      <c r="D252" s="48" t="inlineStr">
        <is>
          <t xml:space="preserve">Bound - within authority</t>
        </is>
      </c>
      <c r="E252" s="48" t="inlineStr">
        <is>
          <t xml:space="preserve">New business</t>
        </is>
      </c>
      <c r="F252" s="46" t="inlineStr">
        <is>
          <t xml:space="preserve">B1234EXOTIC26</t>
        </is>
      </c>
      <c r="G252" s="33">
        <f>IF($A252="","",IF($C252="","",YEAR($C252)))</f>
      </c>
      <c r="H252" s="49">
        <v>1999</v>
      </c>
      <c r="I252" s="46" t="inlineStr">
        <is>
          <t xml:space="preserve">Ferrari</t>
        </is>
      </c>
      <c r="J252" s="46" t="inlineStr">
        <is>
          <t xml:space="preserve">275 GTB/4</t>
        </is>
      </c>
      <c r="K252" s="46" t="inlineStr">
        <is>
          <t xml:space="preserve">RE0KMJPUX670V0HBY</t>
        </is>
      </c>
      <c r="L252" s="48" t="inlineStr">
        <is>
          <t xml:space="preserve">08 - Modern Classic (1973-1999)</t>
        </is>
      </c>
      <c r="M252" s="50">
        <v>390000</v>
      </c>
      <c r="N252" s="48" t="inlineStr">
        <is>
          <t xml:space="preserve">Personal</t>
        </is>
      </c>
      <c r="O252" s="46" t="inlineStr">
        <is>
          <t xml:space="preserve">Personal - regular use</t>
        </is>
      </c>
      <c r="P252" s="46" t="inlineStr">
        <is>
          <t xml:space="preserve">2,500 - 5,000</t>
        </is>
      </c>
      <c r="Q252" s="46" t="inlineStr">
        <is>
          <t xml:space="preserve">Rhode Island</t>
        </is>
      </c>
      <c r="R252" s="46" t="inlineStr">
        <is>
          <t xml:space="preserve">02903</t>
        </is>
      </c>
      <c r="S252" s="48" t="inlineStr">
        <is>
          <t xml:space="preserve">Tier 3 - Coastal wind (25-100 miles)</t>
        </is>
      </c>
      <c r="T252" s="36">
        <f>IF($A252="","",IF($S252="","",IFERROR(INDEX('[1]natural catastrophe'!$D$6:$D$17,MATCH($S252,'[1]natural catastrophe'!$B$6:$B$17,0)),"?")))</f>
      </c>
      <c r="U252" s="46" t="inlineStr">
        <is>
          <t xml:space="preserve">2% of agreed value, minimum $10,000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4341.5</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CANON-202601-003382</t>
        </is>
      </c>
      <c r="B253" s="30" t="inlineStr">
        <is>
          <t xml:space="preserve">Lorenzo Okonkwo</t>
        </is>
      </c>
      <c r="C253" s="31">
        <v>46043</v>
      </c>
      <c r="D253" s="32" t="inlineStr">
        <is>
          <t xml:space="preserve">Bound - within authority</t>
        </is>
      </c>
      <c r="E253" s="32" t="inlineStr">
        <is>
          <t xml:space="preserve">New business</t>
        </is>
      </c>
      <c r="F253" s="30" t="inlineStr">
        <is>
          <t xml:space="preserve">B1234EXOTIC26</t>
        </is>
      </c>
      <c r="G253" s="33">
        <f>IF($A253="","",IF($C253="","",YEAR($C253)))</f>
      </c>
      <c r="H253" s="34">
        <v>2024</v>
      </c>
      <c r="I253" s="30" t="inlineStr">
        <is>
          <t xml:space="preserve">Bentley</t>
        </is>
      </c>
      <c r="J253" s="30" t="inlineStr">
        <is>
          <t xml:space="preserve">Continental GT</t>
        </is>
      </c>
      <c r="K253" s="30" t="inlineStr">
        <is>
          <t xml:space="preserve">TEABZSWAP1FW22WS4</t>
        </is>
      </c>
      <c r="L253" s="32" t="inlineStr">
        <is>
          <t xml:space="preserve">02 - Sports / GT</t>
        </is>
      </c>
      <c r="M253" s="35">
        <v>550000</v>
      </c>
      <c r="N253" s="32" t="inlineStr">
        <is>
          <t xml:space="preserve">Personal</t>
        </is>
      </c>
      <c r="O253" s="30" t="inlineStr">
        <is>
          <t xml:space="preserve">Personal - regular use</t>
        </is>
      </c>
      <c r="P253" s="30" t="inlineStr">
        <is>
          <t xml:space="preserve">1,000 - 2,500</t>
        </is>
      </c>
      <c r="Q253" s="30" t="inlineStr">
        <is>
          <t xml:space="preserve">Virginia</t>
        </is>
      </c>
      <c r="R253" s="30" t="inlineStr">
        <is>
          <t xml:space="preserve">23219</t>
        </is>
      </c>
      <c r="S253" s="32" t="inlineStr">
        <is>
          <t xml:space="preserve">Tier 3 - Coastal wind (25-100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6596.54</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CANON-202601-003383</t>
        </is>
      </c>
      <c r="B254" s="46" t="inlineStr">
        <is>
          <t xml:space="preserve">Delphine Underwood</t>
        </is>
      </c>
      <c r="C254" s="47">
        <v>46023</v>
      </c>
      <c r="D254" s="48" t="inlineStr">
        <is>
          <t xml:space="preserve">Bound - within authority</t>
        </is>
      </c>
      <c r="E254" s="48" t="inlineStr">
        <is>
          <t xml:space="preserve">New business</t>
        </is>
      </c>
      <c r="F254" s="46" t="inlineStr">
        <is>
          <t xml:space="preserve">B1234EXOTIC26</t>
        </is>
      </c>
      <c r="G254" s="33">
        <f>IF($A254="","",IF($C254="","",YEAR($C254)))</f>
      </c>
      <c r="H254" s="49">
        <v>1963</v>
      </c>
      <c r="I254" s="46" t="inlineStr">
        <is>
          <t xml:space="preserve">Mercedes-Benz</t>
        </is>
      </c>
      <c r="J254" s="46" t="inlineStr">
        <is>
          <t xml:space="preserve">AMG GT</t>
        </is>
      </c>
      <c r="K254" s="46" t="inlineStr">
        <is>
          <t xml:space="preserve">GR3BVTVYVP6K4DFKG</t>
        </is>
      </c>
      <c r="L254" s="48" t="inlineStr">
        <is>
          <t xml:space="preserve">02 - Sports / GT</t>
        </is>
      </c>
      <c r="M254" s="50">
        <v>1070000</v>
      </c>
      <c r="N254" s="48" t="inlineStr">
        <is>
          <t xml:space="preserve">Personal</t>
        </is>
      </c>
      <c r="O254" s="46" t="inlineStr">
        <is>
          <t xml:space="preserve">Personal - regular use</t>
        </is>
      </c>
      <c r="P254" s="46" t="inlineStr">
        <is>
          <t xml:space="preserve">1,000 - 2,500</t>
        </is>
      </c>
      <c r="Q254" s="46" t="inlineStr">
        <is>
          <t xml:space="preserve">California</t>
        </is>
      </c>
      <c r="R254" s="46" t="inlineStr">
        <is>
          <t xml:space="preserve">90012</t>
        </is>
      </c>
      <c r="S254" s="48" t="inlineStr">
        <is>
          <t xml:space="preserve">Earthquake - high (CA, Cascadia, New Madrid)</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13449.11</v>
      </c>
      <c r="AC254" s="51">
        <v>0</v>
      </c>
      <c r="AD254" s="38">
        <f>IF(ISNUMBER($AB254),$AB254*(1+N($AC254)),"")</f>
      </c>
      <c r="AE254" s="50">
        <v>350</v>
      </c>
      <c r="AF254" s="50">
        <v>250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CANON-202601-003384</t>
        </is>
      </c>
      <c r="B255" s="30" t="inlineStr">
        <is>
          <t xml:space="preserve">Fitzgerald Blackwood</t>
        </is>
      </c>
      <c r="C255" s="31">
        <v>46040</v>
      </c>
      <c r="D255" s="32" t="inlineStr">
        <is>
          <t xml:space="preserve">Bound - within authority</t>
        </is>
      </c>
      <c r="E255" s="32" t="inlineStr">
        <is>
          <t xml:space="preserve">New business</t>
        </is>
      </c>
      <c r="F255" s="30" t="inlineStr">
        <is>
          <t xml:space="preserve">B1234EXOTIC26</t>
        </is>
      </c>
      <c r="G255" s="33">
        <f>IF($A255="","",IF($C255="","",YEAR($C255)))</f>
      </c>
      <c r="H255" s="34">
        <v>1987</v>
      </c>
      <c r="I255" s="30" t="inlineStr">
        <is>
          <t xml:space="preserve">Porsche</t>
        </is>
      </c>
      <c r="J255" s="30" t="inlineStr">
        <is>
          <t xml:space="preserve">911 Turbo S</t>
        </is>
      </c>
      <c r="K255" s="30" t="inlineStr">
        <is>
          <t xml:space="preserve">KJUBSV45V6DH39EWR</t>
        </is>
      </c>
      <c r="L255" s="32" t="inlineStr">
        <is>
          <t xml:space="preserve">02 - Sports / GT</t>
        </is>
      </c>
      <c r="M255" s="35">
        <v>415000</v>
      </c>
      <c r="N255" s="32" t="inlineStr">
        <is>
          <t xml:space="preserve">Personal</t>
        </is>
      </c>
      <c r="O255" s="30" t="inlineStr">
        <is>
          <t xml:space="preserve">Personal - regular use</t>
        </is>
      </c>
      <c r="P255" s="30" t="inlineStr">
        <is>
          <t xml:space="preserve">1,000 - 2,500</t>
        </is>
      </c>
      <c r="Q255" s="30" t="inlineStr">
        <is>
          <t xml:space="preserve">Nebraska</t>
        </is>
      </c>
      <c r="R255" s="30" t="inlineStr">
        <is>
          <t xml:space="preserve">68102</t>
        </is>
      </c>
      <c r="S255" s="32" t="inlineStr">
        <is>
          <t xml:space="preserve">Severe convective - hail alley (high)</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6849.61</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CANON-202601-003386</t>
        </is>
      </c>
      <c r="B256" s="46" t="inlineStr">
        <is>
          <t xml:space="preserve">Sunniva Harrington</t>
        </is>
      </c>
      <c r="C256" s="47">
        <v>46040</v>
      </c>
      <c r="D256" s="48" t="inlineStr">
        <is>
          <t xml:space="preserve">Bound - within authority</t>
        </is>
      </c>
      <c r="E256" s="48" t="inlineStr">
        <is>
          <t xml:space="preserve">New business</t>
        </is>
      </c>
      <c r="F256" s="46" t="inlineStr">
        <is>
          <t xml:space="preserve">B1234EXOTIC26</t>
        </is>
      </c>
      <c r="G256" s="33">
        <f>IF($A256="","",IF($C256="","",YEAR($C256)))</f>
      </c>
      <c r="H256" s="49">
        <v>2009</v>
      </c>
      <c r="I256" s="46" t="inlineStr">
        <is>
          <t xml:space="preserve">Lamborghini</t>
        </is>
      </c>
      <c r="J256" s="46" t="inlineStr">
        <is>
          <t xml:space="preserve">Huracan EVO</t>
        </is>
      </c>
      <c r="K256" s="46" t="inlineStr">
        <is>
          <t xml:space="preserve">XBHE95WMF94NFDR4Y</t>
        </is>
      </c>
      <c r="L256" s="48" t="inlineStr">
        <is>
          <t xml:space="preserve">03 - Supercar</t>
        </is>
      </c>
      <c r="M256" s="50">
        <v>855000</v>
      </c>
      <c r="N256" s="48" t="inlineStr">
        <is>
          <t xml:space="preserve">Personal</t>
        </is>
      </c>
      <c r="O256" s="46" t="inlineStr">
        <is>
          <t xml:space="preserve">Personal - regular use</t>
        </is>
      </c>
      <c r="P256" s="46" t="inlineStr">
        <is>
          <t xml:space="preserve">1,000 - 2,500</t>
        </is>
      </c>
      <c r="Q256" s="46" t="inlineStr">
        <is>
          <t xml:space="preserve">Texas</t>
        </is>
      </c>
      <c r="R256" s="46" t="inlineStr">
        <is>
          <t xml:space="preserve">75201</t>
        </is>
      </c>
      <c r="S256" s="48" t="inlineStr">
        <is>
          <t xml:space="preserve">Tier 2 - Coastal wind (1-25 miles)</t>
        </is>
      </c>
      <c r="T256" s="36">
        <f>IF($A256="","",IF($S256="","",IFERROR(INDEX('[1]natural catastrophe'!$D$6:$D$17,MATCH($S256,'[1]natural catastrophe'!$B$6:$B$17,0)),"?")))</f>
      </c>
      <c r="U256" s="46" t="inlineStr">
        <is>
          <t xml:space="preserve">2% of agreed value, minimum $10,000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15812.51</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CANON-202601-003387</t>
        </is>
      </c>
      <c r="B257" s="30" t="inlineStr">
        <is>
          <t xml:space="preserve">Everett Vasquez</t>
        </is>
      </c>
      <c r="C257" s="31">
        <v>46024</v>
      </c>
      <c r="D257" s="32" t="inlineStr">
        <is>
          <t xml:space="preserve">Bound - within authority</t>
        </is>
      </c>
      <c r="E257" s="32" t="inlineStr">
        <is>
          <t xml:space="preserve">New business</t>
        </is>
      </c>
      <c r="F257" s="30" t="inlineStr">
        <is>
          <t xml:space="preserve">B1234EXOTIC26</t>
        </is>
      </c>
      <c r="G257" s="33">
        <f>IF($A257="","",IF($C257="","",YEAR($C257)))</f>
      </c>
      <c r="H257" s="34">
        <v>1977</v>
      </c>
      <c r="I257" s="30" t="inlineStr">
        <is>
          <t xml:space="preserve">Mercedes-Benz</t>
        </is>
      </c>
      <c r="J257" s="30" t="inlineStr">
        <is>
          <t xml:space="preserve">AMG GT</t>
        </is>
      </c>
      <c r="K257" s="30" t="inlineStr">
        <is>
          <t xml:space="preserve">DCJNWM1G5631A8PK6</t>
        </is>
      </c>
      <c r="L257" s="32" t="inlineStr">
        <is>
          <t xml:space="preserve">02 - Sports / GT</t>
        </is>
      </c>
      <c r="M257" s="35">
        <v>310000</v>
      </c>
      <c r="N257" s="32" t="inlineStr">
        <is>
          <t xml:space="preserve">Personal</t>
        </is>
      </c>
      <c r="O257" s="30" t="inlineStr">
        <is>
          <t xml:space="preserve">Personal - regular use</t>
        </is>
      </c>
      <c r="P257" s="30" t="inlineStr">
        <is>
          <t xml:space="preserve">1,000 - 2,500</t>
        </is>
      </c>
      <c r="Q257" s="30" t="inlineStr">
        <is>
          <t xml:space="preserve">Utah</t>
        </is>
      </c>
      <c r="R257" s="30" t="inlineStr">
        <is>
          <t xml:space="preserve">84101</t>
        </is>
      </c>
      <c r="S257" s="32" t="inlineStr">
        <is>
          <t xml:space="preserve">Wildfire - WUI high hazard</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5313.37</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CANON-202601-003389</t>
        </is>
      </c>
      <c r="B258" s="46" t="inlineStr">
        <is>
          <t xml:space="preserve">Thaddeus Rourke</t>
        </is>
      </c>
      <c r="C258" s="47">
        <v>46035</v>
      </c>
      <c r="D258" s="48" t="inlineStr">
        <is>
          <t xml:space="preserve">Bound - within authority</t>
        </is>
      </c>
      <c r="E258" s="48" t="inlineStr">
        <is>
          <t xml:space="preserve">New business</t>
        </is>
      </c>
      <c r="F258" s="46" t="inlineStr">
        <is>
          <t xml:space="preserve">B1234EXOTIC26</t>
        </is>
      </c>
      <c r="G258" s="33">
        <f>IF($A258="","",IF($C258="","",YEAR($C258)))</f>
      </c>
      <c r="H258" s="49">
        <v>2008</v>
      </c>
      <c r="I258" s="46" t="inlineStr">
        <is>
          <t xml:space="preserve">BMW</t>
        </is>
      </c>
      <c r="J258" s="46" t="inlineStr">
        <is>
          <t xml:space="preserve">M8 Competition</t>
        </is>
      </c>
      <c r="K258" s="46" t="inlineStr">
        <is>
          <t xml:space="preserve">JD3MJ2VH0XJLUHGPM</t>
        </is>
      </c>
      <c r="L258" s="48" t="inlineStr">
        <is>
          <t xml:space="preserve">02 - Sports / GT</t>
        </is>
      </c>
      <c r="M258" s="50">
        <v>875000</v>
      </c>
      <c r="N258" s="48" t="inlineStr">
        <is>
          <t xml:space="preserve">Personal</t>
        </is>
      </c>
      <c r="O258" s="46" t="inlineStr">
        <is>
          <t xml:space="preserve">Personal - regular use</t>
        </is>
      </c>
      <c r="P258" s="46" t="inlineStr">
        <is>
          <t xml:space="preserve">1,000 - 2,500</t>
        </is>
      </c>
      <c r="Q258" s="46" t="inlineStr">
        <is>
          <t xml:space="preserve">West Virginia</t>
        </is>
      </c>
      <c r="R258" s="46" t="inlineStr">
        <is>
          <t xml:space="preserve">25301</t>
        </is>
      </c>
      <c r="S258" s="48" t="inlineStr">
        <is>
          <t xml:space="preserve">Low hazard - inland benign</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12805.21</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CANON-202601-003393</t>
        </is>
      </c>
      <c r="B259" s="30" t="inlineStr">
        <is>
          <t xml:space="preserve">Ramona Okonkwo</t>
        </is>
      </c>
      <c r="C259" s="31">
        <v>46052</v>
      </c>
      <c r="D259" s="32" t="inlineStr">
        <is>
          <t xml:space="preserve">Bound - within authority</t>
        </is>
      </c>
      <c r="E259" s="32" t="inlineStr">
        <is>
          <t xml:space="preserve">New business</t>
        </is>
      </c>
      <c r="F259" s="30" t="inlineStr">
        <is>
          <t xml:space="preserve">B1234EXOTIC26</t>
        </is>
      </c>
      <c r="G259" s="33">
        <f>IF($A259="","",IF($C259="","",YEAR($C259)))</f>
      </c>
      <c r="H259" s="34">
        <v>1997</v>
      </c>
      <c r="I259" s="30" t="inlineStr">
        <is>
          <t xml:space="preserve">Mercedes-Benz</t>
        </is>
      </c>
      <c r="J259" s="30" t="inlineStr">
        <is>
          <t xml:space="preserve">AMG GT</t>
        </is>
      </c>
      <c r="K259" s="30" t="inlineStr">
        <is>
          <t xml:space="preserve">DH5Z4M2MZNXZH6L72</t>
        </is>
      </c>
      <c r="L259" s="32" t="inlineStr">
        <is>
          <t xml:space="preserve">02 - Sports / GT</t>
        </is>
      </c>
      <c r="M259" s="35">
        <v>525000</v>
      </c>
      <c r="N259" s="32" t="inlineStr">
        <is>
          <t xml:space="preserve">Personal</t>
        </is>
      </c>
      <c r="O259" s="30" t="inlineStr">
        <is>
          <t xml:space="preserve">Personal - regular use</t>
        </is>
      </c>
      <c r="P259" s="30" t="inlineStr">
        <is>
          <t xml:space="preserve">1,000 - 2,500</t>
        </is>
      </c>
      <c r="Q259" s="30" t="inlineStr">
        <is>
          <t xml:space="preserve">Wisconsin</t>
        </is>
      </c>
      <c r="R259" s="30" t="inlineStr">
        <is>
          <t xml:space="preserve">53202</t>
        </is>
      </c>
      <c r="S259" s="32" t="inlineStr">
        <is>
          <t xml:space="preserve">Severe convective - hail / tornado (moderate)</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6932.14</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CANON-202601-003394</t>
        </is>
      </c>
      <c r="B260" s="46" t="inlineStr">
        <is>
          <t xml:space="preserve">Ramona Delacroix</t>
        </is>
      </c>
      <c r="C260" s="47">
        <v>46044</v>
      </c>
      <c r="D260" s="48" t="inlineStr">
        <is>
          <t xml:space="preserve">Bound - within authority</t>
        </is>
      </c>
      <c r="E260" s="48" t="inlineStr">
        <is>
          <t xml:space="preserve">New business</t>
        </is>
      </c>
      <c r="F260" s="46" t="inlineStr">
        <is>
          <t xml:space="preserve">B1234EXOTIC26</t>
        </is>
      </c>
      <c r="G260" s="33">
        <f>IF($A260="","",IF($C260="","",YEAR($C260)))</f>
      </c>
      <c r="H260" s="49">
        <v>1998</v>
      </c>
      <c r="I260" s="46" t="inlineStr">
        <is>
          <t xml:space="preserve">Mercedes-Benz</t>
        </is>
      </c>
      <c r="J260" s="46" t="inlineStr">
        <is>
          <t xml:space="preserve">AMG GT</t>
        </is>
      </c>
      <c r="K260" s="46" t="inlineStr">
        <is>
          <t xml:space="preserve">7TK4SHRUXFN2PKRYZ</t>
        </is>
      </c>
      <c r="L260" s="48" t="inlineStr">
        <is>
          <t xml:space="preserve">02 - Sports / GT</t>
        </is>
      </c>
      <c r="M260" s="50">
        <v>325000</v>
      </c>
      <c r="N260" s="48" t="inlineStr">
        <is>
          <t xml:space="preserve">Personal</t>
        </is>
      </c>
      <c r="O260" s="46" t="inlineStr">
        <is>
          <t xml:space="preserve">Personal - regular use</t>
        </is>
      </c>
      <c r="P260" s="46" t="inlineStr">
        <is>
          <t xml:space="preserve">2,500 - 5,000</t>
        </is>
      </c>
      <c r="Q260" s="46" t="inlineStr">
        <is>
          <t xml:space="preserve">South Dakota</t>
        </is>
      </c>
      <c r="R260" s="46" t="inlineStr">
        <is>
          <t xml:space="preserve">57501</t>
        </is>
      </c>
      <c r="S260" s="48" t="inlineStr">
        <is>
          <t xml:space="preserve">Severe convective - hail alley (high)</t>
        </is>
      </c>
      <c r="T260" s="36">
        <f>IF($A260="","",IF($S260="","",IFERROR(INDEX('[1]natural catastrophe'!$D$6:$D$17,MATCH($S260,'[1]natural catastrophe'!$B$6:$B$17,0)),"?")))</f>
      </c>
      <c r="U260" s="46" t="inlineStr">
        <is>
          <t xml:space="preserve">$5,000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4580.16</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CANON-202601-003395</t>
        </is>
      </c>
      <c r="B261" s="30" t="inlineStr">
        <is>
          <t xml:space="preserve">Thaddeus Nakashima</t>
        </is>
      </c>
      <c r="C261" s="31">
        <v>46026</v>
      </c>
      <c r="D261" s="32" t="inlineStr">
        <is>
          <t xml:space="preserve">Bound - within authority</t>
        </is>
      </c>
      <c r="E261" s="32" t="inlineStr">
        <is>
          <t xml:space="preserve">New business</t>
        </is>
      </c>
      <c r="F261" s="30" t="inlineStr">
        <is>
          <t xml:space="preserve">B1234EXOTIC26</t>
        </is>
      </c>
      <c r="G261" s="33">
        <f>IF($A261="","",IF($C261="","",YEAR($C261)))</f>
      </c>
      <c r="H261" s="34">
        <v>2002</v>
      </c>
      <c r="I261" s="30" t="inlineStr">
        <is>
          <t xml:space="preserve">Ferrari</t>
        </is>
      </c>
      <c r="J261" s="30" t="inlineStr">
        <is>
          <t xml:space="preserve">275 GTB/4</t>
        </is>
      </c>
      <c r="K261" s="30" t="inlineStr">
        <is>
          <t xml:space="preserve">1RFXY956K37XD3NHN</t>
        </is>
      </c>
      <c r="L261" s="32" t="inlineStr">
        <is>
          <t xml:space="preserve">09 - Youngtimer / Collectible (2000-2010)</t>
        </is>
      </c>
      <c r="M261" s="35">
        <v>270000</v>
      </c>
      <c r="N261" s="32" t="inlineStr">
        <is>
          <t xml:space="preserve">Personal</t>
        </is>
      </c>
      <c r="O261" s="30" t="inlineStr">
        <is>
          <t xml:space="preserve">Personal - regular use</t>
        </is>
      </c>
      <c r="P261" s="30" t="inlineStr">
        <is>
          <t xml:space="preserve">Under 1,000</t>
        </is>
      </c>
      <c r="Q261" s="30" t="inlineStr">
        <is>
          <t xml:space="preserve">California</t>
        </is>
      </c>
      <c r="R261" s="30" t="inlineStr">
        <is>
          <t xml:space="preserve">90012</t>
        </is>
      </c>
      <c r="S261" s="32" t="inlineStr">
        <is>
          <t xml:space="preserve">Earthquake - high (CA, Cascadia, New Madrid)</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2961.77</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CANON-202601-003396</t>
        </is>
      </c>
      <c r="B262" s="46" t="inlineStr">
        <is>
          <t xml:space="preserve">Lorenzo Chattopadhyay</t>
        </is>
      </c>
      <c r="C262" s="47">
        <v>46051</v>
      </c>
      <c r="D262" s="48" t="inlineStr">
        <is>
          <t xml:space="preserve">Bound - within authority</t>
        </is>
      </c>
      <c r="E262" s="48" t="inlineStr">
        <is>
          <t xml:space="preserve">New business</t>
        </is>
      </c>
      <c r="F262" s="46" t="inlineStr">
        <is>
          <t xml:space="preserve">B1234EXOTIC26</t>
        </is>
      </c>
      <c r="G262" s="33">
        <f>IF($A262="","",IF($C262="","",YEAR($C262)))</f>
      </c>
      <c r="H262" s="49">
        <v>1991</v>
      </c>
      <c r="I262" s="46" t="inlineStr">
        <is>
          <t xml:space="preserve">Ferrari</t>
        </is>
      </c>
      <c r="J262" s="46" t="inlineStr">
        <is>
          <t xml:space="preserve">275 GTB/4</t>
        </is>
      </c>
      <c r="K262" s="46" t="inlineStr">
        <is>
          <t xml:space="preserve">U0YUGF52WB5C3KN8R</t>
        </is>
      </c>
      <c r="L262" s="48" t="inlineStr">
        <is>
          <t xml:space="preserve">08 - Modern Classic (1973-1999)</t>
        </is>
      </c>
      <c r="M262" s="50">
        <v>395000</v>
      </c>
      <c r="N262" s="48" t="inlineStr">
        <is>
          <t xml:space="preserve">Personal</t>
        </is>
      </c>
      <c r="O262" s="46" t="inlineStr">
        <is>
          <t xml:space="preserve">Personal - regular use</t>
        </is>
      </c>
      <c r="P262" s="46" t="inlineStr">
        <is>
          <t xml:space="preserve">2,500 - 5,000</t>
        </is>
      </c>
      <c r="Q262" s="46" t="inlineStr">
        <is>
          <t xml:space="preserve">Ohio</t>
        </is>
      </c>
      <c r="R262" s="46" t="inlineStr">
        <is>
          <t xml:space="preserve">43215</t>
        </is>
      </c>
      <c r="S262" s="48" t="inlineStr">
        <is>
          <t xml:space="preserve">Severe convective - hail / tornado (moderate)</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4461.35</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CANON-202601-003397</t>
        </is>
      </c>
      <c r="B263" s="30" t="inlineStr">
        <is>
          <t xml:space="preserve">Ingrid Montoya</t>
        </is>
      </c>
      <c r="C263" s="31">
        <v>46037</v>
      </c>
      <c r="D263" s="32" t="inlineStr">
        <is>
          <t xml:space="preserve">Bound - within authority</t>
        </is>
      </c>
      <c r="E263" s="32" t="inlineStr">
        <is>
          <t xml:space="preserve">New business</t>
        </is>
      </c>
      <c r="F263" s="30" t="inlineStr">
        <is>
          <t xml:space="preserve">B1234EXOTIC26</t>
        </is>
      </c>
      <c r="G263" s="33">
        <f>IF($A263="","",IF($C263="","",YEAR($C263)))</f>
      </c>
      <c r="H263" s="34">
        <v>2015</v>
      </c>
      <c r="I263" s="30" t="inlineStr">
        <is>
          <t xml:space="preserve">Aston Martin</t>
        </is>
      </c>
      <c r="J263" s="30" t="inlineStr">
        <is>
          <t xml:space="preserve">DB12</t>
        </is>
      </c>
      <c r="K263" s="30" t="inlineStr">
        <is>
          <t xml:space="preserve">UPX6G7PUEC00WLV22</t>
        </is>
      </c>
      <c r="L263" s="32" t="inlineStr">
        <is>
          <t xml:space="preserve">02 - Sports / GT</t>
        </is>
      </c>
      <c r="M263" s="35">
        <v>430000</v>
      </c>
      <c r="N263" s="32" t="inlineStr">
        <is>
          <t xml:space="preserve">Personal</t>
        </is>
      </c>
      <c r="O263" s="30" t="inlineStr">
        <is>
          <t xml:space="preserve">Personal - regular use</t>
        </is>
      </c>
      <c r="P263" s="30" t="inlineStr">
        <is>
          <t xml:space="preserve">1,000 - 2,500</t>
        </is>
      </c>
      <c r="Q263" s="30" t="inlineStr">
        <is>
          <t xml:space="preserve">Texas</t>
        </is>
      </c>
      <c r="R263" s="30" t="inlineStr">
        <is>
          <t xml:space="preserve">75201</t>
        </is>
      </c>
      <c r="S263" s="32" t="inlineStr">
        <is>
          <t xml:space="preserve">Tier 2 - Coastal wind (1-25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6278.28</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CANON-202601-003399</t>
        </is>
      </c>
      <c r="B264" s="46" t="inlineStr">
        <is>
          <t xml:space="preserve">Fenwick Whitlock</t>
        </is>
      </c>
      <c r="C264" s="47">
        <v>46034</v>
      </c>
      <c r="D264" s="48" t="inlineStr">
        <is>
          <t xml:space="preserve">Bound - within authority</t>
        </is>
      </c>
      <c r="E264" s="48" t="inlineStr">
        <is>
          <t xml:space="preserve">New business</t>
        </is>
      </c>
      <c r="F264" s="46" t="inlineStr">
        <is>
          <t xml:space="preserve">B1234EXOTIC26</t>
        </is>
      </c>
      <c r="G264" s="33">
        <f>IF($A264="","",IF($C264="","",YEAR($C264)))</f>
      </c>
      <c r="H264" s="49">
        <v>1962</v>
      </c>
      <c r="I264" s="46" t="inlineStr">
        <is>
          <t xml:space="preserve">Maserati</t>
        </is>
      </c>
      <c r="J264" s="46" t="inlineStr">
        <is>
          <t xml:space="preserve">GranTurismo</t>
        </is>
      </c>
      <c r="K264" s="46" t="inlineStr">
        <is>
          <t xml:space="preserve">312NPMG8FWCK1RA3Z</t>
        </is>
      </c>
      <c r="L264" s="48" t="inlineStr">
        <is>
          <t xml:space="preserve">02 - Sports / GT</t>
        </is>
      </c>
      <c r="M264" s="50">
        <v>730000</v>
      </c>
      <c r="N264" s="48" t="inlineStr">
        <is>
          <t xml:space="preserve">Personal</t>
        </is>
      </c>
      <c r="O264" s="46" t="inlineStr">
        <is>
          <t xml:space="preserve">Personal - regular use</t>
        </is>
      </c>
      <c r="P264" s="46" t="inlineStr">
        <is>
          <t xml:space="preserve">2,500 - 5,000</t>
        </is>
      </c>
      <c r="Q264" s="46" t="inlineStr">
        <is>
          <t xml:space="preserve">Ohio</t>
        </is>
      </c>
      <c r="R264" s="46" t="inlineStr">
        <is>
          <t xml:space="preserve">43215</t>
        </is>
      </c>
      <c r="S264" s="48" t="inlineStr">
        <is>
          <t xml:space="preserve">Severe convective - hail / tornado (moderate)</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11165.14</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CANON-202601-003400</t>
        </is>
      </c>
      <c r="B265" s="30" t="inlineStr">
        <is>
          <t xml:space="preserve">Everett Castellanos</t>
        </is>
      </c>
      <c r="C265" s="31">
        <v>46024</v>
      </c>
      <c r="D265" s="32" t="inlineStr">
        <is>
          <t xml:space="preserve">Bound - within authority</t>
        </is>
      </c>
      <c r="E265" s="32" t="inlineStr">
        <is>
          <t xml:space="preserve">New business</t>
        </is>
      </c>
      <c r="F265" s="30" t="inlineStr">
        <is>
          <t xml:space="preserve">B1234EXOTIC26</t>
        </is>
      </c>
      <c r="G265" s="33">
        <f>IF($A265="","",IF($C265="","",YEAR($C265)))</f>
      </c>
      <c r="H265" s="34">
        <v>1977</v>
      </c>
      <c r="I265" s="30" t="inlineStr">
        <is>
          <t xml:space="preserve">Aston Martin</t>
        </is>
      </c>
      <c r="J265" s="30" t="inlineStr">
        <is>
          <t xml:space="preserve">DB12</t>
        </is>
      </c>
      <c r="K265" s="30" t="inlineStr">
        <is>
          <t xml:space="preserve">PEWF501VZ9Z198M4S</t>
        </is>
      </c>
      <c r="L265" s="32" t="inlineStr">
        <is>
          <t xml:space="preserve">02 - Sports / GT</t>
        </is>
      </c>
      <c r="M265" s="35">
        <v>730000</v>
      </c>
      <c r="N265" s="32" t="inlineStr">
        <is>
          <t xml:space="preserve">Personal</t>
        </is>
      </c>
      <c r="O265" s="30" t="inlineStr">
        <is>
          <t xml:space="preserve">Personal - regular use</t>
        </is>
      </c>
      <c r="P265" s="30" t="inlineStr">
        <is>
          <t xml:space="preserve">Under 1,000</t>
        </is>
      </c>
      <c r="Q265" s="30" t="inlineStr">
        <is>
          <t xml:space="preserve">South Dakota</t>
        </is>
      </c>
      <c r="R265" s="30" t="inlineStr">
        <is>
          <t xml:space="preserve">57501</t>
        </is>
      </c>
      <c r="S265" s="32" t="inlineStr">
        <is>
          <t xml:space="preserve">Severe convective - hail alley (high)</t>
        </is>
      </c>
      <c r="T265" s="36">
        <f>IF($A265="","",IF($S265="","",IFERROR(INDEX('[1]natural catastrophe'!$D$6:$D$17,MATCH($S265,'[1]natural catastrophe'!$B$6:$B$17,0)),"?")))</f>
      </c>
      <c r="U265" s="30" t="inlineStr">
        <is>
          <t xml:space="preserve">$5,000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8916.05</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CANON-202601-003402</t>
        </is>
      </c>
      <c r="B266" s="46" t="inlineStr">
        <is>
          <t xml:space="preserve">Delphine Thistlewood</t>
        </is>
      </c>
      <c r="C266" s="47">
        <v>46039</v>
      </c>
      <c r="D266" s="48" t="inlineStr">
        <is>
          <t xml:space="preserve">Bound - within authority</t>
        </is>
      </c>
      <c r="E266" s="48" t="inlineStr">
        <is>
          <t xml:space="preserve">New business</t>
        </is>
      </c>
      <c r="F266" s="46" t="inlineStr">
        <is>
          <t xml:space="preserve">B1234EXOTIC26</t>
        </is>
      </c>
      <c r="G266" s="33">
        <f>IF($A266="","",IF($C266="","",YEAR($C266)))</f>
      </c>
      <c r="H266" s="49">
        <v>2013</v>
      </c>
      <c r="I266" s="46" t="inlineStr">
        <is>
          <t xml:space="preserve">Bentley</t>
        </is>
      </c>
      <c r="J266" s="46" t="inlineStr">
        <is>
          <t xml:space="preserve">4.5 Litre</t>
        </is>
      </c>
      <c r="K266" s="46" t="inlineStr">
        <is>
          <t xml:space="preserve">SW4AD0R0DPV8UL08E</t>
        </is>
      </c>
      <c r="L266" s="48" t="inlineStr">
        <is>
          <t xml:space="preserve">02 - Sports / GT</t>
        </is>
      </c>
      <c r="M266" s="50">
        <v>1390000</v>
      </c>
      <c r="N266" s="48" t="inlineStr">
        <is>
          <t xml:space="preserve">Personal</t>
        </is>
      </c>
      <c r="O266" s="46" t="inlineStr">
        <is>
          <t xml:space="preserve">Personal - regular use</t>
        </is>
      </c>
      <c r="P266" s="46" t="inlineStr">
        <is>
          <t xml:space="preserve">2,500 - 5,000</t>
        </is>
      </c>
      <c r="Q266" s="46" t="inlineStr">
        <is>
          <t xml:space="preserve">Nebraska</t>
        </is>
      </c>
      <c r="R266" s="46" t="inlineStr">
        <is>
          <t xml:space="preserve">68102</t>
        </is>
      </c>
      <c r="S266" s="48" t="inlineStr">
        <is>
          <t xml:space="preserve">Severe convective - hail alley (high)</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10400.41</v>
      </c>
      <c r="AC266" s="51">
        <v>0</v>
      </c>
      <c r="AD266" s="38">
        <f>IF(ISNUMBER($AB266),$AB266*(1+N($AC266)),"")</f>
      </c>
      <c r="AE266" s="50">
        <v>350</v>
      </c>
      <c r="AF266" s="50">
        <v>250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CANON-202601-003403</t>
        </is>
      </c>
      <c r="B267" s="30" t="inlineStr">
        <is>
          <t xml:space="preserve">Callum Whitlock</t>
        </is>
      </c>
      <c r="C267" s="31">
        <v>46053</v>
      </c>
      <c r="D267" s="32" t="inlineStr">
        <is>
          <t xml:space="preserve">Bound - within authority</t>
        </is>
      </c>
      <c r="E267" s="32" t="inlineStr">
        <is>
          <t xml:space="preserve">New business</t>
        </is>
      </c>
      <c r="F267" s="30" t="inlineStr">
        <is>
          <t xml:space="preserve">B1234EXOTIC26</t>
        </is>
      </c>
      <c r="G267" s="33">
        <f>IF($A267="","",IF($C267="","",YEAR($C267)))</f>
      </c>
      <c r="H267" s="34">
        <v>1976</v>
      </c>
      <c r="I267" s="30" t="inlineStr">
        <is>
          <t xml:space="preserve">Icon</t>
        </is>
      </c>
      <c r="J267" s="30" t="inlineStr">
        <is>
          <t xml:space="preserve">Derelict</t>
        </is>
      </c>
      <c r="K267" s="30" t="inlineStr">
        <is>
          <t xml:space="preserve">J13F14XNWGPJ241MS</t>
        </is>
      </c>
      <c r="L267" s="32" t="inlineStr">
        <is>
          <t xml:space="preserve">11 - Restomod / Coachbuilt / Bespoke</t>
        </is>
      </c>
      <c r="M267" s="35">
        <v>535000</v>
      </c>
      <c r="N267" s="32" t="inlineStr">
        <is>
          <t xml:space="preserve">Personal</t>
        </is>
      </c>
      <c r="O267" s="30" t="inlineStr">
        <is>
          <t xml:space="preserve">Personal - regular use</t>
        </is>
      </c>
      <c r="P267" s="30" t="inlineStr">
        <is>
          <t xml:space="preserve">1,000 - 2,500</t>
        </is>
      </c>
      <c r="Q267" s="30" t="inlineStr">
        <is>
          <t xml:space="preserve">Ohio</t>
        </is>
      </c>
      <c r="R267" s="30" t="inlineStr">
        <is>
          <t xml:space="preserve">43215</t>
        </is>
      </c>
      <c r="S267" s="32" t="inlineStr">
        <is>
          <t xml:space="preserve">Severe convective - hail / tornado (moderate)</t>
        </is>
      </c>
      <c r="T267" s="36">
        <f>IF($A267="","",IF($S267="","",IFERROR(INDEX('[1]natural catastrophe'!$D$6:$D$17,MATCH($S267,'[1]natural catastrophe'!$B$6:$B$17,0)),"?")))</f>
      </c>
      <c r="U267" s="30" t="inlineStr">
        <is>
          <t xml:space="preserve">$5,000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9819.21</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CANON-202601-003404</t>
        </is>
      </c>
      <c r="B268" s="46" t="inlineStr">
        <is>
          <t xml:space="preserve">Ingrid Chattopadhyay</t>
        </is>
      </c>
      <c r="C268" s="47">
        <v>46053</v>
      </c>
      <c r="D268" s="48" t="inlineStr">
        <is>
          <t xml:space="preserve">Bound - within authority</t>
        </is>
      </c>
      <c r="E268" s="48" t="inlineStr">
        <is>
          <t xml:space="preserve">New business</t>
        </is>
      </c>
      <c r="F268" s="46" t="inlineStr">
        <is>
          <t xml:space="preserve">B1234EXOTIC26</t>
        </is>
      </c>
      <c r="G268" s="33">
        <f>IF($A268="","",IF($C268="","",YEAR($C268)))</f>
      </c>
      <c r="H268" s="49">
        <v>1994</v>
      </c>
      <c r="I268" s="46" t="inlineStr">
        <is>
          <t xml:space="preserve">Maserati</t>
        </is>
      </c>
      <c r="J268" s="46" t="inlineStr">
        <is>
          <t xml:space="preserve">GranTurismo</t>
        </is>
      </c>
      <c r="K268" s="46" t="inlineStr">
        <is>
          <t xml:space="preserve">2TEA4DXJ28YR10ZYX</t>
        </is>
      </c>
      <c r="L268" s="48" t="inlineStr">
        <is>
          <t xml:space="preserve">02 - Sports / GT</t>
        </is>
      </c>
      <c r="M268" s="50">
        <v>1920000</v>
      </c>
      <c r="N268" s="48" t="inlineStr">
        <is>
          <t xml:space="preserve">Personal</t>
        </is>
      </c>
      <c r="O268" s="46" t="inlineStr">
        <is>
          <t xml:space="preserve">Personal - regular use</t>
        </is>
      </c>
      <c r="P268" s="46" t="inlineStr">
        <is>
          <t xml:space="preserve">1,000 - 2,500</t>
        </is>
      </c>
      <c r="Q268" s="46" t="inlineStr">
        <is>
          <t xml:space="preserve">Texas</t>
        </is>
      </c>
      <c r="R268" s="46" t="inlineStr">
        <is>
          <t xml:space="preserve">75201</t>
        </is>
      </c>
      <c r="S268" s="48" t="inlineStr">
        <is>
          <t xml:space="preserve">Tier 2 - Coastal wind (1-25 miles)</t>
        </is>
      </c>
      <c r="T268" s="36">
        <f>IF($A268="","",IF($S268="","",IFERROR(INDEX('[1]natural catastrophe'!$D$6:$D$17,MATCH($S268,'[1]natural catastrophe'!$B$6:$B$17,0)),"?")))</f>
      </c>
      <c r="U268" s="46" t="inlineStr">
        <is>
          <t xml:space="preserve">2% of agreed value, minimum $10,000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20557.73</v>
      </c>
      <c r="AC268" s="51">
        <v>0</v>
      </c>
      <c r="AD268" s="38">
        <f>IF(ISNUMBER($AB268),$AB268*(1+N($AC268)),"")</f>
      </c>
      <c r="AE268" s="50">
        <v>350</v>
      </c>
      <c r="AF268" s="50">
        <v>250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CANON-202601-003405</t>
        </is>
      </c>
      <c r="B269" s="30" t="inlineStr">
        <is>
          <t xml:space="preserve">Thaddeus Nakashima</t>
        </is>
      </c>
      <c r="C269" s="31">
        <v>46042</v>
      </c>
      <c r="D269" s="32" t="inlineStr">
        <is>
          <t xml:space="preserve">Bound - within authority</t>
        </is>
      </c>
      <c r="E269" s="32" t="inlineStr">
        <is>
          <t xml:space="preserve">New business</t>
        </is>
      </c>
      <c r="F269" s="30" t="inlineStr">
        <is>
          <t xml:space="preserve">B1234EXOTIC26</t>
        </is>
      </c>
      <c r="G269" s="33">
        <f>IF($A269="","",IF($C269="","",YEAR($C269)))</f>
      </c>
      <c r="H269" s="34">
        <v>2015</v>
      </c>
      <c r="I269" s="30" t="inlineStr">
        <is>
          <t xml:space="preserve">Porsche</t>
        </is>
      </c>
      <c r="J269" s="30" t="inlineStr">
        <is>
          <t xml:space="preserve">911 Turbo S</t>
        </is>
      </c>
      <c r="K269" s="30" t="inlineStr">
        <is>
          <t xml:space="preserve">PGG4ML5EXP8BM2R1P</t>
        </is>
      </c>
      <c r="L269" s="32" t="inlineStr">
        <is>
          <t xml:space="preserve">02 - Sports / GT</t>
        </is>
      </c>
      <c r="M269" s="35">
        <v>280000</v>
      </c>
      <c r="N269" s="32" t="inlineStr">
        <is>
          <t xml:space="preserve">Personal</t>
        </is>
      </c>
      <c r="O269" s="30" t="inlineStr">
        <is>
          <t xml:space="preserve">Personal - regular use</t>
        </is>
      </c>
      <c r="P269" s="30" t="inlineStr">
        <is>
          <t xml:space="preserve">Under 1,000</t>
        </is>
      </c>
      <c r="Q269" s="30" t="inlineStr">
        <is>
          <t xml:space="preserve">Oklahoma</t>
        </is>
      </c>
      <c r="R269" s="30" t="inlineStr">
        <is>
          <t xml:space="preserve">73102</t>
        </is>
      </c>
      <c r="S269" s="32" t="inlineStr">
        <is>
          <t xml:space="preserve">Severe convective - hail alley (high)</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4479.23</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CANON-202601-003407</t>
        </is>
      </c>
      <c r="B270" s="46" t="inlineStr">
        <is>
          <t xml:space="preserve">Callum Blackwood</t>
        </is>
      </c>
      <c r="C270" s="47">
        <v>46031</v>
      </c>
      <c r="D270" s="48" t="inlineStr">
        <is>
          <t xml:space="preserve">Bound - within authority</t>
        </is>
      </c>
      <c r="E270" s="48" t="inlineStr">
        <is>
          <t xml:space="preserve">New business</t>
        </is>
      </c>
      <c r="F270" s="46" t="inlineStr">
        <is>
          <t xml:space="preserve">B1234EXOTIC26</t>
        </is>
      </c>
      <c r="G270" s="33">
        <f>IF($A270="","",IF($C270="","",YEAR($C270)))</f>
      </c>
      <c r="H270" s="49">
        <v>2023</v>
      </c>
      <c r="I270" s="46" t="inlineStr">
        <is>
          <t xml:space="preserve">McLaren</t>
        </is>
      </c>
      <c r="J270" s="46" t="inlineStr">
        <is>
          <t xml:space="preserve">750S</t>
        </is>
      </c>
      <c r="K270" s="46" t="inlineStr">
        <is>
          <t xml:space="preserve">RYZ98TP521M546PL6</t>
        </is>
      </c>
      <c r="L270" s="48" t="inlineStr">
        <is>
          <t xml:space="preserve">03 - Supercar</t>
        </is>
      </c>
      <c r="M270" s="50">
        <v>1090000</v>
      </c>
      <c r="N270" s="48" t="inlineStr">
        <is>
          <t xml:space="preserve">Personal</t>
        </is>
      </c>
      <c r="O270" s="46" t="inlineStr">
        <is>
          <t xml:space="preserve">Personal - regular use</t>
        </is>
      </c>
      <c r="P270" s="46" t="inlineStr">
        <is>
          <t xml:space="preserve">1,000 - 2,500</t>
        </is>
      </c>
      <c r="Q270" s="46" t="inlineStr">
        <is>
          <t xml:space="preserve">Vermont</t>
        </is>
      </c>
      <c r="R270" s="46" t="inlineStr">
        <is>
          <t xml:space="preserve">05601</t>
        </is>
      </c>
      <c r="S270" s="48" t="inlineStr">
        <is>
          <t xml:space="preserve">Low hazard - inland benign</t>
        </is>
      </c>
      <c r="T270" s="36">
        <f>IF($A270="","",IF($S270="","",IFERROR(INDEX('[1]natural catastrophe'!$D$6:$D$17,MATCH($S270,'[1]natural catastrophe'!$B$6:$B$17,0)),"?")))</f>
      </c>
      <c r="U270" s="46" t="inlineStr">
        <is>
          <t xml:space="preserve">$5,000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18009</v>
      </c>
      <c r="AC270" s="51">
        <v>0</v>
      </c>
      <c r="AD270" s="38">
        <f>IF(ISNUMBER($AB270),$AB270*(1+N($AC270)),"")</f>
      </c>
      <c r="AE270" s="50">
        <v>350</v>
      </c>
      <c r="AF270" s="50">
        <v>250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CANON-202601-003408</t>
        </is>
      </c>
      <c r="B271" s="30" t="inlineStr">
        <is>
          <t xml:space="preserve">Cassius Vasquez</t>
        </is>
      </c>
      <c r="C271" s="31">
        <v>46036</v>
      </c>
      <c r="D271" s="32" t="inlineStr">
        <is>
          <t xml:space="preserve">Bound - within authority</t>
        </is>
      </c>
      <c r="E271" s="32" t="inlineStr">
        <is>
          <t xml:space="preserve">New business</t>
        </is>
      </c>
      <c r="F271" s="30" t="inlineStr">
        <is>
          <t xml:space="preserve">B1234EXOTIC26</t>
        </is>
      </c>
      <c r="G271" s="33">
        <f>IF($A271="","",IF($C271="","",YEAR($C271)))</f>
      </c>
      <c r="H271" s="34">
        <v>1981</v>
      </c>
      <c r="I271" s="30" t="inlineStr">
        <is>
          <t xml:space="preserve">BMW</t>
        </is>
      </c>
      <c r="J271" s="30" t="inlineStr">
        <is>
          <t xml:space="preserve">M8 Competition</t>
        </is>
      </c>
      <c r="K271" s="30" t="inlineStr">
        <is>
          <t xml:space="preserve">3R49LLW3CXJ8UJBVN</t>
        </is>
      </c>
      <c r="L271" s="32" t="inlineStr">
        <is>
          <t xml:space="preserve">02 - Sports / GT</t>
        </is>
      </c>
      <c r="M271" s="35">
        <v>1030000</v>
      </c>
      <c r="N271" s="32" t="inlineStr">
        <is>
          <t xml:space="preserve">Personal</t>
        </is>
      </c>
      <c r="O271" s="30" t="inlineStr">
        <is>
          <t xml:space="preserve">Personal - regular use</t>
        </is>
      </c>
      <c r="P271" s="30" t="inlineStr">
        <is>
          <t xml:space="preserve">Under 1,000</t>
        </is>
      </c>
      <c r="Q271" s="30" t="inlineStr">
        <is>
          <t xml:space="preserve">Texas</t>
        </is>
      </c>
      <c r="R271" s="30" t="inlineStr">
        <is>
          <t xml:space="preserve">75201</t>
        </is>
      </c>
      <c r="S271" s="32" t="inlineStr">
        <is>
          <t xml:space="preserve">Tier 2 - Coastal wind (1-25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11028.36</v>
      </c>
      <c r="AC271" s="37">
        <v>0</v>
      </c>
      <c r="AD271" s="38">
        <f>IF(ISNUMBER($AB271),$AB271*(1+N($AC271)),"")</f>
      </c>
      <c r="AE271" s="35">
        <v>350</v>
      </c>
      <c r="AF271" s="35">
        <v>250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CANON-202601-003409</t>
        </is>
      </c>
      <c r="B272" s="46" t="inlineStr">
        <is>
          <t xml:space="preserve">Sunniva Montoya</t>
        </is>
      </c>
      <c r="C272" s="47">
        <v>46051</v>
      </c>
      <c r="D272" s="48" t="inlineStr">
        <is>
          <t xml:space="preserve">Bound - within authority</t>
        </is>
      </c>
      <c r="E272" s="48" t="inlineStr">
        <is>
          <t xml:space="preserve">New business</t>
        </is>
      </c>
      <c r="F272" s="46" t="inlineStr">
        <is>
          <t xml:space="preserve">B1234EXOTIC26</t>
        </is>
      </c>
      <c r="G272" s="33">
        <f>IF($A272="","",IF($C272="","",YEAR($C272)))</f>
      </c>
      <c r="H272" s="49">
        <v>2001</v>
      </c>
      <c r="I272" s="46" t="inlineStr">
        <is>
          <t xml:space="preserve">BMW</t>
        </is>
      </c>
      <c r="J272" s="46" t="inlineStr">
        <is>
          <t xml:space="preserve">M8 Competition</t>
        </is>
      </c>
      <c r="K272" s="46" t="inlineStr">
        <is>
          <t xml:space="preserve">H7GYU9J1T9PSP6ZSE</t>
        </is>
      </c>
      <c r="L272" s="48" t="inlineStr">
        <is>
          <t xml:space="preserve">02 - Sports / GT</t>
        </is>
      </c>
      <c r="M272" s="50">
        <v>600000</v>
      </c>
      <c r="N272" s="48" t="inlineStr">
        <is>
          <t xml:space="preserve">Personal</t>
        </is>
      </c>
      <c r="O272" s="46" t="inlineStr">
        <is>
          <t xml:space="preserve">Personal - regular use</t>
        </is>
      </c>
      <c r="P272" s="46" t="inlineStr">
        <is>
          <t xml:space="preserve">Under 1,000</t>
        </is>
      </c>
      <c r="Q272" s="46" t="inlineStr">
        <is>
          <t xml:space="preserve">Michigan</t>
        </is>
      </c>
      <c r="R272" s="46" t="inlineStr">
        <is>
          <t xml:space="preserve">48226</t>
        </is>
      </c>
      <c r="S272" s="48" t="inlineStr">
        <is>
          <t xml:space="preserve">Severe convective - hail / tornado (moderate)</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10233.16</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CANON-202601-003410</t>
        </is>
      </c>
      <c r="B273" s="30" t="inlineStr">
        <is>
          <t xml:space="preserve">Saoirse Pennington</t>
        </is>
      </c>
      <c r="C273" s="31">
        <v>46024</v>
      </c>
      <c r="D273" s="32" t="inlineStr">
        <is>
          <t xml:space="preserve">Bound - within authority</t>
        </is>
      </c>
      <c r="E273" s="32" t="inlineStr">
        <is>
          <t xml:space="preserve">New business</t>
        </is>
      </c>
      <c r="F273" s="30" t="inlineStr">
        <is>
          <t xml:space="preserve">B1234EXOTIC26</t>
        </is>
      </c>
      <c r="G273" s="33">
        <f>IF($A273="","",IF($C273="","",YEAR($C273)))</f>
      </c>
      <c r="H273" s="34">
        <v>1960</v>
      </c>
      <c r="I273" s="30" t="inlineStr">
        <is>
          <t xml:space="preserve">Ferrari</t>
        </is>
      </c>
      <c r="J273" s="30" t="inlineStr">
        <is>
          <t xml:space="preserve">SF90 Stradale</t>
        </is>
      </c>
      <c r="K273" s="30" t="inlineStr">
        <is>
          <t xml:space="preserve">09AXYSYHW6WPD17U3</t>
        </is>
      </c>
      <c r="L273" s="32" t="inlineStr">
        <is>
          <t xml:space="preserve">03 - Supercar</t>
        </is>
      </c>
      <c r="M273" s="35">
        <v>625000</v>
      </c>
      <c r="N273" s="32" t="inlineStr">
        <is>
          <t xml:space="preserve">Personal</t>
        </is>
      </c>
      <c r="O273" s="30" t="inlineStr">
        <is>
          <t xml:space="preserve">Personal - regular use</t>
        </is>
      </c>
      <c r="P273" s="30" t="inlineStr">
        <is>
          <t xml:space="preserve">2,500 - 5,000</t>
        </is>
      </c>
      <c r="Q273" s="30" t="inlineStr">
        <is>
          <t xml:space="preserve">Nebraska</t>
        </is>
      </c>
      <c r="R273" s="30" t="inlineStr">
        <is>
          <t xml:space="preserve">68102</t>
        </is>
      </c>
      <c r="S273" s="32" t="inlineStr">
        <is>
          <t xml:space="preserve">Severe convective - hail alley (high)</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13066.53</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CANON-202601-003411</t>
        </is>
      </c>
      <c r="B274" s="46" t="inlineStr">
        <is>
          <t xml:space="preserve">Emiliano Blackwood</t>
        </is>
      </c>
      <c r="C274" s="47">
        <v>46031</v>
      </c>
      <c r="D274" s="48" t="inlineStr">
        <is>
          <t xml:space="preserve">Bound - within authority</t>
        </is>
      </c>
      <c r="E274" s="48" t="inlineStr">
        <is>
          <t xml:space="preserve">New business</t>
        </is>
      </c>
      <c r="F274" s="46" t="inlineStr">
        <is>
          <t xml:space="preserve">B1234EXOTIC26</t>
        </is>
      </c>
      <c r="G274" s="33">
        <f>IF($A274="","",IF($C274="","",YEAR($C274)))</f>
      </c>
      <c r="H274" s="49">
        <v>1987</v>
      </c>
      <c r="I274" s="46" t="inlineStr">
        <is>
          <t xml:space="preserve">Porsche</t>
        </is>
      </c>
      <c r="J274" s="46" t="inlineStr">
        <is>
          <t xml:space="preserve">911 Turbo S</t>
        </is>
      </c>
      <c r="K274" s="46" t="inlineStr">
        <is>
          <t xml:space="preserve">HSYRPVMNF0K3AZ1L8</t>
        </is>
      </c>
      <c r="L274" s="48" t="inlineStr">
        <is>
          <t xml:space="preserve">02 - Sports / GT</t>
        </is>
      </c>
      <c r="M274" s="50">
        <v>400000</v>
      </c>
      <c r="N274" s="48" t="inlineStr">
        <is>
          <t xml:space="preserve">Personal</t>
        </is>
      </c>
      <c r="O274" s="46" t="inlineStr">
        <is>
          <t xml:space="preserve">Personal - regular use</t>
        </is>
      </c>
      <c r="P274" s="46" t="inlineStr">
        <is>
          <t xml:space="preserve">Under 1,000</t>
        </is>
      </c>
      <c r="Q274" s="46" t="inlineStr">
        <is>
          <t xml:space="preserve">Georgia</t>
        </is>
      </c>
      <c r="R274" s="46" t="inlineStr">
        <is>
          <t xml:space="preserve">30303</t>
        </is>
      </c>
      <c r="S274" s="48" t="inlineStr">
        <is>
          <t xml:space="preserve">Tier 2 - Coastal wind (1-25 miles)</t>
        </is>
      </c>
      <c r="T274" s="36">
        <f>IF($A274="","",IF($S274="","",IFERROR(INDEX('[1]natural catastrophe'!$D$6:$D$17,MATCH($S274,'[1]natural catastrophe'!$B$6:$B$17,0)),"?")))</f>
      </c>
      <c r="U274" s="46" t="inlineStr">
        <is>
          <t xml:space="preserve">2% of agreed value, minimum $10,000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5687.91</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CANON-202601-003412</t>
        </is>
      </c>
      <c r="B275" s="30" t="inlineStr">
        <is>
          <t xml:space="preserve">Sunniva Fairweather</t>
        </is>
      </c>
      <c r="C275" s="31">
        <v>46052</v>
      </c>
      <c r="D275" s="32" t="inlineStr">
        <is>
          <t xml:space="preserve">Bound - within authority</t>
        </is>
      </c>
      <c r="E275" s="32" t="inlineStr">
        <is>
          <t xml:space="preserve">New business</t>
        </is>
      </c>
      <c r="F275" s="30" t="inlineStr">
        <is>
          <t xml:space="preserve">B1234EXOTIC26</t>
        </is>
      </c>
      <c r="G275" s="33">
        <f>IF($A275="","",IF($C275="","",YEAR($C275)))</f>
      </c>
      <c r="H275" s="34">
        <v>2017</v>
      </c>
      <c r="I275" s="30" t="inlineStr">
        <is>
          <t xml:space="preserve">Ferrari</t>
        </is>
      </c>
      <c r="J275" s="30" t="inlineStr">
        <is>
          <t xml:space="preserve">296 GTB</t>
        </is>
      </c>
      <c r="K275" s="30" t="inlineStr">
        <is>
          <t xml:space="preserve">7S5GVA4HJ86V46HCX</t>
        </is>
      </c>
      <c r="L275" s="32" t="inlineStr">
        <is>
          <t xml:space="preserve">03 - Supercar</t>
        </is>
      </c>
      <c r="M275" s="35">
        <v>875000</v>
      </c>
      <c r="N275" s="32" t="inlineStr">
        <is>
          <t xml:space="preserve">Personal</t>
        </is>
      </c>
      <c r="O275" s="30" t="inlineStr">
        <is>
          <t xml:space="preserve">Personal - regular use</t>
        </is>
      </c>
      <c r="P275" s="30" t="inlineStr">
        <is>
          <t xml:space="preserve">1,000 - 2,500</t>
        </is>
      </c>
      <c r="Q275" s="30" t="inlineStr">
        <is>
          <t xml:space="preserve">Minnesota</t>
        </is>
      </c>
      <c r="R275" s="30" t="inlineStr">
        <is>
          <t xml:space="preserve">55401</t>
        </is>
      </c>
      <c r="S275" s="32" t="inlineStr">
        <is>
          <t xml:space="preserve">Severe convective - hail / tornado (moderate)</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18574.58</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CANON-202601-003414</t>
        </is>
      </c>
      <c r="B276" s="46" t="inlineStr">
        <is>
          <t xml:space="preserve">Beatrix Ashcombe</t>
        </is>
      </c>
      <c r="C276" s="47">
        <v>46038</v>
      </c>
      <c r="D276" s="48" t="inlineStr">
        <is>
          <t xml:space="preserve">Bound - within authority</t>
        </is>
      </c>
      <c r="E276" s="48" t="inlineStr">
        <is>
          <t xml:space="preserve">New business</t>
        </is>
      </c>
      <c r="F276" s="46" t="inlineStr">
        <is>
          <t xml:space="preserve">B1234EXOTIC26</t>
        </is>
      </c>
      <c r="G276" s="33">
        <f>IF($A276="","",IF($C276="","",YEAR($C276)))</f>
      </c>
      <c r="H276" s="49">
        <v>1965</v>
      </c>
      <c r="I276" s="46" t="inlineStr">
        <is>
          <t xml:space="preserve">Bentley</t>
        </is>
      </c>
      <c r="J276" s="46" t="inlineStr">
        <is>
          <t xml:space="preserve">Continental GT</t>
        </is>
      </c>
      <c r="K276" s="46" t="inlineStr">
        <is>
          <t xml:space="preserve">W20BTK7UCNU9K0WHM</t>
        </is>
      </c>
      <c r="L276" s="48" t="inlineStr">
        <is>
          <t xml:space="preserve">02 - Sports / GT</t>
        </is>
      </c>
      <c r="M276" s="50">
        <v>430000</v>
      </c>
      <c r="N276" s="48" t="inlineStr">
        <is>
          <t xml:space="preserve">Personal</t>
        </is>
      </c>
      <c r="O276" s="46" t="inlineStr">
        <is>
          <t xml:space="preserve">Personal - regular use</t>
        </is>
      </c>
      <c r="P276" s="46" t="inlineStr">
        <is>
          <t xml:space="preserve">2,500 - 5,000</t>
        </is>
      </c>
      <c r="Q276" s="46" t="inlineStr">
        <is>
          <t xml:space="preserve">Nebraska</t>
        </is>
      </c>
      <c r="R276" s="46" t="inlineStr">
        <is>
          <t xml:space="preserve">68102</t>
        </is>
      </c>
      <c r="S276" s="48" t="inlineStr">
        <is>
          <t xml:space="preserve">Severe convective - hail alley (high)</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7097.19</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CANON-202601-003415</t>
        </is>
      </c>
      <c r="B277" s="30" t="inlineStr">
        <is>
          <t xml:space="preserve">Aurelio Vasquez</t>
        </is>
      </c>
      <c r="C277" s="31">
        <v>46034</v>
      </c>
      <c r="D277" s="32" t="inlineStr">
        <is>
          <t xml:space="preserve">Bound - within authority</t>
        </is>
      </c>
      <c r="E277" s="32" t="inlineStr">
        <is>
          <t xml:space="preserve">New business</t>
        </is>
      </c>
      <c r="F277" s="30" t="inlineStr">
        <is>
          <t xml:space="preserve">B1234EXOTIC26</t>
        </is>
      </c>
      <c r="G277" s="33">
        <f>IF($A277="","",IF($C277="","",YEAR($C277)))</f>
      </c>
      <c r="H277" s="34">
        <v>2024</v>
      </c>
      <c r="I277" s="30" t="inlineStr">
        <is>
          <t xml:space="preserve">Lamborghini</t>
        </is>
      </c>
      <c r="J277" s="30" t="inlineStr">
        <is>
          <t xml:space="preserve">Huracan EVO</t>
        </is>
      </c>
      <c r="K277" s="30" t="inlineStr">
        <is>
          <t xml:space="preserve">U6G60GU9Z8PNCWB7C</t>
        </is>
      </c>
      <c r="L277" s="32" t="inlineStr">
        <is>
          <t xml:space="preserve">03 - Supercar</t>
        </is>
      </c>
      <c r="M277" s="35">
        <v>1275000</v>
      </c>
      <c r="N277" s="32" t="inlineStr">
        <is>
          <t xml:space="preserve">Personal</t>
        </is>
      </c>
      <c r="O277" s="30" t="inlineStr">
        <is>
          <t xml:space="preserve">Personal - regular use</t>
        </is>
      </c>
      <c r="P277" s="30" t="inlineStr">
        <is>
          <t xml:space="preserve">1,000 - 2,500</t>
        </is>
      </c>
      <c r="Q277" s="30" t="inlineStr">
        <is>
          <t xml:space="preserve">Missouri</t>
        </is>
      </c>
      <c r="R277" s="30" t="inlineStr">
        <is>
          <t xml:space="preserve">63101</t>
        </is>
      </c>
      <c r="S277" s="32" t="inlineStr">
        <is>
          <t xml:space="preserve">Severe convective - hail / tornado (moderate)</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18302.88</v>
      </c>
      <c r="AC277" s="37">
        <v>0</v>
      </c>
      <c r="AD277" s="38">
        <f>IF(ISNUMBER($AB277),$AB277*(1+N($AC277)),"")</f>
      </c>
      <c r="AE277" s="35">
        <v>350</v>
      </c>
      <c r="AF277" s="35">
        <v>250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CANON-202601-003416</t>
        </is>
      </c>
      <c r="B278" s="46" t="inlineStr">
        <is>
          <t xml:space="preserve">Marisol Underwood</t>
        </is>
      </c>
      <c r="C278" s="47">
        <v>46032</v>
      </c>
      <c r="D278" s="48" t="inlineStr">
        <is>
          <t xml:space="preserve">Bound - within authority</t>
        </is>
      </c>
      <c r="E278" s="48" t="inlineStr">
        <is>
          <t xml:space="preserve">New business</t>
        </is>
      </c>
      <c r="F278" s="46" t="inlineStr">
        <is>
          <t xml:space="preserve">B1234EXOTIC26</t>
        </is>
      </c>
      <c r="G278" s="33">
        <f>IF($A278="","",IF($C278="","",YEAR($C278)))</f>
      </c>
      <c r="H278" s="49">
        <v>2003</v>
      </c>
      <c r="I278" s="46" t="inlineStr">
        <is>
          <t xml:space="preserve">Aston Martin</t>
        </is>
      </c>
      <c r="J278" s="46" t="inlineStr">
        <is>
          <t xml:space="preserve">DB5</t>
        </is>
      </c>
      <c r="K278" s="46" t="inlineStr">
        <is>
          <t xml:space="preserve">90W13NYR9ZEB48AJZ</t>
        </is>
      </c>
      <c r="L278" s="48" t="inlineStr">
        <is>
          <t xml:space="preserve">09 - Youngtimer / Collectible (2000-2010)</t>
        </is>
      </c>
      <c r="M278" s="50">
        <v>725000</v>
      </c>
      <c r="N278" s="48" t="inlineStr">
        <is>
          <t xml:space="preserve">Personal</t>
        </is>
      </c>
      <c r="O278" s="46" t="inlineStr">
        <is>
          <t xml:space="preserve">Personal - regular use</t>
        </is>
      </c>
      <c r="P278" s="46" t="inlineStr">
        <is>
          <t xml:space="preserve">2,500 - 5,000</t>
        </is>
      </c>
      <c r="Q278" s="46" t="inlineStr">
        <is>
          <t xml:space="preserve">Wisconsin</t>
        </is>
      </c>
      <c r="R278" s="46" t="inlineStr">
        <is>
          <t xml:space="preserve">53202</t>
        </is>
      </c>
      <c r="S278" s="48" t="inlineStr">
        <is>
          <t xml:space="preserve">Severe convective - hail / tornado (moderate)</t>
        </is>
      </c>
      <c r="T278" s="36">
        <f>IF($A278="","",IF($S278="","",IFERROR(INDEX('[1]natural catastrophe'!$D$6:$D$17,MATCH($S278,'[1]natural catastrophe'!$B$6:$B$17,0)),"?")))</f>
      </c>
      <c r="U278" s="46" t="inlineStr">
        <is>
          <t xml:space="preserve">$5,000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6332.88</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CANON-202601-003418</t>
        </is>
      </c>
      <c r="B279" s="30" t="inlineStr">
        <is>
          <t xml:space="preserve">Fenwick Blackwood</t>
        </is>
      </c>
      <c r="C279" s="31">
        <v>46049</v>
      </c>
      <c r="D279" s="32" t="inlineStr">
        <is>
          <t xml:space="preserve">Bound - within authority</t>
        </is>
      </c>
      <c r="E279" s="32" t="inlineStr">
        <is>
          <t xml:space="preserve">New business</t>
        </is>
      </c>
      <c r="F279" s="30" t="inlineStr">
        <is>
          <t xml:space="preserve">B1234EXOTIC26</t>
        </is>
      </c>
      <c r="G279" s="33">
        <f>IF($A279="","",IF($C279="","",YEAR($C279)))</f>
      </c>
      <c r="H279" s="34">
        <v>1969</v>
      </c>
      <c r="I279" s="30" t="inlineStr">
        <is>
          <t xml:space="preserve">Bentley</t>
        </is>
      </c>
      <c r="J279" s="30" t="inlineStr">
        <is>
          <t xml:space="preserve">Continental GT</t>
        </is>
      </c>
      <c r="K279" s="30" t="inlineStr">
        <is>
          <t xml:space="preserve">Z5M798Y7PNA7B405K</t>
        </is>
      </c>
      <c r="L279" s="32" t="inlineStr">
        <is>
          <t xml:space="preserve">02 - Sports / GT</t>
        </is>
      </c>
      <c r="M279" s="35">
        <v>130000</v>
      </c>
      <c r="N279" s="32" t="inlineStr">
        <is>
          <t xml:space="preserve">Personal</t>
        </is>
      </c>
      <c r="O279" s="30" t="inlineStr">
        <is>
          <t xml:space="preserve">Personal - regular use</t>
        </is>
      </c>
      <c r="P279" s="30" t="inlineStr">
        <is>
          <t xml:space="preserve">2,500 - 5,000</t>
        </is>
      </c>
      <c r="Q279" s="30" t="inlineStr">
        <is>
          <t xml:space="preserve">Michigan</t>
        </is>
      </c>
      <c r="R279" s="30" t="inlineStr">
        <is>
          <t xml:space="preserve">48226</t>
        </is>
      </c>
      <c r="S279" s="32" t="inlineStr">
        <is>
          <t xml:space="preserve">Severe convective - hail / tornado (moderate)</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3138.17</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CANON-202601-003419</t>
        </is>
      </c>
      <c r="B280" s="46" t="inlineStr">
        <is>
          <t xml:space="preserve">Anouk Ashcombe</t>
        </is>
      </c>
      <c r="C280" s="47">
        <v>46034</v>
      </c>
      <c r="D280" s="48" t="inlineStr">
        <is>
          <t xml:space="preserve">Bound - within authority</t>
        </is>
      </c>
      <c r="E280" s="48" t="inlineStr">
        <is>
          <t xml:space="preserve">New business</t>
        </is>
      </c>
      <c r="F280" s="46" t="inlineStr">
        <is>
          <t xml:space="preserve">B1234EXOTIC26</t>
        </is>
      </c>
      <c r="G280" s="33">
        <f>IF($A280="","",IF($C280="","",YEAR($C280)))</f>
      </c>
      <c r="H280" s="49">
        <v>1985</v>
      </c>
      <c r="I280" s="46" t="inlineStr">
        <is>
          <t xml:space="preserve">McLaren</t>
        </is>
      </c>
      <c r="J280" s="46" t="inlineStr">
        <is>
          <t xml:space="preserve">750S</t>
        </is>
      </c>
      <c r="K280" s="46" t="inlineStr">
        <is>
          <t xml:space="preserve">F93RW41NVVE6ZVXTX</t>
        </is>
      </c>
      <c r="L280" s="48" t="inlineStr">
        <is>
          <t xml:space="preserve">03 - Supercar</t>
        </is>
      </c>
      <c r="M280" s="50">
        <v>1505000</v>
      </c>
      <c r="N280" s="48" t="inlineStr">
        <is>
          <t xml:space="preserve">Personal</t>
        </is>
      </c>
      <c r="O280" s="46" t="inlineStr">
        <is>
          <t xml:space="preserve">Personal - regular use</t>
        </is>
      </c>
      <c r="P280" s="46" t="inlineStr">
        <is>
          <t xml:space="preserve">2,500 - 5,000</t>
        </is>
      </c>
      <c r="Q280" s="46" t="inlineStr">
        <is>
          <t xml:space="preserve">California</t>
        </is>
      </c>
      <c r="R280" s="46" t="inlineStr">
        <is>
          <t xml:space="preserve">90012</t>
        </is>
      </c>
      <c r="S280" s="48" t="inlineStr">
        <is>
          <t xml:space="preserve">Earthquake - high (CA, Cascadia, New Madrid)</t>
        </is>
      </c>
      <c r="T280" s="36">
        <f>IF($A280="","",IF($S280="","",IFERROR(INDEX('[1]natural catastrophe'!$D$6:$D$17,MATCH($S280,'[1]natural catastrophe'!$B$6:$B$17,0)),"?")))</f>
      </c>
      <c r="U280" s="46" t="inlineStr">
        <is>
          <t xml:space="preserve">$5,000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27515.26</v>
      </c>
      <c r="AC280" s="51">
        <v>0</v>
      </c>
      <c r="AD280" s="38">
        <f>IF(ISNUMBER($AB280),$AB280*(1+N($AC280)),"")</f>
      </c>
      <c r="AE280" s="50">
        <v>350</v>
      </c>
      <c r="AF280" s="50">
        <v>250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CANON-202601-003420</t>
        </is>
      </c>
      <c r="B281" s="30" t="inlineStr">
        <is>
          <t xml:space="preserve">Mireille Rourke</t>
        </is>
      </c>
      <c r="C281" s="31">
        <v>46031</v>
      </c>
      <c r="D281" s="32" t="inlineStr">
        <is>
          <t xml:space="preserve">Bound - within authority</t>
        </is>
      </c>
      <c r="E281" s="32" t="inlineStr">
        <is>
          <t xml:space="preserve">New business</t>
        </is>
      </c>
      <c r="F281" s="30" t="inlineStr">
        <is>
          <t xml:space="preserve">B1234EXOTIC26</t>
        </is>
      </c>
      <c r="G281" s="33">
        <f>IF($A281="","",IF($C281="","",YEAR($C281)))</f>
      </c>
      <c r="H281" s="34">
        <v>1969</v>
      </c>
      <c r="I281" s="30" t="inlineStr">
        <is>
          <t xml:space="preserve">Porsche</t>
        </is>
      </c>
      <c r="J281" s="30" t="inlineStr">
        <is>
          <t xml:space="preserve">911 Turbo S</t>
        </is>
      </c>
      <c r="K281" s="30" t="inlineStr">
        <is>
          <t xml:space="preserve">GAEND5327J9C2E7DC</t>
        </is>
      </c>
      <c r="L281" s="32" t="inlineStr">
        <is>
          <t xml:space="preserve">02 - Sports / GT</t>
        </is>
      </c>
      <c r="M281" s="35">
        <v>310000</v>
      </c>
      <c r="N281" s="32" t="inlineStr">
        <is>
          <t xml:space="preserve">Personal</t>
        </is>
      </c>
      <c r="O281" s="30" t="inlineStr">
        <is>
          <t xml:space="preserve">Personal - regular use</t>
        </is>
      </c>
      <c r="P281" s="30" t="inlineStr">
        <is>
          <t xml:space="preserve">1,000 - 2,500</t>
        </is>
      </c>
      <c r="Q281" s="30" t="inlineStr">
        <is>
          <t xml:space="preserve">Ohio</t>
        </is>
      </c>
      <c r="R281" s="30" t="inlineStr">
        <is>
          <t xml:space="preserve">43215</t>
        </is>
      </c>
      <c r="S281" s="32" t="inlineStr">
        <is>
          <t xml:space="preserve">Severe convective - hail / tornado (moderate)</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5470.8</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CANON-202601-003421</t>
        </is>
      </c>
      <c r="B282" s="46" t="inlineStr">
        <is>
          <t xml:space="preserve">Sunniva Vasquez</t>
        </is>
      </c>
      <c r="C282" s="47">
        <v>46025</v>
      </c>
      <c r="D282" s="48" t="inlineStr">
        <is>
          <t xml:space="preserve">Bound - within authority</t>
        </is>
      </c>
      <c r="E282" s="48" t="inlineStr">
        <is>
          <t xml:space="preserve">New business</t>
        </is>
      </c>
      <c r="F282" s="46" t="inlineStr">
        <is>
          <t xml:space="preserve">B1234EXOTIC26</t>
        </is>
      </c>
      <c r="G282" s="33">
        <f>IF($A282="","",IF($C282="","",YEAR($C282)))</f>
      </c>
      <c r="H282" s="49">
        <v>2017</v>
      </c>
      <c r="I282" s="46" t="inlineStr">
        <is>
          <t xml:space="preserve">Jaguar</t>
        </is>
      </c>
      <c r="J282" s="46" t="inlineStr">
        <is>
          <t xml:space="preserve">E-Type Series 1</t>
        </is>
      </c>
      <c r="K282" s="46" t="inlineStr">
        <is>
          <t xml:space="preserve">K6KJ21CD95SEKNBFY</t>
        </is>
      </c>
      <c r="L282" s="48" t="inlineStr">
        <is>
          <t xml:space="preserve">02 - Sports / GT</t>
        </is>
      </c>
      <c r="M282" s="50">
        <v>360000</v>
      </c>
      <c r="N282" s="48" t="inlineStr">
        <is>
          <t xml:space="preserve">Personal</t>
        </is>
      </c>
      <c r="O282" s="46" t="inlineStr">
        <is>
          <t xml:space="preserve">Personal - regular use</t>
        </is>
      </c>
      <c r="P282" s="46" t="inlineStr">
        <is>
          <t xml:space="preserve">2,500 - 5,000</t>
        </is>
      </c>
      <c r="Q282" s="46" t="inlineStr">
        <is>
          <t xml:space="preserve">New Hampshire</t>
        </is>
      </c>
      <c r="R282" s="46" t="inlineStr">
        <is>
          <t xml:space="preserve">03301</t>
        </is>
      </c>
      <c r="S282" s="48" t="inlineStr">
        <is>
          <t xml:space="preserve">Tier 3 - Coastal wind (25-100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3042.22</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CANON-202601-003423</t>
        </is>
      </c>
      <c r="B283" s="30" t="inlineStr">
        <is>
          <t xml:space="preserve">Callum Bellandi</t>
        </is>
      </c>
      <c r="C283" s="31">
        <v>46053</v>
      </c>
      <c r="D283" s="32" t="inlineStr">
        <is>
          <t xml:space="preserve">Bound - within authority</t>
        </is>
      </c>
      <c r="E283" s="32" t="inlineStr">
        <is>
          <t xml:space="preserve">New business</t>
        </is>
      </c>
      <c r="F283" s="30" t="inlineStr">
        <is>
          <t xml:space="preserve">B1234EXOTIC26</t>
        </is>
      </c>
      <c r="G283" s="33">
        <f>IF($A283="","",IF($C283="","",YEAR($C283)))</f>
      </c>
      <c r="H283" s="34">
        <v>1969</v>
      </c>
      <c r="I283" s="30" t="inlineStr">
        <is>
          <t xml:space="preserve">Bentley</t>
        </is>
      </c>
      <c r="J283" s="30" t="inlineStr">
        <is>
          <t xml:space="preserve">Continental GT</t>
        </is>
      </c>
      <c r="K283" s="30" t="inlineStr">
        <is>
          <t xml:space="preserve">KT74BTKNM85P0JGV7</t>
        </is>
      </c>
      <c r="L283" s="32" t="inlineStr">
        <is>
          <t xml:space="preserve">02 - Sports / GT</t>
        </is>
      </c>
      <c r="M283" s="35">
        <v>240000</v>
      </c>
      <c r="N283" s="32" t="inlineStr">
        <is>
          <t xml:space="preserve">Personal</t>
        </is>
      </c>
      <c r="O283" s="30" t="inlineStr">
        <is>
          <t xml:space="preserve">Personal - regular use</t>
        </is>
      </c>
      <c r="P283" s="30" t="inlineStr">
        <is>
          <t xml:space="preserve">1,000 - 2,500</t>
        </is>
      </c>
      <c r="Q283" s="30" t="inlineStr">
        <is>
          <t xml:space="preserve">Montana</t>
        </is>
      </c>
      <c r="R283" s="30" t="inlineStr">
        <is>
          <t xml:space="preserve">59601</t>
        </is>
      </c>
      <c r="S283" s="32" t="inlineStr">
        <is>
          <t xml:space="preserve">Wildfire - WUI high hazard</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3476.13</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CANON-202601-003425</t>
        </is>
      </c>
      <c r="B284" s="46" t="inlineStr">
        <is>
          <t xml:space="preserve">Priya Kingsford</t>
        </is>
      </c>
      <c r="C284" s="47">
        <v>46024</v>
      </c>
      <c r="D284" s="48" t="inlineStr">
        <is>
          <t xml:space="preserve">Bound - within authority</t>
        </is>
      </c>
      <c r="E284" s="48" t="inlineStr">
        <is>
          <t xml:space="preserve">New business</t>
        </is>
      </c>
      <c r="F284" s="46" t="inlineStr">
        <is>
          <t xml:space="preserve">B1234EXOTIC26</t>
        </is>
      </c>
      <c r="G284" s="33">
        <f>IF($A284="","",IF($C284="","",YEAR($C284)))</f>
      </c>
      <c r="H284" s="49">
        <v>1967</v>
      </c>
      <c r="I284" s="46" t="inlineStr">
        <is>
          <t xml:space="preserve">Ferrari</t>
        </is>
      </c>
      <c r="J284" s="46" t="inlineStr">
        <is>
          <t xml:space="preserve">SF90 Stradale</t>
        </is>
      </c>
      <c r="K284" s="46" t="inlineStr">
        <is>
          <t xml:space="preserve">EKTP82F7DL5BEUR0S</t>
        </is>
      </c>
      <c r="L284" s="48" t="inlineStr">
        <is>
          <t xml:space="preserve">03 - Supercar</t>
        </is>
      </c>
      <c r="M284" s="50">
        <v>335000</v>
      </c>
      <c r="N284" s="48" t="inlineStr">
        <is>
          <t xml:space="preserve">Personal</t>
        </is>
      </c>
      <c r="O284" s="46" t="inlineStr">
        <is>
          <t xml:space="preserve">Personal - regular use</t>
        </is>
      </c>
      <c r="P284" s="46" t="inlineStr">
        <is>
          <t xml:space="preserve">Under 1,000</t>
        </is>
      </c>
      <c r="Q284" s="46" t="inlineStr">
        <is>
          <t xml:space="preserve">Alabama</t>
        </is>
      </c>
      <c r="R284" s="46" t="inlineStr">
        <is>
          <t xml:space="preserve">35203</t>
        </is>
      </c>
      <c r="S284" s="48" t="inlineStr">
        <is>
          <t xml:space="preserve">Tier 2 - Coastal wind (1-25 miles)</t>
        </is>
      </c>
      <c r="T284" s="36">
        <f>IF($A284="","",IF($S284="","",IFERROR(INDEX('[1]natural catastrophe'!$D$6:$D$17,MATCH($S284,'[1]natural catastrophe'!$B$6:$B$17,0)),"?")))</f>
      </c>
      <c r="U284" s="46" t="inlineStr">
        <is>
          <t xml:space="preserve">2% of agreed value, minimum $10,000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8282.47</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CANON-202601-003428</t>
        </is>
      </c>
      <c r="B285" s="30" t="inlineStr">
        <is>
          <t xml:space="preserve">Saoirse Castellanos</t>
        </is>
      </c>
      <c r="C285" s="31">
        <v>46032</v>
      </c>
      <c r="D285" s="32" t="inlineStr">
        <is>
          <t xml:space="preserve">Bound - within authority</t>
        </is>
      </c>
      <c r="E285" s="32" t="inlineStr">
        <is>
          <t xml:space="preserve">New business</t>
        </is>
      </c>
      <c r="F285" s="30" t="inlineStr">
        <is>
          <t xml:space="preserve">B1234EXOTIC26</t>
        </is>
      </c>
      <c r="G285" s="33">
        <f>IF($A285="","",IF($C285="","",YEAR($C285)))</f>
      </c>
      <c r="H285" s="34">
        <v>1964</v>
      </c>
      <c r="I285" s="30" t="inlineStr">
        <is>
          <t xml:space="preserve">Mercedes-Benz</t>
        </is>
      </c>
      <c r="J285" s="30" t="inlineStr">
        <is>
          <t xml:space="preserve">AMG GT</t>
        </is>
      </c>
      <c r="K285" s="30" t="inlineStr">
        <is>
          <t xml:space="preserve">B7PFGMXNWGHXKV3LH</t>
        </is>
      </c>
      <c r="L285" s="32" t="inlineStr">
        <is>
          <t xml:space="preserve">02 - Sports / GT</t>
        </is>
      </c>
      <c r="M285" s="35">
        <v>865000</v>
      </c>
      <c r="N285" s="32" t="inlineStr">
        <is>
          <t xml:space="preserve">Personal</t>
        </is>
      </c>
      <c r="O285" s="30" t="inlineStr">
        <is>
          <t xml:space="preserve">Personal - regular use</t>
        </is>
      </c>
      <c r="P285" s="30" t="inlineStr">
        <is>
          <t xml:space="preserve">1,000 - 2,500</t>
        </is>
      </c>
      <c r="Q285" s="30" t="inlineStr">
        <is>
          <t xml:space="preserve">Nevada</t>
        </is>
      </c>
      <c r="R285" s="30" t="inlineStr">
        <is>
          <t xml:space="preserve">89101</t>
        </is>
      </c>
      <c r="S285" s="32" t="inlineStr">
        <is>
          <t xml:space="preserve">Wildfire - WUI high hazard</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11135.98</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CANON-202601-003429</t>
        </is>
      </c>
      <c r="B286" s="46" t="inlineStr">
        <is>
          <t xml:space="preserve">Wilhelmina Blackwood</t>
        </is>
      </c>
      <c r="C286" s="47">
        <v>46048</v>
      </c>
      <c r="D286" s="48" t="inlineStr">
        <is>
          <t xml:space="preserve">Bound - within authority</t>
        </is>
      </c>
      <c r="E286" s="48" t="inlineStr">
        <is>
          <t xml:space="preserve">New business</t>
        </is>
      </c>
      <c r="F286" s="46" t="inlineStr">
        <is>
          <t xml:space="preserve">B1234EXOTIC26</t>
        </is>
      </c>
      <c r="G286" s="33">
        <f>IF($A286="","",IF($C286="","",YEAR($C286)))</f>
      </c>
      <c r="H286" s="49">
        <v>2022</v>
      </c>
      <c r="I286" s="46" t="inlineStr">
        <is>
          <t xml:space="preserve">Aston Martin</t>
        </is>
      </c>
      <c r="J286" s="46" t="inlineStr">
        <is>
          <t xml:space="preserve">DB12</t>
        </is>
      </c>
      <c r="K286" s="46" t="inlineStr">
        <is>
          <t xml:space="preserve">BZEFZ5ZFTBEAH5U5S</t>
        </is>
      </c>
      <c r="L286" s="48" t="inlineStr">
        <is>
          <t xml:space="preserve">02 - Sports / GT</t>
        </is>
      </c>
      <c r="M286" s="50">
        <v>480000</v>
      </c>
      <c r="N286" s="48" t="inlineStr">
        <is>
          <t xml:space="preserve">Personal</t>
        </is>
      </c>
      <c r="O286" s="46" t="inlineStr">
        <is>
          <t xml:space="preserve">Personal - regular use</t>
        </is>
      </c>
      <c r="P286" s="46" t="inlineStr">
        <is>
          <t xml:space="preserve">2,500 - 5,000</t>
        </is>
      </c>
      <c r="Q286" s="46" t="inlineStr">
        <is>
          <t xml:space="preserve">North Carolina</t>
        </is>
      </c>
      <c r="R286" s="46" t="inlineStr">
        <is>
          <t xml:space="preserve">28202</t>
        </is>
      </c>
      <c r="S286" s="48" t="inlineStr">
        <is>
          <t xml:space="preserve">Tier 2 - Coastal wind (1-25 miles)</t>
        </is>
      </c>
      <c r="T286" s="36">
        <f>IF($A286="","",IF($S286="","",IFERROR(INDEX('[1]natural catastrophe'!$D$6:$D$17,MATCH($S286,'[1]natural catastrophe'!$B$6:$B$17,0)),"?")))</f>
      </c>
      <c r="U286" s="46" t="inlineStr">
        <is>
          <t xml:space="preserve">2% of agreed value, minimum $10,000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7008.32</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CANON-202601-003431</t>
        </is>
      </c>
      <c r="B287" s="30" t="inlineStr">
        <is>
          <t xml:space="preserve">Wilhelmina Vandermeer</t>
        </is>
      </c>
      <c r="C287" s="31">
        <v>46035</v>
      </c>
      <c r="D287" s="32" t="inlineStr">
        <is>
          <t xml:space="preserve">Bound - within authority</t>
        </is>
      </c>
      <c r="E287" s="32" t="inlineStr">
        <is>
          <t xml:space="preserve">New business</t>
        </is>
      </c>
      <c r="F287" s="30" t="inlineStr">
        <is>
          <t xml:space="preserve">B1234EXOTIC26</t>
        </is>
      </c>
      <c r="G287" s="33">
        <f>IF($A287="","",IF($C287="","",YEAR($C287)))</f>
      </c>
      <c r="H287" s="34">
        <v>1983</v>
      </c>
      <c r="I287" s="30" t="inlineStr">
        <is>
          <t xml:space="preserve">Lamborghini</t>
        </is>
      </c>
      <c r="J287" s="30" t="inlineStr">
        <is>
          <t xml:space="preserve">Huracan EVO</t>
        </is>
      </c>
      <c r="K287" s="30" t="inlineStr">
        <is>
          <t xml:space="preserve">TP0FD4H9ZL8ADPACJ</t>
        </is>
      </c>
      <c r="L287" s="32" t="inlineStr">
        <is>
          <t xml:space="preserve">03 - Supercar</t>
        </is>
      </c>
      <c r="M287" s="35">
        <v>1510000</v>
      </c>
      <c r="N287" s="32" t="inlineStr">
        <is>
          <t xml:space="preserve">Personal</t>
        </is>
      </c>
      <c r="O287" s="30" t="inlineStr">
        <is>
          <t xml:space="preserve">Personal - regular use</t>
        </is>
      </c>
      <c r="P287" s="30" t="inlineStr">
        <is>
          <t xml:space="preserve">2,500 - 5,000</t>
        </is>
      </c>
      <c r="Q287" s="30" t="inlineStr">
        <is>
          <t xml:space="preserve">Texas</t>
        </is>
      </c>
      <c r="R287" s="30" t="inlineStr">
        <is>
          <t xml:space="preserve">75201</t>
        </is>
      </c>
      <c r="S287" s="32" t="inlineStr">
        <is>
          <t xml:space="preserve">Tier 2 - Coastal wind (1-25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23516.8</v>
      </c>
      <c r="AC287" s="37">
        <v>0</v>
      </c>
      <c r="AD287" s="38">
        <f>IF(ISNUMBER($AB287),$AB287*(1+N($AC287)),"")</f>
      </c>
      <c r="AE287" s="35">
        <v>350</v>
      </c>
      <c r="AF287" s="35">
        <v>250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CANON-202601-003432</t>
        </is>
      </c>
      <c r="B288" s="46" t="inlineStr">
        <is>
          <t xml:space="preserve">Callum Harrington</t>
        </is>
      </c>
      <c r="C288" s="47">
        <v>46029</v>
      </c>
      <c r="D288" s="48" t="inlineStr">
        <is>
          <t xml:space="preserve">Bound - within authority</t>
        </is>
      </c>
      <c r="E288" s="48" t="inlineStr">
        <is>
          <t xml:space="preserve">New business</t>
        </is>
      </c>
      <c r="F288" s="46" t="inlineStr">
        <is>
          <t xml:space="preserve">B1234EXOTIC26</t>
        </is>
      </c>
      <c r="G288" s="33">
        <f>IF($A288="","",IF($C288="","",YEAR($C288)))</f>
      </c>
      <c r="H288" s="49">
        <v>2003</v>
      </c>
      <c r="I288" s="46" t="inlineStr">
        <is>
          <t xml:space="preserve">Jaguar</t>
        </is>
      </c>
      <c r="J288" s="46" t="inlineStr">
        <is>
          <t xml:space="preserve">E-Type Series 1</t>
        </is>
      </c>
      <c r="K288" s="46" t="inlineStr">
        <is>
          <t xml:space="preserve">HKBREF9E9W3ZT2YB3</t>
        </is>
      </c>
      <c r="L288" s="48" t="inlineStr">
        <is>
          <t xml:space="preserve">09 - Youngtimer / Collectible (2000-2010)</t>
        </is>
      </c>
      <c r="M288" s="50">
        <v>440000</v>
      </c>
      <c r="N288" s="48" t="inlineStr">
        <is>
          <t xml:space="preserve">Personal</t>
        </is>
      </c>
      <c r="O288" s="46" t="inlineStr">
        <is>
          <t xml:space="preserve">Personal - regular use</t>
        </is>
      </c>
      <c r="P288" s="46" t="inlineStr">
        <is>
          <t xml:space="preserve">1,000 - 2,500</t>
        </is>
      </c>
      <c r="Q288" s="46" t="inlineStr">
        <is>
          <t xml:space="preserve">Washington</t>
        </is>
      </c>
      <c r="R288" s="46" t="inlineStr">
        <is>
          <t xml:space="preserve">98101</t>
        </is>
      </c>
      <c r="S288" s="48" t="inlineStr">
        <is>
          <t xml:space="preserve">Earthquake - high (CA, Cascadia, New Madrid)</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3432.25</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CANON-202601-003433</t>
        </is>
      </c>
      <c r="B289" s="30" t="inlineStr">
        <is>
          <t xml:space="preserve">Cassius Nakashima</t>
        </is>
      </c>
      <c r="C289" s="31">
        <v>46036</v>
      </c>
      <c r="D289" s="32" t="inlineStr">
        <is>
          <t xml:space="preserve">Bound - within authority</t>
        </is>
      </c>
      <c r="E289" s="32" t="inlineStr">
        <is>
          <t xml:space="preserve">New business</t>
        </is>
      </c>
      <c r="F289" s="30" t="inlineStr">
        <is>
          <t xml:space="preserve">B1234EXOTIC26</t>
        </is>
      </c>
      <c r="G289" s="33">
        <f>IF($A289="","",IF($C289="","",YEAR($C289)))</f>
      </c>
      <c r="H289" s="34">
        <v>2021</v>
      </c>
      <c r="I289" s="30" t="inlineStr">
        <is>
          <t xml:space="preserve">Maserati</t>
        </is>
      </c>
      <c r="J289" s="30" t="inlineStr">
        <is>
          <t xml:space="preserve">GranTurismo</t>
        </is>
      </c>
      <c r="K289" s="30" t="inlineStr">
        <is>
          <t xml:space="preserve">VL8ZCA69JX77TYEUS</t>
        </is>
      </c>
      <c r="L289" s="32" t="inlineStr">
        <is>
          <t xml:space="preserve">02 - Sports / GT</t>
        </is>
      </c>
      <c r="M289" s="35">
        <v>275000</v>
      </c>
      <c r="N289" s="32" t="inlineStr">
        <is>
          <t xml:space="preserve">Personal</t>
        </is>
      </c>
      <c r="O289" s="30" t="inlineStr">
        <is>
          <t xml:space="preserve">Personal - regular use</t>
        </is>
      </c>
      <c r="P289" s="30" t="inlineStr">
        <is>
          <t xml:space="preserve">Under 1,000</t>
        </is>
      </c>
      <c r="Q289" s="30" t="inlineStr">
        <is>
          <t xml:space="preserve">New Jersey</t>
        </is>
      </c>
      <c r="R289" s="30" t="inlineStr">
        <is>
          <t xml:space="preserve">07102</t>
        </is>
      </c>
      <c r="S289" s="32" t="inlineStr">
        <is>
          <t xml:space="preserve">Tier 3 - Coastal wind (25-100 miles)</t>
        </is>
      </c>
      <c r="T289" s="36">
        <f>IF($A289="","",IF($S289="","",IFERROR(INDEX('[1]natural catastrophe'!$D$6:$D$17,MATCH($S289,'[1]natural catastrophe'!$B$6:$B$17,0)),"?")))</f>
      </c>
      <c r="U289" s="30" t="inlineStr">
        <is>
          <t xml:space="preserve">2% of agreed value, minimum $10,000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3177.23</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CANON-202601-003434</t>
        </is>
      </c>
      <c r="B290" s="46" t="inlineStr">
        <is>
          <t xml:space="preserve">Callum Pennington</t>
        </is>
      </c>
      <c r="C290" s="47">
        <v>46048</v>
      </c>
      <c r="D290" s="48" t="inlineStr">
        <is>
          <t xml:space="preserve">Bound - within authority</t>
        </is>
      </c>
      <c r="E290" s="48" t="inlineStr">
        <is>
          <t xml:space="preserve">New business</t>
        </is>
      </c>
      <c r="F290" s="46" t="inlineStr">
        <is>
          <t xml:space="preserve">B1234EXOTIC26</t>
        </is>
      </c>
      <c r="G290" s="33">
        <f>IF($A290="","",IF($C290="","",YEAR($C290)))</f>
      </c>
      <c r="H290" s="49">
        <v>1966</v>
      </c>
      <c r="I290" s="46" t="inlineStr">
        <is>
          <t xml:space="preserve">BMW</t>
        </is>
      </c>
      <c r="J290" s="46" t="inlineStr">
        <is>
          <t xml:space="preserve">M8 Competition</t>
        </is>
      </c>
      <c r="K290" s="46" t="inlineStr">
        <is>
          <t xml:space="preserve">JNFUBF34H88H151C4</t>
        </is>
      </c>
      <c r="L290" s="48" t="inlineStr">
        <is>
          <t xml:space="preserve">02 - Sports / GT</t>
        </is>
      </c>
      <c r="M290" s="50">
        <v>530000</v>
      </c>
      <c r="N290" s="48" t="inlineStr">
        <is>
          <t xml:space="preserve">Personal</t>
        </is>
      </c>
      <c r="O290" s="46" t="inlineStr">
        <is>
          <t xml:space="preserve">Personal - regular use</t>
        </is>
      </c>
      <c r="P290" s="46" t="inlineStr">
        <is>
          <t xml:space="preserve">1,000 - 2,500</t>
        </is>
      </c>
      <c r="Q290" s="46" t="inlineStr">
        <is>
          <t xml:space="preserve">West Virginia</t>
        </is>
      </c>
      <c r="R290" s="46" t="inlineStr">
        <is>
          <t xml:space="preserve">25301</t>
        </is>
      </c>
      <c r="S290" s="48" t="inlineStr">
        <is>
          <t xml:space="preserve">Low hazard - inland benign</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7756.29</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CANON-202601-003435</t>
        </is>
      </c>
      <c r="B291" s="30" t="inlineStr">
        <is>
          <t xml:space="preserve">Marisol Pennington</t>
        </is>
      </c>
      <c r="C291" s="31">
        <v>46034</v>
      </c>
      <c r="D291" s="32" t="inlineStr">
        <is>
          <t xml:space="preserve">Bound - within authority</t>
        </is>
      </c>
      <c r="E291" s="32" t="inlineStr">
        <is>
          <t xml:space="preserve">New business</t>
        </is>
      </c>
      <c r="F291" s="30" t="inlineStr">
        <is>
          <t xml:space="preserve">B1234EXOTIC26</t>
        </is>
      </c>
      <c r="G291" s="33">
        <f>IF($A291="","",IF($C291="","",YEAR($C291)))</f>
      </c>
      <c r="H291" s="34">
        <v>1989</v>
      </c>
      <c r="I291" s="30" t="inlineStr">
        <is>
          <t xml:space="preserve">Mercedes-Benz</t>
        </is>
      </c>
      <c r="J291" s="30" t="inlineStr">
        <is>
          <t xml:space="preserve">280SL Pagoda</t>
        </is>
      </c>
      <c r="K291" s="30" t="inlineStr">
        <is>
          <t xml:space="preserve">FHASZRM6SZNXY7185</t>
        </is>
      </c>
      <c r="L291" s="32" t="inlineStr">
        <is>
          <t xml:space="preserve">08 - Modern Classic (1973-1999)</t>
        </is>
      </c>
      <c r="M291" s="35">
        <v>1020000</v>
      </c>
      <c r="N291" s="32" t="inlineStr">
        <is>
          <t xml:space="preserve">Personal</t>
        </is>
      </c>
      <c r="O291" s="30" t="inlineStr">
        <is>
          <t xml:space="preserve">Personal - regular use</t>
        </is>
      </c>
      <c r="P291" s="30" t="inlineStr">
        <is>
          <t xml:space="preserve">1,000 - 2,500</t>
        </is>
      </c>
      <c r="Q291" s="30" t="inlineStr">
        <is>
          <t xml:space="preserve">Iowa</t>
        </is>
      </c>
      <c r="R291" s="30" t="inlineStr">
        <is>
          <t xml:space="preserve">50309</t>
        </is>
      </c>
      <c r="S291" s="32" t="inlineStr">
        <is>
          <t xml:space="preserve">Severe convective - hail alley (high)</t>
        </is>
      </c>
      <c r="T291" s="36">
        <f>IF($A291="","",IF($S291="","",IFERROR(INDEX('[1]natural catastrophe'!$D$6:$D$17,MATCH($S291,'[1]natural catastrophe'!$B$6:$B$17,0)),"?")))</f>
      </c>
      <c r="U291" s="30" t="inlineStr">
        <is>
          <t xml:space="preserve">$5,000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7217.55</v>
      </c>
      <c r="AC291" s="37">
        <v>0</v>
      </c>
      <c r="AD291" s="38">
        <f>IF(ISNUMBER($AB291),$AB291*(1+N($AC291)),"")</f>
      </c>
      <c r="AE291" s="35">
        <v>350</v>
      </c>
      <c r="AF291" s="35">
        <v>250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CANON-202601-003436</t>
        </is>
      </c>
      <c r="B292" s="46" t="inlineStr">
        <is>
          <t xml:space="preserve">Thaddeus Chattopadhyay</t>
        </is>
      </c>
      <c r="C292" s="47">
        <v>46032</v>
      </c>
      <c r="D292" s="48" t="inlineStr">
        <is>
          <t xml:space="preserve">Bound - within authority</t>
        </is>
      </c>
      <c r="E292" s="48" t="inlineStr">
        <is>
          <t xml:space="preserve">New business</t>
        </is>
      </c>
      <c r="F292" s="46" t="inlineStr">
        <is>
          <t xml:space="preserve">B1234EXOTIC26</t>
        </is>
      </c>
      <c r="G292" s="33">
        <f>IF($A292="","",IF($C292="","",YEAR($C292)))</f>
      </c>
      <c r="H292" s="49">
        <v>2001</v>
      </c>
      <c r="I292" s="46" t="inlineStr">
        <is>
          <t xml:space="preserve">Ferrari</t>
        </is>
      </c>
      <c r="J292" s="46" t="inlineStr">
        <is>
          <t xml:space="preserve">SF90 Stradale</t>
        </is>
      </c>
      <c r="K292" s="46" t="inlineStr">
        <is>
          <t xml:space="preserve">RKMXC8LXRNKPCE9KX</t>
        </is>
      </c>
      <c r="L292" s="48" t="inlineStr">
        <is>
          <t xml:space="preserve">03 - Supercar</t>
        </is>
      </c>
      <c r="M292" s="50">
        <v>1865000</v>
      </c>
      <c r="N292" s="48" t="inlineStr">
        <is>
          <t xml:space="preserve">Personal</t>
        </is>
      </c>
      <c r="O292" s="46" t="inlineStr">
        <is>
          <t xml:space="preserve">Personal - regular use</t>
        </is>
      </c>
      <c r="P292" s="46" t="inlineStr">
        <is>
          <t xml:space="preserve">2,500 - 5,000</t>
        </is>
      </c>
      <c r="Q292" s="46" t="inlineStr">
        <is>
          <t xml:space="preserve">Connecticut</t>
        </is>
      </c>
      <c r="R292" s="46" t="inlineStr">
        <is>
          <t xml:space="preserve">06103</t>
        </is>
      </c>
      <c r="S292" s="48" t="inlineStr">
        <is>
          <t xml:space="preserve">Tier 3 - Coastal wind (25-100 miles)</t>
        </is>
      </c>
      <c r="T292" s="36">
        <f>IF($A292="","",IF($S292="","",IFERROR(INDEX('[1]natural catastrophe'!$D$6:$D$17,MATCH($S292,'[1]natural catastrophe'!$B$6:$B$17,0)),"?")))</f>
      </c>
      <c r="U292" s="46" t="inlineStr">
        <is>
          <t xml:space="preserve">2% of agreed value, minimum $10,000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28287.87</v>
      </c>
      <c r="AC292" s="51">
        <v>0</v>
      </c>
      <c r="AD292" s="38">
        <f>IF(ISNUMBER($AB292),$AB292*(1+N($AC292)),"")</f>
      </c>
      <c r="AE292" s="50">
        <v>350</v>
      </c>
      <c r="AF292" s="50">
        <v>250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CANON-202601-003437</t>
        </is>
      </c>
      <c r="B293" s="30" t="inlineStr">
        <is>
          <t xml:space="preserve">Marisol Okonkwo</t>
        </is>
      </c>
      <c r="C293" s="31">
        <v>46033</v>
      </c>
      <c r="D293" s="32" t="inlineStr">
        <is>
          <t xml:space="preserve">Bound - within authority</t>
        </is>
      </c>
      <c r="E293" s="32" t="inlineStr">
        <is>
          <t xml:space="preserve">New business</t>
        </is>
      </c>
      <c r="F293" s="30" t="inlineStr">
        <is>
          <t xml:space="preserve">B1234EXOTIC26</t>
        </is>
      </c>
      <c r="G293" s="33">
        <f>IF($A293="","",IF($C293="","",YEAR($C293)))</f>
      </c>
      <c r="H293" s="34">
        <v>1972</v>
      </c>
      <c r="I293" s="30" t="inlineStr">
        <is>
          <t xml:space="preserve">Aston Martin</t>
        </is>
      </c>
      <c r="J293" s="30" t="inlineStr">
        <is>
          <t xml:space="preserve">DB5</t>
        </is>
      </c>
      <c r="K293" s="30" t="inlineStr">
        <is>
          <t xml:space="preserve">R2UUHSK5CH8N4E4F3</t>
        </is>
      </c>
      <c r="L293" s="32" t="inlineStr">
        <is>
          <t xml:space="preserve">07 - Post-War Classic (1946-1972)</t>
        </is>
      </c>
      <c r="M293" s="35">
        <v>280000</v>
      </c>
      <c r="N293" s="32" t="inlineStr">
        <is>
          <t xml:space="preserve">Personal</t>
        </is>
      </c>
      <c r="O293" s="30" t="inlineStr">
        <is>
          <t xml:space="preserve">Personal - regular use</t>
        </is>
      </c>
      <c r="P293" s="30" t="inlineStr">
        <is>
          <t xml:space="preserve">Under 1,000</t>
        </is>
      </c>
      <c r="Q293" s="30" t="inlineStr">
        <is>
          <t xml:space="preserve">New Mexico</t>
        </is>
      </c>
      <c r="R293" s="30" t="inlineStr">
        <is>
          <t xml:space="preserve">87501</t>
        </is>
      </c>
      <c r="S293" s="32" t="inlineStr">
        <is>
          <t xml:space="preserve">Wildfire - WUI high hazard</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2912.21</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CANON-202601-003438</t>
        </is>
      </c>
      <c r="B294" s="46" t="inlineStr">
        <is>
          <t xml:space="preserve">Leopold Montoya</t>
        </is>
      </c>
      <c r="C294" s="47">
        <v>46033</v>
      </c>
      <c r="D294" s="48" t="inlineStr">
        <is>
          <t xml:space="preserve">Bound - within authority</t>
        </is>
      </c>
      <c r="E294" s="48" t="inlineStr">
        <is>
          <t xml:space="preserve">New business</t>
        </is>
      </c>
      <c r="F294" s="46" t="inlineStr">
        <is>
          <t xml:space="preserve">B1234EXOTIC26</t>
        </is>
      </c>
      <c r="G294" s="33">
        <f>IF($A294="","",IF($C294="","",YEAR($C294)))</f>
      </c>
      <c r="H294" s="49">
        <v>2015</v>
      </c>
      <c r="I294" s="46" t="inlineStr">
        <is>
          <t xml:space="preserve">Porsche</t>
        </is>
      </c>
      <c r="J294" s="46" t="inlineStr">
        <is>
          <t xml:space="preserve">911 Turbo S</t>
        </is>
      </c>
      <c r="K294" s="46" t="inlineStr">
        <is>
          <t xml:space="preserve">8JB1HA08E9KZYKFA6</t>
        </is>
      </c>
      <c r="L294" s="48" t="inlineStr">
        <is>
          <t xml:space="preserve">02 - Sports / GT</t>
        </is>
      </c>
      <c r="M294" s="50">
        <v>485000</v>
      </c>
      <c r="N294" s="48" t="inlineStr">
        <is>
          <t xml:space="preserve">Personal</t>
        </is>
      </c>
      <c r="O294" s="46" t="inlineStr">
        <is>
          <t xml:space="preserve">Personal - regular use</t>
        </is>
      </c>
      <c r="P294" s="46" t="inlineStr">
        <is>
          <t xml:space="preserve">Under 1,000</t>
        </is>
      </c>
      <c r="Q294" s="46" t="inlineStr">
        <is>
          <t xml:space="preserve">Michigan</t>
        </is>
      </c>
      <c r="R294" s="46" t="inlineStr">
        <is>
          <t xml:space="preserve">48226</t>
        </is>
      </c>
      <c r="S294" s="48" t="inlineStr">
        <is>
          <t xml:space="preserve">Severe convective - hail / tornado (moderate)</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9544.39</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CANON-202601-003439</t>
        </is>
      </c>
      <c r="B295" s="30" t="inlineStr">
        <is>
          <t xml:space="preserve">Anouk Nakashima</t>
        </is>
      </c>
      <c r="C295" s="31">
        <v>46044</v>
      </c>
      <c r="D295" s="32" t="inlineStr">
        <is>
          <t xml:space="preserve">Bound - within authority</t>
        </is>
      </c>
      <c r="E295" s="32" t="inlineStr">
        <is>
          <t xml:space="preserve">New business</t>
        </is>
      </c>
      <c r="F295" s="30" t="inlineStr">
        <is>
          <t xml:space="preserve">B1234EXOTIC26</t>
        </is>
      </c>
      <c r="G295" s="33">
        <f>IF($A295="","",IF($C295="","",YEAR($C295)))</f>
      </c>
      <c r="H295" s="34">
        <v>1972</v>
      </c>
      <c r="I295" s="30" t="inlineStr">
        <is>
          <t xml:space="preserve">Maserati</t>
        </is>
      </c>
      <c r="J295" s="30" t="inlineStr">
        <is>
          <t xml:space="preserve">GranTurismo</t>
        </is>
      </c>
      <c r="K295" s="30" t="inlineStr">
        <is>
          <t xml:space="preserve">C7P185S7L8LHWWRSY</t>
        </is>
      </c>
      <c r="L295" s="32" t="inlineStr">
        <is>
          <t xml:space="preserve">02 - Sports / GT</t>
        </is>
      </c>
      <c r="M295" s="35">
        <v>160000</v>
      </c>
      <c r="N295" s="32" t="inlineStr">
        <is>
          <t xml:space="preserve">Personal</t>
        </is>
      </c>
      <c r="O295" s="30" t="inlineStr">
        <is>
          <t xml:space="preserve">Personal - regular use</t>
        </is>
      </c>
      <c r="P295" s="30" t="inlineStr">
        <is>
          <t xml:space="preserve">Under 1,000</t>
        </is>
      </c>
      <c r="Q295" s="30" t="inlineStr">
        <is>
          <t xml:space="preserve">Iowa</t>
        </is>
      </c>
      <c r="R295" s="30" t="inlineStr">
        <is>
          <t xml:space="preserve">50309</t>
        </is>
      </c>
      <c r="S295" s="32" t="inlineStr">
        <is>
          <t xml:space="preserve">Severe convective - hail alley (high)</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2741.03</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CANON-202601-003440</t>
        </is>
      </c>
      <c r="B296" s="46" t="inlineStr">
        <is>
          <t xml:space="preserve">Ramona Rourke</t>
        </is>
      </c>
      <c r="C296" s="47">
        <v>46044</v>
      </c>
      <c r="D296" s="48" t="inlineStr">
        <is>
          <t xml:space="preserve">Bound - within authority</t>
        </is>
      </c>
      <c r="E296" s="48" t="inlineStr">
        <is>
          <t xml:space="preserve">New business</t>
        </is>
      </c>
      <c r="F296" s="46" t="inlineStr">
        <is>
          <t xml:space="preserve">B1234EXOTIC26</t>
        </is>
      </c>
      <c r="G296" s="33">
        <f>IF($A296="","",IF($C296="","",YEAR($C296)))</f>
      </c>
      <c r="H296" s="49">
        <v>2000</v>
      </c>
      <c r="I296" s="46" t="inlineStr">
        <is>
          <t xml:space="preserve">Aston Martin</t>
        </is>
      </c>
      <c r="J296" s="46" t="inlineStr">
        <is>
          <t xml:space="preserve">DB12</t>
        </is>
      </c>
      <c r="K296" s="46" t="inlineStr">
        <is>
          <t xml:space="preserve">BGA2CHFNFC7BJ3GB1</t>
        </is>
      </c>
      <c r="L296" s="48" t="inlineStr">
        <is>
          <t xml:space="preserve">02 - Sports / GT</t>
        </is>
      </c>
      <c r="M296" s="50">
        <v>405000</v>
      </c>
      <c r="N296" s="48" t="inlineStr">
        <is>
          <t xml:space="preserve">Personal</t>
        </is>
      </c>
      <c r="O296" s="46" t="inlineStr">
        <is>
          <t xml:space="preserve">Personal - regular use</t>
        </is>
      </c>
      <c r="P296" s="46" t="inlineStr">
        <is>
          <t xml:space="preserve">1,000 - 2,500</t>
        </is>
      </c>
      <c r="Q296" s="46" t="inlineStr">
        <is>
          <t xml:space="preserve">Illinois</t>
        </is>
      </c>
      <c r="R296" s="46" t="inlineStr">
        <is>
          <t xml:space="preserve">60601</t>
        </is>
      </c>
      <c r="S296" s="48" t="inlineStr">
        <is>
          <t xml:space="preserve">Severe convective - hail / tornado (moderate)</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6993.08</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CANON-202601-003442</t>
        </is>
      </c>
      <c r="B297" s="30" t="inlineStr">
        <is>
          <t xml:space="preserve">Anouk Chattopadhyay</t>
        </is>
      </c>
      <c r="C297" s="31">
        <v>46024</v>
      </c>
      <c r="D297" s="32" t="inlineStr">
        <is>
          <t xml:space="preserve">Bound - within authority</t>
        </is>
      </c>
      <c r="E297" s="32" t="inlineStr">
        <is>
          <t xml:space="preserve">New business</t>
        </is>
      </c>
      <c r="F297" s="30" t="inlineStr">
        <is>
          <t xml:space="preserve">B1234EXOTIC26</t>
        </is>
      </c>
      <c r="G297" s="33">
        <f>IF($A297="","",IF($C297="","",YEAR($C297)))</f>
      </c>
      <c r="H297" s="34">
        <v>2013</v>
      </c>
      <c r="I297" s="30" t="inlineStr">
        <is>
          <t xml:space="preserve">Jaguar</t>
        </is>
      </c>
      <c r="J297" s="30" t="inlineStr">
        <is>
          <t xml:space="preserve">E-Type Series 1</t>
        </is>
      </c>
      <c r="K297" s="30" t="inlineStr">
        <is>
          <t xml:space="preserve">6270G5SL7EHG9PT33</t>
        </is>
      </c>
      <c r="L297" s="32" t="inlineStr">
        <is>
          <t xml:space="preserve">02 - Sports / GT</t>
        </is>
      </c>
      <c r="M297" s="35">
        <v>895000</v>
      </c>
      <c r="N297" s="32" t="inlineStr">
        <is>
          <t xml:space="preserve">Personal</t>
        </is>
      </c>
      <c r="O297" s="30" t="inlineStr">
        <is>
          <t xml:space="preserve">Personal - regular use</t>
        </is>
      </c>
      <c r="P297" s="30" t="inlineStr">
        <is>
          <t xml:space="preserve">Under 1,000</t>
        </is>
      </c>
      <c r="Q297" s="30" t="inlineStr">
        <is>
          <t xml:space="preserve">Utah</t>
        </is>
      </c>
      <c r="R297" s="30" t="inlineStr">
        <is>
          <t xml:space="preserve">84101</t>
        </is>
      </c>
      <c r="S297" s="32" t="inlineStr">
        <is>
          <t xml:space="preserve">Wildfire - WUI high hazard</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8795.05</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CANON-202601-003444</t>
        </is>
      </c>
      <c r="B298" s="46" t="inlineStr">
        <is>
          <t xml:space="preserve">Desmond Okonkwo</t>
        </is>
      </c>
      <c r="C298" s="47">
        <v>46032</v>
      </c>
      <c r="D298" s="48" t="inlineStr">
        <is>
          <t xml:space="preserve">Bound - within authority</t>
        </is>
      </c>
      <c r="E298" s="48" t="inlineStr">
        <is>
          <t xml:space="preserve">New business</t>
        </is>
      </c>
      <c r="F298" s="46" t="inlineStr">
        <is>
          <t xml:space="preserve">B1234EXOTIC26</t>
        </is>
      </c>
      <c r="G298" s="33">
        <f>IF($A298="","",IF($C298="","",YEAR($C298)))</f>
      </c>
      <c r="H298" s="49">
        <v>1965</v>
      </c>
      <c r="I298" s="46" t="inlineStr">
        <is>
          <t xml:space="preserve">Jaguar</t>
        </is>
      </c>
      <c r="J298" s="46" t="inlineStr">
        <is>
          <t xml:space="preserve">E-Type Series 1</t>
        </is>
      </c>
      <c r="K298" s="46" t="inlineStr">
        <is>
          <t xml:space="preserve">XSML2KF7S3VGF37P4</t>
        </is>
      </c>
      <c r="L298" s="48" t="inlineStr">
        <is>
          <t xml:space="preserve">07 - Post-War Classic (1946-1972)</t>
        </is>
      </c>
      <c r="M298" s="50">
        <v>330000</v>
      </c>
      <c r="N298" s="48" t="inlineStr">
        <is>
          <t xml:space="preserve">Personal</t>
        </is>
      </c>
      <c r="O298" s="46" t="inlineStr">
        <is>
          <t xml:space="preserve">Personal - regular use</t>
        </is>
      </c>
      <c r="P298" s="46" t="inlineStr">
        <is>
          <t xml:space="preserve">Under 1,000</t>
        </is>
      </c>
      <c r="Q298" s="46" t="inlineStr">
        <is>
          <t xml:space="preserve">New York</t>
        </is>
      </c>
      <c r="R298" s="46" t="inlineStr">
        <is>
          <t xml:space="preserve">10022</t>
        </is>
      </c>
      <c r="S298" s="48" t="inlineStr">
        <is>
          <t xml:space="preserve">Tier 3 - Coastal wind (25-100 miles)</t>
        </is>
      </c>
      <c r="T298" s="36">
        <f>IF($A298="","",IF($S298="","",IFERROR(INDEX('[1]natural catastrophe'!$D$6:$D$17,MATCH($S298,'[1]natural catastrophe'!$B$6:$B$17,0)),"?")))</f>
      </c>
      <c r="U298" s="46" t="inlineStr">
        <is>
          <t xml:space="preserve">2% of agreed value, minimum $10,000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3432.25</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CANON-202601-003445</t>
        </is>
      </c>
      <c r="B299" s="30" t="inlineStr">
        <is>
          <t xml:space="preserve">Cassius Thistlewood</t>
        </is>
      </c>
      <c r="C299" s="31">
        <v>46039</v>
      </c>
      <c r="D299" s="32" t="inlineStr">
        <is>
          <t xml:space="preserve">Bound - within authority</t>
        </is>
      </c>
      <c r="E299" s="32" t="inlineStr">
        <is>
          <t xml:space="preserve">New business</t>
        </is>
      </c>
      <c r="F299" s="30" t="inlineStr">
        <is>
          <t xml:space="preserve">B1234EXOTIC26</t>
        </is>
      </c>
      <c r="G299" s="33">
        <f>IF($A299="","",IF($C299="","",YEAR($C299)))</f>
      </c>
      <c r="H299" s="34">
        <v>2001</v>
      </c>
      <c r="I299" s="30" t="inlineStr">
        <is>
          <t xml:space="preserve">Mercedes-Benz</t>
        </is>
      </c>
      <c r="J299" s="30" t="inlineStr">
        <is>
          <t xml:space="preserve">AMG GT</t>
        </is>
      </c>
      <c r="K299" s="30" t="inlineStr">
        <is>
          <t xml:space="preserve">DZH6XFW068GPLMGUW</t>
        </is>
      </c>
      <c r="L299" s="32" t="inlineStr">
        <is>
          <t xml:space="preserve">02 - Sports / GT</t>
        </is>
      </c>
      <c r="M299" s="35">
        <v>875000</v>
      </c>
      <c r="N299" s="32" t="inlineStr">
        <is>
          <t xml:space="preserve">Personal</t>
        </is>
      </c>
      <c r="O299" s="30" t="inlineStr">
        <is>
          <t xml:space="preserve">Personal - regular use</t>
        </is>
      </c>
      <c r="P299" s="30" t="inlineStr">
        <is>
          <t xml:space="preserve">Under 1,000</t>
        </is>
      </c>
      <c r="Q299" s="30" t="inlineStr">
        <is>
          <t xml:space="preserve">Florida</t>
        </is>
      </c>
      <c r="R299" s="30" t="inlineStr">
        <is>
          <t xml:space="preserve">33139</t>
        </is>
      </c>
      <c r="S299" s="32" t="inlineStr">
        <is>
          <t xml:space="preserve">Tier 2 - Coastal wind (1-25 miles)</t>
        </is>
      </c>
      <c r="T299" s="36">
        <f>IF($A299="","",IF($S299="","",IFERROR(INDEX('[1]natural catastrophe'!$D$6:$D$17,MATCH($S299,'[1]natural catastrophe'!$B$6:$B$17,0)),"?")))</f>
      </c>
      <c r="U299" s="30" t="inlineStr">
        <is>
          <t xml:space="preserve">2% of agreed value, minimum $10,000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13671.72</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CANON-202601-003446</t>
        </is>
      </c>
      <c r="B300" s="46" t="inlineStr">
        <is>
          <t xml:space="preserve">Anouk Vasquez</t>
        </is>
      </c>
      <c r="C300" s="47">
        <v>46023</v>
      </c>
      <c r="D300" s="48" t="inlineStr">
        <is>
          <t xml:space="preserve">Bound - within authority</t>
        </is>
      </c>
      <c r="E300" s="48" t="inlineStr">
        <is>
          <t xml:space="preserve">New business</t>
        </is>
      </c>
      <c r="F300" s="46" t="inlineStr">
        <is>
          <t xml:space="preserve">B1234EXOTIC26</t>
        </is>
      </c>
      <c r="G300" s="33">
        <f>IF($A300="","",IF($C300="","",YEAR($C300)))</f>
      </c>
      <c r="H300" s="49">
        <v>1964</v>
      </c>
      <c r="I300" s="46" t="inlineStr">
        <is>
          <t xml:space="preserve">Porsche</t>
        </is>
      </c>
      <c r="J300" s="46" t="inlineStr">
        <is>
          <t xml:space="preserve">911 Turbo S</t>
        </is>
      </c>
      <c r="K300" s="46" t="inlineStr">
        <is>
          <t xml:space="preserve">9JS76TWG2PRARGPVZ</t>
        </is>
      </c>
      <c r="L300" s="48" t="inlineStr">
        <is>
          <t xml:space="preserve">02 - Sports / GT</t>
        </is>
      </c>
      <c r="M300" s="50">
        <v>335000</v>
      </c>
      <c r="N300" s="48" t="inlineStr">
        <is>
          <t xml:space="preserve">Personal</t>
        </is>
      </c>
      <c r="O300" s="46" t="inlineStr">
        <is>
          <t xml:space="preserve">Personal - regular use</t>
        </is>
      </c>
      <c r="P300" s="46" t="inlineStr">
        <is>
          <t xml:space="preserve">1,000 - 2,500</t>
        </is>
      </c>
      <c r="Q300" s="46" t="inlineStr">
        <is>
          <t xml:space="preserve">New Hampshire</t>
        </is>
      </c>
      <c r="R300" s="46" t="inlineStr">
        <is>
          <t xml:space="preserve">03301</t>
        </is>
      </c>
      <c r="S300" s="48" t="inlineStr">
        <is>
          <t xml:space="preserve">Tier 3 - Coastal wind (25-100 miles)</t>
        </is>
      </c>
      <c r="T300" s="36">
        <f>IF($A300="","",IF($S300="","",IFERROR(INDEX('[1]natural catastrophe'!$D$6:$D$17,MATCH($S300,'[1]natural catastrophe'!$B$6:$B$17,0)),"?")))</f>
      </c>
      <c r="U300" s="46" t="inlineStr">
        <is>
          <t xml:space="preserve">2% of agreed value, minimum $10,000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4423.37</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CANON-202601-003447</t>
        </is>
      </c>
      <c r="B301" s="30" t="inlineStr">
        <is>
          <t xml:space="preserve">Leopold Thistlewood</t>
        </is>
      </c>
      <c r="C301" s="31">
        <v>46048</v>
      </c>
      <c r="D301" s="32" t="inlineStr">
        <is>
          <t xml:space="preserve">Bound - within authority</t>
        </is>
      </c>
      <c r="E301" s="32" t="inlineStr">
        <is>
          <t xml:space="preserve">New business</t>
        </is>
      </c>
      <c r="F301" s="30" t="inlineStr">
        <is>
          <t xml:space="preserve">B1234EXOTIC26</t>
        </is>
      </c>
      <c r="G301" s="33">
        <f>IF($A301="","",IF($C301="","",YEAR($C301)))</f>
      </c>
      <c r="H301" s="34">
        <v>1967</v>
      </c>
      <c r="I301" s="30" t="inlineStr">
        <is>
          <t xml:space="preserve">McLaren</t>
        </is>
      </c>
      <c r="J301" s="30" t="inlineStr">
        <is>
          <t xml:space="preserve">750S</t>
        </is>
      </c>
      <c r="K301" s="30" t="inlineStr">
        <is>
          <t xml:space="preserve">3WB59MMUFYMTVEDM4</t>
        </is>
      </c>
      <c r="L301" s="32" t="inlineStr">
        <is>
          <t xml:space="preserve">03 - Supercar</t>
        </is>
      </c>
      <c r="M301" s="35">
        <v>930000</v>
      </c>
      <c r="N301" s="32" t="inlineStr">
        <is>
          <t xml:space="preserve">Personal</t>
        </is>
      </c>
      <c r="O301" s="30" t="inlineStr">
        <is>
          <t xml:space="preserve">Personal - regular use</t>
        </is>
      </c>
      <c r="P301" s="30" t="inlineStr">
        <is>
          <t xml:space="preserve">Under 1,000</t>
        </is>
      </c>
      <c r="Q301" s="30" t="inlineStr">
        <is>
          <t xml:space="preserve">Connecticut</t>
        </is>
      </c>
      <c r="R301" s="30" t="inlineStr">
        <is>
          <t xml:space="preserve">06103</t>
        </is>
      </c>
      <c r="S301" s="32" t="inlineStr">
        <is>
          <t xml:space="preserve">Tier 3 - Coastal wind (25-100 miles)</t>
        </is>
      </c>
      <c r="T301" s="36">
        <f>IF($A301="","",IF($S301="","",IFERROR(INDEX('[1]natural catastrophe'!$D$6:$D$17,MATCH($S301,'[1]natural catastrophe'!$B$6:$B$17,0)),"?")))</f>
      </c>
      <c r="U301" s="30" t="inlineStr">
        <is>
          <t xml:space="preserve">2% of agreed value, minimum $10,000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16750.89</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CANON-202601-003448</t>
        </is>
      </c>
      <c r="B302" s="46" t="inlineStr">
        <is>
          <t xml:space="preserve">Wilhelmina Thistlewood</t>
        </is>
      </c>
      <c r="C302" s="47">
        <v>46047</v>
      </c>
      <c r="D302" s="48" t="inlineStr">
        <is>
          <t xml:space="preserve">Bound - within authority</t>
        </is>
      </c>
      <c r="E302" s="48" t="inlineStr">
        <is>
          <t xml:space="preserve">New business</t>
        </is>
      </c>
      <c r="F302" s="46" t="inlineStr">
        <is>
          <t xml:space="preserve">B1234EXOTIC26</t>
        </is>
      </c>
      <c r="G302" s="33">
        <f>IF($A302="","",IF($C302="","",YEAR($C302)))</f>
      </c>
      <c r="H302" s="49">
        <v>2017</v>
      </c>
      <c r="I302" s="46" t="inlineStr">
        <is>
          <t xml:space="preserve">Aston Martin</t>
        </is>
      </c>
      <c r="J302" s="46" t="inlineStr">
        <is>
          <t xml:space="preserve">DB12</t>
        </is>
      </c>
      <c r="K302" s="46" t="inlineStr">
        <is>
          <t xml:space="preserve">2WRC4UKAGZYV15CX3</t>
        </is>
      </c>
      <c r="L302" s="48" t="inlineStr">
        <is>
          <t xml:space="preserve">02 - Sports / GT</t>
        </is>
      </c>
      <c r="M302" s="50">
        <v>700000</v>
      </c>
      <c r="N302" s="48" t="inlineStr">
        <is>
          <t xml:space="preserve">Personal</t>
        </is>
      </c>
      <c r="O302" s="46" t="inlineStr">
        <is>
          <t xml:space="preserve">Personal - regular use</t>
        </is>
      </c>
      <c r="P302" s="46" t="inlineStr">
        <is>
          <t xml:space="preserve">1,000 - 2,500</t>
        </is>
      </c>
      <c r="Q302" s="46" t="inlineStr">
        <is>
          <t xml:space="preserve">Arkansas</t>
        </is>
      </c>
      <c r="R302" s="46" t="inlineStr">
        <is>
          <t xml:space="preserve">72201</t>
        </is>
      </c>
      <c r="S302" s="48" t="inlineStr">
        <is>
          <t xml:space="preserve">Severe convective - hail / tornado (moderate)</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10629.28</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CANON-202601-003449</t>
        </is>
      </c>
      <c r="B303" s="30" t="inlineStr">
        <is>
          <t xml:space="preserve">Everett Okonkwo</t>
        </is>
      </c>
      <c r="C303" s="31">
        <v>46043</v>
      </c>
      <c r="D303" s="32" t="inlineStr">
        <is>
          <t xml:space="preserve">Bound - within authority</t>
        </is>
      </c>
      <c r="E303" s="32" t="inlineStr">
        <is>
          <t xml:space="preserve">New business</t>
        </is>
      </c>
      <c r="F303" s="30" t="inlineStr">
        <is>
          <t xml:space="preserve">B1234EXOTIC26</t>
        </is>
      </c>
      <c r="G303" s="33">
        <f>IF($A303="","",IF($C303="","",YEAR($C303)))</f>
      </c>
      <c r="H303" s="34">
        <v>2016</v>
      </c>
      <c r="I303" s="30" t="inlineStr">
        <is>
          <t xml:space="preserve">Mercedes-Benz</t>
        </is>
      </c>
      <c r="J303" s="30" t="inlineStr">
        <is>
          <t xml:space="preserve">AMG GT</t>
        </is>
      </c>
      <c r="K303" s="30" t="inlineStr">
        <is>
          <t xml:space="preserve">APAFUMEYE6ACVW68W</t>
        </is>
      </c>
      <c r="L303" s="32" t="inlineStr">
        <is>
          <t xml:space="preserve">02 - Sports / GT</t>
        </is>
      </c>
      <c r="M303" s="35">
        <v>685000</v>
      </c>
      <c r="N303" s="32" t="inlineStr">
        <is>
          <t xml:space="preserve">Personal</t>
        </is>
      </c>
      <c r="O303" s="30" t="inlineStr">
        <is>
          <t xml:space="preserve">Personal - regular use</t>
        </is>
      </c>
      <c r="P303" s="30" t="inlineStr">
        <is>
          <t xml:space="preserve">2,500 - 5,000</t>
        </is>
      </c>
      <c r="Q303" s="30" t="inlineStr">
        <is>
          <t xml:space="preserve">Georgia</t>
        </is>
      </c>
      <c r="R303" s="30" t="inlineStr">
        <is>
          <t xml:space="preserve">30303</t>
        </is>
      </c>
      <c r="S303" s="32" t="inlineStr">
        <is>
          <t xml:space="preserve">Tier 2 - Coastal wind (1-25 miles)</t>
        </is>
      </c>
      <c r="T303" s="36">
        <f>IF($A303="","",IF($S303="","",IFERROR(INDEX('[1]natural catastrophe'!$D$6:$D$17,MATCH($S303,'[1]natural catastrophe'!$B$6:$B$17,0)),"?")))</f>
      </c>
      <c r="U303" s="30" t="inlineStr">
        <is>
          <t xml:space="preserve">2% of agreed value, minimum $10,000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8441.81</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CANON-202601-003450</t>
        </is>
      </c>
      <c r="B304" s="46" t="inlineStr">
        <is>
          <t xml:space="preserve">Beatrix Blackwood</t>
        </is>
      </c>
      <c r="C304" s="47">
        <v>46042</v>
      </c>
      <c r="D304" s="48" t="inlineStr">
        <is>
          <t xml:space="preserve">Bound - within authority</t>
        </is>
      </c>
      <c r="E304" s="48" t="inlineStr">
        <is>
          <t xml:space="preserve">New business</t>
        </is>
      </c>
      <c r="F304" s="46" t="inlineStr">
        <is>
          <t xml:space="preserve">B1234EXOTIC26</t>
        </is>
      </c>
      <c r="G304" s="33">
        <f>IF($A304="","",IF($C304="","",YEAR($C304)))</f>
      </c>
      <c r="H304" s="49">
        <v>1963</v>
      </c>
      <c r="I304" s="46" t="inlineStr">
        <is>
          <t xml:space="preserve">Porsche</t>
        </is>
      </c>
      <c r="J304" s="46" t="inlineStr">
        <is>
          <t xml:space="preserve">911 Turbo S</t>
        </is>
      </c>
      <c r="K304" s="46" t="inlineStr">
        <is>
          <t xml:space="preserve">YRRSZ3BTLLBZJ4EZK</t>
        </is>
      </c>
      <c r="L304" s="48" t="inlineStr">
        <is>
          <t xml:space="preserve">02 - Sports / GT</t>
        </is>
      </c>
      <c r="M304" s="50">
        <v>270000</v>
      </c>
      <c r="N304" s="48" t="inlineStr">
        <is>
          <t xml:space="preserve">Personal</t>
        </is>
      </c>
      <c r="O304" s="46" t="inlineStr">
        <is>
          <t xml:space="preserve">Personal - regular use</t>
        </is>
      </c>
      <c r="P304" s="46" t="inlineStr">
        <is>
          <t xml:space="preserve">1,000 - 2,500</t>
        </is>
      </c>
      <c r="Q304" s="46" t="inlineStr">
        <is>
          <t xml:space="preserve">Ohio</t>
        </is>
      </c>
      <c r="R304" s="46" t="inlineStr">
        <is>
          <t xml:space="preserve">43215</t>
        </is>
      </c>
      <c r="S304" s="48" t="inlineStr">
        <is>
          <t xml:space="preserve">Severe convective - hail / tornado (moderate)</t>
        </is>
      </c>
      <c r="T304" s="36">
        <f>IF($A304="","",IF($S304="","",IFERROR(INDEX('[1]natural catastrophe'!$D$6:$D$17,MATCH($S304,'[1]natural catastrophe'!$B$6:$B$17,0)),"?")))</f>
      </c>
      <c r="U304" s="46" t="inlineStr">
        <is>
          <t xml:space="preserve">$5,000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4764.89</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CANON-202601-003451</t>
        </is>
      </c>
      <c r="B305" s="30" t="inlineStr">
        <is>
          <t xml:space="preserve">Emiliano Nakashima</t>
        </is>
      </c>
      <c r="C305" s="31">
        <v>46046</v>
      </c>
      <c r="D305" s="32" t="inlineStr">
        <is>
          <t xml:space="preserve">Bound - within authority</t>
        </is>
      </c>
      <c r="E305" s="32" t="inlineStr">
        <is>
          <t xml:space="preserve">New business</t>
        </is>
      </c>
      <c r="F305" s="30" t="inlineStr">
        <is>
          <t xml:space="preserve">B1234EXOTIC26</t>
        </is>
      </c>
      <c r="G305" s="33">
        <f>IF($A305="","",IF($C305="","",YEAR($C305)))</f>
      </c>
      <c r="H305" s="34">
        <v>1979</v>
      </c>
      <c r="I305" s="30" t="inlineStr">
        <is>
          <t xml:space="preserve">Alfa Romeo</t>
        </is>
      </c>
      <c r="J305" s="30" t="inlineStr">
        <is>
          <t xml:space="preserve">8C 2900</t>
        </is>
      </c>
      <c r="K305" s="30" t="inlineStr">
        <is>
          <t xml:space="preserve">FSD8DFHCLW10XG6Y1</t>
        </is>
      </c>
      <c r="L305" s="32" t="inlineStr">
        <is>
          <t xml:space="preserve">08 - Modern Classic (1973-1999)</t>
        </is>
      </c>
      <c r="M305" s="35">
        <v>1195000</v>
      </c>
      <c r="N305" s="32" t="inlineStr">
        <is>
          <t xml:space="preserve">Personal</t>
        </is>
      </c>
      <c r="O305" s="30" t="inlineStr">
        <is>
          <t xml:space="preserve">Personal - regular use</t>
        </is>
      </c>
      <c r="P305" s="30" t="inlineStr">
        <is>
          <t xml:space="preserve">2,500 - 5,000</t>
        </is>
      </c>
      <c r="Q305" s="30" t="inlineStr">
        <is>
          <t xml:space="preserve">Utah</t>
        </is>
      </c>
      <c r="R305" s="30" t="inlineStr">
        <is>
          <t xml:space="preserve">84101</t>
        </is>
      </c>
      <c r="S305" s="32" t="inlineStr">
        <is>
          <t xml:space="preserve">Wildfire - WUI high hazard</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9285.26</v>
      </c>
      <c r="AC305" s="37">
        <v>0</v>
      </c>
      <c r="AD305" s="38">
        <f>IF(ISNUMBER($AB305),$AB305*(1+N($AC305)),"")</f>
      </c>
      <c r="AE305" s="35">
        <v>350</v>
      </c>
      <c r="AF305" s="35">
        <v>250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CANON-202601-003452</t>
        </is>
      </c>
      <c r="B306" s="46" t="inlineStr">
        <is>
          <t xml:space="preserve">Fenwick Okonkwo</t>
        </is>
      </c>
      <c r="C306" s="47">
        <v>46032</v>
      </c>
      <c r="D306" s="48" t="inlineStr">
        <is>
          <t xml:space="preserve">Bound - within authority</t>
        </is>
      </c>
      <c r="E306" s="48" t="inlineStr">
        <is>
          <t xml:space="preserve">New business</t>
        </is>
      </c>
      <c r="F306" s="46" t="inlineStr">
        <is>
          <t xml:space="preserve">B1234EXOTIC26</t>
        </is>
      </c>
      <c r="G306" s="33">
        <f>IF($A306="","",IF($C306="","",YEAR($C306)))</f>
      </c>
      <c r="H306" s="49">
        <v>1973</v>
      </c>
      <c r="I306" s="46" t="inlineStr">
        <is>
          <t xml:space="preserve">Porsche</t>
        </is>
      </c>
      <c r="J306" s="46" t="inlineStr">
        <is>
          <t xml:space="preserve">911 Turbo S</t>
        </is>
      </c>
      <c r="K306" s="46" t="inlineStr">
        <is>
          <t xml:space="preserve">6XLAGHGDD1R6ERRB0</t>
        </is>
      </c>
      <c r="L306" s="48" t="inlineStr">
        <is>
          <t xml:space="preserve">02 - Sports / GT</t>
        </is>
      </c>
      <c r="M306" s="50">
        <v>330000</v>
      </c>
      <c r="N306" s="48" t="inlineStr">
        <is>
          <t xml:space="preserve">Personal</t>
        </is>
      </c>
      <c r="O306" s="46" t="inlineStr">
        <is>
          <t xml:space="preserve">Personal - regular use</t>
        </is>
      </c>
      <c r="P306" s="46" t="inlineStr">
        <is>
          <t xml:space="preserve">1,000 - 2,500</t>
        </is>
      </c>
      <c r="Q306" s="46" t="inlineStr">
        <is>
          <t xml:space="preserve">Nebraska</t>
        </is>
      </c>
      <c r="R306" s="46" t="inlineStr">
        <is>
          <t xml:space="preserve">68102</t>
        </is>
      </c>
      <c r="S306" s="48" t="inlineStr">
        <is>
          <t xml:space="preserve">Severe convective - hail alley (high)</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5446.68</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CANON-202601-003453</t>
        </is>
      </c>
      <c r="B307" s="30" t="inlineStr">
        <is>
          <t xml:space="preserve">Fitzgerald Nakashima</t>
        </is>
      </c>
      <c r="C307" s="31">
        <v>46048</v>
      </c>
      <c r="D307" s="32" t="inlineStr">
        <is>
          <t xml:space="preserve">Bound - within authority</t>
        </is>
      </c>
      <c r="E307" s="32" t="inlineStr">
        <is>
          <t xml:space="preserve">New business</t>
        </is>
      </c>
      <c r="F307" s="30" t="inlineStr">
        <is>
          <t xml:space="preserve">B1234EXOTIC26</t>
        </is>
      </c>
      <c r="G307" s="33">
        <f>IF($A307="","",IF($C307="","",YEAR($C307)))</f>
      </c>
      <c r="H307" s="34">
        <v>1960</v>
      </c>
      <c r="I307" s="30" t="inlineStr">
        <is>
          <t xml:space="preserve">McLaren</t>
        </is>
      </c>
      <c r="J307" s="30" t="inlineStr">
        <is>
          <t xml:space="preserve">750S</t>
        </is>
      </c>
      <c r="K307" s="30" t="inlineStr">
        <is>
          <t xml:space="preserve">T75KNBXLEPE4XARNP</t>
        </is>
      </c>
      <c r="L307" s="32" t="inlineStr">
        <is>
          <t xml:space="preserve">03 - Supercar</t>
        </is>
      </c>
      <c r="M307" s="35">
        <v>950000</v>
      </c>
      <c r="N307" s="32" t="inlineStr">
        <is>
          <t xml:space="preserve">Personal</t>
        </is>
      </c>
      <c r="O307" s="30" t="inlineStr">
        <is>
          <t xml:space="preserve">Personal - regular use</t>
        </is>
      </c>
      <c r="P307" s="30" t="inlineStr">
        <is>
          <t xml:space="preserve">2,500 - 5,000</t>
        </is>
      </c>
      <c r="Q307" s="30" t="inlineStr">
        <is>
          <t xml:space="preserve">New York</t>
        </is>
      </c>
      <c r="R307" s="30" t="inlineStr">
        <is>
          <t xml:space="preserve">10022</t>
        </is>
      </c>
      <c r="S307" s="32" t="inlineStr">
        <is>
          <t xml:space="preserve">Tier 3 - Coastal wind (25-100 miles)</t>
        </is>
      </c>
      <c r="T307" s="36">
        <f>IF($A307="","",IF($S307="","",IFERROR(INDEX('[1]natural catastrophe'!$D$6:$D$17,MATCH($S307,'[1]natural catastrophe'!$B$6:$B$17,0)),"?")))</f>
      </c>
      <c r="U307" s="30" t="inlineStr">
        <is>
          <t xml:space="preserve">2% of agreed value, minimum $10,000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19555.58</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CANON-202601-003455</t>
        </is>
      </c>
      <c r="B308" s="46" t="inlineStr">
        <is>
          <t xml:space="preserve">Beatrix Castellanos</t>
        </is>
      </c>
      <c r="C308" s="47">
        <v>46032</v>
      </c>
      <c r="D308" s="48" t="inlineStr">
        <is>
          <t xml:space="preserve">Bound - within authority</t>
        </is>
      </c>
      <c r="E308" s="48" t="inlineStr">
        <is>
          <t xml:space="preserve">New business</t>
        </is>
      </c>
      <c r="F308" s="46" t="inlineStr">
        <is>
          <t xml:space="preserve">B1234EXOTIC26</t>
        </is>
      </c>
      <c r="G308" s="33">
        <f>IF($A308="","",IF($C308="","",YEAR($C308)))</f>
      </c>
      <c r="H308" s="49">
        <v>1955</v>
      </c>
      <c r="I308" s="46" t="inlineStr">
        <is>
          <t xml:space="preserve">Ferrari</t>
        </is>
      </c>
      <c r="J308" s="46" t="inlineStr">
        <is>
          <t xml:space="preserve">296 GTB</t>
        </is>
      </c>
      <c r="K308" s="46" t="inlineStr">
        <is>
          <t xml:space="preserve">1TN93U7YJ9CA6UEP3</t>
        </is>
      </c>
      <c r="L308" s="48" t="inlineStr">
        <is>
          <t xml:space="preserve">03 - Supercar</t>
        </is>
      </c>
      <c r="M308" s="50">
        <v>445000</v>
      </c>
      <c r="N308" s="48" t="inlineStr">
        <is>
          <t xml:space="preserve">Personal</t>
        </is>
      </c>
      <c r="O308" s="46" t="inlineStr">
        <is>
          <t xml:space="preserve">Personal - regular use</t>
        </is>
      </c>
      <c r="P308" s="46" t="inlineStr">
        <is>
          <t xml:space="preserve">1,000 - 2,500</t>
        </is>
      </c>
      <c r="Q308" s="46" t="inlineStr">
        <is>
          <t xml:space="preserve">Texas</t>
        </is>
      </c>
      <c r="R308" s="46" t="inlineStr">
        <is>
          <t xml:space="preserve">75201</t>
        </is>
      </c>
      <c r="S308" s="48" t="inlineStr">
        <is>
          <t xml:space="preserve">Tier 2 - Coastal wind (1-25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9962.52</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CANON-202601-003457</t>
        </is>
      </c>
      <c r="B309" s="30" t="inlineStr">
        <is>
          <t xml:space="preserve">Priya Vasquez</t>
        </is>
      </c>
      <c r="C309" s="31">
        <v>46034</v>
      </c>
      <c r="D309" s="32" t="inlineStr">
        <is>
          <t xml:space="preserve">Bound - within authority</t>
        </is>
      </c>
      <c r="E309" s="32" t="inlineStr">
        <is>
          <t xml:space="preserve">New business</t>
        </is>
      </c>
      <c r="F309" s="30" t="inlineStr">
        <is>
          <t xml:space="preserve">B1234EXOTIC26</t>
        </is>
      </c>
      <c r="G309" s="33">
        <f>IF($A309="","",IF($C309="","",YEAR($C309)))</f>
      </c>
      <c r="H309" s="34">
        <v>1999</v>
      </c>
      <c r="I309" s="30" t="inlineStr">
        <is>
          <t xml:space="preserve">Mercedes-Benz</t>
        </is>
      </c>
      <c r="J309" s="30" t="inlineStr">
        <is>
          <t xml:space="preserve">AMG GT</t>
        </is>
      </c>
      <c r="K309" s="30" t="inlineStr">
        <is>
          <t xml:space="preserve">3DVA4TRC8XK51UG4H</t>
        </is>
      </c>
      <c r="L309" s="32" t="inlineStr">
        <is>
          <t xml:space="preserve">02 - Sports / GT</t>
        </is>
      </c>
      <c r="M309" s="35">
        <v>795000</v>
      </c>
      <c r="N309" s="32" t="inlineStr">
        <is>
          <t xml:space="preserve">Personal</t>
        </is>
      </c>
      <c r="O309" s="30" t="inlineStr">
        <is>
          <t xml:space="preserve">Personal - regular use</t>
        </is>
      </c>
      <c r="P309" s="30" t="inlineStr">
        <is>
          <t xml:space="preserve">2,500 - 5,000</t>
        </is>
      </c>
      <c r="Q309" s="30" t="inlineStr">
        <is>
          <t xml:space="preserve">Michigan</t>
        </is>
      </c>
      <c r="R309" s="30" t="inlineStr">
        <is>
          <t xml:space="preserve">48226</t>
        </is>
      </c>
      <c r="S309" s="32" t="inlineStr">
        <is>
          <t xml:space="preserve">Severe convective - hail / tornado (moderate)</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13558.93</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CANON-202601-003458</t>
        </is>
      </c>
      <c r="B310" s="46" t="inlineStr">
        <is>
          <t xml:space="preserve">Anouk Harrington</t>
        </is>
      </c>
      <c r="C310" s="47">
        <v>46035</v>
      </c>
      <c r="D310" s="48" t="inlineStr">
        <is>
          <t xml:space="preserve">Bound - within authority</t>
        </is>
      </c>
      <c r="E310" s="48" t="inlineStr">
        <is>
          <t xml:space="preserve">New business</t>
        </is>
      </c>
      <c r="F310" s="46" t="inlineStr">
        <is>
          <t xml:space="preserve">B1234EXOTIC26</t>
        </is>
      </c>
      <c r="G310" s="33">
        <f>IF($A310="","",IF($C310="","",YEAR($C310)))</f>
      </c>
      <c r="H310" s="49">
        <v>1991</v>
      </c>
      <c r="I310" s="46" t="inlineStr">
        <is>
          <t xml:space="preserve">Bentley</t>
        </is>
      </c>
      <c r="J310" s="46" t="inlineStr">
        <is>
          <t xml:space="preserve">Continental GT</t>
        </is>
      </c>
      <c r="K310" s="46" t="inlineStr">
        <is>
          <t xml:space="preserve">CSULRV8SAXD9HYFBL</t>
        </is>
      </c>
      <c r="L310" s="48" t="inlineStr">
        <is>
          <t xml:space="preserve">02 - Sports / GT</t>
        </is>
      </c>
      <c r="M310" s="50">
        <v>865000</v>
      </c>
      <c r="N310" s="48" t="inlineStr">
        <is>
          <t xml:space="preserve">Personal</t>
        </is>
      </c>
      <c r="O310" s="46" t="inlineStr">
        <is>
          <t xml:space="preserve">Personal - regular use</t>
        </is>
      </c>
      <c r="P310" s="46" t="inlineStr">
        <is>
          <t xml:space="preserve">Under 1,000</t>
        </is>
      </c>
      <c r="Q310" s="46" t="inlineStr">
        <is>
          <t xml:space="preserve">Massachusetts</t>
        </is>
      </c>
      <c r="R310" s="46" t="inlineStr">
        <is>
          <t xml:space="preserve">02108</t>
        </is>
      </c>
      <c r="S310" s="48" t="inlineStr">
        <is>
          <t xml:space="preserve">Tier 3 - Coastal wind (25-100 miles)</t>
        </is>
      </c>
      <c r="T310" s="36">
        <f>IF($A310="","",IF($S310="","",IFERROR(INDEX('[1]natural catastrophe'!$D$6:$D$17,MATCH($S310,'[1]natural catastrophe'!$B$6:$B$17,0)),"?")))</f>
      </c>
      <c r="U310" s="46" t="inlineStr">
        <is>
          <t xml:space="preserve">2% of agreed value, minimum $10,000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11897.42</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CANON-202601-003462</t>
        </is>
      </c>
      <c r="B311" s="30" t="inlineStr">
        <is>
          <t xml:space="preserve">Beatrix Farkas</t>
        </is>
      </c>
      <c r="C311" s="31">
        <v>46045</v>
      </c>
      <c r="D311" s="32" t="inlineStr">
        <is>
          <t xml:space="preserve">Bound - within authority</t>
        </is>
      </c>
      <c r="E311" s="32" t="inlineStr">
        <is>
          <t xml:space="preserve">New business</t>
        </is>
      </c>
      <c r="F311" s="30" t="inlineStr">
        <is>
          <t xml:space="preserve">B1234EXOTIC26</t>
        </is>
      </c>
      <c r="G311" s="33">
        <f>IF($A311="","",IF($C311="","",YEAR($C311)))</f>
      </c>
      <c r="H311" s="34">
        <v>1988</v>
      </c>
      <c r="I311" s="30" t="inlineStr">
        <is>
          <t xml:space="preserve">Mercedes-Benz</t>
        </is>
      </c>
      <c r="J311" s="30" t="inlineStr">
        <is>
          <t xml:space="preserve">AMG GT</t>
        </is>
      </c>
      <c r="K311" s="30" t="inlineStr">
        <is>
          <t xml:space="preserve">NXPUAWK2W8Z9P4R57</t>
        </is>
      </c>
      <c r="L311" s="32" t="inlineStr">
        <is>
          <t xml:space="preserve">02 - Sports / GT</t>
        </is>
      </c>
      <c r="M311" s="35">
        <v>400000</v>
      </c>
      <c r="N311" s="32" t="inlineStr">
        <is>
          <t xml:space="preserve">Personal</t>
        </is>
      </c>
      <c r="O311" s="30" t="inlineStr">
        <is>
          <t xml:space="preserve">Personal - regular use</t>
        </is>
      </c>
      <c r="P311" s="30" t="inlineStr">
        <is>
          <t xml:space="preserve">2,500 - 5,000</t>
        </is>
      </c>
      <c r="Q311" s="30" t="inlineStr">
        <is>
          <t xml:space="preserve">New Hampshire</t>
        </is>
      </c>
      <c r="R311" s="30" t="inlineStr">
        <is>
          <t xml:space="preserve">03301</t>
        </is>
      </c>
      <c r="S311" s="32" t="inlineStr">
        <is>
          <t xml:space="preserve">Tier 3 - Coastal wind (25-100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5281.63</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CANON-202601-003463</t>
        </is>
      </c>
      <c r="B312" s="46" t="inlineStr">
        <is>
          <t xml:space="preserve">Ottilie Nakashima</t>
        </is>
      </c>
      <c r="C312" s="47">
        <v>46038</v>
      </c>
      <c r="D312" s="48" t="inlineStr">
        <is>
          <t xml:space="preserve">Bound - within authority</t>
        </is>
      </c>
      <c r="E312" s="48" t="inlineStr">
        <is>
          <t xml:space="preserve">New business</t>
        </is>
      </c>
      <c r="F312" s="46" t="inlineStr">
        <is>
          <t xml:space="preserve">B1234EXOTIC26</t>
        </is>
      </c>
      <c r="G312" s="33">
        <f>IF($A312="","",IF($C312="","",YEAR($C312)))</f>
      </c>
      <c r="H312" s="49">
        <v>1980</v>
      </c>
      <c r="I312" s="46" t="inlineStr">
        <is>
          <t xml:space="preserve">Aston Martin</t>
        </is>
      </c>
      <c r="J312" s="46" t="inlineStr">
        <is>
          <t xml:space="preserve">DB12</t>
        </is>
      </c>
      <c r="K312" s="46" t="inlineStr">
        <is>
          <t xml:space="preserve">4FT5SVB5UF6X85ULF</t>
        </is>
      </c>
      <c r="L312" s="48" t="inlineStr">
        <is>
          <t xml:space="preserve">02 - Sports / GT</t>
        </is>
      </c>
      <c r="M312" s="50">
        <v>145000</v>
      </c>
      <c r="N312" s="48" t="inlineStr">
        <is>
          <t xml:space="preserve">Personal</t>
        </is>
      </c>
      <c r="O312" s="46" t="inlineStr">
        <is>
          <t xml:space="preserve">Personal - regular use</t>
        </is>
      </c>
      <c r="P312" s="46" t="inlineStr">
        <is>
          <t xml:space="preserve">2,500 - 5,000</t>
        </is>
      </c>
      <c r="Q312" s="46" t="inlineStr">
        <is>
          <t xml:space="preserve">Colorado</t>
        </is>
      </c>
      <c r="R312" s="46" t="inlineStr">
        <is>
          <t xml:space="preserve">80202</t>
        </is>
      </c>
      <c r="S312" s="48" t="inlineStr">
        <is>
          <t xml:space="preserve">Severe convective - hail alley (high)</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2484.06</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CANON-202601-003464</t>
        </is>
      </c>
      <c r="B313" s="30" t="inlineStr">
        <is>
          <t xml:space="preserve">Noor Bellandi</t>
        </is>
      </c>
      <c r="C313" s="31">
        <v>46050</v>
      </c>
      <c r="D313" s="32" t="inlineStr">
        <is>
          <t xml:space="preserve">Bound - within authority</t>
        </is>
      </c>
      <c r="E313" s="32" t="inlineStr">
        <is>
          <t xml:space="preserve">New business</t>
        </is>
      </c>
      <c r="F313" s="30" t="inlineStr">
        <is>
          <t xml:space="preserve">B1234EXOTIC26</t>
        </is>
      </c>
      <c r="G313" s="33">
        <f>IF($A313="","",IF($C313="","",YEAR($C313)))</f>
      </c>
      <c r="H313" s="34">
        <v>1979</v>
      </c>
      <c r="I313" s="30" t="inlineStr">
        <is>
          <t xml:space="preserve">Mercedes-Benz</t>
        </is>
      </c>
      <c r="J313" s="30" t="inlineStr">
        <is>
          <t xml:space="preserve">280SL Pagoda</t>
        </is>
      </c>
      <c r="K313" s="30" t="inlineStr">
        <is>
          <t xml:space="preserve">BJ4YN2P3X8RGKY6EY</t>
        </is>
      </c>
      <c r="L313" s="32" t="inlineStr">
        <is>
          <t xml:space="preserve">08 - Modern Classic (1973-1999)</t>
        </is>
      </c>
      <c r="M313" s="35">
        <v>465000</v>
      </c>
      <c r="N313" s="32" t="inlineStr">
        <is>
          <t xml:space="preserve">Personal</t>
        </is>
      </c>
      <c r="O313" s="30" t="inlineStr">
        <is>
          <t xml:space="preserve">Personal - regular use</t>
        </is>
      </c>
      <c r="P313" s="30" t="inlineStr">
        <is>
          <t xml:space="preserve">2,500 - 5,000</t>
        </is>
      </c>
      <c r="Q313" s="30" t="inlineStr">
        <is>
          <t xml:space="preserve">Washington</t>
        </is>
      </c>
      <c r="R313" s="30" t="inlineStr">
        <is>
          <t xml:space="preserve">98101</t>
        </is>
      </c>
      <c r="S313" s="32" t="inlineStr">
        <is>
          <t xml:space="preserve">Earthquake - high (CA, Cascadia, New Madrid)</t>
        </is>
      </c>
      <c r="T313" s="36">
        <f>IF($A313="","",IF($S313="","",IFERROR(INDEX('[1]natural catastrophe'!$D$6:$D$17,MATCH($S313,'[1]natural catastrophe'!$B$6:$B$17,0)),"?")))</f>
      </c>
      <c r="U313" s="30" t="inlineStr">
        <is>
          <t xml:space="preserve">$5,000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3627.26</v>
      </c>
      <c r="AC313" s="37">
        <v>0</v>
      </c>
      <c r="AD313" s="38">
        <f>IF(ISNUMBER($AB313),$AB313*(1+N($AC313)),"")</f>
      </c>
      <c r="AE313" s="35">
        <v>350</v>
      </c>
      <c r="AF313" s="35">
        <v>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CANON-202601-003466</t>
        </is>
      </c>
      <c r="B314" s="46" t="inlineStr">
        <is>
          <t xml:space="preserve">Anouk Whitlock</t>
        </is>
      </c>
      <c r="C314" s="47">
        <v>46028</v>
      </c>
      <c r="D314" s="48" t="inlineStr">
        <is>
          <t xml:space="preserve">Bound - within authority</t>
        </is>
      </c>
      <c r="E314" s="48" t="inlineStr">
        <is>
          <t xml:space="preserve">New business</t>
        </is>
      </c>
      <c r="F314" s="46" t="inlineStr">
        <is>
          <t xml:space="preserve">B1234EXOTIC26</t>
        </is>
      </c>
      <c r="G314" s="33">
        <f>IF($A314="","",IF($C314="","",YEAR($C314)))</f>
      </c>
      <c r="H314" s="49">
        <v>1985</v>
      </c>
      <c r="I314" s="46" t="inlineStr">
        <is>
          <t xml:space="preserve">Bentley</t>
        </is>
      </c>
      <c r="J314" s="46" t="inlineStr">
        <is>
          <t xml:space="preserve">Continental GT</t>
        </is>
      </c>
      <c r="K314" s="46" t="inlineStr">
        <is>
          <t xml:space="preserve">MY8EJM8A8HEZPK56H</t>
        </is>
      </c>
      <c r="L314" s="48" t="inlineStr">
        <is>
          <t xml:space="preserve">02 - Sports / GT</t>
        </is>
      </c>
      <c r="M314" s="50">
        <v>265000</v>
      </c>
      <c r="N314" s="48" t="inlineStr">
        <is>
          <t xml:space="preserve">Personal</t>
        </is>
      </c>
      <c r="O314" s="46" t="inlineStr">
        <is>
          <t xml:space="preserve">Personal - regular use</t>
        </is>
      </c>
      <c r="P314" s="46" t="inlineStr">
        <is>
          <t xml:space="preserve">1,000 - 2,500</t>
        </is>
      </c>
      <c r="Q314" s="46" t="inlineStr">
        <is>
          <t xml:space="preserve">Illinois</t>
        </is>
      </c>
      <c r="R314" s="46" t="inlineStr">
        <is>
          <t xml:space="preserve">60601</t>
        </is>
      </c>
      <c r="S314" s="48" t="inlineStr">
        <is>
          <t xml:space="preserve">Severe convective - hail / tornado (moderate)</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4575.72</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CANON-202601-003468</t>
        </is>
      </c>
      <c r="B315" s="30" t="inlineStr">
        <is>
          <t xml:space="preserve">Delphine Nakashima</t>
        </is>
      </c>
      <c r="C315" s="31">
        <v>46042</v>
      </c>
      <c r="D315" s="32" t="inlineStr">
        <is>
          <t xml:space="preserve">Bound - within authority</t>
        </is>
      </c>
      <c r="E315" s="32" t="inlineStr">
        <is>
          <t xml:space="preserve">New business</t>
        </is>
      </c>
      <c r="F315" s="30" t="inlineStr">
        <is>
          <t xml:space="preserve">B1234EXOTIC26</t>
        </is>
      </c>
      <c r="G315" s="33">
        <f>IF($A315="","",IF($C315="","",YEAR($C315)))</f>
      </c>
      <c r="H315" s="34">
        <v>1976</v>
      </c>
      <c r="I315" s="30" t="inlineStr">
        <is>
          <t xml:space="preserve">Lamborghini</t>
        </is>
      </c>
      <c r="J315" s="30" t="inlineStr">
        <is>
          <t xml:space="preserve">Huracan EVO</t>
        </is>
      </c>
      <c r="K315" s="30" t="inlineStr">
        <is>
          <t xml:space="preserve">EV4DLXUP73TE44CEV</t>
        </is>
      </c>
      <c r="L315" s="32" t="inlineStr">
        <is>
          <t xml:space="preserve">03 - Supercar</t>
        </is>
      </c>
      <c r="M315" s="35">
        <v>415000</v>
      </c>
      <c r="N315" s="32" t="inlineStr">
        <is>
          <t xml:space="preserve">Personal</t>
        </is>
      </c>
      <c r="O315" s="30" t="inlineStr">
        <is>
          <t xml:space="preserve">Personal - regular use</t>
        </is>
      </c>
      <c r="P315" s="30" t="inlineStr">
        <is>
          <t xml:space="preserve">Under 1,000</t>
        </is>
      </c>
      <c r="Q315" s="30" t="inlineStr">
        <is>
          <t xml:space="preserve">Illinois</t>
        </is>
      </c>
      <c r="R315" s="30" t="inlineStr">
        <is>
          <t xml:space="preserve">60601</t>
        </is>
      </c>
      <c r="S315" s="32" t="inlineStr">
        <is>
          <t xml:space="preserve">Severe convective - hail / tornado (moderate)</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10987.49</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CANON-202601-003469</t>
        </is>
      </c>
      <c r="B316" s="46" t="inlineStr">
        <is>
          <t xml:space="preserve">Everett Whitlock</t>
        </is>
      </c>
      <c r="C316" s="47">
        <v>46031</v>
      </c>
      <c r="D316" s="48" t="inlineStr">
        <is>
          <t xml:space="preserve">Bound - within authority</t>
        </is>
      </c>
      <c r="E316" s="48" t="inlineStr">
        <is>
          <t xml:space="preserve">New business</t>
        </is>
      </c>
      <c r="F316" s="46" t="inlineStr">
        <is>
          <t xml:space="preserve">B1234EXOTIC26</t>
        </is>
      </c>
      <c r="G316" s="33">
        <f>IF($A316="","",IF($C316="","",YEAR($C316)))</f>
      </c>
      <c r="H316" s="49">
        <v>1993</v>
      </c>
      <c r="I316" s="46" t="inlineStr">
        <is>
          <t xml:space="preserve">Ferrari</t>
        </is>
      </c>
      <c r="J316" s="46" t="inlineStr">
        <is>
          <t xml:space="preserve">SF90 Stradale</t>
        </is>
      </c>
      <c r="K316" s="46" t="inlineStr">
        <is>
          <t xml:space="preserve">HPJWHASK1RXT2GLUN</t>
        </is>
      </c>
      <c r="L316" s="48" t="inlineStr">
        <is>
          <t xml:space="preserve">03 - Supercar</t>
        </is>
      </c>
      <c r="M316" s="50">
        <v>655000</v>
      </c>
      <c r="N316" s="48" t="inlineStr">
        <is>
          <t xml:space="preserve">Personal</t>
        </is>
      </c>
      <c r="O316" s="46" t="inlineStr">
        <is>
          <t xml:space="preserve">Personal - regular use</t>
        </is>
      </c>
      <c r="P316" s="46" t="inlineStr">
        <is>
          <t xml:space="preserve">1,000 - 2,500</t>
        </is>
      </c>
      <c r="Q316" s="46" t="inlineStr">
        <is>
          <t xml:space="preserve">California</t>
        </is>
      </c>
      <c r="R316" s="46" t="inlineStr">
        <is>
          <t xml:space="preserve">90012</t>
        </is>
      </c>
      <c r="S316" s="48" t="inlineStr">
        <is>
          <t xml:space="preserve">Earthquake - high (CA, Cascadia, New Madrid)</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14220.4</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CANON-202601-003470</t>
        </is>
      </c>
      <c r="B317" s="30" t="inlineStr">
        <is>
          <t xml:space="preserve">Horace Vasquez</t>
        </is>
      </c>
      <c r="C317" s="31">
        <v>46033</v>
      </c>
      <c r="D317" s="32" t="inlineStr">
        <is>
          <t xml:space="preserve">Bound - within authority</t>
        </is>
      </c>
      <c r="E317" s="32" t="inlineStr">
        <is>
          <t xml:space="preserve">New business</t>
        </is>
      </c>
      <c r="F317" s="30" t="inlineStr">
        <is>
          <t xml:space="preserve">B1234EXOTIC26</t>
        </is>
      </c>
      <c r="G317" s="33">
        <f>IF($A317="","",IF($C317="","",YEAR($C317)))</f>
      </c>
      <c r="H317" s="34">
        <v>2016</v>
      </c>
      <c r="I317" s="30" t="inlineStr">
        <is>
          <t xml:space="preserve">BMW</t>
        </is>
      </c>
      <c r="J317" s="30" t="inlineStr">
        <is>
          <t xml:space="preserve">M8 Competition</t>
        </is>
      </c>
      <c r="K317" s="30" t="inlineStr">
        <is>
          <t xml:space="preserve">2A0UM89AXZH5E0WPA</t>
        </is>
      </c>
      <c r="L317" s="32" t="inlineStr">
        <is>
          <t xml:space="preserve">02 - Sports / GT</t>
        </is>
      </c>
      <c r="M317" s="35">
        <v>265000</v>
      </c>
      <c r="N317" s="32" t="inlineStr">
        <is>
          <t xml:space="preserve">Personal</t>
        </is>
      </c>
      <c r="O317" s="30" t="inlineStr">
        <is>
          <t xml:space="preserve">Personal - regular use</t>
        </is>
      </c>
      <c r="P317" s="30" t="inlineStr">
        <is>
          <t xml:space="preserve">Under 1,000</t>
        </is>
      </c>
      <c r="Q317" s="30" t="inlineStr">
        <is>
          <t xml:space="preserve">South Dakota</t>
        </is>
      </c>
      <c r="R317" s="30" t="inlineStr">
        <is>
          <t xml:space="preserve">57501</t>
        </is>
      </c>
      <c r="S317" s="32" t="inlineStr">
        <is>
          <t xml:space="preserve">Severe convective - hail alley (high)</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3734.59</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CANON-202601-003472</t>
        </is>
      </c>
      <c r="B318" s="46" t="inlineStr">
        <is>
          <t xml:space="preserve">Fitzgerald Pennington</t>
        </is>
      </c>
      <c r="C318" s="47">
        <v>46045</v>
      </c>
      <c r="D318" s="48" t="inlineStr">
        <is>
          <t xml:space="preserve">Bound - within authority</t>
        </is>
      </c>
      <c r="E318" s="48" t="inlineStr">
        <is>
          <t xml:space="preserve">New business</t>
        </is>
      </c>
      <c r="F318" s="46" t="inlineStr">
        <is>
          <t xml:space="preserve">B1234EXOTIC26</t>
        </is>
      </c>
      <c r="G318" s="33">
        <f>IF($A318="","",IF($C318="","",YEAR($C318)))</f>
      </c>
      <c r="H318" s="49">
        <v>1958</v>
      </c>
      <c r="I318" s="46" t="inlineStr">
        <is>
          <t xml:space="preserve">BMW</t>
        </is>
      </c>
      <c r="J318" s="46" t="inlineStr">
        <is>
          <t xml:space="preserve">M8 Competition</t>
        </is>
      </c>
      <c r="K318" s="46" t="inlineStr">
        <is>
          <t xml:space="preserve">KZYH1KWGL0D28RCRB</t>
        </is>
      </c>
      <c r="L318" s="48" t="inlineStr">
        <is>
          <t xml:space="preserve">02 - Sports / GT</t>
        </is>
      </c>
      <c r="M318" s="50">
        <v>330000</v>
      </c>
      <c r="N318" s="48" t="inlineStr">
        <is>
          <t xml:space="preserve">Personal</t>
        </is>
      </c>
      <c r="O318" s="46" t="inlineStr">
        <is>
          <t xml:space="preserve">Personal - regular use</t>
        </is>
      </c>
      <c r="P318" s="46" t="inlineStr">
        <is>
          <t xml:space="preserve">1,000 - 2,500</t>
        </is>
      </c>
      <c r="Q318" s="46" t="inlineStr">
        <is>
          <t xml:space="preserve">Tennessee</t>
        </is>
      </c>
      <c r="R318" s="46" t="inlineStr">
        <is>
          <t xml:space="preserve">37203</t>
        </is>
      </c>
      <c r="S318" s="48" t="inlineStr">
        <is>
          <t xml:space="preserve">Severe convective - hail / tornado (moderate)</t>
        </is>
      </c>
      <c r="T318" s="36">
        <f>IF($A318="","",IF($S318="","",IFERROR(INDEX('[1]natural catastrophe'!$D$6:$D$17,MATCH($S318,'[1]natural catastrophe'!$B$6:$B$17,0)),"?")))</f>
      </c>
      <c r="U318" s="46" t="inlineStr">
        <is>
          <t xml:space="preserve">$5,000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4105.96</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CANON-202601-003473</t>
        </is>
      </c>
      <c r="B319" s="30" t="inlineStr">
        <is>
          <t xml:space="preserve">Sunniva Merriweather</t>
        </is>
      </c>
      <c r="C319" s="31">
        <v>46029</v>
      </c>
      <c r="D319" s="32" t="inlineStr">
        <is>
          <t xml:space="preserve">Bound - within authority</t>
        </is>
      </c>
      <c r="E319" s="32" t="inlineStr">
        <is>
          <t xml:space="preserve">New business</t>
        </is>
      </c>
      <c r="F319" s="30" t="inlineStr">
        <is>
          <t xml:space="preserve">B1234EXOTIC26</t>
        </is>
      </c>
      <c r="G319" s="33">
        <f>IF($A319="","",IF($C319="","",YEAR($C319)))</f>
      </c>
      <c r="H319" s="34">
        <v>1986</v>
      </c>
      <c r="I319" s="30" t="inlineStr">
        <is>
          <t xml:space="preserve">Porsche</t>
        </is>
      </c>
      <c r="J319" s="30" t="inlineStr">
        <is>
          <t xml:space="preserve">911 Turbo S</t>
        </is>
      </c>
      <c r="K319" s="30" t="inlineStr">
        <is>
          <t xml:space="preserve">5E1NME6DTRH47HZ21</t>
        </is>
      </c>
      <c r="L319" s="32" t="inlineStr">
        <is>
          <t xml:space="preserve">02 - Sports / GT</t>
        </is>
      </c>
      <c r="M319" s="35">
        <v>945000</v>
      </c>
      <c r="N319" s="32" t="inlineStr">
        <is>
          <t xml:space="preserve">Personal</t>
        </is>
      </c>
      <c r="O319" s="30" t="inlineStr">
        <is>
          <t xml:space="preserve">Personal - regular use</t>
        </is>
      </c>
      <c r="P319" s="30" t="inlineStr">
        <is>
          <t xml:space="preserve">2,500 - 5,000</t>
        </is>
      </c>
      <c r="Q319" s="30" t="inlineStr">
        <is>
          <t xml:space="preserve">California</t>
        </is>
      </c>
      <c r="R319" s="30" t="inlineStr">
        <is>
          <t xml:space="preserve">90012</t>
        </is>
      </c>
      <c r="S319" s="32" t="inlineStr">
        <is>
          <t xml:space="preserve">Earthquake - high (CA, Cascadia, New Madrid)</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14037.58</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CANON-202601-003474</t>
        </is>
      </c>
      <c r="B320" s="46" t="inlineStr">
        <is>
          <t xml:space="preserve">Cassius Fairweather</t>
        </is>
      </c>
      <c r="C320" s="47">
        <v>46029</v>
      </c>
      <c r="D320" s="48" t="inlineStr">
        <is>
          <t xml:space="preserve">Bound - within authority</t>
        </is>
      </c>
      <c r="E320" s="48" t="inlineStr">
        <is>
          <t xml:space="preserve">New business</t>
        </is>
      </c>
      <c r="F320" s="46" t="inlineStr">
        <is>
          <t xml:space="preserve">B1234EXOTIC26</t>
        </is>
      </c>
      <c r="G320" s="33">
        <f>IF($A320="","",IF($C320="","",YEAR($C320)))</f>
      </c>
      <c r="H320" s="49">
        <v>1994</v>
      </c>
      <c r="I320" s="46" t="inlineStr">
        <is>
          <t xml:space="preserve">Ferrari</t>
        </is>
      </c>
      <c r="J320" s="46" t="inlineStr">
        <is>
          <t xml:space="preserve">296 GTB</t>
        </is>
      </c>
      <c r="K320" s="46" t="inlineStr">
        <is>
          <t xml:space="preserve">WC2UWHKKAWENGAJHS</t>
        </is>
      </c>
      <c r="L320" s="48" t="inlineStr">
        <is>
          <t xml:space="preserve">03 - Supercar</t>
        </is>
      </c>
      <c r="M320" s="50">
        <v>1950000</v>
      </c>
      <c r="N320" s="48" t="inlineStr">
        <is>
          <t xml:space="preserve">Personal</t>
        </is>
      </c>
      <c r="O320" s="46" t="inlineStr">
        <is>
          <t xml:space="preserve">Personal - regular use</t>
        </is>
      </c>
      <c r="P320" s="46" t="inlineStr">
        <is>
          <t xml:space="preserve">2,500 - 5,000</t>
        </is>
      </c>
      <c r="Q320" s="46" t="inlineStr">
        <is>
          <t xml:space="preserve">New Jersey</t>
        </is>
      </c>
      <c r="R320" s="46" t="inlineStr">
        <is>
          <t xml:space="preserve">07102</t>
        </is>
      </c>
      <c r="S320" s="48" t="inlineStr">
        <is>
          <t xml:space="preserve">Tier 3 - Coastal wind (25-100 miles)</t>
        </is>
      </c>
      <c r="T320" s="36">
        <f>IF($A320="","",IF($S320="","",IFERROR(INDEX('[1]natural catastrophe'!$D$6:$D$17,MATCH($S320,'[1]natural catastrophe'!$B$6:$B$17,0)),"?")))</f>
      </c>
      <c r="U320" s="46" t="inlineStr">
        <is>
          <t xml:space="preserve">2% of agreed value, minimum $10,000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24031.42</v>
      </c>
      <c r="AC320" s="51">
        <v>0</v>
      </c>
      <c r="AD320" s="38">
        <f>IF(ISNUMBER($AB320),$AB320*(1+N($AC320)),"")</f>
      </c>
      <c r="AE320" s="50">
        <v>350</v>
      </c>
      <c r="AF320" s="50">
        <v>250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CANON-202601-003475</t>
        </is>
      </c>
      <c r="B321" s="30" t="inlineStr">
        <is>
          <t xml:space="preserve">Ingrid Rourke</t>
        </is>
      </c>
      <c r="C321" s="31">
        <v>46049</v>
      </c>
      <c r="D321" s="32" t="inlineStr">
        <is>
          <t xml:space="preserve">Bound - within authority</t>
        </is>
      </c>
      <c r="E321" s="32" t="inlineStr">
        <is>
          <t xml:space="preserve">New business</t>
        </is>
      </c>
      <c r="F321" s="30" t="inlineStr">
        <is>
          <t xml:space="preserve">B1234EXOTIC26</t>
        </is>
      </c>
      <c r="G321" s="33">
        <f>IF($A321="","",IF($C321="","",YEAR($C321)))</f>
      </c>
      <c r="H321" s="34">
        <v>2002</v>
      </c>
      <c r="I321" s="30" t="inlineStr">
        <is>
          <t xml:space="preserve">Ferrari</t>
        </is>
      </c>
      <c r="J321" s="30" t="inlineStr">
        <is>
          <t xml:space="preserve">SF90 Stradale</t>
        </is>
      </c>
      <c r="K321" s="30" t="inlineStr">
        <is>
          <t xml:space="preserve">J5JRDX4CM2BCFG3DU</t>
        </is>
      </c>
      <c r="L321" s="32" t="inlineStr">
        <is>
          <t xml:space="preserve">03 - Supercar</t>
        </is>
      </c>
      <c r="M321" s="35">
        <v>415000</v>
      </c>
      <c r="N321" s="32" t="inlineStr">
        <is>
          <t xml:space="preserve">Personal</t>
        </is>
      </c>
      <c r="O321" s="30" t="inlineStr">
        <is>
          <t xml:space="preserve">Personal - regular use</t>
        </is>
      </c>
      <c r="P321" s="30" t="inlineStr">
        <is>
          <t xml:space="preserve">2,500 - 5,000</t>
        </is>
      </c>
      <c r="Q321" s="30" t="inlineStr">
        <is>
          <t xml:space="preserve">Montana</t>
        </is>
      </c>
      <c r="R321" s="30" t="inlineStr">
        <is>
          <t xml:space="preserve">59601</t>
        </is>
      </c>
      <c r="S321" s="32" t="inlineStr">
        <is>
          <t xml:space="preserve">Wildfire - WUI high hazard</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7513.5</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CANON-202601-003476</t>
        </is>
      </c>
      <c r="B322" s="46" t="inlineStr">
        <is>
          <t xml:space="preserve">Desmond Chattopadhyay</t>
        </is>
      </c>
      <c r="C322" s="47">
        <v>46028</v>
      </c>
      <c r="D322" s="48" t="inlineStr">
        <is>
          <t xml:space="preserve">Bound - within authority</t>
        </is>
      </c>
      <c r="E322" s="48" t="inlineStr">
        <is>
          <t xml:space="preserve">New business</t>
        </is>
      </c>
      <c r="F322" s="46" t="inlineStr">
        <is>
          <t xml:space="preserve">B1234EXOTIC26</t>
        </is>
      </c>
      <c r="G322" s="33">
        <f>IF($A322="","",IF($C322="","",YEAR($C322)))</f>
      </c>
      <c r="H322" s="49">
        <v>1994</v>
      </c>
      <c r="I322" s="46" t="inlineStr">
        <is>
          <t xml:space="preserve">Mercedes-Benz</t>
        </is>
      </c>
      <c r="J322" s="46" t="inlineStr">
        <is>
          <t xml:space="preserve">280SL Pagoda</t>
        </is>
      </c>
      <c r="K322" s="46" t="inlineStr">
        <is>
          <t xml:space="preserve">1HHN2AV8H0SBYWRYY</t>
        </is>
      </c>
      <c r="L322" s="48" t="inlineStr">
        <is>
          <t xml:space="preserve">08 - Modern Classic (1973-1999)</t>
        </is>
      </c>
      <c r="M322" s="50">
        <v>1515000</v>
      </c>
      <c r="N322" s="48" t="inlineStr">
        <is>
          <t xml:space="preserve">Personal</t>
        </is>
      </c>
      <c r="O322" s="46" t="inlineStr">
        <is>
          <t xml:space="preserve">Personal - regular use</t>
        </is>
      </c>
      <c r="P322" s="46" t="inlineStr">
        <is>
          <t xml:space="preserve">Under 1,000</t>
        </is>
      </c>
      <c r="Q322" s="46" t="inlineStr">
        <is>
          <t xml:space="preserve">Rhode Island</t>
        </is>
      </c>
      <c r="R322" s="46" t="inlineStr">
        <is>
          <t xml:space="preserve">02903</t>
        </is>
      </c>
      <c r="S322" s="48" t="inlineStr">
        <is>
          <t xml:space="preserve">Tier 3 - Coastal wind (25-100 miles)</t>
        </is>
      </c>
      <c r="T322" s="36">
        <f>IF($A322="","",IF($S322="","",IFERROR(INDEX('[1]natural catastrophe'!$D$6:$D$17,MATCH($S322,'[1]natural catastrophe'!$B$6:$B$17,0)),"?")))</f>
      </c>
      <c r="U322" s="46" t="inlineStr">
        <is>
          <t xml:space="preserve">2% of agreed value, minimum $10,000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13351.5</v>
      </c>
      <c r="AC322" s="51">
        <v>0</v>
      </c>
      <c r="AD322" s="38">
        <f>IF(ISNUMBER($AB322),$AB322*(1+N($AC322)),"")</f>
      </c>
      <c r="AE322" s="50">
        <v>350</v>
      </c>
      <c r="AF322" s="50">
        <v>250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CANON-202601-003477</t>
        </is>
      </c>
      <c r="B323" s="30" t="inlineStr">
        <is>
          <t xml:space="preserve">Leopold Merriweather</t>
        </is>
      </c>
      <c r="C323" s="31">
        <v>46031</v>
      </c>
      <c r="D323" s="32" t="inlineStr">
        <is>
          <t xml:space="preserve">Bound - within authority</t>
        </is>
      </c>
      <c r="E323" s="32" t="inlineStr">
        <is>
          <t xml:space="preserve">New business</t>
        </is>
      </c>
      <c r="F323" s="30" t="inlineStr">
        <is>
          <t xml:space="preserve">B1234EXOTIC26</t>
        </is>
      </c>
      <c r="G323" s="33">
        <f>IF($A323="","",IF($C323="","",YEAR($C323)))</f>
      </c>
      <c r="H323" s="34">
        <v>1968</v>
      </c>
      <c r="I323" s="30" t="inlineStr">
        <is>
          <t xml:space="preserve">Porsche</t>
        </is>
      </c>
      <c r="J323" s="30" t="inlineStr">
        <is>
          <t xml:space="preserve">911 Turbo S</t>
        </is>
      </c>
      <c r="K323" s="30" t="inlineStr">
        <is>
          <t xml:space="preserve">E0V1PFXMA7ZCKU8LN</t>
        </is>
      </c>
      <c r="L323" s="32" t="inlineStr">
        <is>
          <t xml:space="preserve">02 - Sports / GT</t>
        </is>
      </c>
      <c r="M323" s="35">
        <v>1245000</v>
      </c>
      <c r="N323" s="32" t="inlineStr">
        <is>
          <t xml:space="preserve">Personal</t>
        </is>
      </c>
      <c r="O323" s="30" t="inlineStr">
        <is>
          <t xml:space="preserve">Personal - regular use</t>
        </is>
      </c>
      <c r="P323" s="30" t="inlineStr">
        <is>
          <t xml:space="preserve">Under 1,000</t>
        </is>
      </c>
      <c r="Q323" s="30" t="inlineStr">
        <is>
          <t xml:space="preserve">Missouri</t>
        </is>
      </c>
      <c r="R323" s="30" t="inlineStr">
        <is>
          <t xml:space="preserve">63101</t>
        </is>
      </c>
      <c r="S323" s="32" t="inlineStr">
        <is>
          <t xml:space="preserve">Severe convective - hail / tornado (moderate)</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12287.15</v>
      </c>
      <c r="AC323" s="37">
        <v>0</v>
      </c>
      <c r="AD323" s="38">
        <f>IF(ISNUMBER($AB323),$AB323*(1+N($AC323)),"")</f>
      </c>
      <c r="AE323" s="35">
        <v>350</v>
      </c>
      <c r="AF323" s="35">
        <v>250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CANON-202601-003478</t>
        </is>
      </c>
      <c r="B324" s="46" t="inlineStr">
        <is>
          <t xml:space="preserve">Noor Pennington</t>
        </is>
      </c>
      <c r="C324" s="47">
        <v>46047</v>
      </c>
      <c r="D324" s="48" t="inlineStr">
        <is>
          <t xml:space="preserve">Bound - within authority</t>
        </is>
      </c>
      <c r="E324" s="48" t="inlineStr">
        <is>
          <t xml:space="preserve">New business</t>
        </is>
      </c>
      <c r="F324" s="46" t="inlineStr">
        <is>
          <t xml:space="preserve">B1234EXOTIC26</t>
        </is>
      </c>
      <c r="G324" s="33">
        <f>IF($A324="","",IF($C324="","",YEAR($C324)))</f>
      </c>
      <c r="H324" s="49">
        <v>2017</v>
      </c>
      <c r="I324" s="46" t="inlineStr">
        <is>
          <t xml:space="preserve">Aston Martin</t>
        </is>
      </c>
      <c r="J324" s="46" t="inlineStr">
        <is>
          <t xml:space="preserve">DB12</t>
        </is>
      </c>
      <c r="K324" s="46" t="inlineStr">
        <is>
          <t xml:space="preserve">W0L3JE2XMFU7YTU9W</t>
        </is>
      </c>
      <c r="L324" s="48" t="inlineStr">
        <is>
          <t xml:space="preserve">02 - Sports / GT</t>
        </is>
      </c>
      <c r="M324" s="50">
        <v>420000</v>
      </c>
      <c r="N324" s="48" t="inlineStr">
        <is>
          <t xml:space="preserve">Personal</t>
        </is>
      </c>
      <c r="O324" s="46" t="inlineStr">
        <is>
          <t xml:space="preserve">Personal - regular use</t>
        </is>
      </c>
      <c r="P324" s="46" t="inlineStr">
        <is>
          <t xml:space="preserve">1,000 - 2,500</t>
        </is>
      </c>
      <c r="Q324" s="46" t="inlineStr">
        <is>
          <t xml:space="preserve">Pennsylvania</t>
        </is>
      </c>
      <c r="R324" s="46" t="inlineStr">
        <is>
          <t xml:space="preserve">19103</t>
        </is>
      </c>
      <c r="S324" s="48" t="inlineStr">
        <is>
          <t xml:space="preserve">Low hazard - inland benign</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5332.42</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CANON-202601-003479</t>
        </is>
      </c>
      <c r="B325" s="30" t="inlineStr">
        <is>
          <t xml:space="preserve">Priya Harrington</t>
        </is>
      </c>
      <c r="C325" s="31">
        <v>46031</v>
      </c>
      <c r="D325" s="32" t="inlineStr">
        <is>
          <t xml:space="preserve">Bound - within authority</t>
        </is>
      </c>
      <c r="E325" s="32" t="inlineStr">
        <is>
          <t xml:space="preserve">New business</t>
        </is>
      </c>
      <c r="F325" s="30" t="inlineStr">
        <is>
          <t xml:space="preserve">B1234EXOTIC26</t>
        </is>
      </c>
      <c r="G325" s="33">
        <f>IF($A325="","",IF($C325="","",YEAR($C325)))</f>
      </c>
      <c r="H325" s="34">
        <v>2024</v>
      </c>
      <c r="I325" s="30" t="inlineStr">
        <is>
          <t xml:space="preserve">BMW</t>
        </is>
      </c>
      <c r="J325" s="30" t="inlineStr">
        <is>
          <t xml:space="preserve">M8 Competition</t>
        </is>
      </c>
      <c r="K325" s="30" t="inlineStr">
        <is>
          <t xml:space="preserve">Z0WCZDTL9PCU2K6BM</t>
        </is>
      </c>
      <c r="L325" s="32" t="inlineStr">
        <is>
          <t xml:space="preserve">02 - Sports / GT</t>
        </is>
      </c>
      <c r="M325" s="35">
        <v>260000</v>
      </c>
      <c r="N325" s="32" t="inlineStr">
        <is>
          <t xml:space="preserve">Personal</t>
        </is>
      </c>
      <c r="O325" s="30" t="inlineStr">
        <is>
          <t xml:space="preserve">Personal - regular use</t>
        </is>
      </c>
      <c r="P325" s="30" t="inlineStr">
        <is>
          <t xml:space="preserve">2,500 - 5,000</t>
        </is>
      </c>
      <c r="Q325" s="30" t="inlineStr">
        <is>
          <t xml:space="preserve">Nevada</t>
        </is>
      </c>
      <c r="R325" s="30" t="inlineStr">
        <is>
          <t xml:space="preserve">89101</t>
        </is>
      </c>
      <c r="S325" s="32" t="inlineStr">
        <is>
          <t xml:space="preserve">Wildfire - WUI high hazard</t>
        </is>
      </c>
      <c r="T325" s="36">
        <f>IF($A325="","",IF($S325="","",IFERROR(INDEX('[1]natural catastrophe'!$D$6:$D$17,MATCH($S325,'[1]natural catastrophe'!$B$6:$B$17,0)),"?")))</f>
      </c>
      <c r="U325" s="30" t="inlineStr">
        <is>
          <t xml:space="preserve">$5,000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3862.19</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CANON-202601-003480</t>
        </is>
      </c>
      <c r="B326" s="46" t="inlineStr">
        <is>
          <t xml:space="preserve">Everett Farkas</t>
        </is>
      </c>
      <c r="C326" s="47">
        <v>46041</v>
      </c>
      <c r="D326" s="48" t="inlineStr">
        <is>
          <t xml:space="preserve">Bound - within authority</t>
        </is>
      </c>
      <c r="E326" s="48" t="inlineStr">
        <is>
          <t xml:space="preserve">New business</t>
        </is>
      </c>
      <c r="F326" s="46" t="inlineStr">
        <is>
          <t xml:space="preserve">B1234EXOTIC26</t>
        </is>
      </c>
      <c r="G326" s="33">
        <f>IF($A326="","",IF($C326="","",YEAR($C326)))</f>
      </c>
      <c r="H326" s="49">
        <v>1991</v>
      </c>
      <c r="I326" s="46" t="inlineStr">
        <is>
          <t xml:space="preserve">Porsche</t>
        </is>
      </c>
      <c r="J326" s="46" t="inlineStr">
        <is>
          <t xml:space="preserve">911 Turbo S</t>
        </is>
      </c>
      <c r="K326" s="46" t="inlineStr">
        <is>
          <t xml:space="preserve">NRFGA1GPD8M94F0DY</t>
        </is>
      </c>
      <c r="L326" s="48" t="inlineStr">
        <is>
          <t xml:space="preserve">02 - Sports / GT</t>
        </is>
      </c>
      <c r="M326" s="50">
        <v>490000</v>
      </c>
      <c r="N326" s="48" t="inlineStr">
        <is>
          <t xml:space="preserve">Personal</t>
        </is>
      </c>
      <c r="O326" s="46" t="inlineStr">
        <is>
          <t xml:space="preserve">Personal - regular use</t>
        </is>
      </c>
      <c r="P326" s="46" t="inlineStr">
        <is>
          <t xml:space="preserve">2,500 - 5,000</t>
        </is>
      </c>
      <c r="Q326" s="46" t="inlineStr">
        <is>
          <t xml:space="preserve">Tennessee</t>
        </is>
      </c>
      <c r="R326" s="46" t="inlineStr">
        <is>
          <t xml:space="preserve">37203</t>
        </is>
      </c>
      <c r="S326" s="48" t="inlineStr">
        <is>
          <t xml:space="preserve">Severe convective - hail / tornado (moderate)</t>
        </is>
      </c>
      <c r="T326" s="36">
        <f>IF($A326="","",IF($S326="","",IFERROR(INDEX('[1]natural catastrophe'!$D$6:$D$17,MATCH($S326,'[1]natural catastrophe'!$B$6:$B$17,0)),"?")))</f>
      </c>
      <c r="U326" s="46" t="inlineStr">
        <is>
          <t xml:space="preserve">$5,000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6096.73</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CANON-202601-003481</t>
        </is>
      </c>
      <c r="B327" s="30" t="inlineStr">
        <is>
          <t xml:space="preserve">Callum Farkas</t>
        </is>
      </c>
      <c r="C327" s="31">
        <v>46047</v>
      </c>
      <c r="D327" s="32" t="inlineStr">
        <is>
          <t xml:space="preserve">Bound - within authority</t>
        </is>
      </c>
      <c r="E327" s="32" t="inlineStr">
        <is>
          <t xml:space="preserve">New business</t>
        </is>
      </c>
      <c r="F327" s="30" t="inlineStr">
        <is>
          <t xml:space="preserve">B1234EXOTIC26</t>
        </is>
      </c>
      <c r="G327" s="33">
        <f>IF($A327="","",IF($C327="","",YEAR($C327)))</f>
      </c>
      <c r="H327" s="34">
        <v>1961</v>
      </c>
      <c r="I327" s="30" t="inlineStr">
        <is>
          <t xml:space="preserve">Porsche</t>
        </is>
      </c>
      <c r="J327" s="30" t="inlineStr">
        <is>
          <t xml:space="preserve">911 Turbo S</t>
        </is>
      </c>
      <c r="K327" s="30" t="inlineStr">
        <is>
          <t xml:space="preserve">3HT972V9N8GYW7YP6</t>
        </is>
      </c>
      <c r="L327" s="32" t="inlineStr">
        <is>
          <t xml:space="preserve">02 - Sports / GT</t>
        </is>
      </c>
      <c r="M327" s="35">
        <v>460000</v>
      </c>
      <c r="N327" s="32" t="inlineStr">
        <is>
          <t xml:space="preserve">Personal</t>
        </is>
      </c>
      <c r="O327" s="30" t="inlineStr">
        <is>
          <t xml:space="preserve">Personal - regular use</t>
        </is>
      </c>
      <c r="P327" s="30" t="inlineStr">
        <is>
          <t xml:space="preserve">2,500 - 5,000</t>
        </is>
      </c>
      <c r="Q327" s="30" t="inlineStr">
        <is>
          <t xml:space="preserve">Ohio</t>
        </is>
      </c>
      <c r="R327" s="30" t="inlineStr">
        <is>
          <t xml:space="preserve">43215</t>
        </is>
      </c>
      <c r="S327" s="32" t="inlineStr">
        <is>
          <t xml:space="preserve">Severe convective - hail / tornado (moderate)</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8117.96</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CANON-202601-003482</t>
        </is>
      </c>
      <c r="B328" s="46" t="inlineStr">
        <is>
          <t xml:space="preserve">Aurelio Fairweather</t>
        </is>
      </c>
      <c r="C328" s="47">
        <v>46053</v>
      </c>
      <c r="D328" s="48" t="inlineStr">
        <is>
          <t xml:space="preserve">Bound - within authority</t>
        </is>
      </c>
      <c r="E328" s="48" t="inlineStr">
        <is>
          <t xml:space="preserve">New business</t>
        </is>
      </c>
      <c r="F328" s="46" t="inlineStr">
        <is>
          <t xml:space="preserve">B1234EXOTIC26</t>
        </is>
      </c>
      <c r="G328" s="33">
        <f>IF($A328="","",IF($C328="","",YEAR($C328)))</f>
      </c>
      <c r="H328" s="49">
        <v>1980</v>
      </c>
      <c r="I328" s="46" t="inlineStr">
        <is>
          <t xml:space="preserve">McLaren</t>
        </is>
      </c>
      <c r="J328" s="46" t="inlineStr">
        <is>
          <t xml:space="preserve">750S</t>
        </is>
      </c>
      <c r="K328" s="46" t="inlineStr">
        <is>
          <t xml:space="preserve">EJYBDX6N9WT71WVYA</t>
        </is>
      </c>
      <c r="L328" s="48" t="inlineStr">
        <is>
          <t xml:space="preserve">03 - Supercar</t>
        </is>
      </c>
      <c r="M328" s="50">
        <v>765000</v>
      </c>
      <c r="N328" s="48" t="inlineStr">
        <is>
          <t xml:space="preserve">Personal</t>
        </is>
      </c>
      <c r="O328" s="46" t="inlineStr">
        <is>
          <t xml:space="preserve">Personal - regular use</t>
        </is>
      </c>
      <c r="P328" s="46" t="inlineStr">
        <is>
          <t xml:space="preserve">1,000 - 2,500</t>
        </is>
      </c>
      <c r="Q328" s="46" t="inlineStr">
        <is>
          <t xml:space="preserve">North Dakota</t>
        </is>
      </c>
      <c r="R328" s="46" t="inlineStr">
        <is>
          <t xml:space="preserve">58501</t>
        </is>
      </c>
      <c r="S328" s="48" t="inlineStr">
        <is>
          <t xml:space="preserve">Severe convective - hail alley (high)</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12548.7</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CANON-202601-003483</t>
        </is>
      </c>
      <c r="B329" s="30" t="inlineStr">
        <is>
          <t xml:space="preserve">Fitzgerald Thistlewood</t>
        </is>
      </c>
      <c r="C329" s="31">
        <v>46046</v>
      </c>
      <c r="D329" s="32" t="inlineStr">
        <is>
          <t xml:space="preserve">Bound - within authority</t>
        </is>
      </c>
      <c r="E329" s="32" t="inlineStr">
        <is>
          <t xml:space="preserve">New business</t>
        </is>
      </c>
      <c r="F329" s="30" t="inlineStr">
        <is>
          <t xml:space="preserve">B1234EXOTIC26</t>
        </is>
      </c>
      <c r="G329" s="33">
        <f>IF($A329="","",IF($C329="","",YEAR($C329)))</f>
      </c>
      <c r="H329" s="34">
        <v>2023</v>
      </c>
      <c r="I329" s="30" t="inlineStr">
        <is>
          <t xml:space="preserve">Bentley</t>
        </is>
      </c>
      <c r="J329" s="30" t="inlineStr">
        <is>
          <t xml:space="preserve">Continental GT</t>
        </is>
      </c>
      <c r="K329" s="30" t="inlineStr">
        <is>
          <t xml:space="preserve">2TMPKEG40SPCTHK54</t>
        </is>
      </c>
      <c r="L329" s="32" t="inlineStr">
        <is>
          <t xml:space="preserve">02 - Sports / GT</t>
        </is>
      </c>
      <c r="M329" s="35">
        <v>245000</v>
      </c>
      <c r="N329" s="32" t="inlineStr">
        <is>
          <t xml:space="preserve">Personal</t>
        </is>
      </c>
      <c r="O329" s="30" t="inlineStr">
        <is>
          <t xml:space="preserve">Personal - regular use</t>
        </is>
      </c>
      <c r="P329" s="30" t="inlineStr">
        <is>
          <t xml:space="preserve">Under 1,000</t>
        </is>
      </c>
      <c r="Q329" s="30" t="inlineStr">
        <is>
          <t xml:space="preserve">North Dakota</t>
        </is>
      </c>
      <c r="R329" s="30" t="inlineStr">
        <is>
          <t xml:space="preserve">58501</t>
        </is>
      </c>
      <c r="S329" s="32" t="inlineStr">
        <is>
          <t xml:space="preserve">Severe convective - hail alley (high)</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3891.95</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CANON-202601-003484</t>
        </is>
      </c>
      <c r="B330" s="46" t="inlineStr">
        <is>
          <t xml:space="preserve">Marisol Larsson</t>
        </is>
      </c>
      <c r="C330" s="47">
        <v>46048</v>
      </c>
      <c r="D330" s="48" t="inlineStr">
        <is>
          <t xml:space="preserve">Bound - within authority</t>
        </is>
      </c>
      <c r="E330" s="48" t="inlineStr">
        <is>
          <t xml:space="preserve">New business</t>
        </is>
      </c>
      <c r="F330" s="46" t="inlineStr">
        <is>
          <t xml:space="preserve">B1234EXOTIC26</t>
        </is>
      </c>
      <c r="G330" s="33">
        <f>IF($A330="","",IF($C330="","",YEAR($C330)))</f>
      </c>
      <c r="H330" s="49">
        <v>1987</v>
      </c>
      <c r="I330" s="46" t="inlineStr">
        <is>
          <t xml:space="preserve">Mercedes-Benz</t>
        </is>
      </c>
      <c r="J330" s="46" t="inlineStr">
        <is>
          <t xml:space="preserve">AMG GT</t>
        </is>
      </c>
      <c r="K330" s="46" t="inlineStr">
        <is>
          <t xml:space="preserve">FJ1L2RGRUL6VS3791</t>
        </is>
      </c>
      <c r="L330" s="48" t="inlineStr">
        <is>
          <t xml:space="preserve">02 - Sports / GT</t>
        </is>
      </c>
      <c r="M330" s="50">
        <v>260000</v>
      </c>
      <c r="N330" s="48" t="inlineStr">
        <is>
          <t xml:space="preserve">Personal</t>
        </is>
      </c>
      <c r="O330" s="46" t="inlineStr">
        <is>
          <t xml:space="preserve">Personal - regular use</t>
        </is>
      </c>
      <c r="P330" s="46" t="inlineStr">
        <is>
          <t xml:space="preserve">1,000 - 2,500</t>
        </is>
      </c>
      <c r="Q330" s="46" t="inlineStr">
        <is>
          <t xml:space="preserve">Georgia</t>
        </is>
      </c>
      <c r="R330" s="46" t="inlineStr">
        <is>
          <t xml:space="preserve">30303</t>
        </is>
      </c>
      <c r="S330" s="48" t="inlineStr">
        <is>
          <t xml:space="preserve">Tier 2 - Coastal wind (1-25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3697.14</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CANON-202601-003486</t>
        </is>
      </c>
      <c r="B331" s="30" t="inlineStr">
        <is>
          <t xml:space="preserve">Everett Nakashima</t>
        </is>
      </c>
      <c r="C331" s="31">
        <v>46047</v>
      </c>
      <c r="D331" s="32" t="inlineStr">
        <is>
          <t xml:space="preserve">Bound - within authority</t>
        </is>
      </c>
      <c r="E331" s="32" t="inlineStr">
        <is>
          <t xml:space="preserve">New business</t>
        </is>
      </c>
      <c r="F331" s="30" t="inlineStr">
        <is>
          <t xml:space="preserve">B1234EXOTIC26</t>
        </is>
      </c>
      <c r="G331" s="33">
        <f>IF($A331="","",IF($C331="","",YEAR($C331)))</f>
      </c>
      <c r="H331" s="34">
        <v>2003</v>
      </c>
      <c r="I331" s="30" t="inlineStr">
        <is>
          <t xml:space="preserve">Ferrari</t>
        </is>
      </c>
      <c r="J331" s="30" t="inlineStr">
        <is>
          <t xml:space="preserve">275 GTB/4</t>
        </is>
      </c>
      <c r="K331" s="30" t="inlineStr">
        <is>
          <t xml:space="preserve">KP538MVTPLFUJ0V70</t>
        </is>
      </c>
      <c r="L331" s="32" t="inlineStr">
        <is>
          <t xml:space="preserve">09 - Youngtimer / Collectible (2000-2010)</t>
        </is>
      </c>
      <c r="M331" s="35">
        <v>475000</v>
      </c>
      <c r="N331" s="32" t="inlineStr">
        <is>
          <t xml:space="preserve">Personal</t>
        </is>
      </c>
      <c r="O331" s="30" t="inlineStr">
        <is>
          <t xml:space="preserve">Personal - regular use</t>
        </is>
      </c>
      <c r="P331" s="30" t="inlineStr">
        <is>
          <t xml:space="preserve">Under 1,000</t>
        </is>
      </c>
      <c r="Q331" s="30" t="inlineStr">
        <is>
          <t xml:space="preserve">Oklahoma</t>
        </is>
      </c>
      <c r="R331" s="30" t="inlineStr">
        <is>
          <t xml:space="preserve">73102</t>
        </is>
      </c>
      <c r="S331" s="32" t="inlineStr">
        <is>
          <t xml:space="preserve">Severe convective - hail alley (high)</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4863.16</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CANON-202601-003487</t>
        </is>
      </c>
      <c r="B332" s="46" t="inlineStr">
        <is>
          <t xml:space="preserve">Sunniva Ashcombe</t>
        </is>
      </c>
      <c r="C332" s="47">
        <v>46037</v>
      </c>
      <c r="D332" s="48" t="inlineStr">
        <is>
          <t xml:space="preserve">Bound - within authority</t>
        </is>
      </c>
      <c r="E332" s="48" t="inlineStr">
        <is>
          <t xml:space="preserve">New business</t>
        </is>
      </c>
      <c r="F332" s="46" t="inlineStr">
        <is>
          <t xml:space="preserve">B1234EXOTIC26</t>
        </is>
      </c>
      <c r="G332" s="33">
        <f>IF($A332="","",IF($C332="","",YEAR($C332)))</f>
      </c>
      <c r="H332" s="49">
        <v>2006</v>
      </c>
      <c r="I332" s="46" t="inlineStr">
        <is>
          <t xml:space="preserve">BMW</t>
        </is>
      </c>
      <c r="J332" s="46" t="inlineStr">
        <is>
          <t xml:space="preserve">M8 Competition</t>
        </is>
      </c>
      <c r="K332" s="46" t="inlineStr">
        <is>
          <t xml:space="preserve">US7PME40M2KZAJVK6</t>
        </is>
      </c>
      <c r="L332" s="48" t="inlineStr">
        <is>
          <t xml:space="preserve">02 - Sports / GT</t>
        </is>
      </c>
      <c r="M332" s="50">
        <v>380000</v>
      </c>
      <c r="N332" s="48" t="inlineStr">
        <is>
          <t xml:space="preserve">Personal</t>
        </is>
      </c>
      <c r="O332" s="46" t="inlineStr">
        <is>
          <t xml:space="preserve">Personal - regular use</t>
        </is>
      </c>
      <c r="P332" s="46" t="inlineStr">
        <is>
          <t xml:space="preserve">2,500 - 5,000</t>
        </is>
      </c>
      <c r="Q332" s="46" t="inlineStr">
        <is>
          <t xml:space="preserve">New York</t>
        </is>
      </c>
      <c r="R332" s="46" t="inlineStr">
        <is>
          <t xml:space="preserve">10022</t>
        </is>
      </c>
      <c r="S332" s="48" t="inlineStr">
        <is>
          <t xml:space="preserve">Tier 3 - Coastal wind (25-100 miles)</t>
        </is>
      </c>
      <c r="T332" s="36">
        <f>IF($A332="","",IF($S332="","",IFERROR(INDEX('[1]natural catastrophe'!$D$6:$D$17,MATCH($S332,'[1]natural catastrophe'!$B$6:$B$17,0)),"?")))</f>
      </c>
      <c r="U332" s="46" t="inlineStr">
        <is>
          <t xml:space="preserve">2% of agreed value, minimum $10,000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6175.45</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CANON-202601-003488</t>
        </is>
      </c>
      <c r="B333" s="30" t="inlineStr">
        <is>
          <t xml:space="preserve">Noor Delacroix</t>
        </is>
      </c>
      <c r="C333" s="31">
        <v>46027</v>
      </c>
      <c r="D333" s="32" t="inlineStr">
        <is>
          <t xml:space="preserve">Bound - within authority</t>
        </is>
      </c>
      <c r="E333" s="32" t="inlineStr">
        <is>
          <t xml:space="preserve">New business</t>
        </is>
      </c>
      <c r="F333" s="30" t="inlineStr">
        <is>
          <t xml:space="preserve">B1234EXOTIC26</t>
        </is>
      </c>
      <c r="G333" s="33">
        <f>IF($A333="","",IF($C333="","",YEAR($C333)))</f>
      </c>
      <c r="H333" s="34">
        <v>1967</v>
      </c>
      <c r="I333" s="30" t="inlineStr">
        <is>
          <t xml:space="preserve">BMW</t>
        </is>
      </c>
      <c r="J333" s="30" t="inlineStr">
        <is>
          <t xml:space="preserve">M8 Competition</t>
        </is>
      </c>
      <c r="K333" s="30" t="inlineStr">
        <is>
          <t xml:space="preserve">TXTLTBGNBGJR60CAK</t>
        </is>
      </c>
      <c r="L333" s="32" t="inlineStr">
        <is>
          <t xml:space="preserve">02 - Sports / GT</t>
        </is>
      </c>
      <c r="M333" s="35">
        <v>1415000</v>
      </c>
      <c r="N333" s="32" t="inlineStr">
        <is>
          <t xml:space="preserve">Personal</t>
        </is>
      </c>
      <c r="O333" s="30" t="inlineStr">
        <is>
          <t xml:space="preserve">Personal - regular use</t>
        </is>
      </c>
      <c r="P333" s="30" t="inlineStr">
        <is>
          <t xml:space="preserve">1,000 - 2,500</t>
        </is>
      </c>
      <c r="Q333" s="30" t="inlineStr">
        <is>
          <t xml:space="preserve">New Jersey</t>
        </is>
      </c>
      <c r="R333" s="30" t="inlineStr">
        <is>
          <t xml:space="preserve">07102</t>
        </is>
      </c>
      <c r="S333" s="32" t="inlineStr">
        <is>
          <t xml:space="preserve">Tier 3 - Coastal wind (25-100 miles)</t>
        </is>
      </c>
      <c r="T333" s="36">
        <f>IF($A333="","",IF($S333="","",IFERROR(INDEX('[1]natural catastrophe'!$D$6:$D$17,MATCH($S333,'[1]natural catastrophe'!$B$6:$B$17,0)),"?")))</f>
      </c>
      <c r="U333" s="30" t="inlineStr">
        <is>
          <t xml:space="preserve">2% of agreed value, minimum $10,000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11988.75</v>
      </c>
      <c r="AC333" s="37">
        <v>0</v>
      </c>
      <c r="AD333" s="38">
        <f>IF(ISNUMBER($AB333),$AB333*(1+N($AC333)),"")</f>
      </c>
      <c r="AE333" s="35">
        <v>350</v>
      </c>
      <c r="AF333" s="35">
        <v>250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CANON-202601-003490</t>
        </is>
      </c>
      <c r="B334" s="46" t="inlineStr">
        <is>
          <t xml:space="preserve">Saoirse Castellanos</t>
        </is>
      </c>
      <c r="C334" s="47">
        <v>46053</v>
      </c>
      <c r="D334" s="48" t="inlineStr">
        <is>
          <t xml:space="preserve">Bound - within authority</t>
        </is>
      </c>
      <c r="E334" s="48" t="inlineStr">
        <is>
          <t xml:space="preserve">New business</t>
        </is>
      </c>
      <c r="F334" s="46" t="inlineStr">
        <is>
          <t xml:space="preserve">B1234EXOTIC26</t>
        </is>
      </c>
      <c r="G334" s="33">
        <f>IF($A334="","",IF($C334="","",YEAR($C334)))</f>
      </c>
      <c r="H334" s="49">
        <v>2014</v>
      </c>
      <c r="I334" s="46" t="inlineStr">
        <is>
          <t xml:space="preserve">Aston Martin</t>
        </is>
      </c>
      <c r="J334" s="46" t="inlineStr">
        <is>
          <t xml:space="preserve">DB12</t>
        </is>
      </c>
      <c r="K334" s="46" t="inlineStr">
        <is>
          <t xml:space="preserve">RLFM14FW54APMCPL4</t>
        </is>
      </c>
      <c r="L334" s="48" t="inlineStr">
        <is>
          <t xml:space="preserve">02 - Sports / GT</t>
        </is>
      </c>
      <c r="M334" s="50">
        <v>750000</v>
      </c>
      <c r="N334" s="48" t="inlineStr">
        <is>
          <t xml:space="preserve">Personal</t>
        </is>
      </c>
      <c r="O334" s="46" t="inlineStr">
        <is>
          <t xml:space="preserve">Personal - regular use</t>
        </is>
      </c>
      <c r="P334" s="46" t="inlineStr">
        <is>
          <t xml:space="preserve">1,000 - 2,500</t>
        </is>
      </c>
      <c r="Q334" s="46" t="inlineStr">
        <is>
          <t xml:space="preserve">Michigan</t>
        </is>
      </c>
      <c r="R334" s="46" t="inlineStr">
        <is>
          <t xml:space="preserve">48226</t>
        </is>
      </c>
      <c r="S334" s="48" t="inlineStr">
        <is>
          <t xml:space="preserve">Severe convective - hail / tornado (moderate)</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12791.45</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CANON-202601-003494</t>
        </is>
      </c>
      <c r="B335" s="30" t="inlineStr">
        <is>
          <t xml:space="preserve">Sunniva Larsson</t>
        </is>
      </c>
      <c r="C335" s="31">
        <v>46049</v>
      </c>
      <c r="D335" s="32" t="inlineStr">
        <is>
          <t xml:space="preserve">Bound - within authority</t>
        </is>
      </c>
      <c r="E335" s="32" t="inlineStr">
        <is>
          <t xml:space="preserve">New business</t>
        </is>
      </c>
      <c r="F335" s="30" t="inlineStr">
        <is>
          <t xml:space="preserve">B1234EXOTIC26</t>
        </is>
      </c>
      <c r="G335" s="33">
        <f>IF($A335="","",IF($C335="","",YEAR($C335)))</f>
      </c>
      <c r="H335" s="34">
        <v>1988</v>
      </c>
      <c r="I335" s="30" t="inlineStr">
        <is>
          <t xml:space="preserve">BMW</t>
        </is>
      </c>
      <c r="J335" s="30" t="inlineStr">
        <is>
          <t xml:space="preserve">M8 Competition</t>
        </is>
      </c>
      <c r="K335" s="30" t="inlineStr">
        <is>
          <t xml:space="preserve">VWJCTECF2ABL5W631</t>
        </is>
      </c>
      <c r="L335" s="32" t="inlineStr">
        <is>
          <t xml:space="preserve">02 - Sports / GT</t>
        </is>
      </c>
      <c r="M335" s="35">
        <v>1150000</v>
      </c>
      <c r="N335" s="32" t="inlineStr">
        <is>
          <t xml:space="preserve">Personal</t>
        </is>
      </c>
      <c r="O335" s="30" t="inlineStr">
        <is>
          <t xml:space="preserve">Personal - regular use</t>
        </is>
      </c>
      <c r="P335" s="30" t="inlineStr">
        <is>
          <t xml:space="preserve">2,500 - 5,000</t>
        </is>
      </c>
      <c r="Q335" s="30" t="inlineStr">
        <is>
          <t xml:space="preserve">Texas</t>
        </is>
      </c>
      <c r="R335" s="30" t="inlineStr">
        <is>
          <t xml:space="preserve">75201</t>
        </is>
      </c>
      <c r="S335" s="32" t="inlineStr">
        <is>
          <t xml:space="preserve">Tier 2 - Coastal wind (1-25 miles)</t>
        </is>
      </c>
      <c r="T335" s="36">
        <f>IF($A335="","",IF($S335="","",IFERROR(INDEX('[1]natural catastrophe'!$D$6:$D$17,MATCH($S335,'[1]natural catastrophe'!$B$6:$B$17,0)),"?")))</f>
      </c>
      <c r="U335" s="30" t="inlineStr">
        <is>
          <t xml:space="preserve">2% of agreed value, minimum $10,000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12313.23</v>
      </c>
      <c r="AC335" s="37">
        <v>0</v>
      </c>
      <c r="AD335" s="38">
        <f>IF(ISNUMBER($AB335),$AB335*(1+N($AC335)),"")</f>
      </c>
      <c r="AE335" s="35">
        <v>350</v>
      </c>
      <c r="AF335" s="35">
        <v>250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CANON-202601-003495</t>
        </is>
      </c>
      <c r="B336" s="46" t="inlineStr">
        <is>
          <t xml:space="preserve">Emiliano Delacroix</t>
        </is>
      </c>
      <c r="C336" s="47">
        <v>46038</v>
      </c>
      <c r="D336" s="48" t="inlineStr">
        <is>
          <t xml:space="preserve">Bound - within authority</t>
        </is>
      </c>
      <c r="E336" s="48" t="inlineStr">
        <is>
          <t xml:space="preserve">New business</t>
        </is>
      </c>
      <c r="F336" s="46" t="inlineStr">
        <is>
          <t xml:space="preserve">B1234EXOTIC26</t>
        </is>
      </c>
      <c r="G336" s="33">
        <f>IF($A336="","",IF($C336="","",YEAR($C336)))</f>
      </c>
      <c r="H336" s="49">
        <v>2022</v>
      </c>
      <c r="I336" s="46" t="inlineStr">
        <is>
          <t xml:space="preserve">Ferrari</t>
        </is>
      </c>
      <c r="J336" s="46" t="inlineStr">
        <is>
          <t xml:space="preserve">SF90 Stradale</t>
        </is>
      </c>
      <c r="K336" s="46" t="inlineStr">
        <is>
          <t xml:space="preserve">T5YTN5FA4GXRZPEFW</t>
        </is>
      </c>
      <c r="L336" s="48" t="inlineStr">
        <is>
          <t xml:space="preserve">03 - Supercar</t>
        </is>
      </c>
      <c r="M336" s="50">
        <v>745000</v>
      </c>
      <c r="N336" s="48" t="inlineStr">
        <is>
          <t xml:space="preserve">Personal</t>
        </is>
      </c>
      <c r="O336" s="46" t="inlineStr">
        <is>
          <t xml:space="preserve">Personal - regular use</t>
        </is>
      </c>
      <c r="P336" s="46" t="inlineStr">
        <is>
          <t xml:space="preserve">1,000 - 2,500</t>
        </is>
      </c>
      <c r="Q336" s="46" t="inlineStr">
        <is>
          <t xml:space="preserve">Iowa</t>
        </is>
      </c>
      <c r="R336" s="46" t="inlineStr">
        <is>
          <t xml:space="preserve">50309</t>
        </is>
      </c>
      <c r="S336" s="48" t="inlineStr">
        <is>
          <t xml:space="preserve">Severe convective - hail alley (high)</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13179.11</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CANON-202601-003499</t>
        </is>
      </c>
      <c r="B337" s="30" t="inlineStr">
        <is>
          <t xml:space="preserve">Noor Harrington</t>
        </is>
      </c>
      <c r="C337" s="31">
        <v>46051</v>
      </c>
      <c r="D337" s="32" t="inlineStr">
        <is>
          <t xml:space="preserve">Bound - within authority</t>
        </is>
      </c>
      <c r="E337" s="32" t="inlineStr">
        <is>
          <t xml:space="preserve">New business</t>
        </is>
      </c>
      <c r="F337" s="30" t="inlineStr">
        <is>
          <t xml:space="preserve">B1234EXOTIC26</t>
        </is>
      </c>
      <c r="G337" s="33">
        <f>IF($A337="","",IF($C337="","",YEAR($C337)))</f>
      </c>
      <c r="H337" s="34">
        <v>1979</v>
      </c>
      <c r="I337" s="30" t="inlineStr">
        <is>
          <t xml:space="preserve">Mercedes-Benz</t>
        </is>
      </c>
      <c r="J337" s="30" t="inlineStr">
        <is>
          <t xml:space="preserve">280SL Pagoda</t>
        </is>
      </c>
      <c r="K337" s="30" t="inlineStr">
        <is>
          <t xml:space="preserve">D2J28H820KE8NP6UV</t>
        </is>
      </c>
      <c r="L337" s="32" t="inlineStr">
        <is>
          <t xml:space="preserve">08 - Modern Classic (1973-1999)</t>
        </is>
      </c>
      <c r="M337" s="35">
        <v>970000</v>
      </c>
      <c r="N337" s="32" t="inlineStr">
        <is>
          <t xml:space="preserve">Personal</t>
        </is>
      </c>
      <c r="O337" s="30" t="inlineStr">
        <is>
          <t xml:space="preserve">Personal - regular use</t>
        </is>
      </c>
      <c r="P337" s="30" t="inlineStr">
        <is>
          <t xml:space="preserve">2,500 - 5,000</t>
        </is>
      </c>
      <c r="Q337" s="30" t="inlineStr">
        <is>
          <t xml:space="preserve">Vermont</t>
        </is>
      </c>
      <c r="R337" s="30" t="inlineStr">
        <is>
          <t xml:space="preserve">05601</t>
        </is>
      </c>
      <c r="S337" s="32" t="inlineStr">
        <is>
          <t xml:space="preserve">Low hazard - inland benign</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8614.17</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CANON-202601-003500</t>
        </is>
      </c>
      <c r="B338" s="46" t="inlineStr">
        <is>
          <t xml:space="preserve">Thaddeus Ashcombe</t>
        </is>
      </c>
      <c r="C338" s="47">
        <v>46037</v>
      </c>
      <c r="D338" s="48" t="inlineStr">
        <is>
          <t xml:space="preserve">Bound - within authority</t>
        </is>
      </c>
      <c r="E338" s="48" t="inlineStr">
        <is>
          <t xml:space="preserve">New business</t>
        </is>
      </c>
      <c r="F338" s="46" t="inlineStr">
        <is>
          <t xml:space="preserve">B1234EXOTIC26</t>
        </is>
      </c>
      <c r="G338" s="33">
        <f>IF($A338="","",IF($C338="","",YEAR($C338)))</f>
      </c>
      <c r="H338" s="49">
        <v>2000</v>
      </c>
      <c r="I338" s="46" t="inlineStr">
        <is>
          <t xml:space="preserve">Bentley</t>
        </is>
      </c>
      <c r="J338" s="46" t="inlineStr">
        <is>
          <t xml:space="preserve">Continental GT</t>
        </is>
      </c>
      <c r="K338" s="46" t="inlineStr">
        <is>
          <t xml:space="preserve">C851CSC371GC1R358</t>
        </is>
      </c>
      <c r="L338" s="48" t="inlineStr">
        <is>
          <t xml:space="preserve">02 - Sports / GT</t>
        </is>
      </c>
      <c r="M338" s="50">
        <v>200000</v>
      </c>
      <c r="N338" s="48" t="inlineStr">
        <is>
          <t xml:space="preserve">Personal</t>
        </is>
      </c>
      <c r="O338" s="46" t="inlineStr">
        <is>
          <t xml:space="preserve">Personal - regular use</t>
        </is>
      </c>
      <c r="P338" s="46" t="inlineStr">
        <is>
          <t xml:space="preserve">2,500 - 5,000</t>
        </is>
      </c>
      <c r="Q338" s="46" t="inlineStr">
        <is>
          <t xml:space="preserve">Hawaii</t>
        </is>
      </c>
      <c r="R338" s="46" t="inlineStr">
        <is>
          <t xml:space="preserve">96813</t>
        </is>
      </c>
      <c r="S338" s="48" t="inlineStr">
        <is>
          <t xml:space="preserve">Earthquake - high (CA, Cascadia, New Madrid)</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4049.25</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CANON-202601-003501</t>
        </is>
      </c>
      <c r="B339" s="30" t="inlineStr">
        <is>
          <t xml:space="preserve">Callum Bellandi</t>
        </is>
      </c>
      <c r="C339" s="31">
        <v>46030</v>
      </c>
      <c r="D339" s="32" t="inlineStr">
        <is>
          <t xml:space="preserve">Bound - within authority</t>
        </is>
      </c>
      <c r="E339" s="32" t="inlineStr">
        <is>
          <t xml:space="preserve">New business</t>
        </is>
      </c>
      <c r="F339" s="30" t="inlineStr">
        <is>
          <t xml:space="preserve">B1234EXOTIC26</t>
        </is>
      </c>
      <c r="G339" s="33">
        <f>IF($A339="","",IF($C339="","",YEAR($C339)))</f>
      </c>
      <c r="H339" s="34">
        <v>2007</v>
      </c>
      <c r="I339" s="30" t="inlineStr">
        <is>
          <t xml:space="preserve">Mercedes-Benz</t>
        </is>
      </c>
      <c r="J339" s="30" t="inlineStr">
        <is>
          <t xml:space="preserve">AMG GT</t>
        </is>
      </c>
      <c r="K339" s="30" t="inlineStr">
        <is>
          <t xml:space="preserve">K0VDSPGTKV8NBFM6S</t>
        </is>
      </c>
      <c r="L339" s="32" t="inlineStr">
        <is>
          <t xml:space="preserve">02 - Sports / GT</t>
        </is>
      </c>
      <c r="M339" s="35">
        <v>490000</v>
      </c>
      <c r="N339" s="32" t="inlineStr">
        <is>
          <t xml:space="preserve">Personal</t>
        </is>
      </c>
      <c r="O339" s="30" t="inlineStr">
        <is>
          <t xml:space="preserve">Personal - regular use</t>
        </is>
      </c>
      <c r="P339" s="30" t="inlineStr">
        <is>
          <t xml:space="preserve">2,500 - 5,000</t>
        </is>
      </c>
      <c r="Q339" s="30" t="inlineStr">
        <is>
          <t xml:space="preserve">Iowa</t>
        </is>
      </c>
      <c r="R339" s="30" t="inlineStr">
        <is>
          <t xml:space="preserve">50309</t>
        </is>
      </c>
      <c r="S339" s="32" t="inlineStr">
        <is>
          <t xml:space="preserve">Severe convective - hail alley (high)</t>
        </is>
      </c>
      <c r="T339" s="36">
        <f>IF($A339="","",IF($S339="","",IFERROR(INDEX('[1]natural catastrophe'!$D$6:$D$17,MATCH($S339,'[1]natural catastrophe'!$B$6:$B$17,0)),"?")))</f>
      </c>
      <c r="U339" s="30" t="inlineStr">
        <is>
          <t xml:space="preserve">$5,000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6843.27</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CANON-202601-003502</t>
        </is>
      </c>
      <c r="B340" s="46" t="inlineStr">
        <is>
          <t xml:space="preserve">Horace Ashcombe</t>
        </is>
      </c>
      <c r="C340" s="47">
        <v>46051</v>
      </c>
      <c r="D340" s="48" t="inlineStr">
        <is>
          <t xml:space="preserve">Bound - within authority</t>
        </is>
      </c>
      <c r="E340" s="48" t="inlineStr">
        <is>
          <t xml:space="preserve">New business</t>
        </is>
      </c>
      <c r="F340" s="46" t="inlineStr">
        <is>
          <t xml:space="preserve">B1234EXOTIC26</t>
        </is>
      </c>
      <c r="G340" s="33">
        <f>IF($A340="","",IF($C340="","",YEAR($C340)))</f>
      </c>
      <c r="H340" s="49">
        <v>1981</v>
      </c>
      <c r="I340" s="46" t="inlineStr">
        <is>
          <t xml:space="preserve">Maserati</t>
        </is>
      </c>
      <c r="J340" s="46" t="inlineStr">
        <is>
          <t xml:space="preserve">GranTurismo</t>
        </is>
      </c>
      <c r="K340" s="46" t="inlineStr">
        <is>
          <t xml:space="preserve">RELZC9KN6DLJ4093B</t>
        </is>
      </c>
      <c r="L340" s="48" t="inlineStr">
        <is>
          <t xml:space="preserve">02 - Sports / GT</t>
        </is>
      </c>
      <c r="M340" s="50">
        <v>355000</v>
      </c>
      <c r="N340" s="48" t="inlineStr">
        <is>
          <t xml:space="preserve">Personal</t>
        </is>
      </c>
      <c r="O340" s="46" t="inlineStr">
        <is>
          <t xml:space="preserve">Personal - regular use</t>
        </is>
      </c>
      <c r="P340" s="46" t="inlineStr">
        <is>
          <t xml:space="preserve">1,000 - 2,500</t>
        </is>
      </c>
      <c r="Q340" s="46" t="inlineStr">
        <is>
          <t xml:space="preserve">Texas</t>
        </is>
      </c>
      <c r="R340" s="46" t="inlineStr">
        <is>
          <t xml:space="preserve">75201</t>
        </is>
      </c>
      <c r="S340" s="48" t="inlineStr">
        <is>
          <t xml:space="preserve">Tier 2 - Coastal wind (1-25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5183.23</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CANON-202601-003503</t>
        </is>
      </c>
      <c r="B341" s="30" t="inlineStr">
        <is>
          <t xml:space="preserve">Callum Okonkwo</t>
        </is>
      </c>
      <c r="C341" s="31">
        <v>46034</v>
      </c>
      <c r="D341" s="32" t="inlineStr">
        <is>
          <t xml:space="preserve">Bound - within authority</t>
        </is>
      </c>
      <c r="E341" s="32" t="inlineStr">
        <is>
          <t xml:space="preserve">New business</t>
        </is>
      </c>
      <c r="F341" s="30" t="inlineStr">
        <is>
          <t xml:space="preserve">B1234EXOTIC26</t>
        </is>
      </c>
      <c r="G341" s="33">
        <f>IF($A341="","",IF($C341="","",YEAR($C341)))</f>
      </c>
      <c r="H341" s="34">
        <v>1975</v>
      </c>
      <c r="I341" s="30" t="inlineStr">
        <is>
          <t xml:space="preserve">Lamborghini</t>
        </is>
      </c>
      <c r="J341" s="30" t="inlineStr">
        <is>
          <t xml:space="preserve">Huracan EVO</t>
        </is>
      </c>
      <c r="K341" s="30" t="inlineStr">
        <is>
          <t xml:space="preserve">70J95CSKCCFC9JJTE</t>
        </is>
      </c>
      <c r="L341" s="32" t="inlineStr">
        <is>
          <t xml:space="preserve">03 - Supercar</t>
        </is>
      </c>
      <c r="M341" s="35">
        <v>655000</v>
      </c>
      <c r="N341" s="32" t="inlineStr">
        <is>
          <t xml:space="preserve">Personal</t>
        </is>
      </c>
      <c r="O341" s="30" t="inlineStr">
        <is>
          <t xml:space="preserve">Personal - regular use</t>
        </is>
      </c>
      <c r="P341" s="30" t="inlineStr">
        <is>
          <t xml:space="preserve">1,000 - 2,500</t>
        </is>
      </c>
      <c r="Q341" s="30" t="inlineStr">
        <is>
          <t xml:space="preserve">Wisconsin</t>
        </is>
      </c>
      <c r="R341" s="30" t="inlineStr">
        <is>
          <t xml:space="preserve">53202</t>
        </is>
      </c>
      <c r="S341" s="32" t="inlineStr">
        <is>
          <t xml:space="preserve">Severe convective - hail / tornado (moderate)</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12640.36</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CANON-202601-003504</t>
        </is>
      </c>
      <c r="B342" s="46" t="inlineStr">
        <is>
          <t xml:space="preserve">Everett Fairweather</t>
        </is>
      </c>
      <c r="C342" s="47">
        <v>46048</v>
      </c>
      <c r="D342" s="48" t="inlineStr">
        <is>
          <t xml:space="preserve">Bound - within authority</t>
        </is>
      </c>
      <c r="E342" s="48" t="inlineStr">
        <is>
          <t xml:space="preserve">New business</t>
        </is>
      </c>
      <c r="F342" s="46" t="inlineStr">
        <is>
          <t xml:space="preserve">B1234EXOTIC26</t>
        </is>
      </c>
      <c r="G342" s="33">
        <f>IF($A342="","",IF($C342="","",YEAR($C342)))</f>
      </c>
      <c r="H342" s="49">
        <v>1963</v>
      </c>
      <c r="I342" s="46" t="inlineStr">
        <is>
          <t xml:space="preserve">Ferrari</t>
        </is>
      </c>
      <c r="J342" s="46" t="inlineStr">
        <is>
          <t xml:space="preserve">296 GTB</t>
        </is>
      </c>
      <c r="K342" s="46" t="inlineStr">
        <is>
          <t xml:space="preserve">GRULA6YX6LA597E5H</t>
        </is>
      </c>
      <c r="L342" s="48" t="inlineStr">
        <is>
          <t xml:space="preserve">03 - Supercar</t>
        </is>
      </c>
      <c r="M342" s="50">
        <v>1095000</v>
      </c>
      <c r="N342" s="48" t="inlineStr">
        <is>
          <t xml:space="preserve">Personal</t>
        </is>
      </c>
      <c r="O342" s="46" t="inlineStr">
        <is>
          <t xml:space="preserve">Personal - regular use</t>
        </is>
      </c>
      <c r="P342" s="46" t="inlineStr">
        <is>
          <t xml:space="preserve">2,500 - 5,000</t>
        </is>
      </c>
      <c r="Q342" s="46" t="inlineStr">
        <is>
          <t xml:space="preserve">Maine</t>
        </is>
      </c>
      <c r="R342" s="46" t="inlineStr">
        <is>
          <t xml:space="preserve">04101</t>
        </is>
      </c>
      <c r="S342" s="48" t="inlineStr">
        <is>
          <t xml:space="preserve">Tier 3 - Coastal wind (25-100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16015.53</v>
      </c>
      <c r="AC342" s="51">
        <v>0</v>
      </c>
      <c r="AD342" s="38">
        <f>IF(ISNUMBER($AB342),$AB342*(1+N($AC342)),"")</f>
      </c>
      <c r="AE342" s="50">
        <v>350</v>
      </c>
      <c r="AF342" s="50">
        <v>250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CANON-202601-003506</t>
        </is>
      </c>
      <c r="B343" s="30" t="inlineStr">
        <is>
          <t xml:space="preserve">Fitzgerald Kingsford</t>
        </is>
      </c>
      <c r="C343" s="31">
        <v>46051</v>
      </c>
      <c r="D343" s="32" t="inlineStr">
        <is>
          <t xml:space="preserve">Bound - within authority</t>
        </is>
      </c>
      <c r="E343" s="32" t="inlineStr">
        <is>
          <t xml:space="preserve">New business</t>
        </is>
      </c>
      <c r="F343" s="30" t="inlineStr">
        <is>
          <t xml:space="preserve">B1234EXOTIC26</t>
        </is>
      </c>
      <c r="G343" s="33">
        <f>IF($A343="","",IF($C343="","",YEAR($C343)))</f>
      </c>
      <c r="H343" s="34">
        <v>2016</v>
      </c>
      <c r="I343" s="30" t="inlineStr">
        <is>
          <t xml:space="preserve">Maserati</t>
        </is>
      </c>
      <c r="J343" s="30" t="inlineStr">
        <is>
          <t xml:space="preserve">GranTurismo</t>
        </is>
      </c>
      <c r="K343" s="30" t="inlineStr">
        <is>
          <t xml:space="preserve">X7VBS92A42CENMB0K</t>
        </is>
      </c>
      <c r="L343" s="32" t="inlineStr">
        <is>
          <t xml:space="preserve">02 - Sports / GT</t>
        </is>
      </c>
      <c r="M343" s="35">
        <v>335000</v>
      </c>
      <c r="N343" s="32" t="inlineStr">
        <is>
          <t xml:space="preserve">Personal</t>
        </is>
      </c>
      <c r="O343" s="30" t="inlineStr">
        <is>
          <t xml:space="preserve">Personal - regular use</t>
        </is>
      </c>
      <c r="P343" s="30" t="inlineStr">
        <is>
          <t xml:space="preserve">1,000 - 2,500</t>
        </is>
      </c>
      <c r="Q343" s="30" t="inlineStr">
        <is>
          <t xml:space="preserve">Tennessee</t>
        </is>
      </c>
      <c r="R343" s="30" t="inlineStr">
        <is>
          <t xml:space="preserve">37203</t>
        </is>
      </c>
      <c r="S343" s="32" t="inlineStr">
        <is>
          <t xml:space="preserve">Severe convective - hail / tornado (moderate)</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4168.17</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CANON-202601-003507</t>
        </is>
      </c>
      <c r="B344" s="46" t="inlineStr">
        <is>
          <t xml:space="preserve">Mireille Merriweather</t>
        </is>
      </c>
      <c r="C344" s="47">
        <v>46043</v>
      </c>
      <c r="D344" s="48" t="inlineStr">
        <is>
          <t xml:space="preserve">Bound - within authority</t>
        </is>
      </c>
      <c r="E344" s="48" t="inlineStr">
        <is>
          <t xml:space="preserve">New business</t>
        </is>
      </c>
      <c r="F344" s="46" t="inlineStr">
        <is>
          <t xml:space="preserve">B1234EXOTIC26</t>
        </is>
      </c>
      <c r="G344" s="33">
        <f>IF($A344="","",IF($C344="","",YEAR($C344)))</f>
      </c>
      <c r="H344" s="49">
        <v>2002</v>
      </c>
      <c r="I344" s="46" t="inlineStr">
        <is>
          <t xml:space="preserve">Ferrari</t>
        </is>
      </c>
      <c r="J344" s="46" t="inlineStr">
        <is>
          <t xml:space="preserve">SF90 Stradale</t>
        </is>
      </c>
      <c r="K344" s="46" t="inlineStr">
        <is>
          <t xml:space="preserve">UDBF9MXR3J3YDZD2Z</t>
        </is>
      </c>
      <c r="L344" s="48" t="inlineStr">
        <is>
          <t xml:space="preserve">03 - Supercar</t>
        </is>
      </c>
      <c r="M344" s="50">
        <v>640000</v>
      </c>
      <c r="N344" s="48" t="inlineStr">
        <is>
          <t xml:space="preserve">Personal</t>
        </is>
      </c>
      <c r="O344" s="46" t="inlineStr">
        <is>
          <t xml:space="preserve">Personal - regular use</t>
        </is>
      </c>
      <c r="P344" s="46" t="inlineStr">
        <is>
          <t xml:space="preserve">Under 1,000</t>
        </is>
      </c>
      <c r="Q344" s="46" t="inlineStr">
        <is>
          <t xml:space="preserve">Colorado</t>
        </is>
      </c>
      <c r="R344" s="46" t="inlineStr">
        <is>
          <t xml:space="preserve">80202</t>
        </is>
      </c>
      <c r="S344" s="48" t="inlineStr">
        <is>
          <t xml:space="preserve">Severe convective - hail alley (high)</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11321.65</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CANON-202601-003508</t>
        </is>
      </c>
      <c r="B345" s="30" t="inlineStr">
        <is>
          <t xml:space="preserve">Delphine Vandermeer</t>
        </is>
      </c>
      <c r="C345" s="31">
        <v>46024</v>
      </c>
      <c r="D345" s="32" t="inlineStr">
        <is>
          <t xml:space="preserve">Bound - within authority</t>
        </is>
      </c>
      <c r="E345" s="32" t="inlineStr">
        <is>
          <t xml:space="preserve">New business</t>
        </is>
      </c>
      <c r="F345" s="30" t="inlineStr">
        <is>
          <t xml:space="preserve">B1234EXOTIC26</t>
        </is>
      </c>
      <c r="G345" s="33">
        <f>IF($A345="","",IF($C345="","",YEAR($C345)))</f>
      </c>
      <c r="H345" s="34">
        <v>1989</v>
      </c>
      <c r="I345" s="30" t="inlineStr">
        <is>
          <t xml:space="preserve">Porsche</t>
        </is>
      </c>
      <c r="J345" s="30" t="inlineStr">
        <is>
          <t xml:space="preserve">911 Turbo S</t>
        </is>
      </c>
      <c r="K345" s="30" t="inlineStr">
        <is>
          <t xml:space="preserve">LMZ53Y7A8G3JFGBY0</t>
        </is>
      </c>
      <c r="L345" s="32" t="inlineStr">
        <is>
          <t xml:space="preserve">02 - Sports / GT</t>
        </is>
      </c>
      <c r="M345" s="35">
        <v>475000</v>
      </c>
      <c r="N345" s="32" t="inlineStr">
        <is>
          <t xml:space="preserve">Personal</t>
        </is>
      </c>
      <c r="O345" s="30" t="inlineStr">
        <is>
          <t xml:space="preserve">Personal - regular use</t>
        </is>
      </c>
      <c r="P345" s="30" t="inlineStr">
        <is>
          <t xml:space="preserve">2,500 - 5,000</t>
        </is>
      </c>
      <c r="Q345" s="30" t="inlineStr">
        <is>
          <t xml:space="preserve">New York</t>
        </is>
      </c>
      <c r="R345" s="30" t="inlineStr">
        <is>
          <t xml:space="preserve">10022</t>
        </is>
      </c>
      <c r="S345" s="32" t="inlineStr">
        <is>
          <t xml:space="preserve">Tier 3 - Coastal wind (25-100 miles)</t>
        </is>
      </c>
      <c r="T345" s="36">
        <f>IF($A345="","",IF($S345="","",IFERROR(INDEX('[1]natural catastrophe'!$D$6:$D$17,MATCH($S345,'[1]natural catastrophe'!$B$6:$B$17,0)),"?")))</f>
      </c>
      <c r="U345" s="30" t="inlineStr">
        <is>
          <t xml:space="preserve">2% of agreed value, minimum $10,000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7719.3</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CANON-202601-003510</t>
        </is>
      </c>
      <c r="B346" s="46" t="inlineStr">
        <is>
          <t xml:space="preserve">Mireille Delacroix</t>
        </is>
      </c>
      <c r="C346" s="47">
        <v>46050</v>
      </c>
      <c r="D346" s="48" t="inlineStr">
        <is>
          <t xml:space="preserve">Bound - within authority</t>
        </is>
      </c>
      <c r="E346" s="48" t="inlineStr">
        <is>
          <t xml:space="preserve">New business</t>
        </is>
      </c>
      <c r="F346" s="46" t="inlineStr">
        <is>
          <t xml:space="preserve">B1234EXOTIC26</t>
        </is>
      </c>
      <c r="G346" s="33">
        <f>IF($A346="","",IF($C346="","",YEAR($C346)))</f>
      </c>
      <c r="H346" s="49">
        <v>2010</v>
      </c>
      <c r="I346" s="46" t="inlineStr">
        <is>
          <t xml:space="preserve">Mercedes-Benz</t>
        </is>
      </c>
      <c r="J346" s="46" t="inlineStr">
        <is>
          <t xml:space="preserve">AMG GT</t>
        </is>
      </c>
      <c r="K346" s="46" t="inlineStr">
        <is>
          <t xml:space="preserve">5GRPW6S85GTNC5BX0</t>
        </is>
      </c>
      <c r="L346" s="48" t="inlineStr">
        <is>
          <t xml:space="preserve">02 - Sports / GT</t>
        </is>
      </c>
      <c r="M346" s="50">
        <v>385000</v>
      </c>
      <c r="N346" s="48" t="inlineStr">
        <is>
          <t xml:space="preserve">Personal</t>
        </is>
      </c>
      <c r="O346" s="46" t="inlineStr">
        <is>
          <t xml:space="preserve">Personal - regular use</t>
        </is>
      </c>
      <c r="P346" s="46" t="inlineStr">
        <is>
          <t xml:space="preserve">2,500 - 5,000</t>
        </is>
      </c>
      <c r="Q346" s="46" t="inlineStr">
        <is>
          <t xml:space="preserve">New York</t>
        </is>
      </c>
      <c r="R346" s="46" t="inlineStr">
        <is>
          <t xml:space="preserve">10022</t>
        </is>
      </c>
      <c r="S346" s="48" t="inlineStr">
        <is>
          <t xml:space="preserve">Tier 3 - Coastal wind (25-100 miles)</t>
        </is>
      </c>
      <c r="T346" s="36">
        <f>IF($A346="","",IF($S346="","",IFERROR(INDEX('[1]natural catastrophe'!$D$6:$D$17,MATCH($S346,'[1]natural catastrophe'!$B$6:$B$17,0)),"?")))</f>
      </c>
      <c r="U346" s="46" t="inlineStr">
        <is>
          <t xml:space="preserve">2% of agreed value, minimum $10,000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6256.7</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CANON-202601-003511</t>
        </is>
      </c>
      <c r="B347" s="30" t="inlineStr">
        <is>
          <t xml:space="preserve">Thaddeus Rourke</t>
        </is>
      </c>
      <c r="C347" s="31">
        <v>46029</v>
      </c>
      <c r="D347" s="32" t="inlineStr">
        <is>
          <t xml:space="preserve">Bound - within authority</t>
        </is>
      </c>
      <c r="E347" s="32" t="inlineStr">
        <is>
          <t xml:space="preserve">New business</t>
        </is>
      </c>
      <c r="F347" s="30" t="inlineStr">
        <is>
          <t xml:space="preserve">B1234EXOTIC26</t>
        </is>
      </c>
      <c r="G347" s="33">
        <f>IF($A347="","",IF($C347="","",YEAR($C347)))</f>
      </c>
      <c r="H347" s="34">
        <v>1994</v>
      </c>
      <c r="I347" s="30" t="inlineStr">
        <is>
          <t xml:space="preserve">Ferrari</t>
        </is>
      </c>
      <c r="J347" s="30" t="inlineStr">
        <is>
          <t xml:space="preserve">296 GTB</t>
        </is>
      </c>
      <c r="K347" s="30" t="inlineStr">
        <is>
          <t xml:space="preserve">AZYFA6LT2CRGSZXNK</t>
        </is>
      </c>
      <c r="L347" s="32" t="inlineStr">
        <is>
          <t xml:space="preserve">03 - Supercar</t>
        </is>
      </c>
      <c r="M347" s="35">
        <v>740000</v>
      </c>
      <c r="N347" s="32" t="inlineStr">
        <is>
          <t xml:space="preserve">Personal</t>
        </is>
      </c>
      <c r="O347" s="30" t="inlineStr">
        <is>
          <t xml:space="preserve">Personal - regular use</t>
        </is>
      </c>
      <c r="P347" s="30" t="inlineStr">
        <is>
          <t xml:space="preserve">Under 1,000</t>
        </is>
      </c>
      <c r="Q347" s="30" t="inlineStr">
        <is>
          <t xml:space="preserve">Oregon</t>
        </is>
      </c>
      <c r="R347" s="30" t="inlineStr">
        <is>
          <t xml:space="preserve">97204</t>
        </is>
      </c>
      <c r="S347" s="32" t="inlineStr">
        <is>
          <t xml:space="preserve">Earthquake - high (CA, Cascadia, New Madrid)</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13447.67</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CANON-202601-003513</t>
        </is>
      </c>
      <c r="B348" s="46" t="inlineStr">
        <is>
          <t xml:space="preserve">Ramona Rourke</t>
        </is>
      </c>
      <c r="C348" s="47">
        <v>46026</v>
      </c>
      <c r="D348" s="48" t="inlineStr">
        <is>
          <t xml:space="preserve">Bound - within authority</t>
        </is>
      </c>
      <c r="E348" s="48" t="inlineStr">
        <is>
          <t xml:space="preserve">New business</t>
        </is>
      </c>
      <c r="F348" s="46" t="inlineStr">
        <is>
          <t xml:space="preserve">B1234EXOTIC26</t>
        </is>
      </c>
      <c r="G348" s="33">
        <f>IF($A348="","",IF($C348="","",YEAR($C348)))</f>
      </c>
      <c r="H348" s="49">
        <v>1965</v>
      </c>
      <c r="I348" s="46" t="inlineStr">
        <is>
          <t xml:space="preserve">Bentley</t>
        </is>
      </c>
      <c r="J348" s="46" t="inlineStr">
        <is>
          <t xml:space="preserve">Continental GT</t>
        </is>
      </c>
      <c r="K348" s="46" t="inlineStr">
        <is>
          <t xml:space="preserve">X0SY1YLHA2UBKMLDX</t>
        </is>
      </c>
      <c r="L348" s="48" t="inlineStr">
        <is>
          <t xml:space="preserve">02 - Sports / GT</t>
        </is>
      </c>
      <c r="M348" s="50">
        <v>540000</v>
      </c>
      <c r="N348" s="48" t="inlineStr">
        <is>
          <t xml:space="preserve">Personal</t>
        </is>
      </c>
      <c r="O348" s="46" t="inlineStr">
        <is>
          <t xml:space="preserve">Personal - regular use</t>
        </is>
      </c>
      <c r="P348" s="46" t="inlineStr">
        <is>
          <t xml:space="preserve">Under 1,000</t>
        </is>
      </c>
      <c r="Q348" s="46" t="inlineStr">
        <is>
          <t xml:space="preserve">New York</t>
        </is>
      </c>
      <c r="R348" s="46" t="inlineStr">
        <is>
          <t xml:space="preserve">10022</t>
        </is>
      </c>
      <c r="S348" s="48" t="inlineStr">
        <is>
          <t xml:space="preserve">Tier 3 - Coastal wind (25-100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7605.55</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CANON-202601-003514</t>
        </is>
      </c>
      <c r="B349" s="30" t="inlineStr">
        <is>
          <t xml:space="preserve">Lorenzo Kingsford</t>
        </is>
      </c>
      <c r="C349" s="31">
        <v>46040</v>
      </c>
      <c r="D349" s="32" t="inlineStr">
        <is>
          <t xml:space="preserve">Bound - within authority</t>
        </is>
      </c>
      <c r="E349" s="32" t="inlineStr">
        <is>
          <t xml:space="preserve">New business</t>
        </is>
      </c>
      <c r="F349" s="30" t="inlineStr">
        <is>
          <t xml:space="preserve">B1234EXOTIC26</t>
        </is>
      </c>
      <c r="G349" s="33">
        <f>IF($A349="","",IF($C349="","",YEAR($C349)))</f>
      </c>
      <c r="H349" s="34">
        <v>1984</v>
      </c>
      <c r="I349" s="30" t="inlineStr">
        <is>
          <t xml:space="preserve">Aston Martin</t>
        </is>
      </c>
      <c r="J349" s="30" t="inlineStr">
        <is>
          <t xml:space="preserve">DB12</t>
        </is>
      </c>
      <c r="K349" s="30" t="inlineStr">
        <is>
          <t xml:space="preserve">5YURGL1HNG3CZT7SF</t>
        </is>
      </c>
      <c r="L349" s="32" t="inlineStr">
        <is>
          <t xml:space="preserve">02 - Sports / GT</t>
        </is>
      </c>
      <c r="M349" s="35">
        <v>260000</v>
      </c>
      <c r="N349" s="32" t="inlineStr">
        <is>
          <t xml:space="preserve">Personal</t>
        </is>
      </c>
      <c r="O349" s="30" t="inlineStr">
        <is>
          <t xml:space="preserve">Personal - regular use</t>
        </is>
      </c>
      <c r="P349" s="30" t="inlineStr">
        <is>
          <t xml:space="preserve">2,500 - 5,000</t>
        </is>
      </c>
      <c r="Q349" s="30" t="inlineStr">
        <is>
          <t xml:space="preserve">Massachusetts</t>
        </is>
      </c>
      <c r="R349" s="30" t="inlineStr">
        <is>
          <t xml:space="preserve">02108</t>
        </is>
      </c>
      <c r="S349" s="32" t="inlineStr">
        <is>
          <t xml:space="preserve">Tier 3 - Coastal wind (25-100 miles)</t>
        </is>
      </c>
      <c r="T349" s="36">
        <f>IF($A349="","",IF($S349="","",IFERROR(INDEX('[1]natural catastrophe'!$D$6:$D$17,MATCH($S349,'[1]natural catastrophe'!$B$6:$B$17,0)),"?")))</f>
      </c>
      <c r="U349" s="30" t="inlineStr">
        <is>
          <t xml:space="preserve">2% of agreed value, minimum $10,000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4126.28</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CANON-202601-003516</t>
        </is>
      </c>
      <c r="B350" s="46" t="inlineStr">
        <is>
          <t xml:space="preserve">Cassius Rourke</t>
        </is>
      </c>
      <c r="C350" s="47">
        <v>46043</v>
      </c>
      <c r="D350" s="48" t="inlineStr">
        <is>
          <t xml:space="preserve">Bound - within authority</t>
        </is>
      </c>
      <c r="E350" s="48" t="inlineStr">
        <is>
          <t xml:space="preserve">New business</t>
        </is>
      </c>
      <c r="F350" s="46" t="inlineStr">
        <is>
          <t xml:space="preserve">B1234EXOTIC26</t>
        </is>
      </c>
      <c r="G350" s="33">
        <f>IF($A350="","",IF($C350="","",YEAR($C350)))</f>
      </c>
      <c r="H350" s="49">
        <v>1992</v>
      </c>
      <c r="I350" s="46" t="inlineStr">
        <is>
          <t xml:space="preserve">Lamborghini</t>
        </is>
      </c>
      <c r="J350" s="46" t="inlineStr">
        <is>
          <t xml:space="preserve">Huracan EVO</t>
        </is>
      </c>
      <c r="K350" s="46" t="inlineStr">
        <is>
          <t xml:space="preserve">F392PG2XV931DKX6T</t>
        </is>
      </c>
      <c r="L350" s="48" t="inlineStr">
        <is>
          <t xml:space="preserve">03 - Supercar</t>
        </is>
      </c>
      <c r="M350" s="50">
        <v>690000</v>
      </c>
      <c r="N350" s="48" t="inlineStr">
        <is>
          <t xml:space="preserve">Personal</t>
        </is>
      </c>
      <c r="O350" s="46" t="inlineStr">
        <is>
          <t xml:space="preserve">Personal - regular use</t>
        </is>
      </c>
      <c r="P350" s="46" t="inlineStr">
        <is>
          <t xml:space="preserve">Under 1,000</t>
        </is>
      </c>
      <c r="Q350" s="46" t="inlineStr">
        <is>
          <t xml:space="preserve">Mississippi</t>
        </is>
      </c>
      <c r="R350" s="46" t="inlineStr">
        <is>
          <t xml:space="preserve">39201</t>
        </is>
      </c>
      <c r="S350" s="48" t="inlineStr">
        <is>
          <t xml:space="preserve">Tier 2 - Coastal wind (1-25 miles)</t>
        </is>
      </c>
      <c r="T350" s="36">
        <f>IF($A350="","",IF($S350="","",IFERROR(INDEX('[1]natural catastrophe'!$D$6:$D$17,MATCH($S350,'[1]natural catastrophe'!$B$6:$B$17,0)),"?")))</f>
      </c>
      <c r="U350" s="46" t="inlineStr">
        <is>
          <t xml:space="preserve">2% of agreed value, minimum $10,000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13204.84</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CANON-202601-003518</t>
        </is>
      </c>
      <c r="B351" s="30" t="inlineStr">
        <is>
          <t xml:space="preserve">Leopold Rourke</t>
        </is>
      </c>
      <c r="C351" s="31">
        <v>46041</v>
      </c>
      <c r="D351" s="32" t="inlineStr">
        <is>
          <t xml:space="preserve">Bound - within authority</t>
        </is>
      </c>
      <c r="E351" s="32" t="inlineStr">
        <is>
          <t xml:space="preserve">New business</t>
        </is>
      </c>
      <c r="F351" s="30" t="inlineStr">
        <is>
          <t xml:space="preserve">B1234EXOTIC26</t>
        </is>
      </c>
      <c r="G351" s="33">
        <f>IF($A351="","",IF($C351="","",YEAR($C351)))</f>
      </c>
      <c r="H351" s="34">
        <v>2013</v>
      </c>
      <c r="I351" s="30" t="inlineStr">
        <is>
          <t xml:space="preserve">Bentley</t>
        </is>
      </c>
      <c r="J351" s="30" t="inlineStr">
        <is>
          <t xml:space="preserve">Continental GT</t>
        </is>
      </c>
      <c r="K351" s="30" t="inlineStr">
        <is>
          <t xml:space="preserve">73D55NSYZWFY1477Z</t>
        </is>
      </c>
      <c r="L351" s="32" t="inlineStr">
        <is>
          <t xml:space="preserve">02 - Sports / GT</t>
        </is>
      </c>
      <c r="M351" s="35">
        <v>555000</v>
      </c>
      <c r="N351" s="32" t="inlineStr">
        <is>
          <t xml:space="preserve">Personal</t>
        </is>
      </c>
      <c r="O351" s="30" t="inlineStr">
        <is>
          <t xml:space="preserve">Personal - regular use</t>
        </is>
      </c>
      <c r="P351" s="30" t="inlineStr">
        <is>
          <t xml:space="preserve">Under 1,000</t>
        </is>
      </c>
      <c r="Q351" s="30" t="inlineStr">
        <is>
          <t xml:space="preserve">Florida</t>
        </is>
      </c>
      <c r="R351" s="30" t="inlineStr">
        <is>
          <t xml:space="preserve">33139</t>
        </is>
      </c>
      <c r="S351" s="32" t="inlineStr">
        <is>
          <t xml:space="preserve">Tier 2 - Coastal wind (1-25 miles)</t>
        </is>
      </c>
      <c r="T351" s="36">
        <f>IF($A351="","",IF($S351="","",IFERROR(INDEX('[1]natural catastrophe'!$D$6:$D$17,MATCH($S351,'[1]natural catastrophe'!$B$6:$B$17,0)),"?")))</f>
      </c>
      <c r="U351" s="30" t="inlineStr">
        <is>
          <t xml:space="preserve">2% of agreed value, minimum $10,000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8671.78</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CANON-202601-003519</t>
        </is>
      </c>
      <c r="B352" s="46" t="inlineStr">
        <is>
          <t xml:space="preserve">Aurelio Bellandi</t>
        </is>
      </c>
      <c r="C352" s="47">
        <v>46027</v>
      </c>
      <c r="D352" s="48" t="inlineStr">
        <is>
          <t xml:space="preserve">Bound - within authority</t>
        </is>
      </c>
      <c r="E352" s="48" t="inlineStr">
        <is>
          <t xml:space="preserve">New business</t>
        </is>
      </c>
      <c r="F352" s="46" t="inlineStr">
        <is>
          <t xml:space="preserve">B1234EXOTIC26</t>
        </is>
      </c>
      <c r="G352" s="33">
        <f>IF($A352="","",IF($C352="","",YEAR($C352)))</f>
      </c>
      <c r="H352" s="49">
        <v>2000</v>
      </c>
      <c r="I352" s="46" t="inlineStr">
        <is>
          <t xml:space="preserve">Aston Martin</t>
        </is>
      </c>
      <c r="J352" s="46" t="inlineStr">
        <is>
          <t xml:space="preserve">DB12</t>
        </is>
      </c>
      <c r="K352" s="46" t="inlineStr">
        <is>
          <t xml:space="preserve">Z1LVKY3UBYZ99H4VX</t>
        </is>
      </c>
      <c r="L352" s="48" t="inlineStr">
        <is>
          <t xml:space="preserve">02 - Sports / GT</t>
        </is>
      </c>
      <c r="M352" s="50">
        <v>590000</v>
      </c>
      <c r="N352" s="48" t="inlineStr">
        <is>
          <t xml:space="preserve">Personal</t>
        </is>
      </c>
      <c r="O352" s="46" t="inlineStr">
        <is>
          <t xml:space="preserve">Personal - regular use</t>
        </is>
      </c>
      <c r="P352" s="46" t="inlineStr">
        <is>
          <t xml:space="preserve">1,000 - 2,500</t>
        </is>
      </c>
      <c r="Q352" s="46" t="inlineStr">
        <is>
          <t xml:space="preserve">Oregon</t>
        </is>
      </c>
      <c r="R352" s="46" t="inlineStr">
        <is>
          <t xml:space="preserve">97204</t>
        </is>
      </c>
      <c r="S352" s="48" t="inlineStr">
        <is>
          <t xml:space="preserve">Earthquake - high (CA, Cascadia, New Madrid)</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7335.96</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CANON-202601-003521</t>
        </is>
      </c>
      <c r="B353" s="30" t="inlineStr">
        <is>
          <t xml:space="preserve">Noor Farkas</t>
        </is>
      </c>
      <c r="C353" s="31">
        <v>46047</v>
      </c>
      <c r="D353" s="32" t="inlineStr">
        <is>
          <t xml:space="preserve">Bound - within authority</t>
        </is>
      </c>
      <c r="E353" s="32" t="inlineStr">
        <is>
          <t xml:space="preserve">New business</t>
        </is>
      </c>
      <c r="F353" s="30" t="inlineStr">
        <is>
          <t xml:space="preserve">B1234EXOTIC26</t>
        </is>
      </c>
      <c r="G353" s="33">
        <f>IF($A353="","",IF($C353="","",YEAR($C353)))</f>
      </c>
      <c r="H353" s="34">
        <v>2011</v>
      </c>
      <c r="I353" s="30" t="inlineStr">
        <is>
          <t xml:space="preserve">BMW</t>
        </is>
      </c>
      <c r="J353" s="30" t="inlineStr">
        <is>
          <t xml:space="preserve">M8 Competition</t>
        </is>
      </c>
      <c r="K353" s="30" t="inlineStr">
        <is>
          <t xml:space="preserve">JFVXWEKWBV99YRCVV</t>
        </is>
      </c>
      <c r="L353" s="32" t="inlineStr">
        <is>
          <t xml:space="preserve">02 - Sports / GT</t>
        </is>
      </c>
      <c r="M353" s="35">
        <v>300000</v>
      </c>
      <c r="N353" s="32" t="inlineStr">
        <is>
          <t xml:space="preserve">Personal</t>
        </is>
      </c>
      <c r="O353" s="30" t="inlineStr">
        <is>
          <t xml:space="preserve">Personal - regular use</t>
        </is>
      </c>
      <c r="P353" s="30" t="inlineStr">
        <is>
          <t xml:space="preserve">2,500 - 5,000</t>
        </is>
      </c>
      <c r="Q353" s="30" t="inlineStr">
        <is>
          <t xml:space="preserve">Nevada</t>
        </is>
      </c>
      <c r="R353" s="30" t="inlineStr">
        <is>
          <t xml:space="preserve">89101</t>
        </is>
      </c>
      <c r="S353" s="32" t="inlineStr">
        <is>
          <t xml:space="preserve">Wildfire - WUI high hazard</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4456.37</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CANON-202601-003522</t>
        </is>
      </c>
      <c r="B354" s="46" t="inlineStr">
        <is>
          <t xml:space="preserve">Ingrid Chattopadhyay</t>
        </is>
      </c>
      <c r="C354" s="47">
        <v>46043</v>
      </c>
      <c r="D354" s="48" t="inlineStr">
        <is>
          <t xml:space="preserve">Bound - within authority</t>
        </is>
      </c>
      <c r="E354" s="48" t="inlineStr">
        <is>
          <t xml:space="preserve">New business</t>
        </is>
      </c>
      <c r="F354" s="46" t="inlineStr">
        <is>
          <t xml:space="preserve">B1234EXOTIC26</t>
        </is>
      </c>
      <c r="G354" s="33">
        <f>IF($A354="","",IF($C354="","",YEAR($C354)))</f>
      </c>
      <c r="H354" s="49">
        <v>2024</v>
      </c>
      <c r="I354" s="46" t="inlineStr">
        <is>
          <t xml:space="preserve">Aston Martin</t>
        </is>
      </c>
      <c r="J354" s="46" t="inlineStr">
        <is>
          <t xml:space="preserve">DB12</t>
        </is>
      </c>
      <c r="K354" s="46" t="inlineStr">
        <is>
          <t xml:space="preserve">VTGEXUKYVM0DKEBDT</t>
        </is>
      </c>
      <c r="L354" s="48" t="inlineStr">
        <is>
          <t xml:space="preserve">02 - Sports / GT</t>
        </is>
      </c>
      <c r="M354" s="50">
        <v>330000</v>
      </c>
      <c r="N354" s="48" t="inlineStr">
        <is>
          <t xml:space="preserve">Personal</t>
        </is>
      </c>
      <c r="O354" s="46" t="inlineStr">
        <is>
          <t xml:space="preserve">Personal - regular use</t>
        </is>
      </c>
      <c r="P354" s="46" t="inlineStr">
        <is>
          <t xml:space="preserve">1,000 - 2,500</t>
        </is>
      </c>
      <c r="Q354" s="46" t="inlineStr">
        <is>
          <t xml:space="preserve">Massachusetts</t>
        </is>
      </c>
      <c r="R354" s="46" t="inlineStr">
        <is>
          <t xml:space="preserve">02108</t>
        </is>
      </c>
      <c r="S354" s="48" t="inlineStr">
        <is>
          <t xml:space="preserve">Tier 3 - Coastal wind (25-100 miles)</t>
        </is>
      </c>
      <c r="T354" s="36">
        <f>IF($A354="","",IF($S354="","",IFERROR(INDEX('[1]natural catastrophe'!$D$6:$D$17,MATCH($S354,'[1]natural catastrophe'!$B$6:$B$17,0)),"?")))</f>
      </c>
      <c r="U354" s="46" t="inlineStr">
        <is>
          <t xml:space="preserve">2% of agreed value, minimum $10,000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5237.19</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CANON-202601-003523</t>
        </is>
      </c>
      <c r="B355" s="30" t="inlineStr">
        <is>
          <t xml:space="preserve">Noor Whitlock</t>
        </is>
      </c>
      <c r="C355" s="31">
        <v>46034</v>
      </c>
      <c r="D355" s="32" t="inlineStr">
        <is>
          <t xml:space="preserve">Bound - within authority</t>
        </is>
      </c>
      <c r="E355" s="32" t="inlineStr">
        <is>
          <t xml:space="preserve">New business</t>
        </is>
      </c>
      <c r="F355" s="30" t="inlineStr">
        <is>
          <t xml:space="preserve">B1234EXOTIC26</t>
        </is>
      </c>
      <c r="G355" s="33">
        <f>IF($A355="","",IF($C355="","",YEAR($C355)))</f>
      </c>
      <c r="H355" s="34">
        <v>2023</v>
      </c>
      <c r="I355" s="30" t="inlineStr">
        <is>
          <t xml:space="preserve">Aston Martin</t>
        </is>
      </c>
      <c r="J355" s="30" t="inlineStr">
        <is>
          <t xml:space="preserve">DB12</t>
        </is>
      </c>
      <c r="K355" s="30" t="inlineStr">
        <is>
          <t xml:space="preserve">XDCR8GVN2KCXAUYDM</t>
        </is>
      </c>
      <c r="L355" s="32" t="inlineStr">
        <is>
          <t xml:space="preserve">02 - Sports / GT</t>
        </is>
      </c>
      <c r="M355" s="35">
        <v>485000</v>
      </c>
      <c r="N355" s="32" t="inlineStr">
        <is>
          <t xml:space="preserve">Personal</t>
        </is>
      </c>
      <c r="O355" s="30" t="inlineStr">
        <is>
          <t xml:space="preserve">Personal - regular use</t>
        </is>
      </c>
      <c r="P355" s="30" t="inlineStr">
        <is>
          <t xml:space="preserve">2,500 - 5,000</t>
        </is>
      </c>
      <c r="Q355" s="30" t="inlineStr">
        <is>
          <t xml:space="preserve">Louisiana</t>
        </is>
      </c>
      <c r="R355" s="30" t="inlineStr">
        <is>
          <t xml:space="preserve">70112</t>
        </is>
      </c>
      <c r="S355" s="32" t="inlineStr">
        <is>
          <t xml:space="preserve">Tier 2 - Coastal wind (1-25 miles)</t>
        </is>
      </c>
      <c r="T355" s="36">
        <f>IF($A355="","",IF($S355="","",IFERROR(INDEX('[1]natural catastrophe'!$D$6:$D$17,MATCH($S355,'[1]natural catastrophe'!$B$6:$B$17,0)),"?")))</f>
      </c>
      <c r="U355" s="30" t="inlineStr">
        <is>
          <t xml:space="preserve">2% of agreed value, minimum $10,000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7450.78</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CANON-202601-003524</t>
        </is>
      </c>
      <c r="B356" s="46" t="inlineStr">
        <is>
          <t xml:space="preserve">Thaddeus Vasquez</t>
        </is>
      </c>
      <c r="C356" s="47">
        <v>46033</v>
      </c>
      <c r="D356" s="48" t="inlineStr">
        <is>
          <t xml:space="preserve">Bound - within authority</t>
        </is>
      </c>
      <c r="E356" s="48" t="inlineStr">
        <is>
          <t xml:space="preserve">New business</t>
        </is>
      </c>
      <c r="F356" s="46" t="inlineStr">
        <is>
          <t xml:space="preserve">B1234EXOTIC26</t>
        </is>
      </c>
      <c r="G356" s="33">
        <f>IF($A356="","",IF($C356="","",YEAR($C356)))</f>
      </c>
      <c r="H356" s="49">
        <v>1967</v>
      </c>
      <c r="I356" s="46" t="inlineStr">
        <is>
          <t xml:space="preserve">Lamborghini</t>
        </is>
      </c>
      <c r="J356" s="46" t="inlineStr">
        <is>
          <t xml:space="preserve">Huracan EVO</t>
        </is>
      </c>
      <c r="K356" s="46" t="inlineStr">
        <is>
          <t xml:space="preserve">2P7KPGN95VH3DUXS7</t>
        </is>
      </c>
      <c r="L356" s="48" t="inlineStr">
        <is>
          <t xml:space="preserve">03 - Supercar</t>
        </is>
      </c>
      <c r="M356" s="50">
        <v>415000</v>
      </c>
      <c r="N356" s="48" t="inlineStr">
        <is>
          <t xml:space="preserve">Personal</t>
        </is>
      </c>
      <c r="O356" s="46" t="inlineStr">
        <is>
          <t xml:space="preserve">Personal - regular use</t>
        </is>
      </c>
      <c r="P356" s="46" t="inlineStr">
        <is>
          <t xml:space="preserve">1,000 - 2,500</t>
        </is>
      </c>
      <c r="Q356" s="46" t="inlineStr">
        <is>
          <t xml:space="preserve">New Mexico</t>
        </is>
      </c>
      <c r="R356" s="46" t="inlineStr">
        <is>
          <t xml:space="preserve">87501</t>
        </is>
      </c>
      <c r="S356" s="48" t="inlineStr">
        <is>
          <t xml:space="preserve">Wildfire - WUI high hazard</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10341.16</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CANON-202601-003526</t>
        </is>
      </c>
      <c r="B357" s="30" t="inlineStr">
        <is>
          <t xml:space="preserve">Ramona Castellanos</t>
        </is>
      </c>
      <c r="C357" s="31">
        <v>46045</v>
      </c>
      <c r="D357" s="32" t="inlineStr">
        <is>
          <t xml:space="preserve">Bound - within authority</t>
        </is>
      </c>
      <c r="E357" s="32" t="inlineStr">
        <is>
          <t xml:space="preserve">New business</t>
        </is>
      </c>
      <c r="F357" s="30" t="inlineStr">
        <is>
          <t xml:space="preserve">B1234EXOTIC26</t>
        </is>
      </c>
      <c r="G357" s="33">
        <f>IF($A357="","",IF($C357="","",YEAR($C357)))</f>
      </c>
      <c r="H357" s="34">
        <v>1981</v>
      </c>
      <c r="I357" s="30" t="inlineStr">
        <is>
          <t xml:space="preserve">Maserati</t>
        </is>
      </c>
      <c r="J357" s="30" t="inlineStr">
        <is>
          <t xml:space="preserve">GranTurismo</t>
        </is>
      </c>
      <c r="K357" s="30" t="inlineStr">
        <is>
          <t xml:space="preserve">K8CVGS1X9WJZGC2PA</t>
        </is>
      </c>
      <c r="L357" s="32" t="inlineStr">
        <is>
          <t xml:space="preserve">02 - Sports / GT</t>
        </is>
      </c>
      <c r="M357" s="35">
        <v>1030000</v>
      </c>
      <c r="N357" s="32" t="inlineStr">
        <is>
          <t xml:space="preserve">Personal</t>
        </is>
      </c>
      <c r="O357" s="30" t="inlineStr">
        <is>
          <t xml:space="preserve">Personal - regular use</t>
        </is>
      </c>
      <c r="P357" s="30" t="inlineStr">
        <is>
          <t xml:space="preserve">1,000 - 2,500</t>
        </is>
      </c>
      <c r="Q357" s="30" t="inlineStr">
        <is>
          <t xml:space="preserve">Ohio</t>
        </is>
      </c>
      <c r="R357" s="30" t="inlineStr">
        <is>
          <t xml:space="preserve">43215</t>
        </is>
      </c>
      <c r="S357" s="32" t="inlineStr">
        <is>
          <t xml:space="preserve">Severe convective - hail / tornado (moderate)</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13329.93</v>
      </c>
      <c r="AC357" s="37">
        <v>0</v>
      </c>
      <c r="AD357" s="38">
        <f>IF(ISNUMBER($AB357),$AB357*(1+N($AC357)),"")</f>
      </c>
      <c r="AE357" s="35">
        <v>350</v>
      </c>
      <c r="AF357" s="35">
        <v>250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CANON-202601-003527</t>
        </is>
      </c>
      <c r="B358" s="46" t="inlineStr">
        <is>
          <t xml:space="preserve">Fenwick Montoya</t>
        </is>
      </c>
      <c r="C358" s="47">
        <v>46035</v>
      </c>
      <c r="D358" s="48" t="inlineStr">
        <is>
          <t xml:space="preserve">Bound - within authority</t>
        </is>
      </c>
      <c r="E358" s="48" t="inlineStr">
        <is>
          <t xml:space="preserve">New business</t>
        </is>
      </c>
      <c r="F358" s="46" t="inlineStr">
        <is>
          <t xml:space="preserve">B1234EXOTIC26</t>
        </is>
      </c>
      <c r="G358" s="33">
        <f>IF($A358="","",IF($C358="","",YEAR($C358)))</f>
      </c>
      <c r="H358" s="49">
        <v>1992</v>
      </c>
      <c r="I358" s="46" t="inlineStr">
        <is>
          <t xml:space="preserve">Mercedes-Benz</t>
        </is>
      </c>
      <c r="J358" s="46" t="inlineStr">
        <is>
          <t xml:space="preserve">AMG GT</t>
        </is>
      </c>
      <c r="K358" s="46" t="inlineStr">
        <is>
          <t xml:space="preserve">FPT3FLRZ58MTEYAUE</t>
        </is>
      </c>
      <c r="L358" s="48" t="inlineStr">
        <is>
          <t xml:space="preserve">02 - Sports / GT</t>
        </is>
      </c>
      <c r="M358" s="50">
        <v>510000</v>
      </c>
      <c r="N358" s="48" t="inlineStr">
        <is>
          <t xml:space="preserve">Personal</t>
        </is>
      </c>
      <c r="O358" s="46" t="inlineStr">
        <is>
          <t xml:space="preserve">Personal - regular use</t>
        </is>
      </c>
      <c r="P358" s="46" t="inlineStr">
        <is>
          <t xml:space="preserve">1,000 - 2,500</t>
        </is>
      </c>
      <c r="Q358" s="46" t="inlineStr">
        <is>
          <t xml:space="preserve">Vermont</t>
        </is>
      </c>
      <c r="R358" s="46" t="inlineStr">
        <is>
          <t xml:space="preserve">05601</t>
        </is>
      </c>
      <c r="S358" s="48" t="inlineStr">
        <is>
          <t xml:space="preserve">Low hazard - inland benign</t>
        </is>
      </c>
      <c r="T358" s="36">
        <f>IF($A358="","",IF($S358="","",IFERROR(INDEX('[1]natural catastrophe'!$D$6:$D$17,MATCH($S358,'[1]natural catastrophe'!$B$6:$B$17,0)),"?")))</f>
      </c>
      <c r="U358" s="46" t="inlineStr">
        <is>
          <t xml:space="preserve">$5,000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6846.31</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CANON-202601-003529</t>
        </is>
      </c>
      <c r="B359" s="30" t="inlineStr">
        <is>
          <t xml:space="preserve">Fitzgerald Larsson</t>
        </is>
      </c>
      <c r="C359" s="31">
        <v>46033</v>
      </c>
      <c r="D359" s="32" t="inlineStr">
        <is>
          <t xml:space="preserve">Bound - within authority</t>
        </is>
      </c>
      <c r="E359" s="32" t="inlineStr">
        <is>
          <t xml:space="preserve">New business</t>
        </is>
      </c>
      <c r="F359" s="30" t="inlineStr">
        <is>
          <t xml:space="preserve">B1234EXOTIC26</t>
        </is>
      </c>
      <c r="G359" s="33">
        <f>IF($A359="","",IF($C359="","",YEAR($C359)))</f>
      </c>
      <c r="H359" s="34">
        <v>1981</v>
      </c>
      <c r="I359" s="30" t="inlineStr">
        <is>
          <t xml:space="preserve">Bentley</t>
        </is>
      </c>
      <c r="J359" s="30" t="inlineStr">
        <is>
          <t xml:space="preserve">4.5 Litre</t>
        </is>
      </c>
      <c r="K359" s="30" t="inlineStr">
        <is>
          <t xml:space="preserve">J3GC7CC3VJRD3S15M</t>
        </is>
      </c>
      <c r="L359" s="32" t="inlineStr">
        <is>
          <t xml:space="preserve">08 - Modern Classic (1973-1999)</t>
        </is>
      </c>
      <c r="M359" s="35">
        <v>1950000</v>
      </c>
      <c r="N359" s="32" t="inlineStr">
        <is>
          <t xml:space="preserve">Personal</t>
        </is>
      </c>
      <c r="O359" s="30" t="inlineStr">
        <is>
          <t xml:space="preserve">Personal - regular use</t>
        </is>
      </c>
      <c r="P359" s="30" t="inlineStr">
        <is>
          <t xml:space="preserve">Under 1,000</t>
        </is>
      </c>
      <c r="Q359" s="30" t="inlineStr">
        <is>
          <t xml:space="preserve">West Virginia</t>
        </is>
      </c>
      <c r="R359" s="30" t="inlineStr">
        <is>
          <t xml:space="preserve">25301</t>
        </is>
      </c>
      <c r="S359" s="32" t="inlineStr">
        <is>
          <t xml:space="preserve">Low hazard - inland benign</t>
        </is>
      </c>
      <c r="T359" s="36">
        <f>IF($A359="","",IF($S359="","",IFERROR(INDEX('[1]natural catastrophe'!$D$6:$D$17,MATCH($S359,'[1]natural catastrophe'!$B$6:$B$17,0)),"?")))</f>
      </c>
      <c r="U359" s="30" t="inlineStr">
        <is>
          <t xml:space="preserve">$5,000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14927.21</v>
      </c>
      <c r="AC359" s="37">
        <v>0</v>
      </c>
      <c r="AD359" s="38">
        <f>IF(ISNUMBER($AB359),$AB359*(1+N($AC359)),"")</f>
      </c>
      <c r="AE359" s="35">
        <v>350</v>
      </c>
      <c r="AF359" s="35">
        <v>250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CANON-202601-003530</t>
        </is>
      </c>
      <c r="B360" s="46" t="inlineStr">
        <is>
          <t xml:space="preserve">Saoirse Castellanos</t>
        </is>
      </c>
      <c r="C360" s="47">
        <v>46032</v>
      </c>
      <c r="D360" s="48" t="inlineStr">
        <is>
          <t xml:space="preserve">Bound - within authority</t>
        </is>
      </c>
      <c r="E360" s="48" t="inlineStr">
        <is>
          <t xml:space="preserve">New business</t>
        </is>
      </c>
      <c r="F360" s="46" t="inlineStr">
        <is>
          <t xml:space="preserve">B1234EXOTIC26</t>
        </is>
      </c>
      <c r="G360" s="33">
        <f>IF($A360="","",IF($C360="","",YEAR($C360)))</f>
      </c>
      <c r="H360" s="49">
        <v>1986</v>
      </c>
      <c r="I360" s="46" t="inlineStr">
        <is>
          <t xml:space="preserve">Mercedes-Benz</t>
        </is>
      </c>
      <c r="J360" s="46" t="inlineStr">
        <is>
          <t xml:space="preserve">AMG GT</t>
        </is>
      </c>
      <c r="K360" s="46" t="inlineStr">
        <is>
          <t xml:space="preserve">NCCLC9A6KH31UZHPC</t>
        </is>
      </c>
      <c r="L360" s="48" t="inlineStr">
        <is>
          <t xml:space="preserve">02 - Sports / GT</t>
        </is>
      </c>
      <c r="M360" s="50">
        <v>675000</v>
      </c>
      <c r="N360" s="48" t="inlineStr">
        <is>
          <t xml:space="preserve">Personal</t>
        </is>
      </c>
      <c r="O360" s="46" t="inlineStr">
        <is>
          <t xml:space="preserve">Personal - regular use</t>
        </is>
      </c>
      <c r="P360" s="46" t="inlineStr">
        <is>
          <t xml:space="preserve">1,000 - 2,500</t>
        </is>
      </c>
      <c r="Q360" s="46" t="inlineStr">
        <is>
          <t xml:space="preserve">New Mexico</t>
        </is>
      </c>
      <c r="R360" s="46" t="inlineStr">
        <is>
          <t xml:space="preserve">87501</t>
        </is>
      </c>
      <c r="S360" s="48" t="inlineStr">
        <is>
          <t xml:space="preserve">Wildfire - WUI high hazard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9506.94</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CANON-202601-003531</t>
        </is>
      </c>
      <c r="B361" s="30" t="inlineStr">
        <is>
          <t xml:space="preserve">Mireille Bellandi</t>
        </is>
      </c>
      <c r="C361" s="31">
        <v>46035</v>
      </c>
      <c r="D361" s="32" t="inlineStr">
        <is>
          <t xml:space="preserve">Bound - within authority</t>
        </is>
      </c>
      <c r="E361" s="32" t="inlineStr">
        <is>
          <t xml:space="preserve">New business</t>
        </is>
      </c>
      <c r="F361" s="30" t="inlineStr">
        <is>
          <t xml:space="preserve">B1234EXOTIC26</t>
        </is>
      </c>
      <c r="G361" s="33">
        <f>IF($A361="","",IF($C361="","",YEAR($C361)))</f>
      </c>
      <c r="H361" s="34">
        <v>2021</v>
      </c>
      <c r="I361" s="30" t="inlineStr">
        <is>
          <t xml:space="preserve">Bentley</t>
        </is>
      </c>
      <c r="J361" s="30" t="inlineStr">
        <is>
          <t xml:space="preserve">Continental GT</t>
        </is>
      </c>
      <c r="K361" s="30" t="inlineStr">
        <is>
          <t xml:space="preserve">26WNN4TKCB0B88DF4</t>
        </is>
      </c>
      <c r="L361" s="32" t="inlineStr">
        <is>
          <t xml:space="preserve">02 - Sports / GT</t>
        </is>
      </c>
      <c r="M361" s="35">
        <v>1055000</v>
      </c>
      <c r="N361" s="32" t="inlineStr">
        <is>
          <t xml:space="preserve">Personal</t>
        </is>
      </c>
      <c r="O361" s="30" t="inlineStr">
        <is>
          <t xml:space="preserve">Personal - regular use</t>
        </is>
      </c>
      <c r="P361" s="30" t="inlineStr">
        <is>
          <t xml:space="preserve">Under 1,000</t>
        </is>
      </c>
      <c r="Q361" s="30" t="inlineStr">
        <is>
          <t xml:space="preserve">Tennessee</t>
        </is>
      </c>
      <c r="R361" s="30" t="inlineStr">
        <is>
          <t xml:space="preserve">37203</t>
        </is>
      </c>
      <c r="S361" s="32" t="inlineStr">
        <is>
          <t xml:space="preserve">Severe convective - hail / tornado (moderate)</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9626.19</v>
      </c>
      <c r="AC361" s="37">
        <v>0</v>
      </c>
      <c r="AD361" s="38">
        <f>IF(ISNUMBER($AB361),$AB361*(1+N($AC361)),"")</f>
      </c>
      <c r="AE361" s="35">
        <v>350</v>
      </c>
      <c r="AF361" s="35">
        <v>250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CANON-202601-003532</t>
        </is>
      </c>
      <c r="B362" s="46" t="inlineStr">
        <is>
          <t xml:space="preserve">Beatrix Underwood</t>
        </is>
      </c>
      <c r="C362" s="47">
        <v>46030</v>
      </c>
      <c r="D362" s="48" t="inlineStr">
        <is>
          <t xml:space="preserve">Bound - within authority</t>
        </is>
      </c>
      <c r="E362" s="48" t="inlineStr">
        <is>
          <t xml:space="preserve">New business</t>
        </is>
      </c>
      <c r="F362" s="46" t="inlineStr">
        <is>
          <t xml:space="preserve">B1234EXOTIC26</t>
        </is>
      </c>
      <c r="G362" s="33">
        <f>IF($A362="","",IF($C362="","",YEAR($C362)))</f>
      </c>
      <c r="H362" s="49">
        <v>1963</v>
      </c>
      <c r="I362" s="46" t="inlineStr">
        <is>
          <t xml:space="preserve">BMW</t>
        </is>
      </c>
      <c r="J362" s="46" t="inlineStr">
        <is>
          <t xml:space="preserve">M8 Competition</t>
        </is>
      </c>
      <c r="K362" s="46" t="inlineStr">
        <is>
          <t xml:space="preserve">KDSLYKKFP5X5AMLT9</t>
        </is>
      </c>
      <c r="L362" s="48" t="inlineStr">
        <is>
          <t xml:space="preserve">02 - Sports / GT</t>
        </is>
      </c>
      <c r="M362" s="50">
        <v>305000</v>
      </c>
      <c r="N362" s="48" t="inlineStr">
        <is>
          <t xml:space="preserve">Personal</t>
        </is>
      </c>
      <c r="O362" s="46" t="inlineStr">
        <is>
          <t xml:space="preserve">Personal - regular use</t>
        </is>
      </c>
      <c r="P362" s="46" t="inlineStr">
        <is>
          <t xml:space="preserve">2,500 - 5,000</t>
        </is>
      </c>
      <c r="Q362" s="46" t="inlineStr">
        <is>
          <t xml:space="preserve">Mississippi</t>
        </is>
      </c>
      <c r="R362" s="46" t="inlineStr">
        <is>
          <t xml:space="preserve">39201</t>
        </is>
      </c>
      <c r="S362" s="48" t="inlineStr">
        <is>
          <t xml:space="preserve">Tier 2 - Coastal wind (1-25 miles)</t>
        </is>
      </c>
      <c r="T362" s="36">
        <f>IF($A362="","",IF($S362="","",IFERROR(INDEX('[1]natural catastrophe'!$D$6:$D$17,MATCH($S362,'[1]natural catastrophe'!$B$6:$B$17,0)),"?")))</f>
      </c>
      <c r="U362" s="46" t="inlineStr">
        <is>
          <t xml:space="preserve">2% of agreed value, minimum $10,000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4608.09</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CANON-202601-003533</t>
        </is>
      </c>
      <c r="B363" s="30" t="inlineStr">
        <is>
          <t xml:space="preserve">Everett Blackwood</t>
        </is>
      </c>
      <c r="C363" s="31">
        <v>46026</v>
      </c>
      <c r="D363" s="32" t="inlineStr">
        <is>
          <t xml:space="preserve">Bound - within authority</t>
        </is>
      </c>
      <c r="E363" s="32" t="inlineStr">
        <is>
          <t xml:space="preserve">New business</t>
        </is>
      </c>
      <c r="F363" s="30" t="inlineStr">
        <is>
          <t xml:space="preserve">B1234EXOTIC26</t>
        </is>
      </c>
      <c r="G363" s="33">
        <f>IF($A363="","",IF($C363="","",YEAR($C363)))</f>
      </c>
      <c r="H363" s="34">
        <v>1967</v>
      </c>
      <c r="I363" s="30" t="inlineStr">
        <is>
          <t xml:space="preserve">Ferrari</t>
        </is>
      </c>
      <c r="J363" s="30" t="inlineStr">
        <is>
          <t xml:space="preserve">SF90 Stradale</t>
        </is>
      </c>
      <c r="K363" s="30" t="inlineStr">
        <is>
          <t xml:space="preserve">Y4650CDAZZ6HEH99Y</t>
        </is>
      </c>
      <c r="L363" s="32" t="inlineStr">
        <is>
          <t xml:space="preserve">03 - Supercar</t>
        </is>
      </c>
      <c r="M363" s="35">
        <v>630000</v>
      </c>
      <c r="N363" s="32" t="inlineStr">
        <is>
          <t xml:space="preserve">Personal</t>
        </is>
      </c>
      <c r="O363" s="30" t="inlineStr">
        <is>
          <t xml:space="preserve">Personal - regular use</t>
        </is>
      </c>
      <c r="P363" s="30" t="inlineStr">
        <is>
          <t xml:space="preserve">Under 1,000</t>
        </is>
      </c>
      <c r="Q363" s="30" t="inlineStr">
        <is>
          <t xml:space="preserve">Florida</t>
        </is>
      </c>
      <c r="R363" s="30" t="inlineStr">
        <is>
          <t xml:space="preserve">33139</t>
        </is>
      </c>
      <c r="S363" s="32" t="inlineStr">
        <is>
          <t xml:space="preserve">Tier 2 - Coastal wind (1-25 miles)</t>
        </is>
      </c>
      <c r="T363" s="36">
        <f>IF($A363="","",IF($S363="","",IFERROR(INDEX('[1]natural catastrophe'!$D$6:$D$17,MATCH($S363,'[1]natural catastrophe'!$B$6:$B$17,0)),"?")))</f>
      </c>
      <c r="U363" s="30" t="inlineStr">
        <is>
          <t xml:space="preserve">2% of agreed value, minimum $10,000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14386.85</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CANON-202601-003534</t>
        </is>
      </c>
      <c r="B364" s="46" t="inlineStr">
        <is>
          <t xml:space="preserve">Anouk Harrington</t>
        </is>
      </c>
      <c r="C364" s="47">
        <v>46023</v>
      </c>
      <c r="D364" s="48" t="inlineStr">
        <is>
          <t xml:space="preserve">Bound - within authority</t>
        </is>
      </c>
      <c r="E364" s="48" t="inlineStr">
        <is>
          <t xml:space="preserve">New business</t>
        </is>
      </c>
      <c r="F364" s="46" t="inlineStr">
        <is>
          <t xml:space="preserve">B1234EXOTIC26</t>
        </is>
      </c>
      <c r="G364" s="33">
        <f>IF($A364="","",IF($C364="","",YEAR($C364)))</f>
      </c>
      <c r="H364" s="49">
        <v>2020</v>
      </c>
      <c r="I364" s="46" t="inlineStr">
        <is>
          <t xml:space="preserve">Porsche</t>
        </is>
      </c>
      <c r="J364" s="46" t="inlineStr">
        <is>
          <t xml:space="preserve">911 Turbo S</t>
        </is>
      </c>
      <c r="K364" s="46" t="inlineStr">
        <is>
          <t xml:space="preserve">2P4PFJXB7YFEFZKGM</t>
        </is>
      </c>
      <c r="L364" s="48" t="inlineStr">
        <is>
          <t xml:space="preserve">02 - Sports / GT</t>
        </is>
      </c>
      <c r="M364" s="50">
        <v>665000</v>
      </c>
      <c r="N364" s="48" t="inlineStr">
        <is>
          <t xml:space="preserve">Personal</t>
        </is>
      </c>
      <c r="O364" s="46" t="inlineStr">
        <is>
          <t xml:space="preserve">Personal - regular use</t>
        </is>
      </c>
      <c r="P364" s="46" t="inlineStr">
        <is>
          <t xml:space="preserve">2,500 - 5,000</t>
        </is>
      </c>
      <c r="Q364" s="46" t="inlineStr">
        <is>
          <t xml:space="preserve">California</t>
        </is>
      </c>
      <c r="R364" s="46" t="inlineStr">
        <is>
          <t xml:space="preserve">90012</t>
        </is>
      </c>
      <c r="S364" s="48" t="inlineStr">
        <is>
          <t xml:space="preserve">Earthquake - high (CA, Cascadia, New Madrid)</t>
        </is>
      </c>
      <c r="T364" s="36">
        <f>IF($A364="","",IF($S364="","",IFERROR(INDEX('[1]natural catastrophe'!$D$6:$D$17,MATCH($S364,'[1]natural catastrophe'!$B$6:$B$17,0)),"?")))</f>
      </c>
      <c r="U364" s="46" t="inlineStr">
        <is>
          <t xml:space="preserve">$5,000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9878.3</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CANON-202601-003535</t>
        </is>
      </c>
      <c r="B365" s="30" t="inlineStr">
        <is>
          <t xml:space="preserve">Thaddeus Ashcombe</t>
        </is>
      </c>
      <c r="C365" s="31">
        <v>46025</v>
      </c>
      <c r="D365" s="32" t="inlineStr">
        <is>
          <t xml:space="preserve">Bound - within authority</t>
        </is>
      </c>
      <c r="E365" s="32" t="inlineStr">
        <is>
          <t xml:space="preserve">New business</t>
        </is>
      </c>
      <c r="F365" s="30" t="inlineStr">
        <is>
          <t xml:space="preserve">B1234EXOTIC26</t>
        </is>
      </c>
      <c r="G365" s="33">
        <f>IF($A365="","",IF($C365="","",YEAR($C365)))</f>
      </c>
      <c r="H365" s="34">
        <v>1985</v>
      </c>
      <c r="I365" s="30" t="inlineStr">
        <is>
          <t xml:space="preserve">Alfa Romeo</t>
        </is>
      </c>
      <c r="J365" s="30" t="inlineStr">
        <is>
          <t xml:space="preserve">8C 2900</t>
        </is>
      </c>
      <c r="K365" s="30" t="inlineStr">
        <is>
          <t xml:space="preserve">51R0SFF6Z65C81Y40</t>
        </is>
      </c>
      <c r="L365" s="32" t="inlineStr">
        <is>
          <t xml:space="preserve">08 - Modern Classic (1973-1999)</t>
        </is>
      </c>
      <c r="M365" s="35">
        <v>835000</v>
      </c>
      <c r="N365" s="32" t="inlineStr">
        <is>
          <t xml:space="preserve">Personal</t>
        </is>
      </c>
      <c r="O365" s="30" t="inlineStr">
        <is>
          <t xml:space="preserve">Personal - regular use</t>
        </is>
      </c>
      <c r="P365" s="30" t="inlineStr">
        <is>
          <t xml:space="preserve">2,500 - 5,000</t>
        </is>
      </c>
      <c r="Q365" s="30" t="inlineStr">
        <is>
          <t xml:space="preserve">Ohio</t>
        </is>
      </c>
      <c r="R365" s="30" t="inlineStr">
        <is>
          <t xml:space="preserve">43215</t>
        </is>
      </c>
      <c r="S365" s="32" t="inlineStr">
        <is>
          <t xml:space="preserve">Severe convective - hail / tornado (moderate)</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7466.18</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CANON-202601-003536</t>
        </is>
      </c>
      <c r="B366" s="46" t="inlineStr">
        <is>
          <t xml:space="preserve">Emiliano Fairweather</t>
        </is>
      </c>
      <c r="C366" s="47">
        <v>46028</v>
      </c>
      <c r="D366" s="48" t="inlineStr">
        <is>
          <t xml:space="preserve">Bound - within authority</t>
        </is>
      </c>
      <c r="E366" s="48" t="inlineStr">
        <is>
          <t xml:space="preserve">New business</t>
        </is>
      </c>
      <c r="F366" s="46" t="inlineStr">
        <is>
          <t xml:space="preserve">B1234EXOTIC26</t>
        </is>
      </c>
      <c r="G366" s="33">
        <f>IF($A366="","",IF($C366="","",YEAR($C366)))</f>
      </c>
      <c r="H366" s="49">
        <v>2002</v>
      </c>
      <c r="I366" s="46" t="inlineStr">
        <is>
          <t xml:space="preserve">Aston Martin</t>
        </is>
      </c>
      <c r="J366" s="46" t="inlineStr">
        <is>
          <t xml:space="preserve">DB5</t>
        </is>
      </c>
      <c r="K366" s="46" t="inlineStr">
        <is>
          <t xml:space="preserve">F576EDJC9ZHKYNUHC</t>
        </is>
      </c>
      <c r="L366" s="48" t="inlineStr">
        <is>
          <t xml:space="preserve">09 - Youngtimer / Collectible (2000-2010)</t>
        </is>
      </c>
      <c r="M366" s="50">
        <v>1205000</v>
      </c>
      <c r="N366" s="48" t="inlineStr">
        <is>
          <t xml:space="preserve">Personal</t>
        </is>
      </c>
      <c r="O366" s="46" t="inlineStr">
        <is>
          <t xml:space="preserve">Personal - regular use</t>
        </is>
      </c>
      <c r="P366" s="46" t="inlineStr">
        <is>
          <t xml:space="preserve">2,500 - 5,000</t>
        </is>
      </c>
      <c r="Q366" s="46" t="inlineStr">
        <is>
          <t xml:space="preserve">New Mexico</t>
        </is>
      </c>
      <c r="R366" s="46" t="inlineStr">
        <is>
          <t xml:space="preserve">87501</t>
        </is>
      </c>
      <c r="S366" s="48" t="inlineStr">
        <is>
          <t xml:space="preserve">Wildfire - WUI high hazard</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9921.88</v>
      </c>
      <c r="AC366" s="51">
        <v>0</v>
      </c>
      <c r="AD366" s="38">
        <f>IF(ISNUMBER($AB366),$AB366*(1+N($AC366)),"")</f>
      </c>
      <c r="AE366" s="50">
        <v>350</v>
      </c>
      <c r="AF366" s="50">
        <v>250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CANON-202601-003537</t>
        </is>
      </c>
      <c r="B367" s="30" t="inlineStr">
        <is>
          <t xml:space="preserve">Ramona Chattopadhyay</t>
        </is>
      </c>
      <c r="C367" s="31">
        <v>46035</v>
      </c>
      <c r="D367" s="32" t="inlineStr">
        <is>
          <t xml:space="preserve">Bound - within authority</t>
        </is>
      </c>
      <c r="E367" s="32" t="inlineStr">
        <is>
          <t xml:space="preserve">New business</t>
        </is>
      </c>
      <c r="F367" s="30" t="inlineStr">
        <is>
          <t xml:space="preserve">B1234EXOTIC26</t>
        </is>
      </c>
      <c r="G367" s="33">
        <f>IF($A367="","",IF($C367="","",YEAR($C367)))</f>
      </c>
      <c r="H367" s="34">
        <v>1996</v>
      </c>
      <c r="I367" s="30" t="inlineStr">
        <is>
          <t xml:space="preserve">Maserati</t>
        </is>
      </c>
      <c r="J367" s="30" t="inlineStr">
        <is>
          <t xml:space="preserve">GranTurismo</t>
        </is>
      </c>
      <c r="K367" s="30" t="inlineStr">
        <is>
          <t xml:space="preserve">S0S304VZLS7F2L4TE</t>
        </is>
      </c>
      <c r="L367" s="32" t="inlineStr">
        <is>
          <t xml:space="preserve">02 - Sports / GT</t>
        </is>
      </c>
      <c r="M367" s="35">
        <v>425000</v>
      </c>
      <c r="N367" s="32" t="inlineStr">
        <is>
          <t xml:space="preserve">Personal</t>
        </is>
      </c>
      <c r="O367" s="30" t="inlineStr">
        <is>
          <t xml:space="preserve">Personal - regular use</t>
        </is>
      </c>
      <c r="P367" s="30" t="inlineStr">
        <is>
          <t xml:space="preserve">1,000 - 2,500</t>
        </is>
      </c>
      <c r="Q367" s="30" t="inlineStr">
        <is>
          <t xml:space="preserve">Illinois</t>
        </is>
      </c>
      <c r="R367" s="30" t="inlineStr">
        <is>
          <t xml:space="preserve">60601</t>
        </is>
      </c>
      <c r="S367" s="32" t="inlineStr">
        <is>
          <t xml:space="preserve">Severe convective - hail / tornado (moderate)</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7338.42</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CANON-202601-003538</t>
        </is>
      </c>
      <c r="B368" s="46" t="inlineStr">
        <is>
          <t xml:space="preserve">Wilhelmina Delacroix</t>
        </is>
      </c>
      <c r="C368" s="47">
        <v>46029</v>
      </c>
      <c r="D368" s="48" t="inlineStr">
        <is>
          <t xml:space="preserve">Bound - within authority</t>
        </is>
      </c>
      <c r="E368" s="48" t="inlineStr">
        <is>
          <t xml:space="preserve">New business</t>
        </is>
      </c>
      <c r="F368" s="46" t="inlineStr">
        <is>
          <t xml:space="preserve">B1234EXOTIC26</t>
        </is>
      </c>
      <c r="G368" s="33">
        <f>IF($A368="","",IF($C368="","",YEAR($C368)))</f>
      </c>
      <c r="H368" s="49">
        <v>1993</v>
      </c>
      <c r="I368" s="46" t="inlineStr">
        <is>
          <t xml:space="preserve">Porsche</t>
        </is>
      </c>
      <c r="J368" s="46" t="inlineStr">
        <is>
          <t xml:space="preserve">911 Turbo S</t>
        </is>
      </c>
      <c r="K368" s="46" t="inlineStr">
        <is>
          <t xml:space="preserve">XS7ULU25M4HMFFM2H</t>
        </is>
      </c>
      <c r="L368" s="48" t="inlineStr">
        <is>
          <t xml:space="preserve">02 - Sports / GT</t>
        </is>
      </c>
      <c r="M368" s="50">
        <v>585000</v>
      </c>
      <c r="N368" s="48" t="inlineStr">
        <is>
          <t xml:space="preserve">Personal</t>
        </is>
      </c>
      <c r="O368" s="46" t="inlineStr">
        <is>
          <t xml:space="preserve">Personal - regular use</t>
        </is>
      </c>
      <c r="P368" s="46" t="inlineStr">
        <is>
          <t xml:space="preserve">Under 1,000</t>
        </is>
      </c>
      <c r="Q368" s="46" t="inlineStr">
        <is>
          <t xml:space="preserve">Texas</t>
        </is>
      </c>
      <c r="R368" s="46" t="inlineStr">
        <is>
          <t xml:space="preserve">75201</t>
        </is>
      </c>
      <c r="S368" s="48" t="inlineStr">
        <is>
          <t xml:space="preserve">Tier 2 - Coastal wind (1-25 miles)</t>
        </is>
      </c>
      <c r="T368" s="36">
        <f>IF($A368="","",IF($S368="","",IFERROR(INDEX('[1]natural catastrophe'!$D$6:$D$17,MATCH($S368,'[1]natural catastrophe'!$B$6:$B$17,0)),"?")))</f>
      </c>
      <c r="U368" s="46" t="inlineStr">
        <is>
          <t xml:space="preserve">2% of agreed value, minimum $10,000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7402.54</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CANON-202601-003540</t>
        </is>
      </c>
      <c r="B369" s="30" t="inlineStr">
        <is>
          <t xml:space="preserve">Anouk Thistlewood</t>
        </is>
      </c>
      <c r="C369" s="31">
        <v>46037</v>
      </c>
      <c r="D369" s="32" t="inlineStr">
        <is>
          <t xml:space="preserve">Bound - within authority</t>
        </is>
      </c>
      <c r="E369" s="32" t="inlineStr">
        <is>
          <t xml:space="preserve">New business</t>
        </is>
      </c>
      <c r="F369" s="30" t="inlineStr">
        <is>
          <t xml:space="preserve">B1234EXOTIC26</t>
        </is>
      </c>
      <c r="G369" s="33">
        <f>IF($A369="","",IF($C369="","",YEAR($C369)))</f>
      </c>
      <c r="H369" s="34">
        <v>1966</v>
      </c>
      <c r="I369" s="30" t="inlineStr">
        <is>
          <t xml:space="preserve">McLaren</t>
        </is>
      </c>
      <c r="J369" s="30" t="inlineStr">
        <is>
          <t xml:space="preserve">750S</t>
        </is>
      </c>
      <c r="K369" s="30" t="inlineStr">
        <is>
          <t xml:space="preserve">V1BWP48CX51V8TSJ8</t>
        </is>
      </c>
      <c r="L369" s="32" t="inlineStr">
        <is>
          <t xml:space="preserve">03 - Supercar</t>
        </is>
      </c>
      <c r="M369" s="35">
        <v>695000</v>
      </c>
      <c r="N369" s="32" t="inlineStr">
        <is>
          <t xml:space="preserve">Personal</t>
        </is>
      </c>
      <c r="O369" s="30" t="inlineStr">
        <is>
          <t xml:space="preserve">Personal - regular use</t>
        </is>
      </c>
      <c r="P369" s="30" t="inlineStr">
        <is>
          <t xml:space="preserve">2,500 - 5,000</t>
        </is>
      </c>
      <c r="Q369" s="30" t="inlineStr">
        <is>
          <t xml:space="preserve">Texas</t>
        </is>
      </c>
      <c r="R369" s="30" t="inlineStr">
        <is>
          <t xml:space="preserve">75201</t>
        </is>
      </c>
      <c r="S369" s="32" t="inlineStr">
        <is>
          <t xml:space="preserve">Tier 2 - Coastal wind (1-25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12853.45</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CANON-202601-003541</t>
        </is>
      </c>
      <c r="B370" s="46" t="inlineStr">
        <is>
          <t xml:space="preserve">Marisol Vasquez</t>
        </is>
      </c>
      <c r="C370" s="47">
        <v>46038</v>
      </c>
      <c r="D370" s="48" t="inlineStr">
        <is>
          <t xml:space="preserve">Bound - within authority</t>
        </is>
      </c>
      <c r="E370" s="48" t="inlineStr">
        <is>
          <t xml:space="preserve">New business</t>
        </is>
      </c>
      <c r="F370" s="46" t="inlineStr">
        <is>
          <t xml:space="preserve">B1234EXOTIC26</t>
        </is>
      </c>
      <c r="G370" s="33">
        <f>IF($A370="","",IF($C370="","",YEAR($C370)))</f>
      </c>
      <c r="H370" s="49">
        <v>2000</v>
      </c>
      <c r="I370" s="46" t="inlineStr">
        <is>
          <t xml:space="preserve">BMW</t>
        </is>
      </c>
      <c r="J370" s="46" t="inlineStr">
        <is>
          <t xml:space="preserve">M8 Competition</t>
        </is>
      </c>
      <c r="K370" s="46" t="inlineStr">
        <is>
          <t xml:space="preserve">4KGNCLGRYGEFT12KS</t>
        </is>
      </c>
      <c r="L370" s="48" t="inlineStr">
        <is>
          <t xml:space="preserve">02 - Sports / GT</t>
        </is>
      </c>
      <c r="M370" s="50">
        <v>655000</v>
      </c>
      <c r="N370" s="48" t="inlineStr">
        <is>
          <t xml:space="preserve">Personal</t>
        </is>
      </c>
      <c r="O370" s="46" t="inlineStr">
        <is>
          <t xml:space="preserve">Personal - regular use</t>
        </is>
      </c>
      <c r="P370" s="46" t="inlineStr">
        <is>
          <t xml:space="preserve">1,000 - 2,500</t>
        </is>
      </c>
      <c r="Q370" s="46" t="inlineStr">
        <is>
          <t xml:space="preserve">California</t>
        </is>
      </c>
      <c r="R370" s="46" t="inlineStr">
        <is>
          <t xml:space="preserve">90012</t>
        </is>
      </c>
      <c r="S370" s="48" t="inlineStr">
        <is>
          <t xml:space="preserve">Earthquake - high (CA, Cascadia, New Madrid)</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9729.76</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CANON-202601-003542</t>
        </is>
      </c>
      <c r="B371" s="30" t="inlineStr">
        <is>
          <t xml:space="preserve">Beatrix Rourke</t>
        </is>
      </c>
      <c r="C371" s="31">
        <v>46035</v>
      </c>
      <c r="D371" s="32" t="inlineStr">
        <is>
          <t xml:space="preserve">Bound - within authority</t>
        </is>
      </c>
      <c r="E371" s="32" t="inlineStr">
        <is>
          <t xml:space="preserve">New business</t>
        </is>
      </c>
      <c r="F371" s="30" t="inlineStr">
        <is>
          <t xml:space="preserve">B1234EXOTIC26</t>
        </is>
      </c>
      <c r="G371" s="33">
        <f>IF($A371="","",IF($C371="","",YEAR($C371)))</f>
      </c>
      <c r="H371" s="34">
        <v>2020</v>
      </c>
      <c r="I371" s="30" t="inlineStr">
        <is>
          <t xml:space="preserve">Icon</t>
        </is>
      </c>
      <c r="J371" s="30" t="inlineStr">
        <is>
          <t xml:space="preserve">Derelict</t>
        </is>
      </c>
      <c r="K371" s="30" t="inlineStr">
        <is>
          <t xml:space="preserve">NEA6TECET14KPF587</t>
        </is>
      </c>
      <c r="L371" s="32" t="inlineStr">
        <is>
          <t xml:space="preserve">11 - Restomod / Coachbuilt / Bespoke</t>
        </is>
      </c>
      <c r="M371" s="35">
        <v>355000</v>
      </c>
      <c r="N371" s="32" t="inlineStr">
        <is>
          <t xml:space="preserve">Personal</t>
        </is>
      </c>
      <c r="O371" s="30" t="inlineStr">
        <is>
          <t xml:space="preserve">Personal - regular use</t>
        </is>
      </c>
      <c r="P371" s="30" t="inlineStr">
        <is>
          <t xml:space="preserve">1,000 - 2,500</t>
        </is>
      </c>
      <c r="Q371" s="30" t="inlineStr">
        <is>
          <t xml:space="preserve">Maryland</t>
        </is>
      </c>
      <c r="R371" s="30" t="inlineStr">
        <is>
          <t xml:space="preserve">21201</t>
        </is>
      </c>
      <c r="S371" s="32" t="inlineStr">
        <is>
          <t xml:space="preserve">Tier 3 - Coastal wind (25-100 miles)</t>
        </is>
      </c>
      <c r="T371" s="36">
        <f>IF($A371="","",IF($S371="","",IFERROR(INDEX('[1]natural catastrophe'!$D$6:$D$17,MATCH($S371,'[1]natural catastrophe'!$B$6:$B$17,0)),"?")))</f>
      </c>
      <c r="U371" s="30" t="inlineStr">
        <is>
          <t xml:space="preserve">2% of agreed value, minimum $10,000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5023.98</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CANON-202601-003543</t>
        </is>
      </c>
      <c r="B372" s="46" t="inlineStr">
        <is>
          <t xml:space="preserve">Ramona Nakashima</t>
        </is>
      </c>
      <c r="C372" s="47">
        <v>46038</v>
      </c>
      <c r="D372" s="48" t="inlineStr">
        <is>
          <t xml:space="preserve">Bound - within authority</t>
        </is>
      </c>
      <c r="E372" s="48" t="inlineStr">
        <is>
          <t xml:space="preserve">New business</t>
        </is>
      </c>
      <c r="F372" s="46" t="inlineStr">
        <is>
          <t xml:space="preserve">B1234EXOTIC26</t>
        </is>
      </c>
      <c r="G372" s="33">
        <f>IF($A372="","",IF($C372="","",YEAR($C372)))</f>
      </c>
      <c r="H372" s="49">
        <v>2007</v>
      </c>
      <c r="I372" s="46" t="inlineStr">
        <is>
          <t xml:space="preserve">Porsche</t>
        </is>
      </c>
      <c r="J372" s="46" t="inlineStr">
        <is>
          <t xml:space="preserve">911 Turbo S</t>
        </is>
      </c>
      <c r="K372" s="46" t="inlineStr">
        <is>
          <t xml:space="preserve">HTUB6JJF0HXY9PP80</t>
        </is>
      </c>
      <c r="L372" s="48" t="inlineStr">
        <is>
          <t xml:space="preserve">02 - Sports / GT</t>
        </is>
      </c>
      <c r="M372" s="50">
        <v>360000</v>
      </c>
      <c r="N372" s="48" t="inlineStr">
        <is>
          <t xml:space="preserve">Personal</t>
        </is>
      </c>
      <c r="O372" s="46" t="inlineStr">
        <is>
          <t xml:space="preserve">Personal - regular use</t>
        </is>
      </c>
      <c r="P372" s="46" t="inlineStr">
        <is>
          <t xml:space="preserve">2,500 - 5,000</t>
        </is>
      </c>
      <c r="Q372" s="46" t="inlineStr">
        <is>
          <t xml:space="preserve">Texas</t>
        </is>
      </c>
      <c r="R372" s="46" t="inlineStr">
        <is>
          <t xml:space="preserve">75201</t>
        </is>
      </c>
      <c r="S372" s="48" t="inlineStr">
        <is>
          <t xml:space="preserve">Tier 2 - Coastal wind (1-25 miles)</t>
        </is>
      </c>
      <c r="T372" s="36">
        <f>IF($A372="","",IF($S372="","",IFERROR(INDEX('[1]natural catastrophe'!$D$6:$D$17,MATCH($S372,'[1]natural catastrophe'!$B$6:$B$17,0)),"?")))</f>
      </c>
      <c r="U372" s="46" t="inlineStr">
        <is>
          <t xml:space="preserve">2% of agreed value, minimum $10,000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5256.24</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CANON-202601-003544</t>
        </is>
      </c>
      <c r="B373" s="30" t="inlineStr">
        <is>
          <t xml:space="preserve">Saoirse Farkas</t>
        </is>
      </c>
      <c r="C373" s="31">
        <v>46047</v>
      </c>
      <c r="D373" s="32" t="inlineStr">
        <is>
          <t xml:space="preserve">Bound - within authority</t>
        </is>
      </c>
      <c r="E373" s="32" t="inlineStr">
        <is>
          <t xml:space="preserve">New business</t>
        </is>
      </c>
      <c r="F373" s="30" t="inlineStr">
        <is>
          <t xml:space="preserve">B1234EXOTIC26</t>
        </is>
      </c>
      <c r="G373" s="33">
        <f>IF($A373="","",IF($C373="","",YEAR($C373)))</f>
      </c>
      <c r="H373" s="34">
        <v>2022</v>
      </c>
      <c r="I373" s="30" t="inlineStr">
        <is>
          <t xml:space="preserve">Bentley</t>
        </is>
      </c>
      <c r="J373" s="30" t="inlineStr">
        <is>
          <t xml:space="preserve">Continental GT</t>
        </is>
      </c>
      <c r="K373" s="30" t="inlineStr">
        <is>
          <t xml:space="preserve">HNE5BNWYT5UUY12N1</t>
        </is>
      </c>
      <c r="L373" s="32" t="inlineStr">
        <is>
          <t xml:space="preserve">02 - Sports / GT</t>
        </is>
      </c>
      <c r="M373" s="35">
        <v>320000</v>
      </c>
      <c r="N373" s="32" t="inlineStr">
        <is>
          <t xml:space="preserve">Personal</t>
        </is>
      </c>
      <c r="O373" s="30" t="inlineStr">
        <is>
          <t xml:space="preserve">Personal - regular use</t>
        </is>
      </c>
      <c r="P373" s="30" t="inlineStr">
        <is>
          <t xml:space="preserve">1,000 - 2,500</t>
        </is>
      </c>
      <c r="Q373" s="30" t="inlineStr">
        <is>
          <t xml:space="preserve">Wisconsin</t>
        </is>
      </c>
      <c r="R373" s="30" t="inlineStr">
        <is>
          <t xml:space="preserve">53202</t>
        </is>
      </c>
      <c r="S373" s="32" t="inlineStr">
        <is>
          <t xml:space="preserve">Severe convective - hail / tornado (moderate)</t>
        </is>
      </c>
      <c r="T373" s="36">
        <f>IF($A373="","",IF($S373="","",IFERROR(INDEX('[1]natural catastrophe'!$D$6:$D$17,MATCH($S373,'[1]natural catastrophe'!$B$6:$B$17,0)),"?")))</f>
      </c>
      <c r="U373" s="30" t="inlineStr">
        <is>
          <t xml:space="preserve">$5,000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4875.35</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CANON-202601-003545</t>
        </is>
      </c>
      <c r="B374" s="46" t="inlineStr">
        <is>
          <t xml:space="preserve">Ramona Rourke</t>
        </is>
      </c>
      <c r="C374" s="47">
        <v>46045</v>
      </c>
      <c r="D374" s="48" t="inlineStr">
        <is>
          <t xml:space="preserve">Bound - within authority</t>
        </is>
      </c>
      <c r="E374" s="48" t="inlineStr">
        <is>
          <t xml:space="preserve">New business</t>
        </is>
      </c>
      <c r="F374" s="46" t="inlineStr">
        <is>
          <t xml:space="preserve">B1234EXOTIC26</t>
        </is>
      </c>
      <c r="G374" s="33">
        <f>IF($A374="","",IF($C374="","",YEAR($C374)))</f>
      </c>
      <c r="H374" s="49">
        <v>1981</v>
      </c>
      <c r="I374" s="46" t="inlineStr">
        <is>
          <t xml:space="preserve">Maserati</t>
        </is>
      </c>
      <c r="J374" s="46" t="inlineStr">
        <is>
          <t xml:space="preserve">GranTurismo</t>
        </is>
      </c>
      <c r="K374" s="46" t="inlineStr">
        <is>
          <t xml:space="preserve">A9XVS2BEW7FSYWH2F</t>
        </is>
      </c>
      <c r="L374" s="48" t="inlineStr">
        <is>
          <t xml:space="preserve">02 - Sports / GT</t>
        </is>
      </c>
      <c r="M374" s="50">
        <v>945000</v>
      </c>
      <c r="N374" s="48" t="inlineStr">
        <is>
          <t xml:space="preserve">Personal</t>
        </is>
      </c>
      <c r="O374" s="46" t="inlineStr">
        <is>
          <t xml:space="preserve">Personal - regular use</t>
        </is>
      </c>
      <c r="P374" s="46" t="inlineStr">
        <is>
          <t xml:space="preserve">2,500 - 5,000</t>
        </is>
      </c>
      <c r="Q374" s="46" t="inlineStr">
        <is>
          <t xml:space="preserve">Louisiana</t>
        </is>
      </c>
      <c r="R374" s="46" t="inlineStr">
        <is>
          <t xml:space="preserve">70112</t>
        </is>
      </c>
      <c r="S374" s="48" t="inlineStr">
        <is>
          <t xml:space="preserve">Tier 2 - Coastal wind (1-25 miles)</t>
        </is>
      </c>
      <c r="T374" s="36">
        <f>IF($A374="","",IF($S374="","",IFERROR(INDEX('[1]natural catastrophe'!$D$6:$D$17,MATCH($S374,'[1]natural catastrophe'!$B$6:$B$17,0)),"?")))</f>
      </c>
      <c r="U374" s="46" t="inlineStr">
        <is>
          <t xml:space="preserve">2% of agreed value, minimum $10,000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12581.83</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CANON-202601-003548</t>
        </is>
      </c>
      <c r="B375" s="30" t="inlineStr">
        <is>
          <t xml:space="preserve">Emiliano Thistlewood</t>
        </is>
      </c>
      <c r="C375" s="31">
        <v>46027</v>
      </c>
      <c r="D375" s="32" t="inlineStr">
        <is>
          <t xml:space="preserve">Bound - within authority</t>
        </is>
      </c>
      <c r="E375" s="32" t="inlineStr">
        <is>
          <t xml:space="preserve">New business</t>
        </is>
      </c>
      <c r="F375" s="30" t="inlineStr">
        <is>
          <t xml:space="preserve">B1234EXOTIC26</t>
        </is>
      </c>
      <c r="G375" s="33">
        <f>IF($A375="","",IF($C375="","",YEAR($C375)))</f>
      </c>
      <c r="H375" s="34">
        <v>2000</v>
      </c>
      <c r="I375" s="30" t="inlineStr">
        <is>
          <t xml:space="preserve">Aston Martin</t>
        </is>
      </c>
      <c r="J375" s="30" t="inlineStr">
        <is>
          <t xml:space="preserve">DB12</t>
        </is>
      </c>
      <c r="K375" s="30" t="inlineStr">
        <is>
          <t xml:space="preserve">D9GJGT334M6F37J36</t>
        </is>
      </c>
      <c r="L375" s="32" t="inlineStr">
        <is>
          <t xml:space="preserve">02 - Sports / GT</t>
        </is>
      </c>
      <c r="M375" s="35">
        <v>350000</v>
      </c>
      <c r="N375" s="32" t="inlineStr">
        <is>
          <t xml:space="preserve">Personal</t>
        </is>
      </c>
      <c r="O375" s="30" t="inlineStr">
        <is>
          <t xml:space="preserve">Personal - regular use</t>
        </is>
      </c>
      <c r="P375" s="30" t="inlineStr">
        <is>
          <t xml:space="preserve">1,000 - 2,500</t>
        </is>
      </c>
      <c r="Q375" s="30" t="inlineStr">
        <is>
          <t xml:space="preserve">Pennsylvania</t>
        </is>
      </c>
      <c r="R375" s="30" t="inlineStr">
        <is>
          <t xml:space="preserve">19103</t>
        </is>
      </c>
      <c r="S375" s="32" t="inlineStr">
        <is>
          <t xml:space="preserve">Low hazard - inland benign</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4443.68</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CANON-202601-003549</t>
        </is>
      </c>
      <c r="B376" s="46" t="inlineStr">
        <is>
          <t xml:space="preserve">Lorenzo Farkas</t>
        </is>
      </c>
      <c r="C376" s="47">
        <v>46050</v>
      </c>
      <c r="D376" s="48" t="inlineStr">
        <is>
          <t xml:space="preserve">Bound - within authority</t>
        </is>
      </c>
      <c r="E376" s="48" t="inlineStr">
        <is>
          <t xml:space="preserve">New business</t>
        </is>
      </c>
      <c r="F376" s="46" t="inlineStr">
        <is>
          <t xml:space="preserve">B1234EXOTIC26</t>
        </is>
      </c>
      <c r="G376" s="33">
        <f>IF($A376="","",IF($C376="","",YEAR($C376)))</f>
      </c>
      <c r="H376" s="49">
        <v>1991</v>
      </c>
      <c r="I376" s="46" t="inlineStr">
        <is>
          <t xml:space="preserve">BMW</t>
        </is>
      </c>
      <c r="J376" s="46" t="inlineStr">
        <is>
          <t xml:space="preserve">M8 Competition</t>
        </is>
      </c>
      <c r="K376" s="46" t="inlineStr">
        <is>
          <t xml:space="preserve">X63VXD4P6RRBZ6Y17</t>
        </is>
      </c>
      <c r="L376" s="48" t="inlineStr">
        <is>
          <t xml:space="preserve">02 - Sports / GT</t>
        </is>
      </c>
      <c r="M376" s="50">
        <v>480000</v>
      </c>
      <c r="N376" s="48" t="inlineStr">
        <is>
          <t xml:space="preserve">Personal</t>
        </is>
      </c>
      <c r="O376" s="46" t="inlineStr">
        <is>
          <t xml:space="preserve">Personal - regular use</t>
        </is>
      </c>
      <c r="P376" s="46" t="inlineStr">
        <is>
          <t xml:space="preserve">2,500 - 5,000</t>
        </is>
      </c>
      <c r="Q376" s="46" t="inlineStr">
        <is>
          <t xml:space="preserve">Arkansas</t>
        </is>
      </c>
      <c r="R376" s="46" t="inlineStr">
        <is>
          <t xml:space="preserve">72201</t>
        </is>
      </c>
      <c r="S376" s="48" t="inlineStr">
        <is>
          <t xml:space="preserve">Severe convective - hail / tornado (moderate)</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8409.98</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CANON-202601-003552</t>
        </is>
      </c>
      <c r="B377" s="30" t="inlineStr">
        <is>
          <t xml:space="preserve">Ottilie Merriweather</t>
        </is>
      </c>
      <c r="C377" s="31">
        <v>46039</v>
      </c>
      <c r="D377" s="32" t="inlineStr">
        <is>
          <t xml:space="preserve">Bound - within authority</t>
        </is>
      </c>
      <c r="E377" s="32" t="inlineStr">
        <is>
          <t xml:space="preserve">New business</t>
        </is>
      </c>
      <c r="F377" s="30" t="inlineStr">
        <is>
          <t xml:space="preserve">B1234EXOTIC26</t>
        </is>
      </c>
      <c r="G377" s="33">
        <f>IF($A377="","",IF($C377="","",YEAR($C377)))</f>
      </c>
      <c r="H377" s="34">
        <v>1988</v>
      </c>
      <c r="I377" s="30" t="inlineStr">
        <is>
          <t xml:space="preserve">Aston Martin</t>
        </is>
      </c>
      <c r="J377" s="30" t="inlineStr">
        <is>
          <t xml:space="preserve">DB5</t>
        </is>
      </c>
      <c r="K377" s="30" t="inlineStr">
        <is>
          <t xml:space="preserve">43NH3TWRKNDGDV78F</t>
        </is>
      </c>
      <c r="L377" s="32" t="inlineStr">
        <is>
          <t xml:space="preserve">08 - Modern Classic (1973-1999)</t>
        </is>
      </c>
      <c r="M377" s="35">
        <v>450000</v>
      </c>
      <c r="N377" s="32" t="inlineStr">
        <is>
          <t xml:space="preserve">Personal</t>
        </is>
      </c>
      <c r="O377" s="30" t="inlineStr">
        <is>
          <t xml:space="preserve">Personal - regular use</t>
        </is>
      </c>
      <c r="P377" s="30" t="inlineStr">
        <is>
          <t xml:space="preserve">1,000 - 2,500</t>
        </is>
      </c>
      <c r="Q377" s="30" t="inlineStr">
        <is>
          <t xml:space="preserve">Colorado</t>
        </is>
      </c>
      <c r="R377" s="30" t="inlineStr">
        <is>
          <t xml:space="preserve">80202</t>
        </is>
      </c>
      <c r="S377" s="32" t="inlineStr">
        <is>
          <t xml:space="preserve">Severe convective - hail alley (high)</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4022.17</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CANON-202601-003553</t>
        </is>
      </c>
      <c r="B378" s="46" t="inlineStr">
        <is>
          <t xml:space="preserve">Sunniva Castellanos</t>
        </is>
      </c>
      <c r="C378" s="47">
        <v>46039</v>
      </c>
      <c r="D378" s="48" t="inlineStr">
        <is>
          <t xml:space="preserve">Bound - within authority</t>
        </is>
      </c>
      <c r="E378" s="48" t="inlineStr">
        <is>
          <t xml:space="preserve">New business</t>
        </is>
      </c>
      <c r="F378" s="46" t="inlineStr">
        <is>
          <t xml:space="preserve">B1234EXOTIC26</t>
        </is>
      </c>
      <c r="G378" s="33">
        <f>IF($A378="","",IF($C378="","",YEAR($C378)))</f>
      </c>
      <c r="H378" s="49">
        <v>1993</v>
      </c>
      <c r="I378" s="46" t="inlineStr">
        <is>
          <t xml:space="preserve">Porsche</t>
        </is>
      </c>
      <c r="J378" s="46" t="inlineStr">
        <is>
          <t xml:space="preserve">911 Turbo S</t>
        </is>
      </c>
      <c r="K378" s="46" t="inlineStr">
        <is>
          <t xml:space="preserve">24701LH22757SN3MT</t>
        </is>
      </c>
      <c r="L378" s="48" t="inlineStr">
        <is>
          <t xml:space="preserve">02 - Sports / GT</t>
        </is>
      </c>
      <c r="M378" s="50">
        <v>1020000</v>
      </c>
      <c r="N378" s="48" t="inlineStr">
        <is>
          <t xml:space="preserve">Personal</t>
        </is>
      </c>
      <c r="O378" s="46" t="inlineStr">
        <is>
          <t xml:space="preserve">Personal - regular use</t>
        </is>
      </c>
      <c r="P378" s="46" t="inlineStr">
        <is>
          <t xml:space="preserve">Under 1,000</t>
        </is>
      </c>
      <c r="Q378" s="46" t="inlineStr">
        <is>
          <t xml:space="preserve">Washington</t>
        </is>
      </c>
      <c r="R378" s="46" t="inlineStr">
        <is>
          <t xml:space="preserve">98101</t>
        </is>
      </c>
      <c r="S378" s="48" t="inlineStr">
        <is>
          <t xml:space="preserve">Earthquake - high (CA, Cascadia, New Madrid)</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9116.91</v>
      </c>
      <c r="AC378" s="51">
        <v>0</v>
      </c>
      <c r="AD378" s="38">
        <f>IF(ISNUMBER($AB378),$AB378*(1+N($AC378)),"")</f>
      </c>
      <c r="AE378" s="50">
        <v>350</v>
      </c>
      <c r="AF378" s="50">
        <v>250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CANON-202601-003555</t>
        </is>
      </c>
      <c r="B379" s="30" t="inlineStr">
        <is>
          <t xml:space="preserve">Wilhelmina Vandermeer</t>
        </is>
      </c>
      <c r="C379" s="31">
        <v>46042</v>
      </c>
      <c r="D379" s="32" t="inlineStr">
        <is>
          <t xml:space="preserve">Bound - within authority</t>
        </is>
      </c>
      <c r="E379" s="32" t="inlineStr">
        <is>
          <t xml:space="preserve">New business</t>
        </is>
      </c>
      <c r="F379" s="30" t="inlineStr">
        <is>
          <t xml:space="preserve">B1234EXOTIC26</t>
        </is>
      </c>
      <c r="G379" s="33">
        <f>IF($A379="","",IF($C379="","",YEAR($C379)))</f>
      </c>
      <c r="H379" s="34">
        <v>2024</v>
      </c>
      <c r="I379" s="30" t="inlineStr">
        <is>
          <t xml:space="preserve">Aston Martin</t>
        </is>
      </c>
      <c r="J379" s="30" t="inlineStr">
        <is>
          <t xml:space="preserve">DB12</t>
        </is>
      </c>
      <c r="K379" s="30" t="inlineStr">
        <is>
          <t xml:space="preserve">XMB6CLEXS9AJ1R0UB</t>
        </is>
      </c>
      <c r="L379" s="32" t="inlineStr">
        <is>
          <t xml:space="preserve">02 - Sports / GT</t>
        </is>
      </c>
      <c r="M379" s="35">
        <v>680000</v>
      </c>
      <c r="N379" s="32" t="inlineStr">
        <is>
          <t xml:space="preserve">Personal</t>
        </is>
      </c>
      <c r="O379" s="30" t="inlineStr">
        <is>
          <t xml:space="preserve">Personal - regular use</t>
        </is>
      </c>
      <c r="P379" s="30" t="inlineStr">
        <is>
          <t xml:space="preserve">2,500 - 5,000</t>
        </is>
      </c>
      <c r="Q379" s="30" t="inlineStr">
        <is>
          <t xml:space="preserve">Ohio</t>
        </is>
      </c>
      <c r="R379" s="30" t="inlineStr">
        <is>
          <t xml:space="preserve">43215</t>
        </is>
      </c>
      <c r="S379" s="32" t="inlineStr">
        <is>
          <t xml:space="preserve">Severe convective - hail / tornado (moderate)</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10400.41</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CANON-202601-003556</t>
        </is>
      </c>
      <c r="B380" s="46" t="inlineStr">
        <is>
          <t xml:space="preserve">Aurelio Rourke</t>
        </is>
      </c>
      <c r="C380" s="47">
        <v>46044</v>
      </c>
      <c r="D380" s="48" t="inlineStr">
        <is>
          <t xml:space="preserve">Bound - within authority</t>
        </is>
      </c>
      <c r="E380" s="48" t="inlineStr">
        <is>
          <t xml:space="preserve">New business</t>
        </is>
      </c>
      <c r="F380" s="46" t="inlineStr">
        <is>
          <t xml:space="preserve">B1234EXOTIC26</t>
        </is>
      </c>
      <c r="G380" s="33">
        <f>IF($A380="","",IF($C380="","",YEAR($C380)))</f>
      </c>
      <c r="H380" s="49">
        <v>1968</v>
      </c>
      <c r="I380" s="46" t="inlineStr">
        <is>
          <t xml:space="preserve">Aston Martin</t>
        </is>
      </c>
      <c r="J380" s="46" t="inlineStr">
        <is>
          <t xml:space="preserve">DB12</t>
        </is>
      </c>
      <c r="K380" s="46" t="inlineStr">
        <is>
          <t xml:space="preserve">YSNXTCVSXXK0JSGXR</t>
        </is>
      </c>
      <c r="L380" s="48" t="inlineStr">
        <is>
          <t xml:space="preserve">02 - Sports / GT</t>
        </is>
      </c>
      <c r="M380" s="50">
        <v>180000</v>
      </c>
      <c r="N380" s="48" t="inlineStr">
        <is>
          <t xml:space="preserve">Personal</t>
        </is>
      </c>
      <c r="O380" s="46" t="inlineStr">
        <is>
          <t xml:space="preserve">Personal - regular use</t>
        </is>
      </c>
      <c r="P380" s="46" t="inlineStr">
        <is>
          <t xml:space="preserve">Under 1,000</t>
        </is>
      </c>
      <c r="Q380" s="46" t="inlineStr">
        <is>
          <t xml:space="preserve">New York</t>
        </is>
      </c>
      <c r="R380" s="46" t="inlineStr">
        <is>
          <t xml:space="preserve">10022</t>
        </is>
      </c>
      <c r="S380" s="48" t="inlineStr">
        <is>
          <t xml:space="preserve">Tier 3 - Coastal wind (25-100 miles)</t>
        </is>
      </c>
      <c r="T380" s="36">
        <f>IF($A380="","",IF($S380="","",IFERROR(INDEX('[1]natural catastrophe'!$D$6:$D$17,MATCH($S380,'[1]natural catastrophe'!$B$6:$B$17,0)),"?")))</f>
      </c>
      <c r="U380" s="46" t="inlineStr">
        <is>
          <t xml:space="preserve">2% of agreed value, minimum $10,000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3588.26</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CANON-202601-003557</t>
        </is>
      </c>
      <c r="B381" s="30" t="inlineStr">
        <is>
          <t xml:space="preserve">Sunniva Bellandi</t>
        </is>
      </c>
      <c r="C381" s="31">
        <v>46049</v>
      </c>
      <c r="D381" s="32" t="inlineStr">
        <is>
          <t xml:space="preserve">Bound - within authority</t>
        </is>
      </c>
      <c r="E381" s="32" t="inlineStr">
        <is>
          <t xml:space="preserve">New business</t>
        </is>
      </c>
      <c r="F381" s="30" t="inlineStr">
        <is>
          <t xml:space="preserve">B1234EXOTIC26</t>
        </is>
      </c>
      <c r="G381" s="33">
        <f>IF($A381="","",IF($C381="","",YEAR($C381)))</f>
      </c>
      <c r="H381" s="34">
        <v>1997</v>
      </c>
      <c r="I381" s="30" t="inlineStr">
        <is>
          <t xml:space="preserve">Maserati</t>
        </is>
      </c>
      <c r="J381" s="30" t="inlineStr">
        <is>
          <t xml:space="preserve">GranTurismo</t>
        </is>
      </c>
      <c r="K381" s="30" t="inlineStr">
        <is>
          <t xml:space="preserve">J1DEYYN3F1YGAA3CE</t>
        </is>
      </c>
      <c r="L381" s="32" t="inlineStr">
        <is>
          <t xml:space="preserve">02 - Sports / GT</t>
        </is>
      </c>
      <c r="M381" s="35">
        <v>315000</v>
      </c>
      <c r="N381" s="32" t="inlineStr">
        <is>
          <t xml:space="preserve">Personal</t>
        </is>
      </c>
      <c r="O381" s="30" t="inlineStr">
        <is>
          <t xml:space="preserve">Personal - regular use</t>
        </is>
      </c>
      <c r="P381" s="30" t="inlineStr">
        <is>
          <t xml:space="preserve">2,500 - 5,000</t>
        </is>
      </c>
      <c r="Q381" s="30" t="inlineStr">
        <is>
          <t xml:space="preserve">Utah</t>
        </is>
      </c>
      <c r="R381" s="30" t="inlineStr">
        <is>
          <t xml:space="preserve">84101</t>
        </is>
      </c>
      <c r="S381" s="32" t="inlineStr">
        <is>
          <t xml:space="preserve">Wildfire - WUI high hazard</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5399.07</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CANON-202601-003558</t>
        </is>
      </c>
      <c r="B382" s="46" t="inlineStr">
        <is>
          <t xml:space="preserve">Ramona Larsson</t>
        </is>
      </c>
      <c r="C382" s="47">
        <v>46031</v>
      </c>
      <c r="D382" s="48" t="inlineStr">
        <is>
          <t xml:space="preserve">Bound - within authority</t>
        </is>
      </c>
      <c r="E382" s="48" t="inlineStr">
        <is>
          <t xml:space="preserve">New business</t>
        </is>
      </c>
      <c r="F382" s="46" t="inlineStr">
        <is>
          <t xml:space="preserve">B1234EXOTIC26</t>
        </is>
      </c>
      <c r="G382" s="33">
        <f>IF($A382="","",IF($C382="","",YEAR($C382)))</f>
      </c>
      <c r="H382" s="49">
        <v>1997</v>
      </c>
      <c r="I382" s="46" t="inlineStr">
        <is>
          <t xml:space="preserve">Maserati</t>
        </is>
      </c>
      <c r="J382" s="46" t="inlineStr">
        <is>
          <t xml:space="preserve">GranTurismo</t>
        </is>
      </c>
      <c r="K382" s="46" t="inlineStr">
        <is>
          <t xml:space="preserve">P0AVVKFTVN89162EG</t>
        </is>
      </c>
      <c r="L382" s="48" t="inlineStr">
        <is>
          <t xml:space="preserve">02 - Sports / GT</t>
        </is>
      </c>
      <c r="M382" s="50">
        <v>705000</v>
      </c>
      <c r="N382" s="48" t="inlineStr">
        <is>
          <t xml:space="preserve">Personal</t>
        </is>
      </c>
      <c r="O382" s="46" t="inlineStr">
        <is>
          <t xml:space="preserve">Personal - regular use</t>
        </is>
      </c>
      <c r="P382" s="46" t="inlineStr">
        <is>
          <t xml:space="preserve">2,500 - 5,000</t>
        </is>
      </c>
      <c r="Q382" s="46" t="inlineStr">
        <is>
          <t xml:space="preserve">Washington</t>
        </is>
      </c>
      <c r="R382" s="46" t="inlineStr">
        <is>
          <t xml:space="preserve">98101</t>
        </is>
      </c>
      <c r="S382" s="48" t="inlineStr">
        <is>
          <t xml:space="preserve">Earthquake - high (CA, Cascadia, New Madrid)</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7447.1</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CANON-202601-003559</t>
        </is>
      </c>
      <c r="B383" s="30" t="inlineStr">
        <is>
          <t xml:space="preserve">Lorenzo Fairweather</t>
        </is>
      </c>
      <c r="C383" s="31">
        <v>46048</v>
      </c>
      <c r="D383" s="32" t="inlineStr">
        <is>
          <t xml:space="preserve">Bound - within authority</t>
        </is>
      </c>
      <c r="E383" s="32" t="inlineStr">
        <is>
          <t xml:space="preserve">New business</t>
        </is>
      </c>
      <c r="F383" s="30" t="inlineStr">
        <is>
          <t xml:space="preserve">B1234EXOTIC26</t>
        </is>
      </c>
      <c r="G383" s="33">
        <f>IF($A383="","",IF($C383="","",YEAR($C383)))</f>
      </c>
      <c r="H383" s="34">
        <v>1998</v>
      </c>
      <c r="I383" s="30" t="inlineStr">
        <is>
          <t xml:space="preserve">BMW</t>
        </is>
      </c>
      <c r="J383" s="30" t="inlineStr">
        <is>
          <t xml:space="preserve">M8 Competition</t>
        </is>
      </c>
      <c r="K383" s="30" t="inlineStr">
        <is>
          <t xml:space="preserve">E01UZBFKXNE1DYXFM</t>
        </is>
      </c>
      <c r="L383" s="32" t="inlineStr">
        <is>
          <t xml:space="preserve">02 - Sports / GT</t>
        </is>
      </c>
      <c r="M383" s="35">
        <v>375000</v>
      </c>
      <c r="N383" s="32" t="inlineStr">
        <is>
          <t xml:space="preserve">Personal</t>
        </is>
      </c>
      <c r="O383" s="30" t="inlineStr">
        <is>
          <t xml:space="preserve">Personal - regular use</t>
        </is>
      </c>
      <c r="P383" s="30" t="inlineStr">
        <is>
          <t xml:space="preserve">2,500 - 5,000</t>
        </is>
      </c>
      <c r="Q383" s="30" t="inlineStr">
        <is>
          <t xml:space="preserve">Ohio</t>
        </is>
      </c>
      <c r="R383" s="30" t="inlineStr">
        <is>
          <t xml:space="preserve">43215</t>
        </is>
      </c>
      <c r="S383" s="32" t="inlineStr">
        <is>
          <t xml:space="preserve">Severe convective - hail / tornado (moderate)</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6617.91</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CANON-202601-003561</t>
        </is>
      </c>
      <c r="B384" s="46" t="inlineStr">
        <is>
          <t xml:space="preserve">Callum Kingsford</t>
        </is>
      </c>
      <c r="C384" s="47">
        <v>46040</v>
      </c>
      <c r="D384" s="48" t="inlineStr">
        <is>
          <t xml:space="preserve">Bound - within authority</t>
        </is>
      </c>
      <c r="E384" s="48" t="inlineStr">
        <is>
          <t xml:space="preserve">New business</t>
        </is>
      </c>
      <c r="F384" s="46" t="inlineStr">
        <is>
          <t xml:space="preserve">B1234EXOTIC26</t>
        </is>
      </c>
      <c r="G384" s="33">
        <f>IF($A384="","",IF($C384="","",YEAR($C384)))</f>
      </c>
      <c r="H384" s="49">
        <v>2018</v>
      </c>
      <c r="I384" s="46" t="inlineStr">
        <is>
          <t xml:space="preserve">Ringbrothers</t>
        </is>
      </c>
      <c r="J384" s="46" t="inlineStr">
        <is>
          <t xml:space="preserve">Mustang</t>
        </is>
      </c>
      <c r="K384" s="46" t="inlineStr">
        <is>
          <t xml:space="preserve">6RR9J5F22DDLWWNPE</t>
        </is>
      </c>
      <c r="L384" s="48" t="inlineStr">
        <is>
          <t xml:space="preserve">11 - Restomod / Coachbuilt / Bespoke</t>
        </is>
      </c>
      <c r="M384" s="50">
        <v>590000</v>
      </c>
      <c r="N384" s="48" t="inlineStr">
        <is>
          <t xml:space="preserve">Personal</t>
        </is>
      </c>
      <c r="O384" s="46" t="inlineStr">
        <is>
          <t xml:space="preserve">Personal - regular use</t>
        </is>
      </c>
      <c r="P384" s="46" t="inlineStr">
        <is>
          <t xml:space="preserve">Under 1,000</t>
        </is>
      </c>
      <c r="Q384" s="46" t="inlineStr">
        <is>
          <t xml:space="preserve">Hawaii</t>
        </is>
      </c>
      <c r="R384" s="46" t="inlineStr">
        <is>
          <t xml:space="preserve">96813</t>
        </is>
      </c>
      <c r="S384" s="48" t="inlineStr">
        <is>
          <t xml:space="preserve">Earthquake - high (CA, Cascadia, New Madrid)</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10127.52</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CANON-202601-003562</t>
        </is>
      </c>
      <c r="B385" s="30" t="inlineStr">
        <is>
          <t xml:space="preserve">Fitzgerald Blackwood</t>
        </is>
      </c>
      <c r="C385" s="31">
        <v>46039</v>
      </c>
      <c r="D385" s="32" t="inlineStr">
        <is>
          <t xml:space="preserve">Bound - within authority</t>
        </is>
      </c>
      <c r="E385" s="32" t="inlineStr">
        <is>
          <t xml:space="preserve">New business</t>
        </is>
      </c>
      <c r="F385" s="30" t="inlineStr">
        <is>
          <t xml:space="preserve">B1234EXOTIC26</t>
        </is>
      </c>
      <c r="G385" s="33">
        <f>IF($A385="","",IF($C385="","",YEAR($C385)))</f>
      </c>
      <c r="H385" s="34">
        <v>1981</v>
      </c>
      <c r="I385" s="30" t="inlineStr">
        <is>
          <t xml:space="preserve">Porsche</t>
        </is>
      </c>
      <c r="J385" s="30" t="inlineStr">
        <is>
          <t xml:space="preserve">911 Turbo S</t>
        </is>
      </c>
      <c r="K385" s="30" t="inlineStr">
        <is>
          <t xml:space="preserve">8C5KFZ2KY1VH6DPBU</t>
        </is>
      </c>
      <c r="L385" s="32" t="inlineStr">
        <is>
          <t xml:space="preserve">02 - Sports / GT</t>
        </is>
      </c>
      <c r="M385" s="35">
        <v>750000</v>
      </c>
      <c r="N385" s="32" t="inlineStr">
        <is>
          <t xml:space="preserve">Personal</t>
        </is>
      </c>
      <c r="O385" s="30" t="inlineStr">
        <is>
          <t xml:space="preserve">Personal - regular use</t>
        </is>
      </c>
      <c r="P385" s="30" t="inlineStr">
        <is>
          <t xml:space="preserve">1,000 - 2,500</t>
        </is>
      </c>
      <c r="Q385" s="30" t="inlineStr">
        <is>
          <t xml:space="preserve">California</t>
        </is>
      </c>
      <c r="R385" s="30" t="inlineStr">
        <is>
          <t xml:space="preserve">90012</t>
        </is>
      </c>
      <c r="S385" s="32" t="inlineStr">
        <is>
          <t xml:space="preserve">Earthquake - high (CA, Cascadia, New Madrid)</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11140.94</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CANON-202601-003563</t>
        </is>
      </c>
      <c r="B386" s="46" t="inlineStr">
        <is>
          <t xml:space="preserve">Aurelio Larsson</t>
        </is>
      </c>
      <c r="C386" s="47">
        <v>46047</v>
      </c>
      <c r="D386" s="48" t="inlineStr">
        <is>
          <t xml:space="preserve">Bound - within authority</t>
        </is>
      </c>
      <c r="E386" s="48" t="inlineStr">
        <is>
          <t xml:space="preserve">New business</t>
        </is>
      </c>
      <c r="F386" s="46" t="inlineStr">
        <is>
          <t xml:space="preserve">B1234EXOTIC26</t>
        </is>
      </c>
      <c r="G386" s="33">
        <f>IF($A386="","",IF($C386="","",YEAR($C386)))</f>
      </c>
      <c r="H386" s="49">
        <v>2016</v>
      </c>
      <c r="I386" s="46" t="inlineStr">
        <is>
          <t xml:space="preserve">Jaguar</t>
        </is>
      </c>
      <c r="J386" s="46" t="inlineStr">
        <is>
          <t xml:space="preserve">E-Type Series 1</t>
        </is>
      </c>
      <c r="K386" s="46" t="inlineStr">
        <is>
          <t xml:space="preserve">MUGNU2AVY3K8VDCP0</t>
        </is>
      </c>
      <c r="L386" s="48" t="inlineStr">
        <is>
          <t xml:space="preserve">02 - Sports / GT</t>
        </is>
      </c>
      <c r="M386" s="50">
        <v>1115000</v>
      </c>
      <c r="N386" s="48" t="inlineStr">
        <is>
          <t xml:space="preserve">Personal</t>
        </is>
      </c>
      <c r="O386" s="46" t="inlineStr">
        <is>
          <t xml:space="preserve">Personal - regular use</t>
        </is>
      </c>
      <c r="P386" s="46" t="inlineStr">
        <is>
          <t xml:space="preserve">Under 1,000</t>
        </is>
      </c>
      <c r="Q386" s="46" t="inlineStr">
        <is>
          <t xml:space="preserve">South Carolina</t>
        </is>
      </c>
      <c r="R386" s="46" t="inlineStr">
        <is>
          <t xml:space="preserve">29401</t>
        </is>
      </c>
      <c r="S386" s="48" t="inlineStr">
        <is>
          <t xml:space="preserve">Tier 2 - Coastal wind (1-25 miles)</t>
        </is>
      </c>
      <c r="T386" s="36">
        <f>IF($A386="","",IF($S386="","",IFERROR(INDEX('[1]natural catastrophe'!$D$6:$D$17,MATCH($S386,'[1]natural catastrophe'!$B$6:$B$17,0)),"?")))</f>
      </c>
      <c r="U386" s="46" t="inlineStr">
        <is>
          <t xml:space="preserve">2% of agreed value, minimum $10,000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8893.93</v>
      </c>
      <c r="AC386" s="51">
        <v>0</v>
      </c>
      <c r="AD386" s="38">
        <f>IF(ISNUMBER($AB386),$AB386*(1+N($AC386)),"")</f>
      </c>
      <c r="AE386" s="50">
        <v>350</v>
      </c>
      <c r="AF386" s="50">
        <v>250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CANON-202601-003564</t>
        </is>
      </c>
      <c r="B387" s="30" t="inlineStr">
        <is>
          <t xml:space="preserve">Thaddeus Ashcombe</t>
        </is>
      </c>
      <c r="C387" s="31">
        <v>46037</v>
      </c>
      <c r="D387" s="32" t="inlineStr">
        <is>
          <t xml:space="preserve">Bound - within authority</t>
        </is>
      </c>
      <c r="E387" s="32" t="inlineStr">
        <is>
          <t xml:space="preserve">New business</t>
        </is>
      </c>
      <c r="F387" s="30" t="inlineStr">
        <is>
          <t xml:space="preserve">B1234EXOTIC26</t>
        </is>
      </c>
      <c r="G387" s="33">
        <f>IF($A387="","",IF($C387="","",YEAR($C387)))</f>
      </c>
      <c r="H387" s="34">
        <v>1983</v>
      </c>
      <c r="I387" s="30" t="inlineStr">
        <is>
          <t xml:space="preserve">Maserati</t>
        </is>
      </c>
      <c r="J387" s="30" t="inlineStr">
        <is>
          <t xml:space="preserve">GranTurismo</t>
        </is>
      </c>
      <c r="K387" s="30" t="inlineStr">
        <is>
          <t xml:space="preserve">9KKU58M5057N2XJ0U</t>
        </is>
      </c>
      <c r="L387" s="32" t="inlineStr">
        <is>
          <t xml:space="preserve">02 - Sports / GT</t>
        </is>
      </c>
      <c r="M387" s="35">
        <v>225000</v>
      </c>
      <c r="N387" s="32" t="inlineStr">
        <is>
          <t xml:space="preserve">Personal</t>
        </is>
      </c>
      <c r="O387" s="30" t="inlineStr">
        <is>
          <t xml:space="preserve">Personal - regular use</t>
        </is>
      </c>
      <c r="P387" s="30" t="inlineStr">
        <is>
          <t xml:space="preserve">Under 1,000</t>
        </is>
      </c>
      <c r="Q387" s="30" t="inlineStr">
        <is>
          <t xml:space="preserve">Nebraska</t>
        </is>
      </c>
      <c r="R387" s="30" t="inlineStr">
        <is>
          <t xml:space="preserve">68102</t>
        </is>
      </c>
      <c r="S387" s="32" t="inlineStr">
        <is>
          <t xml:space="preserve">Severe convective - hail alley (high)</t>
        </is>
      </c>
      <c r="T387" s="36">
        <f>IF($A387="","",IF($S387="","",IFERROR(INDEX('[1]natural catastrophe'!$D$6:$D$17,MATCH($S387,'[1]natural catastrophe'!$B$6:$B$17,0)),"?")))</f>
      </c>
      <c r="U387" s="30" t="inlineStr">
        <is>
          <t xml:space="preserve">$5,000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4555.41</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CANON-202601-003565</t>
        </is>
      </c>
      <c r="B388" s="46" t="inlineStr">
        <is>
          <t xml:space="preserve">Cassius Fairweather</t>
        </is>
      </c>
      <c r="C388" s="47">
        <v>46044</v>
      </c>
      <c r="D388" s="48" t="inlineStr">
        <is>
          <t xml:space="preserve">Bound - within authority</t>
        </is>
      </c>
      <c r="E388" s="48" t="inlineStr">
        <is>
          <t xml:space="preserve">New business</t>
        </is>
      </c>
      <c r="F388" s="46" t="inlineStr">
        <is>
          <t xml:space="preserve">B1234EXOTIC26</t>
        </is>
      </c>
      <c r="G388" s="33">
        <f>IF($A388="","",IF($C388="","",YEAR($C388)))</f>
      </c>
      <c r="H388" s="49">
        <v>2020</v>
      </c>
      <c r="I388" s="46" t="inlineStr">
        <is>
          <t xml:space="preserve">Aston Martin</t>
        </is>
      </c>
      <c r="J388" s="46" t="inlineStr">
        <is>
          <t xml:space="preserve">DB12</t>
        </is>
      </c>
      <c r="K388" s="46" t="inlineStr">
        <is>
          <t xml:space="preserve">2KUWR7EV68YDXNSLD</t>
        </is>
      </c>
      <c r="L388" s="48" t="inlineStr">
        <is>
          <t xml:space="preserve">02 - Sports / GT</t>
        </is>
      </c>
      <c r="M388" s="50">
        <v>260000</v>
      </c>
      <c r="N388" s="48" t="inlineStr">
        <is>
          <t xml:space="preserve">Personal</t>
        </is>
      </c>
      <c r="O388" s="46" t="inlineStr">
        <is>
          <t xml:space="preserve">Personal - regular use</t>
        </is>
      </c>
      <c r="P388" s="46" t="inlineStr">
        <is>
          <t xml:space="preserve">1,000 - 2,500</t>
        </is>
      </c>
      <c r="Q388" s="46" t="inlineStr">
        <is>
          <t xml:space="preserve">South Dakota</t>
        </is>
      </c>
      <c r="R388" s="46" t="inlineStr">
        <is>
          <t xml:space="preserve">57501</t>
        </is>
      </c>
      <c r="S388" s="48" t="inlineStr">
        <is>
          <t xml:space="preserve">Severe convective - hail alley (high)</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3664.13</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CANON-202601-003566</t>
        </is>
      </c>
      <c r="B389" s="30" t="inlineStr">
        <is>
          <t xml:space="preserve">Emiliano Blackwood</t>
        </is>
      </c>
      <c r="C389" s="31">
        <v>46052</v>
      </c>
      <c r="D389" s="32" t="inlineStr">
        <is>
          <t xml:space="preserve">Bound - within authority</t>
        </is>
      </c>
      <c r="E389" s="32" t="inlineStr">
        <is>
          <t xml:space="preserve">New business</t>
        </is>
      </c>
      <c r="F389" s="30" t="inlineStr">
        <is>
          <t xml:space="preserve">B1234EXOTIC26</t>
        </is>
      </c>
      <c r="G389" s="33">
        <f>IF($A389="","",IF($C389="","",YEAR($C389)))</f>
      </c>
      <c r="H389" s="34">
        <v>2002</v>
      </c>
      <c r="I389" s="30" t="inlineStr">
        <is>
          <t xml:space="preserve">Bentley</t>
        </is>
      </c>
      <c r="J389" s="30" t="inlineStr">
        <is>
          <t xml:space="preserve">Continental GT</t>
        </is>
      </c>
      <c r="K389" s="30" t="inlineStr">
        <is>
          <t xml:space="preserve">FWJR561J1AECJEX3C</t>
        </is>
      </c>
      <c r="L389" s="32" t="inlineStr">
        <is>
          <t xml:space="preserve">02 - Sports / GT</t>
        </is>
      </c>
      <c r="M389" s="35">
        <v>225000</v>
      </c>
      <c r="N389" s="32" t="inlineStr">
        <is>
          <t xml:space="preserve">Personal</t>
        </is>
      </c>
      <c r="O389" s="30" t="inlineStr">
        <is>
          <t xml:space="preserve">Personal - regular use</t>
        </is>
      </c>
      <c r="P389" s="30" t="inlineStr">
        <is>
          <t xml:space="preserve">1,000 - 2,500</t>
        </is>
      </c>
      <c r="Q389" s="30" t="inlineStr">
        <is>
          <t xml:space="preserve">California</t>
        </is>
      </c>
      <c r="R389" s="30" t="inlineStr">
        <is>
          <t xml:space="preserve">90012</t>
        </is>
      </c>
      <c r="S389" s="32" t="inlineStr">
        <is>
          <t xml:space="preserve">Earthquake - high (CA, Cascadia, New Madrid)</t>
        </is>
      </c>
      <c r="T389" s="36">
        <f>IF($A389="","",IF($S389="","",IFERROR(INDEX('[1]natural catastrophe'!$D$6:$D$17,MATCH($S389,'[1]natural catastrophe'!$B$6:$B$17,0)),"?")))</f>
      </c>
      <c r="U389" s="30" t="inlineStr">
        <is>
          <t xml:space="preserve">$5,000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4730.61</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CANON-202601-003567</t>
        </is>
      </c>
      <c r="B390" s="46" t="inlineStr">
        <is>
          <t xml:space="preserve">Priya Vasquez</t>
        </is>
      </c>
      <c r="C390" s="47">
        <v>46037</v>
      </c>
      <c r="D390" s="48" t="inlineStr">
        <is>
          <t xml:space="preserve">Bound - within authority</t>
        </is>
      </c>
      <c r="E390" s="48" t="inlineStr">
        <is>
          <t xml:space="preserve">New business</t>
        </is>
      </c>
      <c r="F390" s="46" t="inlineStr">
        <is>
          <t xml:space="preserve">B1234EXOTIC26</t>
        </is>
      </c>
      <c r="G390" s="33">
        <f>IF($A390="","",IF($C390="","",YEAR($C390)))</f>
      </c>
      <c r="H390" s="49">
        <v>1998</v>
      </c>
      <c r="I390" s="46" t="inlineStr">
        <is>
          <t xml:space="preserve">McLaren</t>
        </is>
      </c>
      <c r="J390" s="46" t="inlineStr">
        <is>
          <t xml:space="preserve">750S</t>
        </is>
      </c>
      <c r="K390" s="46" t="inlineStr">
        <is>
          <t xml:space="preserve">NDFW59UHA3UC4AXK3</t>
        </is>
      </c>
      <c r="L390" s="48" t="inlineStr">
        <is>
          <t xml:space="preserve">03 - Supercar</t>
        </is>
      </c>
      <c r="M390" s="50">
        <v>625000</v>
      </c>
      <c r="N390" s="48" t="inlineStr">
        <is>
          <t xml:space="preserve">Personal</t>
        </is>
      </c>
      <c r="O390" s="46" t="inlineStr">
        <is>
          <t xml:space="preserve">Personal - regular use</t>
        </is>
      </c>
      <c r="P390" s="46" t="inlineStr">
        <is>
          <t xml:space="preserve">1,000 - 2,500</t>
        </is>
      </c>
      <c r="Q390" s="46" t="inlineStr">
        <is>
          <t xml:space="preserve">Connecticut</t>
        </is>
      </c>
      <c r="R390" s="46" t="inlineStr">
        <is>
          <t xml:space="preserve">06103</t>
        </is>
      </c>
      <c r="S390" s="48" t="inlineStr">
        <is>
          <t xml:space="preserve">Tier 3 - Coastal wind (25-100 miles)</t>
        </is>
      </c>
      <c r="T390" s="36">
        <f>IF($A390="","",IF($S390="","",IFERROR(INDEX('[1]natural catastrophe'!$D$6:$D$17,MATCH($S390,'[1]natural catastrophe'!$B$6:$B$17,0)),"?")))</f>
      </c>
      <c r="U390" s="46" t="inlineStr">
        <is>
          <t xml:space="preserve">2% of agreed value, minimum $10,000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11257.32</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CANON-202601-003568</t>
        </is>
      </c>
      <c r="B391" s="30" t="inlineStr">
        <is>
          <t xml:space="preserve">Horace Vandermeer</t>
        </is>
      </c>
      <c r="C391" s="31">
        <v>46031</v>
      </c>
      <c r="D391" s="32" t="inlineStr">
        <is>
          <t xml:space="preserve">Bound - within authority</t>
        </is>
      </c>
      <c r="E391" s="32" t="inlineStr">
        <is>
          <t xml:space="preserve">New business</t>
        </is>
      </c>
      <c r="F391" s="30" t="inlineStr">
        <is>
          <t xml:space="preserve">B1234EXOTIC26</t>
        </is>
      </c>
      <c r="G391" s="33">
        <f>IF($A391="","",IF($C391="","",YEAR($C391)))</f>
      </c>
      <c r="H391" s="34">
        <v>2011</v>
      </c>
      <c r="I391" s="30" t="inlineStr">
        <is>
          <t xml:space="preserve">Alfa Romeo</t>
        </is>
      </c>
      <c r="J391" s="30" t="inlineStr">
        <is>
          <t xml:space="preserve">8C 2900</t>
        </is>
      </c>
      <c r="K391" s="30" t="inlineStr">
        <is>
          <t xml:space="preserve">17EFBPM308T1XXDV5</t>
        </is>
      </c>
      <c r="L391" s="32" t="inlineStr">
        <is>
          <t xml:space="preserve">02 - Sports / GT</t>
        </is>
      </c>
      <c r="M391" s="35">
        <v>1025000</v>
      </c>
      <c r="N391" s="32" t="inlineStr">
        <is>
          <t xml:space="preserve">Personal</t>
        </is>
      </c>
      <c r="O391" s="30" t="inlineStr">
        <is>
          <t xml:space="preserve">Personal - regular use</t>
        </is>
      </c>
      <c r="P391" s="30" t="inlineStr">
        <is>
          <t xml:space="preserve">1,000 - 2,500</t>
        </is>
      </c>
      <c r="Q391" s="30" t="inlineStr">
        <is>
          <t xml:space="preserve">South Carolina</t>
        </is>
      </c>
      <c r="R391" s="30" t="inlineStr">
        <is>
          <t xml:space="preserve">29401</t>
        </is>
      </c>
      <c r="S391" s="32" t="inlineStr">
        <is>
          <t xml:space="preserve">Tier 2 - Coastal wind (1-25 miles)</t>
        </is>
      </c>
      <c r="T391" s="36">
        <f>IF($A391="","",IF($S391="","",IFERROR(INDEX('[1]natural catastrophe'!$D$6:$D$17,MATCH($S391,'[1]natural catastrophe'!$B$6:$B$17,0)),"?")))</f>
      </c>
      <c r="U391" s="30" t="inlineStr">
        <is>
          <t xml:space="preserve">2% of agreed value, minimum $10,000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7315.39</v>
      </c>
      <c r="AC391" s="37">
        <v>0</v>
      </c>
      <c r="AD391" s="38">
        <f>IF(ISNUMBER($AB391),$AB391*(1+N($AC391)),"")</f>
      </c>
      <c r="AE391" s="35">
        <v>350</v>
      </c>
      <c r="AF391" s="35">
        <v>250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CANON-202601-003569</t>
        </is>
      </c>
      <c r="B392" s="46" t="inlineStr">
        <is>
          <t xml:space="preserve">Noor Larsson</t>
        </is>
      </c>
      <c r="C392" s="47">
        <v>46028</v>
      </c>
      <c r="D392" s="48" t="inlineStr">
        <is>
          <t xml:space="preserve">Bound - within authority</t>
        </is>
      </c>
      <c r="E392" s="48" t="inlineStr">
        <is>
          <t xml:space="preserve">New business</t>
        </is>
      </c>
      <c r="F392" s="46" t="inlineStr">
        <is>
          <t xml:space="preserve">B1234EXOTIC26</t>
        </is>
      </c>
      <c r="G392" s="33">
        <f>IF($A392="","",IF($C392="","",YEAR($C392)))</f>
      </c>
      <c r="H392" s="49">
        <v>1964</v>
      </c>
      <c r="I392" s="46" t="inlineStr">
        <is>
          <t xml:space="preserve">Aston Martin</t>
        </is>
      </c>
      <c r="J392" s="46" t="inlineStr">
        <is>
          <t xml:space="preserve">DB5</t>
        </is>
      </c>
      <c r="K392" s="46" t="inlineStr">
        <is>
          <t xml:space="preserve">SM0C8DDNZWLHKE19D</t>
        </is>
      </c>
      <c r="L392" s="48" t="inlineStr">
        <is>
          <t xml:space="preserve">07 - Post-War Classic (1946-1972)</t>
        </is>
      </c>
      <c r="M392" s="50">
        <v>520000</v>
      </c>
      <c r="N392" s="48" t="inlineStr">
        <is>
          <t xml:space="preserve">Personal</t>
        </is>
      </c>
      <c r="O392" s="46" t="inlineStr">
        <is>
          <t xml:space="preserve">Personal - regular use</t>
        </is>
      </c>
      <c r="P392" s="46" t="inlineStr">
        <is>
          <t xml:space="preserve">2,500 - 5,000</t>
        </is>
      </c>
      <c r="Q392" s="46" t="inlineStr">
        <is>
          <t xml:space="preserve">Oregon</t>
        </is>
      </c>
      <c r="R392" s="46" t="inlineStr">
        <is>
          <t xml:space="preserve">97204</t>
        </is>
      </c>
      <c r="S392" s="48" t="inlineStr">
        <is>
          <t xml:space="preserve">Earthquake - high (CA, Cascadia, New Madrid)</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4277.24</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CANON-202601-003571</t>
        </is>
      </c>
      <c r="B393" s="30" t="inlineStr">
        <is>
          <t xml:space="preserve">Fitzgerald Nakashima</t>
        </is>
      </c>
      <c r="C393" s="31">
        <v>46029</v>
      </c>
      <c r="D393" s="32" t="inlineStr">
        <is>
          <t xml:space="preserve">Bound - within authority</t>
        </is>
      </c>
      <c r="E393" s="32" t="inlineStr">
        <is>
          <t xml:space="preserve">New business</t>
        </is>
      </c>
      <c r="F393" s="30" t="inlineStr">
        <is>
          <t xml:space="preserve">B1234EXOTIC26</t>
        </is>
      </c>
      <c r="G393" s="33">
        <f>IF($A393="","",IF($C393="","",YEAR($C393)))</f>
      </c>
      <c r="H393" s="34">
        <v>1957</v>
      </c>
      <c r="I393" s="30" t="inlineStr">
        <is>
          <t xml:space="preserve">Maserati</t>
        </is>
      </c>
      <c r="J393" s="30" t="inlineStr">
        <is>
          <t xml:space="preserve">GranTurismo</t>
        </is>
      </c>
      <c r="K393" s="30" t="inlineStr">
        <is>
          <t xml:space="preserve">EVH3L1PRER0YTMBY9</t>
        </is>
      </c>
      <c r="L393" s="32" t="inlineStr">
        <is>
          <t xml:space="preserve">02 - Sports / GT</t>
        </is>
      </c>
      <c r="M393" s="35">
        <v>335000</v>
      </c>
      <c r="N393" s="32" t="inlineStr">
        <is>
          <t xml:space="preserve">Personal</t>
        </is>
      </c>
      <c r="O393" s="30" t="inlineStr">
        <is>
          <t xml:space="preserve">Personal - regular use</t>
        </is>
      </c>
      <c r="P393" s="30" t="inlineStr">
        <is>
          <t xml:space="preserve">Under 1,000</t>
        </is>
      </c>
      <c r="Q393" s="30" t="inlineStr">
        <is>
          <t xml:space="preserve">Mississippi</t>
        </is>
      </c>
      <c r="R393" s="30" t="inlineStr">
        <is>
          <t xml:space="preserve">39201</t>
        </is>
      </c>
      <c r="S393" s="32" t="inlineStr">
        <is>
          <t xml:space="preserve">Tier 2 - Coastal wind (1-25 miles)</t>
        </is>
      </c>
      <c r="T393" s="36">
        <f>IF($A393="","",IF($S393="","",IFERROR(INDEX('[1]natural catastrophe'!$D$6:$D$17,MATCH($S393,'[1]natural catastrophe'!$B$6:$B$17,0)),"?")))</f>
      </c>
      <c r="U393" s="30" t="inlineStr">
        <is>
          <t xml:space="preserve">2% of agreed value, minimum $10,000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5061.35</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CANON-202601-003572</t>
        </is>
      </c>
      <c r="B394" s="46" t="inlineStr">
        <is>
          <t xml:space="preserve">Lorenzo Vasquez</t>
        </is>
      </c>
      <c r="C394" s="47">
        <v>46044</v>
      </c>
      <c r="D394" s="48" t="inlineStr">
        <is>
          <t xml:space="preserve">Bound - within authority</t>
        </is>
      </c>
      <c r="E394" s="48" t="inlineStr">
        <is>
          <t xml:space="preserve">New business</t>
        </is>
      </c>
      <c r="F394" s="46" t="inlineStr">
        <is>
          <t xml:space="preserve">B1234EXOTIC26</t>
        </is>
      </c>
      <c r="G394" s="33">
        <f>IF($A394="","",IF($C394="","",YEAR($C394)))</f>
      </c>
      <c r="H394" s="49">
        <v>1995</v>
      </c>
      <c r="I394" s="46" t="inlineStr">
        <is>
          <t xml:space="preserve">Mercedes-Benz</t>
        </is>
      </c>
      <c r="J394" s="46" t="inlineStr">
        <is>
          <t xml:space="preserve">AMG GT</t>
        </is>
      </c>
      <c r="K394" s="46" t="inlineStr">
        <is>
          <t xml:space="preserve">F42LNMTKL4ZXNRV2X</t>
        </is>
      </c>
      <c r="L394" s="48" t="inlineStr">
        <is>
          <t xml:space="preserve">02 - Sports / GT</t>
        </is>
      </c>
      <c r="M394" s="50">
        <v>430000</v>
      </c>
      <c r="N394" s="48" t="inlineStr">
        <is>
          <t xml:space="preserve">Personal</t>
        </is>
      </c>
      <c r="O394" s="46" t="inlineStr">
        <is>
          <t xml:space="preserve">Personal - regular use</t>
        </is>
      </c>
      <c r="P394" s="46" t="inlineStr">
        <is>
          <t xml:space="preserve">2,500 - 5,000</t>
        </is>
      </c>
      <c r="Q394" s="46" t="inlineStr">
        <is>
          <t xml:space="preserve">Arkansas</t>
        </is>
      </c>
      <c r="R394" s="46" t="inlineStr">
        <is>
          <t xml:space="preserve">72201</t>
        </is>
      </c>
      <c r="S394" s="48" t="inlineStr">
        <is>
          <t xml:space="preserve">Severe convective - hail / tornado (moderate)</t>
        </is>
      </c>
      <c r="T394" s="36">
        <f>IF($A394="","",IF($S394="","",IFERROR(INDEX('[1]natural catastrophe'!$D$6:$D$17,MATCH($S394,'[1]natural catastrophe'!$B$6:$B$17,0)),"?")))</f>
      </c>
      <c r="U394" s="46" t="inlineStr">
        <is>
          <t xml:space="preserve">$5,000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7533.94</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CANON-202601-003573</t>
        </is>
      </c>
      <c r="B395" s="30" t="inlineStr">
        <is>
          <t xml:space="preserve">Everett Okonkwo</t>
        </is>
      </c>
      <c r="C395" s="31">
        <v>46035</v>
      </c>
      <c r="D395" s="32" t="inlineStr">
        <is>
          <t xml:space="preserve">Bound - within authority</t>
        </is>
      </c>
      <c r="E395" s="32" t="inlineStr">
        <is>
          <t xml:space="preserve">New business</t>
        </is>
      </c>
      <c r="F395" s="30" t="inlineStr">
        <is>
          <t xml:space="preserve">B1234EXOTIC26</t>
        </is>
      </c>
      <c r="G395" s="33">
        <f>IF($A395="","",IF($C395="","",YEAR($C395)))</f>
      </c>
      <c r="H395" s="34">
        <v>1974</v>
      </c>
      <c r="I395" s="30" t="inlineStr">
        <is>
          <t xml:space="preserve">Mercedes-Benz</t>
        </is>
      </c>
      <c r="J395" s="30" t="inlineStr">
        <is>
          <t xml:space="preserve">AMG GT</t>
        </is>
      </c>
      <c r="K395" s="30" t="inlineStr">
        <is>
          <t xml:space="preserve">YUWU626AWE6WY97BG</t>
        </is>
      </c>
      <c r="L395" s="32" t="inlineStr">
        <is>
          <t xml:space="preserve">02 - Sports / GT</t>
        </is>
      </c>
      <c r="M395" s="35">
        <v>625000</v>
      </c>
      <c r="N395" s="32" t="inlineStr">
        <is>
          <t xml:space="preserve">Personal</t>
        </is>
      </c>
      <c r="O395" s="30" t="inlineStr">
        <is>
          <t xml:space="preserve">Personal - regular use</t>
        </is>
      </c>
      <c r="P395" s="30" t="inlineStr">
        <is>
          <t xml:space="preserve">1,000 - 2,500</t>
        </is>
      </c>
      <c r="Q395" s="30" t="inlineStr">
        <is>
          <t xml:space="preserve">Vermont</t>
        </is>
      </c>
      <c r="R395" s="30" t="inlineStr">
        <is>
          <t xml:space="preserve">05601</t>
        </is>
      </c>
      <c r="S395" s="32" t="inlineStr">
        <is>
          <t xml:space="preserve">Low hazard - inland benign</t>
        </is>
      </c>
      <c r="T395" s="36">
        <f>IF($A395="","",IF($S395="","",IFERROR(INDEX('[1]natural catastrophe'!$D$6:$D$17,MATCH($S395,'[1]natural catastrophe'!$B$6:$B$17,0)),"?")))</f>
      </c>
      <c r="U395" s="30" t="inlineStr">
        <is>
          <t xml:space="preserve">$5,000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8390.09</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CANON-202601-003576</t>
        </is>
      </c>
      <c r="B396" s="46" t="inlineStr">
        <is>
          <t xml:space="preserve">Desmond Rourke</t>
        </is>
      </c>
      <c r="C396" s="47">
        <v>46045</v>
      </c>
      <c r="D396" s="48" t="inlineStr">
        <is>
          <t xml:space="preserve">Bound - within authority</t>
        </is>
      </c>
      <c r="E396" s="48" t="inlineStr">
        <is>
          <t xml:space="preserve">New business</t>
        </is>
      </c>
      <c r="F396" s="46" t="inlineStr">
        <is>
          <t xml:space="preserve">B1234EXOTIC26</t>
        </is>
      </c>
      <c r="G396" s="33">
        <f>IF($A396="","",IF($C396="","",YEAR($C396)))</f>
      </c>
      <c r="H396" s="49">
        <v>2024</v>
      </c>
      <c r="I396" s="46" t="inlineStr">
        <is>
          <t xml:space="preserve">Maserati</t>
        </is>
      </c>
      <c r="J396" s="46" t="inlineStr">
        <is>
          <t xml:space="preserve">GranTurismo</t>
        </is>
      </c>
      <c r="K396" s="46" t="inlineStr">
        <is>
          <t xml:space="preserve">XLXFS6NRN2KTYCCGT</t>
        </is>
      </c>
      <c r="L396" s="48" t="inlineStr">
        <is>
          <t xml:space="preserve">02 - Sports / GT</t>
        </is>
      </c>
      <c r="M396" s="50">
        <v>430000</v>
      </c>
      <c r="N396" s="48" t="inlineStr">
        <is>
          <t xml:space="preserve">Personal</t>
        </is>
      </c>
      <c r="O396" s="46" t="inlineStr">
        <is>
          <t xml:space="preserve">Personal - regular use</t>
        </is>
      </c>
      <c r="P396" s="46" t="inlineStr">
        <is>
          <t xml:space="preserve">1,000 - 2,500</t>
        </is>
      </c>
      <c r="Q396" s="46" t="inlineStr">
        <is>
          <t xml:space="preserve">West Virginia</t>
        </is>
      </c>
      <c r="R396" s="46" t="inlineStr">
        <is>
          <t xml:space="preserve">25301</t>
        </is>
      </c>
      <c r="S396" s="48" t="inlineStr">
        <is>
          <t xml:space="preserve">Low hazard - inland benign</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7260.97</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CANON-202601-003580</t>
        </is>
      </c>
      <c r="B397" s="30" t="inlineStr">
        <is>
          <t xml:space="preserve">Anouk Harrington</t>
        </is>
      </c>
      <c r="C397" s="31">
        <v>46037</v>
      </c>
      <c r="D397" s="32" t="inlineStr">
        <is>
          <t xml:space="preserve">Bound - within authority</t>
        </is>
      </c>
      <c r="E397" s="32" t="inlineStr">
        <is>
          <t xml:space="preserve">New business</t>
        </is>
      </c>
      <c r="F397" s="30" t="inlineStr">
        <is>
          <t xml:space="preserve">B1234EXOTIC26</t>
        </is>
      </c>
      <c r="G397" s="33">
        <f>IF($A397="","",IF($C397="","",YEAR($C397)))</f>
      </c>
      <c r="H397" s="34">
        <v>2006</v>
      </c>
      <c r="I397" s="30" t="inlineStr">
        <is>
          <t xml:space="preserve">Maserati</t>
        </is>
      </c>
      <c r="J397" s="30" t="inlineStr">
        <is>
          <t xml:space="preserve">GranTurismo</t>
        </is>
      </c>
      <c r="K397" s="30" t="inlineStr">
        <is>
          <t xml:space="preserve">E1P7LNDRG3D2LGHTS</t>
        </is>
      </c>
      <c r="L397" s="32" t="inlineStr">
        <is>
          <t xml:space="preserve">02 - Sports / GT</t>
        </is>
      </c>
      <c r="M397" s="35">
        <v>435000</v>
      </c>
      <c r="N397" s="32" t="inlineStr">
        <is>
          <t xml:space="preserve">Personal</t>
        </is>
      </c>
      <c r="O397" s="30" t="inlineStr">
        <is>
          <t xml:space="preserve">Personal - regular use</t>
        </is>
      </c>
      <c r="P397" s="30" t="inlineStr">
        <is>
          <t xml:space="preserve">Under 1,000</t>
        </is>
      </c>
      <c r="Q397" s="30" t="inlineStr">
        <is>
          <t xml:space="preserve">Wyoming</t>
        </is>
      </c>
      <c r="R397" s="30" t="inlineStr">
        <is>
          <t xml:space="preserve">82001</t>
        </is>
      </c>
      <c r="S397" s="32" t="inlineStr">
        <is>
          <t xml:space="preserve">Severe convective - hail alley (high)</t>
        </is>
      </c>
      <c r="T397" s="36">
        <f>IF($A397="","",IF($S397="","",IFERROR(INDEX('[1]natural catastrophe'!$D$6:$D$17,MATCH($S397,'[1]natural catastrophe'!$B$6:$B$17,0)),"?")))</f>
      </c>
      <c r="U397" s="30" t="inlineStr">
        <is>
          <t xml:space="preserve">$5,000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5909.46</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CANON-202601-003581</t>
        </is>
      </c>
      <c r="B398" s="46" t="inlineStr">
        <is>
          <t xml:space="preserve">Ingrid Chattopadhyay</t>
        </is>
      </c>
      <c r="C398" s="47">
        <v>46024</v>
      </c>
      <c r="D398" s="48" t="inlineStr">
        <is>
          <t xml:space="preserve">Bound - within authority</t>
        </is>
      </c>
      <c r="E398" s="48" t="inlineStr">
        <is>
          <t xml:space="preserve">New business</t>
        </is>
      </c>
      <c r="F398" s="46" t="inlineStr">
        <is>
          <t xml:space="preserve">B1234EXOTIC26</t>
        </is>
      </c>
      <c r="G398" s="33">
        <f>IF($A398="","",IF($C398="","",YEAR($C398)))</f>
      </c>
      <c r="H398" s="49">
        <v>1972</v>
      </c>
      <c r="I398" s="46" t="inlineStr">
        <is>
          <t xml:space="preserve">BMW</t>
        </is>
      </c>
      <c r="J398" s="46" t="inlineStr">
        <is>
          <t xml:space="preserve">M8 Competition</t>
        </is>
      </c>
      <c r="K398" s="46" t="inlineStr">
        <is>
          <t xml:space="preserve">Y6KMB1FE88GV58X5X</t>
        </is>
      </c>
      <c r="L398" s="48" t="inlineStr">
        <is>
          <t xml:space="preserve">02 - Sports / GT</t>
        </is>
      </c>
      <c r="M398" s="50">
        <v>575000</v>
      </c>
      <c r="N398" s="48" t="inlineStr">
        <is>
          <t xml:space="preserve">Personal</t>
        </is>
      </c>
      <c r="O398" s="46" t="inlineStr">
        <is>
          <t xml:space="preserve">Personal - regular use</t>
        </is>
      </c>
      <c r="P398" s="46" t="inlineStr">
        <is>
          <t xml:space="preserve">1,000 - 2,500</t>
        </is>
      </c>
      <c r="Q398" s="46" t="inlineStr">
        <is>
          <t xml:space="preserve">Pennsylvania</t>
        </is>
      </c>
      <c r="R398" s="46" t="inlineStr">
        <is>
          <t xml:space="preserve">19103</t>
        </is>
      </c>
      <c r="S398" s="48" t="inlineStr">
        <is>
          <t xml:space="preserve">Low hazard - inland benign</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6326.96</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CANON-202601-003582</t>
        </is>
      </c>
      <c r="B399" s="30" t="inlineStr">
        <is>
          <t xml:space="preserve">Ingrid Vandermeer</t>
        </is>
      </c>
      <c r="C399" s="31">
        <v>46041</v>
      </c>
      <c r="D399" s="32" t="inlineStr">
        <is>
          <t xml:space="preserve">Bound - within authority</t>
        </is>
      </c>
      <c r="E399" s="32" t="inlineStr">
        <is>
          <t xml:space="preserve">New business</t>
        </is>
      </c>
      <c r="F399" s="30" t="inlineStr">
        <is>
          <t xml:space="preserve">B1234EXOTIC26</t>
        </is>
      </c>
      <c r="G399" s="33">
        <f>IF($A399="","",IF($C399="","",YEAR($C399)))</f>
      </c>
      <c r="H399" s="34">
        <v>2001</v>
      </c>
      <c r="I399" s="30" t="inlineStr">
        <is>
          <t xml:space="preserve">Ferrari</t>
        </is>
      </c>
      <c r="J399" s="30" t="inlineStr">
        <is>
          <t xml:space="preserve">SF90 Stradale</t>
        </is>
      </c>
      <c r="K399" s="30" t="inlineStr">
        <is>
          <t xml:space="preserve">1JC33ZJUFNAX2H6XT</t>
        </is>
      </c>
      <c r="L399" s="32" t="inlineStr">
        <is>
          <t xml:space="preserve">03 - Supercar</t>
        </is>
      </c>
      <c r="M399" s="35">
        <v>920000</v>
      </c>
      <c r="N399" s="32" t="inlineStr">
        <is>
          <t xml:space="preserve">Personal</t>
        </is>
      </c>
      <c r="O399" s="30" t="inlineStr">
        <is>
          <t xml:space="preserve">Personal - regular use</t>
        </is>
      </c>
      <c r="P399" s="30" t="inlineStr">
        <is>
          <t xml:space="preserve">Under 1,000</t>
        </is>
      </c>
      <c r="Q399" s="30" t="inlineStr">
        <is>
          <t xml:space="preserve">California</t>
        </is>
      </c>
      <c r="R399" s="30" t="inlineStr">
        <is>
          <t xml:space="preserve">90012</t>
        </is>
      </c>
      <c r="S399" s="32" t="inlineStr">
        <is>
          <t xml:space="preserve">Earthquake - high (CA, Cascadia, New Madrid)</t>
        </is>
      </c>
      <c r="T399" s="36">
        <f>IF($A399="","",IF($S399="","",IFERROR(INDEX('[1]natural catastrophe'!$D$6:$D$17,MATCH($S399,'[1]natural catastrophe'!$B$6:$B$17,0)),"?")))</f>
      </c>
      <c r="U399" s="30" t="inlineStr">
        <is>
          <t xml:space="preserve">$5,000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19973.7</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CANON-202601-003585</t>
        </is>
      </c>
      <c r="B400" s="46" t="inlineStr">
        <is>
          <t xml:space="preserve">Emiliano Okonkwo</t>
        </is>
      </c>
      <c r="C400" s="47">
        <v>46031</v>
      </c>
      <c r="D400" s="48" t="inlineStr">
        <is>
          <t xml:space="preserve">Bound - within authority</t>
        </is>
      </c>
      <c r="E400" s="48" t="inlineStr">
        <is>
          <t xml:space="preserve">New business</t>
        </is>
      </c>
      <c r="F400" s="46" t="inlineStr">
        <is>
          <t xml:space="preserve">B1234EXOTIC26</t>
        </is>
      </c>
      <c r="G400" s="33">
        <f>IF($A400="","",IF($C400="","",YEAR($C400)))</f>
      </c>
      <c r="H400" s="49">
        <v>2005</v>
      </c>
      <c r="I400" s="46" t="inlineStr">
        <is>
          <t xml:space="preserve">Porsche</t>
        </is>
      </c>
      <c r="J400" s="46" t="inlineStr">
        <is>
          <t xml:space="preserve">911 Turbo S</t>
        </is>
      </c>
      <c r="K400" s="46" t="inlineStr">
        <is>
          <t xml:space="preserve">AW27XLX7KX0W26X1D</t>
        </is>
      </c>
      <c r="L400" s="48" t="inlineStr">
        <is>
          <t xml:space="preserve">02 - Sports / GT</t>
        </is>
      </c>
      <c r="M400" s="50">
        <v>480000</v>
      </c>
      <c r="N400" s="48" t="inlineStr">
        <is>
          <t xml:space="preserve">Personal</t>
        </is>
      </c>
      <c r="O400" s="46" t="inlineStr">
        <is>
          <t xml:space="preserve">Personal - regular use</t>
        </is>
      </c>
      <c r="P400" s="46" t="inlineStr">
        <is>
          <t xml:space="preserve">Under 1,000</t>
        </is>
      </c>
      <c r="Q400" s="46" t="inlineStr">
        <is>
          <t xml:space="preserve">New York</t>
        </is>
      </c>
      <c r="R400" s="46" t="inlineStr">
        <is>
          <t xml:space="preserve">10022</t>
        </is>
      </c>
      <c r="S400" s="48" t="inlineStr">
        <is>
          <t xml:space="preserve">Tier 3 - Coastal wind (25-100 miles)</t>
        </is>
      </c>
      <c r="T400" s="36">
        <f>IF($A400="","",IF($S400="","",IFERROR(INDEX('[1]natural catastrophe'!$D$6:$D$17,MATCH($S400,'[1]natural catastrophe'!$B$6:$B$17,0)),"?")))</f>
      </c>
      <c r="U400" s="46" t="inlineStr">
        <is>
          <t xml:space="preserve">2% of agreed value, minimum $10,000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7800.56</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CANON-202601-003586</t>
        </is>
      </c>
      <c r="B401" s="30" t="inlineStr">
        <is>
          <t xml:space="preserve">Horace Rourke</t>
        </is>
      </c>
      <c r="C401" s="31">
        <v>46037</v>
      </c>
      <c r="D401" s="32" t="inlineStr">
        <is>
          <t xml:space="preserve">Bound - within authority</t>
        </is>
      </c>
      <c r="E401" s="32" t="inlineStr">
        <is>
          <t xml:space="preserve">New business</t>
        </is>
      </c>
      <c r="F401" s="30" t="inlineStr">
        <is>
          <t xml:space="preserve">B1234EXOTIC26</t>
        </is>
      </c>
      <c r="G401" s="33">
        <f>IF($A401="","",IF($C401="","",YEAR($C401)))</f>
      </c>
      <c r="H401" s="34">
        <v>2019</v>
      </c>
      <c r="I401" s="30" t="inlineStr">
        <is>
          <t xml:space="preserve">Ferrari</t>
        </is>
      </c>
      <c r="J401" s="30" t="inlineStr">
        <is>
          <t xml:space="preserve">SF90 Stradale</t>
        </is>
      </c>
      <c r="K401" s="30" t="inlineStr">
        <is>
          <t xml:space="preserve">7BCFD8DW8U0FPEWCJ</t>
        </is>
      </c>
      <c r="L401" s="32" t="inlineStr">
        <is>
          <t xml:space="preserve">03 - Supercar</t>
        </is>
      </c>
      <c r="M401" s="35">
        <v>545000</v>
      </c>
      <c r="N401" s="32" t="inlineStr">
        <is>
          <t xml:space="preserve">Personal</t>
        </is>
      </c>
      <c r="O401" s="30" t="inlineStr">
        <is>
          <t xml:space="preserve">Personal - regular use</t>
        </is>
      </c>
      <c r="P401" s="30" t="inlineStr">
        <is>
          <t xml:space="preserve">1,000 - 2,500</t>
        </is>
      </c>
      <c r="Q401" s="30" t="inlineStr">
        <is>
          <t xml:space="preserve">Washington</t>
        </is>
      </c>
      <c r="R401" s="30" t="inlineStr">
        <is>
          <t xml:space="preserve">98101</t>
        </is>
      </c>
      <c r="S401" s="32" t="inlineStr">
        <is>
          <t xml:space="preserve">Earthquake - high (CA, Cascadia, New Madrid)</t>
        </is>
      </c>
      <c r="T401" s="36">
        <f>IF($A401="","",IF($S401="","",IFERROR(INDEX('[1]natural catastrophe'!$D$6:$D$17,MATCH($S401,'[1]natural catastrophe'!$B$6:$B$17,0)),"?")))</f>
      </c>
      <c r="U401" s="30" t="inlineStr">
        <is>
          <t xml:space="preserve">$5,000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8414.04</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CANON-202601-003587</t>
        </is>
      </c>
      <c r="B402" s="46" t="inlineStr">
        <is>
          <t xml:space="preserve">Callum Montoya</t>
        </is>
      </c>
      <c r="C402" s="47">
        <v>46041</v>
      </c>
      <c r="D402" s="48" t="inlineStr">
        <is>
          <t xml:space="preserve">Bound - within authority</t>
        </is>
      </c>
      <c r="E402" s="48" t="inlineStr">
        <is>
          <t xml:space="preserve">New business</t>
        </is>
      </c>
      <c r="F402" s="46" t="inlineStr">
        <is>
          <t xml:space="preserve">B1234EXOTIC26</t>
        </is>
      </c>
      <c r="G402" s="33">
        <f>IF($A402="","",IF($C402="","",YEAR($C402)))</f>
      </c>
      <c r="H402" s="49">
        <v>1979</v>
      </c>
      <c r="I402" s="46" t="inlineStr">
        <is>
          <t xml:space="preserve">McLaren</t>
        </is>
      </c>
      <c r="J402" s="46" t="inlineStr">
        <is>
          <t xml:space="preserve">750S</t>
        </is>
      </c>
      <c r="K402" s="46" t="inlineStr">
        <is>
          <t xml:space="preserve">P7PG43XGCBTC83APC</t>
        </is>
      </c>
      <c r="L402" s="48" t="inlineStr">
        <is>
          <t xml:space="preserve">03 - Supercar</t>
        </is>
      </c>
      <c r="M402" s="50">
        <v>1695000</v>
      </c>
      <c r="N402" s="48" t="inlineStr">
        <is>
          <t xml:space="preserve">Personal</t>
        </is>
      </c>
      <c r="O402" s="46" t="inlineStr">
        <is>
          <t xml:space="preserve">Personal - regular use</t>
        </is>
      </c>
      <c r="P402" s="46" t="inlineStr">
        <is>
          <t xml:space="preserve">Under 1,000</t>
        </is>
      </c>
      <c r="Q402" s="46" t="inlineStr">
        <is>
          <t xml:space="preserve">Washington</t>
        </is>
      </c>
      <c r="R402" s="46" t="inlineStr">
        <is>
          <t xml:space="preserve">98101</t>
        </is>
      </c>
      <c r="S402" s="48" t="inlineStr">
        <is>
          <t xml:space="preserve">Earthquake - high (CA, Cascadia, New Madrid)</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22036.59</v>
      </c>
      <c r="AC402" s="51">
        <v>0</v>
      </c>
      <c r="AD402" s="38">
        <f>IF(ISNUMBER($AB402),$AB402*(1+N($AC402)),"")</f>
      </c>
      <c r="AE402" s="50">
        <v>350</v>
      </c>
      <c r="AF402" s="50">
        <v>250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CANON-202601-003589</t>
        </is>
      </c>
      <c r="B403" s="30" t="inlineStr">
        <is>
          <t xml:space="preserve">Ottilie Blackwood</t>
        </is>
      </c>
      <c r="C403" s="31">
        <v>46037</v>
      </c>
      <c r="D403" s="32" t="inlineStr">
        <is>
          <t xml:space="preserve">Bound - within authority</t>
        </is>
      </c>
      <c r="E403" s="32" t="inlineStr">
        <is>
          <t xml:space="preserve">New business</t>
        </is>
      </c>
      <c r="F403" s="30" t="inlineStr">
        <is>
          <t xml:space="preserve">B1234EXOTIC26</t>
        </is>
      </c>
      <c r="G403" s="33">
        <f>IF($A403="","",IF($C403="","",YEAR($C403)))</f>
      </c>
      <c r="H403" s="34">
        <v>2007</v>
      </c>
      <c r="I403" s="30" t="inlineStr">
        <is>
          <t xml:space="preserve">Ferrari</t>
        </is>
      </c>
      <c r="J403" s="30" t="inlineStr">
        <is>
          <t xml:space="preserve">SF90 Stradale</t>
        </is>
      </c>
      <c r="K403" s="30" t="inlineStr">
        <is>
          <t xml:space="preserve">1F91DE8MYTV3FPHXT</t>
        </is>
      </c>
      <c r="L403" s="32" t="inlineStr">
        <is>
          <t xml:space="preserve">03 - Supercar</t>
        </is>
      </c>
      <c r="M403" s="35">
        <v>705000</v>
      </c>
      <c r="N403" s="32" t="inlineStr">
        <is>
          <t xml:space="preserve">Personal</t>
        </is>
      </c>
      <c r="O403" s="30" t="inlineStr">
        <is>
          <t xml:space="preserve">Personal - regular use</t>
        </is>
      </c>
      <c r="P403" s="30" t="inlineStr">
        <is>
          <t xml:space="preserve">Under 1,000</t>
        </is>
      </c>
      <c r="Q403" s="30" t="inlineStr">
        <is>
          <t xml:space="preserve">Alabama</t>
        </is>
      </c>
      <c r="R403" s="30" t="inlineStr">
        <is>
          <t xml:space="preserve">35203</t>
        </is>
      </c>
      <c r="S403" s="32" t="inlineStr">
        <is>
          <t xml:space="preserve">Tier 2 - Coastal wind (1-25 miles)</t>
        </is>
      </c>
      <c r="T403" s="36">
        <f>IF($A403="","",IF($S403="","",IFERROR(INDEX('[1]natural catastrophe'!$D$6:$D$17,MATCH($S403,'[1]natural catastrophe'!$B$6:$B$17,0)),"?")))</f>
      </c>
      <c r="U403" s="30" t="inlineStr">
        <is>
          <t xml:space="preserve">2% of agreed value, minimum $10,000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14398.92</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CANON-202601-003590</t>
        </is>
      </c>
      <c r="B404" s="46" t="inlineStr">
        <is>
          <t xml:space="preserve">Noor Pennington</t>
        </is>
      </c>
      <c r="C404" s="47">
        <v>46050</v>
      </c>
      <c r="D404" s="48" t="inlineStr">
        <is>
          <t xml:space="preserve">Bound - within authority</t>
        </is>
      </c>
      <c r="E404" s="48" t="inlineStr">
        <is>
          <t xml:space="preserve">New business</t>
        </is>
      </c>
      <c r="F404" s="46" t="inlineStr">
        <is>
          <t xml:space="preserve">B1234EXOTIC26</t>
        </is>
      </c>
      <c r="G404" s="33">
        <f>IF($A404="","",IF($C404="","",YEAR($C404)))</f>
      </c>
      <c r="H404" s="49">
        <v>2023</v>
      </c>
      <c r="I404" s="46" t="inlineStr">
        <is>
          <t xml:space="preserve">Mercedes-Benz</t>
        </is>
      </c>
      <c r="J404" s="46" t="inlineStr">
        <is>
          <t xml:space="preserve">AMG GT</t>
        </is>
      </c>
      <c r="K404" s="46" t="inlineStr">
        <is>
          <t xml:space="preserve">GZKH2SPSY0SG23UWK</t>
        </is>
      </c>
      <c r="L404" s="48" t="inlineStr">
        <is>
          <t xml:space="preserve">02 - Sports / GT</t>
        </is>
      </c>
      <c r="M404" s="50">
        <v>435000</v>
      </c>
      <c r="N404" s="48" t="inlineStr">
        <is>
          <t xml:space="preserve">Personal</t>
        </is>
      </c>
      <c r="O404" s="46" t="inlineStr">
        <is>
          <t xml:space="preserve">Personal - regular use</t>
        </is>
      </c>
      <c r="P404" s="46" t="inlineStr">
        <is>
          <t xml:space="preserve">1,000 - 2,500</t>
        </is>
      </c>
      <c r="Q404" s="46" t="inlineStr">
        <is>
          <t xml:space="preserve">Rhode Island</t>
        </is>
      </c>
      <c r="R404" s="46" t="inlineStr">
        <is>
          <t xml:space="preserve">02903</t>
        </is>
      </c>
      <c r="S404" s="48" t="inlineStr">
        <is>
          <t xml:space="preserve">Tier 3 - Coastal wind (25-100 miles)</t>
        </is>
      </c>
      <c r="T404" s="36">
        <f>IF($A404="","",IF($S404="","",IFERROR(INDEX('[1]natural catastrophe'!$D$6:$D$17,MATCH($S404,'[1]natural catastrophe'!$B$6:$B$17,0)),"?")))</f>
      </c>
      <c r="U404" s="46" t="inlineStr">
        <is>
          <t xml:space="preserve">2% of agreed value, minimum $10,000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7566.31</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CANON-202601-003591</t>
        </is>
      </c>
      <c r="B405" s="30" t="inlineStr">
        <is>
          <t xml:space="preserve">Callum Farkas</t>
        </is>
      </c>
      <c r="C405" s="31">
        <v>46044</v>
      </c>
      <c r="D405" s="32" t="inlineStr">
        <is>
          <t xml:space="preserve">Bound - within authority</t>
        </is>
      </c>
      <c r="E405" s="32" t="inlineStr">
        <is>
          <t xml:space="preserve">New business</t>
        </is>
      </c>
      <c r="F405" s="30" t="inlineStr">
        <is>
          <t xml:space="preserve">B1234EXOTIC26</t>
        </is>
      </c>
      <c r="G405" s="33">
        <f>IF($A405="","",IF($C405="","",YEAR($C405)))</f>
      </c>
      <c r="H405" s="34">
        <v>2006</v>
      </c>
      <c r="I405" s="30" t="inlineStr">
        <is>
          <t xml:space="preserve">Porsche</t>
        </is>
      </c>
      <c r="J405" s="30" t="inlineStr">
        <is>
          <t xml:space="preserve">911 Turbo S</t>
        </is>
      </c>
      <c r="K405" s="30" t="inlineStr">
        <is>
          <t xml:space="preserve">G0T382BJ7LXW11NMR</t>
        </is>
      </c>
      <c r="L405" s="32" t="inlineStr">
        <is>
          <t xml:space="preserve">02 - Sports / GT</t>
        </is>
      </c>
      <c r="M405" s="35">
        <v>345000</v>
      </c>
      <c r="N405" s="32" t="inlineStr">
        <is>
          <t xml:space="preserve">Personal</t>
        </is>
      </c>
      <c r="O405" s="30" t="inlineStr">
        <is>
          <t xml:space="preserve">Personal - regular use</t>
        </is>
      </c>
      <c r="P405" s="30" t="inlineStr">
        <is>
          <t xml:space="preserve">1,000 - 2,500</t>
        </is>
      </c>
      <c r="Q405" s="30" t="inlineStr">
        <is>
          <t xml:space="preserve">Wisconsin</t>
        </is>
      </c>
      <c r="R405" s="30" t="inlineStr">
        <is>
          <t xml:space="preserve">53202</t>
        </is>
      </c>
      <c r="S405" s="32" t="inlineStr">
        <is>
          <t xml:space="preserve">Severe convective - hail / tornado (moderate)</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5256.24</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CANON-202601-003597</t>
        </is>
      </c>
      <c r="B406" s="46" t="inlineStr">
        <is>
          <t xml:space="preserve">Delphine Larsson</t>
        </is>
      </c>
      <c r="C406" s="47">
        <v>46049</v>
      </c>
      <c r="D406" s="48" t="inlineStr">
        <is>
          <t xml:space="preserve">Bound - within authority</t>
        </is>
      </c>
      <c r="E406" s="48" t="inlineStr">
        <is>
          <t xml:space="preserve">New business</t>
        </is>
      </c>
      <c r="F406" s="46" t="inlineStr">
        <is>
          <t xml:space="preserve">B1234EXOTIC26</t>
        </is>
      </c>
      <c r="G406" s="33">
        <f>IF($A406="","",IF($C406="","",YEAR($C406)))</f>
      </c>
      <c r="H406" s="49">
        <v>2007</v>
      </c>
      <c r="I406" s="46" t="inlineStr">
        <is>
          <t xml:space="preserve">Porsche</t>
        </is>
      </c>
      <c r="J406" s="46" t="inlineStr">
        <is>
          <t xml:space="preserve">911 Turbo S</t>
        </is>
      </c>
      <c r="K406" s="46" t="inlineStr">
        <is>
          <t xml:space="preserve">G9RVRBYXKMZT1RY0N</t>
        </is>
      </c>
      <c r="L406" s="48" t="inlineStr">
        <is>
          <t xml:space="preserve">02 - Sports / GT</t>
        </is>
      </c>
      <c r="M406" s="50">
        <v>795000</v>
      </c>
      <c r="N406" s="48" t="inlineStr">
        <is>
          <t xml:space="preserve">Personal</t>
        </is>
      </c>
      <c r="O406" s="46" t="inlineStr">
        <is>
          <t xml:space="preserve">Personal - regular use</t>
        </is>
      </c>
      <c r="P406" s="46" t="inlineStr">
        <is>
          <t xml:space="preserve">1,000 - 2,500</t>
        </is>
      </c>
      <c r="Q406" s="46" t="inlineStr">
        <is>
          <t xml:space="preserve">Ohio</t>
        </is>
      </c>
      <c r="R406" s="46" t="inlineStr">
        <is>
          <t xml:space="preserve">43215</t>
        </is>
      </c>
      <c r="S406" s="48" t="inlineStr">
        <is>
          <t xml:space="preserve">Severe convective - hail / tornado (moderate)</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12159.3</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CANON-202601-003599</t>
        </is>
      </c>
      <c r="B407" s="30" t="inlineStr">
        <is>
          <t xml:space="preserve">Ramona Nakashima</t>
        </is>
      </c>
      <c r="C407" s="31">
        <v>46031</v>
      </c>
      <c r="D407" s="32" t="inlineStr">
        <is>
          <t xml:space="preserve">Bound - within authority</t>
        </is>
      </c>
      <c r="E407" s="32" t="inlineStr">
        <is>
          <t xml:space="preserve">New business</t>
        </is>
      </c>
      <c r="F407" s="30" t="inlineStr">
        <is>
          <t xml:space="preserve">B1234EXOTIC26</t>
        </is>
      </c>
      <c r="G407" s="33">
        <f>IF($A407="","",IF($C407="","",YEAR($C407)))</f>
      </c>
      <c r="H407" s="34">
        <v>2003</v>
      </c>
      <c r="I407" s="30" t="inlineStr">
        <is>
          <t xml:space="preserve">Aston Martin</t>
        </is>
      </c>
      <c r="J407" s="30" t="inlineStr">
        <is>
          <t xml:space="preserve">DB5</t>
        </is>
      </c>
      <c r="K407" s="30" t="inlineStr">
        <is>
          <t xml:space="preserve">RAY8C3V5BPAAL2F82</t>
        </is>
      </c>
      <c r="L407" s="32" t="inlineStr">
        <is>
          <t xml:space="preserve">09 - Youngtimer / Collectible (2000-2010)</t>
        </is>
      </c>
      <c r="M407" s="35">
        <v>335000</v>
      </c>
      <c r="N407" s="32" t="inlineStr">
        <is>
          <t xml:space="preserve">Personal</t>
        </is>
      </c>
      <c r="O407" s="30" t="inlineStr">
        <is>
          <t xml:space="preserve">Personal - regular use</t>
        </is>
      </c>
      <c r="P407" s="30" t="inlineStr">
        <is>
          <t xml:space="preserve">Under 1,000</t>
        </is>
      </c>
      <c r="Q407" s="30" t="inlineStr">
        <is>
          <t xml:space="preserve">Maine</t>
        </is>
      </c>
      <c r="R407" s="30" t="inlineStr">
        <is>
          <t xml:space="preserve">04101</t>
        </is>
      </c>
      <c r="S407" s="32" t="inlineStr">
        <is>
          <t xml:space="preserve">Tier 3 - Coastal wind (25-100 miles)</t>
        </is>
      </c>
      <c r="T407" s="36">
        <f>IF($A407="","",IF($S407="","",IFERROR(INDEX('[1]natural catastrophe'!$D$6:$D$17,MATCH($S407,'[1]natural catastrophe'!$B$6:$B$17,0)),"?")))</f>
      </c>
      <c r="U407" s="30" t="inlineStr">
        <is>
          <t xml:space="preserve">2% of agreed value, minimum $10,000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2939.84</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CANON-202601-003600</t>
        </is>
      </c>
      <c r="B408" s="46" t="inlineStr">
        <is>
          <t xml:space="preserve">Aurelio Rourke</t>
        </is>
      </c>
      <c r="C408" s="47">
        <v>46025</v>
      </c>
      <c r="D408" s="48" t="inlineStr">
        <is>
          <t xml:space="preserve">Bound - within authority</t>
        </is>
      </c>
      <c r="E408" s="48" t="inlineStr">
        <is>
          <t xml:space="preserve">New business</t>
        </is>
      </c>
      <c r="F408" s="46" t="inlineStr">
        <is>
          <t xml:space="preserve">B1234EXOTIC26</t>
        </is>
      </c>
      <c r="G408" s="33">
        <f>IF($A408="","",IF($C408="","",YEAR($C408)))</f>
      </c>
      <c r="H408" s="49">
        <v>2005</v>
      </c>
      <c r="I408" s="46" t="inlineStr">
        <is>
          <t xml:space="preserve">Ferrari</t>
        </is>
      </c>
      <c r="J408" s="46" t="inlineStr">
        <is>
          <t xml:space="preserve">296 GTB</t>
        </is>
      </c>
      <c r="K408" s="46" t="inlineStr">
        <is>
          <t xml:space="preserve">F4RK2PS1K9NEV52L4</t>
        </is>
      </c>
      <c r="L408" s="48" t="inlineStr">
        <is>
          <t xml:space="preserve">03 - Supercar</t>
        </is>
      </c>
      <c r="M408" s="50">
        <v>910000</v>
      </c>
      <c r="N408" s="48" t="inlineStr">
        <is>
          <t xml:space="preserve">Personal</t>
        </is>
      </c>
      <c r="O408" s="46" t="inlineStr">
        <is>
          <t xml:space="preserve">Personal - regular use</t>
        </is>
      </c>
      <c r="P408" s="46" t="inlineStr">
        <is>
          <t xml:space="preserve">2,500 - 5,000</t>
        </is>
      </c>
      <c r="Q408" s="46" t="inlineStr">
        <is>
          <t xml:space="preserve">Colorado</t>
        </is>
      </c>
      <c r="R408" s="46" t="inlineStr">
        <is>
          <t xml:space="preserve">80202</t>
        </is>
      </c>
      <c r="S408" s="48" t="inlineStr">
        <is>
          <t xml:space="preserve">Severe convective - hail alley (high)</t>
        </is>
      </c>
      <c r="T408" s="36">
        <f>IF($A408="","",IF($S408="","",IFERROR(INDEX('[1]natural catastrophe'!$D$6:$D$17,MATCH($S408,'[1]natural catastrophe'!$B$6:$B$17,0)),"?")))</f>
      </c>
      <c r="U408" s="46" t="inlineStr">
        <is>
          <t xml:space="preserve">$5,000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16097.97</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CANON-202601-003601</t>
        </is>
      </c>
      <c r="B409" s="30" t="inlineStr">
        <is>
          <t xml:space="preserve">Beatrix Okonkwo</t>
        </is>
      </c>
      <c r="C409" s="31">
        <v>46042</v>
      </c>
      <c r="D409" s="32" t="inlineStr">
        <is>
          <t xml:space="preserve">Bound - within authority</t>
        </is>
      </c>
      <c r="E409" s="32" t="inlineStr">
        <is>
          <t xml:space="preserve">New business</t>
        </is>
      </c>
      <c r="F409" s="30" t="inlineStr">
        <is>
          <t xml:space="preserve">B1234EXOTIC26</t>
        </is>
      </c>
      <c r="G409" s="33">
        <f>IF($A409="","",IF($C409="","",YEAR($C409)))</f>
      </c>
      <c r="H409" s="34">
        <v>1990</v>
      </c>
      <c r="I409" s="30" t="inlineStr">
        <is>
          <t xml:space="preserve">Porsche</t>
        </is>
      </c>
      <c r="J409" s="30" t="inlineStr">
        <is>
          <t xml:space="preserve">911 Turbo S</t>
        </is>
      </c>
      <c r="K409" s="30" t="inlineStr">
        <is>
          <t xml:space="preserve">AFBT0XBLU57V6R1ND</t>
        </is>
      </c>
      <c r="L409" s="32" t="inlineStr">
        <is>
          <t xml:space="preserve">02 - Sports / GT</t>
        </is>
      </c>
      <c r="M409" s="35">
        <v>830000</v>
      </c>
      <c r="N409" s="32" t="inlineStr">
        <is>
          <t xml:space="preserve">Personal</t>
        </is>
      </c>
      <c r="O409" s="30" t="inlineStr">
        <is>
          <t xml:space="preserve">Personal - regular use</t>
        </is>
      </c>
      <c r="P409" s="30" t="inlineStr">
        <is>
          <t xml:space="preserve">Under 1,000</t>
        </is>
      </c>
      <c r="Q409" s="30" t="inlineStr">
        <is>
          <t xml:space="preserve">Colorado</t>
        </is>
      </c>
      <c r="R409" s="30" t="inlineStr">
        <is>
          <t xml:space="preserve">80202</t>
        </is>
      </c>
      <c r="S409" s="32" t="inlineStr">
        <is>
          <t xml:space="preserve">Severe convective - hail alley (high)</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10046.1</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CANON-202601-003602</t>
        </is>
      </c>
      <c r="B410" s="46" t="inlineStr">
        <is>
          <t xml:space="preserve">Fitzgerald Okonkwo</t>
        </is>
      </c>
      <c r="C410" s="47">
        <v>46025</v>
      </c>
      <c r="D410" s="48" t="inlineStr">
        <is>
          <t xml:space="preserve">Bound - within authority</t>
        </is>
      </c>
      <c r="E410" s="48" t="inlineStr">
        <is>
          <t xml:space="preserve">New business</t>
        </is>
      </c>
      <c r="F410" s="46" t="inlineStr">
        <is>
          <t xml:space="preserve">B1234EXOTIC26</t>
        </is>
      </c>
      <c r="G410" s="33">
        <f>IF($A410="","",IF($C410="","",YEAR($C410)))</f>
      </c>
      <c r="H410" s="49">
        <v>2013</v>
      </c>
      <c r="I410" s="46" t="inlineStr">
        <is>
          <t xml:space="preserve">Porsche</t>
        </is>
      </c>
      <c r="J410" s="46" t="inlineStr">
        <is>
          <t xml:space="preserve">911 Turbo S</t>
        </is>
      </c>
      <c r="K410" s="46" t="inlineStr">
        <is>
          <t xml:space="preserve">DSJR85PYKMGFW3XWC</t>
        </is>
      </c>
      <c r="L410" s="48" t="inlineStr">
        <is>
          <t xml:space="preserve">02 - Sports / GT</t>
        </is>
      </c>
      <c r="M410" s="50">
        <v>855000</v>
      </c>
      <c r="N410" s="48" t="inlineStr">
        <is>
          <t xml:space="preserve">Personal</t>
        </is>
      </c>
      <c r="O410" s="46" t="inlineStr">
        <is>
          <t xml:space="preserve">Personal - regular use</t>
        </is>
      </c>
      <c r="P410" s="46" t="inlineStr">
        <is>
          <t xml:space="preserve">1,000 - 2,500</t>
        </is>
      </c>
      <c r="Q410" s="46" t="inlineStr">
        <is>
          <t xml:space="preserve">Colorado</t>
        </is>
      </c>
      <c r="R410" s="46" t="inlineStr">
        <is>
          <t xml:space="preserve">80202</t>
        </is>
      </c>
      <c r="S410" s="48" t="inlineStr">
        <is>
          <t xml:space="preserve">Severe convective - hail alley (high)</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10348.69</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CANON-202601-003603</t>
        </is>
      </c>
      <c r="B411" s="30" t="inlineStr">
        <is>
          <t xml:space="preserve">Priya Vasquez</t>
        </is>
      </c>
      <c r="C411" s="31">
        <v>46036</v>
      </c>
      <c r="D411" s="32" t="inlineStr">
        <is>
          <t xml:space="preserve">Bound - within authority</t>
        </is>
      </c>
      <c r="E411" s="32" t="inlineStr">
        <is>
          <t xml:space="preserve">New business</t>
        </is>
      </c>
      <c r="F411" s="30" t="inlineStr">
        <is>
          <t xml:space="preserve">B1234EXOTIC26</t>
        </is>
      </c>
      <c r="G411" s="33">
        <f>IF($A411="","",IF($C411="","",YEAR($C411)))</f>
      </c>
      <c r="H411" s="34">
        <v>1979</v>
      </c>
      <c r="I411" s="30" t="inlineStr">
        <is>
          <t xml:space="preserve">Porsche</t>
        </is>
      </c>
      <c r="J411" s="30" t="inlineStr">
        <is>
          <t xml:space="preserve">911 Turbo S</t>
        </is>
      </c>
      <c r="K411" s="30" t="inlineStr">
        <is>
          <t xml:space="preserve">8EC8P3XPCRGY92G7Y</t>
        </is>
      </c>
      <c r="L411" s="32" t="inlineStr">
        <is>
          <t xml:space="preserve">02 - Sports / GT</t>
        </is>
      </c>
      <c r="M411" s="35">
        <v>385000</v>
      </c>
      <c r="N411" s="32" t="inlineStr">
        <is>
          <t xml:space="preserve">Personal</t>
        </is>
      </c>
      <c r="O411" s="30" t="inlineStr">
        <is>
          <t xml:space="preserve">Personal - regular use</t>
        </is>
      </c>
      <c r="P411" s="30" t="inlineStr">
        <is>
          <t xml:space="preserve">2,500 - 5,000</t>
        </is>
      </c>
      <c r="Q411" s="30" t="inlineStr">
        <is>
          <t xml:space="preserve">Texas</t>
        </is>
      </c>
      <c r="R411" s="30" t="inlineStr">
        <is>
          <t xml:space="preserve">75201</t>
        </is>
      </c>
      <c r="S411" s="32" t="inlineStr">
        <is>
          <t xml:space="preserve">Tier 2 - Coastal wind (1-25 miles)</t>
        </is>
      </c>
      <c r="T411" s="36">
        <f>IF($A411="","",IF($S411="","",IFERROR(INDEX('[1]natural catastrophe'!$D$6:$D$17,MATCH($S411,'[1]natural catastrophe'!$B$6:$B$17,0)),"?")))</f>
      </c>
      <c r="U411" s="30" t="inlineStr">
        <is>
          <t xml:space="preserve">2% of agreed value, minimum $10,000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5621.25</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CANON-202601-003605</t>
        </is>
      </c>
      <c r="B412" s="46" t="inlineStr">
        <is>
          <t xml:space="preserve">Saoirse Okonkwo</t>
        </is>
      </c>
      <c r="C412" s="47">
        <v>46043</v>
      </c>
      <c r="D412" s="48" t="inlineStr">
        <is>
          <t xml:space="preserve">Bound - within authority</t>
        </is>
      </c>
      <c r="E412" s="48" t="inlineStr">
        <is>
          <t xml:space="preserve">New business</t>
        </is>
      </c>
      <c r="F412" s="46" t="inlineStr">
        <is>
          <t xml:space="preserve">B1234EXOTIC26</t>
        </is>
      </c>
      <c r="G412" s="33">
        <f>IF($A412="","",IF($C412="","",YEAR($C412)))</f>
      </c>
      <c r="H412" s="49">
        <v>1964</v>
      </c>
      <c r="I412" s="46" t="inlineStr">
        <is>
          <t xml:space="preserve">Porsche</t>
        </is>
      </c>
      <c r="J412" s="46" t="inlineStr">
        <is>
          <t xml:space="preserve">911 Turbo S</t>
        </is>
      </c>
      <c r="K412" s="46" t="inlineStr">
        <is>
          <t xml:space="preserve">M4LRZBGXST754EFC6</t>
        </is>
      </c>
      <c r="L412" s="48" t="inlineStr">
        <is>
          <t xml:space="preserve">02 - Sports / GT</t>
        </is>
      </c>
      <c r="M412" s="50">
        <v>690000</v>
      </c>
      <c r="N412" s="48" t="inlineStr">
        <is>
          <t xml:space="preserve">Personal</t>
        </is>
      </c>
      <c r="O412" s="46" t="inlineStr">
        <is>
          <t xml:space="preserve">Personal - regular use</t>
        </is>
      </c>
      <c r="P412" s="46" t="inlineStr">
        <is>
          <t xml:space="preserve">1,000 - 2,500</t>
        </is>
      </c>
      <c r="Q412" s="46" t="inlineStr">
        <is>
          <t xml:space="preserve">North Dakota</t>
        </is>
      </c>
      <c r="R412" s="46" t="inlineStr">
        <is>
          <t xml:space="preserve">58501</t>
        </is>
      </c>
      <c r="S412" s="48" t="inlineStr">
        <is>
          <t xml:space="preserve">Severe convective - hail alley (high)</t>
        </is>
      </c>
      <c r="T412" s="36">
        <f>IF($A412="","",IF($S412="","",IFERROR(INDEX('[1]natural catastrophe'!$D$6:$D$17,MATCH($S412,'[1]natural catastrophe'!$B$6:$B$17,0)),"?")))</f>
      </c>
      <c r="U412" s="46" t="inlineStr">
        <is>
          <t xml:space="preserve">$5,000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7744.19</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CANON-202601-003607</t>
        </is>
      </c>
      <c r="B413" s="30" t="inlineStr">
        <is>
          <t xml:space="preserve">Anouk Okonkwo</t>
        </is>
      </c>
      <c r="C413" s="31">
        <v>46032</v>
      </c>
      <c r="D413" s="32" t="inlineStr">
        <is>
          <t xml:space="preserve">Bound - within authority</t>
        </is>
      </c>
      <c r="E413" s="32" t="inlineStr">
        <is>
          <t xml:space="preserve">New business</t>
        </is>
      </c>
      <c r="F413" s="30" t="inlineStr">
        <is>
          <t xml:space="preserve">B1234EXOTIC26</t>
        </is>
      </c>
      <c r="G413" s="33">
        <f>IF($A413="","",IF($C413="","",YEAR($C413)))</f>
      </c>
      <c r="H413" s="34">
        <v>2014</v>
      </c>
      <c r="I413" s="30" t="inlineStr">
        <is>
          <t xml:space="preserve">Aston Martin</t>
        </is>
      </c>
      <c r="J413" s="30" t="inlineStr">
        <is>
          <t xml:space="preserve">DB12</t>
        </is>
      </c>
      <c r="K413" s="30" t="inlineStr">
        <is>
          <t xml:space="preserve">49EA11S0GXAFLS6G8</t>
        </is>
      </c>
      <c r="L413" s="32" t="inlineStr">
        <is>
          <t xml:space="preserve">02 - Sports / GT</t>
        </is>
      </c>
      <c r="M413" s="35">
        <v>1090000</v>
      </c>
      <c r="N413" s="32" t="inlineStr">
        <is>
          <t xml:space="preserve">Personal</t>
        </is>
      </c>
      <c r="O413" s="30" t="inlineStr">
        <is>
          <t xml:space="preserve">Personal - regular use</t>
        </is>
      </c>
      <c r="P413" s="30" t="inlineStr">
        <is>
          <t xml:space="preserve">2,500 - 5,000</t>
        </is>
      </c>
      <c r="Q413" s="30" t="inlineStr">
        <is>
          <t xml:space="preserve">Florida</t>
        </is>
      </c>
      <c r="R413" s="30" t="inlineStr">
        <is>
          <t xml:space="preserve">33139</t>
        </is>
      </c>
      <c r="S413" s="32" t="inlineStr">
        <is>
          <t xml:space="preserve">Tier 2 - Coastal wind (1-25 miles)</t>
        </is>
      </c>
      <c r="T413" s="36">
        <f>IF($A413="","",IF($S413="","",IFERROR(INDEX('[1]natural catastrophe'!$D$6:$D$17,MATCH($S413,'[1]natural catastrophe'!$B$6:$B$17,0)),"?")))</f>
      </c>
      <c r="U413" s="30" t="inlineStr">
        <is>
          <t xml:space="preserve">2% of agreed value, minimum $10,000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14410.9</v>
      </c>
      <c r="AC413" s="37">
        <v>0</v>
      </c>
      <c r="AD413" s="38">
        <f>IF(ISNUMBER($AB413),$AB413*(1+N($AC413)),"")</f>
      </c>
      <c r="AE413" s="35">
        <v>350</v>
      </c>
      <c r="AF413" s="35">
        <v>250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CANON-202601-003608</t>
        </is>
      </c>
      <c r="B414" s="46" t="inlineStr">
        <is>
          <t xml:space="preserve">Noor Delacroix</t>
        </is>
      </c>
      <c r="C414" s="47">
        <v>46043</v>
      </c>
      <c r="D414" s="48" t="inlineStr">
        <is>
          <t xml:space="preserve">Bound - within authority</t>
        </is>
      </c>
      <c r="E414" s="48" t="inlineStr">
        <is>
          <t xml:space="preserve">New business</t>
        </is>
      </c>
      <c r="F414" s="46" t="inlineStr">
        <is>
          <t xml:space="preserve">B1234EXOTIC26</t>
        </is>
      </c>
      <c r="G414" s="33">
        <f>IF($A414="","",IF($C414="","",YEAR($C414)))</f>
      </c>
      <c r="H414" s="49">
        <v>1961</v>
      </c>
      <c r="I414" s="46" t="inlineStr">
        <is>
          <t xml:space="preserve">Maserati</t>
        </is>
      </c>
      <c r="J414" s="46" t="inlineStr">
        <is>
          <t xml:space="preserve">GranTurismo</t>
        </is>
      </c>
      <c r="K414" s="46" t="inlineStr">
        <is>
          <t xml:space="preserve">Z8RXD3D2S4WM9PD4N</t>
        </is>
      </c>
      <c r="L414" s="48" t="inlineStr">
        <is>
          <t xml:space="preserve">02 - Sports / GT</t>
        </is>
      </c>
      <c r="M414" s="50">
        <v>290000</v>
      </c>
      <c r="N414" s="48" t="inlineStr">
        <is>
          <t xml:space="preserve">Personal</t>
        </is>
      </c>
      <c r="O414" s="46" t="inlineStr">
        <is>
          <t xml:space="preserve">Personal - regular use</t>
        </is>
      </c>
      <c r="P414" s="46" t="inlineStr">
        <is>
          <t xml:space="preserve">1,000 - 2,500</t>
        </is>
      </c>
      <c r="Q414" s="46" t="inlineStr">
        <is>
          <t xml:space="preserve">South Carolina</t>
        </is>
      </c>
      <c r="R414" s="46" t="inlineStr">
        <is>
          <t xml:space="preserve">29401</t>
        </is>
      </c>
      <c r="S414" s="48" t="inlineStr">
        <is>
          <t xml:space="preserve">Tier 2 - Coastal wind (1-25 miles)</t>
        </is>
      </c>
      <c r="T414" s="36">
        <f>IF($A414="","",IF($S414="","",IFERROR(INDEX('[1]natural catastrophe'!$D$6:$D$17,MATCH($S414,'[1]natural catastrophe'!$B$6:$B$17,0)),"?")))</f>
      </c>
      <c r="U414" s="46" t="inlineStr">
        <is>
          <t xml:space="preserve">2% of agreed value, minimum $10,000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4565.56</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CANON-202601-003609</t>
        </is>
      </c>
      <c r="B415" s="30" t="inlineStr">
        <is>
          <t xml:space="preserve">Anouk Harrington</t>
        </is>
      </c>
      <c r="C415" s="31">
        <v>46026</v>
      </c>
      <c r="D415" s="32" t="inlineStr">
        <is>
          <t xml:space="preserve">Bound - within authority</t>
        </is>
      </c>
      <c r="E415" s="32" t="inlineStr">
        <is>
          <t xml:space="preserve">New business</t>
        </is>
      </c>
      <c r="F415" s="30" t="inlineStr">
        <is>
          <t xml:space="preserve">B1234EXOTIC26</t>
        </is>
      </c>
      <c r="G415" s="33">
        <f>IF($A415="","",IF($C415="","",YEAR($C415)))</f>
      </c>
      <c r="H415" s="34">
        <v>1997</v>
      </c>
      <c r="I415" s="30" t="inlineStr">
        <is>
          <t xml:space="preserve">Porsche</t>
        </is>
      </c>
      <c r="J415" s="30" t="inlineStr">
        <is>
          <t xml:space="preserve">911 Turbo S</t>
        </is>
      </c>
      <c r="K415" s="30" t="inlineStr">
        <is>
          <t xml:space="preserve">W0K7RDJBTLU4FPS4L</t>
        </is>
      </c>
      <c r="L415" s="32" t="inlineStr">
        <is>
          <t xml:space="preserve">02 - Sports / GT</t>
        </is>
      </c>
      <c r="M415" s="35">
        <v>160000</v>
      </c>
      <c r="N415" s="32" t="inlineStr">
        <is>
          <t xml:space="preserve">Personal</t>
        </is>
      </c>
      <c r="O415" s="30" t="inlineStr">
        <is>
          <t xml:space="preserve">Personal - regular use</t>
        </is>
      </c>
      <c r="P415" s="30" t="inlineStr">
        <is>
          <t xml:space="preserve">2,500 - 5,000</t>
        </is>
      </c>
      <c r="Q415" s="30" t="inlineStr">
        <is>
          <t xml:space="preserve">Wisconsin</t>
        </is>
      </c>
      <c r="R415" s="30" t="inlineStr">
        <is>
          <t xml:space="preserve">53202</t>
        </is>
      </c>
      <c r="S415" s="32" t="inlineStr">
        <is>
          <t xml:space="preserve">Severe convective - hail / tornado (moderate)</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2990.22</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CANON-202601-003611</t>
        </is>
      </c>
      <c r="B416" s="46" t="inlineStr">
        <is>
          <t xml:space="preserve">Callum Chattopadhyay</t>
        </is>
      </c>
      <c r="C416" s="47">
        <v>46051</v>
      </c>
      <c r="D416" s="48" t="inlineStr">
        <is>
          <t xml:space="preserve">Bound - within authority</t>
        </is>
      </c>
      <c r="E416" s="48" t="inlineStr">
        <is>
          <t xml:space="preserve">New business</t>
        </is>
      </c>
      <c r="F416" s="46" t="inlineStr">
        <is>
          <t xml:space="preserve">B1234EXOTIC26</t>
        </is>
      </c>
      <c r="G416" s="33">
        <f>IF($A416="","",IF($C416="","",YEAR($C416)))</f>
      </c>
      <c r="H416" s="49">
        <v>2013</v>
      </c>
      <c r="I416" s="46" t="inlineStr">
        <is>
          <t xml:space="preserve">BMW</t>
        </is>
      </c>
      <c r="J416" s="46" t="inlineStr">
        <is>
          <t xml:space="preserve">M8 Competition</t>
        </is>
      </c>
      <c r="K416" s="46" t="inlineStr">
        <is>
          <t xml:space="preserve">AU13JV3JTFM3T2C0W</t>
        </is>
      </c>
      <c r="L416" s="48" t="inlineStr">
        <is>
          <t xml:space="preserve">02 - Sports / GT</t>
        </is>
      </c>
      <c r="M416" s="50">
        <v>605000</v>
      </c>
      <c r="N416" s="48" t="inlineStr">
        <is>
          <t xml:space="preserve">Personal</t>
        </is>
      </c>
      <c r="O416" s="46" t="inlineStr">
        <is>
          <t xml:space="preserve">Personal - regular use</t>
        </is>
      </c>
      <c r="P416" s="46" t="inlineStr">
        <is>
          <t xml:space="preserve">Under 1,000</t>
        </is>
      </c>
      <c r="Q416" s="46" t="inlineStr">
        <is>
          <t xml:space="preserve">New Jersey</t>
        </is>
      </c>
      <c r="R416" s="46" t="inlineStr">
        <is>
          <t xml:space="preserve">07102</t>
        </is>
      </c>
      <c r="S416" s="48" t="inlineStr">
        <is>
          <t xml:space="preserve">Tier 3 - Coastal wind (25-100 miles)</t>
        </is>
      </c>
      <c r="T416" s="36">
        <f>IF($A416="","",IF($S416="","",IFERROR(INDEX('[1]natural catastrophe'!$D$6:$D$17,MATCH($S416,'[1]natural catastrophe'!$B$6:$B$17,0)),"?")))</f>
      </c>
      <c r="U416" s="46" t="inlineStr">
        <is>
          <t xml:space="preserve">2% of agreed value, minimum $10,000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6057.92</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CANON-202601-003612</t>
        </is>
      </c>
      <c r="B417" s="30" t="inlineStr">
        <is>
          <t xml:space="preserve">Emiliano Thistlewood</t>
        </is>
      </c>
      <c r="C417" s="31">
        <v>46033</v>
      </c>
      <c r="D417" s="32" t="inlineStr">
        <is>
          <t xml:space="preserve">Bound - within authority</t>
        </is>
      </c>
      <c r="E417" s="32" t="inlineStr">
        <is>
          <t xml:space="preserve">New business</t>
        </is>
      </c>
      <c r="F417" s="30" t="inlineStr">
        <is>
          <t xml:space="preserve">B1234EXOTIC26</t>
        </is>
      </c>
      <c r="G417" s="33">
        <f>IF($A417="","",IF($C417="","",YEAR($C417)))</f>
      </c>
      <c r="H417" s="34">
        <v>2001</v>
      </c>
      <c r="I417" s="30" t="inlineStr">
        <is>
          <t xml:space="preserve">Porsche</t>
        </is>
      </c>
      <c r="J417" s="30" t="inlineStr">
        <is>
          <t xml:space="preserve">911 Turbo S</t>
        </is>
      </c>
      <c r="K417" s="30" t="inlineStr">
        <is>
          <t xml:space="preserve">TJZ5A8EVNDBG8FNPB</t>
        </is>
      </c>
      <c r="L417" s="32" t="inlineStr">
        <is>
          <t xml:space="preserve">02 - Sports / GT</t>
        </is>
      </c>
      <c r="M417" s="35">
        <v>955000</v>
      </c>
      <c r="N417" s="32" t="inlineStr">
        <is>
          <t xml:space="preserve">Personal</t>
        </is>
      </c>
      <c r="O417" s="30" t="inlineStr">
        <is>
          <t xml:space="preserve">Personal - regular use</t>
        </is>
      </c>
      <c r="P417" s="30" t="inlineStr">
        <is>
          <t xml:space="preserve">2,500 - 5,000</t>
        </is>
      </c>
      <c r="Q417" s="30" t="inlineStr">
        <is>
          <t xml:space="preserve">Massachusetts</t>
        </is>
      </c>
      <c r="R417" s="30" t="inlineStr">
        <is>
          <t xml:space="preserve">02108</t>
        </is>
      </c>
      <c r="S417" s="32" t="inlineStr">
        <is>
          <t xml:space="preserve">Tier 3 - Coastal wind (25-100 miles)</t>
        </is>
      </c>
      <c r="T417" s="36">
        <f>IF($A417="","",IF($S417="","",IFERROR(INDEX('[1]natural catastrophe'!$D$6:$D$17,MATCH($S417,'[1]natural catastrophe'!$B$6:$B$17,0)),"?")))</f>
      </c>
      <c r="U417" s="30" t="inlineStr">
        <is>
          <t xml:space="preserve">2% of agreed value, minimum $10,000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13135.3</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CANON-202601-003614</t>
        </is>
      </c>
      <c r="B418" s="46" t="inlineStr">
        <is>
          <t xml:space="preserve">Horace Underwood</t>
        </is>
      </c>
      <c r="C418" s="47">
        <v>46024</v>
      </c>
      <c r="D418" s="48" t="inlineStr">
        <is>
          <t xml:space="preserve">Bound - within authority</t>
        </is>
      </c>
      <c r="E418" s="48" t="inlineStr">
        <is>
          <t xml:space="preserve">New business</t>
        </is>
      </c>
      <c r="F418" s="46" t="inlineStr">
        <is>
          <t xml:space="preserve">B1234EXOTIC26</t>
        </is>
      </c>
      <c r="G418" s="33">
        <f>IF($A418="","",IF($C418="","",YEAR($C418)))</f>
      </c>
      <c r="H418" s="49">
        <v>1959</v>
      </c>
      <c r="I418" s="46" t="inlineStr">
        <is>
          <t xml:space="preserve">McLaren</t>
        </is>
      </c>
      <c r="J418" s="46" t="inlineStr">
        <is>
          <t xml:space="preserve">750S</t>
        </is>
      </c>
      <c r="K418" s="46" t="inlineStr">
        <is>
          <t xml:space="preserve">NPW5B2ZGSC630DKJG</t>
        </is>
      </c>
      <c r="L418" s="48" t="inlineStr">
        <is>
          <t xml:space="preserve">03 - Supercar</t>
        </is>
      </c>
      <c r="M418" s="50">
        <v>1950000</v>
      </c>
      <c r="N418" s="48" t="inlineStr">
        <is>
          <t xml:space="preserve">Personal</t>
        </is>
      </c>
      <c r="O418" s="46" t="inlineStr">
        <is>
          <t xml:space="preserve">Personal - regular use</t>
        </is>
      </c>
      <c r="P418" s="46" t="inlineStr">
        <is>
          <t xml:space="preserve">2,500 - 5,000</t>
        </is>
      </c>
      <c r="Q418" s="46" t="inlineStr">
        <is>
          <t xml:space="preserve">Oregon</t>
        </is>
      </c>
      <c r="R418" s="46" t="inlineStr">
        <is>
          <t xml:space="preserve">97204</t>
        </is>
      </c>
      <c r="S418" s="48" t="inlineStr">
        <is>
          <t xml:space="preserve">Earthquake - high (CA, Cascadia, New Madrid)</t>
        </is>
      </c>
      <c r="T418" s="36">
        <f>IF($A418="","",IF($S418="","",IFERROR(INDEX('[1]natural catastrophe'!$D$6:$D$17,MATCH($S418,'[1]natural catastrophe'!$B$6:$B$17,0)),"?")))</f>
      </c>
      <c r="U418" s="46" t="inlineStr">
        <is>
          <t xml:space="preserve">$5,000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29841.21</v>
      </c>
      <c r="AC418" s="51">
        <v>0</v>
      </c>
      <c r="AD418" s="38">
        <f>IF(ISNUMBER($AB418),$AB418*(1+N($AC418)),"")</f>
      </c>
      <c r="AE418" s="50">
        <v>350</v>
      </c>
      <c r="AF418" s="50">
        <v>250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CANON-202601-003616</t>
        </is>
      </c>
      <c r="B419" s="30" t="inlineStr">
        <is>
          <t xml:space="preserve">Marisol Larsson</t>
        </is>
      </c>
      <c r="C419" s="31">
        <v>46037</v>
      </c>
      <c r="D419" s="32" t="inlineStr">
        <is>
          <t xml:space="preserve">Bound - within authority</t>
        </is>
      </c>
      <c r="E419" s="32" t="inlineStr">
        <is>
          <t xml:space="preserve">New business</t>
        </is>
      </c>
      <c r="F419" s="30" t="inlineStr">
        <is>
          <t xml:space="preserve">B1234EXOTIC26</t>
        </is>
      </c>
      <c r="G419" s="33">
        <f>IF($A419="","",IF($C419="","",YEAR($C419)))</f>
      </c>
      <c r="H419" s="34">
        <v>1975</v>
      </c>
      <c r="I419" s="30" t="inlineStr">
        <is>
          <t xml:space="preserve">BMW</t>
        </is>
      </c>
      <c r="J419" s="30" t="inlineStr">
        <is>
          <t xml:space="preserve">M8 Competition</t>
        </is>
      </c>
      <c r="K419" s="30" t="inlineStr">
        <is>
          <t xml:space="preserve">P07NTY8FZJ4HCWUWD</t>
        </is>
      </c>
      <c r="L419" s="32" t="inlineStr">
        <is>
          <t xml:space="preserve">02 - Sports / GT</t>
        </is>
      </c>
      <c r="M419" s="35">
        <v>410000</v>
      </c>
      <c r="N419" s="32" t="inlineStr">
        <is>
          <t xml:space="preserve">Personal</t>
        </is>
      </c>
      <c r="O419" s="30" t="inlineStr">
        <is>
          <t xml:space="preserve">Personal - regular use</t>
        </is>
      </c>
      <c r="P419" s="30" t="inlineStr">
        <is>
          <t xml:space="preserve">2,500 - 5,000</t>
        </is>
      </c>
      <c r="Q419" s="30" t="inlineStr">
        <is>
          <t xml:space="preserve">New York</t>
        </is>
      </c>
      <c r="R419" s="30" t="inlineStr">
        <is>
          <t xml:space="preserve">10022</t>
        </is>
      </c>
      <c r="S419" s="32" t="inlineStr">
        <is>
          <t xml:space="preserve">Tier 3 - Coastal wind (25-100 miles)</t>
        </is>
      </c>
      <c r="T419" s="36">
        <f>IF($A419="","",IF($S419="","",IFERROR(INDEX('[1]natural catastrophe'!$D$6:$D$17,MATCH($S419,'[1]natural catastrophe'!$B$6:$B$17,0)),"?")))</f>
      </c>
      <c r="U419" s="30" t="inlineStr">
        <is>
          <t xml:space="preserve">2% of agreed value, minimum $10,000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6662.98</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CANON-202601-003617</t>
        </is>
      </c>
      <c r="B420" s="46" t="inlineStr">
        <is>
          <t xml:space="preserve">Horace Thistlewood</t>
        </is>
      </c>
      <c r="C420" s="47">
        <v>46029</v>
      </c>
      <c r="D420" s="48" t="inlineStr">
        <is>
          <t xml:space="preserve">Bound - within authority</t>
        </is>
      </c>
      <c r="E420" s="48" t="inlineStr">
        <is>
          <t xml:space="preserve">New business</t>
        </is>
      </c>
      <c r="F420" s="46" t="inlineStr">
        <is>
          <t xml:space="preserve">B1234EXOTIC26</t>
        </is>
      </c>
      <c r="G420" s="33">
        <f>IF($A420="","",IF($C420="","",YEAR($C420)))</f>
      </c>
      <c r="H420" s="49">
        <v>2009</v>
      </c>
      <c r="I420" s="46" t="inlineStr">
        <is>
          <t xml:space="preserve">Mercedes-Benz</t>
        </is>
      </c>
      <c r="J420" s="46" t="inlineStr">
        <is>
          <t xml:space="preserve">AMG GT</t>
        </is>
      </c>
      <c r="K420" s="46" t="inlineStr">
        <is>
          <t xml:space="preserve">NLA0ASVJ7RR21UJ7P</t>
        </is>
      </c>
      <c r="L420" s="48" t="inlineStr">
        <is>
          <t xml:space="preserve">02 - Sports / GT</t>
        </is>
      </c>
      <c r="M420" s="50">
        <v>1175000</v>
      </c>
      <c r="N420" s="48" t="inlineStr">
        <is>
          <t xml:space="preserve">Personal</t>
        </is>
      </c>
      <c r="O420" s="46" t="inlineStr">
        <is>
          <t xml:space="preserve">Personal - regular use</t>
        </is>
      </c>
      <c r="P420" s="46" t="inlineStr">
        <is>
          <t xml:space="preserve">Under 1,000</t>
        </is>
      </c>
      <c r="Q420" s="46" t="inlineStr">
        <is>
          <t xml:space="preserve">West Virginia</t>
        </is>
      </c>
      <c r="R420" s="46" t="inlineStr">
        <is>
          <t xml:space="preserve">25301</t>
        </is>
      </c>
      <c r="S420" s="48" t="inlineStr">
        <is>
          <t xml:space="preserve">Low hazard - inland benign</t>
        </is>
      </c>
      <c r="T420" s="36">
        <f>IF($A420="","",IF($S420="","",IFERROR(INDEX('[1]natural catastrophe'!$D$6:$D$17,MATCH($S420,'[1]natural catastrophe'!$B$6:$B$17,0)),"?")))</f>
      </c>
      <c r="U420" s="46" t="inlineStr">
        <is>
          <t xml:space="preserve">$5,000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14550.09</v>
      </c>
      <c r="AC420" s="51">
        <v>0</v>
      </c>
      <c r="AD420" s="38">
        <f>IF(ISNUMBER($AB420),$AB420*(1+N($AC420)),"")</f>
      </c>
      <c r="AE420" s="50">
        <v>350</v>
      </c>
      <c r="AF420" s="50">
        <v>250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CANON-202601-003618</t>
        </is>
      </c>
      <c r="B421" s="30" t="inlineStr">
        <is>
          <t xml:space="preserve">Lorenzo Whitlock</t>
        </is>
      </c>
      <c r="C421" s="31">
        <v>46048</v>
      </c>
      <c r="D421" s="32" t="inlineStr">
        <is>
          <t xml:space="preserve">Bound - within authority</t>
        </is>
      </c>
      <c r="E421" s="32" t="inlineStr">
        <is>
          <t xml:space="preserve">New business</t>
        </is>
      </c>
      <c r="F421" s="30" t="inlineStr">
        <is>
          <t xml:space="preserve">B1234EXOTIC26</t>
        </is>
      </c>
      <c r="G421" s="33">
        <f>IF($A421="","",IF($C421="","",YEAR($C421)))</f>
      </c>
      <c r="H421" s="34">
        <v>1967</v>
      </c>
      <c r="I421" s="30" t="inlineStr">
        <is>
          <t xml:space="preserve">Ringbrothers</t>
        </is>
      </c>
      <c r="J421" s="30" t="inlineStr">
        <is>
          <t xml:space="preserve">Mustang</t>
        </is>
      </c>
      <c r="K421" s="30" t="inlineStr">
        <is>
          <t xml:space="preserve">JCG3MD29YFD5S5WA4</t>
        </is>
      </c>
      <c r="L421" s="32" t="inlineStr">
        <is>
          <t xml:space="preserve">11 - Restomod / Coachbuilt / Bespoke</t>
        </is>
      </c>
      <c r="M421" s="35">
        <v>990000</v>
      </c>
      <c r="N421" s="32" t="inlineStr">
        <is>
          <t xml:space="preserve">Personal</t>
        </is>
      </c>
      <c r="O421" s="30" t="inlineStr">
        <is>
          <t xml:space="preserve">Personal - regular use</t>
        </is>
      </c>
      <c r="P421" s="30" t="inlineStr">
        <is>
          <t xml:space="preserve">Under 1,000</t>
        </is>
      </c>
      <c r="Q421" s="30" t="inlineStr">
        <is>
          <t xml:space="preserve">California</t>
        </is>
      </c>
      <c r="R421" s="30" t="inlineStr">
        <is>
          <t xml:space="preserve">90012</t>
        </is>
      </c>
      <c r="S421" s="32" t="inlineStr">
        <is>
          <t xml:space="preserve">Earthquake - high (CA, Cascadia, New Madrid)</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17647.25</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CANON-202601-003619</t>
        </is>
      </c>
      <c r="B422" s="46" t="inlineStr">
        <is>
          <t xml:space="preserve">Anouk Castellanos</t>
        </is>
      </c>
      <c r="C422" s="47">
        <v>46036</v>
      </c>
      <c r="D422" s="48" t="inlineStr">
        <is>
          <t xml:space="preserve">Bound - within authority</t>
        </is>
      </c>
      <c r="E422" s="48" t="inlineStr">
        <is>
          <t xml:space="preserve">New business</t>
        </is>
      </c>
      <c r="F422" s="46" t="inlineStr">
        <is>
          <t xml:space="preserve">B1234EXOTIC26</t>
        </is>
      </c>
      <c r="G422" s="33">
        <f>IF($A422="","",IF($C422="","",YEAR($C422)))</f>
      </c>
      <c r="H422" s="49">
        <v>1969</v>
      </c>
      <c r="I422" s="46" t="inlineStr">
        <is>
          <t xml:space="preserve">Aston Martin</t>
        </is>
      </c>
      <c r="J422" s="46" t="inlineStr">
        <is>
          <t xml:space="preserve">DB12</t>
        </is>
      </c>
      <c r="K422" s="46" t="inlineStr">
        <is>
          <t xml:space="preserve">JC06KLC1M6XGU4ZR0</t>
        </is>
      </c>
      <c r="L422" s="48" t="inlineStr">
        <is>
          <t xml:space="preserve">02 - Sports / GT</t>
        </is>
      </c>
      <c r="M422" s="50">
        <v>275000</v>
      </c>
      <c r="N422" s="48" t="inlineStr">
        <is>
          <t xml:space="preserve">Personal</t>
        </is>
      </c>
      <c r="O422" s="46" t="inlineStr">
        <is>
          <t xml:space="preserve">Personal - regular use</t>
        </is>
      </c>
      <c r="P422" s="46" t="inlineStr">
        <is>
          <t xml:space="preserve">Under 1,000</t>
        </is>
      </c>
      <c r="Q422" s="46" t="inlineStr">
        <is>
          <t xml:space="preserve">Mississippi</t>
        </is>
      </c>
      <c r="R422" s="46" t="inlineStr">
        <is>
          <t xml:space="preserve">39201</t>
        </is>
      </c>
      <c r="S422" s="48" t="inlineStr">
        <is>
          <t xml:space="preserve">Tier 2 - Coastal wind (1-25 miles)</t>
        </is>
      </c>
      <c r="T422" s="36">
        <f>IF($A422="","",IF($S422="","",IFERROR(INDEX('[1]natural catastrophe'!$D$6:$D$17,MATCH($S422,'[1]natural catastrophe'!$B$6:$B$17,0)),"?")))</f>
      </c>
      <c r="U422" s="46" t="inlineStr">
        <is>
          <t xml:space="preserve">2% of agreed value, minimum $10,000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4154.84</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CANON-202601-003620</t>
        </is>
      </c>
      <c r="B423" s="30" t="inlineStr">
        <is>
          <t xml:space="preserve">Noor Nakashima</t>
        </is>
      </c>
      <c r="C423" s="31">
        <v>46038</v>
      </c>
      <c r="D423" s="32" t="inlineStr">
        <is>
          <t xml:space="preserve">Bound - within authority</t>
        </is>
      </c>
      <c r="E423" s="32" t="inlineStr">
        <is>
          <t xml:space="preserve">New business</t>
        </is>
      </c>
      <c r="F423" s="30" t="inlineStr">
        <is>
          <t xml:space="preserve">B1234EXOTIC26</t>
        </is>
      </c>
      <c r="G423" s="33">
        <f>IF($A423="","",IF($C423="","",YEAR($C423)))</f>
      </c>
      <c r="H423" s="34">
        <v>2004</v>
      </c>
      <c r="I423" s="30" t="inlineStr">
        <is>
          <t xml:space="preserve">Bentley</t>
        </is>
      </c>
      <c r="J423" s="30" t="inlineStr">
        <is>
          <t xml:space="preserve">Continental GT</t>
        </is>
      </c>
      <c r="K423" s="30" t="inlineStr">
        <is>
          <t xml:space="preserve">ZSJ12R4RNF9NLZE5R</t>
        </is>
      </c>
      <c r="L423" s="32" t="inlineStr">
        <is>
          <t xml:space="preserve">02 - Sports / GT</t>
        </is>
      </c>
      <c r="M423" s="35">
        <v>340000</v>
      </c>
      <c r="N423" s="32" t="inlineStr">
        <is>
          <t xml:space="preserve">Personal</t>
        </is>
      </c>
      <c r="O423" s="30" t="inlineStr">
        <is>
          <t xml:space="preserve">Personal - regular use</t>
        </is>
      </c>
      <c r="P423" s="30" t="inlineStr">
        <is>
          <t xml:space="preserve">2,500 - 5,000</t>
        </is>
      </c>
      <c r="Q423" s="30" t="inlineStr">
        <is>
          <t xml:space="preserve">Florida</t>
        </is>
      </c>
      <c r="R423" s="30" t="inlineStr">
        <is>
          <t xml:space="preserve">33139</t>
        </is>
      </c>
      <c r="S423" s="32" t="inlineStr">
        <is>
          <t xml:space="preserve">Tier 2 - Coastal wind (1-25 miles)</t>
        </is>
      </c>
      <c r="T423" s="36">
        <f>IF($A423="","",IF($S423="","",IFERROR(INDEX('[1]natural catastrophe'!$D$6:$D$17,MATCH($S423,'[1]natural catastrophe'!$B$6:$B$17,0)),"?")))</f>
      </c>
      <c r="U423" s="30" t="inlineStr">
        <is>
          <t xml:space="preserve">2% of agreed value, minimum $10,000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6129.74</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CANON-202601-003621</t>
        </is>
      </c>
      <c r="B424" s="46" t="inlineStr">
        <is>
          <t xml:space="preserve">Leopold Montoya</t>
        </is>
      </c>
      <c r="C424" s="47">
        <v>46028</v>
      </c>
      <c r="D424" s="48" t="inlineStr">
        <is>
          <t xml:space="preserve">Bound - within authority</t>
        </is>
      </c>
      <c r="E424" s="48" t="inlineStr">
        <is>
          <t xml:space="preserve">New business</t>
        </is>
      </c>
      <c r="F424" s="46" t="inlineStr">
        <is>
          <t xml:space="preserve">B1234EXOTIC26</t>
        </is>
      </c>
      <c r="G424" s="33">
        <f>IF($A424="","",IF($C424="","",YEAR($C424)))</f>
      </c>
      <c r="H424" s="49">
        <v>2008</v>
      </c>
      <c r="I424" s="46" t="inlineStr">
        <is>
          <t xml:space="preserve">Ferrari</t>
        </is>
      </c>
      <c r="J424" s="46" t="inlineStr">
        <is>
          <t xml:space="preserve">296 GTB</t>
        </is>
      </c>
      <c r="K424" s="46" t="inlineStr">
        <is>
          <t xml:space="preserve">NGJV7JAXFNPDYU9E6</t>
        </is>
      </c>
      <c r="L424" s="48" t="inlineStr">
        <is>
          <t xml:space="preserve">03 - Supercar</t>
        </is>
      </c>
      <c r="M424" s="50">
        <v>1290000</v>
      </c>
      <c r="N424" s="48" t="inlineStr">
        <is>
          <t xml:space="preserve">Personal</t>
        </is>
      </c>
      <c r="O424" s="46" t="inlineStr">
        <is>
          <t xml:space="preserve">Personal - regular use</t>
        </is>
      </c>
      <c r="P424" s="46" t="inlineStr">
        <is>
          <t xml:space="preserve">1,000 - 2,500</t>
        </is>
      </c>
      <c r="Q424" s="46" t="inlineStr">
        <is>
          <t xml:space="preserve">South Carolina</t>
        </is>
      </c>
      <c r="R424" s="46" t="inlineStr">
        <is>
          <t xml:space="preserve">29401</t>
        </is>
      </c>
      <c r="S424" s="48" t="inlineStr">
        <is>
          <t xml:space="preserve">Tier 2 - Coastal wind (1-25 miles)</t>
        </is>
      </c>
      <c r="T424" s="36">
        <f>IF($A424="","",IF($S424="","",IFERROR(INDEX('[1]natural catastrophe'!$D$6:$D$17,MATCH($S424,'[1]natural catastrophe'!$B$6:$B$17,0)),"?")))</f>
      </c>
      <c r="U424" s="46" t="inlineStr">
        <is>
          <t xml:space="preserve">2% of agreed value, minimum $10,000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21662.81</v>
      </c>
      <c r="AC424" s="51">
        <v>0</v>
      </c>
      <c r="AD424" s="38">
        <f>IF(ISNUMBER($AB424),$AB424*(1+N($AC424)),"")</f>
      </c>
      <c r="AE424" s="50">
        <v>350</v>
      </c>
      <c r="AF424" s="50">
        <v>250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CANON-202601-003622</t>
        </is>
      </c>
      <c r="B425" s="30" t="inlineStr">
        <is>
          <t xml:space="preserve">Everett Vandermeer</t>
        </is>
      </c>
      <c r="C425" s="31">
        <v>46034</v>
      </c>
      <c r="D425" s="32" t="inlineStr">
        <is>
          <t xml:space="preserve">Bound - within authority</t>
        </is>
      </c>
      <c r="E425" s="32" t="inlineStr">
        <is>
          <t xml:space="preserve">New business</t>
        </is>
      </c>
      <c r="F425" s="30" t="inlineStr">
        <is>
          <t xml:space="preserve">B1234EXOTIC26</t>
        </is>
      </c>
      <c r="G425" s="33">
        <f>IF($A425="","",IF($C425="","",YEAR($C425)))</f>
      </c>
      <c r="H425" s="34">
        <v>2000</v>
      </c>
      <c r="I425" s="30" t="inlineStr">
        <is>
          <t xml:space="preserve">Aston Martin</t>
        </is>
      </c>
      <c r="J425" s="30" t="inlineStr">
        <is>
          <t xml:space="preserve">DB12</t>
        </is>
      </c>
      <c r="K425" s="30" t="inlineStr">
        <is>
          <t xml:space="preserve">XDA4N2V55T1YMXT6R</t>
        </is>
      </c>
      <c r="L425" s="32" t="inlineStr">
        <is>
          <t xml:space="preserve">02 - Sports / GT</t>
        </is>
      </c>
      <c r="M425" s="35">
        <v>380000</v>
      </c>
      <c r="N425" s="32" t="inlineStr">
        <is>
          <t xml:space="preserve">Personal</t>
        </is>
      </c>
      <c r="O425" s="30" t="inlineStr">
        <is>
          <t xml:space="preserve">Personal - regular use</t>
        </is>
      </c>
      <c r="P425" s="30" t="inlineStr">
        <is>
          <t xml:space="preserve">Under 1,000</t>
        </is>
      </c>
      <c r="Q425" s="30" t="inlineStr">
        <is>
          <t xml:space="preserve">Texas</t>
        </is>
      </c>
      <c r="R425" s="30" t="inlineStr">
        <is>
          <t xml:space="preserve">75201</t>
        </is>
      </c>
      <c r="S425" s="32" t="inlineStr">
        <is>
          <t xml:space="preserve">Tier 2 - Coastal wind (1-25 miles)</t>
        </is>
      </c>
      <c r="T425" s="36">
        <f>IF($A425="","",IF($S425="","",IFERROR(INDEX('[1]natural catastrophe'!$D$6:$D$17,MATCH($S425,'[1]natural catastrophe'!$B$6:$B$17,0)),"?")))</f>
      </c>
      <c r="U425" s="30" t="inlineStr">
        <is>
          <t xml:space="preserve">2% of agreed value, minimum $10,000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5548.25</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CANON-202601-003623</t>
        </is>
      </c>
      <c r="B426" s="46" t="inlineStr">
        <is>
          <t xml:space="preserve">Noor Okonkwo</t>
        </is>
      </c>
      <c r="C426" s="47">
        <v>46038</v>
      </c>
      <c r="D426" s="48" t="inlineStr">
        <is>
          <t xml:space="preserve">Bound - within authority</t>
        </is>
      </c>
      <c r="E426" s="48" t="inlineStr">
        <is>
          <t xml:space="preserve">New business</t>
        </is>
      </c>
      <c r="F426" s="46" t="inlineStr">
        <is>
          <t xml:space="preserve">B1234EXOTIC26</t>
        </is>
      </c>
      <c r="G426" s="33">
        <f>IF($A426="","",IF($C426="","",YEAR($C426)))</f>
      </c>
      <c r="H426" s="49">
        <v>1957</v>
      </c>
      <c r="I426" s="46" t="inlineStr">
        <is>
          <t xml:space="preserve">Aston Martin</t>
        </is>
      </c>
      <c r="J426" s="46" t="inlineStr">
        <is>
          <t xml:space="preserve">DB12</t>
        </is>
      </c>
      <c r="K426" s="46" t="inlineStr">
        <is>
          <t xml:space="preserve">3ZX8AKWVBM5JG2D44</t>
        </is>
      </c>
      <c r="L426" s="48" t="inlineStr">
        <is>
          <t xml:space="preserve">02 - Sports / GT</t>
        </is>
      </c>
      <c r="M426" s="50">
        <v>1610000</v>
      </c>
      <c r="N426" s="48" t="inlineStr">
        <is>
          <t xml:space="preserve">Personal</t>
        </is>
      </c>
      <c r="O426" s="46" t="inlineStr">
        <is>
          <t xml:space="preserve">Personal - regular use</t>
        </is>
      </c>
      <c r="P426" s="46" t="inlineStr">
        <is>
          <t xml:space="preserve">2,500 - 5,000</t>
        </is>
      </c>
      <c r="Q426" s="46" t="inlineStr">
        <is>
          <t xml:space="preserve">Missouri</t>
        </is>
      </c>
      <c r="R426" s="46" t="inlineStr">
        <is>
          <t xml:space="preserve">63101</t>
        </is>
      </c>
      <c r="S426" s="48" t="inlineStr">
        <is>
          <t xml:space="preserve">Severe convective - hail / tornado (moderate)</t>
        </is>
      </c>
      <c r="T426" s="36">
        <f>IF($A426="","",IF($S426="","",IFERROR(INDEX('[1]natural catastrophe'!$D$6:$D$17,MATCH($S426,'[1]natural catastrophe'!$B$6:$B$17,0)),"?")))</f>
      </c>
      <c r="U426" s="46" t="inlineStr">
        <is>
          <t xml:space="preserve">$5,000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15889.41</v>
      </c>
      <c r="AC426" s="51">
        <v>0</v>
      </c>
      <c r="AD426" s="38">
        <f>IF(ISNUMBER($AB426),$AB426*(1+N($AC426)),"")</f>
      </c>
      <c r="AE426" s="50">
        <v>350</v>
      </c>
      <c r="AF426" s="50">
        <v>250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CANON-202601-003624</t>
        </is>
      </c>
      <c r="B427" s="30" t="inlineStr">
        <is>
          <t xml:space="preserve">Fenwick Chattopadhyay</t>
        </is>
      </c>
      <c r="C427" s="31">
        <v>46038</v>
      </c>
      <c r="D427" s="32" t="inlineStr">
        <is>
          <t xml:space="preserve">Bound - within authority</t>
        </is>
      </c>
      <c r="E427" s="32" t="inlineStr">
        <is>
          <t xml:space="preserve">New business</t>
        </is>
      </c>
      <c r="F427" s="30" t="inlineStr">
        <is>
          <t xml:space="preserve">B1234EXOTIC26</t>
        </is>
      </c>
      <c r="G427" s="33">
        <f>IF($A427="","",IF($C427="","",YEAR($C427)))</f>
      </c>
      <c r="H427" s="34">
        <v>2006</v>
      </c>
      <c r="I427" s="30" t="inlineStr">
        <is>
          <t xml:space="preserve">Bentley</t>
        </is>
      </c>
      <c r="J427" s="30" t="inlineStr">
        <is>
          <t xml:space="preserve">Continental GT</t>
        </is>
      </c>
      <c r="K427" s="30" t="inlineStr">
        <is>
          <t xml:space="preserve">RY283DEUPF33ZVCJS</t>
        </is>
      </c>
      <c r="L427" s="32" t="inlineStr">
        <is>
          <t xml:space="preserve">02 - Sports / GT</t>
        </is>
      </c>
      <c r="M427" s="35">
        <v>335000</v>
      </c>
      <c r="N427" s="32" t="inlineStr">
        <is>
          <t xml:space="preserve">Personal</t>
        </is>
      </c>
      <c r="O427" s="30" t="inlineStr">
        <is>
          <t xml:space="preserve">Personal - regular use</t>
        </is>
      </c>
      <c r="P427" s="30" t="inlineStr">
        <is>
          <t xml:space="preserve">2,500 - 5,000</t>
        </is>
      </c>
      <c r="Q427" s="30" t="inlineStr">
        <is>
          <t xml:space="preserve">Louisiana</t>
        </is>
      </c>
      <c r="R427" s="30" t="inlineStr">
        <is>
          <t xml:space="preserve">70112</t>
        </is>
      </c>
      <c r="S427" s="32" t="inlineStr">
        <is>
          <t xml:space="preserve">Tier 2 - Coastal wind (1-25 miles)</t>
        </is>
      </c>
      <c r="T427" s="36">
        <f>IF($A427="","",IF($S427="","",IFERROR(INDEX('[1]natural catastrophe'!$D$6:$D$17,MATCH($S427,'[1]natural catastrophe'!$B$6:$B$17,0)),"?")))</f>
      </c>
      <c r="U427" s="30" t="inlineStr">
        <is>
          <t xml:space="preserve">2% of agreed value, minimum $10,000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5146.41</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CANON-202601-003625</t>
        </is>
      </c>
      <c r="B428" s="46" t="inlineStr">
        <is>
          <t xml:space="preserve">Ramona Vasquez</t>
        </is>
      </c>
      <c r="C428" s="47">
        <v>46040</v>
      </c>
      <c r="D428" s="48" t="inlineStr">
        <is>
          <t xml:space="preserve">Bound - within authority</t>
        </is>
      </c>
      <c r="E428" s="48" t="inlineStr">
        <is>
          <t xml:space="preserve">New business</t>
        </is>
      </c>
      <c r="F428" s="46" t="inlineStr">
        <is>
          <t xml:space="preserve">B1234EXOTIC26</t>
        </is>
      </c>
      <c r="G428" s="33">
        <f>IF($A428="","",IF($C428="","",YEAR($C428)))</f>
      </c>
      <c r="H428" s="49">
        <v>2021</v>
      </c>
      <c r="I428" s="46" t="inlineStr">
        <is>
          <t xml:space="preserve">Porsche</t>
        </is>
      </c>
      <c r="J428" s="46" t="inlineStr">
        <is>
          <t xml:space="preserve">911 Turbo S</t>
        </is>
      </c>
      <c r="K428" s="46" t="inlineStr">
        <is>
          <t xml:space="preserve">77ZALG85FP0HTYS6S</t>
        </is>
      </c>
      <c r="L428" s="48" t="inlineStr">
        <is>
          <t xml:space="preserve">02 - Sports / GT</t>
        </is>
      </c>
      <c r="M428" s="50">
        <v>480000</v>
      </c>
      <c r="N428" s="48" t="inlineStr">
        <is>
          <t xml:space="preserve">Personal</t>
        </is>
      </c>
      <c r="O428" s="46" t="inlineStr">
        <is>
          <t xml:space="preserve">Personal - regular use</t>
        </is>
      </c>
      <c r="P428" s="46" t="inlineStr">
        <is>
          <t xml:space="preserve">Under 1,000</t>
        </is>
      </c>
      <c r="Q428" s="46" t="inlineStr">
        <is>
          <t xml:space="preserve">Rhode Island</t>
        </is>
      </c>
      <c r="R428" s="46" t="inlineStr">
        <is>
          <t xml:space="preserve">02903</t>
        </is>
      </c>
      <c r="S428" s="48" t="inlineStr">
        <is>
          <t xml:space="preserve">Tier 3 - Coastal wind (25-100 miles)</t>
        </is>
      </c>
      <c r="T428" s="36">
        <f>IF($A428="","",IF($S428="","",IFERROR(INDEX('[1]natural catastrophe'!$D$6:$D$17,MATCH($S428,'[1]natural catastrophe'!$B$6:$B$17,0)),"?")))</f>
      </c>
      <c r="U428" s="46" t="inlineStr">
        <is>
          <t xml:space="preserve">2% of agreed value, minimum $10,000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8349.04</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CANON-202601-003627</t>
        </is>
      </c>
      <c r="B429" s="30" t="inlineStr">
        <is>
          <t xml:space="preserve">Ottilie Okonkwo</t>
        </is>
      </c>
      <c r="C429" s="31">
        <v>46035</v>
      </c>
      <c r="D429" s="32" t="inlineStr">
        <is>
          <t xml:space="preserve">Bound - within authority</t>
        </is>
      </c>
      <c r="E429" s="32" t="inlineStr">
        <is>
          <t xml:space="preserve">New business</t>
        </is>
      </c>
      <c r="F429" s="30" t="inlineStr">
        <is>
          <t xml:space="preserve">B1234EXOTIC26</t>
        </is>
      </c>
      <c r="G429" s="33">
        <f>IF($A429="","",IF($C429="","",YEAR($C429)))</f>
      </c>
      <c r="H429" s="34">
        <v>2005</v>
      </c>
      <c r="I429" s="30" t="inlineStr">
        <is>
          <t xml:space="preserve">Mercedes-Benz</t>
        </is>
      </c>
      <c r="J429" s="30" t="inlineStr">
        <is>
          <t xml:space="preserve">AMG GT</t>
        </is>
      </c>
      <c r="K429" s="30" t="inlineStr">
        <is>
          <t xml:space="preserve">XULZU5C7MVSP27HAP</t>
        </is>
      </c>
      <c r="L429" s="32" t="inlineStr">
        <is>
          <t xml:space="preserve">02 - Sports / GT</t>
        </is>
      </c>
      <c r="M429" s="35">
        <v>1630000</v>
      </c>
      <c r="N429" s="32" t="inlineStr">
        <is>
          <t xml:space="preserve">Personal</t>
        </is>
      </c>
      <c r="O429" s="30" t="inlineStr">
        <is>
          <t xml:space="preserve">Personal - regular use</t>
        </is>
      </c>
      <c r="P429" s="30" t="inlineStr">
        <is>
          <t xml:space="preserve">2,500 - 5,000</t>
        </is>
      </c>
      <c r="Q429" s="30" t="inlineStr">
        <is>
          <t xml:space="preserve">Oregon</t>
        </is>
      </c>
      <c r="R429" s="30" t="inlineStr">
        <is>
          <t xml:space="preserve">97204</t>
        </is>
      </c>
      <c r="S429" s="32" t="inlineStr">
        <is>
          <t xml:space="preserve">Earthquake - high (CA, Cascadia, New Madrid)</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17149.13</v>
      </c>
      <c r="AC429" s="37">
        <v>0</v>
      </c>
      <c r="AD429" s="38">
        <f>IF(ISNUMBER($AB429),$AB429*(1+N($AC429)),"")</f>
      </c>
      <c r="AE429" s="35">
        <v>350</v>
      </c>
      <c r="AF429" s="35">
        <v>250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CANON-202601-003629</t>
        </is>
      </c>
      <c r="B430" s="46" t="inlineStr">
        <is>
          <t xml:space="preserve">Thaddeus Vandermeer</t>
        </is>
      </c>
      <c r="C430" s="47">
        <v>46027</v>
      </c>
      <c r="D430" s="48" t="inlineStr">
        <is>
          <t xml:space="preserve">Bound - within authority</t>
        </is>
      </c>
      <c r="E430" s="48" t="inlineStr">
        <is>
          <t xml:space="preserve">New business</t>
        </is>
      </c>
      <c r="F430" s="46" t="inlineStr">
        <is>
          <t xml:space="preserve">B1234EXOTIC26</t>
        </is>
      </c>
      <c r="G430" s="33">
        <f>IF($A430="","",IF($C430="","",YEAR($C430)))</f>
      </c>
      <c r="H430" s="49">
        <v>2005</v>
      </c>
      <c r="I430" s="46" t="inlineStr">
        <is>
          <t xml:space="preserve">Mercedes-Benz</t>
        </is>
      </c>
      <c r="J430" s="46" t="inlineStr">
        <is>
          <t xml:space="preserve">280SL Pagoda</t>
        </is>
      </c>
      <c r="K430" s="46" t="inlineStr">
        <is>
          <t xml:space="preserve">XSL7N6SVGWXUY75AW</t>
        </is>
      </c>
      <c r="L430" s="48" t="inlineStr">
        <is>
          <t xml:space="preserve">09 - Youngtimer / Collectible (2000-2010)</t>
        </is>
      </c>
      <c r="M430" s="50">
        <v>125000</v>
      </c>
      <c r="N430" s="48" t="inlineStr">
        <is>
          <t xml:space="preserve">Personal</t>
        </is>
      </c>
      <c r="O430" s="46" t="inlineStr">
        <is>
          <t xml:space="preserve">Personal - regular use</t>
        </is>
      </c>
      <c r="P430" s="46" t="inlineStr">
        <is>
          <t xml:space="preserve">1,000 - 2,500</t>
        </is>
      </c>
      <c r="Q430" s="46" t="inlineStr">
        <is>
          <t xml:space="preserve">Oregon</t>
        </is>
      </c>
      <c r="R430" s="46" t="inlineStr">
        <is>
          <t xml:space="preserve">97204</t>
        </is>
      </c>
      <c r="S430" s="48" t="inlineStr">
        <is>
          <t xml:space="preserve">Earthquake - high (CA, Cascadia, New Madrid)</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1362.94</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CANON-202601-003631</t>
        </is>
      </c>
      <c r="B431" s="30" t="inlineStr">
        <is>
          <t xml:space="preserve">Delphine Delacroix</t>
        </is>
      </c>
      <c r="C431" s="31">
        <v>46035</v>
      </c>
      <c r="D431" s="32" t="inlineStr">
        <is>
          <t xml:space="preserve">Bound - within authority</t>
        </is>
      </c>
      <c r="E431" s="32" t="inlineStr">
        <is>
          <t xml:space="preserve">New business</t>
        </is>
      </c>
      <c r="F431" s="30" t="inlineStr">
        <is>
          <t xml:space="preserve">B1234EXOTIC26</t>
        </is>
      </c>
      <c r="G431" s="33">
        <f>IF($A431="","",IF($C431="","",YEAR($C431)))</f>
      </c>
      <c r="H431" s="34">
        <v>2020</v>
      </c>
      <c r="I431" s="30" t="inlineStr">
        <is>
          <t xml:space="preserve">Jaguar</t>
        </is>
      </c>
      <c r="J431" s="30" t="inlineStr">
        <is>
          <t xml:space="preserve">E-Type Series 1</t>
        </is>
      </c>
      <c r="K431" s="30" t="inlineStr">
        <is>
          <t xml:space="preserve">L0TGTRSEBDS5M7RWA</t>
        </is>
      </c>
      <c r="L431" s="32" t="inlineStr">
        <is>
          <t xml:space="preserve">02 - Sports / GT</t>
        </is>
      </c>
      <c r="M431" s="35">
        <v>1020000</v>
      </c>
      <c r="N431" s="32" t="inlineStr">
        <is>
          <t xml:space="preserve">Personal</t>
        </is>
      </c>
      <c r="O431" s="30" t="inlineStr">
        <is>
          <t xml:space="preserve">Personal - regular use</t>
        </is>
      </c>
      <c r="P431" s="30" t="inlineStr">
        <is>
          <t xml:space="preserve">1,000 - 2,500</t>
        </is>
      </c>
      <c r="Q431" s="30" t="inlineStr">
        <is>
          <t xml:space="preserve">South Carolina</t>
        </is>
      </c>
      <c r="R431" s="30" t="inlineStr">
        <is>
          <t xml:space="preserve">29401</t>
        </is>
      </c>
      <c r="S431" s="32" t="inlineStr">
        <is>
          <t xml:space="preserve">Tier 2 - Coastal wind (1-25 miles)</t>
        </is>
      </c>
      <c r="T431" s="36">
        <f>IF($A431="","",IF($S431="","",IFERROR(INDEX('[1]natural catastrophe'!$D$6:$D$17,MATCH($S431,'[1]natural catastrophe'!$B$6:$B$17,0)),"?")))</f>
      </c>
      <c r="U431" s="30" t="inlineStr">
        <is>
          <t xml:space="preserve">2% of agreed value, minimum $10,000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8136.15</v>
      </c>
      <c r="AC431" s="37">
        <v>0</v>
      </c>
      <c r="AD431" s="38">
        <f>IF(ISNUMBER($AB431),$AB431*(1+N($AC431)),"")</f>
      </c>
      <c r="AE431" s="35">
        <v>350</v>
      </c>
      <c r="AF431" s="35">
        <v>250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CANON-202601-003635</t>
        </is>
      </c>
      <c r="B432" s="46" t="inlineStr">
        <is>
          <t xml:space="preserve">Aurelio Vasquez</t>
        </is>
      </c>
      <c r="C432" s="47">
        <v>46039</v>
      </c>
      <c r="D432" s="48" t="inlineStr">
        <is>
          <t xml:space="preserve">Bound - within authority</t>
        </is>
      </c>
      <c r="E432" s="48" t="inlineStr">
        <is>
          <t xml:space="preserve">New business</t>
        </is>
      </c>
      <c r="F432" s="46" t="inlineStr">
        <is>
          <t xml:space="preserve">B1234EXOTIC26</t>
        </is>
      </c>
      <c r="G432" s="33">
        <f>IF($A432="","",IF($C432="","",YEAR($C432)))</f>
      </c>
      <c r="H432" s="49">
        <v>1965</v>
      </c>
      <c r="I432" s="46" t="inlineStr">
        <is>
          <t xml:space="preserve">Maserati</t>
        </is>
      </c>
      <c r="J432" s="46" t="inlineStr">
        <is>
          <t xml:space="preserve">GranTurismo</t>
        </is>
      </c>
      <c r="K432" s="46" t="inlineStr">
        <is>
          <t xml:space="preserve">BUD36MHE83AJ3V37N</t>
        </is>
      </c>
      <c r="L432" s="48" t="inlineStr">
        <is>
          <t xml:space="preserve">02 - Sports / GT</t>
        </is>
      </c>
      <c r="M432" s="50">
        <v>400000</v>
      </c>
      <c r="N432" s="48" t="inlineStr">
        <is>
          <t xml:space="preserve">Personal</t>
        </is>
      </c>
      <c r="O432" s="46" t="inlineStr">
        <is>
          <t xml:space="preserve">Personal - regular use</t>
        </is>
      </c>
      <c r="P432" s="46" t="inlineStr">
        <is>
          <t xml:space="preserve">Under 1,000</t>
        </is>
      </c>
      <c r="Q432" s="46" t="inlineStr">
        <is>
          <t xml:space="preserve">Idaho</t>
        </is>
      </c>
      <c r="R432" s="46" t="inlineStr">
        <is>
          <t xml:space="preserve">83702</t>
        </is>
      </c>
      <c r="S432" s="48" t="inlineStr">
        <is>
          <t xml:space="preserve">Wildfire - WUI high hazard</t>
        </is>
      </c>
      <c r="T432" s="36">
        <f>IF($A432="","",IF($S432="","",IFERROR(INDEX('[1]natural catastrophe'!$D$6:$D$17,MATCH($S432,'[1]natural catastrophe'!$B$6:$B$17,0)),"?")))</f>
      </c>
      <c r="U432" s="46" t="inlineStr">
        <is>
          <t xml:space="preserve">$5,000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5027.7</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CANON-202601-003636</t>
        </is>
      </c>
      <c r="B433" s="30" t="inlineStr">
        <is>
          <t xml:space="preserve">Ramona Montoya</t>
        </is>
      </c>
      <c r="C433" s="31">
        <v>46033</v>
      </c>
      <c r="D433" s="32" t="inlineStr">
        <is>
          <t xml:space="preserve">Bound - within authority</t>
        </is>
      </c>
      <c r="E433" s="32" t="inlineStr">
        <is>
          <t xml:space="preserve">New business</t>
        </is>
      </c>
      <c r="F433" s="30" t="inlineStr">
        <is>
          <t xml:space="preserve">B1234EXOTIC26</t>
        </is>
      </c>
      <c r="G433" s="33">
        <f>IF($A433="","",IF($C433="","",YEAR($C433)))</f>
      </c>
      <c r="H433" s="34">
        <v>1996</v>
      </c>
      <c r="I433" s="30" t="inlineStr">
        <is>
          <t xml:space="preserve">Lamborghini</t>
        </is>
      </c>
      <c r="J433" s="30" t="inlineStr">
        <is>
          <t xml:space="preserve">Huracan EVO</t>
        </is>
      </c>
      <c r="K433" s="30" t="inlineStr">
        <is>
          <t xml:space="preserve">3A1M03LXALEGZGFCR</t>
        </is>
      </c>
      <c r="L433" s="32" t="inlineStr">
        <is>
          <t xml:space="preserve">03 - Supercar</t>
        </is>
      </c>
      <c r="M433" s="35">
        <v>1630000</v>
      </c>
      <c r="N433" s="32" t="inlineStr">
        <is>
          <t xml:space="preserve">Personal</t>
        </is>
      </c>
      <c r="O433" s="30" t="inlineStr">
        <is>
          <t xml:space="preserve">Personal - regular use</t>
        </is>
      </c>
      <c r="P433" s="30" t="inlineStr">
        <is>
          <t xml:space="preserve">2,500 - 5,000</t>
        </is>
      </c>
      <c r="Q433" s="30" t="inlineStr">
        <is>
          <t xml:space="preserve">Idaho</t>
        </is>
      </c>
      <c r="R433" s="30" t="inlineStr">
        <is>
          <t xml:space="preserve">83702</t>
        </is>
      </c>
      <c r="S433" s="32" t="inlineStr">
        <is>
          <t xml:space="preserve">Wildfire - WUI high hazard</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21853.76</v>
      </c>
      <c r="AC433" s="37">
        <v>0</v>
      </c>
      <c r="AD433" s="38">
        <f>IF(ISNUMBER($AB433),$AB433*(1+N($AC433)),"")</f>
      </c>
      <c r="AE433" s="35">
        <v>350</v>
      </c>
      <c r="AF433" s="35">
        <v>250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CANON-202601-003638</t>
        </is>
      </c>
      <c r="B434" s="46" t="inlineStr">
        <is>
          <t xml:space="preserve">Desmond Delacroix</t>
        </is>
      </c>
      <c r="C434" s="47">
        <v>46031</v>
      </c>
      <c r="D434" s="48" t="inlineStr">
        <is>
          <t xml:space="preserve">Bound - within authority</t>
        </is>
      </c>
      <c r="E434" s="48" t="inlineStr">
        <is>
          <t xml:space="preserve">New business</t>
        </is>
      </c>
      <c r="F434" s="46" t="inlineStr">
        <is>
          <t xml:space="preserve">B1234EXOTIC26</t>
        </is>
      </c>
      <c r="G434" s="33">
        <f>IF($A434="","",IF($C434="","",YEAR($C434)))</f>
      </c>
      <c r="H434" s="49">
        <v>2013</v>
      </c>
      <c r="I434" s="46" t="inlineStr">
        <is>
          <t xml:space="preserve">Mercedes-Benz</t>
        </is>
      </c>
      <c r="J434" s="46" t="inlineStr">
        <is>
          <t xml:space="preserve">AMG GT</t>
        </is>
      </c>
      <c r="K434" s="46" t="inlineStr">
        <is>
          <t xml:space="preserve">ZU3T6DXUA46LY8ZG0</t>
        </is>
      </c>
      <c r="L434" s="48" t="inlineStr">
        <is>
          <t xml:space="preserve">02 - Sports / GT</t>
        </is>
      </c>
      <c r="M434" s="50">
        <v>365000</v>
      </c>
      <c r="N434" s="48" t="inlineStr">
        <is>
          <t xml:space="preserve">Personal</t>
        </is>
      </c>
      <c r="O434" s="46" t="inlineStr">
        <is>
          <t xml:space="preserve">Personal - regular use</t>
        </is>
      </c>
      <c r="P434" s="46" t="inlineStr">
        <is>
          <t xml:space="preserve">Under 1,000</t>
        </is>
      </c>
      <c r="Q434" s="46" t="inlineStr">
        <is>
          <t xml:space="preserve">Ohio</t>
        </is>
      </c>
      <c r="R434" s="46" t="inlineStr">
        <is>
          <t xml:space="preserve">43215</t>
        </is>
      </c>
      <c r="S434" s="48" t="inlineStr">
        <is>
          <t xml:space="preserve">Severe convective - hail / tornado (moderate)</t>
        </is>
      </c>
      <c r="T434" s="36">
        <f>IF($A434="","",IF($S434="","",IFERROR(INDEX('[1]natural catastrophe'!$D$6:$D$17,MATCH($S434,'[1]natural catastrophe'!$B$6:$B$17,0)),"?")))</f>
      </c>
      <c r="U434" s="46" t="inlineStr">
        <is>
          <t xml:space="preserve">$5,000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6441.43</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CANON-202601-003639</t>
        </is>
      </c>
      <c r="B435" s="30" t="inlineStr">
        <is>
          <t xml:space="preserve">Emiliano Ashcombe</t>
        </is>
      </c>
      <c r="C435" s="31">
        <v>46036</v>
      </c>
      <c r="D435" s="32" t="inlineStr">
        <is>
          <t xml:space="preserve">Bound - within authority</t>
        </is>
      </c>
      <c r="E435" s="32" t="inlineStr">
        <is>
          <t xml:space="preserve">New business</t>
        </is>
      </c>
      <c r="F435" s="30" t="inlineStr">
        <is>
          <t xml:space="preserve">B1234EXOTIC26</t>
        </is>
      </c>
      <c r="G435" s="33">
        <f>IF($A435="","",IF($C435="","",YEAR($C435)))</f>
      </c>
      <c r="H435" s="34">
        <v>1971</v>
      </c>
      <c r="I435" s="30" t="inlineStr">
        <is>
          <t xml:space="preserve">McLaren</t>
        </is>
      </c>
      <c r="J435" s="30" t="inlineStr">
        <is>
          <t xml:space="preserve">750S</t>
        </is>
      </c>
      <c r="K435" s="30" t="inlineStr">
        <is>
          <t xml:space="preserve">V3CRZY1VFF80EC7UA</t>
        </is>
      </c>
      <c r="L435" s="32" t="inlineStr">
        <is>
          <t xml:space="preserve">03 - Supercar</t>
        </is>
      </c>
      <c r="M435" s="35">
        <v>145000</v>
      </c>
      <c r="N435" s="32" t="inlineStr">
        <is>
          <t xml:space="preserve">Personal</t>
        </is>
      </c>
      <c r="O435" s="30" t="inlineStr">
        <is>
          <t xml:space="preserve">Personal - regular use</t>
        </is>
      </c>
      <c r="P435" s="30" t="inlineStr">
        <is>
          <t xml:space="preserve">2,500 - 5,000</t>
        </is>
      </c>
      <c r="Q435" s="30" t="inlineStr">
        <is>
          <t xml:space="preserve">Colorado</t>
        </is>
      </c>
      <c r="R435" s="30" t="inlineStr">
        <is>
          <t xml:space="preserve">80202</t>
        </is>
      </c>
      <c r="S435" s="32" t="inlineStr">
        <is>
          <t xml:space="preserve">Severe convective - hail alley (high)</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3834.09</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CANON-202601-003641</t>
        </is>
      </c>
      <c r="B436" s="46" t="inlineStr">
        <is>
          <t xml:space="preserve">Lorenzo Chattopadhyay</t>
        </is>
      </c>
      <c r="C436" s="47">
        <v>46051</v>
      </c>
      <c r="D436" s="48" t="inlineStr">
        <is>
          <t xml:space="preserve">Bound - within authority</t>
        </is>
      </c>
      <c r="E436" s="48" t="inlineStr">
        <is>
          <t xml:space="preserve">New business</t>
        </is>
      </c>
      <c r="F436" s="46" t="inlineStr">
        <is>
          <t xml:space="preserve">B1234EXOTIC26</t>
        </is>
      </c>
      <c r="G436" s="33">
        <f>IF($A436="","",IF($C436="","",YEAR($C436)))</f>
      </c>
      <c r="H436" s="49">
        <v>1956</v>
      </c>
      <c r="I436" s="46" t="inlineStr">
        <is>
          <t xml:space="preserve">Ferrari</t>
        </is>
      </c>
      <c r="J436" s="46" t="inlineStr">
        <is>
          <t xml:space="preserve">296 GTB</t>
        </is>
      </c>
      <c r="K436" s="46" t="inlineStr">
        <is>
          <t xml:space="preserve">YEKYEE0USLJ6TRYR6</t>
        </is>
      </c>
      <c r="L436" s="48" t="inlineStr">
        <is>
          <t xml:space="preserve">03 - Supercar</t>
        </is>
      </c>
      <c r="M436" s="50">
        <v>845000</v>
      </c>
      <c r="N436" s="48" t="inlineStr">
        <is>
          <t xml:space="preserve">Personal</t>
        </is>
      </c>
      <c r="O436" s="46" t="inlineStr">
        <is>
          <t xml:space="preserve">Personal - regular use</t>
        </is>
      </c>
      <c r="P436" s="46" t="inlineStr">
        <is>
          <t xml:space="preserve">1,000 - 2,500</t>
        </is>
      </c>
      <c r="Q436" s="46" t="inlineStr">
        <is>
          <t xml:space="preserve">Massachusetts</t>
        </is>
      </c>
      <c r="R436" s="46" t="inlineStr">
        <is>
          <t xml:space="preserve">02108</t>
        </is>
      </c>
      <c r="S436" s="48" t="inlineStr">
        <is>
          <t xml:space="preserve">Tier 3 - Coastal wind (25-100 miles)</t>
        </is>
      </c>
      <c r="T436" s="36">
        <f>IF($A436="","",IF($S436="","",IFERROR(INDEX('[1]natural catastrophe'!$D$6:$D$17,MATCH($S436,'[1]natural catastrophe'!$B$6:$B$17,0)),"?")))</f>
      </c>
      <c r="U436" s="46" t="inlineStr">
        <is>
          <t xml:space="preserve">2% of agreed value, minimum $10,000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16986.49</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CANON-202601-003642</t>
        </is>
      </c>
      <c r="B437" s="30" t="inlineStr">
        <is>
          <t xml:space="preserve">Marisol Bellandi</t>
        </is>
      </c>
      <c r="C437" s="31">
        <v>46028</v>
      </c>
      <c r="D437" s="32" t="inlineStr">
        <is>
          <t xml:space="preserve">Bound - within authority</t>
        </is>
      </c>
      <c r="E437" s="32" t="inlineStr">
        <is>
          <t xml:space="preserve">New business</t>
        </is>
      </c>
      <c r="F437" s="30" t="inlineStr">
        <is>
          <t xml:space="preserve">B1234EXOTIC26</t>
        </is>
      </c>
      <c r="G437" s="33">
        <f>IF($A437="","",IF($C437="","",YEAR($C437)))</f>
      </c>
      <c r="H437" s="34">
        <v>1999</v>
      </c>
      <c r="I437" s="30" t="inlineStr">
        <is>
          <t xml:space="preserve">BMW</t>
        </is>
      </c>
      <c r="J437" s="30" t="inlineStr">
        <is>
          <t xml:space="preserve">M8 Competition</t>
        </is>
      </c>
      <c r="K437" s="30" t="inlineStr">
        <is>
          <t xml:space="preserve">H03ETLBFEG0LAY1NK</t>
        </is>
      </c>
      <c r="L437" s="32" t="inlineStr">
        <is>
          <t xml:space="preserve">02 - Sports / GT</t>
        </is>
      </c>
      <c r="M437" s="35">
        <v>1395000</v>
      </c>
      <c r="N437" s="32" t="inlineStr">
        <is>
          <t xml:space="preserve">Personal</t>
        </is>
      </c>
      <c r="O437" s="30" t="inlineStr">
        <is>
          <t xml:space="preserve">Personal - regular use</t>
        </is>
      </c>
      <c r="P437" s="30" t="inlineStr">
        <is>
          <t xml:space="preserve">Under 1,000</t>
        </is>
      </c>
      <c r="Q437" s="30" t="inlineStr">
        <is>
          <t xml:space="preserve">Arkansas</t>
        </is>
      </c>
      <c r="R437" s="30" t="inlineStr">
        <is>
          <t xml:space="preserve">72201</t>
        </is>
      </c>
      <c r="S437" s="32" t="inlineStr">
        <is>
          <t xml:space="preserve">Severe convective - hail / tornado (moderate)</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17923.77</v>
      </c>
      <c r="AC437" s="37">
        <v>0</v>
      </c>
      <c r="AD437" s="38">
        <f>IF(ISNUMBER($AB437),$AB437*(1+N($AC437)),"")</f>
      </c>
      <c r="AE437" s="35">
        <v>350</v>
      </c>
      <c r="AF437" s="35">
        <v>250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CANON-202601-003643</t>
        </is>
      </c>
      <c r="B438" s="46" t="inlineStr">
        <is>
          <t xml:space="preserve">Mireille Thistlewood</t>
        </is>
      </c>
      <c r="C438" s="47">
        <v>46023</v>
      </c>
      <c r="D438" s="48" t="inlineStr">
        <is>
          <t xml:space="preserve">Bound - within authority</t>
        </is>
      </c>
      <c r="E438" s="48" t="inlineStr">
        <is>
          <t xml:space="preserve">New business</t>
        </is>
      </c>
      <c r="F438" s="46" t="inlineStr">
        <is>
          <t xml:space="preserve">B1234EXOTIC26</t>
        </is>
      </c>
      <c r="G438" s="33">
        <f>IF($A438="","",IF($C438="","",YEAR($C438)))</f>
      </c>
      <c r="H438" s="49">
        <v>1977</v>
      </c>
      <c r="I438" s="46" t="inlineStr">
        <is>
          <t xml:space="preserve">Ferrari</t>
        </is>
      </c>
      <c r="J438" s="46" t="inlineStr">
        <is>
          <t xml:space="preserve">296 GTB</t>
        </is>
      </c>
      <c r="K438" s="46" t="inlineStr">
        <is>
          <t xml:space="preserve">6URMNXVL2EFBW9WWU</t>
        </is>
      </c>
      <c r="L438" s="48" t="inlineStr">
        <is>
          <t xml:space="preserve">03 - Supercar</t>
        </is>
      </c>
      <c r="M438" s="50">
        <v>1020000</v>
      </c>
      <c r="N438" s="48" t="inlineStr">
        <is>
          <t xml:space="preserve">Personal</t>
        </is>
      </c>
      <c r="O438" s="46" t="inlineStr">
        <is>
          <t xml:space="preserve">Personal - regular use</t>
        </is>
      </c>
      <c r="P438" s="46" t="inlineStr">
        <is>
          <t xml:space="preserve">2,500 - 5,000</t>
        </is>
      </c>
      <c r="Q438" s="46" t="inlineStr">
        <is>
          <t xml:space="preserve">California</t>
        </is>
      </c>
      <c r="R438" s="46" t="inlineStr">
        <is>
          <t xml:space="preserve">90012</t>
        </is>
      </c>
      <c r="S438" s="48" t="inlineStr">
        <is>
          <t xml:space="preserve">Earthquake - high (CA, Cascadia, New Madrid)</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18648.22</v>
      </c>
      <c r="AC438" s="51">
        <v>0</v>
      </c>
      <c r="AD438" s="38">
        <f>IF(ISNUMBER($AB438),$AB438*(1+N($AC438)),"")</f>
      </c>
      <c r="AE438" s="50">
        <v>350</v>
      </c>
      <c r="AF438" s="50">
        <v>250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CANON-202601-003644</t>
        </is>
      </c>
      <c r="B439" s="30" t="inlineStr">
        <is>
          <t xml:space="preserve">Anouk Castellanos</t>
        </is>
      </c>
      <c r="C439" s="31">
        <v>46024</v>
      </c>
      <c r="D439" s="32" t="inlineStr">
        <is>
          <t xml:space="preserve">Bound - within authority</t>
        </is>
      </c>
      <c r="E439" s="32" t="inlineStr">
        <is>
          <t xml:space="preserve">New business</t>
        </is>
      </c>
      <c r="F439" s="30" t="inlineStr">
        <is>
          <t xml:space="preserve">B1234EXOTIC26</t>
        </is>
      </c>
      <c r="G439" s="33">
        <f>IF($A439="","",IF($C439="","",YEAR($C439)))</f>
      </c>
      <c r="H439" s="34">
        <v>2002</v>
      </c>
      <c r="I439" s="30" t="inlineStr">
        <is>
          <t xml:space="preserve">Mercedes-Benz</t>
        </is>
      </c>
      <c r="J439" s="30" t="inlineStr">
        <is>
          <t xml:space="preserve">AMG GT</t>
        </is>
      </c>
      <c r="K439" s="30" t="inlineStr">
        <is>
          <t xml:space="preserve">YRT995RM16HKA1Y32</t>
        </is>
      </c>
      <c r="L439" s="32" t="inlineStr">
        <is>
          <t xml:space="preserve">02 - Sports / GT</t>
        </is>
      </c>
      <c r="M439" s="35">
        <v>385000</v>
      </c>
      <c r="N439" s="32" t="inlineStr">
        <is>
          <t xml:space="preserve">Personal</t>
        </is>
      </c>
      <c r="O439" s="30" t="inlineStr">
        <is>
          <t xml:space="preserve">Personal - regular use</t>
        </is>
      </c>
      <c r="P439" s="30" t="inlineStr">
        <is>
          <t xml:space="preserve">2,500 - 5,000</t>
        </is>
      </c>
      <c r="Q439" s="30" t="inlineStr">
        <is>
          <t xml:space="preserve">Texas</t>
        </is>
      </c>
      <c r="R439" s="30" t="inlineStr">
        <is>
          <t xml:space="preserve">75201</t>
        </is>
      </c>
      <c r="S439" s="32" t="inlineStr">
        <is>
          <t xml:space="preserve">Tier 2 - Coastal wind (1-25 miles)</t>
        </is>
      </c>
      <c r="T439" s="36">
        <f>IF($A439="","",IF($S439="","",IFERROR(INDEX('[1]natural catastrophe'!$D$6:$D$17,MATCH($S439,'[1]natural catastrophe'!$B$6:$B$17,0)),"?")))</f>
      </c>
      <c r="U439" s="30" t="inlineStr">
        <is>
          <t xml:space="preserve">2% of agreed value, minimum $10,000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5621.25</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CANON-202601-003647</t>
        </is>
      </c>
      <c r="B440" s="46" t="inlineStr">
        <is>
          <t xml:space="preserve">Marisol Fairweather</t>
        </is>
      </c>
      <c r="C440" s="47">
        <v>46053</v>
      </c>
      <c r="D440" s="48" t="inlineStr">
        <is>
          <t xml:space="preserve">Bound - within authority</t>
        </is>
      </c>
      <c r="E440" s="48" t="inlineStr">
        <is>
          <t xml:space="preserve">New business</t>
        </is>
      </c>
      <c r="F440" s="46" t="inlineStr">
        <is>
          <t xml:space="preserve">B1234EXOTIC26</t>
        </is>
      </c>
      <c r="G440" s="33">
        <f>IF($A440="","",IF($C440="","",YEAR($C440)))</f>
      </c>
      <c r="H440" s="49">
        <v>2021</v>
      </c>
      <c r="I440" s="46" t="inlineStr">
        <is>
          <t xml:space="preserve">Mercedes-Benz</t>
        </is>
      </c>
      <c r="J440" s="46" t="inlineStr">
        <is>
          <t xml:space="preserve">280SL Pagoda</t>
        </is>
      </c>
      <c r="K440" s="46" t="inlineStr">
        <is>
          <t xml:space="preserve">EB9ED5KNFSM5JGHCS</t>
        </is>
      </c>
      <c r="L440" s="48" t="inlineStr">
        <is>
          <t xml:space="preserve">02 - Sports / GT</t>
        </is>
      </c>
      <c r="M440" s="50">
        <v>660000</v>
      </c>
      <c r="N440" s="48" t="inlineStr">
        <is>
          <t xml:space="preserve">Personal</t>
        </is>
      </c>
      <c r="O440" s="46" t="inlineStr">
        <is>
          <t xml:space="preserve">Personal - regular use</t>
        </is>
      </c>
      <c r="P440" s="46" t="inlineStr">
        <is>
          <t xml:space="preserve">Under 1,000</t>
        </is>
      </c>
      <c r="Q440" s="46" t="inlineStr">
        <is>
          <t xml:space="preserve">New York</t>
        </is>
      </c>
      <c r="R440" s="46" t="inlineStr">
        <is>
          <t xml:space="preserve">10022</t>
        </is>
      </c>
      <c r="S440" s="48" t="inlineStr">
        <is>
          <t xml:space="preserve">Tier 3 - Coastal wind (25-100 miles)</t>
        </is>
      </c>
      <c r="T440" s="36">
        <f>IF($A440="","",IF($S440="","",IFERROR(INDEX('[1]natural catastrophe'!$D$6:$D$17,MATCH($S440,'[1]natural catastrophe'!$B$6:$B$17,0)),"?")))</f>
      </c>
      <c r="U440" s="46" t="inlineStr">
        <is>
          <t xml:space="preserve">2% of agreed value, minimum $10,000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6149.44</v>
      </c>
      <c r="AC440" s="51">
        <v>0</v>
      </c>
      <c r="AD440" s="38">
        <f>IF(ISNUMBER($AB440),$AB440*(1+N($AC440)),"")</f>
      </c>
      <c r="AE440" s="50">
        <v>350</v>
      </c>
      <c r="AF440" s="50">
        <v>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CANON-202601-003648</t>
        </is>
      </c>
      <c r="B441" s="30" t="inlineStr">
        <is>
          <t xml:space="preserve">Noor Bellandi</t>
        </is>
      </c>
      <c r="C441" s="31">
        <v>46037</v>
      </c>
      <c r="D441" s="32" t="inlineStr">
        <is>
          <t xml:space="preserve">Bound - within authority</t>
        </is>
      </c>
      <c r="E441" s="32" t="inlineStr">
        <is>
          <t xml:space="preserve">New business</t>
        </is>
      </c>
      <c r="F441" s="30" t="inlineStr">
        <is>
          <t xml:space="preserve">B1234EXOTIC26</t>
        </is>
      </c>
      <c r="G441" s="33">
        <f>IF($A441="","",IF($C441="","",YEAR($C441)))</f>
      </c>
      <c r="H441" s="34">
        <v>1989</v>
      </c>
      <c r="I441" s="30" t="inlineStr">
        <is>
          <t xml:space="preserve">Alfa Romeo</t>
        </is>
      </c>
      <c r="J441" s="30" t="inlineStr">
        <is>
          <t xml:space="preserve">8C 2900</t>
        </is>
      </c>
      <c r="K441" s="30" t="inlineStr">
        <is>
          <t xml:space="preserve">WVJ93NACJNHM89SYU</t>
        </is>
      </c>
      <c r="L441" s="32" t="inlineStr">
        <is>
          <t xml:space="preserve">08 - Modern Classic (1973-1999)</t>
        </is>
      </c>
      <c r="M441" s="35">
        <v>305000</v>
      </c>
      <c r="N441" s="32" t="inlineStr">
        <is>
          <t xml:space="preserve">Personal</t>
        </is>
      </c>
      <c r="O441" s="30" t="inlineStr">
        <is>
          <t xml:space="preserve">Personal - regular use</t>
        </is>
      </c>
      <c r="P441" s="30" t="inlineStr">
        <is>
          <t xml:space="preserve">2,500 - 5,000</t>
        </is>
      </c>
      <c r="Q441" s="30" t="inlineStr">
        <is>
          <t xml:space="preserve">Idaho</t>
        </is>
      </c>
      <c r="R441" s="30" t="inlineStr">
        <is>
          <t xml:space="preserve">83702</t>
        </is>
      </c>
      <c r="S441" s="32" t="inlineStr">
        <is>
          <t xml:space="preserve">Wildfire - WUI high hazard</t>
        </is>
      </c>
      <c r="T441" s="36">
        <f>IF($A441="","",IF($S441="","",IFERROR(INDEX('[1]natural catastrophe'!$D$6:$D$17,MATCH($S441,'[1]natural catastrophe'!$B$6:$B$17,0)),"?")))</f>
      </c>
      <c r="U441" s="30" t="inlineStr">
        <is>
          <t xml:space="preserve">$5,000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2146.83</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CANON-202601-003649</t>
        </is>
      </c>
      <c r="B442" s="46" t="inlineStr">
        <is>
          <t xml:space="preserve">Noor Chattopadhyay</t>
        </is>
      </c>
      <c r="C442" s="47">
        <v>46050</v>
      </c>
      <c r="D442" s="48" t="inlineStr">
        <is>
          <t xml:space="preserve">Bound - within authority</t>
        </is>
      </c>
      <c r="E442" s="48" t="inlineStr">
        <is>
          <t xml:space="preserve">New business</t>
        </is>
      </c>
      <c r="F442" s="46" t="inlineStr">
        <is>
          <t xml:space="preserve">B1234EXOTIC26</t>
        </is>
      </c>
      <c r="G442" s="33">
        <f>IF($A442="","",IF($C442="","",YEAR($C442)))</f>
      </c>
      <c r="H442" s="49">
        <v>1977</v>
      </c>
      <c r="I442" s="46" t="inlineStr">
        <is>
          <t xml:space="preserve">Porsche</t>
        </is>
      </c>
      <c r="J442" s="46" t="inlineStr">
        <is>
          <t xml:space="preserve">911 Turbo S</t>
        </is>
      </c>
      <c r="K442" s="46" t="inlineStr">
        <is>
          <t xml:space="preserve">HGPGHTY343CGWW8P4</t>
        </is>
      </c>
      <c r="L442" s="48" t="inlineStr">
        <is>
          <t xml:space="preserve">02 - Sports / GT</t>
        </is>
      </c>
      <c r="M442" s="50">
        <v>290000</v>
      </c>
      <c r="N442" s="48" t="inlineStr">
        <is>
          <t xml:space="preserve">Personal</t>
        </is>
      </c>
      <c r="O442" s="46" t="inlineStr">
        <is>
          <t xml:space="preserve">Personal - regular use</t>
        </is>
      </c>
      <c r="P442" s="46" t="inlineStr">
        <is>
          <t xml:space="preserve">Under 1,000</t>
        </is>
      </c>
      <c r="Q442" s="46" t="inlineStr">
        <is>
          <t xml:space="preserve">Idaho</t>
        </is>
      </c>
      <c r="R442" s="46" t="inlineStr">
        <is>
          <t xml:space="preserve">83702</t>
        </is>
      </c>
      <c r="S442" s="48" t="inlineStr">
        <is>
          <t xml:space="preserve">Wildfire - WUI high hazard</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3645.09</v>
      </c>
      <c r="AC442" s="51">
        <v>0</v>
      </c>
      <c r="AD442" s="38">
        <f>IF(ISNUMBER($AB442),$AB442*(1+N($AC442)),"")</f>
      </c>
      <c r="AE442" s="50">
        <v>350</v>
      </c>
      <c r="AF442" s="50">
        <v>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CANON-202601-003650</t>
        </is>
      </c>
      <c r="B443" s="30" t="inlineStr">
        <is>
          <t xml:space="preserve">Lorenzo Vandermeer</t>
        </is>
      </c>
      <c r="C443" s="31">
        <v>46048</v>
      </c>
      <c r="D443" s="32" t="inlineStr">
        <is>
          <t xml:space="preserve">Bound - within authority</t>
        </is>
      </c>
      <c r="E443" s="32" t="inlineStr">
        <is>
          <t xml:space="preserve">New business</t>
        </is>
      </c>
      <c r="F443" s="30" t="inlineStr">
        <is>
          <t xml:space="preserve">B1234EXOTIC26</t>
        </is>
      </c>
      <c r="G443" s="33">
        <f>IF($A443="","",IF($C443="","",YEAR($C443)))</f>
      </c>
      <c r="H443" s="34">
        <v>1968</v>
      </c>
      <c r="I443" s="30" t="inlineStr">
        <is>
          <t xml:space="preserve">Mercedes-Benz</t>
        </is>
      </c>
      <c r="J443" s="30" t="inlineStr">
        <is>
          <t xml:space="preserve">280SL Pagoda</t>
        </is>
      </c>
      <c r="K443" s="30" t="inlineStr">
        <is>
          <t xml:space="preserve">ATP6ACGYFZFMRLKYS</t>
        </is>
      </c>
      <c r="L443" s="32" t="inlineStr">
        <is>
          <t xml:space="preserve">07 - Post-War Classic (1946-1972)</t>
        </is>
      </c>
      <c r="M443" s="35">
        <v>695000</v>
      </c>
      <c r="N443" s="32" t="inlineStr">
        <is>
          <t xml:space="preserve">Personal</t>
        </is>
      </c>
      <c r="O443" s="30" t="inlineStr">
        <is>
          <t xml:space="preserve">Personal - regular use</t>
        </is>
      </c>
      <c r="P443" s="30" t="inlineStr">
        <is>
          <t xml:space="preserve">1,000 - 2,500</t>
        </is>
      </c>
      <c r="Q443" s="30" t="inlineStr">
        <is>
          <t xml:space="preserve">Kentucky</t>
        </is>
      </c>
      <c r="R443" s="30" t="inlineStr">
        <is>
          <t xml:space="preserve">40202</t>
        </is>
      </c>
      <c r="S443" s="32" t="inlineStr">
        <is>
          <t xml:space="preserve">Severe convective - hail / tornado (moderate)</t>
        </is>
      </c>
      <c r="T443" s="36">
        <f>IF($A443="","",IF($S443="","",IFERROR(INDEX('[1]natural catastrophe'!$D$6:$D$17,MATCH($S443,'[1]natural catastrophe'!$B$6:$B$17,0)),"?")))</f>
      </c>
      <c r="U443" s="30" t="inlineStr">
        <is>
          <t xml:space="preserve">$5,000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6779.09</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CANON-202601-003651</t>
        </is>
      </c>
      <c r="B444" s="46" t="inlineStr">
        <is>
          <t xml:space="preserve">Callum Delacroix</t>
        </is>
      </c>
      <c r="C444" s="47">
        <v>46031</v>
      </c>
      <c r="D444" s="48" t="inlineStr">
        <is>
          <t xml:space="preserve">Bound - within authority</t>
        </is>
      </c>
      <c r="E444" s="48" t="inlineStr">
        <is>
          <t xml:space="preserve">New business</t>
        </is>
      </c>
      <c r="F444" s="46" t="inlineStr">
        <is>
          <t xml:space="preserve">B1234EXOTIC26</t>
        </is>
      </c>
      <c r="G444" s="33">
        <f>IF($A444="","",IF($C444="","",YEAR($C444)))</f>
      </c>
      <c r="H444" s="49">
        <v>1959</v>
      </c>
      <c r="I444" s="46" t="inlineStr">
        <is>
          <t xml:space="preserve">Mercedes-Benz</t>
        </is>
      </c>
      <c r="J444" s="46" t="inlineStr">
        <is>
          <t xml:space="preserve">AMG GT</t>
        </is>
      </c>
      <c r="K444" s="46" t="inlineStr">
        <is>
          <t xml:space="preserve">F6RSZ7FNRPKPW0RJG</t>
        </is>
      </c>
      <c r="L444" s="48" t="inlineStr">
        <is>
          <t xml:space="preserve">02 - Sports / GT</t>
        </is>
      </c>
      <c r="M444" s="50">
        <v>565000</v>
      </c>
      <c r="N444" s="48" t="inlineStr">
        <is>
          <t xml:space="preserve">Personal</t>
        </is>
      </c>
      <c r="O444" s="46" t="inlineStr">
        <is>
          <t xml:space="preserve">Personal - regular use</t>
        </is>
      </c>
      <c r="P444" s="46" t="inlineStr">
        <is>
          <t xml:space="preserve">Under 1,000</t>
        </is>
      </c>
      <c r="Q444" s="46" t="inlineStr">
        <is>
          <t xml:space="preserve">Michigan</t>
        </is>
      </c>
      <c r="R444" s="46" t="inlineStr">
        <is>
          <t xml:space="preserve">48226</t>
        </is>
      </c>
      <c r="S444" s="48" t="inlineStr">
        <is>
          <t xml:space="preserve">Severe convective - hail / tornado (moderate)</t>
        </is>
      </c>
      <c r="T444" s="36">
        <f>IF($A444="","",IF($S444="","",IFERROR(INDEX('[1]natural catastrophe'!$D$6:$D$17,MATCH($S444,'[1]natural catastrophe'!$B$6:$B$17,0)),"?")))</f>
      </c>
      <c r="U444" s="46" t="inlineStr">
        <is>
          <t xml:space="preserve">$5,000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9636.22</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CANON-202601-003654</t>
        </is>
      </c>
      <c r="B445" s="30" t="inlineStr">
        <is>
          <t xml:space="preserve">Ottilie Thistlewood</t>
        </is>
      </c>
      <c r="C445" s="31">
        <v>46050</v>
      </c>
      <c r="D445" s="32" t="inlineStr">
        <is>
          <t xml:space="preserve">Bound - within authority</t>
        </is>
      </c>
      <c r="E445" s="32" t="inlineStr">
        <is>
          <t xml:space="preserve">New business</t>
        </is>
      </c>
      <c r="F445" s="30" t="inlineStr">
        <is>
          <t xml:space="preserve">B1234EXOTIC26</t>
        </is>
      </c>
      <c r="G445" s="33">
        <f>IF($A445="","",IF($C445="","",YEAR($C445)))</f>
      </c>
      <c r="H445" s="34">
        <v>1956</v>
      </c>
      <c r="I445" s="30" t="inlineStr">
        <is>
          <t xml:space="preserve">Ferrari</t>
        </is>
      </c>
      <c r="J445" s="30" t="inlineStr">
        <is>
          <t xml:space="preserve">275 GTB/4</t>
        </is>
      </c>
      <c r="K445" s="30" t="inlineStr">
        <is>
          <t xml:space="preserve">6E2CJ2P1E5X7RHVYN</t>
        </is>
      </c>
      <c r="L445" s="32" t="inlineStr">
        <is>
          <t xml:space="preserve">07 - Post-War Classic (1946-1972)</t>
        </is>
      </c>
      <c r="M445" s="35">
        <v>845000</v>
      </c>
      <c r="N445" s="32" t="inlineStr">
        <is>
          <t xml:space="preserve">Personal</t>
        </is>
      </c>
      <c r="O445" s="30" t="inlineStr">
        <is>
          <t xml:space="preserve">Personal - regular use</t>
        </is>
      </c>
      <c r="P445" s="30" t="inlineStr">
        <is>
          <t xml:space="preserve">1,000 - 2,500</t>
        </is>
      </c>
      <c r="Q445" s="30" t="inlineStr">
        <is>
          <t xml:space="preserve">Alaska</t>
        </is>
      </c>
      <c r="R445" s="30" t="inlineStr">
        <is>
          <t xml:space="preserve">99501</t>
        </is>
      </c>
      <c r="S445" s="32" t="inlineStr">
        <is>
          <t xml:space="preserve">Earthquake - high (CA, Cascadia, New Madrid)</t>
        </is>
      </c>
      <c r="T445" s="36">
        <f>IF($A445="","",IF($S445="","",IFERROR(INDEX('[1]natural catastrophe'!$D$6:$D$17,MATCH($S445,'[1]natural catastrophe'!$B$6:$B$17,0)),"?")))</f>
      </c>
      <c r="U445" s="30" t="inlineStr">
        <is>
          <t xml:space="preserve">$5,000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7012.02</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CANON-202601-003656</t>
        </is>
      </c>
      <c r="B446" s="46" t="inlineStr">
        <is>
          <t xml:space="preserve">Mireille Thistlewood</t>
        </is>
      </c>
      <c r="C446" s="47">
        <v>46027</v>
      </c>
      <c r="D446" s="48" t="inlineStr">
        <is>
          <t xml:space="preserve">Bound - within authority</t>
        </is>
      </c>
      <c r="E446" s="48" t="inlineStr">
        <is>
          <t xml:space="preserve">New business</t>
        </is>
      </c>
      <c r="F446" s="46" t="inlineStr">
        <is>
          <t xml:space="preserve">B1234EXOTIC26</t>
        </is>
      </c>
      <c r="G446" s="33">
        <f>IF($A446="","",IF($C446="","",YEAR($C446)))</f>
      </c>
      <c r="H446" s="49">
        <v>2014</v>
      </c>
      <c r="I446" s="46" t="inlineStr">
        <is>
          <t xml:space="preserve">Ferrari</t>
        </is>
      </c>
      <c r="J446" s="46" t="inlineStr">
        <is>
          <t xml:space="preserve">275 GTB/4</t>
        </is>
      </c>
      <c r="K446" s="46" t="inlineStr">
        <is>
          <t xml:space="preserve">RYB1RNCHEL2NY96F1</t>
        </is>
      </c>
      <c r="L446" s="48" t="inlineStr">
        <is>
          <t xml:space="preserve">02 - Sports / GT</t>
        </is>
      </c>
      <c r="M446" s="50">
        <v>750000</v>
      </c>
      <c r="N446" s="48" t="inlineStr">
        <is>
          <t xml:space="preserve">Personal</t>
        </is>
      </c>
      <c r="O446" s="46" t="inlineStr">
        <is>
          <t xml:space="preserve">Personal - regular use</t>
        </is>
      </c>
      <c r="P446" s="46" t="inlineStr">
        <is>
          <t xml:space="preserve">2,500 - 5,000</t>
        </is>
      </c>
      <c r="Q446" s="46" t="inlineStr">
        <is>
          <t xml:space="preserve">Illinois</t>
        </is>
      </c>
      <c r="R446" s="46" t="inlineStr">
        <is>
          <t xml:space="preserve">60601</t>
        </is>
      </c>
      <c r="S446" s="48" t="inlineStr">
        <is>
          <t xml:space="preserve">Severe convective - hail / tornado (moderate)</t>
        </is>
      </c>
      <c r="T446" s="36">
        <f>IF($A446="","",IF($S446="","",IFERROR(INDEX('[1]natural catastrophe'!$D$6:$D$17,MATCH($S446,'[1]natural catastrophe'!$B$6:$B$17,0)),"?")))</f>
      </c>
      <c r="U446" s="46" t="inlineStr">
        <is>
          <t xml:space="preserve">$5,000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7424.75</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CANON-202601-003657</t>
        </is>
      </c>
      <c r="B447" s="30" t="inlineStr">
        <is>
          <t xml:space="preserve">Everett Farkas</t>
        </is>
      </c>
      <c r="C447" s="31">
        <v>46043</v>
      </c>
      <c r="D447" s="32" t="inlineStr">
        <is>
          <t xml:space="preserve">Bound - within authority</t>
        </is>
      </c>
      <c r="E447" s="32" t="inlineStr">
        <is>
          <t xml:space="preserve">New business</t>
        </is>
      </c>
      <c r="F447" s="30" t="inlineStr">
        <is>
          <t xml:space="preserve">B1234EXOTIC26</t>
        </is>
      </c>
      <c r="G447" s="33">
        <f>IF($A447="","",IF($C447="","",YEAR($C447)))</f>
      </c>
      <c r="H447" s="34">
        <v>2001</v>
      </c>
      <c r="I447" s="30" t="inlineStr">
        <is>
          <t xml:space="preserve">Porsche</t>
        </is>
      </c>
      <c r="J447" s="30" t="inlineStr">
        <is>
          <t xml:space="preserve">911 Turbo S</t>
        </is>
      </c>
      <c r="K447" s="30" t="inlineStr">
        <is>
          <t xml:space="preserve">284FX56PLNRJJGYV5</t>
        </is>
      </c>
      <c r="L447" s="32" t="inlineStr">
        <is>
          <t xml:space="preserve">02 - Sports / GT</t>
        </is>
      </c>
      <c r="M447" s="35">
        <v>550000</v>
      </c>
      <c r="N447" s="32" t="inlineStr">
        <is>
          <t xml:space="preserve">Personal</t>
        </is>
      </c>
      <c r="O447" s="30" t="inlineStr">
        <is>
          <t xml:space="preserve">Personal - regular use</t>
        </is>
      </c>
      <c r="P447" s="30" t="inlineStr">
        <is>
          <t xml:space="preserve">2,500 - 5,000</t>
        </is>
      </c>
      <c r="Q447" s="30" t="inlineStr">
        <is>
          <t xml:space="preserve">Oregon</t>
        </is>
      </c>
      <c r="R447" s="30" t="inlineStr">
        <is>
          <t xml:space="preserve">97204</t>
        </is>
      </c>
      <c r="S447" s="32" t="inlineStr">
        <is>
          <t xml:space="preserve">Earthquake - high (CA, Cascadia, New Madrid)</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6838.61</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CANON-202601-003658</t>
        </is>
      </c>
      <c r="B448" s="46" t="inlineStr">
        <is>
          <t xml:space="preserve">Priya Vandermeer</t>
        </is>
      </c>
      <c r="C448" s="47">
        <v>46027</v>
      </c>
      <c r="D448" s="48" t="inlineStr">
        <is>
          <t xml:space="preserve">Bound - within authority</t>
        </is>
      </c>
      <c r="E448" s="48" t="inlineStr">
        <is>
          <t xml:space="preserve">New business</t>
        </is>
      </c>
      <c r="F448" s="46" t="inlineStr">
        <is>
          <t xml:space="preserve">B1234EXOTIC26</t>
        </is>
      </c>
      <c r="G448" s="33">
        <f>IF($A448="","",IF($C448="","",YEAR($C448)))</f>
      </c>
      <c r="H448" s="49">
        <v>1987</v>
      </c>
      <c r="I448" s="46" t="inlineStr">
        <is>
          <t xml:space="preserve">BMW</t>
        </is>
      </c>
      <c r="J448" s="46" t="inlineStr">
        <is>
          <t xml:space="preserve">M8 Competition</t>
        </is>
      </c>
      <c r="K448" s="46" t="inlineStr">
        <is>
          <t xml:space="preserve">GZXLTEKLDD7PH8E96</t>
        </is>
      </c>
      <c r="L448" s="48" t="inlineStr">
        <is>
          <t xml:space="preserve">02 - Sports / GT</t>
        </is>
      </c>
      <c r="M448" s="50">
        <v>330000</v>
      </c>
      <c r="N448" s="48" t="inlineStr">
        <is>
          <t xml:space="preserve">Personal</t>
        </is>
      </c>
      <c r="O448" s="46" t="inlineStr">
        <is>
          <t xml:space="preserve">Personal - regular use</t>
        </is>
      </c>
      <c r="P448" s="46" t="inlineStr">
        <is>
          <t xml:space="preserve">Under 1,000</t>
        </is>
      </c>
      <c r="Q448" s="46" t="inlineStr">
        <is>
          <t xml:space="preserve">Alabama</t>
        </is>
      </c>
      <c r="R448" s="46" t="inlineStr">
        <is>
          <t xml:space="preserve">35203</t>
        </is>
      </c>
      <c r="S448" s="48" t="inlineStr">
        <is>
          <t xml:space="preserve">Tier 2 - Coastal wind (1-25 miles)</t>
        </is>
      </c>
      <c r="T448" s="36">
        <f>IF($A448="","",IF($S448="","",IFERROR(INDEX('[1]natural catastrophe'!$D$6:$D$17,MATCH($S448,'[1]natural catastrophe'!$B$6:$B$17,0)),"?")))</f>
      </c>
      <c r="U448" s="46" t="inlineStr">
        <is>
          <t xml:space="preserve">2% of agreed value, minimum $10,000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5320.99</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CANON-202601-003659</t>
        </is>
      </c>
      <c r="B449" s="30" t="inlineStr">
        <is>
          <t xml:space="preserve">Horace Vandermeer</t>
        </is>
      </c>
      <c r="C449" s="31">
        <v>46029</v>
      </c>
      <c r="D449" s="32" t="inlineStr">
        <is>
          <t xml:space="preserve">Bound - within authority</t>
        </is>
      </c>
      <c r="E449" s="32" t="inlineStr">
        <is>
          <t xml:space="preserve">New business</t>
        </is>
      </c>
      <c r="F449" s="30" t="inlineStr">
        <is>
          <t xml:space="preserve">B1234EXOTIC26</t>
        </is>
      </c>
      <c r="G449" s="33">
        <f>IF($A449="","",IF($C449="","",YEAR($C449)))</f>
      </c>
      <c r="H449" s="34">
        <v>1981</v>
      </c>
      <c r="I449" s="30" t="inlineStr">
        <is>
          <t xml:space="preserve">Aston Martin</t>
        </is>
      </c>
      <c r="J449" s="30" t="inlineStr">
        <is>
          <t xml:space="preserve">DB12</t>
        </is>
      </c>
      <c r="K449" s="30" t="inlineStr">
        <is>
          <t xml:space="preserve">GD77BHJVP4RNACGHY</t>
        </is>
      </c>
      <c r="L449" s="32" t="inlineStr">
        <is>
          <t xml:space="preserve">02 - Sports / GT</t>
        </is>
      </c>
      <c r="M449" s="35">
        <v>210000</v>
      </c>
      <c r="N449" s="32" t="inlineStr">
        <is>
          <t xml:space="preserve">Personal</t>
        </is>
      </c>
      <c r="O449" s="30" t="inlineStr">
        <is>
          <t xml:space="preserve">Personal - regular use</t>
        </is>
      </c>
      <c r="P449" s="30" t="inlineStr">
        <is>
          <t xml:space="preserve">1,000 - 2,500</t>
        </is>
      </c>
      <c r="Q449" s="30" t="inlineStr">
        <is>
          <t xml:space="preserve">Oklahoma</t>
        </is>
      </c>
      <c r="R449" s="30" t="inlineStr">
        <is>
          <t xml:space="preserve">73102</t>
        </is>
      </c>
      <c r="S449" s="32" t="inlineStr">
        <is>
          <t xml:space="preserve">Severe convective - hail alley (high)</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4120.89</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CANON-202601-003660</t>
        </is>
      </c>
      <c r="B450" s="46" t="inlineStr">
        <is>
          <t xml:space="preserve">Thaddeus Blackwood</t>
        </is>
      </c>
      <c r="C450" s="47">
        <v>46027</v>
      </c>
      <c r="D450" s="48" t="inlineStr">
        <is>
          <t xml:space="preserve">Bound - within authority</t>
        </is>
      </c>
      <c r="E450" s="48" t="inlineStr">
        <is>
          <t xml:space="preserve">New business</t>
        </is>
      </c>
      <c r="F450" s="46" t="inlineStr">
        <is>
          <t xml:space="preserve">B1234EXOTIC26</t>
        </is>
      </c>
      <c r="G450" s="33">
        <f>IF($A450="","",IF($C450="","",YEAR($C450)))</f>
      </c>
      <c r="H450" s="49">
        <v>2000</v>
      </c>
      <c r="I450" s="46" t="inlineStr">
        <is>
          <t xml:space="preserve">Aston Martin</t>
        </is>
      </c>
      <c r="J450" s="46" t="inlineStr">
        <is>
          <t xml:space="preserve">DB5</t>
        </is>
      </c>
      <c r="K450" s="46" t="inlineStr">
        <is>
          <t xml:space="preserve">YEHA0WKLX4NL7RGJ9</t>
        </is>
      </c>
      <c r="L450" s="48" t="inlineStr">
        <is>
          <t xml:space="preserve">09 - Youngtimer / Collectible (2000-2010)</t>
        </is>
      </c>
      <c r="M450" s="50">
        <v>1205000</v>
      </c>
      <c r="N450" s="48" t="inlineStr">
        <is>
          <t xml:space="preserve">Personal</t>
        </is>
      </c>
      <c r="O450" s="46" t="inlineStr">
        <is>
          <t xml:space="preserve">Personal - regular use</t>
        </is>
      </c>
      <c r="P450" s="46" t="inlineStr">
        <is>
          <t xml:space="preserve">2,500 - 5,000</t>
        </is>
      </c>
      <c r="Q450" s="46" t="inlineStr">
        <is>
          <t xml:space="preserve">Alabama</t>
        </is>
      </c>
      <c r="R450" s="46" t="inlineStr">
        <is>
          <t xml:space="preserve">35203</t>
        </is>
      </c>
      <c r="S450" s="48" t="inlineStr">
        <is>
          <t xml:space="preserve">Tier 2 - Coastal wind (1-25 miles)</t>
        </is>
      </c>
      <c r="T450" s="36">
        <f>IF($A450="","",IF($S450="","",IFERROR(INDEX('[1]natural catastrophe'!$D$6:$D$17,MATCH($S450,'[1]natural catastrophe'!$B$6:$B$17,0)),"?")))</f>
      </c>
      <c r="U450" s="46" t="inlineStr">
        <is>
          <t xml:space="preserve">2% of agreed value, minimum $10,000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9844.37</v>
      </c>
      <c r="AC450" s="51">
        <v>0</v>
      </c>
      <c r="AD450" s="38">
        <f>IF(ISNUMBER($AB450),$AB450*(1+N($AC450)),"")</f>
      </c>
      <c r="AE450" s="50">
        <v>350</v>
      </c>
      <c r="AF450" s="50">
        <v>250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CANON-202601-003663</t>
        </is>
      </c>
      <c r="B451" s="30" t="inlineStr">
        <is>
          <t xml:space="preserve">Aurelio Pennington</t>
        </is>
      </c>
      <c r="C451" s="31">
        <v>46039</v>
      </c>
      <c r="D451" s="32" t="inlineStr">
        <is>
          <t xml:space="preserve">Bound - within authority</t>
        </is>
      </c>
      <c r="E451" s="32" t="inlineStr">
        <is>
          <t xml:space="preserve">New business</t>
        </is>
      </c>
      <c r="F451" s="30" t="inlineStr">
        <is>
          <t xml:space="preserve">B1234EXOTIC26</t>
        </is>
      </c>
      <c r="G451" s="33">
        <f>IF($A451="","",IF($C451="","",YEAR($C451)))</f>
      </c>
      <c r="H451" s="34">
        <v>1955</v>
      </c>
      <c r="I451" s="30" t="inlineStr">
        <is>
          <t xml:space="preserve">Porsche</t>
        </is>
      </c>
      <c r="J451" s="30" t="inlineStr">
        <is>
          <t xml:space="preserve">911 Turbo S</t>
        </is>
      </c>
      <c r="K451" s="30" t="inlineStr">
        <is>
          <t xml:space="preserve">DTWXXP07AE8V1ESNK</t>
        </is>
      </c>
      <c r="L451" s="32" t="inlineStr">
        <is>
          <t xml:space="preserve">02 - Sports / GT</t>
        </is>
      </c>
      <c r="M451" s="35">
        <v>345000</v>
      </c>
      <c r="N451" s="32" t="inlineStr">
        <is>
          <t xml:space="preserve">Personal</t>
        </is>
      </c>
      <c r="O451" s="30" t="inlineStr">
        <is>
          <t xml:space="preserve">Personal - regular use</t>
        </is>
      </c>
      <c r="P451" s="30" t="inlineStr">
        <is>
          <t xml:space="preserve">Under 1,000</t>
        </is>
      </c>
      <c r="Q451" s="30" t="inlineStr">
        <is>
          <t xml:space="preserve">Colorado</t>
        </is>
      </c>
      <c r="R451" s="30" t="inlineStr">
        <is>
          <t xml:space="preserve">80202</t>
        </is>
      </c>
      <c r="S451" s="32" t="inlineStr">
        <is>
          <t xml:space="preserve">Severe convective - hail alley (high)</t>
        </is>
      </c>
      <c r="T451" s="36">
        <f>IF($A451="","",IF($S451="","",IFERROR(INDEX('[1]natural catastrophe'!$D$6:$D$17,MATCH($S451,'[1]natural catastrophe'!$B$6:$B$17,0)),"?")))</f>
      </c>
      <c r="U451" s="30" t="inlineStr">
        <is>
          <t xml:space="preserve">$5,000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4818.22</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CANON-202601-003664</t>
        </is>
      </c>
      <c r="B452" s="46" t="inlineStr">
        <is>
          <t xml:space="preserve">Fenwick Merriweather</t>
        </is>
      </c>
      <c r="C452" s="47">
        <v>46027</v>
      </c>
      <c r="D452" s="48" t="inlineStr">
        <is>
          <t xml:space="preserve">Bound - within authority</t>
        </is>
      </c>
      <c r="E452" s="48" t="inlineStr">
        <is>
          <t xml:space="preserve">New business</t>
        </is>
      </c>
      <c r="F452" s="46" t="inlineStr">
        <is>
          <t xml:space="preserve">B1234EXOTIC26</t>
        </is>
      </c>
      <c r="G452" s="33">
        <f>IF($A452="","",IF($C452="","",YEAR($C452)))</f>
      </c>
      <c r="H452" s="49">
        <v>1962</v>
      </c>
      <c r="I452" s="46" t="inlineStr">
        <is>
          <t xml:space="preserve">Ferrari</t>
        </is>
      </c>
      <c r="J452" s="46" t="inlineStr">
        <is>
          <t xml:space="preserve">SF90 Stradale</t>
        </is>
      </c>
      <c r="K452" s="46" t="inlineStr">
        <is>
          <t xml:space="preserve">AGM9ZLM796W7K84JD</t>
        </is>
      </c>
      <c r="L452" s="48" t="inlineStr">
        <is>
          <t xml:space="preserve">03 - Supercar</t>
        </is>
      </c>
      <c r="M452" s="50">
        <v>1030000</v>
      </c>
      <c r="N452" s="48" t="inlineStr">
        <is>
          <t xml:space="preserve">Personal</t>
        </is>
      </c>
      <c r="O452" s="46" t="inlineStr">
        <is>
          <t xml:space="preserve">Personal - regular use</t>
        </is>
      </c>
      <c r="P452" s="46" t="inlineStr">
        <is>
          <t xml:space="preserve">2,500 - 5,000</t>
        </is>
      </c>
      <c r="Q452" s="46" t="inlineStr">
        <is>
          <t xml:space="preserve">Vermont</t>
        </is>
      </c>
      <c r="R452" s="46" t="inlineStr">
        <is>
          <t xml:space="preserve">05601</t>
        </is>
      </c>
      <c r="S452" s="48" t="inlineStr">
        <is>
          <t xml:space="preserve">Low hazard - inland benign</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17017.69</v>
      </c>
      <c r="AC452" s="51">
        <v>0</v>
      </c>
      <c r="AD452" s="38">
        <f>IF(ISNUMBER($AB452),$AB452*(1+N($AC452)),"")</f>
      </c>
      <c r="AE452" s="50">
        <v>350</v>
      </c>
      <c r="AF452" s="50">
        <v>250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CANON-202601-003666</t>
        </is>
      </c>
      <c r="B453" s="30" t="inlineStr">
        <is>
          <t xml:space="preserve">Everett Pennington</t>
        </is>
      </c>
      <c r="C453" s="31">
        <v>46049</v>
      </c>
      <c r="D453" s="32" t="inlineStr">
        <is>
          <t xml:space="preserve">Bound - within authority</t>
        </is>
      </c>
      <c r="E453" s="32" t="inlineStr">
        <is>
          <t xml:space="preserve">New business</t>
        </is>
      </c>
      <c r="F453" s="30" t="inlineStr">
        <is>
          <t xml:space="preserve">B1234EXOTIC26</t>
        </is>
      </c>
      <c r="G453" s="33">
        <f>IF($A453="","",IF($C453="","",YEAR($C453)))</f>
      </c>
      <c r="H453" s="34">
        <v>1957</v>
      </c>
      <c r="I453" s="30" t="inlineStr">
        <is>
          <t xml:space="preserve">Aston Martin</t>
        </is>
      </c>
      <c r="J453" s="30" t="inlineStr">
        <is>
          <t xml:space="preserve">DB12</t>
        </is>
      </c>
      <c r="K453" s="30" t="inlineStr">
        <is>
          <t xml:space="preserve">X78CNJP7BAKF8VU94</t>
        </is>
      </c>
      <c r="L453" s="32" t="inlineStr">
        <is>
          <t xml:space="preserve">02 - Sports / GT</t>
        </is>
      </c>
      <c r="M453" s="35">
        <v>975000</v>
      </c>
      <c r="N453" s="32" t="inlineStr">
        <is>
          <t xml:space="preserve">Personal</t>
        </is>
      </c>
      <c r="O453" s="30" t="inlineStr">
        <is>
          <t xml:space="preserve">Personal - regular use</t>
        </is>
      </c>
      <c r="P453" s="30" t="inlineStr">
        <is>
          <t xml:space="preserve">2,500 - 5,000</t>
        </is>
      </c>
      <c r="Q453" s="30" t="inlineStr">
        <is>
          <t xml:space="preserve">Pennsylvania</t>
        </is>
      </c>
      <c r="R453" s="30" t="inlineStr">
        <is>
          <t xml:space="preserve">19103</t>
        </is>
      </c>
      <c r="S453" s="32" t="inlineStr">
        <is>
          <t xml:space="preserve">Low hazard - inland benign</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10728.31</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CANON-202601-003669</t>
        </is>
      </c>
      <c r="B454" s="46" t="inlineStr">
        <is>
          <t xml:space="preserve">Thaddeus Okonkwo</t>
        </is>
      </c>
      <c r="C454" s="47">
        <v>46037</v>
      </c>
      <c r="D454" s="48" t="inlineStr">
        <is>
          <t xml:space="preserve">Bound - within authority</t>
        </is>
      </c>
      <c r="E454" s="48" t="inlineStr">
        <is>
          <t xml:space="preserve">New business</t>
        </is>
      </c>
      <c r="F454" s="46" t="inlineStr">
        <is>
          <t xml:space="preserve">B1234EXOTIC26</t>
        </is>
      </c>
      <c r="G454" s="33">
        <f>IF($A454="","",IF($C454="","",YEAR($C454)))</f>
      </c>
      <c r="H454" s="49">
        <v>2011</v>
      </c>
      <c r="I454" s="46" t="inlineStr">
        <is>
          <t xml:space="preserve">Maserati</t>
        </is>
      </c>
      <c r="J454" s="46" t="inlineStr">
        <is>
          <t xml:space="preserve">GranTurismo</t>
        </is>
      </c>
      <c r="K454" s="46" t="inlineStr">
        <is>
          <t xml:space="preserve">2A9Y3H3VLHNG97V9Y</t>
        </is>
      </c>
      <c r="L454" s="48" t="inlineStr">
        <is>
          <t xml:space="preserve">02 - Sports / GT</t>
        </is>
      </c>
      <c r="M454" s="50">
        <v>545000</v>
      </c>
      <c r="N454" s="48" t="inlineStr">
        <is>
          <t xml:space="preserve">Personal</t>
        </is>
      </c>
      <c r="O454" s="46" t="inlineStr">
        <is>
          <t xml:space="preserve">Personal - regular use</t>
        </is>
      </c>
      <c r="P454" s="46" t="inlineStr">
        <is>
          <t xml:space="preserve">1,000 - 2,500</t>
        </is>
      </c>
      <c r="Q454" s="46" t="inlineStr">
        <is>
          <t xml:space="preserve">Washington</t>
        </is>
      </c>
      <c r="R454" s="46" t="inlineStr">
        <is>
          <t xml:space="preserve">98101</t>
        </is>
      </c>
      <c r="S454" s="48" t="inlineStr">
        <is>
          <t xml:space="preserve">Earthquake - high (CA, Cascadia, New Madrid)</t>
        </is>
      </c>
      <c r="T454" s="36">
        <f>IF($A454="","",IF($S454="","",IFERROR(INDEX('[1]natural catastrophe'!$D$6:$D$17,MATCH($S454,'[1]natural catastrophe'!$B$6:$B$17,0)),"?")))</f>
      </c>
      <c r="U454" s="46" t="inlineStr">
        <is>
          <t xml:space="preserve">$5,000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5756.97</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CANON-202601-003670</t>
        </is>
      </c>
      <c r="B455" s="30" t="inlineStr">
        <is>
          <t xml:space="preserve">Wilhelmina Pennington</t>
        </is>
      </c>
      <c r="C455" s="31">
        <v>46041</v>
      </c>
      <c r="D455" s="32" t="inlineStr">
        <is>
          <t xml:space="preserve">Bound - within authority</t>
        </is>
      </c>
      <c r="E455" s="32" t="inlineStr">
        <is>
          <t xml:space="preserve">New business</t>
        </is>
      </c>
      <c r="F455" s="30" t="inlineStr">
        <is>
          <t xml:space="preserve">B1234EXOTIC26</t>
        </is>
      </c>
      <c r="G455" s="33">
        <f>IF($A455="","",IF($C455="","",YEAR($C455)))</f>
      </c>
      <c r="H455" s="34">
        <v>1979</v>
      </c>
      <c r="I455" s="30" t="inlineStr">
        <is>
          <t xml:space="preserve">McLaren</t>
        </is>
      </c>
      <c r="J455" s="30" t="inlineStr">
        <is>
          <t xml:space="preserve">750S</t>
        </is>
      </c>
      <c r="K455" s="30" t="inlineStr">
        <is>
          <t xml:space="preserve">1E0U0KEGRT05YGAX3</t>
        </is>
      </c>
      <c r="L455" s="32" t="inlineStr">
        <is>
          <t xml:space="preserve">03 - Supercar</t>
        </is>
      </c>
      <c r="M455" s="35">
        <v>1650000</v>
      </c>
      <c r="N455" s="32" t="inlineStr">
        <is>
          <t xml:space="preserve">Personal</t>
        </is>
      </c>
      <c r="O455" s="30" t="inlineStr">
        <is>
          <t xml:space="preserve">Personal - regular use</t>
        </is>
      </c>
      <c r="P455" s="30" t="inlineStr">
        <is>
          <t xml:space="preserve">2,500 - 5,000</t>
        </is>
      </c>
      <c r="Q455" s="30" t="inlineStr">
        <is>
          <t xml:space="preserve">Massachusetts</t>
        </is>
      </c>
      <c r="R455" s="30" t="inlineStr">
        <is>
          <t xml:space="preserve">02108</t>
        </is>
      </c>
      <c r="S455" s="32" t="inlineStr">
        <is>
          <t xml:space="preserve">Tier 3 - Coastal wind (25-100 miles)</t>
        </is>
      </c>
      <c r="T455" s="36">
        <f>IF($A455="","",IF($S455="","",IFERROR(INDEX('[1]natural catastrophe'!$D$6:$D$17,MATCH($S455,'[1]natural catastrophe'!$B$6:$B$17,0)),"?")))</f>
      </c>
      <c r="U455" s="30" t="inlineStr">
        <is>
          <t xml:space="preserve">2% of agreed value, minimum $10,000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27931.7</v>
      </c>
      <c r="AC455" s="37">
        <v>0</v>
      </c>
      <c r="AD455" s="38">
        <f>IF(ISNUMBER($AB455),$AB455*(1+N($AC455)),"")</f>
      </c>
      <c r="AE455" s="35">
        <v>350</v>
      </c>
      <c r="AF455" s="35">
        <v>250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CANON-202601-003671</t>
        </is>
      </c>
      <c r="B456" s="46" t="inlineStr">
        <is>
          <t xml:space="preserve">Saoirse Kingsford</t>
        </is>
      </c>
      <c r="C456" s="47">
        <v>46044</v>
      </c>
      <c r="D456" s="48" t="inlineStr">
        <is>
          <t xml:space="preserve">Bound - within authority</t>
        </is>
      </c>
      <c r="E456" s="48" t="inlineStr">
        <is>
          <t xml:space="preserve">New business</t>
        </is>
      </c>
      <c r="F456" s="46" t="inlineStr">
        <is>
          <t xml:space="preserve">B1234EXOTIC26</t>
        </is>
      </c>
      <c r="G456" s="33">
        <f>IF($A456="","",IF($C456="","",YEAR($C456)))</f>
      </c>
      <c r="H456" s="49">
        <v>1965</v>
      </c>
      <c r="I456" s="46" t="inlineStr">
        <is>
          <t xml:space="preserve">McLaren</t>
        </is>
      </c>
      <c r="J456" s="46" t="inlineStr">
        <is>
          <t xml:space="preserve">750S</t>
        </is>
      </c>
      <c r="K456" s="46" t="inlineStr">
        <is>
          <t xml:space="preserve">TL8B564VU6E8L0P2P</t>
        </is>
      </c>
      <c r="L456" s="48" t="inlineStr">
        <is>
          <t xml:space="preserve">03 - Supercar</t>
        </is>
      </c>
      <c r="M456" s="50">
        <v>980000</v>
      </c>
      <c r="N456" s="48" t="inlineStr">
        <is>
          <t xml:space="preserve">Personal</t>
        </is>
      </c>
      <c r="O456" s="46" t="inlineStr">
        <is>
          <t xml:space="preserve">Personal - regular use</t>
        </is>
      </c>
      <c r="P456" s="46" t="inlineStr">
        <is>
          <t xml:space="preserve">2,500 - 5,000</t>
        </is>
      </c>
      <c r="Q456" s="46" t="inlineStr">
        <is>
          <t xml:space="preserve">South Carolina</t>
        </is>
      </c>
      <c r="R456" s="46" t="inlineStr">
        <is>
          <t xml:space="preserve">29401</t>
        </is>
      </c>
      <c r="S456" s="48" t="inlineStr">
        <is>
          <t xml:space="preserve">Tier 2 - Coastal wind (1-25 miles)</t>
        </is>
      </c>
      <c r="T456" s="36">
        <f>IF($A456="","",IF($S456="","",IFERROR(INDEX('[1]natural catastrophe'!$D$6:$D$17,MATCH($S456,'[1]natural catastrophe'!$B$6:$B$17,0)),"?")))</f>
      </c>
      <c r="U456" s="46" t="inlineStr">
        <is>
          <t xml:space="preserve">2% of agreed value, minimum $10,000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19542.71</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CANON-202601-003672</t>
        </is>
      </c>
      <c r="B457" s="30" t="inlineStr">
        <is>
          <t xml:space="preserve">Priya Underwood</t>
        </is>
      </c>
      <c r="C457" s="31">
        <v>46025</v>
      </c>
      <c r="D457" s="32" t="inlineStr">
        <is>
          <t xml:space="preserve">Bound - within authority</t>
        </is>
      </c>
      <c r="E457" s="32" t="inlineStr">
        <is>
          <t xml:space="preserve">New business</t>
        </is>
      </c>
      <c r="F457" s="30" t="inlineStr">
        <is>
          <t xml:space="preserve">B1234EXOTIC26</t>
        </is>
      </c>
      <c r="G457" s="33">
        <f>IF($A457="","",IF($C457="","",YEAR($C457)))</f>
      </c>
      <c r="H457" s="34">
        <v>2005</v>
      </c>
      <c r="I457" s="30" t="inlineStr">
        <is>
          <t xml:space="preserve">Aston Martin</t>
        </is>
      </c>
      <c r="J457" s="30" t="inlineStr">
        <is>
          <t xml:space="preserve">DB12</t>
        </is>
      </c>
      <c r="K457" s="30" t="inlineStr">
        <is>
          <t xml:space="preserve">0A6508LF7L5BC62GV</t>
        </is>
      </c>
      <c r="L457" s="32" t="inlineStr">
        <is>
          <t xml:space="preserve">02 - Sports / GT</t>
        </is>
      </c>
      <c r="M457" s="35">
        <v>410000</v>
      </c>
      <c r="N457" s="32" t="inlineStr">
        <is>
          <t xml:space="preserve">Personal</t>
        </is>
      </c>
      <c r="O457" s="30" t="inlineStr">
        <is>
          <t xml:space="preserve">Personal - regular use</t>
        </is>
      </c>
      <c r="P457" s="30" t="inlineStr">
        <is>
          <t xml:space="preserve">2,500 - 5,000</t>
        </is>
      </c>
      <c r="Q457" s="30" t="inlineStr">
        <is>
          <t xml:space="preserve">Texas</t>
        </is>
      </c>
      <c r="R457" s="30" t="inlineStr">
        <is>
          <t xml:space="preserve">75201</t>
        </is>
      </c>
      <c r="S457" s="32" t="inlineStr">
        <is>
          <t xml:space="preserve">Tier 2 - Coastal wind (1-25 miles)</t>
        </is>
      </c>
      <c r="T457" s="36">
        <f>IF($A457="","",IF($S457="","",IFERROR(INDEX('[1]natural catastrophe'!$D$6:$D$17,MATCH($S457,'[1]natural catastrophe'!$B$6:$B$17,0)),"?")))</f>
      </c>
      <c r="U457" s="30" t="inlineStr">
        <is>
          <t xml:space="preserve">2% of agreed value, minimum $10,000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5986.27</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CANON-202601-003673</t>
        </is>
      </c>
      <c r="B458" s="46" t="inlineStr">
        <is>
          <t xml:space="preserve">Wilhelmina Chattopadhyay</t>
        </is>
      </c>
      <c r="C458" s="47">
        <v>46037</v>
      </c>
      <c r="D458" s="48" t="inlineStr">
        <is>
          <t xml:space="preserve">Bound - within authority</t>
        </is>
      </c>
      <c r="E458" s="48" t="inlineStr">
        <is>
          <t xml:space="preserve">New business</t>
        </is>
      </c>
      <c r="F458" s="46" t="inlineStr">
        <is>
          <t xml:space="preserve">B1234EXOTIC26</t>
        </is>
      </c>
      <c r="G458" s="33">
        <f>IF($A458="","",IF($C458="","",YEAR($C458)))</f>
      </c>
      <c r="H458" s="49">
        <v>2006</v>
      </c>
      <c r="I458" s="46" t="inlineStr">
        <is>
          <t xml:space="preserve">Mercedes-Benz</t>
        </is>
      </c>
      <c r="J458" s="46" t="inlineStr">
        <is>
          <t xml:space="preserve">AMG GT</t>
        </is>
      </c>
      <c r="K458" s="46" t="inlineStr">
        <is>
          <t xml:space="preserve">6UC7AXUTJWUNH4Y7B</t>
        </is>
      </c>
      <c r="L458" s="48" t="inlineStr">
        <is>
          <t xml:space="preserve">02 - Sports / GT</t>
        </is>
      </c>
      <c r="M458" s="50">
        <v>440000</v>
      </c>
      <c r="N458" s="48" t="inlineStr">
        <is>
          <t xml:space="preserve">Personal</t>
        </is>
      </c>
      <c r="O458" s="46" t="inlineStr">
        <is>
          <t xml:space="preserve">Personal - regular use</t>
        </is>
      </c>
      <c r="P458" s="46" t="inlineStr">
        <is>
          <t xml:space="preserve">Under 1,000</t>
        </is>
      </c>
      <c r="Q458" s="46" t="inlineStr">
        <is>
          <t xml:space="preserve">Ohio</t>
        </is>
      </c>
      <c r="R458" s="46" t="inlineStr">
        <is>
          <t xml:space="preserve">43215</t>
        </is>
      </c>
      <c r="S458" s="48" t="inlineStr">
        <is>
          <t xml:space="preserve">Severe convective - hail / tornado (moderate)</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7765.01</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CANON-202601-003674</t>
        </is>
      </c>
      <c r="B459" s="30" t="inlineStr">
        <is>
          <t xml:space="preserve">Fenwick Rourke</t>
        </is>
      </c>
      <c r="C459" s="31">
        <v>46033</v>
      </c>
      <c r="D459" s="32" t="inlineStr">
        <is>
          <t xml:space="preserve">Bound - within authority</t>
        </is>
      </c>
      <c r="E459" s="32" t="inlineStr">
        <is>
          <t xml:space="preserve">New business</t>
        </is>
      </c>
      <c r="F459" s="30" t="inlineStr">
        <is>
          <t xml:space="preserve">B1234EXOTIC26</t>
        </is>
      </c>
      <c r="G459" s="33">
        <f>IF($A459="","",IF($C459="","",YEAR($C459)))</f>
      </c>
      <c r="H459" s="34">
        <v>1964</v>
      </c>
      <c r="I459" s="30" t="inlineStr">
        <is>
          <t xml:space="preserve">Aston Martin</t>
        </is>
      </c>
      <c r="J459" s="30" t="inlineStr">
        <is>
          <t xml:space="preserve">DB12</t>
        </is>
      </c>
      <c r="K459" s="30" t="inlineStr">
        <is>
          <t xml:space="preserve">XML7WZUC2CYEUF4R7</t>
        </is>
      </c>
      <c r="L459" s="32" t="inlineStr">
        <is>
          <t xml:space="preserve">02 - Sports / GT</t>
        </is>
      </c>
      <c r="M459" s="35">
        <v>525000</v>
      </c>
      <c r="N459" s="32" t="inlineStr">
        <is>
          <t xml:space="preserve">Personal</t>
        </is>
      </c>
      <c r="O459" s="30" t="inlineStr">
        <is>
          <t xml:space="preserve">Personal - regular use</t>
        </is>
      </c>
      <c r="P459" s="30" t="inlineStr">
        <is>
          <t xml:space="preserve">2,500 - 5,000</t>
        </is>
      </c>
      <c r="Q459" s="30" t="inlineStr">
        <is>
          <t xml:space="preserve">New York</t>
        </is>
      </c>
      <c r="R459" s="30" t="inlineStr">
        <is>
          <t xml:space="preserve">10022</t>
        </is>
      </c>
      <c r="S459" s="32" t="inlineStr">
        <is>
          <t xml:space="preserve">Tier 3 - Coastal wind (25-100 miles)</t>
        </is>
      </c>
      <c r="T459" s="36">
        <f>IF($A459="","",IF($S459="","",IFERROR(INDEX('[1]natural catastrophe'!$D$6:$D$17,MATCH($S459,'[1]natural catastrophe'!$B$6:$B$17,0)),"?")))</f>
      </c>
      <c r="U459" s="30" t="inlineStr">
        <is>
          <t xml:space="preserve">2% of agreed value, minimum $10,000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7394.28</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CANON-202601-003675</t>
        </is>
      </c>
      <c r="B460" s="46" t="inlineStr">
        <is>
          <t xml:space="preserve">Cassius Fairweather</t>
        </is>
      </c>
      <c r="C460" s="47">
        <v>46023</v>
      </c>
      <c r="D460" s="48" t="inlineStr">
        <is>
          <t xml:space="preserve">Bound - within authority</t>
        </is>
      </c>
      <c r="E460" s="48" t="inlineStr">
        <is>
          <t xml:space="preserve">New business</t>
        </is>
      </c>
      <c r="F460" s="46" t="inlineStr">
        <is>
          <t xml:space="preserve">B1234EXOTIC26</t>
        </is>
      </c>
      <c r="G460" s="33">
        <f>IF($A460="","",IF($C460="","",YEAR($C460)))</f>
      </c>
      <c r="H460" s="49">
        <v>1967</v>
      </c>
      <c r="I460" s="46" t="inlineStr">
        <is>
          <t xml:space="preserve">Maserati</t>
        </is>
      </c>
      <c r="J460" s="46" t="inlineStr">
        <is>
          <t xml:space="preserve">GranTurismo</t>
        </is>
      </c>
      <c r="K460" s="46" t="inlineStr">
        <is>
          <t xml:space="preserve">ZPCVCLHRLG83J8VYZ</t>
        </is>
      </c>
      <c r="L460" s="48" t="inlineStr">
        <is>
          <t xml:space="preserve">02 - Sports / GT</t>
        </is>
      </c>
      <c r="M460" s="50">
        <v>370000</v>
      </c>
      <c r="N460" s="48" t="inlineStr">
        <is>
          <t xml:space="preserve">Personal</t>
        </is>
      </c>
      <c r="O460" s="46" t="inlineStr">
        <is>
          <t xml:space="preserve">Personal - regular use</t>
        </is>
      </c>
      <c r="P460" s="46" t="inlineStr">
        <is>
          <t xml:space="preserve">1,000 - 2,500</t>
        </is>
      </c>
      <c r="Q460" s="46" t="inlineStr">
        <is>
          <t xml:space="preserve">New York</t>
        </is>
      </c>
      <c r="R460" s="46" t="inlineStr">
        <is>
          <t xml:space="preserve">10022</t>
        </is>
      </c>
      <c r="S460" s="48" t="inlineStr">
        <is>
          <t xml:space="preserve">Tier 3 - Coastal wind (25-100 miles)</t>
        </is>
      </c>
      <c r="T460" s="36">
        <f>IF($A460="","",IF($S460="","",IFERROR(INDEX('[1]natural catastrophe'!$D$6:$D$17,MATCH($S460,'[1]natural catastrophe'!$B$6:$B$17,0)),"?")))</f>
      </c>
      <c r="U460" s="46" t="inlineStr">
        <is>
          <t xml:space="preserve">2% of agreed value, minimum $10,000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6012.94</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CANON-202601-003676</t>
        </is>
      </c>
      <c r="B461" s="30" t="inlineStr">
        <is>
          <t xml:space="preserve">Lorenzo Harrington</t>
        </is>
      </c>
      <c r="C461" s="31">
        <v>46038</v>
      </c>
      <c r="D461" s="32" t="inlineStr">
        <is>
          <t xml:space="preserve">Bound - within authority</t>
        </is>
      </c>
      <c r="E461" s="32" t="inlineStr">
        <is>
          <t xml:space="preserve">New business</t>
        </is>
      </c>
      <c r="F461" s="30" t="inlineStr">
        <is>
          <t xml:space="preserve">B1234EXOTIC26</t>
        </is>
      </c>
      <c r="G461" s="33">
        <f>IF($A461="","",IF($C461="","",YEAR($C461)))</f>
      </c>
      <c r="H461" s="34">
        <v>2018</v>
      </c>
      <c r="I461" s="30" t="inlineStr">
        <is>
          <t xml:space="preserve">Bugatti</t>
        </is>
      </c>
      <c r="J461" s="30" t="inlineStr">
        <is>
          <t xml:space="preserve">Type 57</t>
        </is>
      </c>
      <c r="K461" s="30" t="inlineStr">
        <is>
          <t xml:space="preserve">55EB77K7YPXPNYX19</t>
        </is>
      </c>
      <c r="L461" s="32" t="inlineStr">
        <is>
          <t xml:space="preserve">02 - Sports / GT</t>
        </is>
      </c>
      <c r="M461" s="35">
        <v>925000</v>
      </c>
      <c r="N461" s="32" t="inlineStr">
        <is>
          <t xml:space="preserve">Personal</t>
        </is>
      </c>
      <c r="O461" s="30" t="inlineStr">
        <is>
          <t xml:space="preserve">Personal - regular use</t>
        </is>
      </c>
      <c r="P461" s="30" t="inlineStr">
        <is>
          <t xml:space="preserve">Under 1,000</t>
        </is>
      </c>
      <c r="Q461" s="30" t="inlineStr">
        <is>
          <t xml:space="preserve">Indiana</t>
        </is>
      </c>
      <c r="R461" s="30" t="inlineStr">
        <is>
          <t xml:space="preserve">46204</t>
        </is>
      </c>
      <c r="S461" s="32" t="inlineStr">
        <is>
          <t xml:space="preserve">Severe convective - hail / tornado (moderate)</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7318.86</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CANON-202601-003677</t>
        </is>
      </c>
      <c r="B462" s="46" t="inlineStr">
        <is>
          <t xml:space="preserve">Aurelio Fairweather</t>
        </is>
      </c>
      <c r="C462" s="47">
        <v>46041</v>
      </c>
      <c r="D462" s="48" t="inlineStr">
        <is>
          <t xml:space="preserve">Bound - within authority</t>
        </is>
      </c>
      <c r="E462" s="48" t="inlineStr">
        <is>
          <t xml:space="preserve">New business</t>
        </is>
      </c>
      <c r="F462" s="46" t="inlineStr">
        <is>
          <t xml:space="preserve">B1234EXOTIC26</t>
        </is>
      </c>
      <c r="G462" s="33">
        <f>IF($A462="","",IF($C462="","",YEAR($C462)))</f>
      </c>
      <c r="H462" s="49">
        <v>1987</v>
      </c>
      <c r="I462" s="46" t="inlineStr">
        <is>
          <t xml:space="preserve">Ferrari</t>
        </is>
      </c>
      <c r="J462" s="46" t="inlineStr">
        <is>
          <t xml:space="preserve">296 GTB</t>
        </is>
      </c>
      <c r="K462" s="46" t="inlineStr">
        <is>
          <t xml:space="preserve">Z928WLT394X6DSAFW</t>
        </is>
      </c>
      <c r="L462" s="48" t="inlineStr">
        <is>
          <t xml:space="preserve">03 - Supercar</t>
        </is>
      </c>
      <c r="M462" s="50">
        <v>430000</v>
      </c>
      <c r="N462" s="48" t="inlineStr">
        <is>
          <t xml:space="preserve">Personal</t>
        </is>
      </c>
      <c r="O462" s="46" t="inlineStr">
        <is>
          <t xml:space="preserve">Personal - regular use</t>
        </is>
      </c>
      <c r="P462" s="46" t="inlineStr">
        <is>
          <t xml:space="preserve">Under 1,000</t>
        </is>
      </c>
      <c r="Q462" s="46" t="inlineStr">
        <is>
          <t xml:space="preserve">Michigan</t>
        </is>
      </c>
      <c r="R462" s="46" t="inlineStr">
        <is>
          <t xml:space="preserve">48226</t>
        </is>
      </c>
      <c r="S462" s="48" t="inlineStr">
        <is>
          <t xml:space="preserve">Severe convective - hail / tornado (moderate)</t>
        </is>
      </c>
      <c r="T462" s="36">
        <f>IF($A462="","",IF($S462="","",IFERROR(INDEX('[1]natural catastrophe'!$D$6:$D$17,MATCH($S462,'[1]natural catastrophe'!$B$6:$B$17,0)),"?")))</f>
      </c>
      <c r="U462" s="46" t="inlineStr">
        <is>
          <t xml:space="preserve">$5,000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12975.12</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CANON-202601-003678</t>
        </is>
      </c>
      <c r="B463" s="30" t="inlineStr">
        <is>
          <t xml:space="preserve">Ottilie Farkas</t>
        </is>
      </c>
      <c r="C463" s="31">
        <v>46034</v>
      </c>
      <c r="D463" s="32" t="inlineStr">
        <is>
          <t xml:space="preserve">Bound - within authority</t>
        </is>
      </c>
      <c r="E463" s="32" t="inlineStr">
        <is>
          <t xml:space="preserve">New business</t>
        </is>
      </c>
      <c r="F463" s="30" t="inlineStr">
        <is>
          <t xml:space="preserve">B1234EXOTIC26</t>
        </is>
      </c>
      <c r="G463" s="33">
        <f>IF($A463="","",IF($C463="","",YEAR($C463)))</f>
      </c>
      <c r="H463" s="34">
        <v>2019</v>
      </c>
      <c r="I463" s="30" t="inlineStr">
        <is>
          <t xml:space="preserve">Ferrari</t>
        </is>
      </c>
      <c r="J463" s="30" t="inlineStr">
        <is>
          <t xml:space="preserve">296 GTB</t>
        </is>
      </c>
      <c r="K463" s="30" t="inlineStr">
        <is>
          <t xml:space="preserve">68Z4RT3VUZM11XRRW</t>
        </is>
      </c>
      <c r="L463" s="32" t="inlineStr">
        <is>
          <t xml:space="preserve">03 - Supercar</t>
        </is>
      </c>
      <c r="M463" s="35">
        <v>920000</v>
      </c>
      <c r="N463" s="32" t="inlineStr">
        <is>
          <t xml:space="preserve">Personal</t>
        </is>
      </c>
      <c r="O463" s="30" t="inlineStr">
        <is>
          <t xml:space="preserve">Personal - regular use</t>
        </is>
      </c>
      <c r="P463" s="30" t="inlineStr">
        <is>
          <t xml:space="preserve">Under 1,000</t>
        </is>
      </c>
      <c r="Q463" s="30" t="inlineStr">
        <is>
          <t xml:space="preserve">Ohio</t>
        </is>
      </c>
      <c r="R463" s="30" t="inlineStr">
        <is>
          <t xml:space="preserve">43215</t>
        </is>
      </c>
      <c r="S463" s="32" t="inlineStr">
        <is>
          <t xml:space="preserve">Severe convective - hail / tornado (moderate)</t>
        </is>
      </c>
      <c r="T463" s="36">
        <f>IF($A463="","",IF($S463="","",IFERROR(INDEX('[1]natural catastrophe'!$D$6:$D$17,MATCH($S463,'[1]natural catastrophe'!$B$6:$B$17,0)),"?")))</f>
      </c>
      <c r="U463" s="30" t="inlineStr">
        <is>
          <t xml:space="preserve">$5,000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20565.52</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CANON-202601-003679</t>
        </is>
      </c>
      <c r="B464" s="46" t="inlineStr">
        <is>
          <t xml:space="preserve">Thaddeus Chattopadhyay</t>
        </is>
      </c>
      <c r="C464" s="47">
        <v>46031</v>
      </c>
      <c r="D464" s="48" t="inlineStr">
        <is>
          <t xml:space="preserve">Bound - within authority</t>
        </is>
      </c>
      <c r="E464" s="48" t="inlineStr">
        <is>
          <t xml:space="preserve">New business</t>
        </is>
      </c>
      <c r="F464" s="46" t="inlineStr">
        <is>
          <t xml:space="preserve">B1234EXOTIC26</t>
        </is>
      </c>
      <c r="G464" s="33">
        <f>IF($A464="","",IF($C464="","",YEAR($C464)))</f>
      </c>
      <c r="H464" s="49">
        <v>1984</v>
      </c>
      <c r="I464" s="46" t="inlineStr">
        <is>
          <t xml:space="preserve">Alfa Romeo</t>
        </is>
      </c>
      <c r="J464" s="46" t="inlineStr">
        <is>
          <t xml:space="preserve">8C 2900</t>
        </is>
      </c>
      <c r="K464" s="46" t="inlineStr">
        <is>
          <t xml:space="preserve">ESDM745978GPDPDGX</t>
        </is>
      </c>
      <c r="L464" s="48" t="inlineStr">
        <is>
          <t xml:space="preserve">08 - Modern Classic (1973-1999)</t>
        </is>
      </c>
      <c r="M464" s="50">
        <v>1020000</v>
      </c>
      <c r="N464" s="48" t="inlineStr">
        <is>
          <t xml:space="preserve">Personal</t>
        </is>
      </c>
      <c r="O464" s="46" t="inlineStr">
        <is>
          <t xml:space="preserve">Personal - regular use</t>
        </is>
      </c>
      <c r="P464" s="46" t="inlineStr">
        <is>
          <t xml:space="preserve">1,000 - 2,500</t>
        </is>
      </c>
      <c r="Q464" s="46" t="inlineStr">
        <is>
          <t xml:space="preserve">Rhode Island</t>
        </is>
      </c>
      <c r="R464" s="46" t="inlineStr">
        <is>
          <t xml:space="preserve">02903</t>
        </is>
      </c>
      <c r="S464" s="48" t="inlineStr">
        <is>
          <t xml:space="preserve">Tier 3 - Coastal wind (25-100 miles)</t>
        </is>
      </c>
      <c r="T464" s="36">
        <f>IF($A464="","",IF($S464="","",IFERROR(INDEX('[1]natural catastrophe'!$D$6:$D$17,MATCH($S464,'[1]natural catastrophe'!$B$6:$B$17,0)),"?")))</f>
      </c>
      <c r="U464" s="46" t="inlineStr">
        <is>
          <t xml:space="preserve">2% of agreed value, minimum $10,000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8042.9</v>
      </c>
      <c r="AC464" s="51">
        <v>0</v>
      </c>
      <c r="AD464" s="38">
        <f>IF(ISNUMBER($AB464),$AB464*(1+N($AC464)),"")</f>
      </c>
      <c r="AE464" s="50">
        <v>350</v>
      </c>
      <c r="AF464" s="50">
        <v>250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CANON-202601-003680</t>
        </is>
      </c>
      <c r="B465" s="30" t="inlineStr">
        <is>
          <t xml:space="preserve">Marisol Castellanos</t>
        </is>
      </c>
      <c r="C465" s="31">
        <v>46032</v>
      </c>
      <c r="D465" s="32" t="inlineStr">
        <is>
          <t xml:space="preserve">Bound - within authority</t>
        </is>
      </c>
      <c r="E465" s="32" t="inlineStr">
        <is>
          <t xml:space="preserve">New business</t>
        </is>
      </c>
      <c r="F465" s="30" t="inlineStr">
        <is>
          <t xml:space="preserve">B1234EXOTIC26</t>
        </is>
      </c>
      <c r="G465" s="33">
        <f>IF($A465="","",IF($C465="","",YEAR($C465)))</f>
      </c>
      <c r="H465" s="34">
        <v>1965</v>
      </c>
      <c r="I465" s="30" t="inlineStr">
        <is>
          <t xml:space="preserve">Maserati</t>
        </is>
      </c>
      <c r="J465" s="30" t="inlineStr">
        <is>
          <t xml:space="preserve">GranTurismo</t>
        </is>
      </c>
      <c r="K465" s="30" t="inlineStr">
        <is>
          <t xml:space="preserve">HBNXFEURP5BSVA6P1</t>
        </is>
      </c>
      <c r="L465" s="32" t="inlineStr">
        <is>
          <t xml:space="preserve">02 - Sports / GT</t>
        </is>
      </c>
      <c r="M465" s="35">
        <v>700000</v>
      </c>
      <c r="N465" s="32" t="inlineStr">
        <is>
          <t xml:space="preserve">Personal</t>
        </is>
      </c>
      <c r="O465" s="30" t="inlineStr">
        <is>
          <t xml:space="preserve">Personal - regular use</t>
        </is>
      </c>
      <c r="P465" s="30" t="inlineStr">
        <is>
          <t xml:space="preserve">Under 1,000</t>
        </is>
      </c>
      <c r="Q465" s="30" t="inlineStr">
        <is>
          <t xml:space="preserve">Maryland</t>
        </is>
      </c>
      <c r="R465" s="30" t="inlineStr">
        <is>
          <t xml:space="preserve">21201</t>
        </is>
      </c>
      <c r="S465" s="32" t="inlineStr">
        <is>
          <t xml:space="preserve">Tier 3 - Coastal wind (25-100 miles)</t>
        </is>
      </c>
      <c r="T465" s="36">
        <f>IF($A465="","",IF($S465="","",IFERROR(INDEX('[1]natural catastrophe'!$D$6:$D$17,MATCH($S465,'[1]natural catastrophe'!$B$6:$B$17,0)),"?")))</f>
      </c>
      <c r="U465" s="30" t="inlineStr">
        <is>
          <t xml:space="preserve">2% of agreed value, minimum $10,000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7317.26</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CANON-202601-003682</t>
        </is>
      </c>
      <c r="B466" s="46" t="inlineStr">
        <is>
          <t xml:space="preserve">Cassius Thistlewood</t>
        </is>
      </c>
      <c r="C466" s="47">
        <v>46039</v>
      </c>
      <c r="D466" s="48" t="inlineStr">
        <is>
          <t xml:space="preserve">Bound - within authority</t>
        </is>
      </c>
      <c r="E466" s="48" t="inlineStr">
        <is>
          <t xml:space="preserve">New business</t>
        </is>
      </c>
      <c r="F466" s="46" t="inlineStr">
        <is>
          <t xml:space="preserve">B1234EXOTIC26</t>
        </is>
      </c>
      <c r="G466" s="33">
        <f>IF($A466="","",IF($C466="","",YEAR($C466)))</f>
      </c>
      <c r="H466" s="49">
        <v>2002</v>
      </c>
      <c r="I466" s="46" t="inlineStr">
        <is>
          <t xml:space="preserve">Ferrari</t>
        </is>
      </c>
      <c r="J466" s="46" t="inlineStr">
        <is>
          <t xml:space="preserve">275 GTB/4</t>
        </is>
      </c>
      <c r="K466" s="46" t="inlineStr">
        <is>
          <t xml:space="preserve">HLD2GF8D419FMU5G5</t>
        </is>
      </c>
      <c r="L466" s="48" t="inlineStr">
        <is>
          <t xml:space="preserve">09 - Youngtimer / Collectible (2000-2010)</t>
        </is>
      </c>
      <c r="M466" s="50">
        <v>200000</v>
      </c>
      <c r="N466" s="48" t="inlineStr">
        <is>
          <t xml:space="preserve">Personal</t>
        </is>
      </c>
      <c r="O466" s="46" t="inlineStr">
        <is>
          <t xml:space="preserve">Personal - regular use</t>
        </is>
      </c>
      <c r="P466" s="46" t="inlineStr">
        <is>
          <t xml:space="preserve">2,500 - 5,000</t>
        </is>
      </c>
      <c r="Q466" s="46" t="inlineStr">
        <is>
          <t xml:space="preserve">Massachusetts</t>
        </is>
      </c>
      <c r="R466" s="46" t="inlineStr">
        <is>
          <t xml:space="preserve">02108</t>
        </is>
      </c>
      <c r="S466" s="48" t="inlineStr">
        <is>
          <t xml:space="preserve">Tier 3 - Coastal wind (25-100 miles)</t>
        </is>
      </c>
      <c r="T466" s="36">
        <f>IF($A466="","",IF($S466="","",IFERROR(INDEX('[1]natural catastrophe'!$D$6:$D$17,MATCH($S466,'[1]natural catastrophe'!$B$6:$B$17,0)),"?")))</f>
      </c>
      <c r="U466" s="46" t="inlineStr">
        <is>
          <t xml:space="preserve">2% of agreed value, minimum $10,000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2412.28</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CANON-202601-003683</t>
        </is>
      </c>
      <c r="B467" s="30" t="inlineStr">
        <is>
          <t xml:space="preserve">Emiliano Montoya</t>
        </is>
      </c>
      <c r="C467" s="31">
        <v>46052</v>
      </c>
      <c r="D467" s="32" t="inlineStr">
        <is>
          <t xml:space="preserve">Bound - within authority</t>
        </is>
      </c>
      <c r="E467" s="32" t="inlineStr">
        <is>
          <t xml:space="preserve">New business</t>
        </is>
      </c>
      <c r="F467" s="30" t="inlineStr">
        <is>
          <t xml:space="preserve">B1234EXOTIC26</t>
        </is>
      </c>
      <c r="G467" s="33">
        <f>IF($A467="","",IF($C467="","",YEAR($C467)))</f>
      </c>
      <c r="H467" s="34">
        <v>2000</v>
      </c>
      <c r="I467" s="30" t="inlineStr">
        <is>
          <t xml:space="preserve">Aston Martin</t>
        </is>
      </c>
      <c r="J467" s="30" t="inlineStr">
        <is>
          <t xml:space="preserve">DB5</t>
        </is>
      </c>
      <c r="K467" s="30" t="inlineStr">
        <is>
          <t xml:space="preserve">82318H3YZ5741D9N7</t>
        </is>
      </c>
      <c r="L467" s="32" t="inlineStr">
        <is>
          <t xml:space="preserve">09 - Youngtimer / Collectible (2000-2010)</t>
        </is>
      </c>
      <c r="M467" s="35">
        <v>465000</v>
      </c>
      <c r="N467" s="32" t="inlineStr">
        <is>
          <t xml:space="preserve">Personal</t>
        </is>
      </c>
      <c r="O467" s="30" t="inlineStr">
        <is>
          <t xml:space="preserve">Personal - regular use</t>
        </is>
      </c>
      <c r="P467" s="30" t="inlineStr">
        <is>
          <t xml:space="preserve">1,000 - 2,500</t>
        </is>
      </c>
      <c r="Q467" s="30" t="inlineStr">
        <is>
          <t xml:space="preserve">New York</t>
        </is>
      </c>
      <c r="R467" s="30" t="inlineStr">
        <is>
          <t xml:space="preserve">10022</t>
        </is>
      </c>
      <c r="S467" s="32" t="inlineStr">
        <is>
          <t xml:space="preserve">Tier 3 - Coastal wind (25-100 miles)</t>
        </is>
      </c>
      <c r="T467" s="36">
        <f>IF($A467="","",IF($S467="","",IFERROR(INDEX('[1]natural catastrophe'!$D$6:$D$17,MATCH($S467,'[1]natural catastrophe'!$B$6:$B$17,0)),"?")))</f>
      </c>
      <c r="U467" s="30" t="inlineStr">
        <is>
          <t xml:space="preserve">2% of agreed value, minimum $10,000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4836.35</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CANON-202601-003685</t>
        </is>
      </c>
      <c r="B468" s="46" t="inlineStr">
        <is>
          <t xml:space="preserve">Ottilie Merriweather</t>
        </is>
      </c>
      <c r="C468" s="47">
        <v>46047</v>
      </c>
      <c r="D468" s="48" t="inlineStr">
        <is>
          <t xml:space="preserve">Bound - within authority</t>
        </is>
      </c>
      <c r="E468" s="48" t="inlineStr">
        <is>
          <t xml:space="preserve">New business</t>
        </is>
      </c>
      <c r="F468" s="46" t="inlineStr">
        <is>
          <t xml:space="preserve">B1234EXOTIC26</t>
        </is>
      </c>
      <c r="G468" s="33">
        <f>IF($A468="","",IF($C468="","",YEAR($C468)))</f>
      </c>
      <c r="H468" s="49">
        <v>1959</v>
      </c>
      <c r="I468" s="46" t="inlineStr">
        <is>
          <t xml:space="preserve">Porsche</t>
        </is>
      </c>
      <c r="J468" s="46" t="inlineStr">
        <is>
          <t xml:space="preserve">911 Turbo S</t>
        </is>
      </c>
      <c r="K468" s="46" t="inlineStr">
        <is>
          <t xml:space="preserve">Y2T6A19VMGMDS07CX</t>
        </is>
      </c>
      <c r="L468" s="48" t="inlineStr">
        <is>
          <t xml:space="preserve">02 - Sports / GT</t>
        </is>
      </c>
      <c r="M468" s="50">
        <v>230000</v>
      </c>
      <c r="N468" s="48" t="inlineStr">
        <is>
          <t xml:space="preserve">Personal</t>
        </is>
      </c>
      <c r="O468" s="46" t="inlineStr">
        <is>
          <t xml:space="preserve">Personal - regular use</t>
        </is>
      </c>
      <c r="P468" s="46" t="inlineStr">
        <is>
          <t xml:space="preserve">2,500 - 5,000</t>
        </is>
      </c>
      <c r="Q468" s="46" t="inlineStr">
        <is>
          <t xml:space="preserve">West Virginia</t>
        </is>
      </c>
      <c r="R468" s="46" t="inlineStr">
        <is>
          <t xml:space="preserve">25301</t>
        </is>
      </c>
      <c r="S468" s="48" t="inlineStr">
        <is>
          <t xml:space="preserve">Low hazard - inland benign</t>
        </is>
      </c>
      <c r="T468" s="36">
        <f>IF($A468="","",IF($S468="","",IFERROR(INDEX('[1]natural catastrophe'!$D$6:$D$17,MATCH($S468,'[1]natural catastrophe'!$B$6:$B$17,0)),"?")))</f>
      </c>
      <c r="U468" s="46" t="inlineStr">
        <is>
          <t xml:space="preserve">$5,000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4764.1</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CANON-202601-003687</t>
        </is>
      </c>
      <c r="B469" s="30" t="inlineStr">
        <is>
          <t xml:space="preserve">Callum Vasquez</t>
        </is>
      </c>
      <c r="C469" s="31">
        <v>46048</v>
      </c>
      <c r="D469" s="32" t="inlineStr">
        <is>
          <t xml:space="preserve">Bound - within authority</t>
        </is>
      </c>
      <c r="E469" s="32" t="inlineStr">
        <is>
          <t xml:space="preserve">New business</t>
        </is>
      </c>
      <c r="F469" s="30" t="inlineStr">
        <is>
          <t xml:space="preserve">B1234EXOTIC26</t>
        </is>
      </c>
      <c r="G469" s="33">
        <f>IF($A469="","",IF($C469="","",YEAR($C469)))</f>
      </c>
      <c r="H469" s="34">
        <v>1997</v>
      </c>
      <c r="I469" s="30" t="inlineStr">
        <is>
          <t xml:space="preserve">Aston Martin</t>
        </is>
      </c>
      <c r="J469" s="30" t="inlineStr">
        <is>
          <t xml:space="preserve">DB12</t>
        </is>
      </c>
      <c r="K469" s="30" t="inlineStr">
        <is>
          <t xml:space="preserve">3CLB9NT3955VBHMCH</t>
        </is>
      </c>
      <c r="L469" s="32" t="inlineStr">
        <is>
          <t xml:space="preserve">02 - Sports / GT</t>
        </is>
      </c>
      <c r="M469" s="35">
        <v>820000</v>
      </c>
      <c r="N469" s="32" t="inlineStr">
        <is>
          <t xml:space="preserve">Personal</t>
        </is>
      </c>
      <c r="O469" s="30" t="inlineStr">
        <is>
          <t xml:space="preserve">Personal - regular use</t>
        </is>
      </c>
      <c r="P469" s="30" t="inlineStr">
        <is>
          <t xml:space="preserve">Under 1,000</t>
        </is>
      </c>
      <c r="Q469" s="30" t="inlineStr">
        <is>
          <t xml:space="preserve">Arkansas</t>
        </is>
      </c>
      <c r="R469" s="30" t="inlineStr">
        <is>
          <t xml:space="preserve">72201</t>
        </is>
      </c>
      <c r="S469" s="32" t="inlineStr">
        <is>
          <t xml:space="preserve">Severe convective - hail / tornado (moderate)</t>
        </is>
      </c>
      <c r="T469" s="36">
        <f>IF($A469="","",IF($S469="","",IFERROR(INDEX('[1]natural catastrophe'!$D$6:$D$17,MATCH($S469,'[1]natural catastrophe'!$B$6:$B$17,0)),"?")))</f>
      </c>
      <c r="U469" s="30" t="inlineStr">
        <is>
          <t xml:space="preserve">$5,000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12451.44</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CANON-202601-003688</t>
        </is>
      </c>
      <c r="B470" s="46" t="inlineStr">
        <is>
          <t xml:space="preserve">Anouk Nakashima</t>
        </is>
      </c>
      <c r="C470" s="47">
        <v>46027</v>
      </c>
      <c r="D470" s="48" t="inlineStr">
        <is>
          <t xml:space="preserve">Bound - within authority</t>
        </is>
      </c>
      <c r="E470" s="48" t="inlineStr">
        <is>
          <t xml:space="preserve">New business</t>
        </is>
      </c>
      <c r="F470" s="46" t="inlineStr">
        <is>
          <t xml:space="preserve">B1234EXOTIC26</t>
        </is>
      </c>
      <c r="G470" s="33">
        <f>IF($A470="","",IF($C470="","",YEAR($C470)))</f>
      </c>
      <c r="H470" s="49">
        <v>1977</v>
      </c>
      <c r="I470" s="46" t="inlineStr">
        <is>
          <t xml:space="preserve">Aston Martin</t>
        </is>
      </c>
      <c r="J470" s="46" t="inlineStr">
        <is>
          <t xml:space="preserve">DB12</t>
        </is>
      </c>
      <c r="K470" s="46" t="inlineStr">
        <is>
          <t xml:space="preserve">AKD1YL6VJFM7GBZSG</t>
        </is>
      </c>
      <c r="L470" s="48" t="inlineStr">
        <is>
          <t xml:space="preserve">02 - Sports / GT</t>
        </is>
      </c>
      <c r="M470" s="50">
        <v>520000</v>
      </c>
      <c r="N470" s="48" t="inlineStr">
        <is>
          <t xml:space="preserve">Personal</t>
        </is>
      </c>
      <c r="O470" s="46" t="inlineStr">
        <is>
          <t xml:space="preserve">Personal - regular use</t>
        </is>
      </c>
      <c r="P470" s="46" t="inlineStr">
        <is>
          <t xml:space="preserve">1,000 - 2,500</t>
        </is>
      </c>
      <c r="Q470" s="46" t="inlineStr">
        <is>
          <t xml:space="preserve">Connecticut</t>
        </is>
      </c>
      <c r="R470" s="46" t="inlineStr">
        <is>
          <t xml:space="preserve">06103</t>
        </is>
      </c>
      <c r="S470" s="48" t="inlineStr">
        <is>
          <t xml:space="preserve">Tier 3 - Coastal wind (25-100 miles)</t>
        </is>
      </c>
      <c r="T470" s="36">
        <f>IF($A470="","",IF($S470="","",IFERROR(INDEX('[1]natural catastrophe'!$D$6:$D$17,MATCH($S470,'[1]natural catastrophe'!$B$6:$B$17,0)),"?")))</f>
      </c>
      <c r="U470" s="46" t="inlineStr">
        <is>
          <t xml:space="preserve">2% of agreed value, minimum $10,000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6408.38</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CANON-202601-003689</t>
        </is>
      </c>
      <c r="B471" s="30" t="inlineStr">
        <is>
          <t xml:space="preserve">Anouk Pennington</t>
        </is>
      </c>
      <c r="C471" s="31">
        <v>46026</v>
      </c>
      <c r="D471" s="32" t="inlineStr">
        <is>
          <t xml:space="preserve">Bound - within authority</t>
        </is>
      </c>
      <c r="E471" s="32" t="inlineStr">
        <is>
          <t xml:space="preserve">New business</t>
        </is>
      </c>
      <c r="F471" s="30" t="inlineStr">
        <is>
          <t xml:space="preserve">B1234EXOTIC26</t>
        </is>
      </c>
      <c r="G471" s="33">
        <f>IF($A471="","",IF($C471="","",YEAR($C471)))</f>
      </c>
      <c r="H471" s="34">
        <v>1966</v>
      </c>
      <c r="I471" s="30" t="inlineStr">
        <is>
          <t xml:space="preserve">Singer</t>
        </is>
      </c>
      <c r="J471" s="30" t="inlineStr">
        <is>
          <t xml:space="preserve">911 Reimagined</t>
        </is>
      </c>
      <c r="K471" s="30" t="inlineStr">
        <is>
          <t xml:space="preserve">U1L6R37U7ZB5MC4M4</t>
        </is>
      </c>
      <c r="L471" s="32" t="inlineStr">
        <is>
          <t xml:space="preserve">11 - Restomod / Coachbuilt / Bespoke</t>
        </is>
      </c>
      <c r="M471" s="35">
        <v>420000</v>
      </c>
      <c r="N471" s="32" t="inlineStr">
        <is>
          <t xml:space="preserve">Personal</t>
        </is>
      </c>
      <c r="O471" s="30" t="inlineStr">
        <is>
          <t xml:space="preserve">Personal - regular use</t>
        </is>
      </c>
      <c r="P471" s="30" t="inlineStr">
        <is>
          <t xml:space="preserve">1,000 - 2,500</t>
        </is>
      </c>
      <c r="Q471" s="30" t="inlineStr">
        <is>
          <t xml:space="preserve">Colorado</t>
        </is>
      </c>
      <c r="R471" s="30" t="inlineStr">
        <is>
          <t xml:space="preserve">80202</t>
        </is>
      </c>
      <c r="S471" s="32" t="inlineStr">
        <is>
          <t xml:space="preserve">Severe convective - hail alley (high)</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6882.37</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CANON-202601-003690</t>
        </is>
      </c>
      <c r="B472" s="46" t="inlineStr">
        <is>
          <t xml:space="preserve">Cassius Rourke</t>
        </is>
      </c>
      <c r="C472" s="47">
        <v>46039</v>
      </c>
      <c r="D472" s="48" t="inlineStr">
        <is>
          <t xml:space="preserve">Bound - within authority</t>
        </is>
      </c>
      <c r="E472" s="48" t="inlineStr">
        <is>
          <t xml:space="preserve">New business</t>
        </is>
      </c>
      <c r="F472" s="46" t="inlineStr">
        <is>
          <t xml:space="preserve">B1234EXOTIC26</t>
        </is>
      </c>
      <c r="G472" s="33">
        <f>IF($A472="","",IF($C472="","",YEAR($C472)))</f>
      </c>
      <c r="H472" s="49">
        <v>1989</v>
      </c>
      <c r="I472" s="46" t="inlineStr">
        <is>
          <t xml:space="preserve">Aston Martin</t>
        </is>
      </c>
      <c r="J472" s="46" t="inlineStr">
        <is>
          <t xml:space="preserve">DB12</t>
        </is>
      </c>
      <c r="K472" s="46" t="inlineStr">
        <is>
          <t xml:space="preserve">X2GZW9LUYRT674DBZ</t>
        </is>
      </c>
      <c r="L472" s="48" t="inlineStr">
        <is>
          <t xml:space="preserve">02 - Sports / GT</t>
        </is>
      </c>
      <c r="M472" s="50">
        <v>825000</v>
      </c>
      <c r="N472" s="48" t="inlineStr">
        <is>
          <t xml:space="preserve">Personal</t>
        </is>
      </c>
      <c r="O472" s="46" t="inlineStr">
        <is>
          <t xml:space="preserve">Personal - regular use</t>
        </is>
      </c>
      <c r="P472" s="46" t="inlineStr">
        <is>
          <t xml:space="preserve">1,000 - 2,500</t>
        </is>
      </c>
      <c r="Q472" s="46" t="inlineStr">
        <is>
          <t xml:space="preserve">South Dakota</t>
        </is>
      </c>
      <c r="R472" s="46" t="inlineStr">
        <is>
          <t xml:space="preserve">57501</t>
        </is>
      </c>
      <c r="S472" s="48" t="inlineStr">
        <is>
          <t xml:space="preserve">Severe convective - hail alley (high)</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10076.36</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CANON-202601-003692</t>
        </is>
      </c>
      <c r="B473" s="30" t="inlineStr">
        <is>
          <t xml:space="preserve">Ramona Larsson</t>
        </is>
      </c>
      <c r="C473" s="31">
        <v>46038</v>
      </c>
      <c r="D473" s="32" t="inlineStr">
        <is>
          <t xml:space="preserve">Bound - within authority</t>
        </is>
      </c>
      <c r="E473" s="32" t="inlineStr">
        <is>
          <t xml:space="preserve">New business</t>
        </is>
      </c>
      <c r="F473" s="30" t="inlineStr">
        <is>
          <t xml:space="preserve">B1234EXOTIC26</t>
        </is>
      </c>
      <c r="G473" s="33">
        <f>IF($A473="","",IF($C473="","",YEAR($C473)))</f>
      </c>
      <c r="H473" s="34">
        <v>2014</v>
      </c>
      <c r="I473" s="30" t="inlineStr">
        <is>
          <t xml:space="preserve">Porsche</t>
        </is>
      </c>
      <c r="J473" s="30" t="inlineStr">
        <is>
          <t xml:space="preserve">911 Turbo S</t>
        </is>
      </c>
      <c r="K473" s="30" t="inlineStr">
        <is>
          <t xml:space="preserve">R4LNARE3G5F52RBNW</t>
        </is>
      </c>
      <c r="L473" s="32" t="inlineStr">
        <is>
          <t xml:space="preserve">02 - Sports / GT</t>
        </is>
      </c>
      <c r="M473" s="35">
        <v>355000</v>
      </c>
      <c r="N473" s="32" t="inlineStr">
        <is>
          <t xml:space="preserve">Personal</t>
        </is>
      </c>
      <c r="O473" s="30" t="inlineStr">
        <is>
          <t xml:space="preserve">Personal - regular use</t>
        </is>
      </c>
      <c r="P473" s="30" t="inlineStr">
        <is>
          <t xml:space="preserve">1,000 - 2,500</t>
        </is>
      </c>
      <c r="Q473" s="30" t="inlineStr">
        <is>
          <t xml:space="preserve">New York</t>
        </is>
      </c>
      <c r="R473" s="30" t="inlineStr">
        <is>
          <t xml:space="preserve">10022</t>
        </is>
      </c>
      <c r="S473" s="32" t="inlineStr">
        <is>
          <t xml:space="preserve">Tier 3 - Coastal wind (25-100 miles)</t>
        </is>
      </c>
      <c r="T473" s="36">
        <f>IF($A473="","",IF($S473="","",IFERROR(INDEX('[1]natural catastrophe'!$D$6:$D$17,MATCH($S473,'[1]natural catastrophe'!$B$6:$B$17,0)),"?")))</f>
      </c>
      <c r="U473" s="30" t="inlineStr">
        <is>
          <t xml:space="preserve">2% of agreed value, minimum $10,000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5769.17</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CANON-202601-003693</t>
        </is>
      </c>
      <c r="B474" s="46" t="inlineStr">
        <is>
          <t xml:space="preserve">Cassius Pennington</t>
        </is>
      </c>
      <c r="C474" s="47">
        <v>46025</v>
      </c>
      <c r="D474" s="48" t="inlineStr">
        <is>
          <t xml:space="preserve">Bound - within authority</t>
        </is>
      </c>
      <c r="E474" s="48" t="inlineStr">
        <is>
          <t xml:space="preserve">New business</t>
        </is>
      </c>
      <c r="F474" s="46" t="inlineStr">
        <is>
          <t xml:space="preserve">B1234EXOTIC26</t>
        </is>
      </c>
      <c r="G474" s="33">
        <f>IF($A474="","",IF($C474="","",YEAR($C474)))</f>
      </c>
      <c r="H474" s="49">
        <v>2020</v>
      </c>
      <c r="I474" s="46" t="inlineStr">
        <is>
          <t xml:space="preserve">Ferrari</t>
        </is>
      </c>
      <c r="J474" s="46" t="inlineStr">
        <is>
          <t xml:space="preserve">296 GTB</t>
        </is>
      </c>
      <c r="K474" s="46" t="inlineStr">
        <is>
          <t xml:space="preserve">V16M25ZG6KC3MA55L</t>
        </is>
      </c>
      <c r="L474" s="48" t="inlineStr">
        <is>
          <t xml:space="preserve">03 - Supercar</t>
        </is>
      </c>
      <c r="M474" s="50">
        <v>1400000</v>
      </c>
      <c r="N474" s="48" t="inlineStr">
        <is>
          <t xml:space="preserve">Personal</t>
        </is>
      </c>
      <c r="O474" s="46" t="inlineStr">
        <is>
          <t xml:space="preserve">Personal - regular use</t>
        </is>
      </c>
      <c r="P474" s="46" t="inlineStr">
        <is>
          <t xml:space="preserve">2,500 - 5,000</t>
        </is>
      </c>
      <c r="Q474" s="46" t="inlineStr">
        <is>
          <t xml:space="preserve">New Mexico</t>
        </is>
      </c>
      <c r="R474" s="46" t="inlineStr">
        <is>
          <t xml:space="preserve">87501</t>
        </is>
      </c>
      <c r="S474" s="48" t="inlineStr">
        <is>
          <t xml:space="preserve">Wildfire - WUI high hazard</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24268.42</v>
      </c>
      <c r="AC474" s="51">
        <v>0</v>
      </c>
      <c r="AD474" s="38">
        <f>IF(ISNUMBER($AB474),$AB474*(1+N($AC474)),"")</f>
      </c>
      <c r="AE474" s="50">
        <v>350</v>
      </c>
      <c r="AF474" s="50">
        <v>250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CANON-202601-003694</t>
        </is>
      </c>
      <c r="B475" s="30" t="inlineStr">
        <is>
          <t xml:space="preserve">Wilhelmina Kingsford</t>
        </is>
      </c>
      <c r="C475" s="31">
        <v>46035</v>
      </c>
      <c r="D475" s="32" t="inlineStr">
        <is>
          <t xml:space="preserve">Bound - within authority</t>
        </is>
      </c>
      <c r="E475" s="32" t="inlineStr">
        <is>
          <t xml:space="preserve">New business</t>
        </is>
      </c>
      <c r="F475" s="30" t="inlineStr">
        <is>
          <t xml:space="preserve">B1234EXOTIC26</t>
        </is>
      </c>
      <c r="G475" s="33">
        <f>IF($A475="","",IF($C475="","",YEAR($C475)))</f>
      </c>
      <c r="H475" s="34">
        <v>1958</v>
      </c>
      <c r="I475" s="30" t="inlineStr">
        <is>
          <t xml:space="preserve">Aston Martin</t>
        </is>
      </c>
      <c r="J475" s="30" t="inlineStr">
        <is>
          <t xml:space="preserve">DB12</t>
        </is>
      </c>
      <c r="K475" s="30" t="inlineStr">
        <is>
          <t xml:space="preserve">YEX6A8C0TWGUPJE6N</t>
        </is>
      </c>
      <c r="L475" s="32" t="inlineStr">
        <is>
          <t xml:space="preserve">02 - Sports / GT</t>
        </is>
      </c>
      <c r="M475" s="35">
        <v>995000</v>
      </c>
      <c r="N475" s="32" t="inlineStr">
        <is>
          <t xml:space="preserve">Personal</t>
        </is>
      </c>
      <c r="O475" s="30" t="inlineStr">
        <is>
          <t xml:space="preserve">Personal - regular use</t>
        </is>
      </c>
      <c r="P475" s="30" t="inlineStr">
        <is>
          <t xml:space="preserve">2,500 - 5,000</t>
        </is>
      </c>
      <c r="Q475" s="30" t="inlineStr">
        <is>
          <t xml:space="preserve">Massachusetts</t>
        </is>
      </c>
      <c r="R475" s="30" t="inlineStr">
        <is>
          <t xml:space="preserve">02108</t>
        </is>
      </c>
      <c r="S475" s="32" t="inlineStr">
        <is>
          <t xml:space="preserve">Tier 3 - Coastal wind (25-100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13685.48</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CANON-202601-003695</t>
        </is>
      </c>
      <c r="B476" s="46" t="inlineStr">
        <is>
          <t xml:space="preserve">Delphine Thistlewood</t>
        </is>
      </c>
      <c r="C476" s="47">
        <v>46041</v>
      </c>
      <c r="D476" s="48" t="inlineStr">
        <is>
          <t xml:space="preserve">Bound - within authority</t>
        </is>
      </c>
      <c r="E476" s="48" t="inlineStr">
        <is>
          <t xml:space="preserve">New business</t>
        </is>
      </c>
      <c r="F476" s="46" t="inlineStr">
        <is>
          <t xml:space="preserve">B1234EXOTIC26</t>
        </is>
      </c>
      <c r="G476" s="33">
        <f>IF($A476="","",IF($C476="","",YEAR($C476)))</f>
      </c>
      <c r="H476" s="49">
        <v>2011</v>
      </c>
      <c r="I476" s="46" t="inlineStr">
        <is>
          <t xml:space="preserve">Ferrari</t>
        </is>
      </c>
      <c r="J476" s="46" t="inlineStr">
        <is>
          <t xml:space="preserve">SF90 Stradale</t>
        </is>
      </c>
      <c r="K476" s="46" t="inlineStr">
        <is>
          <t xml:space="preserve">NBTNY2Y78UKU2JPUF</t>
        </is>
      </c>
      <c r="L476" s="48" t="inlineStr">
        <is>
          <t xml:space="preserve">03 - Supercar</t>
        </is>
      </c>
      <c r="M476" s="50">
        <v>405000</v>
      </c>
      <c r="N476" s="48" t="inlineStr">
        <is>
          <t xml:space="preserve">Personal</t>
        </is>
      </c>
      <c r="O476" s="46" t="inlineStr">
        <is>
          <t xml:space="preserve">Personal - regular use</t>
        </is>
      </c>
      <c r="P476" s="46" t="inlineStr">
        <is>
          <t xml:space="preserve">1,000 - 2,500</t>
        </is>
      </c>
      <c r="Q476" s="46" t="inlineStr">
        <is>
          <t xml:space="preserve">Illinois</t>
        </is>
      </c>
      <c r="R476" s="46" t="inlineStr">
        <is>
          <t xml:space="preserve">60601</t>
        </is>
      </c>
      <c r="S476" s="48" t="inlineStr">
        <is>
          <t xml:space="preserve">Severe convective - hail / tornado (moderate)</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10722.72</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CANON-202601-003696</t>
        </is>
      </c>
      <c r="B477" s="30" t="inlineStr">
        <is>
          <t xml:space="preserve">Wilhelmina Ashcombe</t>
        </is>
      </c>
      <c r="C477" s="31">
        <v>46041</v>
      </c>
      <c r="D477" s="32" t="inlineStr">
        <is>
          <t xml:space="preserve">Bound - within authority</t>
        </is>
      </c>
      <c r="E477" s="32" t="inlineStr">
        <is>
          <t xml:space="preserve">New business</t>
        </is>
      </c>
      <c r="F477" s="30" t="inlineStr">
        <is>
          <t xml:space="preserve">B1234EXOTIC26</t>
        </is>
      </c>
      <c r="G477" s="33">
        <f>IF($A477="","",IF($C477="","",YEAR($C477)))</f>
      </c>
      <c r="H477" s="34">
        <v>1999</v>
      </c>
      <c r="I477" s="30" t="inlineStr">
        <is>
          <t xml:space="preserve">Maserati</t>
        </is>
      </c>
      <c r="J477" s="30" t="inlineStr">
        <is>
          <t xml:space="preserve">GranTurismo</t>
        </is>
      </c>
      <c r="K477" s="30" t="inlineStr">
        <is>
          <t xml:space="preserve">WALPTT2NR7S3GX620</t>
        </is>
      </c>
      <c r="L477" s="32" t="inlineStr">
        <is>
          <t xml:space="preserve">02 - Sports / GT</t>
        </is>
      </c>
      <c r="M477" s="35">
        <v>290000</v>
      </c>
      <c r="N477" s="32" t="inlineStr">
        <is>
          <t xml:space="preserve">Personal</t>
        </is>
      </c>
      <c r="O477" s="30" t="inlineStr">
        <is>
          <t xml:space="preserve">Personal - regular use</t>
        </is>
      </c>
      <c r="P477" s="30" t="inlineStr">
        <is>
          <t xml:space="preserve">2,500 - 5,000</t>
        </is>
      </c>
      <c r="Q477" s="30" t="inlineStr">
        <is>
          <t xml:space="preserve">Nebraska</t>
        </is>
      </c>
      <c r="R477" s="30" t="inlineStr">
        <is>
          <t xml:space="preserve">68102</t>
        </is>
      </c>
      <c r="S477" s="32" t="inlineStr">
        <is>
          <t xml:space="preserve">Severe convective - hail alley (high)</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4786.48</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CANON-202601-003697</t>
        </is>
      </c>
      <c r="B478" s="46" t="inlineStr">
        <is>
          <t xml:space="preserve">Ramona Montoya</t>
        </is>
      </c>
      <c r="C478" s="47">
        <v>46044</v>
      </c>
      <c r="D478" s="48" t="inlineStr">
        <is>
          <t xml:space="preserve">Bound - within authority</t>
        </is>
      </c>
      <c r="E478" s="48" t="inlineStr">
        <is>
          <t xml:space="preserve">New business</t>
        </is>
      </c>
      <c r="F478" s="46" t="inlineStr">
        <is>
          <t xml:space="preserve">B1234EXOTIC26</t>
        </is>
      </c>
      <c r="G478" s="33">
        <f>IF($A478="","",IF($C478="","",YEAR($C478)))</f>
      </c>
      <c r="H478" s="49">
        <v>1961</v>
      </c>
      <c r="I478" s="46" t="inlineStr">
        <is>
          <t xml:space="preserve">BMW</t>
        </is>
      </c>
      <c r="J478" s="46" t="inlineStr">
        <is>
          <t xml:space="preserve">M8 Competition</t>
        </is>
      </c>
      <c r="K478" s="46" t="inlineStr">
        <is>
          <t xml:space="preserve">TT2PLW0HE95F3H5YN</t>
        </is>
      </c>
      <c r="L478" s="48" t="inlineStr">
        <is>
          <t xml:space="preserve">02 - Sports / GT</t>
        </is>
      </c>
      <c r="M478" s="50">
        <v>715000</v>
      </c>
      <c r="N478" s="48" t="inlineStr">
        <is>
          <t xml:space="preserve">Personal</t>
        </is>
      </c>
      <c r="O478" s="46" t="inlineStr">
        <is>
          <t xml:space="preserve">Personal - regular use</t>
        </is>
      </c>
      <c r="P478" s="46" t="inlineStr">
        <is>
          <t xml:space="preserve">2,500 - 5,000</t>
        </is>
      </c>
      <c r="Q478" s="46" t="inlineStr">
        <is>
          <t xml:space="preserve">Wyoming</t>
        </is>
      </c>
      <c r="R478" s="46" t="inlineStr">
        <is>
          <t xml:space="preserve">82001</t>
        </is>
      </c>
      <c r="S478" s="48" t="inlineStr">
        <is>
          <t xml:space="preserve">Severe convective - hail alley (high)</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8418.15</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CANON-202601-003698</t>
        </is>
      </c>
      <c r="B479" s="30" t="inlineStr">
        <is>
          <t xml:space="preserve">Thaddeus Farkas</t>
        </is>
      </c>
      <c r="C479" s="31">
        <v>46045</v>
      </c>
      <c r="D479" s="32" t="inlineStr">
        <is>
          <t xml:space="preserve">Bound - within authority</t>
        </is>
      </c>
      <c r="E479" s="32" t="inlineStr">
        <is>
          <t xml:space="preserve">New business</t>
        </is>
      </c>
      <c r="F479" s="30" t="inlineStr">
        <is>
          <t xml:space="preserve">B1234EXOTIC26</t>
        </is>
      </c>
      <c r="G479" s="33">
        <f>IF($A479="","",IF($C479="","",YEAR($C479)))</f>
      </c>
      <c r="H479" s="34">
        <v>2011</v>
      </c>
      <c r="I479" s="30" t="inlineStr">
        <is>
          <t xml:space="preserve">Bentley</t>
        </is>
      </c>
      <c r="J479" s="30" t="inlineStr">
        <is>
          <t xml:space="preserve">4.5 Litre</t>
        </is>
      </c>
      <c r="K479" s="30" t="inlineStr">
        <is>
          <t xml:space="preserve">MUU40STM2HW7RKDPB</t>
        </is>
      </c>
      <c r="L479" s="32" t="inlineStr">
        <is>
          <t xml:space="preserve">02 - Sports / GT</t>
        </is>
      </c>
      <c r="M479" s="35">
        <v>1045000</v>
      </c>
      <c r="N479" s="32" t="inlineStr">
        <is>
          <t xml:space="preserve">Personal</t>
        </is>
      </c>
      <c r="O479" s="30" t="inlineStr">
        <is>
          <t xml:space="preserve">Personal - regular use</t>
        </is>
      </c>
      <c r="P479" s="30" t="inlineStr">
        <is>
          <t xml:space="preserve">2,500 - 5,000</t>
        </is>
      </c>
      <c r="Q479" s="30" t="inlineStr">
        <is>
          <t xml:space="preserve">Rhode Island</t>
        </is>
      </c>
      <c r="R479" s="30" t="inlineStr">
        <is>
          <t xml:space="preserve">02903</t>
        </is>
      </c>
      <c r="S479" s="32" t="inlineStr">
        <is>
          <t xml:space="preserve">Tier 3 - Coastal wind (25-100 miles)</t>
        </is>
      </c>
      <c r="T479" s="36">
        <f>IF($A479="","",IF($S479="","",IFERROR(INDEX('[1]natural catastrophe'!$D$6:$D$17,MATCH($S479,'[1]natural catastrophe'!$B$6:$B$17,0)),"?")))</f>
      </c>
      <c r="U479" s="30" t="inlineStr">
        <is>
          <t xml:space="preserve">2% of agreed value, minimum $10,000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8240.04</v>
      </c>
      <c r="AC479" s="37">
        <v>0</v>
      </c>
      <c r="AD479" s="38">
        <f>IF(ISNUMBER($AB479),$AB479*(1+N($AC479)),"")</f>
      </c>
      <c r="AE479" s="35">
        <v>350</v>
      </c>
      <c r="AF479" s="35">
        <v>250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CANON-202601-003699</t>
        </is>
      </c>
      <c r="B480" s="46" t="inlineStr">
        <is>
          <t xml:space="preserve">Horace Farkas</t>
        </is>
      </c>
      <c r="C480" s="47">
        <v>46033</v>
      </c>
      <c r="D480" s="48" t="inlineStr">
        <is>
          <t xml:space="preserve">Bound - within authority</t>
        </is>
      </c>
      <c r="E480" s="48" t="inlineStr">
        <is>
          <t xml:space="preserve">New business</t>
        </is>
      </c>
      <c r="F480" s="46" t="inlineStr">
        <is>
          <t xml:space="preserve">B1234EXOTIC26</t>
        </is>
      </c>
      <c r="G480" s="33">
        <f>IF($A480="","",IF($C480="","",YEAR($C480)))</f>
      </c>
      <c r="H480" s="49">
        <v>2003</v>
      </c>
      <c r="I480" s="46" t="inlineStr">
        <is>
          <t xml:space="preserve">Porsche</t>
        </is>
      </c>
      <c r="J480" s="46" t="inlineStr">
        <is>
          <t xml:space="preserve">911 Turbo S</t>
        </is>
      </c>
      <c r="K480" s="46" t="inlineStr">
        <is>
          <t xml:space="preserve">EVPPP04BWWAL1F2B7</t>
        </is>
      </c>
      <c r="L480" s="48" t="inlineStr">
        <is>
          <t xml:space="preserve">02 - Sports / GT</t>
        </is>
      </c>
      <c r="M480" s="50">
        <v>395000</v>
      </c>
      <c r="N480" s="48" t="inlineStr">
        <is>
          <t xml:space="preserve">Personal</t>
        </is>
      </c>
      <c r="O480" s="46" t="inlineStr">
        <is>
          <t xml:space="preserve">Personal - regular use</t>
        </is>
      </c>
      <c r="P480" s="46" t="inlineStr">
        <is>
          <t xml:space="preserve">1,000 - 2,500</t>
        </is>
      </c>
      <c r="Q480" s="46" t="inlineStr">
        <is>
          <t xml:space="preserve">New York</t>
        </is>
      </c>
      <c r="R480" s="46" t="inlineStr">
        <is>
          <t xml:space="preserve">10022</t>
        </is>
      </c>
      <c r="S480" s="48" t="inlineStr">
        <is>
          <t xml:space="preserve">Tier 3 - Coastal wind (25-100 miles)</t>
        </is>
      </c>
      <c r="T480" s="36">
        <f>IF($A480="","",IF($S480="","",IFERROR(INDEX('[1]natural catastrophe'!$D$6:$D$17,MATCH($S480,'[1]natural catastrophe'!$B$6:$B$17,0)),"?")))</f>
      </c>
      <c r="U480" s="46" t="inlineStr">
        <is>
          <t xml:space="preserve">2% of agreed value, minimum $10,000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6419.21</v>
      </c>
      <c r="AC480" s="51">
        <v>0</v>
      </c>
      <c r="AD480" s="38">
        <f>IF(ISNUMBER($AB480),$AB480*(1+N($AC480)),"")</f>
      </c>
      <c r="AE480" s="50">
        <v>350</v>
      </c>
      <c r="AF480" s="50">
        <v>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CANON-202601-003700</t>
        </is>
      </c>
      <c r="B481" s="30" t="inlineStr">
        <is>
          <t xml:space="preserve">Saoirse Okonkwo</t>
        </is>
      </c>
      <c r="C481" s="31">
        <v>46051</v>
      </c>
      <c r="D481" s="32" t="inlineStr">
        <is>
          <t xml:space="preserve">Bound - within authority</t>
        </is>
      </c>
      <c r="E481" s="32" t="inlineStr">
        <is>
          <t xml:space="preserve">New business</t>
        </is>
      </c>
      <c r="F481" s="30" t="inlineStr">
        <is>
          <t xml:space="preserve">B1234EXOTIC26</t>
        </is>
      </c>
      <c r="G481" s="33">
        <f>IF($A481="","",IF($C481="","",YEAR($C481)))</f>
      </c>
      <c r="H481" s="34">
        <v>1992</v>
      </c>
      <c r="I481" s="30" t="inlineStr">
        <is>
          <t xml:space="preserve">BMW</t>
        </is>
      </c>
      <c r="J481" s="30" t="inlineStr">
        <is>
          <t xml:space="preserve">M8 Competition</t>
        </is>
      </c>
      <c r="K481" s="30" t="inlineStr">
        <is>
          <t xml:space="preserve">XXB6Z4TPZHDTE53C6</t>
        </is>
      </c>
      <c r="L481" s="32" t="inlineStr">
        <is>
          <t xml:space="preserve">02 - Sports / GT</t>
        </is>
      </c>
      <c r="M481" s="35">
        <v>325000</v>
      </c>
      <c r="N481" s="32" t="inlineStr">
        <is>
          <t xml:space="preserve">Personal</t>
        </is>
      </c>
      <c r="O481" s="30" t="inlineStr">
        <is>
          <t xml:space="preserve">Personal - regular use</t>
        </is>
      </c>
      <c r="P481" s="30" t="inlineStr">
        <is>
          <t xml:space="preserve">1,000 - 2,500</t>
        </is>
      </c>
      <c r="Q481" s="30" t="inlineStr">
        <is>
          <t xml:space="preserve">Tennessee</t>
        </is>
      </c>
      <c r="R481" s="30" t="inlineStr">
        <is>
          <t xml:space="preserve">37203</t>
        </is>
      </c>
      <c r="S481" s="32" t="inlineStr">
        <is>
          <t xml:space="preserve">Severe convective - hail / tornado (moderate)</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4043.75</v>
      </c>
      <c r="AC481" s="37">
        <v>0</v>
      </c>
      <c r="AD481" s="38">
        <f>IF(ISNUMBER($AB481),$AB481*(1+N($AC481)),"")</f>
      </c>
      <c r="AE481" s="35">
        <v>350</v>
      </c>
      <c r="AF481" s="35">
        <v>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CANON-202601-003701</t>
        </is>
      </c>
      <c r="B482" s="46" t="inlineStr">
        <is>
          <t xml:space="preserve">Anouk Kingsford</t>
        </is>
      </c>
      <c r="C482" s="47">
        <v>46053</v>
      </c>
      <c r="D482" s="48" t="inlineStr">
        <is>
          <t xml:space="preserve">Bound - within authority</t>
        </is>
      </c>
      <c r="E482" s="48" t="inlineStr">
        <is>
          <t xml:space="preserve">New business</t>
        </is>
      </c>
      <c r="F482" s="46" t="inlineStr">
        <is>
          <t xml:space="preserve">B1234EXOTIC26</t>
        </is>
      </c>
      <c r="G482" s="33">
        <f>IF($A482="","",IF($C482="","",YEAR($C482)))</f>
      </c>
      <c r="H482" s="49">
        <v>1955</v>
      </c>
      <c r="I482" s="46" t="inlineStr">
        <is>
          <t xml:space="preserve">Ferrari</t>
        </is>
      </c>
      <c r="J482" s="46" t="inlineStr">
        <is>
          <t xml:space="preserve">SF90 Stradale</t>
        </is>
      </c>
      <c r="K482" s="46" t="inlineStr">
        <is>
          <t xml:space="preserve">DLAJX785PBVDXMXG4</t>
        </is>
      </c>
      <c r="L482" s="48" t="inlineStr">
        <is>
          <t xml:space="preserve">03 - Supercar</t>
        </is>
      </c>
      <c r="M482" s="50">
        <v>870000</v>
      </c>
      <c r="N482" s="48" t="inlineStr">
        <is>
          <t xml:space="preserve">Personal</t>
        </is>
      </c>
      <c r="O482" s="46" t="inlineStr">
        <is>
          <t xml:space="preserve">Personal - regular use</t>
        </is>
      </c>
      <c r="P482" s="46" t="inlineStr">
        <is>
          <t xml:space="preserve">1,000 - 2,500</t>
        </is>
      </c>
      <c r="Q482" s="46" t="inlineStr">
        <is>
          <t xml:space="preserve">Louisiana</t>
        </is>
      </c>
      <c r="R482" s="46" t="inlineStr">
        <is>
          <t xml:space="preserve">70112</t>
        </is>
      </c>
      <c r="S482" s="48" t="inlineStr">
        <is>
          <t xml:space="preserve">Tier 2 - Coastal wind (1-25 miles)</t>
        </is>
      </c>
      <c r="T482" s="36">
        <f>IF($A482="","",IF($S482="","",IFERROR(INDEX('[1]natural catastrophe'!$D$6:$D$17,MATCH($S482,'[1]natural catastrophe'!$B$6:$B$17,0)),"?")))</f>
      </c>
      <c r="U482" s="46" t="inlineStr">
        <is>
          <t xml:space="preserve">2% of agreed value, minimum $10,000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16929.4</v>
      </c>
      <c r="AC482" s="51">
        <v>0</v>
      </c>
      <c r="AD482" s="38">
        <f>IF(ISNUMBER($AB482),$AB482*(1+N($AC482)),"")</f>
      </c>
      <c r="AE482" s="50">
        <v>350</v>
      </c>
      <c r="AF482" s="50">
        <v>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CANON-202601-003702</t>
        </is>
      </c>
      <c r="B483" s="30" t="inlineStr">
        <is>
          <t xml:space="preserve">Mireille Blackwood</t>
        </is>
      </c>
      <c r="C483" s="31">
        <v>46038</v>
      </c>
      <c r="D483" s="32" t="inlineStr">
        <is>
          <t xml:space="preserve">Bound - within authority</t>
        </is>
      </c>
      <c r="E483" s="32" t="inlineStr">
        <is>
          <t xml:space="preserve">New business</t>
        </is>
      </c>
      <c r="F483" s="30" t="inlineStr">
        <is>
          <t xml:space="preserve">B1234EXOTIC26</t>
        </is>
      </c>
      <c r="G483" s="33">
        <f>IF($A483="","",IF($C483="","",YEAR($C483)))</f>
      </c>
      <c r="H483" s="34">
        <v>1985</v>
      </c>
      <c r="I483" s="30" t="inlineStr">
        <is>
          <t xml:space="preserve">BMW</t>
        </is>
      </c>
      <c r="J483" s="30" t="inlineStr">
        <is>
          <t xml:space="preserve">M8 Competition</t>
        </is>
      </c>
      <c r="K483" s="30" t="inlineStr">
        <is>
          <t xml:space="preserve">CZ8L2PMLK1UXPPLRJ</t>
        </is>
      </c>
      <c r="L483" s="32" t="inlineStr">
        <is>
          <t xml:space="preserve">02 - Sports / GT</t>
        </is>
      </c>
      <c r="M483" s="35">
        <v>285000</v>
      </c>
      <c r="N483" s="32" t="inlineStr">
        <is>
          <t xml:space="preserve">Personal</t>
        </is>
      </c>
      <c r="O483" s="30" t="inlineStr">
        <is>
          <t xml:space="preserve">Personal - regular use</t>
        </is>
      </c>
      <c r="P483" s="30" t="inlineStr">
        <is>
          <t xml:space="preserve">Under 1,000</t>
        </is>
      </c>
      <c r="Q483" s="30" t="inlineStr">
        <is>
          <t xml:space="preserve">Texas</t>
        </is>
      </c>
      <c r="R483" s="30" t="inlineStr">
        <is>
          <t xml:space="preserve">75201</t>
        </is>
      </c>
      <c r="S483" s="32" t="inlineStr">
        <is>
          <t xml:space="preserve">Tier 2 - Coastal wind (1-25 miles)</t>
        </is>
      </c>
      <c r="T483" s="36">
        <f>IF($A483="","",IF($S483="","",IFERROR(INDEX('[1]natural catastrophe'!$D$6:$D$17,MATCH($S483,'[1]natural catastrophe'!$B$6:$B$17,0)),"?")))</f>
      </c>
      <c r="U483" s="30" t="inlineStr">
        <is>
          <t xml:space="preserve">2% of agreed value, minimum $10,000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4161.19</v>
      </c>
      <c r="AC483" s="37">
        <v>0</v>
      </c>
      <c r="AD483" s="38">
        <f>IF(ISNUMBER($AB483),$AB483*(1+N($AC483)),"")</f>
      </c>
      <c r="AE483" s="35">
        <v>350</v>
      </c>
      <c r="AF483" s="35">
        <v>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CANON-202601-003705</t>
        </is>
      </c>
      <c r="B484" s="46" t="inlineStr">
        <is>
          <t xml:space="preserve">Fitzgerald Whitlock</t>
        </is>
      </c>
      <c r="C484" s="47">
        <v>46033</v>
      </c>
      <c r="D484" s="48" t="inlineStr">
        <is>
          <t xml:space="preserve">Bound - within authority</t>
        </is>
      </c>
      <c r="E484" s="48" t="inlineStr">
        <is>
          <t xml:space="preserve">New business</t>
        </is>
      </c>
      <c r="F484" s="46" t="inlineStr">
        <is>
          <t xml:space="preserve">B1234EXOTIC26</t>
        </is>
      </c>
      <c r="G484" s="33">
        <f>IF($A484="","",IF($C484="","",YEAR($C484)))</f>
      </c>
      <c r="H484" s="49">
        <v>1976</v>
      </c>
      <c r="I484" s="46" t="inlineStr">
        <is>
          <t xml:space="preserve">Mercedes-Benz</t>
        </is>
      </c>
      <c r="J484" s="46" t="inlineStr">
        <is>
          <t xml:space="preserve">AMG GT</t>
        </is>
      </c>
      <c r="K484" s="46" t="inlineStr">
        <is>
          <t xml:space="preserve">N1H8PLAEXLFXLCNH2</t>
        </is>
      </c>
      <c r="L484" s="48" t="inlineStr">
        <is>
          <t xml:space="preserve">02 - Sports / GT</t>
        </is>
      </c>
      <c r="M484" s="50">
        <v>725000</v>
      </c>
      <c r="N484" s="48" t="inlineStr">
        <is>
          <t xml:space="preserve">Personal</t>
        </is>
      </c>
      <c r="O484" s="46" t="inlineStr">
        <is>
          <t xml:space="preserve">Personal - regular use</t>
        </is>
      </c>
      <c r="P484" s="46" t="inlineStr">
        <is>
          <t xml:space="preserve">2,500 - 5,000</t>
        </is>
      </c>
      <c r="Q484" s="46" t="inlineStr">
        <is>
          <t xml:space="preserve">New York</t>
        </is>
      </c>
      <c r="R484" s="46" t="inlineStr">
        <is>
          <t xml:space="preserve">10022</t>
        </is>
      </c>
      <c r="S484" s="48" t="inlineStr">
        <is>
          <t xml:space="preserve">Tier 3 - Coastal wind (25-100 miles)</t>
        </is>
      </c>
      <c r="T484" s="36">
        <f>IF($A484="","",IF($S484="","",IFERROR(INDEX('[1]natural catastrophe'!$D$6:$D$17,MATCH($S484,'[1]natural catastrophe'!$B$6:$B$17,0)),"?")))</f>
      </c>
      <c r="U484" s="46" t="inlineStr">
        <is>
          <t xml:space="preserve">2% of agreed value, minimum $10,000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10211.15</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CANON-202601-003706</t>
        </is>
      </c>
      <c r="B485" s="30" t="inlineStr">
        <is>
          <t xml:space="preserve">Saoirse Whitlock</t>
        </is>
      </c>
      <c r="C485" s="31">
        <v>46051</v>
      </c>
      <c r="D485" s="32" t="inlineStr">
        <is>
          <t xml:space="preserve">Bound - within authority</t>
        </is>
      </c>
      <c r="E485" s="32" t="inlineStr">
        <is>
          <t xml:space="preserve">New business</t>
        </is>
      </c>
      <c r="F485" s="30" t="inlineStr">
        <is>
          <t xml:space="preserve">B1234EXOTIC26</t>
        </is>
      </c>
      <c r="G485" s="33">
        <f>IF($A485="","",IF($C485="","",YEAR($C485)))</f>
      </c>
      <c r="H485" s="34">
        <v>1961</v>
      </c>
      <c r="I485" s="30" t="inlineStr">
        <is>
          <t xml:space="preserve">Maserati</t>
        </is>
      </c>
      <c r="J485" s="30" t="inlineStr">
        <is>
          <t xml:space="preserve">GranTurismo</t>
        </is>
      </c>
      <c r="K485" s="30" t="inlineStr">
        <is>
          <t xml:space="preserve">57Z4AX96HE8D6BET0</t>
        </is>
      </c>
      <c r="L485" s="32" t="inlineStr">
        <is>
          <t xml:space="preserve">02 - Sports / GT</t>
        </is>
      </c>
      <c r="M485" s="35">
        <v>440000</v>
      </c>
      <c r="N485" s="32" t="inlineStr">
        <is>
          <t xml:space="preserve">Personal</t>
        </is>
      </c>
      <c r="O485" s="30" t="inlineStr">
        <is>
          <t xml:space="preserve">Personal - regular use</t>
        </is>
      </c>
      <c r="P485" s="30" t="inlineStr">
        <is>
          <t xml:space="preserve">1,000 - 2,500</t>
        </is>
      </c>
      <c r="Q485" s="30" t="inlineStr">
        <is>
          <t xml:space="preserve">Wisconsin</t>
        </is>
      </c>
      <c r="R485" s="30" t="inlineStr">
        <is>
          <t xml:space="preserve">53202</t>
        </is>
      </c>
      <c r="S485" s="32" t="inlineStr">
        <is>
          <t xml:space="preserve">Severe convective - hail / tornado (moderate)</t>
        </is>
      </c>
      <c r="T485" s="36">
        <f>IF($A485="","",IF($S485="","",IFERROR(INDEX('[1]natural catastrophe'!$D$6:$D$17,MATCH($S485,'[1]natural catastrophe'!$B$6:$B$17,0)),"?")))</f>
      </c>
      <c r="U485" s="30" t="inlineStr">
        <is>
          <t xml:space="preserve">$5,000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6703.61</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CANON-202601-003707</t>
        </is>
      </c>
      <c r="B486" s="46" t="inlineStr">
        <is>
          <t xml:space="preserve">Thaddeus Montoya</t>
        </is>
      </c>
      <c r="C486" s="47">
        <v>46036</v>
      </c>
      <c r="D486" s="48" t="inlineStr">
        <is>
          <t xml:space="preserve">Bound - within authority</t>
        </is>
      </c>
      <c r="E486" s="48" t="inlineStr">
        <is>
          <t xml:space="preserve">New business</t>
        </is>
      </c>
      <c r="F486" s="46" t="inlineStr">
        <is>
          <t xml:space="preserve">B1234EXOTIC26</t>
        </is>
      </c>
      <c r="G486" s="33">
        <f>IF($A486="","",IF($C486="","",YEAR($C486)))</f>
      </c>
      <c r="H486" s="49">
        <v>1997</v>
      </c>
      <c r="I486" s="46" t="inlineStr">
        <is>
          <t xml:space="preserve">Maserati</t>
        </is>
      </c>
      <c r="J486" s="46" t="inlineStr">
        <is>
          <t xml:space="preserve">GranTurismo</t>
        </is>
      </c>
      <c r="K486" s="46" t="inlineStr">
        <is>
          <t xml:space="preserve">LGE7T9CKD1PMTXZF7</t>
        </is>
      </c>
      <c r="L486" s="48" t="inlineStr">
        <is>
          <t xml:space="preserve">02 - Sports / GT</t>
        </is>
      </c>
      <c r="M486" s="50">
        <v>320000</v>
      </c>
      <c r="N486" s="48" t="inlineStr">
        <is>
          <t xml:space="preserve">Personal</t>
        </is>
      </c>
      <c r="O486" s="46" t="inlineStr">
        <is>
          <t xml:space="preserve">Personal - regular use</t>
        </is>
      </c>
      <c r="P486" s="46" t="inlineStr">
        <is>
          <t xml:space="preserve">1,000 - 2,500</t>
        </is>
      </c>
      <c r="Q486" s="46" t="inlineStr">
        <is>
          <t xml:space="preserve">Arkansas</t>
        </is>
      </c>
      <c r="R486" s="46" t="inlineStr">
        <is>
          <t xml:space="preserve">72201</t>
        </is>
      </c>
      <c r="S486" s="48" t="inlineStr">
        <is>
          <t xml:space="preserve">Severe convective - hail / tornado (moderate)</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5606.66</v>
      </c>
      <c r="AC486" s="51">
        <v>0</v>
      </c>
      <c r="AD486" s="38">
        <f>IF(ISNUMBER($AB486),$AB486*(1+N($AC486)),"")</f>
      </c>
      <c r="AE486" s="50">
        <v>350</v>
      </c>
      <c r="AF486" s="50">
        <v>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CANON-202601-003710</t>
        </is>
      </c>
      <c r="B487" s="30" t="inlineStr">
        <is>
          <t xml:space="preserve">Beatrix Whitlock</t>
        </is>
      </c>
      <c r="C487" s="31">
        <v>46047</v>
      </c>
      <c r="D487" s="32" t="inlineStr">
        <is>
          <t xml:space="preserve">Bound - within authority</t>
        </is>
      </c>
      <c r="E487" s="32" t="inlineStr">
        <is>
          <t xml:space="preserve">New business</t>
        </is>
      </c>
      <c r="F487" s="30" t="inlineStr">
        <is>
          <t xml:space="preserve">B1234EXOTIC26</t>
        </is>
      </c>
      <c r="G487" s="33">
        <f>IF($A487="","",IF($C487="","",YEAR($C487)))</f>
      </c>
      <c r="H487" s="34">
        <v>1991</v>
      </c>
      <c r="I487" s="30" t="inlineStr">
        <is>
          <t xml:space="preserve">Porsche</t>
        </is>
      </c>
      <c r="J487" s="30" t="inlineStr">
        <is>
          <t xml:space="preserve">911 Turbo S</t>
        </is>
      </c>
      <c r="K487" s="30" t="inlineStr">
        <is>
          <t xml:space="preserve">AK4TF74C0312UB3V4</t>
        </is>
      </c>
      <c r="L487" s="32" t="inlineStr">
        <is>
          <t xml:space="preserve">02 - Sports / GT</t>
        </is>
      </c>
      <c r="M487" s="35">
        <v>685000</v>
      </c>
      <c r="N487" s="32" t="inlineStr">
        <is>
          <t xml:space="preserve">Personal</t>
        </is>
      </c>
      <c r="O487" s="30" t="inlineStr">
        <is>
          <t xml:space="preserve">Personal - regular use</t>
        </is>
      </c>
      <c r="P487" s="30" t="inlineStr">
        <is>
          <t xml:space="preserve">2,500 - 5,000</t>
        </is>
      </c>
      <c r="Q487" s="30" t="inlineStr">
        <is>
          <t xml:space="preserve">Florida</t>
        </is>
      </c>
      <c r="R487" s="30" t="inlineStr">
        <is>
          <t xml:space="preserve">33139</t>
        </is>
      </c>
      <c r="S487" s="32" t="inlineStr">
        <is>
          <t xml:space="preserve">Tier 2 - Coastal wind (1-25 miles)</t>
        </is>
      </c>
      <c r="T487" s="36">
        <f>IF($A487="","",IF($S487="","",IFERROR(INDEX('[1]natural catastrophe'!$D$6:$D$17,MATCH($S487,'[1]natural catastrophe'!$B$6:$B$17,0)),"?")))</f>
      </c>
      <c r="U487" s="30" t="inlineStr">
        <is>
          <t xml:space="preserve">2% of agreed value, minimum $10,000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10703</v>
      </c>
      <c r="AC487" s="37">
        <v>0</v>
      </c>
      <c r="AD487" s="38">
        <f>IF(ISNUMBER($AB487),$AB487*(1+N($AC487)),"")</f>
      </c>
      <c r="AE487" s="35">
        <v>350</v>
      </c>
      <c r="AF487" s="35">
        <v>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CANON-202601-003711</t>
        </is>
      </c>
      <c r="B488" s="46" t="inlineStr">
        <is>
          <t xml:space="preserve">Ottilie Kingsford</t>
        </is>
      </c>
      <c r="C488" s="47">
        <v>46044</v>
      </c>
      <c r="D488" s="48" t="inlineStr">
        <is>
          <t xml:space="preserve">Bound - within authority</t>
        </is>
      </c>
      <c r="E488" s="48" t="inlineStr">
        <is>
          <t xml:space="preserve">New business</t>
        </is>
      </c>
      <c r="F488" s="46" t="inlineStr">
        <is>
          <t xml:space="preserve">B1234EXOTIC26</t>
        </is>
      </c>
      <c r="G488" s="33">
        <f>IF($A488="","",IF($C488="","",YEAR($C488)))</f>
      </c>
      <c r="H488" s="49">
        <v>2003</v>
      </c>
      <c r="I488" s="46" t="inlineStr">
        <is>
          <t xml:space="preserve">Lamborghini</t>
        </is>
      </c>
      <c r="J488" s="46" t="inlineStr">
        <is>
          <t xml:space="preserve">Huracan EVO</t>
        </is>
      </c>
      <c r="K488" s="46" t="inlineStr">
        <is>
          <t xml:space="preserve">KPKV64KST789BU7HY</t>
        </is>
      </c>
      <c r="L488" s="48" t="inlineStr">
        <is>
          <t xml:space="preserve">03 - Supercar</t>
        </is>
      </c>
      <c r="M488" s="50">
        <v>1290000</v>
      </c>
      <c r="N488" s="48" t="inlineStr">
        <is>
          <t xml:space="preserve">Personal</t>
        </is>
      </c>
      <c r="O488" s="46" t="inlineStr">
        <is>
          <t xml:space="preserve">Personal - regular use</t>
        </is>
      </c>
      <c r="P488" s="46" t="inlineStr">
        <is>
          <t xml:space="preserve">2,500 - 5,000</t>
        </is>
      </c>
      <c r="Q488" s="46" t="inlineStr">
        <is>
          <t xml:space="preserve">Rhode Island</t>
        </is>
      </c>
      <c r="R488" s="46" t="inlineStr">
        <is>
          <t xml:space="preserve">02903</t>
        </is>
      </c>
      <c r="S488" s="48" t="inlineStr">
        <is>
          <t xml:space="preserve">Tier 3 - Coastal wind (25-100 miles)</t>
        </is>
      </c>
      <c r="T488" s="36">
        <f>IF($A488="","",IF($S488="","",IFERROR(INDEX('[1]natural catastrophe'!$D$6:$D$17,MATCH($S488,'[1]natural catastrophe'!$B$6:$B$17,0)),"?")))</f>
      </c>
      <c r="U488" s="46" t="inlineStr">
        <is>
          <t xml:space="preserve">2% of agreed value, minimum $10,000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23933.91</v>
      </c>
      <c r="AC488" s="51">
        <v>0</v>
      </c>
      <c r="AD488" s="38">
        <f>IF(ISNUMBER($AB488),$AB488*(1+N($AC488)),"")</f>
      </c>
      <c r="AE488" s="50">
        <v>350</v>
      </c>
      <c r="AF488" s="50">
        <v>250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CANON-202601-003712</t>
        </is>
      </c>
      <c r="B489" s="30" t="inlineStr">
        <is>
          <t xml:space="preserve">Beatrix Delacroix</t>
        </is>
      </c>
      <c r="C489" s="31">
        <v>46038</v>
      </c>
      <c r="D489" s="32" t="inlineStr">
        <is>
          <t xml:space="preserve">Bound - within authority</t>
        </is>
      </c>
      <c r="E489" s="32" t="inlineStr">
        <is>
          <t xml:space="preserve">New business</t>
        </is>
      </c>
      <c r="F489" s="30" t="inlineStr">
        <is>
          <t xml:space="preserve">B1234EXOTIC26</t>
        </is>
      </c>
      <c r="G489" s="33">
        <f>IF($A489="","",IF($C489="","",YEAR($C489)))</f>
      </c>
      <c r="H489" s="34">
        <v>1993</v>
      </c>
      <c r="I489" s="30" t="inlineStr">
        <is>
          <t xml:space="preserve">Bentley</t>
        </is>
      </c>
      <c r="J489" s="30" t="inlineStr">
        <is>
          <t xml:space="preserve">Continental GT</t>
        </is>
      </c>
      <c r="K489" s="30" t="inlineStr">
        <is>
          <t xml:space="preserve">0WG11HA6GUDNRME63</t>
        </is>
      </c>
      <c r="L489" s="32" t="inlineStr">
        <is>
          <t xml:space="preserve">02 - Sports / GT</t>
        </is>
      </c>
      <c r="M489" s="35">
        <v>505000</v>
      </c>
      <c r="N489" s="32" t="inlineStr">
        <is>
          <t xml:space="preserve">Personal</t>
        </is>
      </c>
      <c r="O489" s="30" t="inlineStr">
        <is>
          <t xml:space="preserve">Personal - regular use</t>
        </is>
      </c>
      <c r="P489" s="30" t="inlineStr">
        <is>
          <t xml:space="preserve">2,500 - 5,000</t>
        </is>
      </c>
      <c r="Q489" s="30" t="inlineStr">
        <is>
          <t xml:space="preserve">Maine</t>
        </is>
      </c>
      <c r="R489" s="30" t="inlineStr">
        <is>
          <t xml:space="preserve">04101</t>
        </is>
      </c>
      <c r="S489" s="32" t="inlineStr">
        <is>
          <t xml:space="preserve">Tier 3 - Coastal wind (25-100 miles)</t>
        </is>
      </c>
      <c r="T489" s="36">
        <f>IF($A489="","",IF($S489="","",IFERROR(INDEX('[1]natural catastrophe'!$D$6:$D$17,MATCH($S489,'[1]natural catastrophe'!$B$6:$B$17,0)),"?")))</f>
      </c>
      <c r="U489" s="30" t="inlineStr">
        <is>
          <t xml:space="preserve">2% of agreed value, minimum $10,000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6001.25</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CANON-202601-003713</t>
        </is>
      </c>
      <c r="B490" s="46" t="inlineStr">
        <is>
          <t xml:space="preserve">Marisol Chattopadhyay</t>
        </is>
      </c>
      <c r="C490" s="47">
        <v>46050</v>
      </c>
      <c r="D490" s="48" t="inlineStr">
        <is>
          <t xml:space="preserve">Bound - within authority</t>
        </is>
      </c>
      <c r="E490" s="48" t="inlineStr">
        <is>
          <t xml:space="preserve">New business</t>
        </is>
      </c>
      <c r="F490" s="46" t="inlineStr">
        <is>
          <t xml:space="preserve">B1234EXOTIC26</t>
        </is>
      </c>
      <c r="G490" s="33">
        <f>IF($A490="","",IF($C490="","",YEAR($C490)))</f>
      </c>
      <c r="H490" s="49">
        <v>1992</v>
      </c>
      <c r="I490" s="46" t="inlineStr">
        <is>
          <t xml:space="preserve">Mercedes-Benz</t>
        </is>
      </c>
      <c r="J490" s="46" t="inlineStr">
        <is>
          <t xml:space="preserve">AMG GT</t>
        </is>
      </c>
      <c r="K490" s="46" t="inlineStr">
        <is>
          <t xml:space="preserve">U2C5F6MFKVVZ37UA4</t>
        </is>
      </c>
      <c r="L490" s="48" t="inlineStr">
        <is>
          <t xml:space="preserve">02 - Sports / GT</t>
        </is>
      </c>
      <c r="M490" s="50">
        <v>455000</v>
      </c>
      <c r="N490" s="48" t="inlineStr">
        <is>
          <t xml:space="preserve">Personal</t>
        </is>
      </c>
      <c r="O490" s="46" t="inlineStr">
        <is>
          <t xml:space="preserve">Personal - regular use</t>
        </is>
      </c>
      <c r="P490" s="46" t="inlineStr">
        <is>
          <t xml:space="preserve">Under 1,000</t>
        </is>
      </c>
      <c r="Q490" s="46" t="inlineStr">
        <is>
          <t xml:space="preserve">New Hampshire</t>
        </is>
      </c>
      <c r="R490" s="46" t="inlineStr">
        <is>
          <t xml:space="preserve">03301</t>
        </is>
      </c>
      <c r="S490" s="48" t="inlineStr">
        <is>
          <t xml:space="preserve">Tier 3 - Coastal wind (25-100 miles)</t>
        </is>
      </c>
      <c r="T490" s="36">
        <f>IF($A490="","",IF($S490="","",IFERROR(INDEX('[1]natural catastrophe'!$D$6:$D$17,MATCH($S490,'[1]natural catastrophe'!$B$6:$B$17,0)),"?")))</f>
      </c>
      <c r="U490" s="46" t="inlineStr">
        <is>
          <t xml:space="preserve">2% of agreed value, minimum $10,000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6007.86</v>
      </c>
      <c r="AC490" s="51">
        <v>0</v>
      </c>
      <c r="AD490" s="38">
        <f>IF(ISNUMBER($AB490),$AB490*(1+N($AC490)),"")</f>
      </c>
      <c r="AE490" s="50">
        <v>350</v>
      </c>
      <c r="AF490" s="50">
        <v>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CANON-202601-003716</t>
        </is>
      </c>
      <c r="B491" s="30" t="inlineStr">
        <is>
          <t xml:space="preserve">Aurelio Blackwood</t>
        </is>
      </c>
      <c r="C491" s="31">
        <v>46037</v>
      </c>
      <c r="D491" s="32" t="inlineStr">
        <is>
          <t xml:space="preserve">Bound - within authority</t>
        </is>
      </c>
      <c r="E491" s="32" t="inlineStr">
        <is>
          <t xml:space="preserve">New business</t>
        </is>
      </c>
      <c r="F491" s="30" t="inlineStr">
        <is>
          <t xml:space="preserve">B1234EXOTIC26</t>
        </is>
      </c>
      <c r="G491" s="33">
        <f>IF($A491="","",IF($C491="","",YEAR($C491)))</f>
      </c>
      <c r="H491" s="34">
        <v>2022</v>
      </c>
      <c r="I491" s="30" t="inlineStr">
        <is>
          <t xml:space="preserve">Porsche</t>
        </is>
      </c>
      <c r="J491" s="30" t="inlineStr">
        <is>
          <t xml:space="preserve">911 Turbo S</t>
        </is>
      </c>
      <c r="K491" s="30" t="inlineStr">
        <is>
          <t xml:space="preserve">KGP2VTCVPDABBEG1U</t>
        </is>
      </c>
      <c r="L491" s="32" t="inlineStr">
        <is>
          <t xml:space="preserve">02 - Sports / GT</t>
        </is>
      </c>
      <c r="M491" s="35">
        <v>335000</v>
      </c>
      <c r="N491" s="32" t="inlineStr">
        <is>
          <t xml:space="preserve">Personal</t>
        </is>
      </c>
      <c r="O491" s="30" t="inlineStr">
        <is>
          <t xml:space="preserve">Personal - regular use</t>
        </is>
      </c>
      <c r="P491" s="30" t="inlineStr">
        <is>
          <t xml:space="preserve">1,000 - 2,500</t>
        </is>
      </c>
      <c r="Q491" s="30" t="inlineStr">
        <is>
          <t xml:space="preserve">California</t>
        </is>
      </c>
      <c r="R491" s="30" t="inlineStr">
        <is>
          <t xml:space="preserve">90012</t>
        </is>
      </c>
      <c r="S491" s="32" t="inlineStr">
        <is>
          <t xml:space="preserve">Earthquake - high (CA, Cascadia, New Madrid)</t>
        </is>
      </c>
      <c r="T491" s="36">
        <f>IF($A491="","",IF($S491="","",IFERROR(INDEX('[1]natural catastrophe'!$D$6:$D$17,MATCH($S491,'[1]natural catastrophe'!$B$6:$B$17,0)),"?")))</f>
      </c>
      <c r="U491" s="30" t="inlineStr">
        <is>
          <t xml:space="preserve">$5,000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5741.86</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CANON-202601-003717</t>
        </is>
      </c>
      <c r="B492" s="46" t="inlineStr">
        <is>
          <t xml:space="preserve">Emiliano Larsson</t>
        </is>
      </c>
      <c r="C492" s="47">
        <v>46041</v>
      </c>
      <c r="D492" s="48" t="inlineStr">
        <is>
          <t xml:space="preserve">Bound - within authority</t>
        </is>
      </c>
      <c r="E492" s="48" t="inlineStr">
        <is>
          <t xml:space="preserve">New business</t>
        </is>
      </c>
      <c r="F492" s="46" t="inlineStr">
        <is>
          <t xml:space="preserve">B1234EXOTIC26</t>
        </is>
      </c>
      <c r="G492" s="33">
        <f>IF($A492="","",IF($C492="","",YEAR($C492)))</f>
      </c>
      <c r="H492" s="49">
        <v>1972</v>
      </c>
      <c r="I492" s="46" t="inlineStr">
        <is>
          <t xml:space="preserve">Bentley</t>
        </is>
      </c>
      <c r="J492" s="46" t="inlineStr">
        <is>
          <t xml:space="preserve">Continental GT</t>
        </is>
      </c>
      <c r="K492" s="46" t="inlineStr">
        <is>
          <t xml:space="preserve">NHBNUWE1S4BLRK1AZ</t>
        </is>
      </c>
      <c r="L492" s="48" t="inlineStr">
        <is>
          <t xml:space="preserve">02 - Sports / GT</t>
        </is>
      </c>
      <c r="M492" s="50">
        <v>545000</v>
      </c>
      <c r="N492" s="48" t="inlineStr">
        <is>
          <t xml:space="preserve">Personal</t>
        </is>
      </c>
      <c r="O492" s="46" t="inlineStr">
        <is>
          <t xml:space="preserve">Personal - regular use</t>
        </is>
      </c>
      <c r="P492" s="46" t="inlineStr">
        <is>
          <t xml:space="preserve">1,000 - 2,500</t>
        </is>
      </c>
      <c r="Q492" s="46" t="inlineStr">
        <is>
          <t xml:space="preserve">North Carolina</t>
        </is>
      </c>
      <c r="R492" s="46" t="inlineStr">
        <is>
          <t xml:space="preserve">28202</t>
        </is>
      </c>
      <c r="S492" s="48" t="inlineStr">
        <is>
          <t xml:space="preserve">Tier 2 - Coastal wind (1-25 miles)</t>
        </is>
      </c>
      <c r="T492" s="36">
        <f>IF($A492="","",IF($S492="","",IFERROR(INDEX('[1]natural catastrophe'!$D$6:$D$17,MATCH($S492,'[1]natural catastrophe'!$B$6:$B$17,0)),"?")))</f>
      </c>
      <c r="U492" s="46" t="inlineStr">
        <is>
          <t xml:space="preserve">2% of agreed value, minimum $10,000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6896.38</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CANON-202601-003718</t>
        </is>
      </c>
      <c r="B493" s="30" t="inlineStr">
        <is>
          <t xml:space="preserve">Cassius Vasquez</t>
        </is>
      </c>
      <c r="C493" s="31">
        <v>46024</v>
      </c>
      <c r="D493" s="32" t="inlineStr">
        <is>
          <t xml:space="preserve">Bound - within authority</t>
        </is>
      </c>
      <c r="E493" s="32" t="inlineStr">
        <is>
          <t xml:space="preserve">New business</t>
        </is>
      </c>
      <c r="F493" s="30" t="inlineStr">
        <is>
          <t xml:space="preserve">B1234EXOTIC26</t>
        </is>
      </c>
      <c r="G493" s="33">
        <f>IF($A493="","",IF($C493="","",YEAR($C493)))</f>
      </c>
      <c r="H493" s="34">
        <v>1982</v>
      </c>
      <c r="I493" s="30" t="inlineStr">
        <is>
          <t xml:space="preserve">Ferrari</t>
        </is>
      </c>
      <c r="J493" s="30" t="inlineStr">
        <is>
          <t xml:space="preserve">SF90 Stradale</t>
        </is>
      </c>
      <c r="K493" s="30" t="inlineStr">
        <is>
          <t xml:space="preserve">2F0R1B8LAZY4D4PEL</t>
        </is>
      </c>
      <c r="L493" s="32" t="inlineStr">
        <is>
          <t xml:space="preserve">03 - Supercar</t>
        </is>
      </c>
      <c r="M493" s="35">
        <v>250000</v>
      </c>
      <c r="N493" s="32" t="inlineStr">
        <is>
          <t xml:space="preserve">Personal</t>
        </is>
      </c>
      <c r="O493" s="30" t="inlineStr">
        <is>
          <t xml:space="preserve">Personal - regular use</t>
        </is>
      </c>
      <c r="P493" s="30" t="inlineStr">
        <is>
          <t xml:space="preserve">1,000 - 2,500</t>
        </is>
      </c>
      <c r="Q493" s="30" t="inlineStr">
        <is>
          <t xml:space="preserve">Texas</t>
        </is>
      </c>
      <c r="R493" s="30" t="inlineStr">
        <is>
          <t xml:space="preserve">75201</t>
        </is>
      </c>
      <c r="S493" s="32" t="inlineStr">
        <is>
          <t xml:space="preserve">Tier 2 - Coastal wind (1-25 miles)</t>
        </is>
      </c>
      <c r="T493" s="36">
        <f>IF($A493="","",IF($S493="","",IFERROR(INDEX('[1]natural catastrophe'!$D$6:$D$17,MATCH($S493,'[1]natural catastrophe'!$B$6:$B$17,0)),"?")))</f>
      </c>
      <c r="U493" s="30" t="inlineStr">
        <is>
          <t xml:space="preserve">2% of agreed value, minimum $10,000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5596.92</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CANON-202601-003719</t>
        </is>
      </c>
      <c r="B494" s="46" t="inlineStr">
        <is>
          <t xml:space="preserve">Ramona Fairweather</t>
        </is>
      </c>
      <c r="C494" s="47">
        <v>46028</v>
      </c>
      <c r="D494" s="48" t="inlineStr">
        <is>
          <t xml:space="preserve">Bound - within authority</t>
        </is>
      </c>
      <c r="E494" s="48" t="inlineStr">
        <is>
          <t xml:space="preserve">New business</t>
        </is>
      </c>
      <c r="F494" s="46" t="inlineStr">
        <is>
          <t xml:space="preserve">B1234EXOTIC26</t>
        </is>
      </c>
      <c r="G494" s="33">
        <f>IF($A494="","",IF($C494="","",YEAR($C494)))</f>
      </c>
      <c r="H494" s="49">
        <v>1964</v>
      </c>
      <c r="I494" s="46" t="inlineStr">
        <is>
          <t xml:space="preserve">BMW</t>
        </is>
      </c>
      <c r="J494" s="46" t="inlineStr">
        <is>
          <t xml:space="preserve">M8 Competition</t>
        </is>
      </c>
      <c r="K494" s="46" t="inlineStr">
        <is>
          <t xml:space="preserve">VB2FXR6KHGB5D63B1</t>
        </is>
      </c>
      <c r="L494" s="48" t="inlineStr">
        <is>
          <t xml:space="preserve">02 - Sports / GT</t>
        </is>
      </c>
      <c r="M494" s="50">
        <v>620000</v>
      </c>
      <c r="N494" s="48" t="inlineStr">
        <is>
          <t xml:space="preserve">Personal</t>
        </is>
      </c>
      <c r="O494" s="46" t="inlineStr">
        <is>
          <t xml:space="preserve">Personal - regular use</t>
        </is>
      </c>
      <c r="P494" s="46" t="inlineStr">
        <is>
          <t xml:space="preserve">2,500 - 5,000</t>
        </is>
      </c>
      <c r="Q494" s="46" t="inlineStr">
        <is>
          <t xml:space="preserve">Nevada</t>
        </is>
      </c>
      <c r="R494" s="46" t="inlineStr">
        <is>
          <t xml:space="preserve">89101</t>
        </is>
      </c>
      <c r="S494" s="48" t="inlineStr">
        <is>
          <t xml:space="preserve">Wildfire - WUI high hazard</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7981.87</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CANON-202601-003720</t>
        </is>
      </c>
      <c r="B495" s="30" t="inlineStr">
        <is>
          <t xml:space="preserve">Mireille Delacroix</t>
        </is>
      </c>
      <c r="C495" s="31">
        <v>46024</v>
      </c>
      <c r="D495" s="32" t="inlineStr">
        <is>
          <t xml:space="preserve">Bound - within authority</t>
        </is>
      </c>
      <c r="E495" s="32" t="inlineStr">
        <is>
          <t xml:space="preserve">New business</t>
        </is>
      </c>
      <c r="F495" s="30" t="inlineStr">
        <is>
          <t xml:space="preserve">B1234EXOTIC26</t>
        </is>
      </c>
      <c r="G495" s="33">
        <f>IF($A495="","",IF($C495="","",YEAR($C495)))</f>
      </c>
      <c r="H495" s="34">
        <v>1988</v>
      </c>
      <c r="I495" s="30" t="inlineStr">
        <is>
          <t xml:space="preserve">Ferrari</t>
        </is>
      </c>
      <c r="J495" s="30" t="inlineStr">
        <is>
          <t xml:space="preserve">275 GTB/4</t>
        </is>
      </c>
      <c r="K495" s="30" t="inlineStr">
        <is>
          <t xml:space="preserve">Z3GCCVVVAXHLRZJEP</t>
        </is>
      </c>
      <c r="L495" s="32" t="inlineStr">
        <is>
          <t xml:space="preserve">08 - Modern Classic (1973-1999)</t>
        </is>
      </c>
      <c r="M495" s="35">
        <v>325000</v>
      </c>
      <c r="N495" s="32" t="inlineStr">
        <is>
          <t xml:space="preserve">Personal</t>
        </is>
      </c>
      <c r="O495" s="30" t="inlineStr">
        <is>
          <t xml:space="preserve">Personal - regular use</t>
        </is>
      </c>
      <c r="P495" s="30" t="inlineStr">
        <is>
          <t xml:space="preserve">1,000 - 2,500</t>
        </is>
      </c>
      <c r="Q495" s="30" t="inlineStr">
        <is>
          <t xml:space="preserve">Massachusetts</t>
        </is>
      </c>
      <c r="R495" s="30" t="inlineStr">
        <is>
          <t xml:space="preserve">02108</t>
        </is>
      </c>
      <c r="S495" s="32" t="inlineStr">
        <is>
          <t xml:space="preserve">Tier 3 - Coastal wind (25-100 miles)</t>
        </is>
      </c>
      <c r="T495" s="36">
        <f>IF($A495="","",IF($S495="","",IFERROR(INDEX('[1]natural catastrophe'!$D$6:$D$17,MATCH($S495,'[1]natural catastrophe'!$B$6:$B$17,0)),"?")))</f>
      </c>
      <c r="U495" s="30" t="inlineStr">
        <is>
          <t xml:space="preserve">2% of agreed value, minimum $10,000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3301.02</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CANON-202601-003722</t>
        </is>
      </c>
      <c r="B496" s="46" t="inlineStr">
        <is>
          <t xml:space="preserve">Callum Farkas</t>
        </is>
      </c>
      <c r="C496" s="47">
        <v>46036</v>
      </c>
      <c r="D496" s="48" t="inlineStr">
        <is>
          <t xml:space="preserve">Bound - within authority</t>
        </is>
      </c>
      <c r="E496" s="48" t="inlineStr">
        <is>
          <t xml:space="preserve">New business</t>
        </is>
      </c>
      <c r="F496" s="46" t="inlineStr">
        <is>
          <t xml:space="preserve">B1234EXOTIC26</t>
        </is>
      </c>
      <c r="G496" s="33">
        <f>IF($A496="","",IF($C496="","",YEAR($C496)))</f>
      </c>
      <c r="H496" s="49">
        <v>1991</v>
      </c>
      <c r="I496" s="46" t="inlineStr">
        <is>
          <t xml:space="preserve">Porsche</t>
        </is>
      </c>
      <c r="J496" s="46" t="inlineStr">
        <is>
          <t xml:space="preserve">911 Turbo S</t>
        </is>
      </c>
      <c r="K496" s="46" t="inlineStr">
        <is>
          <t xml:space="preserve">M9FC76NJ4670ZEVG4</t>
        </is>
      </c>
      <c r="L496" s="48" t="inlineStr">
        <is>
          <t xml:space="preserve">02 - Sports / GT</t>
        </is>
      </c>
      <c r="M496" s="50">
        <v>505000</v>
      </c>
      <c r="N496" s="48" t="inlineStr">
        <is>
          <t xml:space="preserve">Personal</t>
        </is>
      </c>
      <c r="O496" s="46" t="inlineStr">
        <is>
          <t xml:space="preserve">Personal - regular use</t>
        </is>
      </c>
      <c r="P496" s="46" t="inlineStr">
        <is>
          <t xml:space="preserve">Under 1,000</t>
        </is>
      </c>
      <c r="Q496" s="46" t="inlineStr">
        <is>
          <t xml:space="preserve">Colorado</t>
        </is>
      </c>
      <c r="R496" s="46" t="inlineStr">
        <is>
          <t xml:space="preserve">80202</t>
        </is>
      </c>
      <c r="S496" s="48" t="inlineStr">
        <is>
          <t xml:space="preserve">Severe convective - hail alley (high)</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6112.39</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CANON-202601-003724</t>
        </is>
      </c>
      <c r="B497" s="30" t="inlineStr">
        <is>
          <t xml:space="preserve">Lorenzo Underwood</t>
        </is>
      </c>
      <c r="C497" s="31">
        <v>46044</v>
      </c>
      <c r="D497" s="32" t="inlineStr">
        <is>
          <t xml:space="preserve">Bound - within authority</t>
        </is>
      </c>
      <c r="E497" s="32" t="inlineStr">
        <is>
          <t xml:space="preserve">New business</t>
        </is>
      </c>
      <c r="F497" s="30" t="inlineStr">
        <is>
          <t xml:space="preserve">B1234EXOTIC26</t>
        </is>
      </c>
      <c r="G497" s="33">
        <f>IF($A497="","",IF($C497="","",YEAR($C497)))</f>
      </c>
      <c r="H497" s="34">
        <v>2018</v>
      </c>
      <c r="I497" s="30" t="inlineStr">
        <is>
          <t xml:space="preserve">Bentley</t>
        </is>
      </c>
      <c r="J497" s="30" t="inlineStr">
        <is>
          <t xml:space="preserve">Continental GT</t>
        </is>
      </c>
      <c r="K497" s="30" t="inlineStr">
        <is>
          <t xml:space="preserve">6JLBN0KR8696RNTMY</t>
        </is>
      </c>
      <c r="L497" s="32" t="inlineStr">
        <is>
          <t xml:space="preserve">02 - Sports / GT</t>
        </is>
      </c>
      <c r="M497" s="35">
        <v>690000</v>
      </c>
      <c r="N497" s="32" t="inlineStr">
        <is>
          <t xml:space="preserve">Personal</t>
        </is>
      </c>
      <c r="O497" s="30" t="inlineStr">
        <is>
          <t xml:space="preserve">Personal - regular use</t>
        </is>
      </c>
      <c r="P497" s="30" t="inlineStr">
        <is>
          <t xml:space="preserve">Under 1,000</t>
        </is>
      </c>
      <c r="Q497" s="30" t="inlineStr">
        <is>
          <t xml:space="preserve">Colorado</t>
        </is>
      </c>
      <c r="R497" s="30" t="inlineStr">
        <is>
          <t xml:space="preserve">80202</t>
        </is>
      </c>
      <c r="S497" s="32" t="inlineStr">
        <is>
          <t xml:space="preserve">Severe convective - hail alley (high)</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8351.58</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CANON-202601-003725</t>
        </is>
      </c>
      <c r="B498" s="46" t="inlineStr">
        <is>
          <t xml:space="preserve">Leopold Vandermeer</t>
        </is>
      </c>
      <c r="C498" s="47">
        <v>46030</v>
      </c>
      <c r="D498" s="48" t="inlineStr">
        <is>
          <t xml:space="preserve">Bound - within authority</t>
        </is>
      </c>
      <c r="E498" s="48" t="inlineStr">
        <is>
          <t xml:space="preserve">New business</t>
        </is>
      </c>
      <c r="F498" s="46" t="inlineStr">
        <is>
          <t xml:space="preserve">B1234EXOTIC26</t>
        </is>
      </c>
      <c r="G498" s="33">
        <f>IF($A498="","",IF($C498="","",YEAR($C498)))</f>
      </c>
      <c r="H498" s="49">
        <v>1976</v>
      </c>
      <c r="I498" s="46" t="inlineStr">
        <is>
          <t xml:space="preserve">Bentley</t>
        </is>
      </c>
      <c r="J498" s="46" t="inlineStr">
        <is>
          <t xml:space="preserve">Continental GT</t>
        </is>
      </c>
      <c r="K498" s="46" t="inlineStr">
        <is>
          <t xml:space="preserve">CK11RUKPGRDHU1TEV</t>
        </is>
      </c>
      <c r="L498" s="48" t="inlineStr">
        <is>
          <t xml:space="preserve">02 - Sports / GT</t>
        </is>
      </c>
      <c r="M498" s="50">
        <v>765000</v>
      </c>
      <c r="N498" s="48" t="inlineStr">
        <is>
          <t xml:space="preserve">Personal</t>
        </is>
      </c>
      <c r="O498" s="46" t="inlineStr">
        <is>
          <t xml:space="preserve">Personal - regular use</t>
        </is>
      </c>
      <c r="P498" s="46" t="inlineStr">
        <is>
          <t xml:space="preserve">2,500 - 5,000</t>
        </is>
      </c>
      <c r="Q498" s="46" t="inlineStr">
        <is>
          <t xml:space="preserve">New Jersey</t>
        </is>
      </c>
      <c r="R498" s="46" t="inlineStr">
        <is>
          <t xml:space="preserve">07102</t>
        </is>
      </c>
      <c r="S498" s="48" t="inlineStr">
        <is>
          <t xml:space="preserve">Tier 3 - Coastal wind (25-100 miles)</t>
        </is>
      </c>
      <c r="T498" s="36">
        <f>IF($A498="","",IF($S498="","",IFERROR(INDEX('[1]natural catastrophe'!$D$6:$D$17,MATCH($S498,'[1]natural catastrophe'!$B$6:$B$17,0)),"?")))</f>
      </c>
      <c r="U498" s="46" t="inlineStr">
        <is>
          <t xml:space="preserve">2% of agreed value, minimum $10,000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7660.02</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CANON-202601-003726</t>
        </is>
      </c>
      <c r="B499" s="30" t="inlineStr">
        <is>
          <t xml:space="preserve">Emiliano Underwood</t>
        </is>
      </c>
      <c r="C499" s="31">
        <v>46044</v>
      </c>
      <c r="D499" s="32" t="inlineStr">
        <is>
          <t xml:space="preserve">Bound - within authority</t>
        </is>
      </c>
      <c r="E499" s="32" t="inlineStr">
        <is>
          <t xml:space="preserve">New business</t>
        </is>
      </c>
      <c r="F499" s="30" t="inlineStr">
        <is>
          <t xml:space="preserve">B1234EXOTIC26</t>
        </is>
      </c>
      <c r="G499" s="33">
        <f>IF($A499="","",IF($C499="","",YEAR($C499)))</f>
      </c>
      <c r="H499" s="34">
        <v>2021</v>
      </c>
      <c r="I499" s="30" t="inlineStr">
        <is>
          <t xml:space="preserve">Aston Martin</t>
        </is>
      </c>
      <c r="J499" s="30" t="inlineStr">
        <is>
          <t xml:space="preserve">DB12</t>
        </is>
      </c>
      <c r="K499" s="30" t="inlineStr">
        <is>
          <t xml:space="preserve">MTD7ATJJ9PMAPCR2X</t>
        </is>
      </c>
      <c r="L499" s="32" t="inlineStr">
        <is>
          <t xml:space="preserve">02 - Sports / GT</t>
        </is>
      </c>
      <c r="M499" s="35">
        <v>840000</v>
      </c>
      <c r="N499" s="32" t="inlineStr">
        <is>
          <t xml:space="preserve">Personal</t>
        </is>
      </c>
      <c r="O499" s="30" t="inlineStr">
        <is>
          <t xml:space="preserve">Personal - regular use</t>
        </is>
      </c>
      <c r="P499" s="30" t="inlineStr">
        <is>
          <t xml:space="preserve">Under 1,000</t>
        </is>
      </c>
      <c r="Q499" s="30" t="inlineStr">
        <is>
          <t xml:space="preserve">New Hampshire</t>
        </is>
      </c>
      <c r="R499" s="30" t="inlineStr">
        <is>
          <t xml:space="preserve">03301</t>
        </is>
      </c>
      <c r="S499" s="32" t="inlineStr">
        <is>
          <t xml:space="preserve">Tier 3 - Coastal wind (25-100 miles)</t>
        </is>
      </c>
      <c r="T499" s="36">
        <f>IF($A499="","",IF($S499="","",IFERROR(INDEX('[1]natural catastrophe'!$D$6:$D$17,MATCH($S499,'[1]natural catastrophe'!$B$6:$B$17,0)),"?")))</f>
      </c>
      <c r="U499" s="30" t="inlineStr">
        <is>
          <t xml:space="preserve">2% of agreed value, minimum $10,000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9612.56</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CANON-202601-003728</t>
        </is>
      </c>
      <c r="B500" s="46" t="inlineStr">
        <is>
          <t xml:space="preserve">Horace Harrington</t>
        </is>
      </c>
      <c r="C500" s="47">
        <v>46035</v>
      </c>
      <c r="D500" s="48" t="inlineStr">
        <is>
          <t xml:space="preserve">Bound - within authority</t>
        </is>
      </c>
      <c r="E500" s="48" t="inlineStr">
        <is>
          <t xml:space="preserve">New business</t>
        </is>
      </c>
      <c r="F500" s="46" t="inlineStr">
        <is>
          <t xml:space="preserve">B1234EXOTIC26</t>
        </is>
      </c>
      <c r="G500" s="33">
        <f>IF($A500="","",IF($C500="","",YEAR($C500)))</f>
      </c>
      <c r="H500" s="49">
        <v>1963</v>
      </c>
      <c r="I500" s="46" t="inlineStr">
        <is>
          <t xml:space="preserve">Jaguar</t>
        </is>
      </c>
      <c r="J500" s="46" t="inlineStr">
        <is>
          <t xml:space="preserve">E-Type Series 1</t>
        </is>
      </c>
      <c r="K500" s="46" t="inlineStr">
        <is>
          <t xml:space="preserve">4KZ9WSJEST8889WNW</t>
        </is>
      </c>
      <c r="L500" s="48" t="inlineStr">
        <is>
          <t xml:space="preserve">07 - Post-War Classic (1946-1972)</t>
        </is>
      </c>
      <c r="M500" s="50">
        <v>1505000</v>
      </c>
      <c r="N500" s="48" t="inlineStr">
        <is>
          <t xml:space="preserve">Personal</t>
        </is>
      </c>
      <c r="O500" s="46" t="inlineStr">
        <is>
          <t xml:space="preserve">Personal - regular use</t>
        </is>
      </c>
      <c r="P500" s="46" t="inlineStr">
        <is>
          <t xml:space="preserve">2,500 - 5,000</t>
        </is>
      </c>
      <c r="Q500" s="46" t="inlineStr">
        <is>
          <t xml:space="preserve">Florida</t>
        </is>
      </c>
      <c r="R500" s="46" t="inlineStr">
        <is>
          <t xml:space="preserve">33139</t>
        </is>
      </c>
      <c r="S500" s="48" t="inlineStr">
        <is>
          <t xml:space="preserve">Tier 2 - Coastal wind (1-25 miles)</t>
        </is>
      </c>
      <c r="T500" s="36">
        <f>IF($A500="","",IF($S500="","",IFERROR(INDEX('[1]natural catastrophe'!$D$6:$D$17,MATCH($S500,'[1]natural catastrophe'!$B$6:$B$17,0)),"?")))</f>
      </c>
      <c r="U500" s="46" t="inlineStr">
        <is>
          <t xml:space="preserve">2% of agreed value, minimum $10,000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13747.44</v>
      </c>
      <c r="AC500" s="51">
        <v>0</v>
      </c>
      <c r="AD500" s="38">
        <f>IF(ISNUMBER($AB500),$AB500*(1+N($AC500)),"")</f>
      </c>
      <c r="AE500" s="50">
        <v>350</v>
      </c>
      <c r="AF500" s="50">
        <v>250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CANON-202601-003729</t>
        </is>
      </c>
      <c r="B501" s="30" t="inlineStr">
        <is>
          <t xml:space="preserve">Ottilie Okonkwo</t>
        </is>
      </c>
      <c r="C501" s="31">
        <v>46048</v>
      </c>
      <c r="D501" s="32" t="inlineStr">
        <is>
          <t xml:space="preserve">Bound - within authority</t>
        </is>
      </c>
      <c r="E501" s="32" t="inlineStr">
        <is>
          <t xml:space="preserve">New business</t>
        </is>
      </c>
      <c r="F501" s="30" t="inlineStr">
        <is>
          <t xml:space="preserve">B1234EXOTIC26</t>
        </is>
      </c>
      <c r="G501" s="33">
        <f>IF($A501="","",IF($C501="","",YEAR($C501)))</f>
      </c>
      <c r="H501" s="34">
        <v>1958</v>
      </c>
      <c r="I501" s="30" t="inlineStr">
        <is>
          <t xml:space="preserve">Jaguar</t>
        </is>
      </c>
      <c r="J501" s="30" t="inlineStr">
        <is>
          <t xml:space="preserve">E-Type Series 1</t>
        </is>
      </c>
      <c r="K501" s="30" t="inlineStr">
        <is>
          <t xml:space="preserve">WYLTWG5560L4AJ4U6</t>
        </is>
      </c>
      <c r="L501" s="32" t="inlineStr">
        <is>
          <t xml:space="preserve">07 - Post-War Classic (1946-1972)</t>
        </is>
      </c>
      <c r="M501" s="35">
        <v>825000</v>
      </c>
      <c r="N501" s="32" t="inlineStr">
        <is>
          <t xml:space="preserve">Personal</t>
        </is>
      </c>
      <c r="O501" s="30" t="inlineStr">
        <is>
          <t xml:space="preserve">Personal - regular use</t>
        </is>
      </c>
      <c r="P501" s="30" t="inlineStr">
        <is>
          <t xml:space="preserve">2,500 - 5,000</t>
        </is>
      </c>
      <c r="Q501" s="30" t="inlineStr">
        <is>
          <t xml:space="preserve">Delaware</t>
        </is>
      </c>
      <c r="R501" s="30" t="inlineStr">
        <is>
          <t xml:space="preserve">19801</t>
        </is>
      </c>
      <c r="S501" s="32" t="inlineStr">
        <is>
          <t xml:space="preserve">Tier 3 - Coastal wind (25-100 miles)</t>
        </is>
      </c>
      <c r="T501" s="36">
        <f>IF($A501="","",IF($S501="","",IFERROR(INDEX('[1]natural catastrophe'!$D$6:$D$17,MATCH($S501,'[1]natural catastrophe'!$B$6:$B$17,0)),"?")))</f>
      </c>
      <c r="U501" s="30" t="inlineStr">
        <is>
          <t xml:space="preserve">2% of agreed value, minimum $10,000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7506.65</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CANON-202601-003730</t>
        </is>
      </c>
      <c r="B502" s="46" t="inlineStr">
        <is>
          <t xml:space="preserve">Anouk Montoya</t>
        </is>
      </c>
      <c r="C502" s="47">
        <v>46026</v>
      </c>
      <c r="D502" s="48" t="inlineStr">
        <is>
          <t xml:space="preserve">Bound - within authority</t>
        </is>
      </c>
      <c r="E502" s="48" t="inlineStr">
        <is>
          <t xml:space="preserve">New business</t>
        </is>
      </c>
      <c r="F502" s="46" t="inlineStr">
        <is>
          <t xml:space="preserve">B1234EXOTIC26</t>
        </is>
      </c>
      <c r="G502" s="33">
        <f>IF($A502="","",IF($C502="","",YEAR($C502)))</f>
      </c>
      <c r="H502" s="49">
        <v>2008</v>
      </c>
      <c r="I502" s="46" t="inlineStr">
        <is>
          <t xml:space="preserve">Porsche</t>
        </is>
      </c>
      <c r="J502" s="46" t="inlineStr">
        <is>
          <t xml:space="preserve">911 Turbo S</t>
        </is>
      </c>
      <c r="K502" s="46" t="inlineStr">
        <is>
          <t xml:space="preserve">SEW57W5MDVTBXR557</t>
        </is>
      </c>
      <c r="L502" s="48" t="inlineStr">
        <is>
          <t xml:space="preserve">02 - Sports / GT</t>
        </is>
      </c>
      <c r="M502" s="50">
        <v>265000</v>
      </c>
      <c r="N502" s="48" t="inlineStr">
        <is>
          <t xml:space="preserve">Personal</t>
        </is>
      </c>
      <c r="O502" s="46" t="inlineStr">
        <is>
          <t xml:space="preserve">Personal - regular use</t>
        </is>
      </c>
      <c r="P502" s="46" t="inlineStr">
        <is>
          <t xml:space="preserve">2,500 - 5,000</t>
        </is>
      </c>
      <c r="Q502" s="46" t="inlineStr">
        <is>
          <t xml:space="preserve">Ohio</t>
        </is>
      </c>
      <c r="R502" s="46" t="inlineStr">
        <is>
          <t xml:space="preserve">43215</t>
        </is>
      </c>
      <c r="S502" s="48" t="inlineStr">
        <is>
          <t xml:space="preserve">Severe convective - hail / tornado (moderate)</t>
        </is>
      </c>
      <c r="T502" s="36">
        <f>IF($A502="","",IF($S502="","",IFERROR(INDEX('[1]natural catastrophe'!$D$6:$D$17,MATCH($S502,'[1]natural catastrophe'!$B$6:$B$17,0)),"?")))</f>
      </c>
      <c r="U502" s="46" t="inlineStr">
        <is>
          <t xml:space="preserve">$5,000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4676.65</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CANON-202601-003732</t>
        </is>
      </c>
      <c r="B503" s="30" t="inlineStr">
        <is>
          <t xml:space="preserve">Aurelio Larsson</t>
        </is>
      </c>
      <c r="C503" s="31">
        <v>46028</v>
      </c>
      <c r="D503" s="32" t="inlineStr">
        <is>
          <t xml:space="preserve">Bound - within authority</t>
        </is>
      </c>
      <c r="E503" s="32" t="inlineStr">
        <is>
          <t xml:space="preserve">New business</t>
        </is>
      </c>
      <c r="F503" s="30" t="inlineStr">
        <is>
          <t xml:space="preserve">B1234EXOTIC26</t>
        </is>
      </c>
      <c r="G503" s="33">
        <f>IF($A503="","",IF($C503="","",YEAR($C503)))</f>
      </c>
      <c r="H503" s="34">
        <v>2013</v>
      </c>
      <c r="I503" s="30" t="inlineStr">
        <is>
          <t xml:space="preserve">Maserati</t>
        </is>
      </c>
      <c r="J503" s="30" t="inlineStr">
        <is>
          <t xml:space="preserve">GranTurismo</t>
        </is>
      </c>
      <c r="K503" s="30" t="inlineStr">
        <is>
          <t xml:space="preserve">KMJKSDNY2JSKC7330</t>
        </is>
      </c>
      <c r="L503" s="32" t="inlineStr">
        <is>
          <t xml:space="preserve">02 - Sports / GT</t>
        </is>
      </c>
      <c r="M503" s="35">
        <v>340000</v>
      </c>
      <c r="N503" s="32" t="inlineStr">
        <is>
          <t xml:space="preserve">Personal</t>
        </is>
      </c>
      <c r="O503" s="30" t="inlineStr">
        <is>
          <t xml:space="preserve">Personal - regular use</t>
        </is>
      </c>
      <c r="P503" s="30" t="inlineStr">
        <is>
          <t xml:space="preserve">1,000 - 2,500</t>
        </is>
      </c>
      <c r="Q503" s="30" t="inlineStr">
        <is>
          <t xml:space="preserve">Texas</t>
        </is>
      </c>
      <c r="R503" s="30" t="inlineStr">
        <is>
          <t xml:space="preserve">75201</t>
        </is>
      </c>
      <c r="S503" s="32" t="inlineStr">
        <is>
          <t xml:space="preserve">Tier 2 - Coastal wind (1-25 miles)</t>
        </is>
      </c>
      <c r="T503" s="36">
        <f>IF($A503="","",IF($S503="","",IFERROR(INDEX('[1]natural catastrophe'!$D$6:$D$17,MATCH($S503,'[1]natural catastrophe'!$B$6:$B$17,0)),"?")))</f>
      </c>
      <c r="U503" s="30" t="inlineStr">
        <is>
          <t xml:space="preserve">2% of agreed value, minimum $10,000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4964.23</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D5:D503</xm:sqref>
        </x14:dataValidation>
        <x14:dataValidation type="list" allowBlank="1" xr:uid="{00000000-0002-0000-0200-000001000000}">
          <x14:formula1>
            <xm:f>Lists!$A$5:$A$11</xm:f>
          </x14:formula1>
          <x14:formula2>
            <xm:f>0</xm:f>
          </x14:formula2>
          <xm:sqref>E5:E503</xm:sqref>
        </x14:dataValidation>
        <x14:dataValidation type="list" allowBlank="1" xr:uid="{00000000-0002-0000-0200-000002000000}">
          <x14:formula1>
            <xm:f>Lists!$D$5:$D$16</xm:f>
          </x14:formula1>
          <x14:formula2>
            <xm:f>0</xm:f>
          </x14:formula2>
          <xm:sqref>L5:L503</xm:sqref>
        </x14:dataValidation>
        <x14:dataValidation type="list" allowBlank="1" xr:uid="{00000000-0002-0000-0200-000003000000}">
          <x14:formula1>
            <xm:f>Lists!$C$5:$C$6</xm:f>
          </x14:formula1>
          <x14:formula2>
            <xm:f>0</xm:f>
          </x14:formula2>
          <xm:sqref>N5:N503</xm:sqref>
        </x14:dataValidation>
        <x14:dataValidation type="list" allowBlank="1" xr:uid="{00000000-0002-0000-0200-000004000000}">
          <x14:formula1>
            <xm:f>Lists!$G$5:$G$16</xm:f>
          </x14:formula1>
          <x14:formula2>
            <xm:f>0</xm:f>
          </x14:formula2>
          <xm:sqref>S5:S503</xm:sqref>
        </x14:dataValidation>
        <x14:dataValidation type="list" allowBlank="1" xr:uid="{00000000-0002-0000-0200-000005000000}">
          <x14:formula1>
            <xm:f>Lists!$E$5:$E$8</xm:f>
          </x14:formula1>
          <x14:formula2>
            <xm:f>0</xm:f>
          </x14:formula2>
          <xm:sqref>V5:V503</xm:sqref>
        </x14:dataValidation>
        <x14:dataValidation type="list" allowBlank="1" xr:uid="{00000000-0002-0000-0200-000006000000}">
          <x14:formula1>
            <xm:f>Lists!$F$5:$F$10</xm:f>
          </x14:formula1>
          <x14:formula2>
            <xm:f>0</xm:f>
          </x14:formula2>
          <xm:sqref>X5:X503</xm:sqref>
        </x14:dataValidation>
        <x14:dataValidation type="list" allowBlank="1" xr:uid="{00000000-0002-0000-0200-000007000000}">
          <x14:formula1>
            <xm:f>Lists!$K$5:$K$7</xm:f>
          </x14:formula1>
          <x14:formula2>
            <xm:f>0</xm:f>
          </x14:formula2>
          <xm:sqref>AA5:AA503</xm:sqref>
        </x14:dataValidation>
        <x14:dataValidation type="list" allowBlank="1" xr:uid="{00000000-0002-0000-0200-000008000000}">
          <x14:formula1>
            <xm:f>Lists!$H$5:$H$8</xm:f>
          </x14:formula1>
          <x14:formula2>
            <xm:f>0</xm:f>
          </x14:formula2>
          <xm:sqref>AL5:AL503</xm:sqref>
        </x14:dataValidation>
        <x14:dataValidation type="list" allowBlank="1" xr:uid="{00000000-0002-0000-0200-000009000000}">
          <x14:formula1>
            <xm:f>Lists!$J$5:$J$6</xm:f>
          </x14:formula1>
          <x14:formula2>
            <xm:f>0</xm:f>
          </x14:formula2>
          <xm:sqref>BA5:BB503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Bordereaux'!$D$5:$D$503,"Bound*",'UW Bordereaux'!$AD$5:$AD$503)</f>
      </c>
    </row>
    <row r="6" spans="1:7" ht="15" customHeight="1" x14ac:dyDescent="0.25">
      <c r="B6" s="23" t="s">
        <v>264</v>
      </c>
      <c r="C6" s="52">
        <f>-SUMIF('UW Bordereaux'!$D$5:$D$503,"Bound*",'UW Bordereaux'!$AN$5:$AN$503)</f>
      </c>
    </row>
    <row r="7" spans="1:7" ht="15" customHeight="1" x14ac:dyDescent="0.25">
      <c r="B7" s="25" t="s">
        <v>265</v>
      </c>
      <c r="C7" s="22">
        <f>SUMIF('UW Bordereaux'!$D$5:$D$503,"Bound*",'UW Bordereaux'!$AQ$5:$AQ$503)</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Bordereaux'!$D$5:$D$503,"Bound*",'UW Bordereaux'!$AE$5:$AE$503)</f>
      </c>
    </row>
    <row r="11" spans="1:7" ht="15" customHeight="1" x14ac:dyDescent="0.25">
      <c r="B11" s="23" t="s">
        <v>105</v>
      </c>
      <c r="C11" s="52">
        <f>SUMIF('UW Bordereaux'!$D$5:$D$503,"Bound*",'UW Bordereaux'!$AH$5:$AH$503)</f>
      </c>
    </row>
    <row r="12" spans="1:7" ht="15" customHeight="1" x14ac:dyDescent="0.25">
      <c r="B12" s="25" t="s">
        <v>268</v>
      </c>
      <c r="C12" s="22">
        <f>SUMIF('UW Bordereaux'!$D$5:$D$503,"Bound*",'UW Bordereaux'!$AI$5:$AI$503)</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Bordereaux'!$D$5:$D$503,"Bound*",'UW Bordereaux'!$AD$5:$AD$503)*Header!$D$24</f>
      </c>
    </row>
    <row r="16" spans="1:7" ht="15" customHeight="1" x14ac:dyDescent="0.25">
      <c r="B16" s="23" t="s">
        <v>271</v>
      </c>
      <c r="C16" s="52">
        <f>SUMIF('UW Bordereaux'!$D$5:$D$503,"Bound*",'UW Bordereaux'!$AD$5:$AD$503)*Header!$D$34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Bordereaux'!$D$5:$D$503,"Bound*",'UW Bordereaux'!$A$5:$A$503,"")=0,"PASS","FAIL — "&amp;COUNTIFS('UW Bordereaux'!$D$5:$D$503,"Bound*",'UW Bordereaux'!$A$5:$A$503,"")&amp;" bound risks missing certificate")</f>
      </c>
      <c r="D20" s="76"/>
      <c r="E20" s="76"/>
      <c r="F20" s="78"/>
      <c r="G20" s="78"/>
    </row>
    <row r="21" spans="2:7" ht="25.5" customHeight="1" x14ac:dyDescent="0.25">
      <c r="B21" s="56" t="s">
        <v>276</v>
      </c>
      <c r="C21" s="75" t="str">
        <f>IF(SUMPRODUCT((LEN('UW Bordereaux'!$A$5:$A$503)&gt;0)*(LEN('UW Bordereaux'!$D$5:$D$503)=0))=0,"PASS","FAIL — "&amp;SUMPRODUCT((LEN('UW Bordereaux'!$A$5:$A$503)&gt;0)*(LEN('UW Bordereaux'!$D$5:$D$503)=0))&amp;" rows missing status")</f>
      </c>
      <c r="D21" s="75"/>
      <c r="E21" s="75"/>
      <c r="F21" s="79"/>
      <c r="G21" s="79"/>
    </row>
    <row r="22" spans="2:7" ht="25.5" customHeight="1" x14ac:dyDescent="0.25">
      <c r="B22" s="55" t="s">
        <v>277</v>
      </c>
      <c r="C22" s="76" t="str">
        <f>IF(COUNTIFS('UW Bordereaux'!$D$5:$D$503,"Bound*",'UW Bordereaux'!$C$5:$C$503,"")=0,"PASS","FAIL — "&amp;COUNTIFS('UW Bordereaux'!$D$5:$D$503,"Bound*",'UW Bordereaux'!$C$5:$C$503,"")&amp;" bound risks missing effective date")</f>
      </c>
      <c r="D22" s="76"/>
      <c r="E22" s="76"/>
      <c r="F22" s="78"/>
      <c r="G22" s="78"/>
    </row>
    <row r="23" spans="2:7" ht="25.5" customHeight="1" x14ac:dyDescent="0.25">
      <c r="B23" s="56" t="s">
        <v>278</v>
      </c>
      <c r="C23" s="75" t="str">
        <f>IF(COUNTIFS('UW Bordereaux'!$D$5:$D$503,"Bound*",'UW Bordereaux'!$AB$5:$AB$503,"")=0,"PASS","FAIL — "&amp;COUNTIFS('UW Bordereaux'!$D$5:$D$503,"Bound*",'UW Bordereaux'!$AB$5:$AB$503,"")&amp;" bound risks missing technical premium")</f>
      </c>
      <c r="D23" s="75"/>
      <c r="E23" s="75"/>
      <c r="F23" s="79"/>
      <c r="G23" s="79"/>
    </row>
    <row r="24" spans="2:7" ht="25.5" customHeight="1" x14ac:dyDescent="0.25">
      <c r="B24" s="55" t="s">
        <v>279</v>
      </c>
      <c r="C24" s="76" t="str">
        <f>IF(COUNTIFS('UW Bordereaux'!$D$5:$D$503,"Bound*",'UW Bordereaux'!$AF$5:$AF$503,"")=0,"PASS","FAIL — "&amp;COUNTIFS('UW Bordereaux'!$D$5:$D$503,"Bound*",'UW Bordereaux'!$AF$5:$AF$503,"")&amp;" bound risks missing SL tax rate")</f>
      </c>
      <c r="D24" s="76"/>
      <c r="E24" s="76"/>
      <c r="F24" s="78" t="s">
        <v>280</v>
      </c>
      <c r="G24" s="78"/>
    </row>
    <row r="25" spans="2:7" ht="25.5" customHeight="1" x14ac:dyDescent="0.25">
      <c r="B25" s="56" t="s">
        <v>281</v>
      </c>
      <c r="C25" s="75" t="str">
        <f>IF(SUMPRODUCT(('UW Bordereaux'!$M$5:$M$503&lt;0)*('UW Bordereaux'!$A$5:$A$503&lt;&gt;""))=0,"PASS","FAIL — negative agreed value detected")</f>
      </c>
      <c r="D25" s="75"/>
      <c r="E25" s="75"/>
      <c r="F25" s="79"/>
      <c r="G25" s="79"/>
    </row>
    <row r="26" spans="2:7" ht="25.5" customHeight="1" x14ac:dyDescent="0.25">
      <c r="B26" s="55" t="s">
        <v>282</v>
      </c>
      <c r="C26" s="76" t="str">
        <f>IF(SUMPRODUCT(('UW Bordereaux'!$M$5:$M$503&lt;100000)*('UW Bordereaux'!$M$5:$M$503&gt;0)*('UW Bordereaux'!$A$5:$A$503&lt;&gt;""))=0,"PASS","FAIL — "&amp;SUMPRODUCT(('UW Bordereaux'!$M$5:$M$503&lt;100000)*('UW Bordereaux'!$M$5:$M$503&gt;0)*('UW Bordereaux'!$A$5:$A$503&lt;&gt;""))&amp;"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Bordereaux'!$AJ$5:$AJ$503,"&lt;0.85",'UW Bordereaux'!$D$5:$D$503,"Bound*")=0,"PASS","WARN — "&amp;COUNTIFS('UW Bordereaux'!$AJ$5:$AJ$503,"&lt;0.85",'UW Bordereaux'!$D$5:$D$503,"Bound*")&amp;" risks below 85% rate adequacy")</f>
      </c>
      <c r="D28" s="76"/>
      <c r="E28" s="76"/>
      <c r="F28" s="78" t="s">
        <v>285</v>
      </c>
      <c r="G28" s="78"/>
    </row>
    <row r="29" spans="2:7" ht="25.5" customHeight="1" x14ac:dyDescent="0.25">
      <c r="B29" s="56" t="s">
        <v>286</v>
      </c>
      <c r="C29" s="75" t="str">
        <f>COUNTIFS('UW Bordereaux'!$M$5:$M$503,"&gt;="&amp;Header!$C$18,'UW Bordereaux'!$D$5:$D$503,"Bound*")&amp;" risk(s) at or above $2m AV — confirm individual referral is on file"</f>
      </c>
      <c r="D29" s="75"/>
      <c r="E29" s="75"/>
      <c r="F29" s="79"/>
      <c r="G29" s="79"/>
    </row>
    <row r="30" spans="2:7" ht="25.5" customHeight="1" x14ac:dyDescent="0.25">
      <c r="B30" s="55" t="s">
        <v>287</v>
      </c>
      <c r="C30" s="76" t="str">
        <f>COUNTIF('UW Bordereaux'!$AK$5:$AK$503,"BEYOND AUTHORITY")&amp;" risk(s) — confirm approval is on file in the Referral Log"</f>
      </c>
      <c r="D30" s="76"/>
      <c r="E30" s="76"/>
      <c r="F30" s="78"/>
      <c r="G30" s="78"/>
    </row>
    <row r="31" spans="2:7" ht="25.5" customHeight="1" x14ac:dyDescent="0.25">
      <c r="B31" s="56" t="s">
        <v>288</v>
      </c>
      <c r="C31" s="75" t="str">
        <f>IF(COUNTIF('UW Bordereaux'!$AW$5:$AW$503,"FAIL*")=0,"PASS — all mandatory fields complete","FAIL — "&amp;COUNTIF('UW Bordereaux'!$AW$5:$AW$503,"FAIL*")&amp;" rows with missing mandatory fields")</f>
      </c>
      <c r="D31" s="75"/>
      <c r="E31" s="75"/>
      <c r="F31" s="79" t="s">
        <v>289</v>
      </c>
      <c r="G31" s="79"/>
    </row>
    <row r="33" spans="2:7" ht="25.5" customHeight="1" x14ac:dyDescent="0.25">
      <c r="B33" s="57" t="s">
        <v>290</v>
      </c>
      <c r="C33" s="76" t="str">
        <f>IF(COUNTIF('UW Bordereaux'!$BE$5:$BE$503,"FAIL*")=0,"PASS","FAIL - "&amp;COUNTIF('UW Bordereaux'!$BE$5:$BE$503,"FAIL*")&amp;" rows where vehicle year falls outside its class era")</f>
      </c>
      <c r="D33" s="76"/>
      <c r="E33" s="76"/>
    </row>
    <row r="34" spans="2:7" ht="25.5" customHeight="1" x14ac:dyDescent="0.25">
      <c r="B34" s="56" t="s">
        <v>291</v>
      </c>
      <c r="C34" s="75" t="str">
        <f>IF(COUNTIF('UW Bordereaux'!$BF$5:$BF$503,"FAIL*")=0,"PASS - all rows foot to the cent","FAIL - "&amp;COUNTIF('UW Bordereaux'!$BF$5:$BF$503,"FAIL*")&amp;"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Bordereaux'!$D$5:$D$503,"Bound*",'UW Bordereaux'!$AD$5:$AD$503)</f>
      </c>
    </row>
    <row r="41" spans="2:7" x14ac:dyDescent="0.25">
      <c r="B41" s="55" t="s">
        <v>296</v>
      </c>
      <c r="C41" s="59">
        <f>SUMIF('UW Bordereaux'!$D$5:$D$503,"Bound*",'UW Bordereaux'!$AO$5:$AO$503)</f>
      </c>
    </row>
    <row r="42" spans="2:7" x14ac:dyDescent="0.25">
      <c r="B42" s="55" t="s">
        <v>297</v>
      </c>
      <c r="C42" s="59">
        <f>SUMIF('UW Bordereaux'!$D$5:$D$503,"Bound*",'UW Bordereaux'!$AP$5:$AP$503)</f>
      </c>
    </row>
    <row r="43" spans="2:7" x14ac:dyDescent="0.25">
      <c r="B43" s="55" t="s">
        <v>298</v>
      </c>
      <c r="C43" s="59">
        <f>SUMIF('UW Bordereaux'!$D$5:$D$503,"Bound*",'UW Bordereaux'!$AQ$5:$AQ$503)</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