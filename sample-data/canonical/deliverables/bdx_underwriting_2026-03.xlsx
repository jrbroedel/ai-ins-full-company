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Bordereau!$A$4:$AB$588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<sst xmlns="http://schemas.openxmlformats.org/spreadsheetml/2006/main" count="5327" uniqueCount="1746">
  <si>
    <t xml:space="preserve">Underwriting BDX — 2026-03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</si>
  <si>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</si>
  <si>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</si>
  <si>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(584 policies incepting 2026-03).</t>
  </si>
  <si>
    <t xml:space="preserve">Gross written premium</t>
  </si>
  <si>
    <t xml:space="preserve">$5,156,741.06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</si>
  <si>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</si>
  <si>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</si>
  <si>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</si>
  <si>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rater_sample_2026-03.xlsx (its GWP == that policy's Bordereau row).</t>
  </si>
  <si>
    <t xml:space="preserve">Underwriting Bordereau — 2026-03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</si>
  <si>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</si>
  <si>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</si>
  <si>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</si>
  <si>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</si>
  <si>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</si>
  <si>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</si>
  <si>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</si>
  <si>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</si>
  <si>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</si>
  <si>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</si>
  <si>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</si>
  <si>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</si>
  <si>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</si>
  <si>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</si>
  <si>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</si>
  <si>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</si>
  <si>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</si>
  <si>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</si>
  <si>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</si>
  <si>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</si>
  <si>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</si>
  <si>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</si>
  <si>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</si>
  <si>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</si>
  <si>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</si>
  <si>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</si>
  <si>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</si>
  <si>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</si>
  <si>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</si>
  <si>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CANON-202603-004456</t>
  </si>
  <si>
    <t xml:space="preserve">Ottilie Merriweather</t>
  </si>
  <si>
    <t xml:space="preserve">2026-03-12</t>
  </si>
  <si>
    <t xml:space="preserve">2027-03-12</t>
  </si>
  <si>
    <t xml:space="preserve">Ferrari</t>
  </si>
  <si>
    <t xml:space="preserve">SF90 Stradale</t>
  </si>
  <si>
    <t xml:space="preserve">XHSTS6RF28Z2LNHRS</t>
  </si>
  <si>
    <t xml:space="preserve">03 - Supercar</t>
  </si>
  <si>
    <t xml:space="preserve">Maryland</t>
  </si>
  <si>
    <t xml:space="preserve">CANON-202603-004457</t>
  </si>
  <si>
    <t xml:space="preserve">Mireille Bellandi</t>
  </si>
  <si>
    <t xml:space="preserve">2026-03-28</t>
  </si>
  <si>
    <t xml:space="preserve">2027-03-28</t>
  </si>
  <si>
    <t xml:space="preserve">Porsche</t>
  </si>
  <si>
    <t xml:space="preserve">911 Turbo S</t>
  </si>
  <si>
    <t xml:space="preserve">DK86SR9SCSUKJM5K4</t>
  </si>
  <si>
    <t xml:space="preserve">02 - Sports / GT</t>
  </si>
  <si>
    <t xml:space="preserve">Alabama</t>
  </si>
  <si>
    <t xml:space="preserve">CANON-202603-004459</t>
  </si>
  <si>
    <t xml:space="preserve">Thaddeus Bellandi</t>
  </si>
  <si>
    <t xml:space="preserve">2026-03-18</t>
  </si>
  <si>
    <t xml:space="preserve">2027-03-18</t>
  </si>
  <si>
    <t xml:space="preserve">Mercedes-Benz</t>
  </si>
  <si>
    <t xml:space="preserve">AMG GT</t>
  </si>
  <si>
    <t xml:space="preserve">53PK9FW98WHAN3B5V</t>
  </si>
  <si>
    <t xml:space="preserve">Indiana</t>
  </si>
  <si>
    <t xml:space="preserve">CANON-202603-004460</t>
  </si>
  <si>
    <t xml:space="preserve">Fenwick Ashcombe</t>
  </si>
  <si>
    <t xml:space="preserve">2026-03-01</t>
  </si>
  <si>
    <t xml:space="preserve">2027-03-01</t>
  </si>
  <si>
    <t xml:space="preserve">UVD0VJJY4YUKK7WY5</t>
  </si>
  <si>
    <t xml:space="preserve">Pennsylvania</t>
  </si>
  <si>
    <t xml:space="preserve">CANON-202603-004464</t>
  </si>
  <si>
    <t xml:space="preserve">Marisol Okonkwo</t>
  </si>
  <si>
    <t xml:space="preserve">2026-03-03</t>
  </si>
  <si>
    <t xml:space="preserve">2027-03-03</t>
  </si>
  <si>
    <t xml:space="preserve">275 GTB/4</t>
  </si>
  <si>
    <t xml:space="preserve">T58YHZ8W77PT3S0A1</t>
  </si>
  <si>
    <t xml:space="preserve">07 - Post-War Classic (1946-1972)</t>
  </si>
  <si>
    <t xml:space="preserve">CANON-202603-004466</t>
  </si>
  <si>
    <t xml:space="preserve">Cassius Vandermeer</t>
  </si>
  <si>
    <t xml:space="preserve">2026-03-15</t>
  </si>
  <si>
    <t xml:space="preserve">2027-03-15</t>
  </si>
  <si>
    <t xml:space="preserve">BMW</t>
  </si>
  <si>
    <t xml:space="preserve">M8 Competition</t>
  </si>
  <si>
    <t xml:space="preserve">Y2NVT4E7KJ3JV6N95</t>
  </si>
  <si>
    <t xml:space="preserve">California</t>
  </si>
  <si>
    <t xml:space="preserve">CANON-202603-004468</t>
  </si>
  <si>
    <t xml:space="preserve">Callum Okonkwo</t>
  </si>
  <si>
    <t xml:space="preserve">HDVDN2A34149W2TTP</t>
  </si>
  <si>
    <t xml:space="preserve">New York</t>
  </si>
  <si>
    <t xml:space="preserve">CANON-202603-004469</t>
  </si>
  <si>
    <t xml:space="preserve">Marisol Farkas</t>
  </si>
  <si>
    <t xml:space="preserve">2026-03-04</t>
  </si>
  <si>
    <t xml:space="preserve">2027-03-04</t>
  </si>
  <si>
    <t xml:space="preserve">Lamborghini</t>
  </si>
  <si>
    <t xml:space="preserve">Huracan EVO</t>
  </si>
  <si>
    <t xml:space="preserve">TX6ZF639ZMS2EWFKR</t>
  </si>
  <si>
    <t xml:space="preserve">Delaware</t>
  </si>
  <si>
    <t xml:space="preserve">CANON-202603-004470</t>
  </si>
  <si>
    <t xml:space="preserve">Ottilie Fairweather</t>
  </si>
  <si>
    <t xml:space="preserve">2026-03-21</t>
  </si>
  <si>
    <t xml:space="preserve">2027-03-21</t>
  </si>
  <si>
    <t xml:space="preserve">T7RCC0R45Z7YP74G1</t>
  </si>
  <si>
    <t xml:space="preserve">New Hampshire</t>
  </si>
  <si>
    <t xml:space="preserve">CANON-202603-004471</t>
  </si>
  <si>
    <t xml:space="preserve">Priya Montoya</t>
  </si>
  <si>
    <t xml:space="preserve">Bentley</t>
  </si>
  <si>
    <t xml:space="preserve">4.5 Litre</t>
  </si>
  <si>
    <t xml:space="preserve">3NHVB9PJGPV97Z7KY</t>
  </si>
  <si>
    <t xml:space="preserve">06 - Vintage Pre-War (pre-1946)</t>
  </si>
  <si>
    <t xml:space="preserve">Tennessee</t>
  </si>
  <si>
    <t xml:space="preserve">CANON-202603-004472</t>
  </si>
  <si>
    <t xml:space="preserve">Aurelio Chattopadhyay</t>
  </si>
  <si>
    <t xml:space="preserve">2026-03-22</t>
  </si>
  <si>
    <t xml:space="preserve">2027-03-22</t>
  </si>
  <si>
    <t xml:space="preserve">Ringbrothers</t>
  </si>
  <si>
    <t xml:space="preserve">Mustang</t>
  </si>
  <si>
    <t xml:space="preserve">AZGSDYBY6LTJ4MVSG</t>
  </si>
  <si>
    <t xml:space="preserve">11 - Restomod / Coachbuilt / Bespoke</t>
  </si>
  <si>
    <t xml:space="preserve">CANON-202603-004473</t>
  </si>
  <si>
    <t xml:space="preserve">Saoirse Ashcombe</t>
  </si>
  <si>
    <t xml:space="preserve">Maserati</t>
  </si>
  <si>
    <t xml:space="preserve">GranTurismo</t>
  </si>
  <si>
    <t xml:space="preserve">TLWSN12F7DV6UY5N5</t>
  </si>
  <si>
    <t xml:space="preserve">Illinois</t>
  </si>
  <si>
    <t xml:space="preserve">CANON-202603-004474</t>
  </si>
  <si>
    <t xml:space="preserve">Cassius Larsson</t>
  </si>
  <si>
    <t xml:space="preserve">2026-03-13</t>
  </si>
  <si>
    <t xml:space="preserve">2027-03-13</t>
  </si>
  <si>
    <t xml:space="preserve">7MB4YVTJ7TJ8Y37W6</t>
  </si>
  <si>
    <t xml:space="preserve">Hawaii</t>
  </si>
  <si>
    <t xml:space="preserve">CANON-202603-004475</t>
  </si>
  <si>
    <t xml:space="preserve">Callum Farkas</t>
  </si>
  <si>
    <t xml:space="preserve">Continental GT</t>
  </si>
  <si>
    <t xml:space="preserve">VUXRZBVFYURDSCRE9</t>
  </si>
  <si>
    <t xml:space="preserve">Michigan</t>
  </si>
  <si>
    <t xml:space="preserve">CANON-202603-004476</t>
  </si>
  <si>
    <t xml:space="preserve">Thaddeus Ashcombe</t>
  </si>
  <si>
    <t xml:space="preserve">2026-03-31</t>
  </si>
  <si>
    <t xml:space="preserve">2027-03-31</t>
  </si>
  <si>
    <t xml:space="preserve">HP5CZ6ZYJJKC8CNZM</t>
  </si>
  <si>
    <t xml:space="preserve">Florida</t>
  </si>
  <si>
    <t xml:space="preserve">CANON-202603-004477</t>
  </si>
  <si>
    <t xml:space="preserve">Fitzgerald Vandermeer</t>
  </si>
  <si>
    <t xml:space="preserve">2026-03-27</t>
  </si>
  <si>
    <t xml:space="preserve">2027-03-27</t>
  </si>
  <si>
    <t xml:space="preserve">Icon</t>
  </si>
  <si>
    <t xml:space="preserve">Derelict</t>
  </si>
  <si>
    <t xml:space="preserve">Z9MA6GXXHYL44GN70</t>
  </si>
  <si>
    <t xml:space="preserve">Vermont</t>
  </si>
  <si>
    <t xml:space="preserve">CANON-202603-004480</t>
  </si>
  <si>
    <t xml:space="preserve">Everett Ashcombe</t>
  </si>
  <si>
    <t xml:space="preserve">2026-03-20</t>
  </si>
  <si>
    <t xml:space="preserve">2027-03-20</t>
  </si>
  <si>
    <t xml:space="preserve">Aston Martin</t>
  </si>
  <si>
    <t xml:space="preserve">DB5</t>
  </si>
  <si>
    <t xml:space="preserve">1Y0SDVSRUH8S8VDH9</t>
  </si>
  <si>
    <t xml:space="preserve">Idaho</t>
  </si>
  <si>
    <t xml:space="preserve">CANON-202603-004481</t>
  </si>
  <si>
    <t xml:space="preserve">Horace Vasquez</t>
  </si>
  <si>
    <t xml:space="preserve">2026-03-08</t>
  </si>
  <si>
    <t xml:space="preserve">2027-03-08</t>
  </si>
  <si>
    <t xml:space="preserve">G1L636U4BTGDJ8VY9</t>
  </si>
  <si>
    <t xml:space="preserve">North Dakota</t>
  </si>
  <si>
    <t xml:space="preserve">CANON-202603-004482</t>
  </si>
  <si>
    <t xml:space="preserve">Leopold Underwood</t>
  </si>
  <si>
    <t xml:space="preserve">1E79FAHKEVHH1WE1H</t>
  </si>
  <si>
    <t xml:space="preserve">Washington</t>
  </si>
  <si>
    <t xml:space="preserve">CANON-202603-004484</t>
  </si>
  <si>
    <t xml:space="preserve">Mireille Vasquez</t>
  </si>
  <si>
    <t xml:space="preserve">2026-03-26</t>
  </si>
  <si>
    <t xml:space="preserve">2027-03-26</t>
  </si>
  <si>
    <t xml:space="preserve">PR38E38YGT7H6WKYH</t>
  </si>
  <si>
    <t xml:space="preserve">Montana</t>
  </si>
  <si>
    <t xml:space="preserve">CANON-202603-004485</t>
  </si>
  <si>
    <t xml:space="preserve">Priya Castellanos</t>
  </si>
  <si>
    <t xml:space="preserve">2026-03-23</t>
  </si>
  <si>
    <t xml:space="preserve">2027-03-23</t>
  </si>
  <si>
    <t xml:space="preserve">2JCK771XJRLV5T5YK</t>
  </si>
  <si>
    <t xml:space="preserve">Arkansas</t>
  </si>
  <si>
    <t xml:space="preserve">CANON-202603-004486</t>
  </si>
  <si>
    <t xml:space="preserve">Thaddeus Montoya</t>
  </si>
  <si>
    <t xml:space="preserve">2026-03-24</t>
  </si>
  <si>
    <t xml:space="preserve">2027-03-24</t>
  </si>
  <si>
    <t xml:space="preserve">9UJJ68XZZVJ67L6VL</t>
  </si>
  <si>
    <t xml:space="preserve">Utah</t>
  </si>
  <si>
    <t xml:space="preserve">CANON-202603-004487</t>
  </si>
  <si>
    <t xml:space="preserve">Delphine Farkas</t>
  </si>
  <si>
    <t xml:space="preserve">2026-03-05</t>
  </si>
  <si>
    <t xml:space="preserve">2027-03-05</t>
  </si>
  <si>
    <t xml:space="preserve">DB12</t>
  </si>
  <si>
    <t xml:space="preserve">U8WWXM1REXDCA8MWH</t>
  </si>
  <si>
    <t xml:space="preserve">CANON-202603-004488</t>
  </si>
  <si>
    <t xml:space="preserve">Horace Vandermeer</t>
  </si>
  <si>
    <t xml:space="preserve">McLaren</t>
  </si>
  <si>
    <t xml:space="preserve">750S</t>
  </si>
  <si>
    <t xml:space="preserve">2S308SWB8JS17A511</t>
  </si>
  <si>
    <t xml:space="preserve">Kentucky</t>
  </si>
  <si>
    <t xml:space="preserve">CANON-202603-004489</t>
  </si>
  <si>
    <t xml:space="preserve">Saoirse Pennington</t>
  </si>
  <si>
    <t xml:space="preserve">HHKS3AYK0WKRYWDKF</t>
  </si>
  <si>
    <t xml:space="preserve">CANON-202603-004490</t>
  </si>
  <si>
    <t xml:space="preserve">Horace Ashcombe</t>
  </si>
  <si>
    <t xml:space="preserve">A6JNW5AZU0K679E4C</t>
  </si>
  <si>
    <t xml:space="preserve">Arizona</t>
  </si>
  <si>
    <t xml:space="preserve">CANON-202603-004491</t>
  </si>
  <si>
    <t xml:space="preserve">Ingrid Whitlock</t>
  </si>
  <si>
    <t xml:space="preserve">2026-03-06</t>
  </si>
  <si>
    <t xml:space="preserve">2027-03-06</t>
  </si>
  <si>
    <t xml:space="preserve">Singer</t>
  </si>
  <si>
    <t xml:space="preserve">911 Reimagined</t>
  </si>
  <si>
    <t xml:space="preserve">WNFVNUSE9EE378MPK</t>
  </si>
  <si>
    <t xml:space="preserve">Rhode Island</t>
  </si>
  <si>
    <t xml:space="preserve">CANON-202603-004493</t>
  </si>
  <si>
    <t xml:space="preserve">Saoirse Vandermeer</t>
  </si>
  <si>
    <t xml:space="preserve">BF3B49VWU43H4ACHX</t>
  </si>
  <si>
    <t xml:space="preserve">CANON-202603-004494</t>
  </si>
  <si>
    <t xml:space="preserve">Emiliano Bellandi</t>
  </si>
  <si>
    <t xml:space="preserve">2026-03-10</t>
  </si>
  <si>
    <t xml:space="preserve">2027-03-10</t>
  </si>
  <si>
    <t xml:space="preserve">FLZ7X94AF4PCTNETX</t>
  </si>
  <si>
    <t xml:space="preserve">Nevada</t>
  </si>
  <si>
    <t xml:space="preserve">CANON-202603-004495</t>
  </si>
  <si>
    <t xml:space="preserve">Ottilie Okonkwo</t>
  </si>
  <si>
    <t xml:space="preserve">Jaguar</t>
  </si>
  <si>
    <t xml:space="preserve">E-Type Series 1</t>
  </si>
  <si>
    <t xml:space="preserve">BZUZ1S484MN0UXCZM</t>
  </si>
  <si>
    <t xml:space="preserve">Ohio</t>
  </si>
  <si>
    <t xml:space="preserve">CANON-202603-004496</t>
  </si>
  <si>
    <t xml:space="preserve">Ottilie Blackwood</t>
  </si>
  <si>
    <t xml:space="preserve">AFPL91Z8NE1NEJ0ZV</t>
  </si>
  <si>
    <t xml:space="preserve">Iowa</t>
  </si>
  <si>
    <t xml:space="preserve">CANON-202603-004497</t>
  </si>
  <si>
    <t xml:space="preserve">Cassius Castellanos</t>
  </si>
  <si>
    <t xml:space="preserve">7YJU9S8XHDPHTY0RB</t>
  </si>
  <si>
    <t xml:space="preserve">CANON-202603-004498</t>
  </si>
  <si>
    <t xml:space="preserve">Lorenzo Merriweather</t>
  </si>
  <si>
    <t xml:space="preserve">2026-03-14</t>
  </si>
  <si>
    <t xml:space="preserve">2027-03-14</t>
  </si>
  <si>
    <t xml:space="preserve">296 GTB</t>
  </si>
  <si>
    <t xml:space="preserve">EKJG6HAR5658KDP30</t>
  </si>
  <si>
    <t xml:space="preserve">CANON-202603-004500</t>
  </si>
  <si>
    <t xml:space="preserve">Saoirse Whitlock</t>
  </si>
  <si>
    <t xml:space="preserve">8W30RDSEMMY7LC98R</t>
  </si>
  <si>
    <t xml:space="preserve">CANON-202603-004501</t>
  </si>
  <si>
    <t xml:space="preserve">2026-03-11</t>
  </si>
  <si>
    <t xml:space="preserve">2027-03-11</t>
  </si>
  <si>
    <t xml:space="preserve">DCB5XY8H6XD9FSMEE</t>
  </si>
  <si>
    <t xml:space="preserve">Alaska</t>
  </si>
  <si>
    <t xml:space="preserve">CANON-202603-004502</t>
  </si>
  <si>
    <t xml:space="preserve">Wilhelmina Rourke</t>
  </si>
  <si>
    <t xml:space="preserve">2026-03-25</t>
  </si>
  <si>
    <t xml:space="preserve">2027-03-25</t>
  </si>
  <si>
    <t xml:space="preserve">VUXYZBDZ8TESRHYU6</t>
  </si>
  <si>
    <t xml:space="preserve">CANON-202603-004503</t>
  </si>
  <si>
    <t xml:space="preserve">Saoirse Blackwood</t>
  </si>
  <si>
    <t xml:space="preserve">60NHFVH9KLUFUVYPS</t>
  </si>
  <si>
    <t xml:space="preserve">Missouri</t>
  </si>
  <si>
    <t xml:space="preserve">CANON-202603-004504</t>
  </si>
  <si>
    <t xml:space="preserve">Emiliano Whitlock</t>
  </si>
  <si>
    <t xml:space="preserve">2026-03-30</t>
  </si>
  <si>
    <t xml:space="preserve">2027-03-30</t>
  </si>
  <si>
    <t xml:space="preserve">XNAG8AS1LNC6DELJ4</t>
  </si>
  <si>
    <t xml:space="preserve">Wisconsin</t>
  </si>
  <si>
    <t xml:space="preserve">CANON-202603-004505</t>
  </si>
  <si>
    <t xml:space="preserve">Wilhelmina Fairweather</t>
  </si>
  <si>
    <t xml:space="preserve">2026-03-17</t>
  </si>
  <si>
    <t xml:space="preserve">2027-03-17</t>
  </si>
  <si>
    <t xml:space="preserve">ZDL0S91MGR6N38N2F</t>
  </si>
  <si>
    <t xml:space="preserve">CANON-202603-004507</t>
  </si>
  <si>
    <t xml:space="preserve">Ottilie Montoya</t>
  </si>
  <si>
    <t xml:space="preserve">2026-03-02</t>
  </si>
  <si>
    <t xml:space="preserve">2027-03-02</t>
  </si>
  <si>
    <t xml:space="preserve">XNAYPB50ETU0HP2N3</t>
  </si>
  <si>
    <t xml:space="preserve">Texas</t>
  </si>
  <si>
    <t xml:space="preserve">CANON-202603-004508</t>
  </si>
  <si>
    <t xml:space="preserve">1LHNUXKM6R088E5PZ</t>
  </si>
  <si>
    <t xml:space="preserve">Mississippi</t>
  </si>
  <si>
    <t xml:space="preserve">CANON-202603-004509</t>
  </si>
  <si>
    <t xml:space="preserve">Delphine Thistlewood</t>
  </si>
  <si>
    <t xml:space="preserve">9LP4W50PJFW1DVEWJ</t>
  </si>
  <si>
    <t xml:space="preserve">CANON-202603-004510</t>
  </si>
  <si>
    <t xml:space="preserve">Aurelio Underwood</t>
  </si>
  <si>
    <t xml:space="preserve">2026-03-07</t>
  </si>
  <si>
    <t xml:space="preserve">2027-03-07</t>
  </si>
  <si>
    <t xml:space="preserve">UM5KT5BR48R5TK9R5</t>
  </si>
  <si>
    <t xml:space="preserve">CANON-202603-004511</t>
  </si>
  <si>
    <t xml:space="preserve">Sunniva Okonkwo</t>
  </si>
  <si>
    <t xml:space="preserve">K8SEN3VS320RUP63B</t>
  </si>
  <si>
    <t xml:space="preserve">CANON-202603-004512</t>
  </si>
  <si>
    <t xml:space="preserve">BEZS05J4CWDCESU6H</t>
  </si>
  <si>
    <t xml:space="preserve">Wyoming</t>
  </si>
  <si>
    <t xml:space="preserve">CANON-202603-004513</t>
  </si>
  <si>
    <t xml:space="preserve">Leopold Rourke</t>
  </si>
  <si>
    <t xml:space="preserve">2026-03-29</t>
  </si>
  <si>
    <t xml:space="preserve">2027-03-29</t>
  </si>
  <si>
    <t xml:space="preserve">JRVGGE5UL5DGGCXSU</t>
  </si>
  <si>
    <t xml:space="preserve">CANON-202603-004514</t>
  </si>
  <si>
    <t xml:space="preserve">Marisol Pennington</t>
  </si>
  <si>
    <t xml:space="preserve">TYZSL00FG595ZJCXF</t>
  </si>
  <si>
    <t xml:space="preserve">New Jersey</t>
  </si>
  <si>
    <t xml:space="preserve">CANON-202603-004515</t>
  </si>
  <si>
    <t xml:space="preserve">Ramona Farkas</t>
  </si>
  <si>
    <t xml:space="preserve">2026-03-19</t>
  </si>
  <si>
    <t xml:space="preserve">2027-03-19</t>
  </si>
  <si>
    <t xml:space="preserve">JPTMLR1FBCPRAHT80</t>
  </si>
  <si>
    <t xml:space="preserve">South Dakota</t>
  </si>
  <si>
    <t xml:space="preserve">CANON-202603-004516</t>
  </si>
  <si>
    <t xml:space="preserve">Noor Chattopadhyay</t>
  </si>
  <si>
    <t xml:space="preserve">280SL Pagoda</t>
  </si>
  <si>
    <t xml:space="preserve">JM6E9NJ7HVGE461A9</t>
  </si>
  <si>
    <t xml:space="preserve">South Carolina</t>
  </si>
  <si>
    <t xml:space="preserve">CANON-202603-004519</t>
  </si>
  <si>
    <t xml:space="preserve">Callum Delacroix</t>
  </si>
  <si>
    <t xml:space="preserve">YF2GL5N96UFDZRBC4</t>
  </si>
  <si>
    <t xml:space="preserve">Maine</t>
  </si>
  <si>
    <t xml:space="preserve">CANON-202603-004520</t>
  </si>
  <si>
    <t xml:space="preserve">KBXPX0M4PJG1HHSEG</t>
  </si>
  <si>
    <t xml:space="preserve">CANON-202603-004521</t>
  </si>
  <si>
    <t xml:space="preserve">Delphine Montoya</t>
  </si>
  <si>
    <t xml:space="preserve">WXK14CMUSC51GX59R</t>
  </si>
  <si>
    <t xml:space="preserve">Massachusetts</t>
  </si>
  <si>
    <t xml:space="preserve">CANON-202603-004522</t>
  </si>
  <si>
    <t xml:space="preserve">DHXCDA3Z5G861A5TE</t>
  </si>
  <si>
    <t xml:space="preserve">CANON-202603-004523</t>
  </si>
  <si>
    <t xml:space="preserve">Horace Farkas</t>
  </si>
  <si>
    <t xml:space="preserve">ZPFZ2J36VFVMF0FAL</t>
  </si>
  <si>
    <t xml:space="preserve">CANON-202603-004524</t>
  </si>
  <si>
    <t xml:space="preserve">Noor Montoya</t>
  </si>
  <si>
    <t xml:space="preserve">2026-03-16</t>
  </si>
  <si>
    <t xml:space="preserve">2027-03-16</t>
  </si>
  <si>
    <t xml:space="preserve">XGXCNHRNFJXEZMTMJ</t>
  </si>
  <si>
    <t xml:space="preserve">CANON-202603-004525</t>
  </si>
  <si>
    <t xml:space="preserve">Wilhelmina Chattopadhyay</t>
  </si>
  <si>
    <t xml:space="preserve">PKVK8GE9KVV8N5XAR</t>
  </si>
  <si>
    <t xml:space="preserve">CANON-202603-004526</t>
  </si>
  <si>
    <t xml:space="preserve">Emiliano Kingsford</t>
  </si>
  <si>
    <t xml:space="preserve">CN8DZBMMR12EWEA14</t>
  </si>
  <si>
    <t xml:space="preserve">CANON-202603-004530</t>
  </si>
  <si>
    <t xml:space="preserve">Priya Merriweather</t>
  </si>
  <si>
    <t xml:space="preserve">S1DRC0KE9C8KW2B8T</t>
  </si>
  <si>
    <t xml:space="preserve">CANON-202603-004531</t>
  </si>
  <si>
    <t xml:space="preserve">Aurelio Vandermeer</t>
  </si>
  <si>
    <t xml:space="preserve">XXPN8K1LYNLT4FAE8</t>
  </si>
  <si>
    <t xml:space="preserve">CANON-202603-004535</t>
  </si>
  <si>
    <t xml:space="preserve">Leopold Larsson</t>
  </si>
  <si>
    <t xml:space="preserve">ZKWYG1WP7TW0CM8YS</t>
  </si>
  <si>
    <t xml:space="preserve">CANON-202603-004536</t>
  </si>
  <si>
    <t xml:space="preserve">Mireille Larsson</t>
  </si>
  <si>
    <t xml:space="preserve">6VFW3KAU6TH4TAH1R</t>
  </si>
  <si>
    <t xml:space="preserve">CANON-202603-004537</t>
  </si>
  <si>
    <t xml:space="preserve">Wilhelmina Delacroix</t>
  </si>
  <si>
    <t xml:space="preserve">2YL470MEP1XF9S9B1</t>
  </si>
  <si>
    <t xml:space="preserve">CANON-202603-004538</t>
  </si>
  <si>
    <t xml:space="preserve">Ingrid Ashcombe</t>
  </si>
  <si>
    <t xml:space="preserve">UMAM5LKFNHSEWCBA1</t>
  </si>
  <si>
    <t xml:space="preserve">CANON-202603-004539</t>
  </si>
  <si>
    <t xml:space="preserve">Noor Vandermeer</t>
  </si>
  <si>
    <t xml:space="preserve">GW6L87X5TR9ZF3J0A</t>
  </si>
  <si>
    <t xml:space="preserve">CANON-202603-004540</t>
  </si>
  <si>
    <t xml:space="preserve">Aurelio Bellandi</t>
  </si>
  <si>
    <t xml:space="preserve">VXMNSXRZWA9TD0NF5</t>
  </si>
  <si>
    <t xml:space="preserve">CANON-202603-004541</t>
  </si>
  <si>
    <t xml:space="preserve">Priya Ashcombe</t>
  </si>
  <si>
    <t xml:space="preserve">J5PTGWNZDC8ESXHMK</t>
  </si>
  <si>
    <t xml:space="preserve">CANON-202603-004545</t>
  </si>
  <si>
    <t xml:space="preserve">Wilhelmina Okonkwo</t>
  </si>
  <si>
    <t xml:space="preserve">ELK176FMTBVARSKUU</t>
  </si>
  <si>
    <t xml:space="preserve">CANON-202603-004547</t>
  </si>
  <si>
    <t xml:space="preserve">Anouk Castellanos</t>
  </si>
  <si>
    <t xml:space="preserve">B2S88CL1WCRUU8K9A</t>
  </si>
  <si>
    <t xml:space="preserve">CANON-202603-004548</t>
  </si>
  <si>
    <t xml:space="preserve">Ottilie Pennington</t>
  </si>
  <si>
    <t xml:space="preserve">NT9L2RHDAKL1AE4MN</t>
  </si>
  <si>
    <t xml:space="preserve">CANON-202603-004549</t>
  </si>
  <si>
    <t xml:space="preserve">Horace Fairweather</t>
  </si>
  <si>
    <t xml:space="preserve">TDFXSRBW12KE8T6M6</t>
  </si>
  <si>
    <t xml:space="preserve">CANON-202603-004550</t>
  </si>
  <si>
    <t xml:space="preserve">Beatrix Thistlewood</t>
  </si>
  <si>
    <t xml:space="preserve">3XWV38GCDS2WSG764</t>
  </si>
  <si>
    <t xml:space="preserve">CANON-202603-004551</t>
  </si>
  <si>
    <t xml:space="preserve">Noor Delacroix</t>
  </si>
  <si>
    <t xml:space="preserve">3VJPMKJ94ACECX93U</t>
  </si>
  <si>
    <t xml:space="preserve">CANON-202603-004555</t>
  </si>
  <si>
    <t xml:space="preserve">7XU4XA5H5ZXGCS9BZ</t>
  </si>
  <si>
    <t xml:space="preserve">CANON-202603-004556</t>
  </si>
  <si>
    <t xml:space="preserve">Saoirse Farkas</t>
  </si>
  <si>
    <t xml:space="preserve">H3M0VT94SM0ZBSERB</t>
  </si>
  <si>
    <t xml:space="preserve">CANON-202603-004557</t>
  </si>
  <si>
    <t xml:space="preserve">Mireille Okonkwo</t>
  </si>
  <si>
    <t xml:space="preserve">R9LFHEFTNYBPAZ16A</t>
  </si>
  <si>
    <t xml:space="preserve">CANON-202603-004558</t>
  </si>
  <si>
    <t xml:space="preserve">Desmond Pennington</t>
  </si>
  <si>
    <t xml:space="preserve">5AZVNHUVFRTHVMW7L</t>
  </si>
  <si>
    <t xml:space="preserve">CANON-202603-004559</t>
  </si>
  <si>
    <t xml:space="preserve">Lorenzo Rourke</t>
  </si>
  <si>
    <t xml:space="preserve">0447X2CGEZ6XL9B99</t>
  </si>
  <si>
    <t xml:space="preserve">New Mexico</t>
  </si>
  <si>
    <t xml:space="preserve">CANON-202603-004560</t>
  </si>
  <si>
    <t xml:space="preserve">Sunniva Nakashima</t>
  </si>
  <si>
    <t xml:space="preserve">UW2YVKXB9VECA16GZ</t>
  </si>
  <si>
    <t xml:space="preserve">CANON-202603-004561</t>
  </si>
  <si>
    <t xml:space="preserve">Anouk Whitlock</t>
  </si>
  <si>
    <t xml:space="preserve">RKFW7ZRZL74679TRL</t>
  </si>
  <si>
    <t xml:space="preserve">CANON-202603-004562</t>
  </si>
  <si>
    <t xml:space="preserve">Emiliano Larsson</t>
  </si>
  <si>
    <t xml:space="preserve">AY6G176MUWEXK2ES4</t>
  </si>
  <si>
    <t xml:space="preserve">CANON-202603-004565</t>
  </si>
  <si>
    <t xml:space="preserve">Aurelio Larsson</t>
  </si>
  <si>
    <t xml:space="preserve">PKTAUD21W5H9ENPVX</t>
  </si>
  <si>
    <t xml:space="preserve">CANON-202603-004566</t>
  </si>
  <si>
    <t xml:space="preserve">Desmond Farkas</t>
  </si>
  <si>
    <t xml:space="preserve">3D0N0MCRZ7CB5WYUM</t>
  </si>
  <si>
    <t xml:space="preserve">CANON-202603-004567</t>
  </si>
  <si>
    <t xml:space="preserve">Anouk Thistlewood</t>
  </si>
  <si>
    <t xml:space="preserve">5TP6VA4YJZ5TGUA14</t>
  </si>
  <si>
    <t xml:space="preserve">CANON-202603-004568</t>
  </si>
  <si>
    <t xml:space="preserve">Leopold Blackwood</t>
  </si>
  <si>
    <t xml:space="preserve">463NX5KZ63KBW1UPE</t>
  </si>
  <si>
    <t xml:space="preserve">CANON-202603-004570</t>
  </si>
  <si>
    <t xml:space="preserve">Ottilie Underwood</t>
  </si>
  <si>
    <t xml:space="preserve">7VVUPBFPN7PRBPYDX</t>
  </si>
  <si>
    <t xml:space="preserve">CANON-202603-004571</t>
  </si>
  <si>
    <t xml:space="preserve">Delphine Nakashima</t>
  </si>
  <si>
    <t xml:space="preserve">WU6PCK4YXGFZ0XSHP</t>
  </si>
  <si>
    <t xml:space="preserve">CANON-202603-004574</t>
  </si>
  <si>
    <t xml:space="preserve">Ramona Blackwood</t>
  </si>
  <si>
    <t xml:space="preserve">FH0EAE3JJCWRMBLXW</t>
  </si>
  <si>
    <t xml:space="preserve">CANON-202603-004575</t>
  </si>
  <si>
    <t xml:space="preserve">Thaddeus Delacroix</t>
  </si>
  <si>
    <t xml:space="preserve">ABRL3WMLWAUDFT6C8</t>
  </si>
  <si>
    <t xml:space="preserve">Kansas</t>
  </si>
  <si>
    <t xml:space="preserve">CANON-202603-004576</t>
  </si>
  <si>
    <t xml:space="preserve">Mireille Whitlock</t>
  </si>
  <si>
    <t xml:space="preserve">X153JNTFE25ZJPKFK</t>
  </si>
  <si>
    <t xml:space="preserve">North Carolina</t>
  </si>
  <si>
    <t xml:space="preserve">CANON-202603-004577</t>
  </si>
  <si>
    <t xml:space="preserve">Cassius Merriweather</t>
  </si>
  <si>
    <t xml:space="preserve">FDHPDKXDFM8DGG7JF</t>
  </si>
  <si>
    <t xml:space="preserve">CANON-202603-004580</t>
  </si>
  <si>
    <t xml:space="preserve">Anouk Ashcombe</t>
  </si>
  <si>
    <t xml:space="preserve">GUU2N8A3N5SCMHHEB</t>
  </si>
  <si>
    <t xml:space="preserve">CANON-202603-004581</t>
  </si>
  <si>
    <t xml:space="preserve">Lorenzo Okonkwo</t>
  </si>
  <si>
    <t xml:space="preserve">JK5ZM0FVZJC63T0FM</t>
  </si>
  <si>
    <t xml:space="preserve">CANON-202603-004582</t>
  </si>
  <si>
    <t xml:space="preserve">2L1F3MKJC1CATE25N</t>
  </si>
  <si>
    <t xml:space="preserve">CANON-202603-004583</t>
  </si>
  <si>
    <t xml:space="preserve">Marisol Blackwood</t>
  </si>
  <si>
    <t xml:space="preserve">5E5SSS08V5HE0L3C2</t>
  </si>
  <si>
    <t xml:space="preserve">CANON-202603-004585</t>
  </si>
  <si>
    <t xml:space="preserve">Marisol Vandermeer</t>
  </si>
  <si>
    <t xml:space="preserve">AD0XP7MUPTVBV1Z1A</t>
  </si>
  <si>
    <t xml:space="preserve">CANON-202603-004586</t>
  </si>
  <si>
    <t xml:space="preserve">Aurelio Harrington</t>
  </si>
  <si>
    <t xml:space="preserve">DSFY4VFYUR2Z3HV7C</t>
  </si>
  <si>
    <t xml:space="preserve">CANON-202603-004588</t>
  </si>
  <si>
    <t xml:space="preserve">Ingrid Farkas</t>
  </si>
  <si>
    <t xml:space="preserve">B0NS1GN2UPBC2GCCB</t>
  </si>
  <si>
    <t xml:space="preserve">CANON-202603-004589</t>
  </si>
  <si>
    <t xml:space="preserve">Wilhelmina Blackwood</t>
  </si>
  <si>
    <t xml:space="preserve">1V9TARRWP2MSW8RPJ</t>
  </si>
  <si>
    <t xml:space="preserve">CANON-202603-004591</t>
  </si>
  <si>
    <t xml:space="preserve">UTXKPE81R83F9HGBE</t>
  </si>
  <si>
    <t xml:space="preserve">West Virginia</t>
  </si>
  <si>
    <t xml:space="preserve">CANON-202603-004592</t>
  </si>
  <si>
    <t xml:space="preserve">Fitzgerald Merriweather</t>
  </si>
  <si>
    <t xml:space="preserve">7KC4KP94UTZCW4VEZ</t>
  </si>
  <si>
    <t xml:space="preserve">CANON-202603-004593</t>
  </si>
  <si>
    <t xml:space="preserve">Ottilie Harrington</t>
  </si>
  <si>
    <t xml:space="preserve">9SG7006E7XKAAD800</t>
  </si>
  <si>
    <t xml:space="preserve">CANON-202603-004595</t>
  </si>
  <si>
    <t xml:space="preserve">Desmond Okonkwo</t>
  </si>
  <si>
    <t xml:space="preserve">2H3W9M0EE6UFHL7YJ</t>
  </si>
  <si>
    <t xml:space="preserve">CANON-202603-004596</t>
  </si>
  <si>
    <t xml:space="preserve">Mireille Montoya</t>
  </si>
  <si>
    <t xml:space="preserve">Bugatti</t>
  </si>
  <si>
    <t xml:space="preserve">Type 57</t>
  </si>
  <si>
    <t xml:space="preserve">2CAM0HU7R0UZ6Z5CB</t>
  </si>
  <si>
    <t xml:space="preserve">CANON-202603-004599</t>
  </si>
  <si>
    <t xml:space="preserve">Anouk Rourke</t>
  </si>
  <si>
    <t xml:space="preserve">ZAUAL48ANEU229N9N</t>
  </si>
  <si>
    <t xml:space="preserve">CANON-202603-004602</t>
  </si>
  <si>
    <t xml:space="preserve">Horace Whitlock</t>
  </si>
  <si>
    <t xml:space="preserve">VCM0JFCZB4321B8K4</t>
  </si>
  <si>
    <t xml:space="preserve">CANON-202603-004604</t>
  </si>
  <si>
    <t xml:space="preserve">KPY0DT19W663XKLC2</t>
  </si>
  <si>
    <t xml:space="preserve">CANON-202603-004605</t>
  </si>
  <si>
    <t xml:space="preserve">Sunniva Vandermeer</t>
  </si>
  <si>
    <t xml:space="preserve">MUJ2T2W9L03JZ673Y</t>
  </si>
  <si>
    <t xml:space="preserve">CANON-202603-004606</t>
  </si>
  <si>
    <t xml:space="preserve">Everett Vandermeer</t>
  </si>
  <si>
    <t xml:space="preserve">7YRES8B1TRGNH8V8R</t>
  </si>
  <si>
    <t xml:space="preserve">CANON-202603-004608</t>
  </si>
  <si>
    <t xml:space="preserve">Ramona Kingsford</t>
  </si>
  <si>
    <t xml:space="preserve">RUBCUTB579P36BJCF</t>
  </si>
  <si>
    <t xml:space="preserve">CANON-202603-004609</t>
  </si>
  <si>
    <t xml:space="preserve">Noor Merriweather</t>
  </si>
  <si>
    <t xml:space="preserve">UYF5JTY0EKZW0GC9F</t>
  </si>
  <si>
    <t xml:space="preserve">CANON-202603-004610</t>
  </si>
  <si>
    <t xml:space="preserve">Cassius Fairweather</t>
  </si>
  <si>
    <t xml:space="preserve">T8YK52EEDPCCN5NZN</t>
  </si>
  <si>
    <t xml:space="preserve">CANON-202603-004611</t>
  </si>
  <si>
    <t xml:space="preserve">U2HMZLFJEASRV9C5J</t>
  </si>
  <si>
    <t xml:space="preserve">CANON-202603-004612</t>
  </si>
  <si>
    <t xml:space="preserve">Beatrix Bellandi</t>
  </si>
  <si>
    <t xml:space="preserve">2026-03-09</t>
  </si>
  <si>
    <t xml:space="preserve">2027-03-09</t>
  </si>
  <si>
    <t xml:space="preserve">ASNMVSXX0Y26KSTJS</t>
  </si>
  <si>
    <t xml:space="preserve">CANON-202603-004613</t>
  </si>
  <si>
    <t xml:space="preserve">Lorenzo Delacroix</t>
  </si>
  <si>
    <t xml:space="preserve">8SYV51AY37EYPDLYP</t>
  </si>
  <si>
    <t xml:space="preserve">CANON-202603-004615</t>
  </si>
  <si>
    <t xml:space="preserve">Saoirse Kingsford</t>
  </si>
  <si>
    <t xml:space="preserve">EEMRZF2JWC99TWJ9A</t>
  </si>
  <si>
    <t xml:space="preserve">CANON-202603-004617</t>
  </si>
  <si>
    <t xml:space="preserve">Cassius Blackwood</t>
  </si>
  <si>
    <t xml:space="preserve">L3EZEPAJTMJFHMHK1</t>
  </si>
  <si>
    <t xml:space="preserve">Colorado</t>
  </si>
  <si>
    <t xml:space="preserve">CANON-202603-004618</t>
  </si>
  <si>
    <t xml:space="preserve">R7GRP9B22UVS3D7SR</t>
  </si>
  <si>
    <t xml:space="preserve">CANON-202603-004622</t>
  </si>
  <si>
    <t xml:space="preserve">Fitzgerald Harrington</t>
  </si>
  <si>
    <t xml:space="preserve">2MAZBA0HB383M9NR4</t>
  </si>
  <si>
    <t xml:space="preserve">Louisiana</t>
  </si>
  <si>
    <t xml:space="preserve">CANON-202603-004624</t>
  </si>
  <si>
    <t xml:space="preserve">SEGH4GXNUTRFYSV5N</t>
  </si>
  <si>
    <t xml:space="preserve">CANON-202603-004625</t>
  </si>
  <si>
    <t xml:space="preserve">Emiliano Nakashima</t>
  </si>
  <si>
    <t xml:space="preserve">UHGWAFBPXWM4CV3AJ</t>
  </si>
  <si>
    <t xml:space="preserve">CANON-202603-004626</t>
  </si>
  <si>
    <t xml:space="preserve">B7BUH6275P8S9EVZD</t>
  </si>
  <si>
    <t xml:space="preserve">CANON-202603-004627</t>
  </si>
  <si>
    <t xml:space="preserve">J7R2ZLBSMNKWVCXE1</t>
  </si>
  <si>
    <t xml:space="preserve">CANON-202603-004628</t>
  </si>
  <si>
    <t xml:space="preserve">Beatrix Okonkwo</t>
  </si>
  <si>
    <t xml:space="preserve">MLRTN6YAYNFGW3BKD</t>
  </si>
  <si>
    <t xml:space="preserve">CANON-202603-004630</t>
  </si>
  <si>
    <t xml:space="preserve">1X8ZN5K09HRV9WFLS</t>
  </si>
  <si>
    <t xml:space="preserve">CANON-202603-004632</t>
  </si>
  <si>
    <t xml:space="preserve">Priya Bellandi</t>
  </si>
  <si>
    <t xml:space="preserve">S8RG73Y9RY740LD65</t>
  </si>
  <si>
    <t xml:space="preserve">Nebraska</t>
  </si>
  <si>
    <t xml:space="preserve">CANON-202603-004633</t>
  </si>
  <si>
    <t xml:space="preserve">Horace Merriweather</t>
  </si>
  <si>
    <t xml:space="preserve">EL64EPWT2KKLLJGH3</t>
  </si>
  <si>
    <t xml:space="preserve">Minnesota</t>
  </si>
  <si>
    <t xml:space="preserve">CANON-202603-004634</t>
  </si>
  <si>
    <t xml:space="preserve">Fenwick Fairweather</t>
  </si>
  <si>
    <t xml:space="preserve">8PJFPF1SERJVS3MU7</t>
  </si>
  <si>
    <t xml:space="preserve">CANON-202603-004635</t>
  </si>
  <si>
    <t xml:space="preserve">MGLV30TEPF2WUX8YV</t>
  </si>
  <si>
    <t xml:space="preserve">CANON-202603-004638</t>
  </si>
  <si>
    <t xml:space="preserve">Horace Harrington</t>
  </si>
  <si>
    <t xml:space="preserve">4D9T9KRAHF6XYS9SC</t>
  </si>
  <si>
    <t xml:space="preserve">CANON-202603-004642</t>
  </si>
  <si>
    <t xml:space="preserve">3S31BDKJ8BYLCWCF1</t>
  </si>
  <si>
    <t xml:space="preserve">CANON-202603-004644</t>
  </si>
  <si>
    <t xml:space="preserve">Delphine Okonkwo</t>
  </si>
  <si>
    <t xml:space="preserve">08K67CY9MKEBNEEXN</t>
  </si>
  <si>
    <t xml:space="preserve">CANON-202603-004647</t>
  </si>
  <si>
    <t xml:space="preserve">Fenwick Farkas</t>
  </si>
  <si>
    <t xml:space="preserve">7L3389YC0HZMHYMNM</t>
  </si>
  <si>
    <t xml:space="preserve">CANON-202603-004648</t>
  </si>
  <si>
    <t xml:space="preserve">Priya Fairweather</t>
  </si>
  <si>
    <t xml:space="preserve">9M9AE2W19B4T4MPED</t>
  </si>
  <si>
    <t xml:space="preserve">CANON-202603-004649</t>
  </si>
  <si>
    <t xml:space="preserve">D5HGZF2V3DFN4S349</t>
  </si>
  <si>
    <t xml:space="preserve">CANON-202603-004654</t>
  </si>
  <si>
    <t xml:space="preserve">Horace Bellandi</t>
  </si>
  <si>
    <t xml:space="preserve">CH4SNLTCEGRLJ0UEW</t>
  </si>
  <si>
    <t xml:space="preserve">CANON-202603-004655</t>
  </si>
  <si>
    <t xml:space="preserve">2T9H6GZA4TN9SYL7F</t>
  </si>
  <si>
    <t xml:space="preserve">CANON-202603-004656</t>
  </si>
  <si>
    <t xml:space="preserve">Emiliano Fairweather</t>
  </si>
  <si>
    <t xml:space="preserve">ZG7W84T9AT0Z2X9TK</t>
  </si>
  <si>
    <t xml:space="preserve">CANON-202603-004657</t>
  </si>
  <si>
    <t xml:space="preserve">SS69EFAF6XCS4B5DY</t>
  </si>
  <si>
    <t xml:space="preserve">CANON-202603-004660</t>
  </si>
  <si>
    <t xml:space="preserve">Fitzgerald Nakashima</t>
  </si>
  <si>
    <t xml:space="preserve">UH4SFJJSG71GR36W0</t>
  </si>
  <si>
    <t xml:space="preserve">CANON-202603-004661</t>
  </si>
  <si>
    <t xml:space="preserve">66GEY3NY6N88PJ22J</t>
  </si>
  <si>
    <t xml:space="preserve">CANON-202603-004662</t>
  </si>
  <si>
    <t xml:space="preserve">Noor Nakashima</t>
  </si>
  <si>
    <t xml:space="preserve">J4VE7N5JH2W5L2H7C</t>
  </si>
  <si>
    <t xml:space="preserve">Georgia</t>
  </si>
  <si>
    <t xml:space="preserve">CANON-202603-004663</t>
  </si>
  <si>
    <t xml:space="preserve">Callum Blackwood</t>
  </si>
  <si>
    <t xml:space="preserve">YRLHNR3EG7UAXLFY4</t>
  </si>
  <si>
    <t xml:space="preserve">CANON-202603-004665</t>
  </si>
  <si>
    <t xml:space="preserve">KY9XFAE93K3VN58WG</t>
  </si>
  <si>
    <t xml:space="preserve">CANON-202603-004666</t>
  </si>
  <si>
    <t xml:space="preserve">9EA5ZCJXL8MBT5T6Z</t>
  </si>
  <si>
    <t xml:space="preserve">CANON-202603-004667</t>
  </si>
  <si>
    <t xml:space="preserve">Ramona Fairweather</t>
  </si>
  <si>
    <t xml:space="preserve">9W34P8EBD49W8JKPV</t>
  </si>
  <si>
    <t xml:space="preserve">CANON-202603-004668</t>
  </si>
  <si>
    <t xml:space="preserve">7GZTAVW92GLS0HRPY</t>
  </si>
  <si>
    <t xml:space="preserve">CANON-202603-004673</t>
  </si>
  <si>
    <t xml:space="preserve">Fenwick Merriweather</t>
  </si>
  <si>
    <t xml:space="preserve">RGCTFRDS6NRW5TP44</t>
  </si>
  <si>
    <t xml:space="preserve">CANON-202603-004674</t>
  </si>
  <si>
    <t xml:space="preserve">Desmond Ashcombe</t>
  </si>
  <si>
    <t xml:space="preserve">4X2DBPPT0RA6459G9</t>
  </si>
  <si>
    <t xml:space="preserve">CANON-202603-004675</t>
  </si>
  <si>
    <t xml:space="preserve">Priya Vandermeer</t>
  </si>
  <si>
    <t xml:space="preserve">YYE0L0B84HUMH4M1L</t>
  </si>
  <si>
    <t xml:space="preserve">CANON-202603-004676</t>
  </si>
  <si>
    <t xml:space="preserve">Horace Montoya</t>
  </si>
  <si>
    <t xml:space="preserve">B3NM8VKBZEP28YLJ8</t>
  </si>
  <si>
    <t xml:space="preserve">CANON-202603-004677</t>
  </si>
  <si>
    <t xml:space="preserve">Beatrix Vandermeer</t>
  </si>
  <si>
    <t xml:space="preserve">9YRAWN4B6J4EAHS1Z</t>
  </si>
  <si>
    <t xml:space="preserve">CANON-202603-004681</t>
  </si>
  <si>
    <t xml:space="preserve">Ramona Ashcombe</t>
  </si>
  <si>
    <t xml:space="preserve">RLL8TGFMA0B1ESV80</t>
  </si>
  <si>
    <t xml:space="preserve">CANON-202603-004683</t>
  </si>
  <si>
    <t xml:space="preserve">Saoirse Montoya</t>
  </si>
  <si>
    <t xml:space="preserve">6KXSRDNYACYJ9RTP1</t>
  </si>
  <si>
    <t xml:space="preserve">CANON-202603-004684</t>
  </si>
  <si>
    <t xml:space="preserve">Ramona Thistlewood</t>
  </si>
  <si>
    <t xml:space="preserve">G9F4NM8L77HBFW4TH</t>
  </si>
  <si>
    <t xml:space="preserve">CANON-202603-004685</t>
  </si>
  <si>
    <t xml:space="preserve">Lorenzo Vandermeer</t>
  </si>
  <si>
    <t xml:space="preserve">3N4NM9BTM0F8249Y7</t>
  </si>
  <si>
    <t xml:space="preserve">CANON-202603-004686</t>
  </si>
  <si>
    <t xml:space="preserve">2V8D1J2UUJ2FN8N86</t>
  </si>
  <si>
    <t xml:space="preserve">CANON-202603-004687</t>
  </si>
  <si>
    <t xml:space="preserve">Delphine Pennington</t>
  </si>
  <si>
    <t xml:space="preserve">2ZH82JBAN584GWEEZ</t>
  </si>
  <si>
    <t xml:space="preserve">CANON-202603-004688</t>
  </si>
  <si>
    <t xml:space="preserve">E8Z26V2ZU6KAP9UNV</t>
  </si>
  <si>
    <t xml:space="preserve">CANON-202603-004690</t>
  </si>
  <si>
    <t xml:space="preserve">Anouk Larsson</t>
  </si>
  <si>
    <t xml:space="preserve">8JAA6XE3N8XBRUKVH</t>
  </si>
  <si>
    <t xml:space="preserve">CANON-202603-004691</t>
  </si>
  <si>
    <t xml:space="preserve">KXP7842B5E3HZMRWJ</t>
  </si>
  <si>
    <t xml:space="preserve">CANON-202603-004692</t>
  </si>
  <si>
    <t xml:space="preserve">F04J6V2D07FM60P1T</t>
  </si>
  <si>
    <t xml:space="preserve">CANON-202603-004693</t>
  </si>
  <si>
    <t xml:space="preserve">Cassius Underwood</t>
  </si>
  <si>
    <t xml:space="preserve">MDAZ6XADM2U9EV6W5</t>
  </si>
  <si>
    <t xml:space="preserve">CANON-202603-004695</t>
  </si>
  <si>
    <t xml:space="preserve">Everett Harrington</t>
  </si>
  <si>
    <t xml:space="preserve">U12FN7X4TC5LHL8LL</t>
  </si>
  <si>
    <t xml:space="preserve">CANON-202603-004696</t>
  </si>
  <si>
    <t xml:space="preserve">Sunniva Castellanos</t>
  </si>
  <si>
    <t xml:space="preserve">3HNSJVZW3CPH83Y0R</t>
  </si>
  <si>
    <t xml:space="preserve">CANON-202603-004699</t>
  </si>
  <si>
    <t xml:space="preserve">Wilhelmina Vasquez</t>
  </si>
  <si>
    <t xml:space="preserve">JS4ERE6Y6JRYNABX9</t>
  </si>
  <si>
    <t xml:space="preserve">CANON-202603-004700</t>
  </si>
  <si>
    <t xml:space="preserve">Desmond Harrington</t>
  </si>
  <si>
    <t xml:space="preserve">YA09W06PH7V2H23KF</t>
  </si>
  <si>
    <t xml:space="preserve">CANON-202603-004701</t>
  </si>
  <si>
    <t xml:space="preserve">Cassius Montoya</t>
  </si>
  <si>
    <t xml:space="preserve">3DKWJPH7ZCE1NPY0K</t>
  </si>
  <si>
    <t xml:space="preserve">CANON-202603-004702</t>
  </si>
  <si>
    <t xml:space="preserve">Wilhelmina Harrington</t>
  </si>
  <si>
    <t xml:space="preserve">60G3G795HWVM86F5H</t>
  </si>
  <si>
    <t xml:space="preserve">CANON-202603-004704</t>
  </si>
  <si>
    <t xml:space="preserve">Beatrix Nakashima</t>
  </si>
  <si>
    <t xml:space="preserve">RLR8VDSKVNN36P6HW</t>
  </si>
  <si>
    <t xml:space="preserve">CANON-202603-004708</t>
  </si>
  <si>
    <t xml:space="preserve">Delphine Underwood</t>
  </si>
  <si>
    <t xml:space="preserve">9AZN0XUJDMVH8LJ8W</t>
  </si>
  <si>
    <t xml:space="preserve">Oregon</t>
  </si>
  <si>
    <t xml:space="preserve">CANON-202603-004709</t>
  </si>
  <si>
    <t xml:space="preserve">Delphine Kingsford</t>
  </si>
  <si>
    <t xml:space="preserve">5XVEMNALM5MD8CZBD</t>
  </si>
  <si>
    <t xml:space="preserve">CANON-202603-004710</t>
  </si>
  <si>
    <t xml:space="preserve">2EJ9TYZF3EN6L5CVX</t>
  </si>
  <si>
    <t xml:space="preserve">CANON-202603-004711</t>
  </si>
  <si>
    <t xml:space="preserve">Thaddeus Rourke</t>
  </si>
  <si>
    <t xml:space="preserve">DH4CW17VB9AD70HLM</t>
  </si>
  <si>
    <t xml:space="preserve">CANON-202603-004712</t>
  </si>
  <si>
    <t xml:space="preserve">Ottilie Kingsford</t>
  </si>
  <si>
    <t xml:space="preserve">K0MF50KUV1XKY30GK</t>
  </si>
  <si>
    <t xml:space="preserve">CANON-202603-004713</t>
  </si>
  <si>
    <t xml:space="preserve">ZYECRRE11MJEGBXWV</t>
  </si>
  <si>
    <t xml:space="preserve">CANON-202603-004714</t>
  </si>
  <si>
    <t xml:space="preserve">Mireille Chattopadhyay</t>
  </si>
  <si>
    <t xml:space="preserve">8X6Y9FFMJ4VK282SH</t>
  </si>
  <si>
    <t xml:space="preserve">CANON-202603-004715</t>
  </si>
  <si>
    <t xml:space="preserve">Beatrix Whitlock</t>
  </si>
  <si>
    <t xml:space="preserve">PWZ0U974D10EKCE7P</t>
  </si>
  <si>
    <t xml:space="preserve">CANON-202603-004716</t>
  </si>
  <si>
    <t xml:space="preserve">Ramona Castellanos</t>
  </si>
  <si>
    <t xml:space="preserve">HFL0X5GV7YD8WCBCB</t>
  </si>
  <si>
    <t xml:space="preserve">CANON-202603-004717</t>
  </si>
  <si>
    <t xml:space="preserve">Ramona Delacroix</t>
  </si>
  <si>
    <t xml:space="preserve">WK3ZEAMP83L9Y4MTN</t>
  </si>
  <si>
    <t xml:space="preserve">CANON-202603-004718</t>
  </si>
  <si>
    <t xml:space="preserve">D57B22CLTYCYTZCSV</t>
  </si>
  <si>
    <t xml:space="preserve">CANON-202603-004719</t>
  </si>
  <si>
    <t xml:space="preserve">Priya Nakashima</t>
  </si>
  <si>
    <t xml:space="preserve">D2RFRG7HFVWDEKJV4</t>
  </si>
  <si>
    <t xml:space="preserve">CANON-202603-004721</t>
  </si>
  <si>
    <t xml:space="preserve">Ottilie Rourke</t>
  </si>
  <si>
    <t xml:space="preserve">H2GZMCA7ADMX3MHST</t>
  </si>
  <si>
    <t xml:space="preserve">CANON-202603-004723</t>
  </si>
  <si>
    <t xml:space="preserve">Noor Fairweather</t>
  </si>
  <si>
    <t xml:space="preserve">PNHEXA8Y914EFBR6R</t>
  </si>
  <si>
    <t xml:space="preserve">CANON-202603-004724</t>
  </si>
  <si>
    <t xml:space="preserve">Mireille Fairweather</t>
  </si>
  <si>
    <t xml:space="preserve">JF23S5JCR8AUCAPHU</t>
  </si>
  <si>
    <t xml:space="preserve">CANON-202603-004725</t>
  </si>
  <si>
    <t xml:space="preserve">Marisol Bellandi</t>
  </si>
  <si>
    <t xml:space="preserve">DGDVZTMAXTBERKPFZ</t>
  </si>
  <si>
    <t xml:space="preserve">CANON-202603-004726</t>
  </si>
  <si>
    <t xml:space="preserve">Everett Underwood</t>
  </si>
  <si>
    <t xml:space="preserve">GXUMPW0PB87KUH52G</t>
  </si>
  <si>
    <t xml:space="preserve">CANON-202603-004727</t>
  </si>
  <si>
    <t xml:space="preserve">Wilhelmina Farkas</t>
  </si>
  <si>
    <t xml:space="preserve">VMR1V4N5C3VDZEF5U</t>
  </si>
  <si>
    <t xml:space="preserve">CANON-202603-004728</t>
  </si>
  <si>
    <t xml:space="preserve">Sunniva Blackwood</t>
  </si>
  <si>
    <t xml:space="preserve">BKGYGWZUJZMP8BJG0</t>
  </si>
  <si>
    <t xml:space="preserve">CANON-202603-004729</t>
  </si>
  <si>
    <t xml:space="preserve">J54C77C60U6EX9WPP</t>
  </si>
  <si>
    <t xml:space="preserve">CANON-202603-004730</t>
  </si>
  <si>
    <t xml:space="preserve">Noor Underwood</t>
  </si>
  <si>
    <t xml:space="preserve">ZUGNL9MWEN25CL068</t>
  </si>
  <si>
    <t xml:space="preserve">CANON-202603-004731</t>
  </si>
  <si>
    <t xml:space="preserve">Callum Chattopadhyay</t>
  </si>
  <si>
    <t xml:space="preserve">XK8B3GADK1VDR45KB</t>
  </si>
  <si>
    <t xml:space="preserve">CANON-202603-004732</t>
  </si>
  <si>
    <t xml:space="preserve">DLNLVV4TVJNUGL11F</t>
  </si>
  <si>
    <t xml:space="preserve">CANON-202603-004733</t>
  </si>
  <si>
    <t xml:space="preserve">Delphine Castellanos</t>
  </si>
  <si>
    <t xml:space="preserve">3N8D7NJFNG3C4HBXZ</t>
  </si>
  <si>
    <t xml:space="preserve">CANON-202603-004734</t>
  </si>
  <si>
    <t xml:space="preserve">G4DLYHDFFA157TTHT</t>
  </si>
  <si>
    <t xml:space="preserve">CANON-202603-004736</t>
  </si>
  <si>
    <t xml:space="preserve">UCCA4D2H8LMRAFJY5</t>
  </si>
  <si>
    <t xml:space="preserve">CANON-202603-004737</t>
  </si>
  <si>
    <t xml:space="preserve">A9G0PHFCWT1S5FAD3</t>
  </si>
  <si>
    <t xml:space="preserve">CANON-202603-004738</t>
  </si>
  <si>
    <t xml:space="preserve">TGFCR0AHGTZLWFK1Y</t>
  </si>
  <si>
    <t xml:space="preserve">CANON-202603-004739</t>
  </si>
  <si>
    <t xml:space="preserve">Sunniva Kingsford</t>
  </si>
  <si>
    <t xml:space="preserve">155GCRXTZA9U978Z5</t>
  </si>
  <si>
    <t xml:space="preserve">CANON-202603-004740</t>
  </si>
  <si>
    <t xml:space="preserve">SWTWJHNJEDA9SX778</t>
  </si>
  <si>
    <t xml:space="preserve">CANON-202603-004741</t>
  </si>
  <si>
    <t xml:space="preserve">Ottilie Ashcombe</t>
  </si>
  <si>
    <t xml:space="preserve">9T7AWYEJE7ZUMHJFH</t>
  </si>
  <si>
    <t xml:space="preserve">CANON-202603-004742</t>
  </si>
  <si>
    <t xml:space="preserve">Wilhelmina Montoya</t>
  </si>
  <si>
    <t xml:space="preserve">B8VHJ2M1UFWRPFMD7</t>
  </si>
  <si>
    <t xml:space="preserve">CANON-202603-004743</t>
  </si>
  <si>
    <t xml:space="preserve">Ramona Harrington</t>
  </si>
  <si>
    <t xml:space="preserve">265WXRUPFM42FARM9</t>
  </si>
  <si>
    <t xml:space="preserve">CANON-202603-004746</t>
  </si>
  <si>
    <t xml:space="preserve">Callum Pennington</t>
  </si>
  <si>
    <t xml:space="preserve">W59C1A2EXUN5NDNRV</t>
  </si>
  <si>
    <t xml:space="preserve">CANON-202603-004747</t>
  </si>
  <si>
    <t xml:space="preserve">DVKX21Z4KRZHDDALV</t>
  </si>
  <si>
    <t xml:space="preserve">CANON-202603-004748</t>
  </si>
  <si>
    <t xml:space="preserve">SEWT5UC09Z16G6DG7</t>
  </si>
  <si>
    <t xml:space="preserve">Virginia</t>
  </si>
  <si>
    <t xml:space="preserve">CANON-202603-004749</t>
  </si>
  <si>
    <t xml:space="preserve">Fitzgerald Blackwood</t>
  </si>
  <si>
    <t xml:space="preserve">6M4UWW2Y9WXW0RH7F</t>
  </si>
  <si>
    <t xml:space="preserve">CANON-202603-004750</t>
  </si>
  <si>
    <t xml:space="preserve">Beatrix Larsson</t>
  </si>
  <si>
    <t xml:space="preserve">XWD9MZSGEVEENUGTZ</t>
  </si>
  <si>
    <t xml:space="preserve">CANON-202603-004753</t>
  </si>
  <si>
    <t xml:space="preserve">Anouk Nakashima</t>
  </si>
  <si>
    <t xml:space="preserve">8HLLB0TT2MNLR7VPL</t>
  </si>
  <si>
    <t xml:space="preserve">CANON-202603-004754</t>
  </si>
  <si>
    <t xml:space="preserve">Aurelio Kingsford</t>
  </si>
  <si>
    <t xml:space="preserve">NDT9XCJPFTKKWFRPC</t>
  </si>
  <si>
    <t xml:space="preserve">CANON-202603-004756</t>
  </si>
  <si>
    <t xml:space="preserve">Everett Farkas</t>
  </si>
  <si>
    <t xml:space="preserve">CJXWL70LRL3L4C85N</t>
  </si>
  <si>
    <t xml:space="preserve">CANON-202603-004757</t>
  </si>
  <si>
    <t xml:space="preserve">Fenwick Castellanos</t>
  </si>
  <si>
    <t xml:space="preserve">JGYHU2H2XND3VF7HD</t>
  </si>
  <si>
    <t xml:space="preserve">CANON-202603-004758</t>
  </si>
  <si>
    <t xml:space="preserve">B1LEXKVNUXJ4U0A8C</t>
  </si>
  <si>
    <t xml:space="preserve">CANON-202603-004759</t>
  </si>
  <si>
    <t xml:space="preserve">Thaddeus Castellanos</t>
  </si>
  <si>
    <t xml:space="preserve">8H6N6T54ESK6ZE3XP</t>
  </si>
  <si>
    <t xml:space="preserve">CANON-202603-004760</t>
  </si>
  <si>
    <t xml:space="preserve">Horace Kingsford</t>
  </si>
  <si>
    <t xml:space="preserve">JWJ0C4136VKKZCH6B</t>
  </si>
  <si>
    <t xml:space="preserve">CANON-202603-004761</t>
  </si>
  <si>
    <t xml:space="preserve">Lorenzo Chattopadhyay</t>
  </si>
  <si>
    <t xml:space="preserve">G60XV6FSXFD0AE00Y</t>
  </si>
  <si>
    <t xml:space="preserve">CANON-202603-004762</t>
  </si>
  <si>
    <t xml:space="preserve">Thaddeus Okonkwo</t>
  </si>
  <si>
    <t xml:space="preserve">40KXE6CEF5JLVU966</t>
  </si>
  <si>
    <t xml:space="preserve">CANON-202603-004763</t>
  </si>
  <si>
    <t xml:space="preserve">Sunniva Larsson</t>
  </si>
  <si>
    <t xml:space="preserve">A2FFGM7BN60A5178D</t>
  </si>
  <si>
    <t xml:space="preserve">CANON-202603-004764</t>
  </si>
  <si>
    <t xml:space="preserve">Noor Pennington</t>
  </si>
  <si>
    <t xml:space="preserve">25M1B9NBLBL1FXCNS</t>
  </si>
  <si>
    <t xml:space="preserve">CANON-202603-004765</t>
  </si>
  <si>
    <t xml:space="preserve">X6UJ7AV7KA9AJFXEZ</t>
  </si>
  <si>
    <t xml:space="preserve">CANON-202603-004766</t>
  </si>
  <si>
    <t xml:space="preserve">6MF3UGA9SMLJPG4HZ</t>
  </si>
  <si>
    <t xml:space="preserve">CANON-202603-004767</t>
  </si>
  <si>
    <t xml:space="preserve">Thaddeus Vandermeer</t>
  </si>
  <si>
    <t xml:space="preserve">43S4BAS4VN0455ZF3</t>
  </si>
  <si>
    <t xml:space="preserve">CANON-202603-004771</t>
  </si>
  <si>
    <t xml:space="preserve">Callum Kingsford</t>
  </si>
  <si>
    <t xml:space="preserve">FZW79PZCCDSF0SRLG</t>
  </si>
  <si>
    <t xml:space="preserve">CANON-202603-004772</t>
  </si>
  <si>
    <t xml:space="preserve">Ottilie Vandermeer</t>
  </si>
  <si>
    <t xml:space="preserve">KRRKX8774AH2XRZ5F</t>
  </si>
  <si>
    <t xml:space="preserve">CANON-202603-004773</t>
  </si>
  <si>
    <t xml:space="preserve">Ramona Bellandi</t>
  </si>
  <si>
    <t xml:space="preserve">JTUDD5HPZ2VGV9R5R</t>
  </si>
  <si>
    <t xml:space="preserve">CANON-202603-004774</t>
  </si>
  <si>
    <t xml:space="preserve">HRZ98FAYE6ZLGYNVM</t>
  </si>
  <si>
    <t xml:space="preserve">CANON-202603-004775</t>
  </si>
  <si>
    <t xml:space="preserve">8MPDX63VKUL9SDA40</t>
  </si>
  <si>
    <t xml:space="preserve">CANON-202603-004777</t>
  </si>
  <si>
    <t xml:space="preserve">KVSU6JB8PHN440PZM</t>
  </si>
  <si>
    <t xml:space="preserve">CANON-202603-004778</t>
  </si>
  <si>
    <t xml:space="preserve">BRYPHH954L4P6JB4Y</t>
  </si>
  <si>
    <t xml:space="preserve">CANON-202603-004779</t>
  </si>
  <si>
    <t xml:space="preserve">87GUPGCBFYGVNEMMA</t>
  </si>
  <si>
    <t xml:space="preserve">CANON-202603-004780</t>
  </si>
  <si>
    <t xml:space="preserve">4803NJ5UZ47GRJ5KF</t>
  </si>
  <si>
    <t xml:space="preserve">CANON-202603-004781</t>
  </si>
  <si>
    <t xml:space="preserve">Wilhelmina Castellanos</t>
  </si>
  <si>
    <t xml:space="preserve">Alfa Romeo</t>
  </si>
  <si>
    <t xml:space="preserve">8C 2900</t>
  </si>
  <si>
    <t xml:space="preserve">TS3EAY1XJK5PHBGLT</t>
  </si>
  <si>
    <t xml:space="preserve">CANON-202603-004782</t>
  </si>
  <si>
    <t xml:space="preserve">9LFG4UVUA7ABSEEWX</t>
  </si>
  <si>
    <t xml:space="preserve">CANON-202603-004787</t>
  </si>
  <si>
    <t xml:space="preserve">EK5GJ8FD2W9UYWEC1</t>
  </si>
  <si>
    <t xml:space="preserve">CANON-202603-004788</t>
  </si>
  <si>
    <t xml:space="preserve">Lorenzo Underwood</t>
  </si>
  <si>
    <t xml:space="preserve">J7J66YNTS3LLXZ6TN</t>
  </si>
  <si>
    <t xml:space="preserve">CANON-202603-004789</t>
  </si>
  <si>
    <t xml:space="preserve">739RFZ21K7W694TWV</t>
  </si>
  <si>
    <t xml:space="preserve">CANON-202603-004790</t>
  </si>
  <si>
    <t xml:space="preserve">Lorenzo Whitlock</t>
  </si>
  <si>
    <t xml:space="preserve">LLN2RM848DPC991SR</t>
  </si>
  <si>
    <t xml:space="preserve">CANON-202603-004791</t>
  </si>
  <si>
    <t xml:space="preserve">CBFH0JL8TW6M6U9K5</t>
  </si>
  <si>
    <t xml:space="preserve">CANON-202603-004792</t>
  </si>
  <si>
    <t xml:space="preserve">ZYT01JXW924X8GN66</t>
  </si>
  <si>
    <t xml:space="preserve">CANON-202603-004794</t>
  </si>
  <si>
    <t xml:space="preserve">Priya Underwood</t>
  </si>
  <si>
    <t xml:space="preserve">T757EGPE5L3HSDTBW</t>
  </si>
  <si>
    <t xml:space="preserve">CANON-202603-004795</t>
  </si>
  <si>
    <t xml:space="preserve">SAYASBB35U2G5BAHA</t>
  </si>
  <si>
    <t xml:space="preserve">CANON-202603-004797</t>
  </si>
  <si>
    <t xml:space="preserve">Ramona Whitlock</t>
  </si>
  <si>
    <t xml:space="preserve">V6R9RB2JTUU61ZUV3</t>
  </si>
  <si>
    <t xml:space="preserve">CANON-202603-004798</t>
  </si>
  <si>
    <t xml:space="preserve">Callum Rourke</t>
  </si>
  <si>
    <t xml:space="preserve">73LXXZ87A6DH0FU4S</t>
  </si>
  <si>
    <t xml:space="preserve">CANON-202603-004799</t>
  </si>
  <si>
    <t xml:space="preserve">Anouk Bellandi</t>
  </si>
  <si>
    <t xml:space="preserve">8VU31RZ0PVGFRRFUE</t>
  </si>
  <si>
    <t xml:space="preserve">CANON-202603-004802</t>
  </si>
  <si>
    <t xml:space="preserve">Everett Bellandi</t>
  </si>
  <si>
    <t xml:space="preserve">K0UNAR74SNXB7KE8B</t>
  </si>
  <si>
    <t xml:space="preserve">CANON-202603-004804</t>
  </si>
  <si>
    <t xml:space="preserve">Beatrix Vasquez</t>
  </si>
  <si>
    <t xml:space="preserve">DT20VH8X5C97BGZXZ</t>
  </si>
  <si>
    <t xml:space="preserve">CANON-202603-004805</t>
  </si>
  <si>
    <t xml:space="preserve">WGJWP6LK29HHMFJ8D</t>
  </si>
  <si>
    <t xml:space="preserve">CANON-202603-004806</t>
  </si>
  <si>
    <t xml:space="preserve">UMW9FRY3N67NG4SNP</t>
  </si>
  <si>
    <t xml:space="preserve">CANON-202603-004807</t>
  </si>
  <si>
    <t xml:space="preserve">GC48BKXTWTD3TPA4C</t>
  </si>
  <si>
    <t xml:space="preserve">CANON-202603-004809</t>
  </si>
  <si>
    <t xml:space="preserve">XXR8VGAAHLSP6YLZF</t>
  </si>
  <si>
    <t xml:space="preserve">CANON-202603-004810</t>
  </si>
  <si>
    <t xml:space="preserve">Mireille Vandermeer</t>
  </si>
  <si>
    <t xml:space="preserve">DU6HT69WPZ0KSCA7J</t>
  </si>
  <si>
    <t xml:space="preserve">CANON-202603-004811</t>
  </si>
  <si>
    <t xml:space="preserve">Leopold Nakashima</t>
  </si>
  <si>
    <t xml:space="preserve">HNYZNWYRMU0N6PHU0</t>
  </si>
  <si>
    <t xml:space="preserve">CANON-202603-004812</t>
  </si>
  <si>
    <t xml:space="preserve">Lorenzo Castellanos</t>
  </si>
  <si>
    <t xml:space="preserve">ES2V283AM3YDMKR30</t>
  </si>
  <si>
    <t xml:space="preserve">CANON-202603-004813</t>
  </si>
  <si>
    <t xml:space="preserve">DVVE4FWYD51G76D8U</t>
  </si>
  <si>
    <t xml:space="preserve">CANON-202603-004814</t>
  </si>
  <si>
    <t xml:space="preserve">Cassius Whitlock</t>
  </si>
  <si>
    <t xml:space="preserve">V78V8TKBTZ9SSYGMB</t>
  </si>
  <si>
    <t xml:space="preserve">CANON-202603-004817</t>
  </si>
  <si>
    <t xml:space="preserve">BJESMFA7RLKAZKU7Z</t>
  </si>
  <si>
    <t xml:space="preserve">CANON-202603-004819</t>
  </si>
  <si>
    <t xml:space="preserve">Fenwick Okonkwo</t>
  </si>
  <si>
    <t xml:space="preserve">2RRGW61VX4WAE0GNS</t>
  </si>
  <si>
    <t xml:space="preserve">CANON-202603-004820</t>
  </si>
  <si>
    <t xml:space="preserve">LR0YJTKZH10VPFLH8</t>
  </si>
  <si>
    <t xml:space="preserve">CANON-202603-004821</t>
  </si>
  <si>
    <t xml:space="preserve">HPFACHMVAB654SZY1</t>
  </si>
  <si>
    <t xml:space="preserve">CANON-202603-004822</t>
  </si>
  <si>
    <t xml:space="preserve">Sunniva Chattopadhyay</t>
  </si>
  <si>
    <t xml:space="preserve">25YRPT0GE8RX8AVBD</t>
  </si>
  <si>
    <t xml:space="preserve">CANON-202603-004823</t>
  </si>
  <si>
    <t xml:space="preserve">Desmond Nakashima</t>
  </si>
  <si>
    <t xml:space="preserve">EPCF1H3A2LB1U534K</t>
  </si>
  <si>
    <t xml:space="preserve">CANON-202603-004824</t>
  </si>
  <si>
    <t xml:space="preserve">Thaddeus Vasquez</t>
  </si>
  <si>
    <t xml:space="preserve">M6DU77YZ9ZE3NUSY3</t>
  </si>
  <si>
    <t xml:space="preserve">CANON-202603-004825</t>
  </si>
  <si>
    <t xml:space="preserve">Saoirse Castellanos</t>
  </si>
  <si>
    <t xml:space="preserve">Y8HJ5T7Z0EU7YCUD7</t>
  </si>
  <si>
    <t xml:space="preserve">CANON-202603-004826</t>
  </si>
  <si>
    <t xml:space="preserve">47G3R68MRRXYE8KUU</t>
  </si>
  <si>
    <t xml:space="preserve">CANON-202603-004827</t>
  </si>
  <si>
    <t xml:space="preserve">Callum Underwood</t>
  </si>
  <si>
    <t xml:space="preserve">R5JGLLRAT0S19VJ58</t>
  </si>
  <si>
    <t xml:space="preserve">CANON-202603-004828</t>
  </si>
  <si>
    <t xml:space="preserve">Ingrid Harrington</t>
  </si>
  <si>
    <t xml:space="preserve">E32K6997S4J2MXR12</t>
  </si>
  <si>
    <t xml:space="preserve">CANON-202603-004830</t>
  </si>
  <si>
    <t xml:space="preserve">Y5UN41G5Y3N5EWHKD</t>
  </si>
  <si>
    <t xml:space="preserve">CANON-202603-004831</t>
  </si>
  <si>
    <t xml:space="preserve">PC1C5R8TSFPFE9MTY</t>
  </si>
  <si>
    <t xml:space="preserve">CANON-202603-004833</t>
  </si>
  <si>
    <t xml:space="preserve">Noor Bellandi</t>
  </si>
  <si>
    <t xml:space="preserve">97FZ25FMLZZHK0V1R</t>
  </si>
  <si>
    <t xml:space="preserve">CANON-202603-004835</t>
  </si>
  <si>
    <t xml:space="preserve">U41F2FG4H8VM4L7JM</t>
  </si>
  <si>
    <t xml:space="preserve">CANON-202603-004836</t>
  </si>
  <si>
    <t xml:space="preserve">Beatrix Fairweather</t>
  </si>
  <si>
    <t xml:space="preserve">W7LN3RWFXEJFZW5XD</t>
  </si>
  <si>
    <t xml:space="preserve">CANON-202603-004837</t>
  </si>
  <si>
    <t xml:space="preserve">Fenwick Underwood</t>
  </si>
  <si>
    <t xml:space="preserve">WPLWCXX2CE15F428P</t>
  </si>
  <si>
    <t xml:space="preserve">CANON-202603-004838</t>
  </si>
  <si>
    <t xml:space="preserve">Leopold Kingsford</t>
  </si>
  <si>
    <t xml:space="preserve">6E6TANDJHF8BMUFGJ</t>
  </si>
  <si>
    <t xml:space="preserve">CANON-202603-004840</t>
  </si>
  <si>
    <t xml:space="preserve">GTLVU39F32VYXDFER</t>
  </si>
  <si>
    <t xml:space="preserve">CANON-202603-004842</t>
  </si>
  <si>
    <t xml:space="preserve">YN0JPN6AYTG2GU1GK</t>
  </si>
  <si>
    <t xml:space="preserve">CANON-202603-004843</t>
  </si>
  <si>
    <t xml:space="preserve">Thaddeus Fairweather</t>
  </si>
  <si>
    <t xml:space="preserve">ADC3NSJ8384RDKYMS</t>
  </si>
  <si>
    <t xml:space="preserve">CANON-202603-004844</t>
  </si>
  <si>
    <t xml:space="preserve">HD4GX5GD243NL4TRM</t>
  </si>
  <si>
    <t xml:space="preserve">CANON-202603-004845</t>
  </si>
  <si>
    <t xml:space="preserve">Priya Vasquez</t>
  </si>
  <si>
    <t xml:space="preserve">TDJ5F3C05EUP9HAB7</t>
  </si>
  <si>
    <t xml:space="preserve">CANON-202603-004846</t>
  </si>
  <si>
    <t xml:space="preserve">Fitzgerald Kingsford</t>
  </si>
  <si>
    <t xml:space="preserve">S84PLG4ATXG5A6LK0</t>
  </si>
  <si>
    <t xml:space="preserve">CANON-202603-004847</t>
  </si>
  <si>
    <t xml:space="preserve">Sunniva Farkas</t>
  </si>
  <si>
    <t xml:space="preserve">2T5632N70TM4AGU5H</t>
  </si>
  <si>
    <t xml:space="preserve">CANON-202603-004848</t>
  </si>
  <si>
    <t xml:space="preserve">Fenwick Kingsford</t>
  </si>
  <si>
    <t xml:space="preserve">X09XXX5GFLNSN66A7</t>
  </si>
  <si>
    <t xml:space="preserve">CANON-202603-004849</t>
  </si>
  <si>
    <t xml:space="preserve">Ingrid Fairweather</t>
  </si>
  <si>
    <t xml:space="preserve">18JFWPHS5066EAD61</t>
  </si>
  <si>
    <t xml:space="preserve">CANON-202603-004850</t>
  </si>
  <si>
    <t xml:space="preserve">Lorenzo Pennington</t>
  </si>
  <si>
    <t xml:space="preserve">H31YX7RF43TGTUHV3</t>
  </si>
  <si>
    <t xml:space="preserve">CANON-202603-004851</t>
  </si>
  <si>
    <t xml:space="preserve">Wilhelmina Bellandi</t>
  </si>
  <si>
    <t xml:space="preserve">HNKENB72DUHDCM4E4</t>
  </si>
  <si>
    <t xml:space="preserve">CANON-202603-004852</t>
  </si>
  <si>
    <t xml:space="preserve">Beatrix Delacroix</t>
  </si>
  <si>
    <t xml:space="preserve">CD319TKUHVFP2082L</t>
  </si>
  <si>
    <t xml:space="preserve">CANON-202603-004853</t>
  </si>
  <si>
    <t xml:space="preserve">J5VJ52XPV02DD4KP6</t>
  </si>
  <si>
    <t xml:space="preserve">CANON-202603-004854</t>
  </si>
  <si>
    <t xml:space="preserve">Sunniva Fairweather</t>
  </si>
  <si>
    <t xml:space="preserve">MJ076CXZ835DY7C4Z</t>
  </si>
  <si>
    <t xml:space="preserve">CANON-202603-004855</t>
  </si>
  <si>
    <t xml:space="preserve">Marisol Kingsford</t>
  </si>
  <si>
    <t xml:space="preserve">5UA951BKBSCXXC4U7</t>
  </si>
  <si>
    <t xml:space="preserve">CANON-202603-004856</t>
  </si>
  <si>
    <t xml:space="preserve">Delphine Merriweather</t>
  </si>
  <si>
    <t xml:space="preserve">BJH41L3W0JGYR52FT</t>
  </si>
  <si>
    <t xml:space="preserve">CANON-202603-004857</t>
  </si>
  <si>
    <t xml:space="preserve">W8351KGZW0NH3MZS2</t>
  </si>
  <si>
    <t xml:space="preserve">CANON-202603-004860</t>
  </si>
  <si>
    <t xml:space="preserve">0NPWJ8NHN0J8R1DE1</t>
  </si>
  <si>
    <t xml:space="preserve">CANON-202603-004862</t>
  </si>
  <si>
    <t xml:space="preserve">60GZ0NHA0PXVL40MK</t>
  </si>
  <si>
    <t xml:space="preserve">CANON-202603-004863</t>
  </si>
  <si>
    <t xml:space="preserve">7ZV5HV05943Z1VXV0</t>
  </si>
  <si>
    <t xml:space="preserve">CANON-202603-004864</t>
  </si>
  <si>
    <t xml:space="preserve">Emiliano Merriweather</t>
  </si>
  <si>
    <t xml:space="preserve">FZKYCDJDXVU53DPEA</t>
  </si>
  <si>
    <t xml:space="preserve">Oklahoma</t>
  </si>
  <si>
    <t xml:space="preserve">CANON-202603-004865</t>
  </si>
  <si>
    <t xml:space="preserve">Saoirse Okonkwo</t>
  </si>
  <si>
    <t xml:space="preserve">BV4C9RBBBG034AF8J</t>
  </si>
  <si>
    <t xml:space="preserve">CANON-202603-004866</t>
  </si>
  <si>
    <t xml:space="preserve">11M6RNJHA8015BHAG</t>
  </si>
  <si>
    <t xml:space="preserve">CANON-202603-004867</t>
  </si>
  <si>
    <t xml:space="preserve">Everett Delacroix</t>
  </si>
  <si>
    <t xml:space="preserve">N7Z9LUET52MGWNSG8</t>
  </si>
  <si>
    <t xml:space="preserve">CANON-202603-004868</t>
  </si>
  <si>
    <t xml:space="preserve">Ingrid Thistlewood</t>
  </si>
  <si>
    <t xml:space="preserve">LSW859BN4FW538SLD</t>
  </si>
  <si>
    <t xml:space="preserve">CANON-202603-004869</t>
  </si>
  <si>
    <t xml:space="preserve">B1YSYTY6F9UD7DLT5</t>
  </si>
  <si>
    <t xml:space="preserve">CANON-202603-004870</t>
  </si>
  <si>
    <t xml:space="preserve">Leopold Harrington</t>
  </si>
  <si>
    <t xml:space="preserve">C469Y84KUF5DLSVT9</t>
  </si>
  <si>
    <t xml:space="preserve">CANON-202603-004871</t>
  </si>
  <si>
    <t xml:space="preserve">Delphine Chattopadhyay</t>
  </si>
  <si>
    <t xml:space="preserve">4BJHBZB64PYZE9BK6</t>
  </si>
  <si>
    <t xml:space="preserve">CANON-202603-004872</t>
  </si>
  <si>
    <t xml:space="preserve">Marisol Whitlock</t>
  </si>
  <si>
    <t xml:space="preserve">PXYNMHJ9JH3XEV4ZJ</t>
  </si>
  <si>
    <t xml:space="preserve">CANON-202603-004875</t>
  </si>
  <si>
    <t xml:space="preserve">51TDDB7YEF45HBWK3</t>
  </si>
  <si>
    <t xml:space="preserve">CANON-202603-004876</t>
  </si>
  <si>
    <t xml:space="preserve">XTV10MH4XV3WU8R8A</t>
  </si>
  <si>
    <t xml:space="preserve">CANON-202603-004877</t>
  </si>
  <si>
    <t xml:space="preserve">Fitzgerald Delacroix</t>
  </si>
  <si>
    <t xml:space="preserve">PUMAMGPB82CXS2KVA</t>
  </si>
  <si>
    <t xml:space="preserve">CANON-202603-004878</t>
  </si>
  <si>
    <t xml:space="preserve">1W0F8RAZ6K0T0T5RX</t>
  </si>
  <si>
    <t xml:space="preserve">CANON-202603-004879</t>
  </si>
  <si>
    <t xml:space="preserve">J7UCKAJNM7U33LZAB</t>
  </si>
  <si>
    <t xml:space="preserve">CANON-202603-004880</t>
  </si>
  <si>
    <t xml:space="preserve">Aurelio Okonkwo</t>
  </si>
  <si>
    <t xml:space="preserve">9R8MP9EG25CNZ0VMJ</t>
  </si>
  <si>
    <t xml:space="preserve">CANON-202603-004881</t>
  </si>
  <si>
    <t xml:space="preserve">Ingrid Vandermeer</t>
  </si>
  <si>
    <t xml:space="preserve">YF80RKLZ2F6LVVEUH</t>
  </si>
  <si>
    <t xml:space="preserve">CANON-202603-004882</t>
  </si>
  <si>
    <t xml:space="preserve">Ottilie Vasquez</t>
  </si>
  <si>
    <t xml:space="preserve">1AXBDN7J3A34YTS6B</t>
  </si>
  <si>
    <t xml:space="preserve">CANON-202603-004883</t>
  </si>
  <si>
    <t xml:space="preserve">V7KGV7TH4TFPL9MZY</t>
  </si>
  <si>
    <t xml:space="preserve">CANON-202603-004885</t>
  </si>
  <si>
    <t xml:space="preserve">Y9KKLMZ74ZBTZL7F7</t>
  </si>
  <si>
    <t xml:space="preserve">CANON-202603-004886</t>
  </si>
  <si>
    <t xml:space="preserve">CC55MWWNZ2H8A6CE1</t>
  </si>
  <si>
    <t xml:space="preserve">CANON-202603-004888</t>
  </si>
  <si>
    <t xml:space="preserve">Noor Thistlewood</t>
  </si>
  <si>
    <t xml:space="preserve">PWNPRGNVHS3NY85RB</t>
  </si>
  <si>
    <t xml:space="preserve">CANON-202603-004889</t>
  </si>
  <si>
    <t xml:space="preserve">MT3239W80TEFZASHH</t>
  </si>
  <si>
    <t xml:space="preserve">CANON-202603-004893</t>
  </si>
  <si>
    <t xml:space="preserve">Noor Harrington</t>
  </si>
  <si>
    <t xml:space="preserve">9N6Z8059GCVF3BH60</t>
  </si>
  <si>
    <t xml:space="preserve">CANON-202603-004894</t>
  </si>
  <si>
    <t xml:space="preserve">Beatrix Castellanos</t>
  </si>
  <si>
    <t xml:space="preserve">9AYJHRLV7WF4YN4J5</t>
  </si>
  <si>
    <t xml:space="preserve">CANON-202603-004895</t>
  </si>
  <si>
    <t xml:space="preserve">Marisol Montoya</t>
  </si>
  <si>
    <t xml:space="preserve">ED8J2KHPT09H31H9T</t>
  </si>
  <si>
    <t xml:space="preserve">CANON-202603-004897</t>
  </si>
  <si>
    <t xml:space="preserve">Fitzgerald Rourke</t>
  </si>
  <si>
    <t xml:space="preserve">A7GEVYD3U1C4T1528</t>
  </si>
  <si>
    <t xml:space="preserve">CANON-202603-004898</t>
  </si>
  <si>
    <t xml:space="preserve">DBM43V8MK49A0PXP5</t>
  </si>
  <si>
    <t xml:space="preserve">CANON-202603-004899</t>
  </si>
  <si>
    <t xml:space="preserve">87ACYUA5FADWHV826</t>
  </si>
  <si>
    <t xml:space="preserve">CANON-202603-004900</t>
  </si>
  <si>
    <t xml:space="preserve">F8GYBPHUKVCBVXP6N</t>
  </si>
  <si>
    <t xml:space="preserve">CANON-202603-004901</t>
  </si>
  <si>
    <t xml:space="preserve">Delphine Rourke</t>
  </si>
  <si>
    <t xml:space="preserve">B03B3F0B6H6ZXV415</t>
  </si>
  <si>
    <t xml:space="preserve">CANON-202603-004903</t>
  </si>
  <si>
    <t xml:space="preserve">HTMGTSM2NLJA4EYZA</t>
  </si>
  <si>
    <t xml:space="preserve">CANON-202603-004905</t>
  </si>
  <si>
    <t xml:space="preserve">XN2JHW01LH8M29EKP</t>
  </si>
  <si>
    <t xml:space="preserve">CANON-202603-004906</t>
  </si>
  <si>
    <t xml:space="preserve">9UJHGN5DZ8CTJ6R17</t>
  </si>
  <si>
    <t xml:space="preserve">CANON-202603-004907</t>
  </si>
  <si>
    <t xml:space="preserve">Mireille Rourke</t>
  </si>
  <si>
    <t xml:space="preserve">AZ19TMLXR9N9ZC6SF</t>
  </si>
  <si>
    <t xml:space="preserve">CANON-202603-004908</t>
  </si>
  <si>
    <t xml:space="preserve">34V1RWUBV09FNM99W</t>
  </si>
  <si>
    <t xml:space="preserve">CANON-202603-004910</t>
  </si>
  <si>
    <t xml:space="preserve">16NACRB03FNYG4PWH</t>
  </si>
  <si>
    <t xml:space="preserve">CANON-202603-004911</t>
  </si>
  <si>
    <t xml:space="preserve">Lorenzo Larsson</t>
  </si>
  <si>
    <t xml:space="preserve">H5VT773LCPH51ASK6</t>
  </si>
  <si>
    <t xml:space="preserve">CANON-202603-004912</t>
  </si>
  <si>
    <t xml:space="preserve">Fitzgerald Fairweather</t>
  </si>
  <si>
    <t xml:space="preserve">UG5LGR1TW2AFNPZZ3</t>
  </si>
  <si>
    <t xml:space="preserve">CANON-202603-004913</t>
  </si>
  <si>
    <t xml:space="preserve">R0WEHXF8GZ0VC9NK3</t>
  </si>
  <si>
    <t xml:space="preserve">CANON-202603-004914</t>
  </si>
  <si>
    <t xml:space="preserve">Thaddeus Kingsford</t>
  </si>
  <si>
    <t xml:space="preserve">LENWKCU169JUXZD8T</t>
  </si>
  <si>
    <t xml:space="preserve">CANON-202603-004915</t>
  </si>
  <si>
    <t xml:space="preserve">3FG1D0HMPDA8TWZGY</t>
  </si>
  <si>
    <t xml:space="preserve">CANON-202603-004918</t>
  </si>
  <si>
    <t xml:space="preserve">Everett Nakashima</t>
  </si>
  <si>
    <t xml:space="preserve">1NRNTEGUNSMC1AABH</t>
  </si>
  <si>
    <t xml:space="preserve">CANON-202603-004919</t>
  </si>
  <si>
    <t xml:space="preserve">DRN51WRLDP4ZCKX24</t>
  </si>
  <si>
    <t xml:space="preserve">CANON-202603-004920</t>
  </si>
  <si>
    <t xml:space="preserve">WE8LVH4F7VWXLZP15</t>
  </si>
  <si>
    <t xml:space="preserve">CANON-202603-004921</t>
  </si>
  <si>
    <t xml:space="preserve">Delphine Larsson</t>
  </si>
  <si>
    <t xml:space="preserve">HZVCM4YLBZT8KRKTF</t>
  </si>
  <si>
    <t xml:space="preserve">CANON-202603-004922</t>
  </si>
  <si>
    <t xml:space="preserve">SXXVM04CXCNR9KC6M</t>
  </si>
  <si>
    <t xml:space="preserve">CANON-202603-004923</t>
  </si>
  <si>
    <t xml:space="preserve">U5ZKCNVKR32KC8ZFL</t>
  </si>
  <si>
    <t xml:space="preserve">CANON-202603-004925</t>
  </si>
  <si>
    <t xml:space="preserve">Ottilie Castellanos</t>
  </si>
  <si>
    <t xml:space="preserve">Y93L8X5K2HL7JLXPB</t>
  </si>
  <si>
    <t xml:space="preserve">CANON-202603-004926</t>
  </si>
  <si>
    <t xml:space="preserve">ET5UTHNM7DN781BL3</t>
  </si>
  <si>
    <t xml:space="preserve">CANON-202603-004928</t>
  </si>
  <si>
    <t xml:space="preserve">Ramona Vandermeer</t>
  </si>
  <si>
    <t xml:space="preserve">1P76HPDZY69MUMHBN</t>
  </si>
  <si>
    <t xml:space="preserve">CANON-202603-004929</t>
  </si>
  <si>
    <t xml:space="preserve">Delphine Bellandi</t>
  </si>
  <si>
    <t xml:space="preserve">PHZMPSKS38X2LA2TU</t>
  </si>
  <si>
    <t xml:space="preserve">CANON-202603-004930</t>
  </si>
  <si>
    <t xml:space="preserve">Cassius Harrington</t>
  </si>
  <si>
    <t xml:space="preserve">WYDPAP49XNAJS07EF</t>
  </si>
  <si>
    <t xml:space="preserve">CANON-202603-004932</t>
  </si>
  <si>
    <t xml:space="preserve">D2B7SFN8239W2CMXS</t>
  </si>
  <si>
    <t xml:space="preserve">CANON-202603-004933</t>
  </si>
  <si>
    <t xml:space="preserve">63XCPTB8KTMF2W5PD</t>
  </si>
  <si>
    <t xml:space="preserve">CANON-202603-004934</t>
  </si>
  <si>
    <t xml:space="preserve">7YADAWHS4F1HH2JD0</t>
  </si>
  <si>
    <t xml:space="preserve">CANON-202603-004935</t>
  </si>
  <si>
    <t xml:space="preserve">H9BA23W7NWEBWFG2A</t>
  </si>
  <si>
    <t xml:space="preserve">CANON-202603-004937</t>
  </si>
  <si>
    <t xml:space="preserve">HTYTF4SDUPCALZW9K</t>
  </si>
  <si>
    <t xml:space="preserve">CANON-202603-004938</t>
  </si>
  <si>
    <t xml:space="preserve">Aurelio Farkas</t>
  </si>
  <si>
    <t xml:space="preserve">SB0KX54ERJC8L57HW</t>
  </si>
  <si>
    <t xml:space="preserve">CANON-202603-004939</t>
  </si>
  <si>
    <t xml:space="preserve">Cassius Farkas</t>
  </si>
  <si>
    <t xml:space="preserve">AFT2YNX7T74S6ACMF</t>
  </si>
  <si>
    <t xml:space="preserve">CANON-202603-004941</t>
  </si>
  <si>
    <t xml:space="preserve">Fenwick Nakashima</t>
  </si>
  <si>
    <t xml:space="preserve">RK6LFB0E7HUKAXGGC</t>
  </si>
  <si>
    <t xml:space="preserve">CANON-202603-004942</t>
  </si>
  <si>
    <t xml:space="preserve">DLX73EPN3BB9WX20D</t>
  </si>
  <si>
    <t xml:space="preserve">CANON-202603-004943</t>
  </si>
  <si>
    <t xml:space="preserve">Emiliano Vasquez</t>
  </si>
  <si>
    <t xml:space="preserve">CKEDG3MNVX2EJF8AS</t>
  </si>
  <si>
    <t xml:space="preserve">CANON-202603-004945</t>
  </si>
  <si>
    <t xml:space="preserve">Lorenzo Thistlewood</t>
  </si>
  <si>
    <t xml:space="preserve">6P0BMUAH9JDRGJMYN</t>
  </si>
  <si>
    <t xml:space="preserve">CANON-202603-004946</t>
  </si>
  <si>
    <t xml:space="preserve">Leopold Fairweather</t>
  </si>
  <si>
    <t xml:space="preserve">9HPTLLVE7BSK3W2WJ</t>
  </si>
  <si>
    <t xml:space="preserve">CANON-202603-004947</t>
  </si>
  <si>
    <t xml:space="preserve">Fitzgerald Bellandi</t>
  </si>
  <si>
    <t xml:space="preserve">WEJBT7GDZB4LG1YNV</t>
  </si>
  <si>
    <t xml:space="preserve">CANON-202603-004948</t>
  </si>
  <si>
    <t xml:space="preserve">Beatrix Harrington</t>
  </si>
  <si>
    <t xml:space="preserve">0NJ2149CURTLRRZYT</t>
  </si>
  <si>
    <t xml:space="preserve">CANON-202603-004952</t>
  </si>
  <si>
    <t xml:space="preserve">Ingrid Chattopadhyay</t>
  </si>
  <si>
    <t xml:space="preserve">NTFEPZDHFPK0PV70N</t>
  </si>
  <si>
    <t xml:space="preserve">CANON-202603-004953</t>
  </si>
  <si>
    <t xml:space="preserve">W5L85Y2YLBKUDPKM7</t>
  </si>
  <si>
    <t xml:space="preserve">CANON-202603-004954</t>
  </si>
  <si>
    <t xml:space="preserve">JDPSNMY4WS9X918TZ</t>
  </si>
  <si>
    <t xml:space="preserve">CANON-202603-004955</t>
  </si>
  <si>
    <t xml:space="preserve">Ramona Merriweather</t>
  </si>
  <si>
    <t xml:space="preserve">KNE8NJX93HG7SENMB</t>
  </si>
  <si>
    <t xml:space="preserve">CANON-202603-004956</t>
  </si>
  <si>
    <t xml:space="preserve">YJV10S4RMEHMLEYKH</t>
  </si>
  <si>
    <t xml:space="preserve">CANON-202603-004957</t>
  </si>
  <si>
    <t xml:space="preserve">Fenwick Larsson</t>
  </si>
  <si>
    <t xml:space="preserve">GFCX1UNPYTBYM6HCS</t>
  </si>
  <si>
    <t xml:space="preserve">CANON-202603-004958</t>
  </si>
  <si>
    <t xml:space="preserve">1S56EBSNUD6MGFDKH</t>
  </si>
  <si>
    <t xml:space="preserve">CANON-202603-004959</t>
  </si>
  <si>
    <t xml:space="preserve">GPA0Y88NNR7XX0XH1</t>
  </si>
  <si>
    <t xml:space="preserve">CANON-202603-004960</t>
  </si>
  <si>
    <t xml:space="preserve">Marisol Rourke</t>
  </si>
  <si>
    <t xml:space="preserve">Z777EGC4MV9VTJF36</t>
  </si>
  <si>
    <t xml:space="preserve">CANON-202603-004961</t>
  </si>
  <si>
    <t xml:space="preserve">SCN49JPZN9DY70SPD</t>
  </si>
  <si>
    <t xml:space="preserve">CANON-202603-004962</t>
  </si>
  <si>
    <t xml:space="preserve">Lorenzo Bellandi</t>
  </si>
  <si>
    <t xml:space="preserve">BZGYU7NF7LA8E7R3U</t>
  </si>
  <si>
    <t xml:space="preserve">CANON-202603-004963</t>
  </si>
  <si>
    <t xml:space="preserve">1HTLC990B79UB645G</t>
  </si>
  <si>
    <t xml:space="preserve">CANON-202603-004964</t>
  </si>
  <si>
    <t xml:space="preserve">JEVRULPP8LY7KWFK4</t>
  </si>
  <si>
    <t xml:space="preserve">CANON-202603-004966</t>
  </si>
  <si>
    <t xml:space="preserve">37J069ERSV6LV6JDY</t>
  </si>
  <si>
    <t xml:space="preserve">CANON-202603-004967</t>
  </si>
  <si>
    <t xml:space="preserve">Desmond Montoya</t>
  </si>
  <si>
    <t xml:space="preserve">TDPSA6EH96EAEMTYG</t>
  </si>
  <si>
    <t xml:space="preserve">CANON-202603-004968</t>
  </si>
  <si>
    <t xml:space="preserve">MXLFVZ3NDYAL2EAJP</t>
  </si>
  <si>
    <t xml:space="preserve">CANON-202603-004970</t>
  </si>
  <si>
    <t xml:space="preserve">Callum Vandermeer</t>
  </si>
  <si>
    <t xml:space="preserve">EN27TR4EPEPV8GJVY</t>
  </si>
  <si>
    <t xml:space="preserve">CANON-202603-004971</t>
  </si>
  <si>
    <t xml:space="preserve">Anouk Montoya</t>
  </si>
  <si>
    <t xml:space="preserve">AMVFVTRHYZ7AJJT84</t>
  </si>
  <si>
    <t xml:space="preserve">CANON-202603-004973</t>
  </si>
  <si>
    <t xml:space="preserve">Fenwick Pennington</t>
  </si>
  <si>
    <t xml:space="preserve">TK8NV86FRZZGSHBBX</t>
  </si>
  <si>
    <t xml:space="preserve">CANON-202603-004974</t>
  </si>
  <si>
    <t xml:space="preserve">L7MUJKBU66RPRUBCM</t>
  </si>
  <si>
    <t xml:space="preserve">CANON-202603-004975</t>
  </si>
  <si>
    <t xml:space="preserve">Everett Montoya</t>
  </si>
  <si>
    <t xml:space="preserve">K4JFNE1GEUGSD7HTW</t>
  </si>
  <si>
    <t xml:space="preserve">CANON-202603-004977</t>
  </si>
  <si>
    <t xml:space="preserve">Sunniva Ashcombe</t>
  </si>
  <si>
    <t xml:space="preserve">3ZH1266HRTB88M081</t>
  </si>
  <si>
    <t xml:space="preserve">CANON-202603-004978</t>
  </si>
  <si>
    <t xml:space="preserve">Priya Harrington</t>
  </si>
  <si>
    <t xml:space="preserve">V63WVHDDK9AU3S35E</t>
  </si>
  <si>
    <t xml:space="preserve">CANON-202603-004979</t>
  </si>
  <si>
    <t xml:space="preserve">2TB44N5WNCJJZ0B0Z</t>
  </si>
  <si>
    <t xml:space="preserve">CANON-202603-004981</t>
  </si>
  <si>
    <t xml:space="preserve">DVPPU4RC3V1DH3AC7</t>
  </si>
  <si>
    <t xml:space="preserve">CANON-202603-004982</t>
  </si>
  <si>
    <t xml:space="preserve">VFDWPBNMGD13PF7NY</t>
  </si>
  <si>
    <t xml:space="preserve">CANON-202603-004983</t>
  </si>
  <si>
    <t xml:space="preserve">Mireille Thistlewood</t>
  </si>
  <si>
    <t xml:space="preserve">33235HE3FK7EJUTPV</t>
  </si>
  <si>
    <t xml:space="preserve">CANON-202603-004985</t>
  </si>
  <si>
    <t xml:space="preserve">KN7ZSABG36U8DUC8B</t>
  </si>
  <si>
    <t xml:space="preserve">CANON-202603-004987</t>
  </si>
  <si>
    <t xml:space="preserve">Marisol Ashcombe</t>
  </si>
  <si>
    <t xml:space="preserve">KSJNXBNPA0N946E3J</t>
  </si>
  <si>
    <t xml:space="preserve">CANON-202603-004988</t>
  </si>
  <si>
    <t xml:space="preserve">Cassius Okonkwo</t>
  </si>
  <si>
    <t xml:space="preserve">FCYEBC9PHF2RV3V3N</t>
  </si>
  <si>
    <t xml:space="preserve">CANON-202603-004990</t>
  </si>
  <si>
    <t xml:space="preserve">Fitzgerald Castellanos</t>
  </si>
  <si>
    <t xml:space="preserve">4CAP4H2Z6S5F0XSM6</t>
  </si>
  <si>
    <t xml:space="preserve">CANON-202603-004991</t>
  </si>
  <si>
    <t xml:space="preserve">J0E3W862WLDVE0G03</t>
  </si>
  <si>
    <t xml:space="preserve">CANON-202603-004992</t>
  </si>
  <si>
    <t xml:space="preserve">Everett Chattopadhyay</t>
  </si>
  <si>
    <t xml:space="preserve">LTEJ585ANHF5MSCW6</t>
  </si>
  <si>
    <t xml:space="preserve">CANON-202603-004993</t>
  </si>
  <si>
    <t xml:space="preserve">Saoirse Thistlewood</t>
  </si>
  <si>
    <t xml:space="preserve">0DENUHCPCK0YYBVRF</t>
  </si>
  <si>
    <t xml:space="preserve">CANON-202603-004995</t>
  </si>
  <si>
    <t xml:space="preserve">3WGR9AVTU483RM22H</t>
  </si>
  <si>
    <t xml:space="preserve">CANON-202603-004996</t>
  </si>
  <si>
    <t xml:space="preserve">Desmond Castellanos</t>
  </si>
  <si>
    <t xml:space="preserve">7SGCX09K5P4HA24S3</t>
  </si>
  <si>
    <t xml:space="preserve">CANON-202603-004997</t>
  </si>
  <si>
    <t xml:space="preserve">B0U8N0GJG6MGHCASX</t>
  </si>
  <si>
    <t xml:space="preserve">CANON-202603-004998</t>
  </si>
  <si>
    <t xml:space="preserve">Anouk Underwood</t>
  </si>
  <si>
    <t xml:space="preserve">3CWSAGFXVC36NX322</t>
  </si>
  <si>
    <t xml:space="preserve">CANON-202603-004999</t>
  </si>
  <si>
    <t xml:space="preserve">NBGWRE1XBJ5DM6LVF</t>
  </si>
  <si>
    <t xml:space="preserve">CANON-202603-005000</t>
  </si>
  <si>
    <t xml:space="preserve">Everett Thistlewood</t>
  </si>
  <si>
    <t xml:space="preserve">NJ4YPYYY6BB8LS7TV</t>
  </si>
  <si>
    <t xml:space="preserve">CANON-202603-005001</t>
  </si>
  <si>
    <t xml:space="preserve">EBNKFTEDU3MVKDEKM</t>
  </si>
  <si>
    <t xml:space="preserve">CANON-202603-005002</t>
  </si>
  <si>
    <t xml:space="preserve">Noor Castellanos</t>
  </si>
  <si>
    <t xml:space="preserve">MD2BMV4L1UV89NZX2</t>
  </si>
  <si>
    <t xml:space="preserve">CANON-202603-005003</t>
  </si>
  <si>
    <t xml:space="preserve">Horace Pennington</t>
  </si>
  <si>
    <t xml:space="preserve">YRRLAWZ400CPAPB49</t>
  </si>
  <si>
    <t xml:space="preserve">CANON-202603-005005</t>
  </si>
  <si>
    <t xml:space="preserve">V4MKEN6L7XSTXUB2A</t>
  </si>
  <si>
    <t xml:space="preserve">CANON-202603-005007</t>
  </si>
  <si>
    <t xml:space="preserve">075BBK2T875JRP56F</t>
  </si>
  <si>
    <t xml:space="preserve">CANON-202603-005008</t>
  </si>
  <si>
    <t xml:space="preserve">2KC4TLR3DPARXKPU9</t>
  </si>
  <si>
    <t xml:space="preserve">CANON-202603-005009</t>
  </si>
  <si>
    <t xml:space="preserve">Saoirse Vasquez</t>
  </si>
  <si>
    <t xml:space="preserve">XRSVHZE7JD6ZL2E9M</t>
  </si>
  <si>
    <t xml:space="preserve">CANON-202603-005010</t>
  </si>
  <si>
    <t xml:space="preserve">Fenwick Blackwood</t>
  </si>
  <si>
    <t xml:space="preserve">59VS3EUZFMC92FGTT</t>
  </si>
  <si>
    <t xml:space="preserve">CANON-202603-005011</t>
  </si>
  <si>
    <t xml:space="preserve">Aurelio Fairweather</t>
  </si>
  <si>
    <t xml:space="preserve">L5C827JJPGBACEFD1</t>
  </si>
  <si>
    <t xml:space="preserve">CANON-202603-005012</t>
  </si>
  <si>
    <t xml:space="preserve">3YEYX2BYCTSCUS78P</t>
  </si>
  <si>
    <t xml:space="preserve">CANON-202603-005014</t>
  </si>
  <si>
    <t xml:space="preserve">C7YXJVHGPMGLCL052</t>
  </si>
  <si>
    <t xml:space="preserve">CANON-202603-005015</t>
  </si>
  <si>
    <t xml:space="preserve">1XC0J06Y7EA4GJF5D</t>
  </si>
  <si>
    <t xml:space="preserve">CANON-202603-005017</t>
  </si>
  <si>
    <t xml:space="preserve">3HYWDB27B6745K1V4</t>
  </si>
  <si>
    <t xml:space="preserve">CANON-202603-005019</t>
  </si>
  <si>
    <t xml:space="preserve">1PAC9B45J2WMGRY6L</t>
  </si>
  <si>
    <t xml:space="preserve">CANON-202603-005020</t>
  </si>
  <si>
    <t xml:space="preserve">Ramona Rourke</t>
  </si>
  <si>
    <t xml:space="preserve">E3ESXWHPRVVCRCMCX</t>
  </si>
  <si>
    <t xml:space="preserve">CANON-202603-005021</t>
  </si>
  <si>
    <t xml:space="preserve">Z6AST956VF0B7ZLN0</t>
  </si>
  <si>
    <t xml:space="preserve">CANON-202603-005022</t>
  </si>
  <si>
    <t xml:space="preserve">Priya Chattopadhyay</t>
  </si>
  <si>
    <t xml:space="preserve">YVPYXSAM98E813HGZ</t>
  </si>
  <si>
    <t xml:space="preserve">CANON-202603-005024</t>
  </si>
  <si>
    <t xml:space="preserve">Horace Delacroix</t>
  </si>
  <si>
    <t xml:space="preserve">2V79GMMBL64ZXX8W6</t>
  </si>
  <si>
    <t xml:space="preserve">CANON-202603-005025</t>
  </si>
  <si>
    <t xml:space="preserve">Cassius Delacroix</t>
  </si>
  <si>
    <t xml:space="preserve">43HDDEZRJSP3MZG7H</t>
  </si>
  <si>
    <t xml:space="preserve">CANON-202603-005027</t>
  </si>
  <si>
    <t xml:space="preserve">Fitzgerald Chattopadhyay</t>
  </si>
  <si>
    <t xml:space="preserve">70J83HHMNESNN8HPF</t>
  </si>
  <si>
    <t xml:space="preserve">CANON-202603-005028</t>
  </si>
  <si>
    <t xml:space="preserve">AZXMYSAS8J3WWHVFB</t>
  </si>
  <si>
    <t xml:space="preserve">CANON-202603-005029</t>
  </si>
  <si>
    <t xml:space="preserve">Mireille Nakashima</t>
  </si>
  <si>
    <t xml:space="preserve">HU02W7SYBYVUSERBC</t>
  </si>
  <si>
    <t xml:space="preserve">CANON-202603-005030</t>
  </si>
  <si>
    <t xml:space="preserve">W6EKAPVFNNEMS9KPZ</t>
  </si>
  <si>
    <t xml:space="preserve">CANON-202603-005031</t>
  </si>
  <si>
    <t xml:space="preserve">0GHUUXJXYY8TAWUCM</t>
  </si>
  <si>
    <t xml:space="preserve">CANON-202603-005032</t>
  </si>
  <si>
    <t xml:space="preserve">B6DRBN9PH7NRCN5Z9</t>
  </si>
  <si>
    <t xml:space="preserve">CANON-202603-005033</t>
  </si>
  <si>
    <t xml:space="preserve">Ottilie Delacroix</t>
  </si>
  <si>
    <t xml:space="preserve">HEXTA1TFFTU8F8P6S</t>
  </si>
  <si>
    <t xml:space="preserve">CANON-202603-005035</t>
  </si>
  <si>
    <t xml:space="preserve">CR18ZCLPBDU6LR03G</t>
  </si>
  <si>
    <t xml:space="preserve">CANON-202603-005036</t>
  </si>
  <si>
    <t xml:space="preserve">35FKDM1MV3KUDUL5S</t>
  </si>
  <si>
    <t xml:space="preserve">CANON-202603-005037</t>
  </si>
  <si>
    <t xml:space="preserve">Priya Okonkwo</t>
  </si>
  <si>
    <t xml:space="preserve">NHZHRD9LZ08ZC1YHG</t>
  </si>
  <si>
    <t xml:space="preserve">CANON-202603-005038</t>
  </si>
  <si>
    <t xml:space="preserve">KHRX7TUMUTN6PKET5</t>
  </si>
  <si>
    <t xml:space="preserve">CANON-202603-005040</t>
  </si>
  <si>
    <t xml:space="preserve">Fitzgerald Ashcombe</t>
  </si>
  <si>
    <t xml:space="preserve">AR9LDK8UYMV83BVSG</t>
  </si>
  <si>
    <t xml:space="preserve">CANON-202603-005041</t>
  </si>
  <si>
    <t xml:space="preserve">Saoirse Fairweather</t>
  </si>
  <si>
    <t xml:space="preserve">JL71FMK4J0VXXS5YN</t>
  </si>
  <si>
    <t xml:space="preserve">CANON-202603-005043</t>
  </si>
  <si>
    <t xml:space="preserve">Marisol Fairweather</t>
  </si>
  <si>
    <t xml:space="preserve">3WE5W19PXVB21C51Y</t>
  </si>
  <si>
    <t xml:space="preserve">CANON-202603-005044</t>
  </si>
  <si>
    <t xml:space="preserve">Sunniva Pennington</t>
  </si>
  <si>
    <t xml:space="preserve">34ZX95680CF6H2MER</t>
  </si>
  <si>
    <t xml:space="preserve">CANON-202603-005045</t>
  </si>
  <si>
    <t xml:space="preserve">7ATXW4UX1MKCWRLX4</t>
  </si>
  <si>
    <t xml:space="preserve">CANON-202603-005047</t>
  </si>
  <si>
    <t xml:space="preserve">Thaddeus Larsson</t>
  </si>
  <si>
    <t xml:space="preserve">YWC7M9HA7T52C5D3C</t>
  </si>
  <si>
    <t xml:space="preserve">CANON-202603-005048</t>
  </si>
  <si>
    <t xml:space="preserve">Noor Farkas</t>
  </si>
  <si>
    <t xml:space="preserve">DHVZLW2A8WP83PCWJ</t>
  </si>
  <si>
    <t xml:space="preserve">CANON-202603-005053</t>
  </si>
  <si>
    <t xml:space="preserve">N62D1WSP3DZAW3KWW</t>
  </si>
  <si>
    <t xml:space="preserve">CANON-202603-005054</t>
  </si>
  <si>
    <t xml:space="preserve">Emiliano Delacroix</t>
  </si>
  <si>
    <t xml:space="preserve">KAT8EFG71MB9KFXPC</t>
  </si>
  <si>
    <t xml:space="preserve">CANON-202603-005055</t>
  </si>
  <si>
    <t xml:space="preserve">Cassius Pennington</t>
  </si>
  <si>
    <t xml:space="preserve">FZRLSZVY2THB5NWCW</t>
  </si>
  <si>
    <t xml:space="preserve">CANON-202603-005057</t>
  </si>
  <si>
    <t xml:space="preserve">MZPNXRFFP9MKMGKPK</t>
  </si>
  <si>
    <t xml:space="preserve">CANON-202603-005058</t>
  </si>
  <si>
    <t xml:space="preserve">Ingrid Merriweather</t>
  </si>
  <si>
    <t xml:space="preserve">SMHWAYS6RRNHW9XBP</t>
  </si>
  <si>
    <t xml:space="preserve">CANON-202603-005059</t>
  </si>
  <si>
    <t xml:space="preserve">N8WLESBLX0JUH28WC</t>
  </si>
  <si>
    <t xml:space="preserve">CANON-202603-005060</t>
  </si>
  <si>
    <t xml:space="preserve">Lorenzo Farkas</t>
  </si>
  <si>
    <t xml:space="preserve">8JJY5CRSRE1420PE2</t>
  </si>
  <si>
    <t xml:space="preserve">CANON-202603-005061</t>
  </si>
  <si>
    <t xml:space="preserve">UL7U60MVXBD0UNNAT</t>
  </si>
  <si>
    <t xml:space="preserve">CANON-202603-005064</t>
  </si>
  <si>
    <t xml:space="preserve">GJG928UY4MLPKYTRZ</t>
  </si>
  <si>
    <t xml:space="preserve">CANON-202603-005065</t>
  </si>
  <si>
    <t xml:space="preserve">Ingrid Kingsford</t>
  </si>
  <si>
    <t xml:space="preserve">ESD54GHAA09KXEAP3</t>
  </si>
  <si>
    <t xml:space="preserve">CANON-202603-005067</t>
  </si>
  <si>
    <t xml:space="preserve">Aurelio Merriweather</t>
  </si>
  <si>
    <t xml:space="preserve">UKJ8D6MV4P3KY1LAA</t>
  </si>
  <si>
    <t xml:space="preserve">CANON-202603-005068</t>
  </si>
  <si>
    <t xml:space="preserve">Beatrix Chattopadhyay</t>
  </si>
  <si>
    <t xml:space="preserve">VHHZ2PZSKDG35ZV8F</t>
  </si>
  <si>
    <t xml:space="preserve">CANON-202603-005071</t>
  </si>
  <si>
    <t xml:space="preserve">36KA01PS3WL8T5CT9</t>
  </si>
  <si>
    <t xml:space="preserve">CANON-202603-005074</t>
  </si>
  <si>
    <t xml:space="preserve">AE1L66V6WEAAEUVS6</t>
  </si>
  <si>
    <t xml:space="preserve">CANON-202603-005075</t>
  </si>
  <si>
    <t xml:space="preserve">RR2T759P6X4DDPPSP</t>
  </si>
  <si>
    <t xml:space="preserve">CANON-202603-005076</t>
  </si>
  <si>
    <t xml:space="preserve">8V1P0PV3DK4LDDN3X</t>
  </si>
  <si>
    <t xml:space="preserve">CANON-202603-005077</t>
  </si>
  <si>
    <t xml:space="preserve">Thaddeus Chattopadhyay</t>
  </si>
  <si>
    <t xml:space="preserve">UC96UNHJ760KS3YRV</t>
  </si>
  <si>
    <t xml:space="preserve">CANON-202603-005079</t>
  </si>
  <si>
    <t xml:space="preserve">Cassius Vasquez</t>
  </si>
  <si>
    <t xml:space="preserve">KW1TUK5AWN8EVBE1T</t>
  </si>
  <si>
    <t xml:space="preserve">CANON-202603-005080</t>
  </si>
  <si>
    <t xml:space="preserve">Desmond Bellandi</t>
  </si>
  <si>
    <t xml:space="preserve">DBVD628S7U80HPABW</t>
  </si>
  <si>
    <t xml:space="preserve">CANON-202603-005081</t>
  </si>
  <si>
    <t xml:space="preserve">LRFBT5UYVAU8Z8AVL</t>
  </si>
  <si>
    <t xml:space="preserve">CANON-202603-005082</t>
  </si>
  <si>
    <t xml:space="preserve">Saoirse Underwood</t>
  </si>
  <si>
    <t xml:space="preserve">5L8YVX317SJ1L2WER</t>
  </si>
  <si>
    <t xml:space="preserve">CANON-202603-005083</t>
  </si>
  <si>
    <t xml:space="preserve">F5MRHJD55ZDBA3TZ2</t>
  </si>
  <si>
    <t xml:space="preserve">CANON-202603-005084</t>
  </si>
  <si>
    <t xml:space="preserve">0KYX5JL2KDVRD1L1P</t>
  </si>
  <si>
    <t xml:space="preserve">CANON-202603-005085</t>
  </si>
  <si>
    <t xml:space="preserve">8CDH1H9FM41X3T7NW</t>
  </si>
  <si>
    <t xml:space="preserve">CANON-202603-005086</t>
  </si>
  <si>
    <t xml:space="preserve">Marisol Nakashima</t>
  </si>
  <si>
    <t xml:space="preserve">97ZE9FBW0377MWMGT</t>
  </si>
  <si>
    <t xml:space="preserve">CANON-202603-005088</t>
  </si>
  <si>
    <t xml:space="preserve">6A6K6J1FD4A7JE1K7</t>
  </si>
  <si>
    <t xml:space="preserve">CANON-202603-005090</t>
  </si>
  <si>
    <t xml:space="preserve">Wilhelmina Thistlewood</t>
  </si>
  <si>
    <t xml:space="preserve">TN344895JJHURKLU3</t>
  </si>
  <si>
    <t xml:space="preserve">CANON-202603-005091</t>
  </si>
  <si>
    <t xml:space="preserve">EA2FDU16LG2N14BG2</t>
  </si>
  <si>
    <t xml:space="preserve">CANON-202603-005092</t>
  </si>
  <si>
    <t xml:space="preserve">XRKZT5162VN38DT57</t>
  </si>
  <si>
    <t xml:space="preserve">CANON-202603-005094</t>
  </si>
  <si>
    <t xml:space="preserve">Fitzgerald Vasquez</t>
  </si>
  <si>
    <t xml:space="preserve">ZJGKFNRGCDG9K4CVG</t>
  </si>
  <si>
    <t xml:space="preserve">CANON-202603-005095</t>
  </si>
  <si>
    <t xml:space="preserve">5BP3DW1DC1NL8LVNW</t>
  </si>
  <si>
    <t xml:space="preserve">CANON-202603-005096</t>
  </si>
  <si>
    <t xml:space="preserve">Fitzgerald Larsson</t>
  </si>
  <si>
    <t xml:space="preserve">27CP6YJTZFFTHK13D</t>
  </si>
  <si>
    <t xml:space="preserve">CANON-202603-005097</t>
  </si>
  <si>
    <t xml:space="preserve">87ZPJF6AV3EXHVYMG</t>
  </si>
  <si>
    <t xml:space="preserve">CANON-202603-005098</t>
  </si>
  <si>
    <t xml:space="preserve">9FWTA6EN9EHL10KLK</t>
  </si>
  <si>
    <t xml:space="preserve">CANON-202603-005099</t>
  </si>
  <si>
    <t xml:space="preserve">YAFNFSN47PCN4ZS9Z</t>
  </si>
  <si>
    <t xml:space="preserve">CANON-202603-005100</t>
  </si>
  <si>
    <t xml:space="preserve">41EV5L5SV59R1E5N1</t>
  </si>
  <si>
    <t xml:space="preserve">CANON-202603-005101</t>
  </si>
  <si>
    <t xml:space="preserve">Horace Okonkwo</t>
  </si>
  <si>
    <t xml:space="preserve">SZGHUN380HPZ32V7L</t>
  </si>
  <si>
    <t xml:space="preserve">CANON-202603-005102</t>
  </si>
  <si>
    <t xml:space="preserve">Callum Harrington</t>
  </si>
  <si>
    <t xml:space="preserve">74LN5T4ZYM5KBVTYE</t>
  </si>
  <si>
    <t xml:space="preserve">CANON-202603-005103</t>
  </si>
  <si>
    <t xml:space="preserve">Marisol Underwood</t>
  </si>
  <si>
    <t xml:space="preserve">NF7E3PD6ZKFDX4EKP</t>
  </si>
  <si>
    <t xml:space="preserve">CANON-202603-005105</t>
  </si>
  <si>
    <t xml:space="preserve">Mireille Delacroix</t>
  </si>
  <si>
    <t xml:space="preserve">AW7ZNJ2XWXFAANAUH</t>
  </si>
  <si>
    <t xml:space="preserve">CANON-202603-005106</t>
  </si>
  <si>
    <t xml:space="preserve">Everett Fairweather</t>
  </si>
  <si>
    <t xml:space="preserve">ZSCWJ47EKWS5YVYTE</t>
  </si>
  <si>
    <t xml:space="preserve">CANON-202603-005107</t>
  </si>
  <si>
    <t xml:space="preserve">Fenwick Whitlock</t>
  </si>
  <si>
    <t xml:space="preserve">9SV92VBV75TVC91VN</t>
  </si>
  <si>
    <t xml:space="preserve">CANON-202603-005108</t>
  </si>
  <si>
    <t xml:space="preserve">Noor Ashcombe</t>
  </si>
  <si>
    <t xml:space="preserve">1YT7R1BBGKJDYGD10</t>
  </si>
  <si>
    <t xml:space="preserve">CANON-202603-005109</t>
  </si>
  <si>
    <t xml:space="preserve">4HUHM87EZC6VS43K1</t>
  </si>
  <si>
    <t xml:space="preserve">CANON-202603-005110</t>
  </si>
  <si>
    <t xml:space="preserve">RBW1PL6MZTC925XLR</t>
  </si>
  <si>
    <t xml:space="preserve">CANON-202603-005114</t>
  </si>
  <si>
    <t xml:space="preserve">Desmond Kingsford</t>
  </si>
  <si>
    <t xml:space="preserve">LXA1BXDWE59D6MAZ9</t>
  </si>
  <si>
    <t xml:space="preserve">Connecticut</t>
  </si>
  <si>
    <t xml:space="preserve">CANON-202603-005117</t>
  </si>
  <si>
    <t xml:space="preserve">17SZ4XVFNDCUJRSMR</t>
  </si>
  <si>
    <t xml:space="preserve">CANON-202603-005118</t>
  </si>
  <si>
    <t xml:space="preserve">2VH61ZWF3L087XJ8W</t>
  </si>
  <si>
    <t xml:space="preserve">CANON-202603-005119</t>
  </si>
  <si>
    <t xml:space="preserve">Beatrix Rourke</t>
  </si>
  <si>
    <t xml:space="preserve">HY0A0PU2GFPH6UMSY</t>
  </si>
  <si>
    <t xml:space="preserve">CANON-202603-005120</t>
  </si>
  <si>
    <t xml:space="preserve">Aurelio Rourke</t>
  </si>
  <si>
    <t xml:space="preserve">85V349N2T8KGEPU0B</t>
  </si>
  <si>
    <t xml:space="preserve">CANON-202603-005121</t>
  </si>
  <si>
    <t xml:space="preserve">7PS4HCA86WW5BLFVZ</t>
  </si>
  <si>
    <t xml:space="preserve">CANON-202603-005122</t>
  </si>
  <si>
    <t xml:space="preserve">Sunniva Bellandi</t>
  </si>
  <si>
    <t xml:space="preserve">MJBKXAN9M8PG03BUB</t>
  </si>
  <si>
    <t xml:space="preserve">CANON-202603-005124</t>
  </si>
  <si>
    <t xml:space="preserve">9EK44RWYJA9249PP5</t>
  </si>
  <si>
    <t xml:space="preserve">CANON-202603-005125</t>
  </si>
  <si>
    <t xml:space="preserve">Marisol Thistlewood</t>
  </si>
  <si>
    <t xml:space="preserve">D7ABN2MF50ZEAMSAH</t>
  </si>
  <si>
    <t xml:space="preserve">CANON-202603-005126</t>
  </si>
  <si>
    <t xml:space="preserve">618J1KBSEZJFU2KD4</t>
  </si>
  <si>
    <t xml:space="preserve">CANON-202603-005128</t>
  </si>
  <si>
    <t xml:space="preserve">Y9TD1F01W79B0PG8M</t>
  </si>
  <si>
    <t xml:space="preserve">CANON-202603-005129</t>
  </si>
  <si>
    <t xml:space="preserve">Leopold Bellandi</t>
  </si>
  <si>
    <t xml:space="preserve">XE6UGPUR8LEZUMK5H</t>
  </si>
  <si>
    <t xml:space="preserve">CANON-202603-005130</t>
  </si>
  <si>
    <t xml:space="preserve">Leopold Okonkwo</t>
  </si>
  <si>
    <t xml:space="preserve">XE4SRBXRSH1U8LFFY</t>
  </si>
  <si>
    <t xml:space="preserve">CANON-202603-005131</t>
  </si>
  <si>
    <t xml:space="preserve">5GWBYMU5NS47UP844</t>
  </si>
  <si>
    <t xml:space="preserve">CANON-202603-005132</t>
  </si>
  <si>
    <t xml:space="preserve">1RVY50SUSNBDFV7NU</t>
  </si>
  <si>
    <t xml:space="preserve">CANON-202603-005133</t>
  </si>
  <si>
    <t xml:space="preserve">RB194R4CVDG74ULT5</t>
  </si>
  <si>
    <t xml:space="preserve">CANON-202603-005136</t>
  </si>
  <si>
    <t xml:space="preserve">Cassius Thistlewood</t>
  </si>
  <si>
    <t xml:space="preserve">YPS9X1F00KRTE58EF</t>
  </si>
  <si>
    <t xml:space="preserve">CANON-202603-005137</t>
  </si>
  <si>
    <t xml:space="preserve">Ramona Underwood</t>
  </si>
  <si>
    <t xml:space="preserve">71T2XKAZ3RRSTSBRU</t>
  </si>
  <si>
    <t xml:space="preserve">CANON-202603-005138</t>
  </si>
  <si>
    <t xml:space="preserve">DAPM4D93V6FD8FDC0</t>
  </si>
  <si>
    <t xml:space="preserve">CANON-202603-005139</t>
  </si>
  <si>
    <t xml:space="preserve">J2E20186H6NMYPZ9R</t>
  </si>
  <si>
    <t xml:space="preserve">CANON-202603-005140</t>
  </si>
  <si>
    <t xml:space="preserve">B4N69U49A3AD8R98G</t>
  </si>
  <si>
    <t xml:space="preserve">CANON-202603-005141</t>
  </si>
  <si>
    <t xml:space="preserve">EXA5ZEG7ZREE0TE4Y</t>
  </si>
  <si>
    <t xml:space="preserve">CANON-202603-005142</t>
  </si>
  <si>
    <t xml:space="preserve">Leopold Ashcombe</t>
  </si>
  <si>
    <t xml:space="preserve">AZHJE7HBZAF4NHN23</t>
  </si>
  <si>
    <t xml:space="preserve">CANON-202603-005143</t>
  </si>
  <si>
    <t xml:space="preserve">HJ7701LH02B6RJP9V</t>
  </si>
  <si>
    <t xml:space="preserve">CANON-202603-005145</t>
  </si>
  <si>
    <t xml:space="preserve">NA2FHLKNNKGVRRKBN</t>
  </si>
  <si>
    <t xml:space="preserve">CANON-202603-005148</t>
  </si>
  <si>
    <t xml:space="preserve">UYCMK6GGRXHN8DAYL</t>
  </si>
  <si>
    <t xml:space="preserve">CANON-202603-005149</t>
  </si>
  <si>
    <t xml:space="preserve">Priya Rourke</t>
  </si>
  <si>
    <t xml:space="preserve">MEJ38WDNJCE3KACM9</t>
  </si>
  <si>
    <t xml:space="preserve">CANON-202603-005151</t>
  </si>
  <si>
    <t xml:space="preserve">KK89GECV7HMPFE0H1</t>
  </si>
  <si>
    <t xml:space="preserve">CANON-202603-005152</t>
  </si>
  <si>
    <t xml:space="preserve">L2XZ8TUM5DM23UXJY</t>
  </si>
  <si>
    <t xml:space="preserve">CANON-202603-005153</t>
  </si>
  <si>
    <t xml:space="preserve">Saoirse Delacroix</t>
  </si>
  <si>
    <t xml:space="preserve">9C7YCRHFPEE1E4KTY</t>
  </si>
  <si>
    <t xml:space="preserve">CANON-202603-005154</t>
  </si>
  <si>
    <t xml:space="preserve">C3C36ND7CTDGUTF4Z</t>
  </si>
  <si>
    <t xml:space="preserve">CANON-202603-005156</t>
  </si>
  <si>
    <t xml:space="preserve">Sunniva Delacroix</t>
  </si>
  <si>
    <t xml:space="preserve">D3SGFTJ933ZA21S5W</t>
  </si>
  <si>
    <t xml:space="preserve">CANON-202603-005157</t>
  </si>
  <si>
    <t xml:space="preserve">DHMWWSMY92RZCHPEU</t>
  </si>
  <si>
    <t xml:space="preserve">CANON-202603-005158</t>
  </si>
  <si>
    <t xml:space="preserve">Callum Merriweather</t>
  </si>
  <si>
    <t xml:space="preserve">9S7PXL9XKADH4PNKY</t>
  </si>
  <si>
    <t xml:space="preserve">CANON-202603-005159</t>
  </si>
  <si>
    <t xml:space="preserve">Beatrix Kingsford</t>
  </si>
  <si>
    <t xml:space="preserve">8PDK8ED6PM4DCPPZT</t>
  </si>
  <si>
    <t xml:space="preserve">CANON-202603-005161</t>
  </si>
  <si>
    <t xml:space="preserve">70G9TX6CGE0ZWL438</t>
  </si>
  <si>
    <t xml:space="preserve">CANON-202603-005162</t>
  </si>
  <si>
    <t xml:space="preserve">CW801W390HYRWYRJ9</t>
  </si>
  <si>
    <t xml:space="preserve">CANON-202603-005163</t>
  </si>
  <si>
    <t xml:space="preserve">Wilhelmina Ashcombe</t>
  </si>
  <si>
    <t xml:space="preserve">US4NARKN236CCD1PV</t>
  </si>
  <si>
    <t xml:space="preserve">CANON-202603-005164</t>
  </si>
  <si>
    <t xml:space="preserve">5G6VE6B0M5RB1VHUN</t>
  </si>
  <si>
    <t xml:space="preserve">CANON-202603-005165</t>
  </si>
  <si>
    <t xml:space="preserve">Anouk Vandermeer</t>
  </si>
  <si>
    <t xml:space="preserve">VGV262WGKH8V5RR5L</t>
  </si>
  <si>
    <t xml:space="preserve">CANON-202603-005166</t>
  </si>
  <si>
    <t xml:space="preserve">Cassius Ashcombe</t>
  </si>
  <si>
    <t xml:space="preserve">ET094EYEB2XC4WA9S</t>
  </si>
  <si>
    <t xml:space="preserve">CANON-202603-005167</t>
  </si>
  <si>
    <t xml:space="preserve">0EFW6TDJWY57LYFA4</t>
  </si>
  <si>
    <t xml:space="preserve">CANON-202603-005168</t>
  </si>
  <si>
    <t xml:space="preserve">UB8S575YTFHK1P3R5</t>
  </si>
  <si>
    <t xml:space="preserve">CANON-202603-005169</t>
  </si>
  <si>
    <t xml:space="preserve">Wilhelmina Pennington</t>
  </si>
  <si>
    <t xml:space="preserve">GYLULDCGRSJPWRMMF</t>
  </si>
  <si>
    <t xml:space="preserve">CANON-202603-005170</t>
  </si>
  <si>
    <t xml:space="preserve">TXEA4BJSFZP0DECBL</t>
  </si>
  <si>
    <t xml:space="preserve">CANON-202603-005172</t>
  </si>
  <si>
    <t xml:space="preserve">5XH8XUHHCWH5E9RXF</t>
  </si>
  <si>
    <t xml:space="preserve">CANON-202603-005173</t>
  </si>
  <si>
    <t xml:space="preserve">TCJAC8U763LD3ZBS1</t>
  </si>
  <si>
    <t xml:space="preserve">CANON-202603-005174</t>
  </si>
  <si>
    <t xml:space="preserve">57GN4FR6CKC1WE814</t>
  </si>
  <si>
    <t xml:space="preserve">CANON-202603-005175</t>
  </si>
  <si>
    <t xml:space="preserve">Emiliano Montoya</t>
  </si>
  <si>
    <t xml:space="preserve">P69PZZPXH0NNM06A2</t>
  </si>
  <si>
    <t xml:space="preserve">CANON-202603-005176</t>
  </si>
  <si>
    <t xml:space="preserve">TKTUHBH704L7JU0GZ</t>
  </si>
  <si>
    <t xml:space="preserve">CANON-202603-005178</t>
  </si>
  <si>
    <t xml:space="preserve">Horace Chattopadhyay</t>
  </si>
  <si>
    <t xml:space="preserve">21VC9EZPR4U97KSSJ</t>
  </si>
  <si>
    <t xml:space="preserve">CANON-202603-005179</t>
  </si>
  <si>
    <t xml:space="preserve">8B6JYH7GFEKJL9CSU</t>
  </si>
  <si>
    <t xml:space="preserve">CANON-202603-005181</t>
  </si>
  <si>
    <t xml:space="preserve">Aurelio Whitlock</t>
  </si>
  <si>
    <t xml:space="preserve">4U57PESSWCWJJDJFZ</t>
  </si>
  <si>
    <t xml:space="preserve">CANON-202603-005182</t>
  </si>
  <si>
    <t xml:space="preserve">ETKAWA89HLUWLESS0</t>
  </si>
  <si>
    <t xml:space="preserve">CANON-202603-005183</t>
  </si>
  <si>
    <t xml:space="preserve">KR4NBZXDNGFBNR25N</t>
  </si>
  <si>
    <t xml:space="preserve">CANON-202603-005184</t>
  </si>
  <si>
    <t xml:space="preserve">Fenwick Bellandi</t>
  </si>
  <si>
    <t xml:space="preserve">5L0JDU1JC9N7HZ3TU</t>
  </si>
  <si>
    <t xml:space="preserve">CANON-202603-005187</t>
  </si>
  <si>
    <t xml:space="preserve">Leopold Castellanos</t>
  </si>
  <si>
    <t xml:space="preserve">6SUDH7U31VB7DXJ2K</t>
  </si>
  <si>
    <t xml:space="preserve">CANON-202603-005188</t>
  </si>
  <si>
    <t xml:space="preserve">Wilhelmina Whitlock</t>
  </si>
  <si>
    <t xml:space="preserve">RPND6KXY49U51RR5A</t>
  </si>
  <si>
    <t xml:space="preserve">CANON-202603-005189</t>
  </si>
  <si>
    <t xml:space="preserve">CZHDFXEPCD5WH74NE</t>
  </si>
  <si>
    <t xml:space="preserve">CANON-202603-005190</t>
  </si>
  <si>
    <t xml:space="preserve">Horace Rourke</t>
  </si>
  <si>
    <t xml:space="preserve">JB12VH3NAR8TVJ6K4</t>
  </si>
  <si>
    <t xml:space="preserve">CANON-202603-005191</t>
  </si>
  <si>
    <t xml:space="preserve">Priya Thistlewood</t>
  </si>
  <si>
    <t xml:space="preserve">002W26LE0C2JYHAY6</t>
  </si>
  <si>
    <t xml:space="preserve">CANON-202603-005192</t>
  </si>
  <si>
    <t xml:space="preserve">Delphine Fairweather</t>
  </si>
  <si>
    <t xml:space="preserve">EYU119CP6DNCXKCLZ</t>
  </si>
  <si>
    <t xml:space="preserve">CANON-202603-005194</t>
  </si>
  <si>
    <t xml:space="preserve">Fenwick Rourke</t>
  </si>
  <si>
    <t xml:space="preserve">PALYNA95BPWEVV11H</t>
  </si>
  <si>
    <t xml:space="preserve">CANON-202603-005195</t>
  </si>
  <si>
    <t xml:space="preserve">Desmond Vasquez</t>
  </si>
  <si>
    <t xml:space="preserve">8DY0JYW6HSZSDXCAR</t>
  </si>
  <si>
    <t xml:space="preserve">CANON-202603-005197</t>
  </si>
  <si>
    <t xml:space="preserve">CT6KDCLFPAW36YLPN</t>
  </si>
  <si>
    <t xml:space="preserve">CANON-202603-005198</t>
  </si>
  <si>
    <t xml:space="preserve">Mireille Pennington</t>
  </si>
  <si>
    <t xml:space="preserve">CCA19VCN987KVSLDT</t>
  </si>
  <si>
    <t xml:space="preserve">CANON-202603-005200</t>
  </si>
  <si>
    <t xml:space="preserve">SPRBSR1WS6CKG5SED</t>
  </si>
  <si>
    <t xml:space="preserve">CANON-202603-005201</t>
  </si>
  <si>
    <t xml:space="preserve">89KDZGYU6DA18WD1U</t>
  </si>
  <si>
    <t xml:space="preserve">CANON-202603-005202</t>
  </si>
  <si>
    <t xml:space="preserve">KAVL2N0XUE4UMSV8C</t>
  </si>
  <si>
    <t xml:space="preserve">CANON-202603-005204</t>
  </si>
  <si>
    <t xml:space="preserve">ZS4SJ02A703NRJK00</t>
  </si>
  <si>
    <t xml:space="preserve">CANON-202603-005206</t>
  </si>
  <si>
    <t xml:space="preserve">Marisol Harrington</t>
  </si>
  <si>
    <t xml:space="preserve">VSYVXTZU5PE0GCXDL</t>
  </si>
  <si>
    <t xml:space="preserve">CANON-202603-005207</t>
  </si>
  <si>
    <t xml:space="preserve">CYZTKJZ54RSEYLAV1</t>
  </si>
  <si>
    <t xml:space="preserve">CANON-202603-005209</t>
  </si>
  <si>
    <t xml:space="preserve">Fenwick Vandermeer</t>
  </si>
  <si>
    <t xml:space="preserve">GL1RMBBFJ6TXPP29A</t>
  </si>
  <si>
    <t xml:space="preserve">CANON-202603-005210</t>
  </si>
  <si>
    <t xml:space="preserve">GRU4CR3ZKVHXJSAPF</t>
  </si>
  <si>
    <t xml:space="preserve">CANON-202603-005212</t>
  </si>
  <si>
    <t xml:space="preserve">Marisol Merriweather</t>
  </si>
  <si>
    <t xml:space="preserve">HF9TJY2XPSDNR26L6</t>
  </si>
  <si>
    <t xml:space="preserve">CANON-202603-005213</t>
  </si>
  <si>
    <t xml:space="preserve">T07638LJJT4XJZAF9</t>
  </si>
  <si>
    <t xml:space="preserve">CANON-202603-005214</t>
  </si>
  <si>
    <t xml:space="preserve">STK8P73KE123Y08T4</t>
  </si>
  <si>
    <t xml:space="preserve">CANON-202603-005217</t>
  </si>
  <si>
    <t xml:space="preserve">Desmond Vandermeer</t>
  </si>
  <si>
    <t xml:space="preserve">TZ74D4A38A08W6K7J</t>
  </si>
  <si>
    <t xml:space="preserve">CANON-202603-005218</t>
  </si>
  <si>
    <t xml:space="preserve">EVZZMM54WWR91CHKD</t>
  </si>
  <si>
    <t xml:space="preserve">CANON-202603-005219</t>
  </si>
  <si>
    <t xml:space="preserve">FV0886R7L8JHUECAA</t>
  </si>
  <si>
    <t xml:space="preserve">CANON-202603-005220</t>
  </si>
  <si>
    <t xml:space="preserve">9GU3RFRLHY9NWNERE</t>
  </si>
  <si>
    <t xml:space="preserve">CANON-202603-005221</t>
  </si>
  <si>
    <t xml:space="preserve">Y075BZBRFGM116YXX</t>
  </si>
  <si>
    <t xml:space="preserve">CANON-202603-005222</t>
  </si>
  <si>
    <t xml:space="preserve">Wilhelmina Kingsford</t>
  </si>
  <si>
    <t xml:space="preserve">1P19M4E22V1S8LDM5</t>
  </si>
  <si>
    <t xml:space="preserve">CANON-202603-005223</t>
  </si>
  <si>
    <t xml:space="preserve">Emiliano Vandermeer</t>
  </si>
  <si>
    <t xml:space="preserve">K47W2KY0XSX9KVZR3</t>
  </si>
  <si>
    <t xml:space="preserve">CANON-202603-005224</t>
  </si>
  <si>
    <t xml:space="preserve">WBSY807VKUVD4EEXB</t>
  </si>
  <si>
    <t xml:space="preserve">CANON-202603-005226</t>
  </si>
  <si>
    <t xml:space="preserve">Anouk Merriweather</t>
  </si>
  <si>
    <t xml:space="preserve">VZ46D6CS12VDKWJZL</t>
  </si>
  <si>
    <t xml:space="preserve">CANON-202603-005227</t>
  </si>
  <si>
    <t xml:space="preserve">HSUB46D862B9EDM3P</t>
  </si>
  <si>
    <t xml:space="preserve">CANON-202603-005228</t>
  </si>
  <si>
    <t xml:space="preserve">9B1B8YGRA4NK4K9YM</t>
  </si>
  <si>
    <t xml:space="preserve">CANON-202603-005229</t>
  </si>
  <si>
    <t xml:space="preserve">E8A5XKTSWYY5NMVJG</t>
  </si>
  <si>
    <t xml:space="preserve">CANON-202603-005230</t>
  </si>
  <si>
    <t xml:space="preserve">XRZ7BG7DV8HUNJ9UC</t>
  </si>
  <si>
    <t xml:space="preserve">CANON-202603-005232</t>
  </si>
  <si>
    <t xml:space="preserve">4LT3HTGDYH3UCYZBA</t>
  </si>
  <si>
    <t xml:space="preserve">CANON-202603-005233</t>
  </si>
  <si>
    <t xml:space="preserve">Beatrix Merriweather</t>
  </si>
  <si>
    <t xml:space="preserve">82UZ7129C7A6CLM19</t>
  </si>
  <si>
    <t xml:space="preserve">CANON-202603-005236</t>
  </si>
  <si>
    <t xml:space="preserve">Emiliano Rourke</t>
  </si>
  <si>
    <t xml:space="preserve">UDR35SWLX60RJA026</t>
  </si>
  <si>
    <t xml:space="preserve">CANON-202603-005240</t>
  </si>
  <si>
    <t xml:space="preserve">DEXBECTHXYU4D4LYU</t>
  </si>
  <si>
    <t xml:space="preserve">CANON-202603-005241</t>
  </si>
  <si>
    <t xml:space="preserve">HC4HTZ82SLM97UG29</t>
  </si>
  <si>
    <t xml:space="preserve">CANON-202603-005243</t>
  </si>
  <si>
    <t xml:space="preserve">A1HAX9H3AUNX99ZA8</t>
  </si>
  <si>
    <t xml:space="preserve">CANON-202603-005246</t>
  </si>
  <si>
    <t xml:space="preserve">5YXKH3A25ZMHMPU36</t>
  </si>
  <si>
    <t xml:space="preserve">CANON-202603-005247</t>
  </si>
  <si>
    <t xml:space="preserve">Cassius Bellandi</t>
  </si>
  <si>
    <t xml:space="preserve">ZJ849V1ZSALUJFUK4</t>
  </si>
  <si>
    <t xml:space="preserve">CANON-202603-005248</t>
  </si>
  <si>
    <t xml:space="preserve">LK7SE99Y426B166ZT</t>
  </si>
  <si>
    <t xml:space="preserve">CANON-202603-005249</t>
  </si>
  <si>
    <t xml:space="preserve">SEP2T4CX81ELHAT5T</t>
  </si>
  <si>
    <t xml:space="preserve">CANON-202603-005250</t>
  </si>
  <si>
    <t xml:space="preserve">Emiliano Chattopadhyay</t>
  </si>
  <si>
    <t xml:space="preserve">RFZU9LZZR76WYR837</t>
  </si>
  <si>
    <t xml:space="preserve">CANON-202603-005251</t>
  </si>
  <si>
    <t xml:space="preserve">Lorenzo Blackwood</t>
  </si>
  <si>
    <t xml:space="preserve">YHB8HAV9KR9SNTS0Y</t>
  </si>
  <si>
    <t xml:space="preserve">CANON-202603-005253</t>
  </si>
  <si>
    <t xml:space="preserve">D2ZHBSAGC0AC9G3YC</t>
  </si>
  <si>
    <t xml:space="preserve">CANON-202603-005255</t>
  </si>
  <si>
    <t xml:space="preserve">XB0BU0E701YKVPAXA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</si>
  <si>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</si>
  <si>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</si>
  <si>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</si>
  <si>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</si>
  <si>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2026-03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</si>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</sst>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2010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560000</v>
      </c>
      <c r="K5" s="3" t="s">
        <v>48</v>
      </c>
      <c r="L5" s="7" t="n">
        <v>8074</v>
      </c>
      <c r="M5" s="7" t="n">
        <v>1009.25</v>
      </c>
      <c r="N5" s="7" t="n">
        <v>1009.25</v>
      </c>
      <c r="O5" s="7" t="n">
        <v>6055.5</v>
      </c>
      <c r="P5" s="7" t="n">
        <v>605.55</v>
      </c>
      <c r="Q5" s="7" t="n">
        <v>605.55</v>
      </c>
      <c r="R5" s="7" t="n">
        <v>605.55</v>
      </c>
      <c r="S5" s="7" t="n">
        <v>605.55</v>
      </c>
      <c r="T5" s="7" t="n">
        <v>605.55</v>
      </c>
      <c r="U5" s="7" t="n">
        <v>605.55</v>
      </c>
      <c r="V5" s="7" t="n">
        <v>605.55</v>
      </c>
      <c r="W5" s="7" t="n">
        <v>605.55</v>
      </c>
      <c r="X5" s="7" t="n">
        <v>605.55</v>
      </c>
      <c r="Y5" s="7" t="n">
        <v>605.55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2019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375000</v>
      </c>
      <c r="K6" s="8" t="s">
        <v>57</v>
      </c>
      <c r="L6" s="9" t="n">
        <v>5706.24</v>
      </c>
      <c r="M6" s="9" t="n">
        <v>713.28</v>
      </c>
      <c r="N6" s="9" t="n">
        <v>713.28</v>
      </c>
      <c r="O6" s="9" t="n">
        <v>4279.7</v>
      </c>
      <c r="P6" s="9" t="n">
        <v>427.97</v>
      </c>
      <c r="Q6" s="9" t="n">
        <v>427.97</v>
      </c>
      <c r="R6" s="9" t="n">
        <v>427.97</v>
      </c>
      <c r="S6" s="9" t="n">
        <v>427.97</v>
      </c>
      <c r="T6" s="9" t="n">
        <v>427.97</v>
      </c>
      <c r="U6" s="9" t="n">
        <v>427.97</v>
      </c>
      <c r="V6" s="9" t="n">
        <v>427.97</v>
      </c>
      <c r="W6" s="9" t="n">
        <v>427.97</v>
      </c>
      <c r="X6" s="9" t="n">
        <v>427.97</v>
      </c>
      <c r="Y6" s="9" t="n">
        <v>427.97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2004</v>
      </c>
      <c r="F7" s="3" t="s">
        <v>62</v>
      </c>
      <c r="G7" s="3" t="s">
        <v>63</v>
      </c>
      <c r="H7" s="3" t="s">
        <v>64</v>
      </c>
      <c r="I7" s="3" t="s">
        <v>56</v>
      </c>
      <c r="J7" s="7" t="n">
        <v>1260000</v>
      </c>
      <c r="K7" s="3" t="s">
        <v>65</v>
      </c>
      <c r="L7" s="7" t="n">
        <v>13617.33</v>
      </c>
      <c r="M7" s="7" t="n">
        <v>1702.17</v>
      </c>
      <c r="N7" s="7" t="n">
        <v>1702.17</v>
      </c>
      <c r="O7" s="7" t="n">
        <v>10213</v>
      </c>
      <c r="P7" s="7" t="n">
        <v>1021.3</v>
      </c>
      <c r="Q7" s="7" t="n">
        <v>1021.3</v>
      </c>
      <c r="R7" s="7" t="n">
        <v>1021.3</v>
      </c>
      <c r="S7" s="7" t="n">
        <v>1021.3</v>
      </c>
      <c r="T7" s="7" t="n">
        <v>1021.3</v>
      </c>
      <c r="U7" s="7" t="n">
        <v>1021.3</v>
      </c>
      <c r="V7" s="7" t="n">
        <v>1021.3</v>
      </c>
      <c r="W7" s="7" t="n">
        <v>1021.3</v>
      </c>
      <c r="X7" s="7" t="n">
        <v>1021.3</v>
      </c>
      <c r="Y7" s="7" t="n">
        <v>1021.3</v>
      </c>
      <c r="Z7" s="7" t="n">
        <v>350</v>
      </c>
      <c r="AA7" s="7" t="n">
        <v>250</v>
      </c>
      <c r="AB7" s="7" t="n">
        <v>600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1961</v>
      </c>
      <c r="F8" s="8" t="s">
        <v>53</v>
      </c>
      <c r="G8" s="8" t="s">
        <v>54</v>
      </c>
      <c r="H8" s="8" t="s">
        <v>70</v>
      </c>
      <c r="I8" s="8" t="s">
        <v>56</v>
      </c>
      <c r="J8" s="9" t="n">
        <v>575000</v>
      </c>
      <c r="K8" s="8" t="s">
        <v>71</v>
      </c>
      <c r="L8" s="9" t="n">
        <v>5970.84</v>
      </c>
      <c r="M8" s="9" t="n">
        <v>746.36</v>
      </c>
      <c r="N8" s="9" t="n">
        <v>746.36</v>
      </c>
      <c r="O8" s="9" t="n">
        <v>4478.1</v>
      </c>
      <c r="P8" s="9" t="n">
        <v>447.81</v>
      </c>
      <c r="Q8" s="9" t="n">
        <v>447.81</v>
      </c>
      <c r="R8" s="9" t="n">
        <v>447.81</v>
      </c>
      <c r="S8" s="9" t="n">
        <v>447.81</v>
      </c>
      <c r="T8" s="9" t="n">
        <v>447.81</v>
      </c>
      <c r="U8" s="9" t="n">
        <v>447.81</v>
      </c>
      <c r="V8" s="9" t="n">
        <v>447.81</v>
      </c>
      <c r="W8" s="9" t="n">
        <v>447.81</v>
      </c>
      <c r="X8" s="9" t="n">
        <v>447.81</v>
      </c>
      <c r="Y8" s="9" t="n">
        <v>447.81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74</v>
      </c>
      <c r="D9" s="3" t="s">
        <v>75</v>
      </c>
      <c r="E9" s="3" t="n">
        <v>1996</v>
      </c>
      <c r="F9" s="3" t="s">
        <v>44</v>
      </c>
      <c r="G9" s="3" t="s">
        <v>76</v>
      </c>
      <c r="H9" s="3" t="s">
        <v>77</v>
      </c>
      <c r="I9" s="3" t="s">
        <v>78</v>
      </c>
      <c r="J9" s="7" t="n">
        <v>695000</v>
      </c>
      <c r="K9" s="3" t="s">
        <v>48</v>
      </c>
      <c r="L9" s="7" t="n">
        <v>4535.56</v>
      </c>
      <c r="M9" s="7" t="n">
        <v>566.95</v>
      </c>
      <c r="N9" s="7" t="n">
        <v>566.95</v>
      </c>
      <c r="O9" s="7" t="n">
        <v>3401.7</v>
      </c>
      <c r="P9" s="7" t="n">
        <v>340.17</v>
      </c>
      <c r="Q9" s="7" t="n">
        <v>340.17</v>
      </c>
      <c r="R9" s="7" t="n">
        <v>340.17</v>
      </c>
      <c r="S9" s="7" t="n">
        <v>340.17</v>
      </c>
      <c r="T9" s="7" t="n">
        <v>340.17</v>
      </c>
      <c r="U9" s="7" t="n">
        <v>340.17</v>
      </c>
      <c r="V9" s="7" t="n">
        <v>340.17</v>
      </c>
      <c r="W9" s="7" t="n">
        <v>340.17</v>
      </c>
      <c r="X9" s="7" t="n">
        <v>340.17</v>
      </c>
      <c r="Y9" s="7" t="n">
        <v>340.17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79</v>
      </c>
      <c r="B10" s="8" t="s">
        <v>80</v>
      </c>
      <c r="C10" s="8" t="s">
        <v>81</v>
      </c>
      <c r="D10" s="8" t="s">
        <v>82</v>
      </c>
      <c r="E10" s="8" t="n">
        <v>1976</v>
      </c>
      <c r="F10" s="8" t="s">
        <v>83</v>
      </c>
      <c r="G10" s="8" t="s">
        <v>84</v>
      </c>
      <c r="H10" s="8" t="s">
        <v>85</v>
      </c>
      <c r="I10" s="8" t="s">
        <v>56</v>
      </c>
      <c r="J10" s="9" t="n">
        <v>1280000</v>
      </c>
      <c r="K10" s="8" t="s">
        <v>86</v>
      </c>
      <c r="L10" s="9" t="n">
        <v>15183.09</v>
      </c>
      <c r="M10" s="9" t="n">
        <v>1897.89</v>
      </c>
      <c r="N10" s="9" t="n">
        <v>1897.89</v>
      </c>
      <c r="O10" s="9" t="n">
        <v>11387.3</v>
      </c>
      <c r="P10" s="9" t="n">
        <v>1138.73</v>
      </c>
      <c r="Q10" s="9" t="n">
        <v>1138.73</v>
      </c>
      <c r="R10" s="9" t="n">
        <v>1138.73</v>
      </c>
      <c r="S10" s="9" t="n">
        <v>1138.73</v>
      </c>
      <c r="T10" s="9" t="n">
        <v>1138.73</v>
      </c>
      <c r="U10" s="9" t="n">
        <v>1138.73</v>
      </c>
      <c r="V10" s="9" t="n">
        <v>1138.73</v>
      </c>
      <c r="W10" s="9" t="n">
        <v>1138.73</v>
      </c>
      <c r="X10" s="9" t="n">
        <v>1138.73</v>
      </c>
      <c r="Y10" s="9" t="n">
        <v>1138.73</v>
      </c>
      <c r="Z10" s="9" t="n">
        <v>350</v>
      </c>
      <c r="AA10" s="9" t="n">
        <v>250</v>
      </c>
      <c r="AB10" s="9" t="n">
        <v>600</v>
      </c>
    </row>
    <row r="11" customFormat="false" ht="15" hidden="false" customHeight="false" outlineLevel="0" collapsed="false">
      <c r="A11" s="3" t="s">
        <v>87</v>
      </c>
      <c r="B11" s="3" t="s">
        <v>88</v>
      </c>
      <c r="C11" s="3" t="s">
        <v>60</v>
      </c>
      <c r="D11" s="3" t="s">
        <v>61</v>
      </c>
      <c r="E11" s="3" t="n">
        <v>2009</v>
      </c>
      <c r="F11" s="3" t="s">
        <v>53</v>
      </c>
      <c r="G11" s="3" t="s">
        <v>54</v>
      </c>
      <c r="H11" s="3" t="s">
        <v>89</v>
      </c>
      <c r="I11" s="3" t="s">
        <v>56</v>
      </c>
      <c r="J11" s="7" t="n">
        <v>365000</v>
      </c>
      <c r="K11" s="3" t="s">
        <v>90</v>
      </c>
      <c r="L11" s="7" t="n">
        <v>5597.8</v>
      </c>
      <c r="M11" s="7" t="n">
        <v>699.73</v>
      </c>
      <c r="N11" s="7" t="n">
        <v>699.73</v>
      </c>
      <c r="O11" s="7" t="n">
        <v>4198.3</v>
      </c>
      <c r="P11" s="7" t="n">
        <v>419.83</v>
      </c>
      <c r="Q11" s="7" t="n">
        <v>419.83</v>
      </c>
      <c r="R11" s="7" t="n">
        <v>419.83</v>
      </c>
      <c r="S11" s="7" t="n">
        <v>419.83</v>
      </c>
      <c r="T11" s="7" t="n">
        <v>419.83</v>
      </c>
      <c r="U11" s="7" t="n">
        <v>419.83</v>
      </c>
      <c r="V11" s="7" t="n">
        <v>419.83</v>
      </c>
      <c r="W11" s="7" t="n">
        <v>419.83</v>
      </c>
      <c r="X11" s="7" t="n">
        <v>419.83</v>
      </c>
      <c r="Y11" s="7" t="n">
        <v>419.83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91</v>
      </c>
      <c r="B12" s="8" t="s">
        <v>92</v>
      </c>
      <c r="C12" s="8" t="s">
        <v>93</v>
      </c>
      <c r="D12" s="8" t="s">
        <v>94</v>
      </c>
      <c r="E12" s="8" t="n">
        <v>1992</v>
      </c>
      <c r="F12" s="8" t="s">
        <v>95</v>
      </c>
      <c r="G12" s="8" t="s">
        <v>96</v>
      </c>
      <c r="H12" s="8" t="s">
        <v>97</v>
      </c>
      <c r="I12" s="8" t="s">
        <v>47</v>
      </c>
      <c r="J12" s="9" t="n">
        <v>1125000</v>
      </c>
      <c r="K12" s="8" t="s">
        <v>98</v>
      </c>
      <c r="L12" s="9" t="n">
        <v>17972.41</v>
      </c>
      <c r="M12" s="9" t="n">
        <v>2246.55</v>
      </c>
      <c r="N12" s="9" t="n">
        <v>2246.55</v>
      </c>
      <c r="O12" s="9" t="n">
        <v>13479.3</v>
      </c>
      <c r="P12" s="9" t="n">
        <v>1347.93</v>
      </c>
      <c r="Q12" s="9" t="n">
        <v>1347.93</v>
      </c>
      <c r="R12" s="9" t="n">
        <v>1347.93</v>
      </c>
      <c r="S12" s="9" t="n">
        <v>1347.93</v>
      </c>
      <c r="T12" s="9" t="n">
        <v>1347.93</v>
      </c>
      <c r="U12" s="9" t="n">
        <v>1347.93</v>
      </c>
      <c r="V12" s="9" t="n">
        <v>1347.93</v>
      </c>
      <c r="W12" s="9" t="n">
        <v>1347.93</v>
      </c>
      <c r="X12" s="9" t="n">
        <v>1347.93</v>
      </c>
      <c r="Y12" s="9" t="n">
        <v>1347.93</v>
      </c>
      <c r="Z12" s="9" t="n">
        <v>350</v>
      </c>
      <c r="AA12" s="9" t="n">
        <v>250</v>
      </c>
      <c r="AB12" s="9" t="n">
        <v>600</v>
      </c>
    </row>
    <row r="13" customFormat="false" ht="15" hidden="false" customHeight="false" outlineLevel="0" collapsed="false">
      <c r="A13" s="3" t="s">
        <v>99</v>
      </c>
      <c r="B13" s="3" t="s">
        <v>100</v>
      </c>
      <c r="C13" s="3" t="s">
        <v>101</v>
      </c>
      <c r="D13" s="3" t="s">
        <v>102</v>
      </c>
      <c r="E13" s="3" t="n">
        <v>2022</v>
      </c>
      <c r="F13" s="3" t="s">
        <v>44</v>
      </c>
      <c r="G13" s="3" t="s">
        <v>45</v>
      </c>
      <c r="H13" s="3" t="s">
        <v>103</v>
      </c>
      <c r="I13" s="3" t="s">
        <v>47</v>
      </c>
      <c r="J13" s="7" t="n">
        <v>495000</v>
      </c>
      <c r="K13" s="3" t="s">
        <v>104</v>
      </c>
      <c r="L13" s="7" t="n">
        <v>9457.8</v>
      </c>
      <c r="M13" s="7" t="n">
        <v>1182.22</v>
      </c>
      <c r="N13" s="7" t="n">
        <v>1182.22</v>
      </c>
      <c r="O13" s="7" t="n">
        <v>7093.3</v>
      </c>
      <c r="P13" s="7" t="n">
        <v>709.33</v>
      </c>
      <c r="Q13" s="7" t="n">
        <v>709.33</v>
      </c>
      <c r="R13" s="7" t="n">
        <v>709.33</v>
      </c>
      <c r="S13" s="7" t="n">
        <v>709.33</v>
      </c>
      <c r="T13" s="7" t="n">
        <v>709.33</v>
      </c>
      <c r="U13" s="7" t="n">
        <v>709.33</v>
      </c>
      <c r="V13" s="7" t="n">
        <v>709.33</v>
      </c>
      <c r="W13" s="7" t="n">
        <v>709.33</v>
      </c>
      <c r="X13" s="7" t="n">
        <v>709.33</v>
      </c>
      <c r="Y13" s="7" t="n">
        <v>709.33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105</v>
      </c>
      <c r="B14" s="8" t="s">
        <v>106</v>
      </c>
      <c r="C14" s="8" t="s">
        <v>68</v>
      </c>
      <c r="D14" s="8" t="s">
        <v>69</v>
      </c>
      <c r="E14" s="8" t="n">
        <v>1989</v>
      </c>
      <c r="F14" s="8" t="s">
        <v>107</v>
      </c>
      <c r="G14" s="8" t="s">
        <v>108</v>
      </c>
      <c r="H14" s="8" t="s">
        <v>109</v>
      </c>
      <c r="I14" s="8" t="s">
        <v>110</v>
      </c>
      <c r="J14" s="9" t="n">
        <v>1010000</v>
      </c>
      <c r="K14" s="8" t="s">
        <v>111</v>
      </c>
      <c r="L14" s="9" t="n">
        <v>5376.26</v>
      </c>
      <c r="M14" s="9" t="n">
        <v>672.03</v>
      </c>
      <c r="N14" s="9" t="n">
        <v>672.03</v>
      </c>
      <c r="O14" s="9" t="n">
        <v>4032.2</v>
      </c>
      <c r="P14" s="9" t="n">
        <v>403.22</v>
      </c>
      <c r="Q14" s="9" t="n">
        <v>403.22</v>
      </c>
      <c r="R14" s="9" t="n">
        <v>403.22</v>
      </c>
      <c r="S14" s="9" t="n">
        <v>403.22</v>
      </c>
      <c r="T14" s="9" t="n">
        <v>403.22</v>
      </c>
      <c r="U14" s="9" t="n">
        <v>403.22</v>
      </c>
      <c r="V14" s="9" t="n">
        <v>403.22</v>
      </c>
      <c r="W14" s="9" t="n">
        <v>403.22</v>
      </c>
      <c r="X14" s="9" t="n">
        <v>403.22</v>
      </c>
      <c r="Y14" s="9" t="n">
        <v>403.22</v>
      </c>
      <c r="Z14" s="9" t="n">
        <v>350</v>
      </c>
      <c r="AA14" s="9" t="n">
        <v>250</v>
      </c>
      <c r="AB14" s="9" t="n">
        <v>600</v>
      </c>
    </row>
    <row r="15" customFormat="false" ht="15" hidden="false" customHeight="false" outlineLevel="0" collapsed="false">
      <c r="A15" s="3" t="s">
        <v>112</v>
      </c>
      <c r="B15" s="3" t="s">
        <v>113</v>
      </c>
      <c r="C15" s="3" t="s">
        <v>114</v>
      </c>
      <c r="D15" s="3" t="s">
        <v>115</v>
      </c>
      <c r="E15" s="3" t="n">
        <v>1970</v>
      </c>
      <c r="F15" s="3" t="s">
        <v>116</v>
      </c>
      <c r="G15" s="3" t="s">
        <v>117</v>
      </c>
      <c r="H15" s="3" t="s">
        <v>118</v>
      </c>
      <c r="I15" s="3" t="s">
        <v>119</v>
      </c>
      <c r="J15" s="7" t="n">
        <v>505000</v>
      </c>
      <c r="K15" s="3" t="s">
        <v>90</v>
      </c>
      <c r="L15" s="7" t="n">
        <v>8054.71</v>
      </c>
      <c r="M15" s="7" t="n">
        <v>1006.84</v>
      </c>
      <c r="N15" s="7" t="n">
        <v>1006.84</v>
      </c>
      <c r="O15" s="7" t="n">
        <v>6041</v>
      </c>
      <c r="P15" s="7" t="n">
        <v>604.1</v>
      </c>
      <c r="Q15" s="7" t="n">
        <v>604.1</v>
      </c>
      <c r="R15" s="7" t="n">
        <v>604.1</v>
      </c>
      <c r="S15" s="7" t="n">
        <v>604.1</v>
      </c>
      <c r="T15" s="7" t="n">
        <v>604.1</v>
      </c>
      <c r="U15" s="7" t="n">
        <v>604.1</v>
      </c>
      <c r="V15" s="7" t="n">
        <v>604.1</v>
      </c>
      <c r="W15" s="7" t="n">
        <v>604.1</v>
      </c>
      <c r="X15" s="7" t="n">
        <v>604.1</v>
      </c>
      <c r="Y15" s="7" t="n">
        <v>604.1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120</v>
      </c>
      <c r="B16" s="8" t="s">
        <v>121</v>
      </c>
      <c r="C16" s="8" t="s">
        <v>114</v>
      </c>
      <c r="D16" s="8" t="s">
        <v>115</v>
      </c>
      <c r="E16" s="8" t="n">
        <v>2017</v>
      </c>
      <c r="F16" s="8" t="s">
        <v>122</v>
      </c>
      <c r="G16" s="8" t="s">
        <v>123</v>
      </c>
      <c r="H16" s="8" t="s">
        <v>124</v>
      </c>
      <c r="I16" s="8" t="s">
        <v>56</v>
      </c>
      <c r="J16" s="9" t="n">
        <v>385000</v>
      </c>
      <c r="K16" s="8" t="s">
        <v>125</v>
      </c>
      <c r="L16" s="9" t="n">
        <v>6273.56</v>
      </c>
      <c r="M16" s="9" t="n">
        <v>784.2</v>
      </c>
      <c r="N16" s="9" t="n">
        <v>784.2</v>
      </c>
      <c r="O16" s="9" t="n">
        <v>4705.2</v>
      </c>
      <c r="P16" s="9" t="n">
        <v>470.52</v>
      </c>
      <c r="Q16" s="9" t="n">
        <v>470.52</v>
      </c>
      <c r="R16" s="9" t="n">
        <v>470.52</v>
      </c>
      <c r="S16" s="9" t="n">
        <v>470.52</v>
      </c>
      <c r="T16" s="9" t="n">
        <v>470.52</v>
      </c>
      <c r="U16" s="9" t="n">
        <v>470.52</v>
      </c>
      <c r="V16" s="9" t="n">
        <v>470.52</v>
      </c>
      <c r="W16" s="9" t="n">
        <v>470.52</v>
      </c>
      <c r="X16" s="9" t="n">
        <v>470.52</v>
      </c>
      <c r="Y16" s="9" t="n">
        <v>470.52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126</v>
      </c>
      <c r="B17" s="3" t="s">
        <v>127</v>
      </c>
      <c r="C17" s="3" t="s">
        <v>128</v>
      </c>
      <c r="D17" s="3" t="s">
        <v>129</v>
      </c>
      <c r="E17" s="3" t="n">
        <v>1976</v>
      </c>
      <c r="F17" s="3" t="s">
        <v>83</v>
      </c>
      <c r="G17" s="3" t="s">
        <v>84</v>
      </c>
      <c r="H17" s="3" t="s">
        <v>130</v>
      </c>
      <c r="I17" s="3" t="s">
        <v>56</v>
      </c>
      <c r="J17" s="7" t="n">
        <v>1095000</v>
      </c>
      <c r="K17" s="3" t="s">
        <v>131</v>
      </c>
      <c r="L17" s="7" t="n">
        <v>12507.6</v>
      </c>
      <c r="M17" s="7" t="n">
        <v>1563.45</v>
      </c>
      <c r="N17" s="7" t="n">
        <v>1563.45</v>
      </c>
      <c r="O17" s="7" t="n">
        <v>9380.7</v>
      </c>
      <c r="P17" s="7" t="n">
        <v>938.07</v>
      </c>
      <c r="Q17" s="7" t="n">
        <v>938.07</v>
      </c>
      <c r="R17" s="7" t="n">
        <v>938.07</v>
      </c>
      <c r="S17" s="7" t="n">
        <v>938.07</v>
      </c>
      <c r="T17" s="7" t="n">
        <v>938.07</v>
      </c>
      <c r="U17" s="7" t="n">
        <v>938.07</v>
      </c>
      <c r="V17" s="7" t="n">
        <v>938.07</v>
      </c>
      <c r="W17" s="7" t="n">
        <v>938.07</v>
      </c>
      <c r="X17" s="7" t="n">
        <v>938.07</v>
      </c>
      <c r="Y17" s="7" t="n">
        <v>938.07</v>
      </c>
      <c r="Z17" s="7" t="n">
        <v>350</v>
      </c>
      <c r="AA17" s="7" t="n">
        <v>250</v>
      </c>
      <c r="AB17" s="7" t="n">
        <v>600</v>
      </c>
    </row>
    <row r="18" customFormat="false" ht="15" hidden="false" customHeight="false" outlineLevel="0" collapsed="false">
      <c r="A18" s="8" t="s">
        <v>132</v>
      </c>
      <c r="B18" s="8" t="s">
        <v>133</v>
      </c>
      <c r="C18" s="8" t="s">
        <v>101</v>
      </c>
      <c r="D18" s="8" t="s">
        <v>102</v>
      </c>
      <c r="E18" s="8" t="n">
        <v>1956</v>
      </c>
      <c r="F18" s="8" t="s">
        <v>107</v>
      </c>
      <c r="G18" s="8" t="s">
        <v>134</v>
      </c>
      <c r="H18" s="8" t="s">
        <v>135</v>
      </c>
      <c r="I18" s="8" t="s">
        <v>56</v>
      </c>
      <c r="J18" s="9" t="n">
        <v>160000</v>
      </c>
      <c r="K18" s="8" t="s">
        <v>136</v>
      </c>
      <c r="L18" s="9" t="n">
        <v>3644.97</v>
      </c>
      <c r="M18" s="9" t="n">
        <v>455.62</v>
      </c>
      <c r="N18" s="9" t="n">
        <v>455.62</v>
      </c>
      <c r="O18" s="9" t="n">
        <v>2733.7</v>
      </c>
      <c r="P18" s="9" t="n">
        <v>273.37</v>
      </c>
      <c r="Q18" s="9" t="n">
        <v>273.37</v>
      </c>
      <c r="R18" s="9" t="n">
        <v>273.37</v>
      </c>
      <c r="S18" s="9" t="n">
        <v>273.37</v>
      </c>
      <c r="T18" s="9" t="n">
        <v>273.37</v>
      </c>
      <c r="U18" s="9" t="n">
        <v>273.37</v>
      </c>
      <c r="V18" s="9" t="n">
        <v>273.37</v>
      </c>
      <c r="W18" s="9" t="n">
        <v>273.37</v>
      </c>
      <c r="X18" s="9" t="n">
        <v>273.37</v>
      </c>
      <c r="Y18" s="9" t="n">
        <v>273.37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137</v>
      </c>
      <c r="B19" s="3" t="s">
        <v>138</v>
      </c>
      <c r="C19" s="3" t="s">
        <v>139</v>
      </c>
      <c r="D19" s="3" t="s">
        <v>140</v>
      </c>
      <c r="E19" s="3" t="n">
        <v>2019</v>
      </c>
      <c r="F19" s="3" t="s">
        <v>83</v>
      </c>
      <c r="G19" s="3" t="s">
        <v>84</v>
      </c>
      <c r="H19" s="3" t="s">
        <v>141</v>
      </c>
      <c r="I19" s="3" t="s">
        <v>56</v>
      </c>
      <c r="J19" s="7" t="n">
        <v>385000</v>
      </c>
      <c r="K19" s="3" t="s">
        <v>142</v>
      </c>
      <c r="L19" s="7" t="n">
        <v>6550.34</v>
      </c>
      <c r="M19" s="7" t="n">
        <v>818.79</v>
      </c>
      <c r="N19" s="7" t="n">
        <v>818.79</v>
      </c>
      <c r="O19" s="7" t="n">
        <v>4912.8</v>
      </c>
      <c r="P19" s="7" t="n">
        <v>491.28</v>
      </c>
      <c r="Q19" s="7" t="n">
        <v>491.28</v>
      </c>
      <c r="R19" s="7" t="n">
        <v>491.28</v>
      </c>
      <c r="S19" s="7" t="n">
        <v>491.28</v>
      </c>
      <c r="T19" s="7" t="n">
        <v>491.28</v>
      </c>
      <c r="U19" s="7" t="n">
        <v>491.28</v>
      </c>
      <c r="V19" s="7" t="n">
        <v>491.28</v>
      </c>
      <c r="W19" s="7" t="n">
        <v>491.28</v>
      </c>
      <c r="X19" s="7" t="n">
        <v>491.28</v>
      </c>
      <c r="Y19" s="7" t="n">
        <v>491.28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143</v>
      </c>
      <c r="B20" s="8" t="s">
        <v>144</v>
      </c>
      <c r="C20" s="8" t="s">
        <v>145</v>
      </c>
      <c r="D20" s="8" t="s">
        <v>146</v>
      </c>
      <c r="E20" s="8" t="n">
        <v>1958</v>
      </c>
      <c r="F20" s="8" t="s">
        <v>147</v>
      </c>
      <c r="G20" s="8" t="s">
        <v>148</v>
      </c>
      <c r="H20" s="8" t="s">
        <v>149</v>
      </c>
      <c r="I20" s="8" t="s">
        <v>119</v>
      </c>
      <c r="J20" s="9" t="n">
        <v>310000</v>
      </c>
      <c r="K20" s="8" t="s">
        <v>150</v>
      </c>
      <c r="L20" s="9" t="n">
        <v>5316.89</v>
      </c>
      <c r="M20" s="9" t="n">
        <v>664.61</v>
      </c>
      <c r="N20" s="9" t="n">
        <v>664.61</v>
      </c>
      <c r="O20" s="9" t="n">
        <v>3987.7</v>
      </c>
      <c r="P20" s="9" t="n">
        <v>398.77</v>
      </c>
      <c r="Q20" s="9" t="n">
        <v>398.77</v>
      </c>
      <c r="R20" s="9" t="n">
        <v>398.77</v>
      </c>
      <c r="S20" s="9" t="n">
        <v>398.77</v>
      </c>
      <c r="T20" s="9" t="n">
        <v>398.77</v>
      </c>
      <c r="U20" s="9" t="n">
        <v>398.77</v>
      </c>
      <c r="V20" s="9" t="n">
        <v>398.77</v>
      </c>
      <c r="W20" s="9" t="n">
        <v>398.77</v>
      </c>
      <c r="X20" s="9" t="n">
        <v>398.77</v>
      </c>
      <c r="Y20" s="9" t="n">
        <v>398.77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151</v>
      </c>
      <c r="B21" s="3" t="s">
        <v>152</v>
      </c>
      <c r="C21" s="3" t="s">
        <v>153</v>
      </c>
      <c r="D21" s="3" t="s">
        <v>154</v>
      </c>
      <c r="E21" s="3" t="n">
        <v>1960</v>
      </c>
      <c r="F21" s="3" t="s">
        <v>155</v>
      </c>
      <c r="G21" s="3" t="s">
        <v>156</v>
      </c>
      <c r="H21" s="3" t="s">
        <v>157</v>
      </c>
      <c r="I21" s="3" t="s">
        <v>78</v>
      </c>
      <c r="J21" s="7" t="n">
        <v>1455000</v>
      </c>
      <c r="K21" s="3" t="s">
        <v>158</v>
      </c>
      <c r="L21" s="7" t="n">
        <v>8744.51</v>
      </c>
      <c r="M21" s="7" t="n">
        <v>1093.06</v>
      </c>
      <c r="N21" s="7" t="n">
        <v>1093.06</v>
      </c>
      <c r="O21" s="7" t="n">
        <v>6558.4</v>
      </c>
      <c r="P21" s="7" t="n">
        <v>655.84</v>
      </c>
      <c r="Q21" s="7" t="n">
        <v>655.84</v>
      </c>
      <c r="R21" s="7" t="n">
        <v>655.84</v>
      </c>
      <c r="S21" s="7" t="n">
        <v>655.84</v>
      </c>
      <c r="T21" s="7" t="n">
        <v>655.84</v>
      </c>
      <c r="U21" s="7" t="n">
        <v>655.84</v>
      </c>
      <c r="V21" s="7" t="n">
        <v>655.84</v>
      </c>
      <c r="W21" s="7" t="n">
        <v>655.84</v>
      </c>
      <c r="X21" s="7" t="n">
        <v>655.84</v>
      </c>
      <c r="Y21" s="7" t="n">
        <v>655.84</v>
      </c>
      <c r="Z21" s="7" t="n">
        <v>350</v>
      </c>
      <c r="AA21" s="7" t="n">
        <v>250</v>
      </c>
      <c r="AB21" s="7" t="n">
        <v>600</v>
      </c>
    </row>
    <row r="22" customFormat="false" ht="15" hidden="false" customHeight="false" outlineLevel="0" collapsed="false">
      <c r="A22" s="8" t="s">
        <v>159</v>
      </c>
      <c r="B22" s="8" t="s">
        <v>160</v>
      </c>
      <c r="C22" s="8" t="s">
        <v>161</v>
      </c>
      <c r="D22" s="8" t="s">
        <v>162</v>
      </c>
      <c r="E22" s="8" t="n">
        <v>2024</v>
      </c>
      <c r="F22" s="8" t="s">
        <v>122</v>
      </c>
      <c r="G22" s="8" t="s">
        <v>123</v>
      </c>
      <c r="H22" s="8" t="s">
        <v>163</v>
      </c>
      <c r="I22" s="8" t="s">
        <v>56</v>
      </c>
      <c r="J22" s="9" t="n">
        <v>1455000</v>
      </c>
      <c r="K22" s="8" t="s">
        <v>164</v>
      </c>
      <c r="L22" s="9" t="n">
        <v>13040.06</v>
      </c>
      <c r="M22" s="9" t="n">
        <v>1630.01</v>
      </c>
      <c r="N22" s="9" t="n">
        <v>1630.01</v>
      </c>
      <c r="O22" s="9" t="n">
        <v>9780</v>
      </c>
      <c r="P22" s="9" t="n">
        <v>978</v>
      </c>
      <c r="Q22" s="9" t="n">
        <v>978</v>
      </c>
      <c r="R22" s="9" t="n">
        <v>978</v>
      </c>
      <c r="S22" s="9" t="n">
        <v>978</v>
      </c>
      <c r="T22" s="9" t="n">
        <v>978</v>
      </c>
      <c r="U22" s="9" t="n">
        <v>978</v>
      </c>
      <c r="V22" s="9" t="n">
        <v>978</v>
      </c>
      <c r="W22" s="9" t="n">
        <v>978</v>
      </c>
      <c r="X22" s="9" t="n">
        <v>978</v>
      </c>
      <c r="Y22" s="9" t="n">
        <v>978</v>
      </c>
      <c r="Z22" s="9" t="n">
        <v>350</v>
      </c>
      <c r="AA22" s="9" t="n">
        <v>250</v>
      </c>
      <c r="AB22" s="9" t="n">
        <v>600</v>
      </c>
    </row>
    <row r="23" customFormat="false" ht="15" hidden="false" customHeight="false" outlineLevel="0" collapsed="false">
      <c r="A23" s="3" t="s">
        <v>165</v>
      </c>
      <c r="B23" s="3" t="s">
        <v>166</v>
      </c>
      <c r="C23" s="3" t="s">
        <v>81</v>
      </c>
      <c r="D23" s="3" t="s">
        <v>82</v>
      </c>
      <c r="E23" s="3" t="n">
        <v>2024</v>
      </c>
      <c r="F23" s="3" t="s">
        <v>122</v>
      </c>
      <c r="G23" s="3" t="s">
        <v>123</v>
      </c>
      <c r="H23" s="3" t="s">
        <v>167</v>
      </c>
      <c r="I23" s="3" t="s">
        <v>56</v>
      </c>
      <c r="J23" s="7" t="n">
        <v>705000</v>
      </c>
      <c r="K23" s="3" t="s">
        <v>168</v>
      </c>
      <c r="L23" s="7" t="n">
        <v>7027.93</v>
      </c>
      <c r="M23" s="7" t="n">
        <v>878.49</v>
      </c>
      <c r="N23" s="7" t="n">
        <v>878.49</v>
      </c>
      <c r="O23" s="7" t="n">
        <v>5270.9</v>
      </c>
      <c r="P23" s="7" t="n">
        <v>527.09</v>
      </c>
      <c r="Q23" s="7" t="n">
        <v>527.09</v>
      </c>
      <c r="R23" s="7" t="n">
        <v>527.09</v>
      </c>
      <c r="S23" s="7" t="n">
        <v>527.09</v>
      </c>
      <c r="T23" s="7" t="n">
        <v>527.09</v>
      </c>
      <c r="U23" s="7" t="n">
        <v>527.09</v>
      </c>
      <c r="V23" s="7" t="n">
        <v>527.09</v>
      </c>
      <c r="W23" s="7" t="n">
        <v>527.09</v>
      </c>
      <c r="X23" s="7" t="n">
        <v>527.09</v>
      </c>
      <c r="Y23" s="7" t="n">
        <v>527.09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169</v>
      </c>
      <c r="B24" s="8" t="s">
        <v>170</v>
      </c>
      <c r="C24" s="8" t="s">
        <v>171</v>
      </c>
      <c r="D24" s="8" t="s">
        <v>172</v>
      </c>
      <c r="E24" s="8" t="n">
        <v>1996</v>
      </c>
      <c r="F24" s="8" t="s">
        <v>53</v>
      </c>
      <c r="G24" s="8" t="s">
        <v>54</v>
      </c>
      <c r="H24" s="8" t="s">
        <v>173</v>
      </c>
      <c r="I24" s="8" t="s">
        <v>56</v>
      </c>
      <c r="J24" s="9" t="n">
        <v>650000</v>
      </c>
      <c r="K24" s="8" t="s">
        <v>174</v>
      </c>
      <c r="L24" s="9" t="n">
        <v>6277.16</v>
      </c>
      <c r="M24" s="9" t="n">
        <v>784.64</v>
      </c>
      <c r="N24" s="9" t="n">
        <v>784.64</v>
      </c>
      <c r="O24" s="9" t="n">
        <v>4707.9</v>
      </c>
      <c r="P24" s="9" t="n">
        <v>470.79</v>
      </c>
      <c r="Q24" s="9" t="n">
        <v>470.79</v>
      </c>
      <c r="R24" s="9" t="n">
        <v>470.79</v>
      </c>
      <c r="S24" s="9" t="n">
        <v>470.79</v>
      </c>
      <c r="T24" s="9" t="n">
        <v>470.79</v>
      </c>
      <c r="U24" s="9" t="n">
        <v>470.79</v>
      </c>
      <c r="V24" s="9" t="n">
        <v>470.79</v>
      </c>
      <c r="W24" s="9" t="n">
        <v>470.79</v>
      </c>
      <c r="X24" s="9" t="n">
        <v>470.79</v>
      </c>
      <c r="Y24" s="9" t="n">
        <v>470.79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175</v>
      </c>
      <c r="B25" s="3" t="s">
        <v>176</v>
      </c>
      <c r="C25" s="3" t="s">
        <v>177</v>
      </c>
      <c r="D25" s="3" t="s">
        <v>178</v>
      </c>
      <c r="E25" s="3" t="n">
        <v>1989</v>
      </c>
      <c r="F25" s="3" t="s">
        <v>83</v>
      </c>
      <c r="G25" s="3" t="s">
        <v>84</v>
      </c>
      <c r="H25" s="3" t="s">
        <v>179</v>
      </c>
      <c r="I25" s="3" t="s">
        <v>56</v>
      </c>
      <c r="J25" s="7" t="n">
        <v>570000</v>
      </c>
      <c r="K25" s="3" t="s">
        <v>180</v>
      </c>
      <c r="L25" s="7" t="n">
        <v>8168.1</v>
      </c>
      <c r="M25" s="7" t="n">
        <v>1021.01</v>
      </c>
      <c r="N25" s="7" t="n">
        <v>1021.01</v>
      </c>
      <c r="O25" s="7" t="n">
        <v>6126.1</v>
      </c>
      <c r="P25" s="7" t="n">
        <v>612.61</v>
      </c>
      <c r="Q25" s="7" t="n">
        <v>612.61</v>
      </c>
      <c r="R25" s="7" t="n">
        <v>612.61</v>
      </c>
      <c r="S25" s="7" t="n">
        <v>612.61</v>
      </c>
      <c r="T25" s="7" t="n">
        <v>612.61</v>
      </c>
      <c r="U25" s="7" t="n">
        <v>612.61</v>
      </c>
      <c r="V25" s="7" t="n">
        <v>612.61</v>
      </c>
      <c r="W25" s="7" t="n">
        <v>612.61</v>
      </c>
      <c r="X25" s="7" t="n">
        <v>612.61</v>
      </c>
      <c r="Y25" s="7" t="n">
        <v>612.61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181</v>
      </c>
      <c r="B26" s="8" t="s">
        <v>182</v>
      </c>
      <c r="C26" s="8" t="s">
        <v>183</v>
      </c>
      <c r="D26" s="8" t="s">
        <v>184</v>
      </c>
      <c r="E26" s="8" t="n">
        <v>2022</v>
      </c>
      <c r="F26" s="8" t="s">
        <v>122</v>
      </c>
      <c r="G26" s="8" t="s">
        <v>123</v>
      </c>
      <c r="H26" s="8" t="s">
        <v>185</v>
      </c>
      <c r="I26" s="8" t="s">
        <v>56</v>
      </c>
      <c r="J26" s="9" t="n">
        <v>520000</v>
      </c>
      <c r="K26" s="8" t="s">
        <v>186</v>
      </c>
      <c r="L26" s="9" t="n">
        <v>7289.6</v>
      </c>
      <c r="M26" s="9" t="n">
        <v>911.2</v>
      </c>
      <c r="N26" s="9" t="n">
        <v>911.2</v>
      </c>
      <c r="O26" s="9" t="n">
        <v>5467.2</v>
      </c>
      <c r="P26" s="9" t="n">
        <v>546.72</v>
      </c>
      <c r="Q26" s="9" t="n">
        <v>546.72</v>
      </c>
      <c r="R26" s="9" t="n">
        <v>546.72</v>
      </c>
      <c r="S26" s="9" t="n">
        <v>546.72</v>
      </c>
      <c r="T26" s="9" t="n">
        <v>546.72</v>
      </c>
      <c r="U26" s="9" t="n">
        <v>546.72</v>
      </c>
      <c r="V26" s="9" t="n">
        <v>546.72</v>
      </c>
      <c r="W26" s="9" t="n">
        <v>546.72</v>
      </c>
      <c r="X26" s="9" t="n">
        <v>546.72</v>
      </c>
      <c r="Y26" s="9" t="n">
        <v>546.72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187</v>
      </c>
      <c r="B27" s="3" t="s">
        <v>188</v>
      </c>
      <c r="C27" s="3" t="s">
        <v>189</v>
      </c>
      <c r="D27" s="3" t="s">
        <v>190</v>
      </c>
      <c r="E27" s="3" t="n">
        <v>1979</v>
      </c>
      <c r="F27" s="3" t="s">
        <v>155</v>
      </c>
      <c r="G27" s="3" t="s">
        <v>191</v>
      </c>
      <c r="H27" s="3" t="s">
        <v>192</v>
      </c>
      <c r="I27" s="3" t="s">
        <v>56</v>
      </c>
      <c r="J27" s="7" t="n">
        <v>220000</v>
      </c>
      <c r="K27" s="3" t="s">
        <v>86</v>
      </c>
      <c r="L27" s="7" t="n">
        <v>4365.14</v>
      </c>
      <c r="M27" s="7" t="n">
        <v>545.64</v>
      </c>
      <c r="N27" s="7" t="n">
        <v>545.64</v>
      </c>
      <c r="O27" s="7" t="n">
        <v>3273.9</v>
      </c>
      <c r="P27" s="7" t="n">
        <v>327.39</v>
      </c>
      <c r="Q27" s="7" t="n">
        <v>327.39</v>
      </c>
      <c r="R27" s="7" t="n">
        <v>327.39</v>
      </c>
      <c r="S27" s="7" t="n">
        <v>327.39</v>
      </c>
      <c r="T27" s="7" t="n">
        <v>327.39</v>
      </c>
      <c r="U27" s="7" t="n">
        <v>327.39</v>
      </c>
      <c r="V27" s="7" t="n">
        <v>327.39</v>
      </c>
      <c r="W27" s="7" t="n">
        <v>327.39</v>
      </c>
      <c r="X27" s="7" t="n">
        <v>327.39</v>
      </c>
      <c r="Y27" s="7" t="n">
        <v>327.39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193</v>
      </c>
      <c r="B28" s="8" t="s">
        <v>194</v>
      </c>
      <c r="C28" s="8" t="s">
        <v>128</v>
      </c>
      <c r="D28" s="8" t="s">
        <v>129</v>
      </c>
      <c r="E28" s="8" t="n">
        <v>1955</v>
      </c>
      <c r="F28" s="8" t="s">
        <v>195</v>
      </c>
      <c r="G28" s="8" t="s">
        <v>196</v>
      </c>
      <c r="H28" s="8" t="s">
        <v>197</v>
      </c>
      <c r="I28" s="8" t="s">
        <v>47</v>
      </c>
      <c r="J28" s="9" t="n">
        <v>555000</v>
      </c>
      <c r="K28" s="8" t="s">
        <v>198</v>
      </c>
      <c r="L28" s="9" t="n">
        <v>11286.91</v>
      </c>
      <c r="M28" s="9" t="n">
        <v>1410.86</v>
      </c>
      <c r="N28" s="9" t="n">
        <v>1410.86</v>
      </c>
      <c r="O28" s="9" t="n">
        <v>8465.2</v>
      </c>
      <c r="P28" s="9" t="n">
        <v>846.52</v>
      </c>
      <c r="Q28" s="9" t="n">
        <v>846.52</v>
      </c>
      <c r="R28" s="9" t="n">
        <v>846.52</v>
      </c>
      <c r="S28" s="9" t="n">
        <v>846.52</v>
      </c>
      <c r="T28" s="9" t="n">
        <v>846.52</v>
      </c>
      <c r="U28" s="9" t="n">
        <v>846.52</v>
      </c>
      <c r="V28" s="9" t="n">
        <v>846.52</v>
      </c>
      <c r="W28" s="9" t="n">
        <v>846.52</v>
      </c>
      <c r="X28" s="9" t="n">
        <v>846.52</v>
      </c>
      <c r="Y28" s="9" t="n">
        <v>846.52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199</v>
      </c>
      <c r="B29" s="3" t="s">
        <v>200</v>
      </c>
      <c r="C29" s="3" t="s">
        <v>128</v>
      </c>
      <c r="D29" s="3" t="s">
        <v>129</v>
      </c>
      <c r="E29" s="3" t="n">
        <v>1994</v>
      </c>
      <c r="F29" s="3" t="s">
        <v>62</v>
      </c>
      <c r="G29" s="3" t="s">
        <v>63</v>
      </c>
      <c r="H29" s="3" t="s">
        <v>201</v>
      </c>
      <c r="I29" s="3" t="s">
        <v>56</v>
      </c>
      <c r="J29" s="7" t="n">
        <v>710000</v>
      </c>
      <c r="K29" s="3" t="s">
        <v>180</v>
      </c>
      <c r="L29" s="7" t="n">
        <v>10174.3</v>
      </c>
      <c r="M29" s="7" t="n">
        <v>1271.79</v>
      </c>
      <c r="N29" s="7" t="n">
        <v>1271.79</v>
      </c>
      <c r="O29" s="7" t="n">
        <v>7630.7</v>
      </c>
      <c r="P29" s="7" t="n">
        <v>763.07</v>
      </c>
      <c r="Q29" s="7" t="n">
        <v>763.07</v>
      </c>
      <c r="R29" s="7" t="n">
        <v>763.07</v>
      </c>
      <c r="S29" s="7" t="n">
        <v>763.07</v>
      </c>
      <c r="T29" s="7" t="n">
        <v>763.07</v>
      </c>
      <c r="U29" s="7" t="n">
        <v>763.07</v>
      </c>
      <c r="V29" s="7" t="n">
        <v>763.07</v>
      </c>
      <c r="W29" s="7" t="n">
        <v>763.07</v>
      </c>
      <c r="X29" s="7" t="n">
        <v>763.07</v>
      </c>
      <c r="Y29" s="7" t="n">
        <v>763.07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202</v>
      </c>
      <c r="B30" s="8" t="s">
        <v>203</v>
      </c>
      <c r="C30" s="8" t="s">
        <v>93</v>
      </c>
      <c r="D30" s="8" t="s">
        <v>94</v>
      </c>
      <c r="E30" s="8" t="n">
        <v>1965</v>
      </c>
      <c r="F30" s="8" t="s">
        <v>122</v>
      </c>
      <c r="G30" s="8" t="s">
        <v>123</v>
      </c>
      <c r="H30" s="8" t="s">
        <v>204</v>
      </c>
      <c r="I30" s="8" t="s">
        <v>56</v>
      </c>
      <c r="J30" s="9" t="n">
        <v>285000</v>
      </c>
      <c r="K30" s="8" t="s">
        <v>205</v>
      </c>
      <c r="L30" s="9" t="n">
        <v>3448.91</v>
      </c>
      <c r="M30" s="9" t="n">
        <v>431.11</v>
      </c>
      <c r="N30" s="9" t="n">
        <v>431.11</v>
      </c>
      <c r="O30" s="9" t="n">
        <v>2586.7</v>
      </c>
      <c r="P30" s="9" t="n">
        <v>258.67</v>
      </c>
      <c r="Q30" s="9" t="n">
        <v>258.67</v>
      </c>
      <c r="R30" s="9" t="n">
        <v>258.67</v>
      </c>
      <c r="S30" s="9" t="n">
        <v>258.67</v>
      </c>
      <c r="T30" s="9" t="n">
        <v>258.67</v>
      </c>
      <c r="U30" s="9" t="n">
        <v>258.67</v>
      </c>
      <c r="V30" s="9" t="n">
        <v>258.67</v>
      </c>
      <c r="W30" s="9" t="n">
        <v>258.67</v>
      </c>
      <c r="X30" s="9" t="n">
        <v>258.67</v>
      </c>
      <c r="Y30" s="9" t="n">
        <v>258.67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206</v>
      </c>
      <c r="B31" s="3" t="s">
        <v>207</v>
      </c>
      <c r="C31" s="3" t="s">
        <v>208</v>
      </c>
      <c r="D31" s="3" t="s">
        <v>209</v>
      </c>
      <c r="E31" s="3" t="n">
        <v>2013</v>
      </c>
      <c r="F31" s="3" t="s">
        <v>210</v>
      </c>
      <c r="G31" s="3" t="s">
        <v>211</v>
      </c>
      <c r="H31" s="3" t="s">
        <v>212</v>
      </c>
      <c r="I31" s="3" t="s">
        <v>119</v>
      </c>
      <c r="J31" s="7" t="n">
        <v>340000</v>
      </c>
      <c r="K31" s="3" t="s">
        <v>213</v>
      </c>
      <c r="L31" s="7" t="n">
        <v>6548.41</v>
      </c>
      <c r="M31" s="7" t="n">
        <v>818.55</v>
      </c>
      <c r="N31" s="7" t="n">
        <v>818.55</v>
      </c>
      <c r="O31" s="7" t="n">
        <v>4911.3</v>
      </c>
      <c r="P31" s="7" t="n">
        <v>491.13</v>
      </c>
      <c r="Q31" s="7" t="n">
        <v>491.13</v>
      </c>
      <c r="R31" s="7" t="n">
        <v>491.13</v>
      </c>
      <c r="S31" s="7" t="n">
        <v>491.13</v>
      </c>
      <c r="T31" s="7" t="n">
        <v>491.13</v>
      </c>
      <c r="U31" s="7" t="n">
        <v>491.13</v>
      </c>
      <c r="V31" s="7" t="n">
        <v>491.13</v>
      </c>
      <c r="W31" s="7" t="n">
        <v>491.13</v>
      </c>
      <c r="X31" s="7" t="n">
        <v>491.13</v>
      </c>
      <c r="Y31" s="7" t="n">
        <v>491.13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214</v>
      </c>
      <c r="B32" s="8" t="s">
        <v>215</v>
      </c>
      <c r="C32" s="8" t="s">
        <v>114</v>
      </c>
      <c r="D32" s="8" t="s">
        <v>115</v>
      </c>
      <c r="E32" s="8" t="n">
        <v>1989</v>
      </c>
      <c r="F32" s="8" t="s">
        <v>155</v>
      </c>
      <c r="G32" s="8" t="s">
        <v>191</v>
      </c>
      <c r="H32" s="8" t="s">
        <v>216</v>
      </c>
      <c r="I32" s="8" t="s">
        <v>56</v>
      </c>
      <c r="J32" s="9" t="n">
        <v>290000</v>
      </c>
      <c r="K32" s="8" t="s">
        <v>86</v>
      </c>
      <c r="L32" s="9" t="n">
        <v>4690.79</v>
      </c>
      <c r="M32" s="9" t="n">
        <v>586.35</v>
      </c>
      <c r="N32" s="9" t="n">
        <v>586.35</v>
      </c>
      <c r="O32" s="9" t="n">
        <v>3518.1</v>
      </c>
      <c r="P32" s="9" t="n">
        <v>351.81</v>
      </c>
      <c r="Q32" s="9" t="n">
        <v>351.81</v>
      </c>
      <c r="R32" s="9" t="n">
        <v>351.81</v>
      </c>
      <c r="S32" s="9" t="n">
        <v>351.81</v>
      </c>
      <c r="T32" s="9" t="n">
        <v>351.81</v>
      </c>
      <c r="U32" s="9" t="n">
        <v>351.81</v>
      </c>
      <c r="V32" s="9" t="n">
        <v>351.81</v>
      </c>
      <c r="W32" s="9" t="n">
        <v>351.81</v>
      </c>
      <c r="X32" s="9" t="n">
        <v>351.81</v>
      </c>
      <c r="Y32" s="9" t="n">
        <v>351.81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217</v>
      </c>
      <c r="B33" s="3" t="s">
        <v>218</v>
      </c>
      <c r="C33" s="3" t="s">
        <v>219</v>
      </c>
      <c r="D33" s="3" t="s">
        <v>220</v>
      </c>
      <c r="E33" s="3" t="n">
        <v>1967</v>
      </c>
      <c r="F33" s="3" t="s">
        <v>83</v>
      </c>
      <c r="G33" s="3" t="s">
        <v>84</v>
      </c>
      <c r="H33" s="3" t="s">
        <v>221</v>
      </c>
      <c r="I33" s="3" t="s">
        <v>56</v>
      </c>
      <c r="J33" s="7" t="n">
        <v>330000</v>
      </c>
      <c r="K33" s="3" t="s">
        <v>222</v>
      </c>
      <c r="L33" s="7" t="n">
        <v>4626.1</v>
      </c>
      <c r="M33" s="7" t="n">
        <v>578.26</v>
      </c>
      <c r="N33" s="7" t="n">
        <v>578.26</v>
      </c>
      <c r="O33" s="7" t="n">
        <v>3469.6</v>
      </c>
      <c r="P33" s="7" t="n">
        <v>346.96</v>
      </c>
      <c r="Q33" s="7" t="n">
        <v>346.96</v>
      </c>
      <c r="R33" s="7" t="n">
        <v>346.96</v>
      </c>
      <c r="S33" s="7" t="n">
        <v>346.96</v>
      </c>
      <c r="T33" s="7" t="n">
        <v>346.96</v>
      </c>
      <c r="U33" s="7" t="n">
        <v>346.96</v>
      </c>
      <c r="V33" s="7" t="n">
        <v>346.96</v>
      </c>
      <c r="W33" s="7" t="n">
        <v>346.96</v>
      </c>
      <c r="X33" s="7" t="n">
        <v>346.96</v>
      </c>
      <c r="Y33" s="7" t="n">
        <v>346.96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223</v>
      </c>
      <c r="B34" s="8" t="s">
        <v>224</v>
      </c>
      <c r="C34" s="8" t="s">
        <v>93</v>
      </c>
      <c r="D34" s="8" t="s">
        <v>94</v>
      </c>
      <c r="E34" s="8" t="n">
        <v>1958</v>
      </c>
      <c r="F34" s="8" t="s">
        <v>225</v>
      </c>
      <c r="G34" s="8" t="s">
        <v>226</v>
      </c>
      <c r="H34" s="8" t="s">
        <v>227</v>
      </c>
      <c r="I34" s="8" t="s">
        <v>78</v>
      </c>
      <c r="J34" s="9" t="n">
        <v>415000</v>
      </c>
      <c r="K34" s="8" t="s">
        <v>228</v>
      </c>
      <c r="L34" s="9" t="n">
        <v>4423.41</v>
      </c>
      <c r="M34" s="9" t="n">
        <v>552.93</v>
      </c>
      <c r="N34" s="9" t="n">
        <v>552.93</v>
      </c>
      <c r="O34" s="9" t="n">
        <v>3317.6</v>
      </c>
      <c r="P34" s="9" t="n">
        <v>331.76</v>
      </c>
      <c r="Q34" s="9" t="n">
        <v>331.76</v>
      </c>
      <c r="R34" s="9" t="n">
        <v>331.76</v>
      </c>
      <c r="S34" s="9" t="n">
        <v>331.76</v>
      </c>
      <c r="T34" s="9" t="n">
        <v>331.76</v>
      </c>
      <c r="U34" s="9" t="n">
        <v>331.76</v>
      </c>
      <c r="V34" s="9" t="n">
        <v>331.76</v>
      </c>
      <c r="W34" s="9" t="n">
        <v>331.76</v>
      </c>
      <c r="X34" s="9" t="n">
        <v>331.76</v>
      </c>
      <c r="Y34" s="9" t="n">
        <v>331.76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229</v>
      </c>
      <c r="B35" s="3" t="s">
        <v>230</v>
      </c>
      <c r="C35" s="3" t="s">
        <v>60</v>
      </c>
      <c r="D35" s="3" t="s">
        <v>61</v>
      </c>
      <c r="E35" s="3" t="n">
        <v>1960</v>
      </c>
      <c r="F35" s="3" t="s">
        <v>95</v>
      </c>
      <c r="G35" s="3" t="s">
        <v>96</v>
      </c>
      <c r="H35" s="3" t="s">
        <v>231</v>
      </c>
      <c r="I35" s="3" t="s">
        <v>47</v>
      </c>
      <c r="J35" s="7" t="n">
        <v>1950000</v>
      </c>
      <c r="K35" s="3" t="s">
        <v>232</v>
      </c>
      <c r="L35" s="7" t="n">
        <v>27413.91</v>
      </c>
      <c r="M35" s="7" t="n">
        <v>3426.74</v>
      </c>
      <c r="N35" s="7" t="n">
        <v>3426.74</v>
      </c>
      <c r="O35" s="7" t="n">
        <v>20560.4</v>
      </c>
      <c r="P35" s="7" t="n">
        <v>2056.04</v>
      </c>
      <c r="Q35" s="7" t="n">
        <v>2056.04</v>
      </c>
      <c r="R35" s="7" t="n">
        <v>2056.04</v>
      </c>
      <c r="S35" s="7" t="n">
        <v>2056.04</v>
      </c>
      <c r="T35" s="7" t="n">
        <v>2056.04</v>
      </c>
      <c r="U35" s="7" t="n">
        <v>2056.04</v>
      </c>
      <c r="V35" s="7" t="n">
        <v>2056.04</v>
      </c>
      <c r="W35" s="7" t="n">
        <v>2056.04</v>
      </c>
      <c r="X35" s="7" t="n">
        <v>2056.04</v>
      </c>
      <c r="Y35" s="7" t="n">
        <v>2056.04</v>
      </c>
      <c r="Z35" s="7" t="n">
        <v>350</v>
      </c>
      <c r="AA35" s="7" t="n">
        <v>250</v>
      </c>
      <c r="AB35" s="7" t="n">
        <v>600</v>
      </c>
    </row>
    <row r="36" customFormat="false" ht="15" hidden="false" customHeight="false" outlineLevel="0" collapsed="false">
      <c r="A36" s="8" t="s">
        <v>233</v>
      </c>
      <c r="B36" s="8" t="s">
        <v>234</v>
      </c>
      <c r="C36" s="8" t="s">
        <v>219</v>
      </c>
      <c r="D36" s="8" t="s">
        <v>220</v>
      </c>
      <c r="E36" s="8" t="n">
        <v>2013</v>
      </c>
      <c r="F36" s="8" t="s">
        <v>83</v>
      </c>
      <c r="G36" s="8" t="s">
        <v>84</v>
      </c>
      <c r="H36" s="8" t="s">
        <v>235</v>
      </c>
      <c r="I36" s="8" t="s">
        <v>56</v>
      </c>
      <c r="J36" s="9" t="n">
        <v>430000</v>
      </c>
      <c r="K36" s="8" t="s">
        <v>142</v>
      </c>
      <c r="L36" s="9" t="n">
        <v>7315.97</v>
      </c>
      <c r="M36" s="9" t="n">
        <v>914.5</v>
      </c>
      <c r="N36" s="9" t="n">
        <v>914.5</v>
      </c>
      <c r="O36" s="9" t="n">
        <v>5487</v>
      </c>
      <c r="P36" s="9" t="n">
        <v>548.7</v>
      </c>
      <c r="Q36" s="9" t="n">
        <v>548.7</v>
      </c>
      <c r="R36" s="9" t="n">
        <v>548.7</v>
      </c>
      <c r="S36" s="9" t="n">
        <v>548.7</v>
      </c>
      <c r="T36" s="9" t="n">
        <v>548.7</v>
      </c>
      <c r="U36" s="9" t="n">
        <v>548.7</v>
      </c>
      <c r="V36" s="9" t="n">
        <v>548.7</v>
      </c>
      <c r="W36" s="9" t="n">
        <v>548.7</v>
      </c>
      <c r="X36" s="9" t="n">
        <v>548.7</v>
      </c>
      <c r="Y36" s="9" t="n">
        <v>548.7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236</v>
      </c>
      <c r="B37" s="3" t="s">
        <v>237</v>
      </c>
      <c r="C37" s="3" t="s">
        <v>238</v>
      </c>
      <c r="D37" s="3" t="s">
        <v>239</v>
      </c>
      <c r="E37" s="3" t="n">
        <v>1994</v>
      </c>
      <c r="F37" s="3" t="s">
        <v>44</v>
      </c>
      <c r="G37" s="3" t="s">
        <v>240</v>
      </c>
      <c r="H37" s="3" t="s">
        <v>241</v>
      </c>
      <c r="I37" s="3" t="s">
        <v>47</v>
      </c>
      <c r="J37" s="7" t="n">
        <v>385000</v>
      </c>
      <c r="K37" s="3" t="s">
        <v>213</v>
      </c>
      <c r="L37" s="7" t="n">
        <v>9690.2</v>
      </c>
      <c r="M37" s="7" t="n">
        <v>1211.28</v>
      </c>
      <c r="N37" s="7" t="n">
        <v>1211.28</v>
      </c>
      <c r="O37" s="7" t="n">
        <v>7267.6</v>
      </c>
      <c r="P37" s="7" t="n">
        <v>726.76</v>
      </c>
      <c r="Q37" s="7" t="n">
        <v>726.76</v>
      </c>
      <c r="R37" s="7" t="n">
        <v>726.76</v>
      </c>
      <c r="S37" s="7" t="n">
        <v>726.76</v>
      </c>
      <c r="T37" s="7" t="n">
        <v>726.76</v>
      </c>
      <c r="U37" s="7" t="n">
        <v>726.76</v>
      </c>
      <c r="V37" s="7" t="n">
        <v>726.76</v>
      </c>
      <c r="W37" s="7" t="n">
        <v>726.76</v>
      </c>
      <c r="X37" s="7" t="n">
        <v>726.76</v>
      </c>
      <c r="Y37" s="7" t="n">
        <v>726.76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242</v>
      </c>
      <c r="B38" s="8" t="s">
        <v>243</v>
      </c>
      <c r="C38" s="8" t="s">
        <v>51</v>
      </c>
      <c r="D38" s="8" t="s">
        <v>52</v>
      </c>
      <c r="E38" s="8" t="n">
        <v>2022</v>
      </c>
      <c r="F38" s="8" t="s">
        <v>122</v>
      </c>
      <c r="G38" s="8" t="s">
        <v>123</v>
      </c>
      <c r="H38" s="8" t="s">
        <v>244</v>
      </c>
      <c r="I38" s="8" t="s">
        <v>56</v>
      </c>
      <c r="J38" s="9" t="n">
        <v>535000</v>
      </c>
      <c r="K38" s="8" t="s">
        <v>142</v>
      </c>
      <c r="L38" s="9" t="n">
        <v>7888.77</v>
      </c>
      <c r="M38" s="9" t="n">
        <v>986.1</v>
      </c>
      <c r="N38" s="9" t="n">
        <v>986.1</v>
      </c>
      <c r="O38" s="9" t="n">
        <v>5916.6</v>
      </c>
      <c r="P38" s="9" t="n">
        <v>591.66</v>
      </c>
      <c r="Q38" s="9" t="n">
        <v>591.66</v>
      </c>
      <c r="R38" s="9" t="n">
        <v>591.66</v>
      </c>
      <c r="S38" s="9" t="n">
        <v>591.66</v>
      </c>
      <c r="T38" s="9" t="n">
        <v>591.66</v>
      </c>
      <c r="U38" s="9" t="n">
        <v>591.66</v>
      </c>
      <c r="V38" s="9" t="n">
        <v>591.66</v>
      </c>
      <c r="W38" s="9" t="n">
        <v>591.66</v>
      </c>
      <c r="X38" s="9" t="n">
        <v>591.66</v>
      </c>
      <c r="Y38" s="9" t="n">
        <v>591.66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245</v>
      </c>
      <c r="B39" s="3" t="s">
        <v>188</v>
      </c>
      <c r="C39" s="3" t="s">
        <v>246</v>
      </c>
      <c r="D39" s="3" t="s">
        <v>247</v>
      </c>
      <c r="E39" s="3" t="n">
        <v>2008</v>
      </c>
      <c r="F39" s="3" t="s">
        <v>225</v>
      </c>
      <c r="G39" s="3" t="s">
        <v>226</v>
      </c>
      <c r="H39" s="3" t="s">
        <v>248</v>
      </c>
      <c r="I39" s="3" t="s">
        <v>78</v>
      </c>
      <c r="J39" s="7" t="n">
        <v>455000</v>
      </c>
      <c r="K39" s="3" t="s">
        <v>249</v>
      </c>
      <c r="L39" s="7" t="n">
        <v>3977.51</v>
      </c>
      <c r="M39" s="7" t="n">
        <v>497.19</v>
      </c>
      <c r="N39" s="7" t="n">
        <v>497.19</v>
      </c>
      <c r="O39" s="7" t="n">
        <v>2983.1</v>
      </c>
      <c r="P39" s="7" t="n">
        <v>298.31</v>
      </c>
      <c r="Q39" s="7" t="n">
        <v>298.31</v>
      </c>
      <c r="R39" s="7" t="n">
        <v>298.31</v>
      </c>
      <c r="S39" s="7" t="n">
        <v>298.31</v>
      </c>
      <c r="T39" s="7" t="n">
        <v>298.31</v>
      </c>
      <c r="U39" s="7" t="n">
        <v>298.31</v>
      </c>
      <c r="V39" s="7" t="n">
        <v>298.31</v>
      </c>
      <c r="W39" s="7" t="n">
        <v>298.31</v>
      </c>
      <c r="X39" s="7" t="n">
        <v>298.31</v>
      </c>
      <c r="Y39" s="7" t="n">
        <v>298.31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250</v>
      </c>
      <c r="B40" s="8" t="s">
        <v>251</v>
      </c>
      <c r="C40" s="8" t="s">
        <v>252</v>
      </c>
      <c r="D40" s="8" t="s">
        <v>253</v>
      </c>
      <c r="E40" s="8" t="n">
        <v>1977</v>
      </c>
      <c r="F40" s="8" t="s">
        <v>53</v>
      </c>
      <c r="G40" s="8" t="s">
        <v>54</v>
      </c>
      <c r="H40" s="8" t="s">
        <v>254</v>
      </c>
      <c r="I40" s="8" t="s">
        <v>56</v>
      </c>
      <c r="J40" s="9" t="n">
        <v>415000</v>
      </c>
      <c r="K40" s="8" t="s">
        <v>213</v>
      </c>
      <c r="L40" s="9" t="n">
        <v>6812.14</v>
      </c>
      <c r="M40" s="9" t="n">
        <v>851.52</v>
      </c>
      <c r="N40" s="9" t="n">
        <v>851.52</v>
      </c>
      <c r="O40" s="9" t="n">
        <v>5109.1</v>
      </c>
      <c r="P40" s="9" t="n">
        <v>510.91</v>
      </c>
      <c r="Q40" s="9" t="n">
        <v>510.91</v>
      </c>
      <c r="R40" s="9" t="n">
        <v>510.91</v>
      </c>
      <c r="S40" s="9" t="n">
        <v>510.91</v>
      </c>
      <c r="T40" s="9" t="n">
        <v>510.91</v>
      </c>
      <c r="U40" s="9" t="n">
        <v>510.91</v>
      </c>
      <c r="V40" s="9" t="n">
        <v>510.91</v>
      </c>
      <c r="W40" s="9" t="n">
        <v>510.91</v>
      </c>
      <c r="X40" s="9" t="n">
        <v>510.91</v>
      </c>
      <c r="Y40" s="9" t="n">
        <v>510.91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255</v>
      </c>
      <c r="B41" s="3" t="s">
        <v>256</v>
      </c>
      <c r="C41" s="3" t="s">
        <v>60</v>
      </c>
      <c r="D41" s="3" t="s">
        <v>61</v>
      </c>
      <c r="E41" s="3" t="n">
        <v>1989</v>
      </c>
      <c r="F41" s="3" t="s">
        <v>83</v>
      </c>
      <c r="G41" s="3" t="s">
        <v>84</v>
      </c>
      <c r="H41" s="3" t="s">
        <v>257</v>
      </c>
      <c r="I41" s="3" t="s">
        <v>56</v>
      </c>
      <c r="J41" s="7" t="n">
        <v>390000</v>
      </c>
      <c r="K41" s="3" t="s">
        <v>258</v>
      </c>
      <c r="L41" s="7" t="n">
        <v>4953.19</v>
      </c>
      <c r="M41" s="7" t="n">
        <v>619.15</v>
      </c>
      <c r="N41" s="7" t="n">
        <v>619.15</v>
      </c>
      <c r="O41" s="7" t="n">
        <v>3714.9</v>
      </c>
      <c r="P41" s="7" t="n">
        <v>371.49</v>
      </c>
      <c r="Q41" s="7" t="n">
        <v>371.49</v>
      </c>
      <c r="R41" s="7" t="n">
        <v>371.49</v>
      </c>
      <c r="S41" s="7" t="n">
        <v>371.49</v>
      </c>
      <c r="T41" s="7" t="n">
        <v>371.49</v>
      </c>
      <c r="U41" s="7" t="n">
        <v>371.49</v>
      </c>
      <c r="V41" s="7" t="n">
        <v>371.49</v>
      </c>
      <c r="W41" s="7" t="n">
        <v>371.49</v>
      </c>
      <c r="X41" s="7" t="n">
        <v>371.49</v>
      </c>
      <c r="Y41" s="7" t="n">
        <v>371.49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259</v>
      </c>
      <c r="B42" s="8" t="s">
        <v>260</v>
      </c>
      <c r="C42" s="8" t="s">
        <v>261</v>
      </c>
      <c r="D42" s="8" t="s">
        <v>262</v>
      </c>
      <c r="E42" s="8" t="n">
        <v>1991</v>
      </c>
      <c r="F42" s="8" t="s">
        <v>195</v>
      </c>
      <c r="G42" s="8" t="s">
        <v>196</v>
      </c>
      <c r="H42" s="8" t="s">
        <v>263</v>
      </c>
      <c r="I42" s="8" t="s">
        <v>47</v>
      </c>
      <c r="J42" s="9" t="n">
        <v>770000</v>
      </c>
      <c r="K42" s="8" t="s">
        <v>264</v>
      </c>
      <c r="L42" s="9" t="n">
        <v>14023.27</v>
      </c>
      <c r="M42" s="9" t="n">
        <v>1752.91</v>
      </c>
      <c r="N42" s="9" t="n">
        <v>1752.91</v>
      </c>
      <c r="O42" s="9" t="n">
        <v>10517.5</v>
      </c>
      <c r="P42" s="9" t="n">
        <v>1051.75</v>
      </c>
      <c r="Q42" s="9" t="n">
        <v>1051.75</v>
      </c>
      <c r="R42" s="9" t="n">
        <v>1051.75</v>
      </c>
      <c r="S42" s="9" t="n">
        <v>1051.75</v>
      </c>
      <c r="T42" s="9" t="n">
        <v>1051.75</v>
      </c>
      <c r="U42" s="9" t="n">
        <v>1051.75</v>
      </c>
      <c r="V42" s="9" t="n">
        <v>1051.75</v>
      </c>
      <c r="W42" s="9" t="n">
        <v>1051.75</v>
      </c>
      <c r="X42" s="9" t="n">
        <v>1051.75</v>
      </c>
      <c r="Y42" s="9" t="n">
        <v>1051.75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265</v>
      </c>
      <c r="B43" s="3" t="s">
        <v>266</v>
      </c>
      <c r="C43" s="3" t="s">
        <v>267</v>
      </c>
      <c r="D43" s="3" t="s">
        <v>268</v>
      </c>
      <c r="E43" s="3" t="n">
        <v>1991</v>
      </c>
      <c r="F43" s="3" t="s">
        <v>44</v>
      </c>
      <c r="G43" s="3" t="s">
        <v>45</v>
      </c>
      <c r="H43" s="3" t="s">
        <v>269</v>
      </c>
      <c r="I43" s="3" t="s">
        <v>47</v>
      </c>
      <c r="J43" s="7" t="n">
        <v>1950000</v>
      </c>
      <c r="K43" s="3" t="s">
        <v>125</v>
      </c>
      <c r="L43" s="7" t="n">
        <v>33893.56</v>
      </c>
      <c r="M43" s="7" t="n">
        <v>4236.69</v>
      </c>
      <c r="N43" s="7" t="n">
        <v>4236.69</v>
      </c>
      <c r="O43" s="7" t="n">
        <v>25420.2</v>
      </c>
      <c r="P43" s="7" t="n">
        <v>2542.02</v>
      </c>
      <c r="Q43" s="7" t="n">
        <v>2542.02</v>
      </c>
      <c r="R43" s="7" t="n">
        <v>2542.02</v>
      </c>
      <c r="S43" s="7" t="n">
        <v>2542.02</v>
      </c>
      <c r="T43" s="7" t="n">
        <v>2542.02</v>
      </c>
      <c r="U43" s="7" t="n">
        <v>2542.02</v>
      </c>
      <c r="V43" s="7" t="n">
        <v>2542.02</v>
      </c>
      <c r="W43" s="7" t="n">
        <v>2542.02</v>
      </c>
      <c r="X43" s="7" t="n">
        <v>2542.02</v>
      </c>
      <c r="Y43" s="7" t="n">
        <v>2542.02</v>
      </c>
      <c r="Z43" s="7" t="n">
        <v>350</v>
      </c>
      <c r="AA43" s="7" t="n">
        <v>250</v>
      </c>
      <c r="AB43" s="7" t="n">
        <v>600</v>
      </c>
    </row>
    <row r="44" customFormat="false" ht="15" hidden="false" customHeight="false" outlineLevel="0" collapsed="false">
      <c r="A44" s="8" t="s">
        <v>270</v>
      </c>
      <c r="B44" s="8" t="s">
        <v>271</v>
      </c>
      <c r="C44" s="8" t="s">
        <v>272</v>
      </c>
      <c r="D44" s="8" t="s">
        <v>273</v>
      </c>
      <c r="E44" s="8" t="n">
        <v>1973</v>
      </c>
      <c r="F44" s="8" t="s">
        <v>44</v>
      </c>
      <c r="G44" s="8" t="s">
        <v>45</v>
      </c>
      <c r="H44" s="8" t="s">
        <v>274</v>
      </c>
      <c r="I44" s="8" t="s">
        <v>47</v>
      </c>
      <c r="J44" s="9" t="n">
        <v>1070000</v>
      </c>
      <c r="K44" s="8" t="s">
        <v>275</v>
      </c>
      <c r="L44" s="9" t="n">
        <v>15726.25</v>
      </c>
      <c r="M44" s="9" t="n">
        <v>1965.78</v>
      </c>
      <c r="N44" s="9" t="n">
        <v>1965.78</v>
      </c>
      <c r="O44" s="9" t="n">
        <v>11794.7</v>
      </c>
      <c r="P44" s="9" t="n">
        <v>1179.47</v>
      </c>
      <c r="Q44" s="9" t="n">
        <v>1179.47</v>
      </c>
      <c r="R44" s="9" t="n">
        <v>1179.47</v>
      </c>
      <c r="S44" s="9" t="n">
        <v>1179.47</v>
      </c>
      <c r="T44" s="9" t="n">
        <v>1179.47</v>
      </c>
      <c r="U44" s="9" t="n">
        <v>1179.47</v>
      </c>
      <c r="V44" s="9" t="n">
        <v>1179.47</v>
      </c>
      <c r="W44" s="9" t="n">
        <v>1179.47</v>
      </c>
      <c r="X44" s="9" t="n">
        <v>1179.47</v>
      </c>
      <c r="Y44" s="9" t="n">
        <v>1179.47</v>
      </c>
      <c r="Z44" s="9" t="n">
        <v>350</v>
      </c>
      <c r="AA44" s="9" t="n">
        <v>250</v>
      </c>
      <c r="AB44" s="9" t="n">
        <v>600</v>
      </c>
    </row>
    <row r="45" customFormat="false" ht="15" hidden="false" customHeight="false" outlineLevel="0" collapsed="false">
      <c r="A45" s="3" t="s">
        <v>276</v>
      </c>
      <c r="B45" s="3" t="s">
        <v>260</v>
      </c>
      <c r="C45" s="3" t="s">
        <v>68</v>
      </c>
      <c r="D45" s="3" t="s">
        <v>69</v>
      </c>
      <c r="E45" s="3" t="n">
        <v>2007</v>
      </c>
      <c r="F45" s="3" t="s">
        <v>225</v>
      </c>
      <c r="G45" s="3" t="s">
        <v>226</v>
      </c>
      <c r="H45" s="3" t="s">
        <v>277</v>
      </c>
      <c r="I45" s="3" t="s">
        <v>78</v>
      </c>
      <c r="J45" s="7" t="n">
        <v>875000</v>
      </c>
      <c r="K45" s="3" t="s">
        <v>278</v>
      </c>
      <c r="L45" s="7" t="n">
        <v>7152.82</v>
      </c>
      <c r="M45" s="7" t="n">
        <v>894.1</v>
      </c>
      <c r="N45" s="7" t="n">
        <v>894.1</v>
      </c>
      <c r="O45" s="7" t="n">
        <v>5364.6</v>
      </c>
      <c r="P45" s="7" t="n">
        <v>536.46</v>
      </c>
      <c r="Q45" s="7" t="n">
        <v>536.46</v>
      </c>
      <c r="R45" s="7" t="n">
        <v>536.46</v>
      </c>
      <c r="S45" s="7" t="n">
        <v>536.46</v>
      </c>
      <c r="T45" s="7" t="n">
        <v>536.46</v>
      </c>
      <c r="U45" s="7" t="n">
        <v>536.46</v>
      </c>
      <c r="V45" s="7" t="n">
        <v>536.46</v>
      </c>
      <c r="W45" s="7" t="n">
        <v>536.46</v>
      </c>
      <c r="X45" s="7" t="n">
        <v>536.46</v>
      </c>
      <c r="Y45" s="7" t="n">
        <v>536.46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279</v>
      </c>
      <c r="B46" s="8" t="s">
        <v>280</v>
      </c>
      <c r="C46" s="8" t="s">
        <v>219</v>
      </c>
      <c r="D46" s="8" t="s">
        <v>220</v>
      </c>
      <c r="E46" s="8" t="n">
        <v>2007</v>
      </c>
      <c r="F46" s="8" t="s">
        <v>62</v>
      </c>
      <c r="G46" s="8" t="s">
        <v>63</v>
      </c>
      <c r="H46" s="8" t="s">
        <v>281</v>
      </c>
      <c r="I46" s="8" t="s">
        <v>56</v>
      </c>
      <c r="J46" s="9" t="n">
        <v>555000</v>
      </c>
      <c r="K46" s="8" t="s">
        <v>142</v>
      </c>
      <c r="L46" s="9" t="n">
        <v>8183.68</v>
      </c>
      <c r="M46" s="9" t="n">
        <v>1022.96</v>
      </c>
      <c r="N46" s="9" t="n">
        <v>1022.96</v>
      </c>
      <c r="O46" s="9" t="n">
        <v>6137.8</v>
      </c>
      <c r="P46" s="9" t="n">
        <v>613.78</v>
      </c>
      <c r="Q46" s="9" t="n">
        <v>613.78</v>
      </c>
      <c r="R46" s="9" t="n">
        <v>613.78</v>
      </c>
      <c r="S46" s="9" t="n">
        <v>613.78</v>
      </c>
      <c r="T46" s="9" t="n">
        <v>613.78</v>
      </c>
      <c r="U46" s="9" t="n">
        <v>613.78</v>
      </c>
      <c r="V46" s="9" t="n">
        <v>613.78</v>
      </c>
      <c r="W46" s="9" t="n">
        <v>613.78</v>
      </c>
      <c r="X46" s="9" t="n">
        <v>613.78</v>
      </c>
      <c r="Y46" s="9" t="n">
        <v>613.78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282</v>
      </c>
      <c r="B47" s="3" t="s">
        <v>283</v>
      </c>
      <c r="C47" s="3" t="s">
        <v>284</v>
      </c>
      <c r="D47" s="3" t="s">
        <v>285</v>
      </c>
      <c r="E47" s="3" t="n">
        <v>1968</v>
      </c>
      <c r="F47" s="3" t="s">
        <v>107</v>
      </c>
      <c r="G47" s="3" t="s">
        <v>134</v>
      </c>
      <c r="H47" s="3" t="s">
        <v>286</v>
      </c>
      <c r="I47" s="3" t="s">
        <v>56</v>
      </c>
      <c r="J47" s="7" t="n">
        <v>380000</v>
      </c>
      <c r="K47" s="3" t="s">
        <v>275</v>
      </c>
      <c r="L47" s="7" t="n">
        <v>5235.96</v>
      </c>
      <c r="M47" s="7" t="n">
        <v>654.5</v>
      </c>
      <c r="N47" s="7" t="n">
        <v>654.5</v>
      </c>
      <c r="O47" s="7" t="n">
        <v>3927</v>
      </c>
      <c r="P47" s="7" t="n">
        <v>392.7</v>
      </c>
      <c r="Q47" s="7" t="n">
        <v>392.7</v>
      </c>
      <c r="R47" s="7" t="n">
        <v>392.7</v>
      </c>
      <c r="S47" s="7" t="n">
        <v>392.7</v>
      </c>
      <c r="T47" s="7" t="n">
        <v>392.7</v>
      </c>
      <c r="U47" s="7" t="n">
        <v>392.7</v>
      </c>
      <c r="V47" s="7" t="n">
        <v>392.7</v>
      </c>
      <c r="W47" s="7" t="n">
        <v>392.7</v>
      </c>
      <c r="X47" s="7" t="n">
        <v>392.7</v>
      </c>
      <c r="Y47" s="7" t="n">
        <v>392.7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287</v>
      </c>
      <c r="B48" s="8" t="s">
        <v>288</v>
      </c>
      <c r="C48" s="8" t="s">
        <v>177</v>
      </c>
      <c r="D48" s="8" t="s">
        <v>178</v>
      </c>
      <c r="E48" s="8" t="n">
        <v>1961</v>
      </c>
      <c r="F48" s="8" t="s">
        <v>44</v>
      </c>
      <c r="G48" s="8" t="s">
        <v>76</v>
      </c>
      <c r="H48" s="8" t="s">
        <v>289</v>
      </c>
      <c r="I48" s="8" t="s">
        <v>78</v>
      </c>
      <c r="J48" s="9" t="n">
        <v>395000</v>
      </c>
      <c r="K48" s="8" t="s">
        <v>275</v>
      </c>
      <c r="L48" s="9" t="n">
        <v>3483.29</v>
      </c>
      <c r="M48" s="9" t="n">
        <v>435.41</v>
      </c>
      <c r="N48" s="9" t="n">
        <v>435.41</v>
      </c>
      <c r="O48" s="9" t="n">
        <v>2612.5</v>
      </c>
      <c r="P48" s="9" t="n">
        <v>261.25</v>
      </c>
      <c r="Q48" s="9" t="n">
        <v>261.25</v>
      </c>
      <c r="R48" s="9" t="n">
        <v>261.25</v>
      </c>
      <c r="S48" s="9" t="n">
        <v>261.25</v>
      </c>
      <c r="T48" s="9" t="n">
        <v>261.25</v>
      </c>
      <c r="U48" s="9" t="n">
        <v>261.25</v>
      </c>
      <c r="V48" s="9" t="n">
        <v>261.25</v>
      </c>
      <c r="W48" s="9" t="n">
        <v>261.25</v>
      </c>
      <c r="X48" s="9" t="n">
        <v>261.25</v>
      </c>
      <c r="Y48" s="9" t="n">
        <v>261.25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290</v>
      </c>
      <c r="B49" s="3" t="s">
        <v>234</v>
      </c>
      <c r="C49" s="3" t="s">
        <v>267</v>
      </c>
      <c r="D49" s="3" t="s">
        <v>268</v>
      </c>
      <c r="E49" s="3" t="n">
        <v>1975</v>
      </c>
      <c r="F49" s="3" t="s">
        <v>107</v>
      </c>
      <c r="G49" s="3" t="s">
        <v>134</v>
      </c>
      <c r="H49" s="3" t="s">
        <v>291</v>
      </c>
      <c r="I49" s="3" t="s">
        <v>56</v>
      </c>
      <c r="J49" s="7" t="n">
        <v>380000</v>
      </c>
      <c r="K49" s="3" t="s">
        <v>292</v>
      </c>
      <c r="L49" s="7" t="n">
        <v>4871.72</v>
      </c>
      <c r="M49" s="7" t="n">
        <v>608.97</v>
      </c>
      <c r="N49" s="7" t="n">
        <v>608.97</v>
      </c>
      <c r="O49" s="7" t="n">
        <v>3653.8</v>
      </c>
      <c r="P49" s="7" t="n">
        <v>365.38</v>
      </c>
      <c r="Q49" s="7" t="n">
        <v>365.38</v>
      </c>
      <c r="R49" s="7" t="n">
        <v>365.38</v>
      </c>
      <c r="S49" s="7" t="n">
        <v>365.38</v>
      </c>
      <c r="T49" s="7" t="n">
        <v>365.38</v>
      </c>
      <c r="U49" s="7" t="n">
        <v>365.38</v>
      </c>
      <c r="V49" s="7" t="n">
        <v>365.38</v>
      </c>
      <c r="W49" s="7" t="n">
        <v>365.38</v>
      </c>
      <c r="X49" s="7" t="n">
        <v>365.38</v>
      </c>
      <c r="Y49" s="7" t="n">
        <v>365.38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293</v>
      </c>
      <c r="B50" s="8" t="s">
        <v>294</v>
      </c>
      <c r="C50" s="8" t="s">
        <v>295</v>
      </c>
      <c r="D50" s="8" t="s">
        <v>296</v>
      </c>
      <c r="E50" s="8" t="n">
        <v>1969</v>
      </c>
      <c r="F50" s="8" t="s">
        <v>62</v>
      </c>
      <c r="G50" s="8" t="s">
        <v>63</v>
      </c>
      <c r="H50" s="8" t="s">
        <v>297</v>
      </c>
      <c r="I50" s="8" t="s">
        <v>56</v>
      </c>
      <c r="J50" s="9" t="n">
        <v>620000</v>
      </c>
      <c r="K50" s="8" t="s">
        <v>258</v>
      </c>
      <c r="L50" s="9" t="n">
        <v>6824.4</v>
      </c>
      <c r="M50" s="9" t="n">
        <v>853.05</v>
      </c>
      <c r="N50" s="9" t="n">
        <v>853.05</v>
      </c>
      <c r="O50" s="9" t="n">
        <v>5118.3</v>
      </c>
      <c r="P50" s="9" t="n">
        <v>511.83</v>
      </c>
      <c r="Q50" s="9" t="n">
        <v>511.83</v>
      </c>
      <c r="R50" s="9" t="n">
        <v>511.83</v>
      </c>
      <c r="S50" s="9" t="n">
        <v>511.83</v>
      </c>
      <c r="T50" s="9" t="n">
        <v>511.83</v>
      </c>
      <c r="U50" s="9" t="n">
        <v>511.83</v>
      </c>
      <c r="V50" s="9" t="n">
        <v>511.83</v>
      </c>
      <c r="W50" s="9" t="n">
        <v>511.83</v>
      </c>
      <c r="X50" s="9" t="n">
        <v>511.83</v>
      </c>
      <c r="Y50" s="9" t="n">
        <v>511.83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298</v>
      </c>
      <c r="B51" s="3" t="s">
        <v>299</v>
      </c>
      <c r="C51" s="3" t="s">
        <v>189</v>
      </c>
      <c r="D51" s="3" t="s">
        <v>190</v>
      </c>
      <c r="E51" s="3" t="n">
        <v>1958</v>
      </c>
      <c r="F51" s="3" t="s">
        <v>155</v>
      </c>
      <c r="G51" s="3" t="s">
        <v>191</v>
      </c>
      <c r="H51" s="3" t="s">
        <v>300</v>
      </c>
      <c r="I51" s="3" t="s">
        <v>56</v>
      </c>
      <c r="J51" s="7" t="n">
        <v>365000</v>
      </c>
      <c r="K51" s="3" t="s">
        <v>301</v>
      </c>
      <c r="L51" s="7" t="n">
        <v>3979.69</v>
      </c>
      <c r="M51" s="7" t="n">
        <v>497.46</v>
      </c>
      <c r="N51" s="7" t="n">
        <v>497.46</v>
      </c>
      <c r="O51" s="7" t="n">
        <v>2984.8</v>
      </c>
      <c r="P51" s="7" t="n">
        <v>298.48</v>
      </c>
      <c r="Q51" s="7" t="n">
        <v>298.48</v>
      </c>
      <c r="R51" s="7" t="n">
        <v>298.48</v>
      </c>
      <c r="S51" s="7" t="n">
        <v>298.48</v>
      </c>
      <c r="T51" s="7" t="n">
        <v>298.48</v>
      </c>
      <c r="U51" s="7" t="n">
        <v>298.48</v>
      </c>
      <c r="V51" s="7" t="n">
        <v>298.48</v>
      </c>
      <c r="W51" s="7" t="n">
        <v>298.48</v>
      </c>
      <c r="X51" s="7" t="n">
        <v>298.48</v>
      </c>
      <c r="Y51" s="7" t="n">
        <v>298.48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302</v>
      </c>
      <c r="B52" s="8" t="s">
        <v>303</v>
      </c>
      <c r="C52" s="8" t="s">
        <v>304</v>
      </c>
      <c r="D52" s="8" t="s">
        <v>305</v>
      </c>
      <c r="E52" s="8" t="n">
        <v>2021</v>
      </c>
      <c r="F52" s="8" t="s">
        <v>53</v>
      </c>
      <c r="G52" s="8" t="s">
        <v>54</v>
      </c>
      <c r="H52" s="8" t="s">
        <v>306</v>
      </c>
      <c r="I52" s="8" t="s">
        <v>56</v>
      </c>
      <c r="J52" s="9" t="n">
        <v>430000</v>
      </c>
      <c r="K52" s="8" t="s">
        <v>307</v>
      </c>
      <c r="L52" s="9" t="n">
        <v>5718.82</v>
      </c>
      <c r="M52" s="9" t="n">
        <v>714.85</v>
      </c>
      <c r="N52" s="9" t="n">
        <v>714.85</v>
      </c>
      <c r="O52" s="9" t="n">
        <v>4289.1</v>
      </c>
      <c r="P52" s="9" t="n">
        <v>428.91</v>
      </c>
      <c r="Q52" s="9" t="n">
        <v>428.91</v>
      </c>
      <c r="R52" s="9" t="n">
        <v>428.91</v>
      </c>
      <c r="S52" s="9" t="n">
        <v>428.91</v>
      </c>
      <c r="T52" s="9" t="n">
        <v>428.91</v>
      </c>
      <c r="U52" s="9" t="n">
        <v>428.91</v>
      </c>
      <c r="V52" s="9" t="n">
        <v>428.91</v>
      </c>
      <c r="W52" s="9" t="n">
        <v>428.91</v>
      </c>
      <c r="X52" s="9" t="n">
        <v>428.91</v>
      </c>
      <c r="Y52" s="9" t="n">
        <v>428.91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308</v>
      </c>
      <c r="B53" s="3" t="s">
        <v>309</v>
      </c>
      <c r="C53" s="3" t="s">
        <v>272</v>
      </c>
      <c r="D53" s="3" t="s">
        <v>273</v>
      </c>
      <c r="E53" s="3" t="n">
        <v>2001</v>
      </c>
      <c r="F53" s="3" t="s">
        <v>62</v>
      </c>
      <c r="G53" s="3" t="s">
        <v>310</v>
      </c>
      <c r="H53" s="3" t="s">
        <v>311</v>
      </c>
      <c r="I53" s="3" t="s">
        <v>78</v>
      </c>
      <c r="J53" s="7" t="n">
        <v>1225000</v>
      </c>
      <c r="K53" s="3" t="s">
        <v>312</v>
      </c>
      <c r="L53" s="7" t="n">
        <v>9221.36</v>
      </c>
      <c r="M53" s="7" t="n">
        <v>1152.67</v>
      </c>
      <c r="N53" s="7" t="n">
        <v>1152.67</v>
      </c>
      <c r="O53" s="7" t="n">
        <v>6916</v>
      </c>
      <c r="P53" s="7" t="n">
        <v>691.6</v>
      </c>
      <c r="Q53" s="7" t="n">
        <v>691.6</v>
      </c>
      <c r="R53" s="7" t="n">
        <v>691.6</v>
      </c>
      <c r="S53" s="7" t="n">
        <v>691.6</v>
      </c>
      <c r="T53" s="7" t="n">
        <v>691.6</v>
      </c>
      <c r="U53" s="7" t="n">
        <v>691.6</v>
      </c>
      <c r="V53" s="7" t="n">
        <v>691.6</v>
      </c>
      <c r="W53" s="7" t="n">
        <v>691.6</v>
      </c>
      <c r="X53" s="7" t="n">
        <v>691.6</v>
      </c>
      <c r="Y53" s="7" t="n">
        <v>691.6</v>
      </c>
      <c r="Z53" s="7" t="n">
        <v>350</v>
      </c>
      <c r="AA53" s="7" t="n">
        <v>250</v>
      </c>
      <c r="AB53" s="7" t="n">
        <v>600</v>
      </c>
    </row>
    <row r="54" customFormat="false" ht="15" hidden="false" customHeight="false" outlineLevel="0" collapsed="false">
      <c r="A54" s="8" t="s">
        <v>313</v>
      </c>
      <c r="B54" s="8" t="s">
        <v>314</v>
      </c>
      <c r="C54" s="8" t="s">
        <v>101</v>
      </c>
      <c r="D54" s="8" t="s">
        <v>102</v>
      </c>
      <c r="E54" s="8" t="n">
        <v>1992</v>
      </c>
      <c r="F54" s="8" t="s">
        <v>44</v>
      </c>
      <c r="G54" s="8" t="s">
        <v>76</v>
      </c>
      <c r="H54" s="8" t="s">
        <v>315</v>
      </c>
      <c r="I54" s="8" t="s">
        <v>78</v>
      </c>
      <c r="J54" s="9" t="n">
        <v>745000</v>
      </c>
      <c r="K54" s="8" t="s">
        <v>316</v>
      </c>
      <c r="L54" s="9" t="n">
        <v>5527.16</v>
      </c>
      <c r="M54" s="9" t="n">
        <v>690.89</v>
      </c>
      <c r="N54" s="9" t="n">
        <v>690.89</v>
      </c>
      <c r="O54" s="9" t="n">
        <v>4145.4</v>
      </c>
      <c r="P54" s="9" t="n">
        <v>414.54</v>
      </c>
      <c r="Q54" s="9" t="n">
        <v>414.54</v>
      </c>
      <c r="R54" s="9" t="n">
        <v>414.54</v>
      </c>
      <c r="S54" s="9" t="n">
        <v>414.54</v>
      </c>
      <c r="T54" s="9" t="n">
        <v>414.54</v>
      </c>
      <c r="U54" s="9" t="n">
        <v>414.54</v>
      </c>
      <c r="V54" s="9" t="n">
        <v>414.54</v>
      </c>
      <c r="W54" s="9" t="n">
        <v>414.54</v>
      </c>
      <c r="X54" s="9" t="n">
        <v>414.54</v>
      </c>
      <c r="Y54" s="9" t="n">
        <v>414.54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317</v>
      </c>
      <c r="B55" s="3" t="s">
        <v>170</v>
      </c>
      <c r="C55" s="3" t="s">
        <v>208</v>
      </c>
      <c r="D55" s="3" t="s">
        <v>209</v>
      </c>
      <c r="E55" s="3" t="n">
        <v>1972</v>
      </c>
      <c r="F55" s="3" t="s">
        <v>44</v>
      </c>
      <c r="G55" s="3" t="s">
        <v>45</v>
      </c>
      <c r="H55" s="3" t="s">
        <v>318</v>
      </c>
      <c r="I55" s="3" t="s">
        <v>47</v>
      </c>
      <c r="J55" s="7" t="n">
        <v>300000</v>
      </c>
      <c r="K55" s="3" t="s">
        <v>164</v>
      </c>
      <c r="L55" s="7" t="n">
        <v>5621.77</v>
      </c>
      <c r="M55" s="7" t="n">
        <v>702.72</v>
      </c>
      <c r="N55" s="7" t="n">
        <v>702.72</v>
      </c>
      <c r="O55" s="7" t="n">
        <v>4216.3</v>
      </c>
      <c r="P55" s="7" t="n">
        <v>421.63</v>
      </c>
      <c r="Q55" s="7" t="n">
        <v>421.63</v>
      </c>
      <c r="R55" s="7" t="n">
        <v>421.63</v>
      </c>
      <c r="S55" s="7" t="n">
        <v>421.63</v>
      </c>
      <c r="T55" s="7" t="n">
        <v>421.63</v>
      </c>
      <c r="U55" s="7" t="n">
        <v>421.63</v>
      </c>
      <c r="V55" s="7" t="n">
        <v>421.63</v>
      </c>
      <c r="W55" s="7" t="n">
        <v>421.63</v>
      </c>
      <c r="X55" s="7" t="n">
        <v>421.63</v>
      </c>
      <c r="Y55" s="7" t="n">
        <v>421.63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319</v>
      </c>
      <c r="B56" s="8" t="s">
        <v>320</v>
      </c>
      <c r="C56" s="8" t="s">
        <v>74</v>
      </c>
      <c r="D56" s="8" t="s">
        <v>75</v>
      </c>
      <c r="E56" s="8" t="n">
        <v>1998</v>
      </c>
      <c r="F56" s="8" t="s">
        <v>53</v>
      </c>
      <c r="G56" s="8" t="s">
        <v>54</v>
      </c>
      <c r="H56" s="8" t="s">
        <v>321</v>
      </c>
      <c r="I56" s="8" t="s">
        <v>56</v>
      </c>
      <c r="J56" s="9" t="n">
        <v>605000</v>
      </c>
      <c r="K56" s="8" t="s">
        <v>322</v>
      </c>
      <c r="L56" s="9" t="n">
        <v>7852.94</v>
      </c>
      <c r="M56" s="9" t="n">
        <v>981.62</v>
      </c>
      <c r="N56" s="9" t="n">
        <v>981.62</v>
      </c>
      <c r="O56" s="9" t="n">
        <v>5889.7</v>
      </c>
      <c r="P56" s="9" t="n">
        <v>588.97</v>
      </c>
      <c r="Q56" s="9" t="n">
        <v>588.97</v>
      </c>
      <c r="R56" s="9" t="n">
        <v>588.97</v>
      </c>
      <c r="S56" s="9" t="n">
        <v>588.97</v>
      </c>
      <c r="T56" s="9" t="n">
        <v>588.97</v>
      </c>
      <c r="U56" s="9" t="n">
        <v>588.97</v>
      </c>
      <c r="V56" s="9" t="n">
        <v>588.97</v>
      </c>
      <c r="W56" s="9" t="n">
        <v>588.97</v>
      </c>
      <c r="X56" s="9" t="n">
        <v>588.97</v>
      </c>
      <c r="Y56" s="9" t="n">
        <v>588.97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323</v>
      </c>
      <c r="B57" s="3" t="s">
        <v>309</v>
      </c>
      <c r="C57" s="3" t="s">
        <v>68</v>
      </c>
      <c r="D57" s="3" t="s">
        <v>69</v>
      </c>
      <c r="E57" s="3" t="n">
        <v>1978</v>
      </c>
      <c r="F57" s="3" t="s">
        <v>44</v>
      </c>
      <c r="G57" s="3" t="s">
        <v>76</v>
      </c>
      <c r="H57" s="3" t="s">
        <v>324</v>
      </c>
      <c r="I57" s="3" t="s">
        <v>78</v>
      </c>
      <c r="J57" s="7" t="n">
        <v>1460000</v>
      </c>
      <c r="K57" s="3" t="s">
        <v>322</v>
      </c>
      <c r="L57" s="7" t="n">
        <v>11078.99</v>
      </c>
      <c r="M57" s="7" t="n">
        <v>1384.87</v>
      </c>
      <c r="N57" s="7" t="n">
        <v>1384.87</v>
      </c>
      <c r="O57" s="7" t="n">
        <v>8309.2</v>
      </c>
      <c r="P57" s="7" t="n">
        <v>830.92</v>
      </c>
      <c r="Q57" s="7" t="n">
        <v>830.92</v>
      </c>
      <c r="R57" s="7" t="n">
        <v>830.92</v>
      </c>
      <c r="S57" s="7" t="n">
        <v>830.92</v>
      </c>
      <c r="T57" s="7" t="n">
        <v>830.92</v>
      </c>
      <c r="U57" s="7" t="n">
        <v>830.92</v>
      </c>
      <c r="V57" s="7" t="n">
        <v>830.92</v>
      </c>
      <c r="W57" s="7" t="n">
        <v>830.92</v>
      </c>
      <c r="X57" s="7" t="n">
        <v>830.92</v>
      </c>
      <c r="Y57" s="7" t="n">
        <v>830.92</v>
      </c>
      <c r="Z57" s="7" t="n">
        <v>350</v>
      </c>
      <c r="AA57" s="7" t="n">
        <v>250</v>
      </c>
      <c r="AB57" s="7" t="n">
        <v>600</v>
      </c>
    </row>
    <row r="58" customFormat="false" ht="15" hidden="false" customHeight="false" outlineLevel="0" collapsed="false">
      <c r="A58" s="8" t="s">
        <v>325</v>
      </c>
      <c r="B58" s="8" t="s">
        <v>326</v>
      </c>
      <c r="C58" s="8" t="s">
        <v>153</v>
      </c>
      <c r="D58" s="8" t="s">
        <v>154</v>
      </c>
      <c r="E58" s="8" t="n">
        <v>2022</v>
      </c>
      <c r="F58" s="8" t="s">
        <v>53</v>
      </c>
      <c r="G58" s="8" t="s">
        <v>54</v>
      </c>
      <c r="H58" s="8" t="s">
        <v>327</v>
      </c>
      <c r="I58" s="8" t="s">
        <v>56</v>
      </c>
      <c r="J58" s="9" t="n">
        <v>305000</v>
      </c>
      <c r="K58" s="8" t="s">
        <v>57</v>
      </c>
      <c r="L58" s="9" t="n">
        <v>4641.08</v>
      </c>
      <c r="M58" s="9" t="n">
        <v>580.13</v>
      </c>
      <c r="N58" s="9" t="n">
        <v>580.13</v>
      </c>
      <c r="O58" s="9" t="n">
        <v>3480.8</v>
      </c>
      <c r="P58" s="9" t="n">
        <v>348.08</v>
      </c>
      <c r="Q58" s="9" t="n">
        <v>348.08</v>
      </c>
      <c r="R58" s="9" t="n">
        <v>348.08</v>
      </c>
      <c r="S58" s="9" t="n">
        <v>348.08</v>
      </c>
      <c r="T58" s="9" t="n">
        <v>348.08</v>
      </c>
      <c r="U58" s="9" t="n">
        <v>348.08</v>
      </c>
      <c r="V58" s="9" t="n">
        <v>348.08</v>
      </c>
      <c r="W58" s="9" t="n">
        <v>348.08</v>
      </c>
      <c r="X58" s="9" t="n">
        <v>348.08</v>
      </c>
      <c r="Y58" s="9" t="n">
        <v>348.08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328</v>
      </c>
      <c r="B59" s="3" t="s">
        <v>329</v>
      </c>
      <c r="C59" s="3" t="s">
        <v>330</v>
      </c>
      <c r="D59" s="3" t="s">
        <v>331</v>
      </c>
      <c r="E59" s="3" t="n">
        <v>2020</v>
      </c>
      <c r="F59" s="3" t="s">
        <v>62</v>
      </c>
      <c r="G59" s="3" t="s">
        <v>63</v>
      </c>
      <c r="H59" s="3" t="s">
        <v>332</v>
      </c>
      <c r="I59" s="3" t="s">
        <v>56</v>
      </c>
      <c r="J59" s="7" t="n">
        <v>430000</v>
      </c>
      <c r="K59" s="3" t="s">
        <v>174</v>
      </c>
      <c r="L59" s="7" t="n">
        <v>4791.44</v>
      </c>
      <c r="M59" s="7" t="n">
        <v>598.93</v>
      </c>
      <c r="N59" s="7" t="n">
        <v>598.93</v>
      </c>
      <c r="O59" s="7" t="n">
        <v>3593.6</v>
      </c>
      <c r="P59" s="7" t="n">
        <v>359.36</v>
      </c>
      <c r="Q59" s="7" t="n">
        <v>359.36</v>
      </c>
      <c r="R59" s="7" t="n">
        <v>359.36</v>
      </c>
      <c r="S59" s="7" t="n">
        <v>359.36</v>
      </c>
      <c r="T59" s="7" t="n">
        <v>359.36</v>
      </c>
      <c r="U59" s="7" t="n">
        <v>359.36</v>
      </c>
      <c r="V59" s="7" t="n">
        <v>359.36</v>
      </c>
      <c r="W59" s="7" t="n">
        <v>359.36</v>
      </c>
      <c r="X59" s="7" t="n">
        <v>359.36</v>
      </c>
      <c r="Y59" s="7" t="n">
        <v>359.36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333</v>
      </c>
      <c r="B60" s="8" t="s">
        <v>334</v>
      </c>
      <c r="C60" s="8" t="s">
        <v>139</v>
      </c>
      <c r="D60" s="8" t="s">
        <v>140</v>
      </c>
      <c r="E60" s="8" t="n">
        <v>2011</v>
      </c>
      <c r="F60" s="8" t="s">
        <v>195</v>
      </c>
      <c r="G60" s="8" t="s">
        <v>196</v>
      </c>
      <c r="H60" s="8" t="s">
        <v>335</v>
      </c>
      <c r="I60" s="8" t="s">
        <v>47</v>
      </c>
      <c r="J60" s="9" t="n">
        <v>1250000</v>
      </c>
      <c r="K60" s="8" t="s">
        <v>150</v>
      </c>
      <c r="L60" s="9" t="n">
        <v>19490.08</v>
      </c>
      <c r="M60" s="9" t="n">
        <v>2436.26</v>
      </c>
      <c r="N60" s="9" t="n">
        <v>2436.26</v>
      </c>
      <c r="O60" s="9" t="n">
        <v>14617.6</v>
      </c>
      <c r="P60" s="9" t="n">
        <v>1461.76</v>
      </c>
      <c r="Q60" s="9" t="n">
        <v>1461.76</v>
      </c>
      <c r="R60" s="9" t="n">
        <v>1461.76</v>
      </c>
      <c r="S60" s="9" t="n">
        <v>1461.76</v>
      </c>
      <c r="T60" s="9" t="n">
        <v>1461.76</v>
      </c>
      <c r="U60" s="9" t="n">
        <v>1461.76</v>
      </c>
      <c r="V60" s="9" t="n">
        <v>1461.76</v>
      </c>
      <c r="W60" s="9" t="n">
        <v>1461.76</v>
      </c>
      <c r="X60" s="9" t="n">
        <v>1461.76</v>
      </c>
      <c r="Y60" s="9" t="n">
        <v>1461.76</v>
      </c>
      <c r="Z60" s="9" t="n">
        <v>350</v>
      </c>
      <c r="AA60" s="9" t="n">
        <v>250</v>
      </c>
      <c r="AB60" s="9" t="n">
        <v>600</v>
      </c>
    </row>
    <row r="61" customFormat="false" ht="15" hidden="false" customHeight="false" outlineLevel="0" collapsed="false">
      <c r="A61" s="3" t="s">
        <v>336</v>
      </c>
      <c r="B61" s="3" t="s">
        <v>337</v>
      </c>
      <c r="C61" s="3" t="s">
        <v>267</v>
      </c>
      <c r="D61" s="3" t="s">
        <v>268</v>
      </c>
      <c r="E61" s="3" t="n">
        <v>1961</v>
      </c>
      <c r="F61" s="3" t="s">
        <v>95</v>
      </c>
      <c r="G61" s="3" t="s">
        <v>96</v>
      </c>
      <c r="H61" s="3" t="s">
        <v>338</v>
      </c>
      <c r="I61" s="3" t="s">
        <v>47</v>
      </c>
      <c r="J61" s="7" t="n">
        <v>275000</v>
      </c>
      <c r="K61" s="3" t="s">
        <v>65</v>
      </c>
      <c r="L61" s="7" t="n">
        <v>6214.26</v>
      </c>
      <c r="M61" s="7" t="n">
        <v>776.78</v>
      </c>
      <c r="N61" s="7" t="n">
        <v>776.78</v>
      </c>
      <c r="O61" s="7" t="n">
        <v>4660.7</v>
      </c>
      <c r="P61" s="7" t="n">
        <v>466.07</v>
      </c>
      <c r="Q61" s="7" t="n">
        <v>466.07</v>
      </c>
      <c r="R61" s="7" t="n">
        <v>466.07</v>
      </c>
      <c r="S61" s="7" t="n">
        <v>466.07</v>
      </c>
      <c r="T61" s="7" t="n">
        <v>466.07</v>
      </c>
      <c r="U61" s="7" t="n">
        <v>466.07</v>
      </c>
      <c r="V61" s="7" t="n">
        <v>466.07</v>
      </c>
      <c r="W61" s="7" t="n">
        <v>466.07</v>
      </c>
      <c r="X61" s="7" t="n">
        <v>466.07</v>
      </c>
      <c r="Y61" s="7" t="n">
        <v>466.07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339</v>
      </c>
      <c r="B62" s="8" t="s">
        <v>340</v>
      </c>
      <c r="C62" s="8" t="s">
        <v>145</v>
      </c>
      <c r="D62" s="8" t="s">
        <v>146</v>
      </c>
      <c r="E62" s="8" t="n">
        <v>1972</v>
      </c>
      <c r="F62" s="8" t="s">
        <v>95</v>
      </c>
      <c r="G62" s="8" t="s">
        <v>96</v>
      </c>
      <c r="H62" s="8" t="s">
        <v>341</v>
      </c>
      <c r="I62" s="8" t="s">
        <v>47</v>
      </c>
      <c r="J62" s="9" t="n">
        <v>1915000</v>
      </c>
      <c r="K62" s="8" t="s">
        <v>90</v>
      </c>
      <c r="L62" s="9" t="n">
        <v>31327.26</v>
      </c>
      <c r="M62" s="9" t="n">
        <v>3915.91</v>
      </c>
      <c r="N62" s="9" t="n">
        <v>3915.91</v>
      </c>
      <c r="O62" s="9" t="n">
        <v>23495.4</v>
      </c>
      <c r="P62" s="9" t="n">
        <v>2349.54</v>
      </c>
      <c r="Q62" s="9" t="n">
        <v>2349.54</v>
      </c>
      <c r="R62" s="9" t="n">
        <v>2349.54</v>
      </c>
      <c r="S62" s="9" t="n">
        <v>2349.54</v>
      </c>
      <c r="T62" s="9" t="n">
        <v>2349.54</v>
      </c>
      <c r="U62" s="9" t="n">
        <v>2349.54</v>
      </c>
      <c r="V62" s="9" t="n">
        <v>2349.54</v>
      </c>
      <c r="W62" s="9" t="n">
        <v>2349.54</v>
      </c>
      <c r="X62" s="9" t="n">
        <v>2349.54</v>
      </c>
      <c r="Y62" s="9" t="n">
        <v>2349.54</v>
      </c>
      <c r="Z62" s="9" t="n">
        <v>350</v>
      </c>
      <c r="AA62" s="9" t="n">
        <v>250</v>
      </c>
      <c r="AB62" s="9" t="n">
        <v>600</v>
      </c>
    </row>
    <row r="63" customFormat="false" ht="15" hidden="false" customHeight="false" outlineLevel="0" collapsed="false">
      <c r="A63" s="3" t="s">
        <v>342</v>
      </c>
      <c r="B63" s="3" t="s">
        <v>343</v>
      </c>
      <c r="C63" s="3" t="s">
        <v>304</v>
      </c>
      <c r="D63" s="3" t="s">
        <v>305</v>
      </c>
      <c r="E63" s="3" t="n">
        <v>1979</v>
      </c>
      <c r="F63" s="3" t="s">
        <v>62</v>
      </c>
      <c r="G63" s="3" t="s">
        <v>63</v>
      </c>
      <c r="H63" s="3" t="s">
        <v>344</v>
      </c>
      <c r="I63" s="3" t="s">
        <v>56</v>
      </c>
      <c r="J63" s="7" t="n">
        <v>495000</v>
      </c>
      <c r="K63" s="3" t="s">
        <v>90</v>
      </c>
      <c r="L63" s="7" t="n">
        <v>7591.55</v>
      </c>
      <c r="M63" s="7" t="n">
        <v>948.94</v>
      </c>
      <c r="N63" s="7" t="n">
        <v>948.94</v>
      </c>
      <c r="O63" s="7" t="n">
        <v>5693.7</v>
      </c>
      <c r="P63" s="7" t="n">
        <v>569.37</v>
      </c>
      <c r="Q63" s="7" t="n">
        <v>569.37</v>
      </c>
      <c r="R63" s="7" t="n">
        <v>569.37</v>
      </c>
      <c r="S63" s="7" t="n">
        <v>569.37</v>
      </c>
      <c r="T63" s="7" t="n">
        <v>569.37</v>
      </c>
      <c r="U63" s="7" t="n">
        <v>569.37</v>
      </c>
      <c r="V63" s="7" t="n">
        <v>569.37</v>
      </c>
      <c r="W63" s="7" t="n">
        <v>569.37</v>
      </c>
      <c r="X63" s="7" t="n">
        <v>569.37</v>
      </c>
      <c r="Y63" s="7" t="n">
        <v>569.37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345</v>
      </c>
      <c r="B64" s="8" t="s">
        <v>346</v>
      </c>
      <c r="C64" s="8" t="s">
        <v>189</v>
      </c>
      <c r="D64" s="8" t="s">
        <v>190</v>
      </c>
      <c r="E64" s="8" t="n">
        <v>1996</v>
      </c>
      <c r="F64" s="8" t="s">
        <v>53</v>
      </c>
      <c r="G64" s="8" t="s">
        <v>54</v>
      </c>
      <c r="H64" s="8" t="s">
        <v>347</v>
      </c>
      <c r="I64" s="8" t="s">
        <v>56</v>
      </c>
      <c r="J64" s="9" t="n">
        <v>160000</v>
      </c>
      <c r="K64" s="8" t="s">
        <v>98</v>
      </c>
      <c r="L64" s="9" t="n">
        <v>2939.49</v>
      </c>
      <c r="M64" s="9" t="n">
        <v>367.44</v>
      </c>
      <c r="N64" s="9" t="n">
        <v>367.44</v>
      </c>
      <c r="O64" s="9" t="n">
        <v>2204.6</v>
      </c>
      <c r="P64" s="9" t="n">
        <v>220.46</v>
      </c>
      <c r="Q64" s="9" t="n">
        <v>220.46</v>
      </c>
      <c r="R64" s="9" t="n">
        <v>220.46</v>
      </c>
      <c r="S64" s="9" t="n">
        <v>220.46</v>
      </c>
      <c r="T64" s="9" t="n">
        <v>220.46</v>
      </c>
      <c r="U64" s="9" t="n">
        <v>220.46</v>
      </c>
      <c r="V64" s="9" t="n">
        <v>220.46</v>
      </c>
      <c r="W64" s="9" t="n">
        <v>220.46</v>
      </c>
      <c r="X64" s="9" t="n">
        <v>220.46</v>
      </c>
      <c r="Y64" s="9" t="n">
        <v>220.46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348</v>
      </c>
      <c r="B65" s="3" t="s">
        <v>349</v>
      </c>
      <c r="C65" s="3" t="s">
        <v>139</v>
      </c>
      <c r="D65" s="3" t="s">
        <v>140</v>
      </c>
      <c r="E65" s="3" t="n">
        <v>1994</v>
      </c>
      <c r="F65" s="3" t="s">
        <v>62</v>
      </c>
      <c r="G65" s="3" t="s">
        <v>310</v>
      </c>
      <c r="H65" s="3" t="s">
        <v>350</v>
      </c>
      <c r="I65" s="3" t="s">
        <v>78</v>
      </c>
      <c r="J65" s="7" t="n">
        <v>775000</v>
      </c>
      <c r="K65" s="3" t="s">
        <v>131</v>
      </c>
      <c r="L65" s="7" t="n">
        <v>6920.98</v>
      </c>
      <c r="M65" s="7" t="n">
        <v>865.12</v>
      </c>
      <c r="N65" s="7" t="n">
        <v>865.12</v>
      </c>
      <c r="O65" s="7" t="n">
        <v>5190.7</v>
      </c>
      <c r="P65" s="7" t="n">
        <v>519.07</v>
      </c>
      <c r="Q65" s="7" t="n">
        <v>519.07</v>
      </c>
      <c r="R65" s="7" t="n">
        <v>519.07</v>
      </c>
      <c r="S65" s="7" t="n">
        <v>519.07</v>
      </c>
      <c r="T65" s="7" t="n">
        <v>519.07</v>
      </c>
      <c r="U65" s="7" t="n">
        <v>519.07</v>
      </c>
      <c r="V65" s="7" t="n">
        <v>519.07</v>
      </c>
      <c r="W65" s="7" t="n">
        <v>519.07</v>
      </c>
      <c r="X65" s="7" t="n">
        <v>519.07</v>
      </c>
      <c r="Y65" s="7" t="n">
        <v>519.07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351</v>
      </c>
      <c r="B66" s="8" t="s">
        <v>352</v>
      </c>
      <c r="C66" s="8" t="s">
        <v>284</v>
      </c>
      <c r="D66" s="8" t="s">
        <v>285</v>
      </c>
      <c r="E66" s="8" t="n">
        <v>2017</v>
      </c>
      <c r="F66" s="8" t="s">
        <v>83</v>
      </c>
      <c r="G66" s="8" t="s">
        <v>84</v>
      </c>
      <c r="H66" s="8" t="s">
        <v>353</v>
      </c>
      <c r="I66" s="8" t="s">
        <v>56</v>
      </c>
      <c r="J66" s="9" t="n">
        <v>845000</v>
      </c>
      <c r="K66" s="8" t="s">
        <v>312</v>
      </c>
      <c r="L66" s="9" t="n">
        <v>10880.42</v>
      </c>
      <c r="M66" s="9" t="n">
        <v>1360.05</v>
      </c>
      <c r="N66" s="9" t="n">
        <v>1360.05</v>
      </c>
      <c r="O66" s="9" t="n">
        <v>8160.3</v>
      </c>
      <c r="P66" s="9" t="n">
        <v>816.03</v>
      </c>
      <c r="Q66" s="9" t="n">
        <v>816.03</v>
      </c>
      <c r="R66" s="9" t="n">
        <v>816.03</v>
      </c>
      <c r="S66" s="9" t="n">
        <v>816.03</v>
      </c>
      <c r="T66" s="9" t="n">
        <v>816.03</v>
      </c>
      <c r="U66" s="9" t="n">
        <v>816.03</v>
      </c>
      <c r="V66" s="9" t="n">
        <v>816.03</v>
      </c>
      <c r="W66" s="9" t="n">
        <v>816.03</v>
      </c>
      <c r="X66" s="9" t="n">
        <v>816.03</v>
      </c>
      <c r="Y66" s="9" t="n">
        <v>816.03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354</v>
      </c>
      <c r="B67" s="3" t="s">
        <v>355</v>
      </c>
      <c r="C67" s="3" t="s">
        <v>74</v>
      </c>
      <c r="D67" s="3" t="s">
        <v>75</v>
      </c>
      <c r="E67" s="3" t="n">
        <v>2010</v>
      </c>
      <c r="F67" s="3" t="s">
        <v>107</v>
      </c>
      <c r="G67" s="3" t="s">
        <v>108</v>
      </c>
      <c r="H67" s="3" t="s">
        <v>356</v>
      </c>
      <c r="I67" s="3" t="s">
        <v>110</v>
      </c>
      <c r="J67" s="7" t="n">
        <v>1090000</v>
      </c>
      <c r="K67" s="3" t="s">
        <v>264</v>
      </c>
      <c r="L67" s="7" t="n">
        <v>7104.61</v>
      </c>
      <c r="M67" s="7" t="n">
        <v>888.08</v>
      </c>
      <c r="N67" s="7" t="n">
        <v>888.08</v>
      </c>
      <c r="O67" s="7" t="n">
        <v>5328.5</v>
      </c>
      <c r="P67" s="7" t="n">
        <v>532.85</v>
      </c>
      <c r="Q67" s="7" t="n">
        <v>532.85</v>
      </c>
      <c r="R67" s="7" t="n">
        <v>532.85</v>
      </c>
      <c r="S67" s="7" t="n">
        <v>532.85</v>
      </c>
      <c r="T67" s="7" t="n">
        <v>532.85</v>
      </c>
      <c r="U67" s="7" t="n">
        <v>532.85</v>
      </c>
      <c r="V67" s="7" t="n">
        <v>532.85</v>
      </c>
      <c r="W67" s="7" t="n">
        <v>532.85</v>
      </c>
      <c r="X67" s="7" t="n">
        <v>532.85</v>
      </c>
      <c r="Y67" s="7" t="n">
        <v>532.85</v>
      </c>
      <c r="Z67" s="7" t="n">
        <v>350</v>
      </c>
      <c r="AA67" s="7" t="n">
        <v>250</v>
      </c>
      <c r="AB67" s="7" t="n">
        <v>600</v>
      </c>
    </row>
    <row r="68" customFormat="false" ht="15" hidden="false" customHeight="false" outlineLevel="0" collapsed="false">
      <c r="A68" s="8" t="s">
        <v>357</v>
      </c>
      <c r="B68" s="8" t="s">
        <v>358</v>
      </c>
      <c r="C68" s="8" t="s">
        <v>295</v>
      </c>
      <c r="D68" s="8" t="s">
        <v>296</v>
      </c>
      <c r="E68" s="8" t="n">
        <v>2000</v>
      </c>
      <c r="F68" s="8" t="s">
        <v>107</v>
      </c>
      <c r="G68" s="8" t="s">
        <v>134</v>
      </c>
      <c r="H68" s="8" t="s">
        <v>359</v>
      </c>
      <c r="I68" s="8" t="s">
        <v>56</v>
      </c>
      <c r="J68" s="9" t="n">
        <v>345000</v>
      </c>
      <c r="K68" s="8" t="s">
        <v>136</v>
      </c>
      <c r="L68" s="9" t="n">
        <v>6407.17</v>
      </c>
      <c r="M68" s="9" t="n">
        <v>800.9</v>
      </c>
      <c r="N68" s="9" t="n">
        <v>800.9</v>
      </c>
      <c r="O68" s="9" t="n">
        <v>4805.4</v>
      </c>
      <c r="P68" s="9" t="n">
        <v>480.54</v>
      </c>
      <c r="Q68" s="9" t="n">
        <v>480.54</v>
      </c>
      <c r="R68" s="9" t="n">
        <v>480.54</v>
      </c>
      <c r="S68" s="9" t="n">
        <v>480.54</v>
      </c>
      <c r="T68" s="9" t="n">
        <v>480.54</v>
      </c>
      <c r="U68" s="9" t="n">
        <v>480.54</v>
      </c>
      <c r="V68" s="9" t="n">
        <v>480.54</v>
      </c>
      <c r="W68" s="9" t="n">
        <v>480.54</v>
      </c>
      <c r="X68" s="9" t="n">
        <v>480.54</v>
      </c>
      <c r="Y68" s="9" t="n">
        <v>480.54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360</v>
      </c>
      <c r="B69" s="3" t="s">
        <v>361</v>
      </c>
      <c r="C69" s="3" t="s">
        <v>128</v>
      </c>
      <c r="D69" s="3" t="s">
        <v>129</v>
      </c>
      <c r="E69" s="3" t="n">
        <v>1982</v>
      </c>
      <c r="F69" s="3" t="s">
        <v>107</v>
      </c>
      <c r="G69" s="3" t="s">
        <v>134</v>
      </c>
      <c r="H69" s="3" t="s">
        <v>362</v>
      </c>
      <c r="I69" s="3" t="s">
        <v>56</v>
      </c>
      <c r="J69" s="7" t="n">
        <v>880000</v>
      </c>
      <c r="K69" s="3" t="s">
        <v>168</v>
      </c>
      <c r="L69" s="7" t="n">
        <v>8772.45</v>
      </c>
      <c r="M69" s="7" t="n">
        <v>1096.56</v>
      </c>
      <c r="N69" s="7" t="n">
        <v>1096.56</v>
      </c>
      <c r="O69" s="7" t="n">
        <v>6579.3</v>
      </c>
      <c r="P69" s="7" t="n">
        <v>657.93</v>
      </c>
      <c r="Q69" s="7" t="n">
        <v>657.93</v>
      </c>
      <c r="R69" s="7" t="n">
        <v>657.93</v>
      </c>
      <c r="S69" s="7" t="n">
        <v>657.93</v>
      </c>
      <c r="T69" s="7" t="n">
        <v>657.93</v>
      </c>
      <c r="U69" s="7" t="n">
        <v>657.93</v>
      </c>
      <c r="V69" s="7" t="n">
        <v>657.93</v>
      </c>
      <c r="W69" s="7" t="n">
        <v>657.93</v>
      </c>
      <c r="X69" s="7" t="n">
        <v>657.93</v>
      </c>
      <c r="Y69" s="7" t="n">
        <v>657.93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363</v>
      </c>
      <c r="B70" s="8" t="s">
        <v>364</v>
      </c>
      <c r="C70" s="8" t="s">
        <v>51</v>
      </c>
      <c r="D70" s="8" t="s">
        <v>52</v>
      </c>
      <c r="E70" s="8" t="n">
        <v>1983</v>
      </c>
      <c r="F70" s="8" t="s">
        <v>62</v>
      </c>
      <c r="G70" s="8" t="s">
        <v>310</v>
      </c>
      <c r="H70" s="8" t="s">
        <v>365</v>
      </c>
      <c r="I70" s="8" t="s">
        <v>78</v>
      </c>
      <c r="J70" s="9" t="n">
        <v>195000</v>
      </c>
      <c r="K70" s="8" t="s">
        <v>142</v>
      </c>
      <c r="L70" s="9" t="n">
        <v>2521.46</v>
      </c>
      <c r="M70" s="9" t="n">
        <v>315.18</v>
      </c>
      <c r="N70" s="9" t="n">
        <v>315.18</v>
      </c>
      <c r="O70" s="9" t="n">
        <v>1891.1</v>
      </c>
      <c r="P70" s="9" t="n">
        <v>189.11</v>
      </c>
      <c r="Q70" s="9" t="n">
        <v>189.11</v>
      </c>
      <c r="R70" s="9" t="n">
        <v>189.11</v>
      </c>
      <c r="S70" s="9" t="n">
        <v>189.11</v>
      </c>
      <c r="T70" s="9" t="n">
        <v>189.11</v>
      </c>
      <c r="U70" s="9" t="n">
        <v>189.11</v>
      </c>
      <c r="V70" s="9" t="n">
        <v>189.11</v>
      </c>
      <c r="W70" s="9" t="n">
        <v>189.11</v>
      </c>
      <c r="X70" s="9" t="n">
        <v>189.11</v>
      </c>
      <c r="Y70" s="9" t="n">
        <v>189.11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366</v>
      </c>
      <c r="B71" s="3" t="s">
        <v>367</v>
      </c>
      <c r="C71" s="3" t="s">
        <v>261</v>
      </c>
      <c r="D71" s="3" t="s">
        <v>262</v>
      </c>
      <c r="E71" s="3" t="n">
        <v>1995</v>
      </c>
      <c r="F71" s="3" t="s">
        <v>53</v>
      </c>
      <c r="G71" s="3" t="s">
        <v>54</v>
      </c>
      <c r="H71" s="3" t="s">
        <v>368</v>
      </c>
      <c r="I71" s="3" t="s">
        <v>56</v>
      </c>
      <c r="J71" s="7" t="n">
        <v>330000</v>
      </c>
      <c r="K71" s="3" t="s">
        <v>48</v>
      </c>
      <c r="L71" s="7" t="n">
        <v>3756.23</v>
      </c>
      <c r="M71" s="7" t="n">
        <v>469.53</v>
      </c>
      <c r="N71" s="7" t="n">
        <v>469.53</v>
      </c>
      <c r="O71" s="7" t="n">
        <v>2817.2</v>
      </c>
      <c r="P71" s="7" t="n">
        <v>281.72</v>
      </c>
      <c r="Q71" s="7" t="n">
        <v>281.72</v>
      </c>
      <c r="R71" s="7" t="n">
        <v>281.72</v>
      </c>
      <c r="S71" s="7" t="n">
        <v>281.72</v>
      </c>
      <c r="T71" s="7" t="n">
        <v>281.72</v>
      </c>
      <c r="U71" s="7" t="n">
        <v>281.72</v>
      </c>
      <c r="V71" s="7" t="n">
        <v>281.72</v>
      </c>
      <c r="W71" s="7" t="n">
        <v>281.72</v>
      </c>
      <c r="X71" s="7" t="n">
        <v>281.72</v>
      </c>
      <c r="Y71" s="7" t="n">
        <v>281.72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369</v>
      </c>
      <c r="B72" s="8" t="s">
        <v>370</v>
      </c>
      <c r="C72" s="8" t="s">
        <v>171</v>
      </c>
      <c r="D72" s="8" t="s">
        <v>172</v>
      </c>
      <c r="E72" s="8" t="n">
        <v>1961</v>
      </c>
      <c r="F72" s="8" t="s">
        <v>155</v>
      </c>
      <c r="G72" s="8" t="s">
        <v>191</v>
      </c>
      <c r="H72" s="8" t="s">
        <v>371</v>
      </c>
      <c r="I72" s="8" t="s">
        <v>56</v>
      </c>
      <c r="J72" s="9" t="n">
        <v>445000</v>
      </c>
      <c r="K72" s="8" t="s">
        <v>307</v>
      </c>
      <c r="L72" s="9" t="n">
        <v>5918.31</v>
      </c>
      <c r="M72" s="9" t="n">
        <v>739.79</v>
      </c>
      <c r="N72" s="9" t="n">
        <v>739.79</v>
      </c>
      <c r="O72" s="9" t="n">
        <v>4438.7</v>
      </c>
      <c r="P72" s="9" t="n">
        <v>443.87</v>
      </c>
      <c r="Q72" s="9" t="n">
        <v>443.87</v>
      </c>
      <c r="R72" s="9" t="n">
        <v>443.87</v>
      </c>
      <c r="S72" s="9" t="n">
        <v>443.87</v>
      </c>
      <c r="T72" s="9" t="n">
        <v>443.87</v>
      </c>
      <c r="U72" s="9" t="n">
        <v>443.87</v>
      </c>
      <c r="V72" s="9" t="n">
        <v>443.87</v>
      </c>
      <c r="W72" s="9" t="n">
        <v>443.87</v>
      </c>
      <c r="X72" s="9" t="n">
        <v>443.87</v>
      </c>
      <c r="Y72" s="9" t="n">
        <v>443.87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372</v>
      </c>
      <c r="B73" s="3" t="s">
        <v>373</v>
      </c>
      <c r="C73" s="3" t="s">
        <v>208</v>
      </c>
      <c r="D73" s="3" t="s">
        <v>209</v>
      </c>
      <c r="E73" s="3" t="n">
        <v>2013</v>
      </c>
      <c r="F73" s="3" t="s">
        <v>62</v>
      </c>
      <c r="G73" s="3" t="s">
        <v>63</v>
      </c>
      <c r="H73" s="3" t="s">
        <v>374</v>
      </c>
      <c r="I73" s="3" t="s">
        <v>56</v>
      </c>
      <c r="J73" s="7" t="n">
        <v>490000</v>
      </c>
      <c r="K73" s="3" t="s">
        <v>136</v>
      </c>
      <c r="L73" s="7" t="n">
        <v>9100.03</v>
      </c>
      <c r="M73" s="7" t="n">
        <v>1137.5</v>
      </c>
      <c r="N73" s="7" t="n">
        <v>1137.5</v>
      </c>
      <c r="O73" s="7" t="n">
        <v>6825</v>
      </c>
      <c r="P73" s="7" t="n">
        <v>682.5</v>
      </c>
      <c r="Q73" s="7" t="n">
        <v>682.5</v>
      </c>
      <c r="R73" s="7" t="n">
        <v>682.5</v>
      </c>
      <c r="S73" s="7" t="n">
        <v>682.5</v>
      </c>
      <c r="T73" s="7" t="n">
        <v>682.5</v>
      </c>
      <c r="U73" s="7" t="n">
        <v>682.5</v>
      </c>
      <c r="V73" s="7" t="n">
        <v>682.5</v>
      </c>
      <c r="W73" s="7" t="n">
        <v>682.5</v>
      </c>
      <c r="X73" s="7" t="n">
        <v>682.5</v>
      </c>
      <c r="Y73" s="7" t="n">
        <v>682.5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375</v>
      </c>
      <c r="B74" s="8" t="s">
        <v>376</v>
      </c>
      <c r="C74" s="8" t="s">
        <v>304</v>
      </c>
      <c r="D74" s="8" t="s">
        <v>305</v>
      </c>
      <c r="E74" s="8" t="n">
        <v>1992</v>
      </c>
      <c r="F74" s="8" t="s">
        <v>107</v>
      </c>
      <c r="G74" s="8" t="s">
        <v>134</v>
      </c>
      <c r="H74" s="8" t="s">
        <v>377</v>
      </c>
      <c r="I74" s="8" t="s">
        <v>56</v>
      </c>
      <c r="J74" s="9" t="n">
        <v>420000</v>
      </c>
      <c r="K74" s="8" t="s">
        <v>86</v>
      </c>
      <c r="L74" s="9" t="n">
        <v>6793.57</v>
      </c>
      <c r="M74" s="9" t="n">
        <v>849.2</v>
      </c>
      <c r="N74" s="9" t="n">
        <v>849.2</v>
      </c>
      <c r="O74" s="9" t="n">
        <v>5095.2</v>
      </c>
      <c r="P74" s="9" t="n">
        <v>509.52</v>
      </c>
      <c r="Q74" s="9" t="n">
        <v>509.52</v>
      </c>
      <c r="R74" s="9" t="n">
        <v>509.52</v>
      </c>
      <c r="S74" s="9" t="n">
        <v>509.52</v>
      </c>
      <c r="T74" s="9" t="n">
        <v>509.52</v>
      </c>
      <c r="U74" s="9" t="n">
        <v>509.52</v>
      </c>
      <c r="V74" s="9" t="n">
        <v>509.52</v>
      </c>
      <c r="W74" s="9" t="n">
        <v>509.52</v>
      </c>
      <c r="X74" s="9" t="n">
        <v>509.52</v>
      </c>
      <c r="Y74" s="9" t="n">
        <v>509.52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378</v>
      </c>
      <c r="B75" s="3" t="s">
        <v>379</v>
      </c>
      <c r="C75" s="3" t="s">
        <v>189</v>
      </c>
      <c r="D75" s="3" t="s">
        <v>190</v>
      </c>
      <c r="E75" s="3" t="n">
        <v>1984</v>
      </c>
      <c r="F75" s="3" t="s">
        <v>44</v>
      </c>
      <c r="G75" s="3" t="s">
        <v>240</v>
      </c>
      <c r="H75" s="3" t="s">
        <v>380</v>
      </c>
      <c r="I75" s="3" t="s">
        <v>47</v>
      </c>
      <c r="J75" s="7" t="n">
        <v>930000</v>
      </c>
      <c r="K75" s="3" t="s">
        <v>90</v>
      </c>
      <c r="L75" s="7" t="n">
        <v>18066.34</v>
      </c>
      <c r="M75" s="7" t="n">
        <v>2258.29</v>
      </c>
      <c r="N75" s="7" t="n">
        <v>2258.29</v>
      </c>
      <c r="O75" s="7" t="n">
        <v>13549.8</v>
      </c>
      <c r="P75" s="7" t="n">
        <v>1354.98</v>
      </c>
      <c r="Q75" s="7" t="n">
        <v>1354.98</v>
      </c>
      <c r="R75" s="7" t="n">
        <v>1354.98</v>
      </c>
      <c r="S75" s="7" t="n">
        <v>1354.98</v>
      </c>
      <c r="T75" s="7" t="n">
        <v>1354.98</v>
      </c>
      <c r="U75" s="7" t="n">
        <v>1354.98</v>
      </c>
      <c r="V75" s="7" t="n">
        <v>1354.98</v>
      </c>
      <c r="W75" s="7" t="n">
        <v>1354.98</v>
      </c>
      <c r="X75" s="7" t="n">
        <v>1354.98</v>
      </c>
      <c r="Y75" s="7" t="n">
        <v>1354.98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381</v>
      </c>
      <c r="B76" s="8" t="s">
        <v>382</v>
      </c>
      <c r="C76" s="8" t="s">
        <v>219</v>
      </c>
      <c r="D76" s="8" t="s">
        <v>220</v>
      </c>
      <c r="E76" s="8" t="n">
        <v>2014</v>
      </c>
      <c r="F76" s="8" t="s">
        <v>195</v>
      </c>
      <c r="G76" s="8" t="s">
        <v>196</v>
      </c>
      <c r="H76" s="8" t="s">
        <v>383</v>
      </c>
      <c r="I76" s="8" t="s">
        <v>47</v>
      </c>
      <c r="J76" s="9" t="n">
        <v>860000</v>
      </c>
      <c r="K76" s="8" t="s">
        <v>307</v>
      </c>
      <c r="L76" s="9" t="n">
        <v>14487.67</v>
      </c>
      <c r="M76" s="9" t="n">
        <v>1810.96</v>
      </c>
      <c r="N76" s="9" t="n">
        <v>1810.96</v>
      </c>
      <c r="O76" s="9" t="n">
        <v>10865.8</v>
      </c>
      <c r="P76" s="9" t="n">
        <v>1086.58</v>
      </c>
      <c r="Q76" s="9" t="n">
        <v>1086.58</v>
      </c>
      <c r="R76" s="9" t="n">
        <v>1086.58</v>
      </c>
      <c r="S76" s="9" t="n">
        <v>1086.58</v>
      </c>
      <c r="T76" s="9" t="n">
        <v>1086.58</v>
      </c>
      <c r="U76" s="9" t="n">
        <v>1086.58</v>
      </c>
      <c r="V76" s="9" t="n">
        <v>1086.58</v>
      </c>
      <c r="W76" s="9" t="n">
        <v>1086.58</v>
      </c>
      <c r="X76" s="9" t="n">
        <v>1086.58</v>
      </c>
      <c r="Y76" s="9" t="n">
        <v>1086.58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384</v>
      </c>
      <c r="B77" s="3" t="s">
        <v>106</v>
      </c>
      <c r="C77" s="3" t="s">
        <v>139</v>
      </c>
      <c r="D77" s="3" t="s">
        <v>140</v>
      </c>
      <c r="E77" s="3" t="n">
        <v>1991</v>
      </c>
      <c r="F77" s="3" t="s">
        <v>225</v>
      </c>
      <c r="G77" s="3" t="s">
        <v>226</v>
      </c>
      <c r="H77" s="3" t="s">
        <v>385</v>
      </c>
      <c r="I77" s="3" t="s">
        <v>78</v>
      </c>
      <c r="J77" s="7" t="n">
        <v>330000</v>
      </c>
      <c r="K77" s="3" t="s">
        <v>278</v>
      </c>
      <c r="L77" s="7" t="n">
        <v>3011.31</v>
      </c>
      <c r="M77" s="7" t="n">
        <v>376.41</v>
      </c>
      <c r="N77" s="7" t="n">
        <v>376.41</v>
      </c>
      <c r="O77" s="7" t="n">
        <v>2258.5</v>
      </c>
      <c r="P77" s="7" t="n">
        <v>225.85</v>
      </c>
      <c r="Q77" s="7" t="n">
        <v>225.85</v>
      </c>
      <c r="R77" s="7" t="n">
        <v>225.85</v>
      </c>
      <c r="S77" s="7" t="n">
        <v>225.85</v>
      </c>
      <c r="T77" s="7" t="n">
        <v>225.85</v>
      </c>
      <c r="U77" s="7" t="n">
        <v>225.85</v>
      </c>
      <c r="V77" s="7" t="n">
        <v>225.85</v>
      </c>
      <c r="W77" s="7" t="n">
        <v>225.85</v>
      </c>
      <c r="X77" s="7" t="n">
        <v>225.85</v>
      </c>
      <c r="Y77" s="7" t="n">
        <v>225.85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386</v>
      </c>
      <c r="B78" s="8" t="s">
        <v>387</v>
      </c>
      <c r="C78" s="8" t="s">
        <v>284</v>
      </c>
      <c r="D78" s="8" t="s">
        <v>285</v>
      </c>
      <c r="E78" s="8" t="n">
        <v>2017</v>
      </c>
      <c r="F78" s="8" t="s">
        <v>195</v>
      </c>
      <c r="G78" s="8" t="s">
        <v>196</v>
      </c>
      <c r="H78" s="8" t="s">
        <v>388</v>
      </c>
      <c r="I78" s="8" t="s">
        <v>47</v>
      </c>
      <c r="J78" s="9" t="n">
        <v>1255000</v>
      </c>
      <c r="K78" s="8" t="s">
        <v>168</v>
      </c>
      <c r="L78" s="9" t="n">
        <v>15397.8</v>
      </c>
      <c r="M78" s="9" t="n">
        <v>1924.72</v>
      </c>
      <c r="N78" s="9" t="n">
        <v>1924.72</v>
      </c>
      <c r="O78" s="9" t="n">
        <v>11548.3</v>
      </c>
      <c r="P78" s="9" t="n">
        <v>1154.83</v>
      </c>
      <c r="Q78" s="9" t="n">
        <v>1154.83</v>
      </c>
      <c r="R78" s="9" t="n">
        <v>1154.83</v>
      </c>
      <c r="S78" s="9" t="n">
        <v>1154.83</v>
      </c>
      <c r="T78" s="9" t="n">
        <v>1154.83</v>
      </c>
      <c r="U78" s="9" t="n">
        <v>1154.83</v>
      </c>
      <c r="V78" s="9" t="n">
        <v>1154.83</v>
      </c>
      <c r="W78" s="9" t="n">
        <v>1154.83</v>
      </c>
      <c r="X78" s="9" t="n">
        <v>1154.83</v>
      </c>
      <c r="Y78" s="9" t="n">
        <v>1154.83</v>
      </c>
      <c r="Z78" s="9" t="n">
        <v>350</v>
      </c>
      <c r="AA78" s="9" t="n">
        <v>250</v>
      </c>
      <c r="AB78" s="9" t="n">
        <v>600</v>
      </c>
    </row>
    <row r="79" customFormat="false" ht="15" hidden="false" customHeight="false" outlineLevel="0" collapsed="false">
      <c r="A79" s="3" t="s">
        <v>389</v>
      </c>
      <c r="B79" s="3" t="s">
        <v>390</v>
      </c>
      <c r="C79" s="3" t="s">
        <v>295</v>
      </c>
      <c r="D79" s="3" t="s">
        <v>296</v>
      </c>
      <c r="E79" s="3" t="n">
        <v>1974</v>
      </c>
      <c r="F79" s="3" t="s">
        <v>225</v>
      </c>
      <c r="G79" s="3" t="s">
        <v>226</v>
      </c>
      <c r="H79" s="3" t="s">
        <v>391</v>
      </c>
      <c r="I79" s="3" t="s">
        <v>78</v>
      </c>
      <c r="J79" s="7" t="n">
        <v>785000</v>
      </c>
      <c r="K79" s="3" t="s">
        <v>57</v>
      </c>
      <c r="L79" s="7" t="n">
        <v>6848.5</v>
      </c>
      <c r="M79" s="7" t="n">
        <v>856.06</v>
      </c>
      <c r="N79" s="7" t="n">
        <v>856.06</v>
      </c>
      <c r="O79" s="7" t="n">
        <v>5136.4</v>
      </c>
      <c r="P79" s="7" t="n">
        <v>513.64</v>
      </c>
      <c r="Q79" s="7" t="n">
        <v>513.64</v>
      </c>
      <c r="R79" s="7" t="n">
        <v>513.64</v>
      </c>
      <c r="S79" s="7" t="n">
        <v>513.64</v>
      </c>
      <c r="T79" s="7" t="n">
        <v>513.64</v>
      </c>
      <c r="U79" s="7" t="n">
        <v>513.64</v>
      </c>
      <c r="V79" s="7" t="n">
        <v>513.64</v>
      </c>
      <c r="W79" s="7" t="n">
        <v>513.64</v>
      </c>
      <c r="X79" s="7" t="n">
        <v>513.64</v>
      </c>
      <c r="Y79" s="7" t="n">
        <v>513.64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392</v>
      </c>
      <c r="B80" s="8" t="s">
        <v>393</v>
      </c>
      <c r="C80" s="8" t="s">
        <v>304</v>
      </c>
      <c r="D80" s="8" t="s">
        <v>305</v>
      </c>
      <c r="E80" s="8" t="n">
        <v>2011</v>
      </c>
      <c r="F80" s="8" t="s">
        <v>107</v>
      </c>
      <c r="G80" s="8" t="s">
        <v>134</v>
      </c>
      <c r="H80" s="8" t="s">
        <v>394</v>
      </c>
      <c r="I80" s="8" t="s">
        <v>56</v>
      </c>
      <c r="J80" s="9" t="n">
        <v>1245000</v>
      </c>
      <c r="K80" s="8" t="s">
        <v>275</v>
      </c>
      <c r="L80" s="9" t="n">
        <v>12580.08</v>
      </c>
      <c r="M80" s="9" t="n">
        <v>1572.51</v>
      </c>
      <c r="N80" s="9" t="n">
        <v>1572.51</v>
      </c>
      <c r="O80" s="9" t="n">
        <v>9435.1</v>
      </c>
      <c r="P80" s="9" t="n">
        <v>943.51</v>
      </c>
      <c r="Q80" s="9" t="n">
        <v>943.51</v>
      </c>
      <c r="R80" s="9" t="n">
        <v>943.51</v>
      </c>
      <c r="S80" s="9" t="n">
        <v>943.51</v>
      </c>
      <c r="T80" s="9" t="n">
        <v>943.51</v>
      </c>
      <c r="U80" s="9" t="n">
        <v>943.51</v>
      </c>
      <c r="V80" s="9" t="n">
        <v>943.51</v>
      </c>
      <c r="W80" s="9" t="n">
        <v>943.51</v>
      </c>
      <c r="X80" s="9" t="n">
        <v>943.51</v>
      </c>
      <c r="Y80" s="9" t="n">
        <v>943.51</v>
      </c>
      <c r="Z80" s="9" t="n">
        <v>350</v>
      </c>
      <c r="AA80" s="9" t="n">
        <v>250</v>
      </c>
      <c r="AB80" s="9" t="n">
        <v>600</v>
      </c>
    </row>
    <row r="81" customFormat="false" ht="15" hidden="false" customHeight="false" outlineLevel="0" collapsed="false">
      <c r="A81" s="3" t="s">
        <v>395</v>
      </c>
      <c r="B81" s="3" t="s">
        <v>396</v>
      </c>
      <c r="C81" s="3" t="s">
        <v>51</v>
      </c>
      <c r="D81" s="3" t="s">
        <v>52</v>
      </c>
      <c r="E81" s="3" t="n">
        <v>2007</v>
      </c>
      <c r="F81" s="3" t="s">
        <v>225</v>
      </c>
      <c r="G81" s="3" t="s">
        <v>226</v>
      </c>
      <c r="H81" s="3" t="s">
        <v>397</v>
      </c>
      <c r="I81" s="3" t="s">
        <v>78</v>
      </c>
      <c r="J81" s="7" t="n">
        <v>1145000</v>
      </c>
      <c r="K81" s="3" t="s">
        <v>398</v>
      </c>
      <c r="L81" s="7" t="n">
        <v>8897.19</v>
      </c>
      <c r="M81" s="7" t="n">
        <v>1112.15</v>
      </c>
      <c r="N81" s="7" t="n">
        <v>1112.15</v>
      </c>
      <c r="O81" s="7" t="n">
        <v>6672.9</v>
      </c>
      <c r="P81" s="7" t="n">
        <v>667.29</v>
      </c>
      <c r="Q81" s="7" t="n">
        <v>667.29</v>
      </c>
      <c r="R81" s="7" t="n">
        <v>667.29</v>
      </c>
      <c r="S81" s="7" t="n">
        <v>667.29</v>
      </c>
      <c r="T81" s="7" t="n">
        <v>667.29</v>
      </c>
      <c r="U81" s="7" t="n">
        <v>667.29</v>
      </c>
      <c r="V81" s="7" t="n">
        <v>667.29</v>
      </c>
      <c r="W81" s="7" t="n">
        <v>667.29</v>
      </c>
      <c r="X81" s="7" t="n">
        <v>667.29</v>
      </c>
      <c r="Y81" s="7" t="n">
        <v>667.29</v>
      </c>
      <c r="Z81" s="7" t="n">
        <v>350</v>
      </c>
      <c r="AA81" s="7" t="n">
        <v>250</v>
      </c>
      <c r="AB81" s="7" t="n">
        <v>600</v>
      </c>
    </row>
    <row r="82" customFormat="false" ht="15" hidden="false" customHeight="false" outlineLevel="0" collapsed="false">
      <c r="A82" s="8" t="s">
        <v>399</v>
      </c>
      <c r="B82" s="8" t="s">
        <v>400</v>
      </c>
      <c r="C82" s="8" t="s">
        <v>219</v>
      </c>
      <c r="D82" s="8" t="s">
        <v>220</v>
      </c>
      <c r="E82" s="8" t="n">
        <v>1967</v>
      </c>
      <c r="F82" s="8" t="s">
        <v>44</v>
      </c>
      <c r="G82" s="8" t="s">
        <v>76</v>
      </c>
      <c r="H82" s="8" t="s">
        <v>401</v>
      </c>
      <c r="I82" s="8" t="s">
        <v>78</v>
      </c>
      <c r="J82" s="9" t="n">
        <v>455000</v>
      </c>
      <c r="K82" s="8" t="s">
        <v>86</v>
      </c>
      <c r="L82" s="9" t="n">
        <v>4710.21</v>
      </c>
      <c r="M82" s="9" t="n">
        <v>588.78</v>
      </c>
      <c r="N82" s="9" t="n">
        <v>588.78</v>
      </c>
      <c r="O82" s="9" t="n">
        <v>3532.7</v>
      </c>
      <c r="P82" s="9" t="n">
        <v>353.27</v>
      </c>
      <c r="Q82" s="9" t="n">
        <v>353.27</v>
      </c>
      <c r="R82" s="9" t="n">
        <v>353.27</v>
      </c>
      <c r="S82" s="9" t="n">
        <v>353.27</v>
      </c>
      <c r="T82" s="9" t="n">
        <v>353.27</v>
      </c>
      <c r="U82" s="9" t="n">
        <v>353.27</v>
      </c>
      <c r="V82" s="9" t="n">
        <v>353.27</v>
      </c>
      <c r="W82" s="9" t="n">
        <v>353.27</v>
      </c>
      <c r="X82" s="9" t="n">
        <v>353.27</v>
      </c>
      <c r="Y82" s="9" t="n">
        <v>353.27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402</v>
      </c>
      <c r="B83" s="3" t="s">
        <v>403</v>
      </c>
      <c r="C83" s="3" t="s">
        <v>219</v>
      </c>
      <c r="D83" s="3" t="s">
        <v>220</v>
      </c>
      <c r="E83" s="3" t="n">
        <v>1974</v>
      </c>
      <c r="F83" s="3" t="s">
        <v>195</v>
      </c>
      <c r="G83" s="3" t="s">
        <v>196</v>
      </c>
      <c r="H83" s="3" t="s">
        <v>404</v>
      </c>
      <c r="I83" s="3" t="s">
        <v>47</v>
      </c>
      <c r="J83" s="7" t="n">
        <v>530000</v>
      </c>
      <c r="K83" s="3" t="s">
        <v>198</v>
      </c>
      <c r="L83" s="7" t="n">
        <v>10778.49</v>
      </c>
      <c r="M83" s="7" t="n">
        <v>1347.31</v>
      </c>
      <c r="N83" s="7" t="n">
        <v>1347.31</v>
      </c>
      <c r="O83" s="7" t="n">
        <v>8083.9</v>
      </c>
      <c r="P83" s="7" t="n">
        <v>808.39</v>
      </c>
      <c r="Q83" s="7" t="n">
        <v>808.39</v>
      </c>
      <c r="R83" s="7" t="n">
        <v>808.39</v>
      </c>
      <c r="S83" s="7" t="n">
        <v>808.39</v>
      </c>
      <c r="T83" s="7" t="n">
        <v>808.39</v>
      </c>
      <c r="U83" s="7" t="n">
        <v>808.39</v>
      </c>
      <c r="V83" s="7" t="n">
        <v>808.39</v>
      </c>
      <c r="W83" s="7" t="n">
        <v>808.39</v>
      </c>
      <c r="X83" s="7" t="n">
        <v>808.39</v>
      </c>
      <c r="Y83" s="7" t="n">
        <v>808.39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405</v>
      </c>
      <c r="B84" s="8" t="s">
        <v>406</v>
      </c>
      <c r="C84" s="8" t="s">
        <v>101</v>
      </c>
      <c r="D84" s="8" t="s">
        <v>102</v>
      </c>
      <c r="E84" s="8" t="n">
        <v>2024</v>
      </c>
      <c r="F84" s="8" t="s">
        <v>44</v>
      </c>
      <c r="G84" s="8" t="s">
        <v>45</v>
      </c>
      <c r="H84" s="8" t="s">
        <v>407</v>
      </c>
      <c r="I84" s="8" t="s">
        <v>47</v>
      </c>
      <c r="J84" s="9" t="n">
        <v>555000</v>
      </c>
      <c r="K84" s="8" t="s">
        <v>136</v>
      </c>
      <c r="L84" s="9" t="n">
        <v>13055.76</v>
      </c>
      <c r="M84" s="9" t="n">
        <v>1631.97</v>
      </c>
      <c r="N84" s="9" t="n">
        <v>1631.97</v>
      </c>
      <c r="O84" s="9" t="n">
        <v>9791.8</v>
      </c>
      <c r="P84" s="9" t="n">
        <v>979.18</v>
      </c>
      <c r="Q84" s="9" t="n">
        <v>979.18</v>
      </c>
      <c r="R84" s="9" t="n">
        <v>979.18</v>
      </c>
      <c r="S84" s="9" t="n">
        <v>979.18</v>
      </c>
      <c r="T84" s="9" t="n">
        <v>979.18</v>
      </c>
      <c r="U84" s="9" t="n">
        <v>979.18</v>
      </c>
      <c r="V84" s="9" t="n">
        <v>979.18</v>
      </c>
      <c r="W84" s="9" t="n">
        <v>979.18</v>
      </c>
      <c r="X84" s="9" t="n">
        <v>979.18</v>
      </c>
      <c r="Y84" s="9" t="n">
        <v>979.18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408</v>
      </c>
      <c r="B85" s="3" t="s">
        <v>409</v>
      </c>
      <c r="C85" s="3" t="s">
        <v>272</v>
      </c>
      <c r="D85" s="3" t="s">
        <v>273</v>
      </c>
      <c r="E85" s="3" t="n">
        <v>2012</v>
      </c>
      <c r="F85" s="3" t="s">
        <v>122</v>
      </c>
      <c r="G85" s="3" t="s">
        <v>123</v>
      </c>
      <c r="H85" s="3" t="s">
        <v>410</v>
      </c>
      <c r="I85" s="3" t="s">
        <v>56</v>
      </c>
      <c r="J85" s="7" t="n">
        <v>450000</v>
      </c>
      <c r="K85" s="3" t="s">
        <v>142</v>
      </c>
      <c r="L85" s="7" t="n">
        <v>7656.24</v>
      </c>
      <c r="M85" s="7" t="n">
        <v>957.03</v>
      </c>
      <c r="N85" s="7" t="n">
        <v>957.03</v>
      </c>
      <c r="O85" s="7" t="n">
        <v>5742.2</v>
      </c>
      <c r="P85" s="7" t="n">
        <v>574.22</v>
      </c>
      <c r="Q85" s="7" t="n">
        <v>574.22</v>
      </c>
      <c r="R85" s="7" t="n">
        <v>574.22</v>
      </c>
      <c r="S85" s="7" t="n">
        <v>574.22</v>
      </c>
      <c r="T85" s="7" t="n">
        <v>574.22</v>
      </c>
      <c r="U85" s="7" t="n">
        <v>574.22</v>
      </c>
      <c r="V85" s="7" t="n">
        <v>574.22</v>
      </c>
      <c r="W85" s="7" t="n">
        <v>574.22</v>
      </c>
      <c r="X85" s="7" t="n">
        <v>574.22</v>
      </c>
      <c r="Y85" s="7" t="n">
        <v>574.22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411</v>
      </c>
      <c r="B86" s="8" t="s">
        <v>412</v>
      </c>
      <c r="C86" s="8" t="s">
        <v>153</v>
      </c>
      <c r="D86" s="8" t="s">
        <v>154</v>
      </c>
      <c r="E86" s="8" t="n">
        <v>2010</v>
      </c>
      <c r="F86" s="8" t="s">
        <v>83</v>
      </c>
      <c r="G86" s="8" t="s">
        <v>84</v>
      </c>
      <c r="H86" s="8" t="s">
        <v>413</v>
      </c>
      <c r="I86" s="8" t="s">
        <v>56</v>
      </c>
      <c r="J86" s="9" t="n">
        <v>750000</v>
      </c>
      <c r="K86" s="8" t="s">
        <v>249</v>
      </c>
      <c r="L86" s="9" t="n">
        <v>8878.37</v>
      </c>
      <c r="M86" s="9" t="n">
        <v>1109.8</v>
      </c>
      <c r="N86" s="9" t="n">
        <v>1109.8</v>
      </c>
      <c r="O86" s="9" t="n">
        <v>6658.8</v>
      </c>
      <c r="P86" s="9" t="n">
        <v>665.88</v>
      </c>
      <c r="Q86" s="9" t="n">
        <v>665.88</v>
      </c>
      <c r="R86" s="9" t="n">
        <v>665.88</v>
      </c>
      <c r="S86" s="9" t="n">
        <v>665.88</v>
      </c>
      <c r="T86" s="9" t="n">
        <v>665.88</v>
      </c>
      <c r="U86" s="9" t="n">
        <v>665.88</v>
      </c>
      <c r="V86" s="9" t="n">
        <v>665.88</v>
      </c>
      <c r="W86" s="9" t="n">
        <v>665.88</v>
      </c>
      <c r="X86" s="9" t="n">
        <v>665.88</v>
      </c>
      <c r="Y86" s="9" t="n">
        <v>665.88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414</v>
      </c>
      <c r="B87" s="3" t="s">
        <v>415</v>
      </c>
      <c r="C87" s="3" t="s">
        <v>238</v>
      </c>
      <c r="D87" s="3" t="s">
        <v>239</v>
      </c>
      <c r="E87" s="3" t="n">
        <v>2010</v>
      </c>
      <c r="F87" s="3" t="s">
        <v>62</v>
      </c>
      <c r="G87" s="3" t="s">
        <v>63</v>
      </c>
      <c r="H87" s="3" t="s">
        <v>416</v>
      </c>
      <c r="I87" s="3" t="s">
        <v>56</v>
      </c>
      <c r="J87" s="7" t="n">
        <v>505000</v>
      </c>
      <c r="K87" s="3" t="s">
        <v>164</v>
      </c>
      <c r="L87" s="7" t="n">
        <v>5348.82</v>
      </c>
      <c r="M87" s="7" t="n">
        <v>668.6</v>
      </c>
      <c r="N87" s="7" t="n">
        <v>668.6</v>
      </c>
      <c r="O87" s="7" t="n">
        <v>4011.6</v>
      </c>
      <c r="P87" s="7" t="n">
        <v>401.16</v>
      </c>
      <c r="Q87" s="7" t="n">
        <v>401.16</v>
      </c>
      <c r="R87" s="7" t="n">
        <v>401.16</v>
      </c>
      <c r="S87" s="7" t="n">
        <v>401.16</v>
      </c>
      <c r="T87" s="7" t="n">
        <v>401.16</v>
      </c>
      <c r="U87" s="7" t="n">
        <v>401.16</v>
      </c>
      <c r="V87" s="7" t="n">
        <v>401.16</v>
      </c>
      <c r="W87" s="7" t="n">
        <v>401.16</v>
      </c>
      <c r="X87" s="7" t="n">
        <v>401.16</v>
      </c>
      <c r="Y87" s="7" t="n">
        <v>401.16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417</v>
      </c>
      <c r="B88" s="8" t="s">
        <v>418</v>
      </c>
      <c r="C88" s="8" t="s">
        <v>101</v>
      </c>
      <c r="D88" s="8" t="s">
        <v>102</v>
      </c>
      <c r="E88" s="8" t="n">
        <v>2003</v>
      </c>
      <c r="F88" s="8" t="s">
        <v>225</v>
      </c>
      <c r="G88" s="8" t="s">
        <v>226</v>
      </c>
      <c r="H88" s="8" t="s">
        <v>419</v>
      </c>
      <c r="I88" s="8" t="s">
        <v>78</v>
      </c>
      <c r="J88" s="9" t="n">
        <v>615000</v>
      </c>
      <c r="K88" s="8" t="s">
        <v>125</v>
      </c>
      <c r="L88" s="9" t="n">
        <v>5745.61</v>
      </c>
      <c r="M88" s="9" t="n">
        <v>718.2</v>
      </c>
      <c r="N88" s="9" t="n">
        <v>718.2</v>
      </c>
      <c r="O88" s="9" t="n">
        <v>4309.2</v>
      </c>
      <c r="P88" s="9" t="n">
        <v>430.92</v>
      </c>
      <c r="Q88" s="9" t="n">
        <v>430.92</v>
      </c>
      <c r="R88" s="9" t="n">
        <v>430.92</v>
      </c>
      <c r="S88" s="9" t="n">
        <v>430.92</v>
      </c>
      <c r="T88" s="9" t="n">
        <v>430.92</v>
      </c>
      <c r="U88" s="9" t="n">
        <v>430.92</v>
      </c>
      <c r="V88" s="9" t="n">
        <v>430.92</v>
      </c>
      <c r="W88" s="9" t="n">
        <v>430.92</v>
      </c>
      <c r="X88" s="9" t="n">
        <v>430.92</v>
      </c>
      <c r="Y88" s="9" t="n">
        <v>430.92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420</v>
      </c>
      <c r="B89" s="3" t="s">
        <v>421</v>
      </c>
      <c r="C89" s="3" t="s">
        <v>68</v>
      </c>
      <c r="D89" s="3" t="s">
        <v>69</v>
      </c>
      <c r="E89" s="3" t="n">
        <v>1998</v>
      </c>
      <c r="F89" s="3" t="s">
        <v>44</v>
      </c>
      <c r="G89" s="3" t="s">
        <v>76</v>
      </c>
      <c r="H89" s="3" t="s">
        <v>422</v>
      </c>
      <c r="I89" s="3" t="s">
        <v>78</v>
      </c>
      <c r="J89" s="7" t="n">
        <v>700000</v>
      </c>
      <c r="K89" s="3" t="s">
        <v>98</v>
      </c>
      <c r="L89" s="7" t="n">
        <v>6010.77</v>
      </c>
      <c r="M89" s="7" t="n">
        <v>751.35</v>
      </c>
      <c r="N89" s="7" t="n">
        <v>751.35</v>
      </c>
      <c r="O89" s="7" t="n">
        <v>4508.1</v>
      </c>
      <c r="P89" s="7" t="n">
        <v>450.81</v>
      </c>
      <c r="Q89" s="7" t="n">
        <v>450.81</v>
      </c>
      <c r="R89" s="7" t="n">
        <v>450.81</v>
      </c>
      <c r="S89" s="7" t="n">
        <v>450.81</v>
      </c>
      <c r="T89" s="7" t="n">
        <v>450.81</v>
      </c>
      <c r="U89" s="7" t="n">
        <v>450.81</v>
      </c>
      <c r="V89" s="7" t="n">
        <v>450.81</v>
      </c>
      <c r="W89" s="7" t="n">
        <v>450.81</v>
      </c>
      <c r="X89" s="7" t="n">
        <v>450.81</v>
      </c>
      <c r="Y89" s="7" t="n">
        <v>450.81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423</v>
      </c>
      <c r="B90" s="8" t="s">
        <v>424</v>
      </c>
      <c r="C90" s="8" t="s">
        <v>238</v>
      </c>
      <c r="D90" s="8" t="s">
        <v>239</v>
      </c>
      <c r="E90" s="8" t="n">
        <v>1991</v>
      </c>
      <c r="F90" s="8" t="s">
        <v>122</v>
      </c>
      <c r="G90" s="8" t="s">
        <v>123</v>
      </c>
      <c r="H90" s="8" t="s">
        <v>425</v>
      </c>
      <c r="I90" s="8" t="s">
        <v>56</v>
      </c>
      <c r="J90" s="9" t="n">
        <v>255000</v>
      </c>
      <c r="K90" s="8" t="s">
        <v>301</v>
      </c>
      <c r="L90" s="9" t="n">
        <v>2780.33</v>
      </c>
      <c r="M90" s="9" t="n">
        <v>347.54</v>
      </c>
      <c r="N90" s="9" t="n">
        <v>347.54</v>
      </c>
      <c r="O90" s="9" t="n">
        <v>2085.2</v>
      </c>
      <c r="P90" s="9" t="n">
        <v>208.52</v>
      </c>
      <c r="Q90" s="9" t="n">
        <v>208.52</v>
      </c>
      <c r="R90" s="9" t="n">
        <v>208.52</v>
      </c>
      <c r="S90" s="9" t="n">
        <v>208.52</v>
      </c>
      <c r="T90" s="9" t="n">
        <v>208.52</v>
      </c>
      <c r="U90" s="9" t="n">
        <v>208.52</v>
      </c>
      <c r="V90" s="9" t="n">
        <v>208.52</v>
      </c>
      <c r="W90" s="9" t="n">
        <v>208.52</v>
      </c>
      <c r="X90" s="9" t="n">
        <v>208.52</v>
      </c>
      <c r="Y90" s="9" t="n">
        <v>208.52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426</v>
      </c>
      <c r="B91" s="3" t="s">
        <v>427</v>
      </c>
      <c r="C91" s="3" t="s">
        <v>153</v>
      </c>
      <c r="D91" s="3" t="s">
        <v>154</v>
      </c>
      <c r="E91" s="3" t="n">
        <v>2019</v>
      </c>
      <c r="F91" s="3" t="s">
        <v>107</v>
      </c>
      <c r="G91" s="3" t="s">
        <v>134</v>
      </c>
      <c r="H91" s="3" t="s">
        <v>428</v>
      </c>
      <c r="I91" s="3" t="s">
        <v>56</v>
      </c>
      <c r="J91" s="7" t="n">
        <v>465000</v>
      </c>
      <c r="K91" s="3" t="s">
        <v>57</v>
      </c>
      <c r="L91" s="7" t="n">
        <v>7075.74</v>
      </c>
      <c r="M91" s="7" t="n">
        <v>884.47</v>
      </c>
      <c r="N91" s="7" t="n">
        <v>884.47</v>
      </c>
      <c r="O91" s="7" t="n">
        <v>5306.8</v>
      </c>
      <c r="P91" s="7" t="n">
        <v>530.68</v>
      </c>
      <c r="Q91" s="7" t="n">
        <v>530.68</v>
      </c>
      <c r="R91" s="7" t="n">
        <v>530.68</v>
      </c>
      <c r="S91" s="7" t="n">
        <v>530.68</v>
      </c>
      <c r="T91" s="7" t="n">
        <v>530.68</v>
      </c>
      <c r="U91" s="7" t="n">
        <v>530.68</v>
      </c>
      <c r="V91" s="7" t="n">
        <v>530.68</v>
      </c>
      <c r="W91" s="7" t="n">
        <v>530.68</v>
      </c>
      <c r="X91" s="7" t="n">
        <v>530.68</v>
      </c>
      <c r="Y91" s="7" t="n">
        <v>530.68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429</v>
      </c>
      <c r="B92" s="8" t="s">
        <v>430</v>
      </c>
      <c r="C92" s="8" t="s">
        <v>51</v>
      </c>
      <c r="D92" s="8" t="s">
        <v>52</v>
      </c>
      <c r="E92" s="8" t="n">
        <v>2003</v>
      </c>
      <c r="F92" s="8" t="s">
        <v>107</v>
      </c>
      <c r="G92" s="8" t="s">
        <v>134</v>
      </c>
      <c r="H92" s="8" t="s">
        <v>431</v>
      </c>
      <c r="I92" s="8" t="s">
        <v>56</v>
      </c>
      <c r="J92" s="9" t="n">
        <v>635000</v>
      </c>
      <c r="K92" s="8" t="s">
        <v>432</v>
      </c>
      <c r="L92" s="9" t="n">
        <v>6396.06</v>
      </c>
      <c r="M92" s="9" t="n">
        <v>799.51</v>
      </c>
      <c r="N92" s="9" t="n">
        <v>799.51</v>
      </c>
      <c r="O92" s="9" t="n">
        <v>4797</v>
      </c>
      <c r="P92" s="9" t="n">
        <v>479.7</v>
      </c>
      <c r="Q92" s="9" t="n">
        <v>479.7</v>
      </c>
      <c r="R92" s="9" t="n">
        <v>479.7</v>
      </c>
      <c r="S92" s="9" t="n">
        <v>479.7</v>
      </c>
      <c r="T92" s="9" t="n">
        <v>479.7</v>
      </c>
      <c r="U92" s="9" t="n">
        <v>479.7</v>
      </c>
      <c r="V92" s="9" t="n">
        <v>479.7</v>
      </c>
      <c r="W92" s="9" t="n">
        <v>479.7</v>
      </c>
      <c r="X92" s="9" t="n">
        <v>479.7</v>
      </c>
      <c r="Y92" s="9" t="n">
        <v>479.7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433</v>
      </c>
      <c r="B93" s="3" t="s">
        <v>434</v>
      </c>
      <c r="C93" s="3" t="s">
        <v>42</v>
      </c>
      <c r="D93" s="3" t="s">
        <v>43</v>
      </c>
      <c r="E93" s="3" t="n">
        <v>1999</v>
      </c>
      <c r="F93" s="3" t="s">
        <v>122</v>
      </c>
      <c r="G93" s="3" t="s">
        <v>123</v>
      </c>
      <c r="H93" s="3" t="s">
        <v>435</v>
      </c>
      <c r="I93" s="3" t="s">
        <v>56</v>
      </c>
      <c r="J93" s="7" t="n">
        <v>510000</v>
      </c>
      <c r="K93" s="3" t="s">
        <v>436</v>
      </c>
      <c r="L93" s="7" t="n">
        <v>6090.25</v>
      </c>
      <c r="M93" s="7" t="n">
        <v>761.28</v>
      </c>
      <c r="N93" s="7" t="n">
        <v>761.28</v>
      </c>
      <c r="O93" s="7" t="n">
        <v>4567.7</v>
      </c>
      <c r="P93" s="7" t="n">
        <v>456.77</v>
      </c>
      <c r="Q93" s="7" t="n">
        <v>456.77</v>
      </c>
      <c r="R93" s="7" t="n">
        <v>456.77</v>
      </c>
      <c r="S93" s="7" t="n">
        <v>456.77</v>
      </c>
      <c r="T93" s="7" t="n">
        <v>456.77</v>
      </c>
      <c r="U93" s="7" t="n">
        <v>456.77</v>
      </c>
      <c r="V93" s="7" t="n">
        <v>456.77</v>
      </c>
      <c r="W93" s="7" t="n">
        <v>456.77</v>
      </c>
      <c r="X93" s="7" t="n">
        <v>456.77</v>
      </c>
      <c r="Y93" s="7" t="n">
        <v>456.77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437</v>
      </c>
      <c r="B94" s="8" t="s">
        <v>438</v>
      </c>
      <c r="C94" s="8" t="s">
        <v>153</v>
      </c>
      <c r="D94" s="8" t="s">
        <v>154</v>
      </c>
      <c r="E94" s="8" t="n">
        <v>2002</v>
      </c>
      <c r="F94" s="8" t="s">
        <v>107</v>
      </c>
      <c r="G94" s="8" t="s">
        <v>108</v>
      </c>
      <c r="H94" s="8" t="s">
        <v>439</v>
      </c>
      <c r="I94" s="8" t="s">
        <v>110</v>
      </c>
      <c r="J94" s="9" t="n">
        <v>715000</v>
      </c>
      <c r="K94" s="8" t="s">
        <v>142</v>
      </c>
      <c r="L94" s="9" t="n">
        <v>6163.56</v>
      </c>
      <c r="M94" s="9" t="n">
        <v>770.45</v>
      </c>
      <c r="N94" s="9" t="n">
        <v>770.45</v>
      </c>
      <c r="O94" s="9" t="n">
        <v>4622.7</v>
      </c>
      <c r="P94" s="9" t="n">
        <v>462.27</v>
      </c>
      <c r="Q94" s="9" t="n">
        <v>462.27</v>
      </c>
      <c r="R94" s="9" t="n">
        <v>462.27</v>
      </c>
      <c r="S94" s="9" t="n">
        <v>462.27</v>
      </c>
      <c r="T94" s="9" t="n">
        <v>462.27</v>
      </c>
      <c r="U94" s="9" t="n">
        <v>462.27</v>
      </c>
      <c r="V94" s="9" t="n">
        <v>462.27</v>
      </c>
      <c r="W94" s="9" t="n">
        <v>462.27</v>
      </c>
      <c r="X94" s="9" t="n">
        <v>462.27</v>
      </c>
      <c r="Y94" s="9" t="n">
        <v>462.27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440</v>
      </c>
      <c r="B95" s="3" t="s">
        <v>441</v>
      </c>
      <c r="C95" s="3" t="s">
        <v>68</v>
      </c>
      <c r="D95" s="3" t="s">
        <v>69</v>
      </c>
      <c r="E95" s="3" t="n">
        <v>1972</v>
      </c>
      <c r="F95" s="3" t="s">
        <v>195</v>
      </c>
      <c r="G95" s="3" t="s">
        <v>196</v>
      </c>
      <c r="H95" s="3" t="s">
        <v>442</v>
      </c>
      <c r="I95" s="3" t="s">
        <v>47</v>
      </c>
      <c r="J95" s="7" t="n">
        <v>1080000</v>
      </c>
      <c r="K95" s="3" t="s">
        <v>86</v>
      </c>
      <c r="L95" s="7" t="n">
        <v>18633.79</v>
      </c>
      <c r="M95" s="7" t="n">
        <v>2329.22</v>
      </c>
      <c r="N95" s="7" t="n">
        <v>2329.22</v>
      </c>
      <c r="O95" s="7" t="n">
        <v>13975.3</v>
      </c>
      <c r="P95" s="7" t="n">
        <v>1397.53</v>
      </c>
      <c r="Q95" s="7" t="n">
        <v>1397.53</v>
      </c>
      <c r="R95" s="7" t="n">
        <v>1397.53</v>
      </c>
      <c r="S95" s="7" t="n">
        <v>1397.53</v>
      </c>
      <c r="T95" s="7" t="n">
        <v>1397.53</v>
      </c>
      <c r="U95" s="7" t="n">
        <v>1397.53</v>
      </c>
      <c r="V95" s="7" t="n">
        <v>1397.53</v>
      </c>
      <c r="W95" s="7" t="n">
        <v>1397.53</v>
      </c>
      <c r="X95" s="7" t="n">
        <v>1397.53</v>
      </c>
      <c r="Y95" s="7" t="n">
        <v>1397.53</v>
      </c>
      <c r="Z95" s="7" t="n">
        <v>350</v>
      </c>
      <c r="AA95" s="7" t="n">
        <v>250</v>
      </c>
      <c r="AB95" s="7" t="n">
        <v>600</v>
      </c>
    </row>
    <row r="96" customFormat="false" ht="15" hidden="false" customHeight="false" outlineLevel="0" collapsed="false">
      <c r="A96" s="8" t="s">
        <v>443</v>
      </c>
      <c r="B96" s="8" t="s">
        <v>444</v>
      </c>
      <c r="C96" s="8" t="s">
        <v>153</v>
      </c>
      <c r="D96" s="8" t="s">
        <v>154</v>
      </c>
      <c r="E96" s="8" t="n">
        <v>2013</v>
      </c>
      <c r="F96" s="8" t="s">
        <v>62</v>
      </c>
      <c r="G96" s="8" t="s">
        <v>63</v>
      </c>
      <c r="H96" s="8" t="s">
        <v>445</v>
      </c>
      <c r="I96" s="8" t="s">
        <v>56</v>
      </c>
      <c r="J96" s="9" t="n">
        <v>320000</v>
      </c>
      <c r="K96" s="8" t="s">
        <v>292</v>
      </c>
      <c r="L96" s="9" t="n">
        <v>4102.5</v>
      </c>
      <c r="M96" s="9" t="n">
        <v>512.81</v>
      </c>
      <c r="N96" s="9" t="n">
        <v>512.81</v>
      </c>
      <c r="O96" s="9" t="n">
        <v>3076.9</v>
      </c>
      <c r="P96" s="9" t="n">
        <v>307.69</v>
      </c>
      <c r="Q96" s="9" t="n">
        <v>307.69</v>
      </c>
      <c r="R96" s="9" t="n">
        <v>307.69</v>
      </c>
      <c r="S96" s="9" t="n">
        <v>307.69</v>
      </c>
      <c r="T96" s="9" t="n">
        <v>307.69</v>
      </c>
      <c r="U96" s="9" t="n">
        <v>307.69</v>
      </c>
      <c r="V96" s="9" t="n">
        <v>307.69</v>
      </c>
      <c r="W96" s="9" t="n">
        <v>307.69</v>
      </c>
      <c r="X96" s="9" t="n">
        <v>307.69</v>
      </c>
      <c r="Y96" s="9" t="n">
        <v>307.69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446</v>
      </c>
      <c r="B97" s="3" t="s">
        <v>294</v>
      </c>
      <c r="C97" s="3" t="s">
        <v>114</v>
      </c>
      <c r="D97" s="3" t="s">
        <v>115</v>
      </c>
      <c r="E97" s="3" t="n">
        <v>1979</v>
      </c>
      <c r="F97" s="3" t="s">
        <v>195</v>
      </c>
      <c r="G97" s="3" t="s">
        <v>196</v>
      </c>
      <c r="H97" s="3" t="s">
        <v>447</v>
      </c>
      <c r="I97" s="3" t="s">
        <v>47</v>
      </c>
      <c r="J97" s="7" t="n">
        <v>1875000</v>
      </c>
      <c r="K97" s="3" t="s">
        <v>57</v>
      </c>
      <c r="L97" s="7" t="n">
        <v>30433.28</v>
      </c>
      <c r="M97" s="7" t="n">
        <v>3804.16</v>
      </c>
      <c r="N97" s="7" t="n">
        <v>3804.16</v>
      </c>
      <c r="O97" s="7" t="n">
        <v>22825</v>
      </c>
      <c r="P97" s="7" t="n">
        <v>2282.5</v>
      </c>
      <c r="Q97" s="7" t="n">
        <v>2282.5</v>
      </c>
      <c r="R97" s="7" t="n">
        <v>2282.5</v>
      </c>
      <c r="S97" s="7" t="n">
        <v>2282.5</v>
      </c>
      <c r="T97" s="7" t="n">
        <v>2282.5</v>
      </c>
      <c r="U97" s="7" t="n">
        <v>2282.5</v>
      </c>
      <c r="V97" s="7" t="n">
        <v>2282.5</v>
      </c>
      <c r="W97" s="7" t="n">
        <v>2282.5</v>
      </c>
      <c r="X97" s="7" t="n">
        <v>2282.5</v>
      </c>
      <c r="Y97" s="7" t="n">
        <v>2282.5</v>
      </c>
      <c r="Z97" s="7" t="n">
        <v>350</v>
      </c>
      <c r="AA97" s="7" t="n">
        <v>250</v>
      </c>
      <c r="AB97" s="7" t="n">
        <v>600</v>
      </c>
    </row>
    <row r="98" customFormat="false" ht="15" hidden="false" customHeight="false" outlineLevel="0" collapsed="false">
      <c r="A98" s="8" t="s">
        <v>448</v>
      </c>
      <c r="B98" s="8" t="s">
        <v>449</v>
      </c>
      <c r="C98" s="8" t="s">
        <v>295</v>
      </c>
      <c r="D98" s="8" t="s">
        <v>296</v>
      </c>
      <c r="E98" s="8" t="n">
        <v>1970</v>
      </c>
      <c r="F98" s="8" t="s">
        <v>44</v>
      </c>
      <c r="G98" s="8" t="s">
        <v>240</v>
      </c>
      <c r="H98" s="8" t="s">
        <v>450</v>
      </c>
      <c r="I98" s="8" t="s">
        <v>47</v>
      </c>
      <c r="J98" s="9" t="n">
        <v>565000</v>
      </c>
      <c r="K98" s="8" t="s">
        <v>174</v>
      </c>
      <c r="L98" s="9" t="n">
        <v>7974.59</v>
      </c>
      <c r="M98" s="9" t="n">
        <v>996.82</v>
      </c>
      <c r="N98" s="9" t="n">
        <v>996.82</v>
      </c>
      <c r="O98" s="9" t="n">
        <v>5980.9</v>
      </c>
      <c r="P98" s="9" t="n">
        <v>598.09</v>
      </c>
      <c r="Q98" s="9" t="n">
        <v>598.09</v>
      </c>
      <c r="R98" s="9" t="n">
        <v>598.09</v>
      </c>
      <c r="S98" s="9" t="n">
        <v>598.09</v>
      </c>
      <c r="T98" s="9" t="n">
        <v>598.09</v>
      </c>
      <c r="U98" s="9" t="n">
        <v>598.09</v>
      </c>
      <c r="V98" s="9" t="n">
        <v>598.09</v>
      </c>
      <c r="W98" s="9" t="n">
        <v>598.09</v>
      </c>
      <c r="X98" s="9" t="n">
        <v>598.09</v>
      </c>
      <c r="Y98" s="9" t="n">
        <v>598.09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451</v>
      </c>
      <c r="B99" s="3" t="s">
        <v>452</v>
      </c>
      <c r="C99" s="3" t="s">
        <v>153</v>
      </c>
      <c r="D99" s="3" t="s">
        <v>154</v>
      </c>
      <c r="E99" s="3" t="n">
        <v>1977</v>
      </c>
      <c r="F99" s="3" t="s">
        <v>83</v>
      </c>
      <c r="G99" s="3" t="s">
        <v>84</v>
      </c>
      <c r="H99" s="3" t="s">
        <v>453</v>
      </c>
      <c r="I99" s="3" t="s">
        <v>56</v>
      </c>
      <c r="J99" s="7" t="n">
        <v>505000</v>
      </c>
      <c r="K99" s="3" t="s">
        <v>90</v>
      </c>
      <c r="L99" s="7" t="n">
        <v>6712.26</v>
      </c>
      <c r="M99" s="7" t="n">
        <v>839.03</v>
      </c>
      <c r="N99" s="7" t="n">
        <v>839.03</v>
      </c>
      <c r="O99" s="7" t="n">
        <v>5034.2</v>
      </c>
      <c r="P99" s="7" t="n">
        <v>503.42</v>
      </c>
      <c r="Q99" s="7" t="n">
        <v>503.42</v>
      </c>
      <c r="R99" s="7" t="n">
        <v>503.42</v>
      </c>
      <c r="S99" s="7" t="n">
        <v>503.42</v>
      </c>
      <c r="T99" s="7" t="n">
        <v>503.42</v>
      </c>
      <c r="U99" s="7" t="n">
        <v>503.42</v>
      </c>
      <c r="V99" s="7" t="n">
        <v>503.42</v>
      </c>
      <c r="W99" s="7" t="n">
        <v>503.42</v>
      </c>
      <c r="X99" s="7" t="n">
        <v>503.42</v>
      </c>
      <c r="Y99" s="7" t="n">
        <v>503.42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454</v>
      </c>
      <c r="B100" s="8" t="s">
        <v>455</v>
      </c>
      <c r="C100" s="8" t="s">
        <v>51</v>
      </c>
      <c r="D100" s="8" t="s">
        <v>52</v>
      </c>
      <c r="E100" s="8" t="n">
        <v>2024</v>
      </c>
      <c r="F100" s="8" t="s">
        <v>95</v>
      </c>
      <c r="G100" s="8" t="s">
        <v>96</v>
      </c>
      <c r="H100" s="8" t="s">
        <v>456</v>
      </c>
      <c r="I100" s="8" t="s">
        <v>47</v>
      </c>
      <c r="J100" s="9" t="n">
        <v>1115000</v>
      </c>
      <c r="K100" s="8" t="s">
        <v>307</v>
      </c>
      <c r="L100" s="9" t="n">
        <v>15817.63</v>
      </c>
      <c r="M100" s="9" t="n">
        <v>1977.2</v>
      </c>
      <c r="N100" s="9" t="n">
        <v>1977.2</v>
      </c>
      <c r="O100" s="9" t="n">
        <v>11863.2</v>
      </c>
      <c r="P100" s="9" t="n">
        <v>1186.32</v>
      </c>
      <c r="Q100" s="9" t="n">
        <v>1186.32</v>
      </c>
      <c r="R100" s="9" t="n">
        <v>1186.32</v>
      </c>
      <c r="S100" s="9" t="n">
        <v>1186.32</v>
      </c>
      <c r="T100" s="9" t="n">
        <v>1186.32</v>
      </c>
      <c r="U100" s="9" t="n">
        <v>1186.32</v>
      </c>
      <c r="V100" s="9" t="n">
        <v>1186.32</v>
      </c>
      <c r="W100" s="9" t="n">
        <v>1186.32</v>
      </c>
      <c r="X100" s="9" t="n">
        <v>1186.32</v>
      </c>
      <c r="Y100" s="9" t="n">
        <v>1186.32</v>
      </c>
      <c r="Z100" s="9" t="n">
        <v>350</v>
      </c>
      <c r="AA100" s="9" t="n">
        <v>250</v>
      </c>
      <c r="AB100" s="9" t="n">
        <v>600</v>
      </c>
    </row>
    <row r="101" customFormat="false" ht="15" hidden="false" customHeight="false" outlineLevel="0" collapsed="false">
      <c r="A101" s="3" t="s">
        <v>457</v>
      </c>
      <c r="B101" s="3" t="s">
        <v>458</v>
      </c>
      <c r="C101" s="3" t="s">
        <v>177</v>
      </c>
      <c r="D101" s="3" t="s">
        <v>178</v>
      </c>
      <c r="E101" s="3" t="n">
        <v>2014</v>
      </c>
      <c r="F101" s="3" t="s">
        <v>62</v>
      </c>
      <c r="G101" s="3" t="s">
        <v>63</v>
      </c>
      <c r="H101" s="3" t="s">
        <v>459</v>
      </c>
      <c r="I101" s="3" t="s">
        <v>56</v>
      </c>
      <c r="J101" s="7" t="n">
        <v>340000</v>
      </c>
      <c r="K101" s="3" t="s">
        <v>90</v>
      </c>
      <c r="L101" s="7" t="n">
        <v>5214.39</v>
      </c>
      <c r="M101" s="7" t="n">
        <v>651.8</v>
      </c>
      <c r="N101" s="7" t="n">
        <v>651.8</v>
      </c>
      <c r="O101" s="7" t="n">
        <v>3910.8</v>
      </c>
      <c r="P101" s="7" t="n">
        <v>391.08</v>
      </c>
      <c r="Q101" s="7" t="n">
        <v>391.08</v>
      </c>
      <c r="R101" s="7" t="n">
        <v>391.08</v>
      </c>
      <c r="S101" s="7" t="n">
        <v>391.08</v>
      </c>
      <c r="T101" s="7" t="n">
        <v>391.08</v>
      </c>
      <c r="U101" s="7" t="n">
        <v>391.08</v>
      </c>
      <c r="V101" s="7" t="n">
        <v>391.08</v>
      </c>
      <c r="W101" s="7" t="n">
        <v>391.08</v>
      </c>
      <c r="X101" s="7" t="n">
        <v>391.08</v>
      </c>
      <c r="Y101" s="7" t="n">
        <v>391.08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460</v>
      </c>
      <c r="B102" s="8" t="s">
        <v>461</v>
      </c>
      <c r="C102" s="8" t="s">
        <v>330</v>
      </c>
      <c r="D102" s="8" t="s">
        <v>331</v>
      </c>
      <c r="E102" s="8" t="n">
        <v>1960</v>
      </c>
      <c r="F102" s="8" t="s">
        <v>44</v>
      </c>
      <c r="G102" s="8" t="s">
        <v>45</v>
      </c>
      <c r="H102" s="8" t="s">
        <v>462</v>
      </c>
      <c r="I102" s="8" t="s">
        <v>47</v>
      </c>
      <c r="J102" s="9" t="n">
        <v>830000</v>
      </c>
      <c r="K102" s="8" t="s">
        <v>164</v>
      </c>
      <c r="L102" s="9" t="n">
        <v>12848.6</v>
      </c>
      <c r="M102" s="9" t="n">
        <v>1606.08</v>
      </c>
      <c r="N102" s="9" t="n">
        <v>1606.08</v>
      </c>
      <c r="O102" s="9" t="n">
        <v>9636.4</v>
      </c>
      <c r="P102" s="9" t="n">
        <v>963.64</v>
      </c>
      <c r="Q102" s="9" t="n">
        <v>963.64</v>
      </c>
      <c r="R102" s="9" t="n">
        <v>963.64</v>
      </c>
      <c r="S102" s="9" t="n">
        <v>963.64</v>
      </c>
      <c r="T102" s="9" t="n">
        <v>963.64</v>
      </c>
      <c r="U102" s="9" t="n">
        <v>963.64</v>
      </c>
      <c r="V102" s="9" t="n">
        <v>963.64</v>
      </c>
      <c r="W102" s="9" t="n">
        <v>963.64</v>
      </c>
      <c r="X102" s="9" t="n">
        <v>963.64</v>
      </c>
      <c r="Y102" s="9" t="n">
        <v>963.64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463</v>
      </c>
      <c r="B103" s="3" t="s">
        <v>188</v>
      </c>
      <c r="C103" s="3" t="s">
        <v>74</v>
      </c>
      <c r="D103" s="3" t="s">
        <v>75</v>
      </c>
      <c r="E103" s="3" t="n">
        <v>2016</v>
      </c>
      <c r="F103" s="3" t="s">
        <v>225</v>
      </c>
      <c r="G103" s="3" t="s">
        <v>226</v>
      </c>
      <c r="H103" s="3" t="s">
        <v>464</v>
      </c>
      <c r="I103" s="3" t="s">
        <v>78</v>
      </c>
      <c r="J103" s="7" t="n">
        <v>440000</v>
      </c>
      <c r="K103" s="3" t="s">
        <v>465</v>
      </c>
      <c r="L103" s="7" t="n">
        <v>4487.44</v>
      </c>
      <c r="M103" s="7" t="n">
        <v>560.93</v>
      </c>
      <c r="N103" s="7" t="n">
        <v>560.93</v>
      </c>
      <c r="O103" s="7" t="n">
        <v>3365.6</v>
      </c>
      <c r="P103" s="7" t="n">
        <v>336.56</v>
      </c>
      <c r="Q103" s="7" t="n">
        <v>336.56</v>
      </c>
      <c r="R103" s="7" t="n">
        <v>336.56</v>
      </c>
      <c r="S103" s="7" t="n">
        <v>336.56</v>
      </c>
      <c r="T103" s="7" t="n">
        <v>336.56</v>
      </c>
      <c r="U103" s="7" t="n">
        <v>336.56</v>
      </c>
      <c r="V103" s="7" t="n">
        <v>336.56</v>
      </c>
      <c r="W103" s="7" t="n">
        <v>336.56</v>
      </c>
      <c r="X103" s="7" t="n">
        <v>336.56</v>
      </c>
      <c r="Y103" s="7" t="n">
        <v>336.56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466</v>
      </c>
      <c r="B104" s="8" t="s">
        <v>467</v>
      </c>
      <c r="C104" s="8" t="s">
        <v>81</v>
      </c>
      <c r="D104" s="8" t="s">
        <v>82</v>
      </c>
      <c r="E104" s="8" t="n">
        <v>2019</v>
      </c>
      <c r="F104" s="8" t="s">
        <v>53</v>
      </c>
      <c r="G104" s="8" t="s">
        <v>54</v>
      </c>
      <c r="H104" s="8" t="s">
        <v>468</v>
      </c>
      <c r="I104" s="8" t="s">
        <v>56</v>
      </c>
      <c r="J104" s="9" t="n">
        <v>800000</v>
      </c>
      <c r="K104" s="8" t="s">
        <v>316</v>
      </c>
      <c r="L104" s="9" t="n">
        <v>8971.83</v>
      </c>
      <c r="M104" s="9" t="n">
        <v>1121.48</v>
      </c>
      <c r="N104" s="9" t="n">
        <v>1121.48</v>
      </c>
      <c r="O104" s="9" t="n">
        <v>6728.9</v>
      </c>
      <c r="P104" s="9" t="n">
        <v>672.89</v>
      </c>
      <c r="Q104" s="9" t="n">
        <v>672.89</v>
      </c>
      <c r="R104" s="9" t="n">
        <v>672.89</v>
      </c>
      <c r="S104" s="9" t="n">
        <v>672.89</v>
      </c>
      <c r="T104" s="9" t="n">
        <v>672.89</v>
      </c>
      <c r="U104" s="9" t="n">
        <v>672.89</v>
      </c>
      <c r="V104" s="9" t="n">
        <v>672.89</v>
      </c>
      <c r="W104" s="9" t="n">
        <v>672.89</v>
      </c>
      <c r="X104" s="9" t="n">
        <v>672.89</v>
      </c>
      <c r="Y104" s="9" t="n">
        <v>672.89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469</v>
      </c>
      <c r="B105" s="3" t="s">
        <v>470</v>
      </c>
      <c r="C105" s="3" t="s">
        <v>93</v>
      </c>
      <c r="D105" s="3" t="s">
        <v>94</v>
      </c>
      <c r="E105" s="3" t="n">
        <v>2000</v>
      </c>
      <c r="F105" s="3" t="s">
        <v>122</v>
      </c>
      <c r="G105" s="3" t="s">
        <v>123</v>
      </c>
      <c r="H105" s="3" t="s">
        <v>471</v>
      </c>
      <c r="I105" s="3" t="s">
        <v>56</v>
      </c>
      <c r="J105" s="7" t="n">
        <v>865000</v>
      </c>
      <c r="K105" s="3" t="s">
        <v>228</v>
      </c>
      <c r="L105" s="7" t="n">
        <v>12485.27</v>
      </c>
      <c r="M105" s="7" t="n">
        <v>1560.66</v>
      </c>
      <c r="N105" s="7" t="n">
        <v>1560.66</v>
      </c>
      <c r="O105" s="7" t="n">
        <v>9364</v>
      </c>
      <c r="P105" s="7" t="n">
        <v>936.4</v>
      </c>
      <c r="Q105" s="7" t="n">
        <v>936.4</v>
      </c>
      <c r="R105" s="7" t="n">
        <v>936.4</v>
      </c>
      <c r="S105" s="7" t="n">
        <v>936.4</v>
      </c>
      <c r="T105" s="7" t="n">
        <v>936.4</v>
      </c>
      <c r="U105" s="7" t="n">
        <v>936.4</v>
      </c>
      <c r="V105" s="7" t="n">
        <v>936.4</v>
      </c>
      <c r="W105" s="7" t="n">
        <v>936.4</v>
      </c>
      <c r="X105" s="7" t="n">
        <v>936.4</v>
      </c>
      <c r="Y105" s="7" t="n">
        <v>936.4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472</v>
      </c>
      <c r="B106" s="8" t="s">
        <v>473</v>
      </c>
      <c r="C106" s="8" t="s">
        <v>238</v>
      </c>
      <c r="D106" s="8" t="s">
        <v>239</v>
      </c>
      <c r="E106" s="8" t="n">
        <v>2024</v>
      </c>
      <c r="F106" s="8" t="s">
        <v>62</v>
      </c>
      <c r="G106" s="8" t="s">
        <v>63</v>
      </c>
      <c r="H106" s="8" t="s">
        <v>474</v>
      </c>
      <c r="I106" s="8" t="s">
        <v>56</v>
      </c>
      <c r="J106" s="9" t="n">
        <v>525000</v>
      </c>
      <c r="K106" s="8" t="s">
        <v>104</v>
      </c>
      <c r="L106" s="9" t="n">
        <v>5669.7</v>
      </c>
      <c r="M106" s="9" t="n">
        <v>708.71</v>
      </c>
      <c r="N106" s="9" t="n">
        <v>708.71</v>
      </c>
      <c r="O106" s="9" t="n">
        <v>4252.3</v>
      </c>
      <c r="P106" s="9" t="n">
        <v>425.23</v>
      </c>
      <c r="Q106" s="9" t="n">
        <v>425.23</v>
      </c>
      <c r="R106" s="9" t="n">
        <v>425.23</v>
      </c>
      <c r="S106" s="9" t="n">
        <v>425.23</v>
      </c>
      <c r="T106" s="9" t="n">
        <v>425.23</v>
      </c>
      <c r="U106" s="9" t="n">
        <v>425.23</v>
      </c>
      <c r="V106" s="9" t="n">
        <v>425.23</v>
      </c>
      <c r="W106" s="9" t="n">
        <v>425.23</v>
      </c>
      <c r="X106" s="9" t="n">
        <v>425.23</v>
      </c>
      <c r="Y106" s="9" t="n">
        <v>425.23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475</v>
      </c>
      <c r="B107" s="3" t="s">
        <v>476</v>
      </c>
      <c r="C107" s="3" t="s">
        <v>177</v>
      </c>
      <c r="D107" s="3" t="s">
        <v>178</v>
      </c>
      <c r="E107" s="3" t="n">
        <v>1976</v>
      </c>
      <c r="F107" s="3" t="s">
        <v>477</v>
      </c>
      <c r="G107" s="3" t="s">
        <v>478</v>
      </c>
      <c r="H107" s="3" t="s">
        <v>479</v>
      </c>
      <c r="I107" s="3" t="s">
        <v>110</v>
      </c>
      <c r="J107" s="7" t="n">
        <v>1475000</v>
      </c>
      <c r="K107" s="3" t="s">
        <v>258</v>
      </c>
      <c r="L107" s="7" t="n">
        <v>8492.4</v>
      </c>
      <c r="M107" s="7" t="n">
        <v>1061.55</v>
      </c>
      <c r="N107" s="7" t="n">
        <v>1061.55</v>
      </c>
      <c r="O107" s="7" t="n">
        <v>6369.3</v>
      </c>
      <c r="P107" s="7" t="n">
        <v>636.93</v>
      </c>
      <c r="Q107" s="7" t="n">
        <v>636.93</v>
      </c>
      <c r="R107" s="7" t="n">
        <v>636.93</v>
      </c>
      <c r="S107" s="7" t="n">
        <v>636.93</v>
      </c>
      <c r="T107" s="7" t="n">
        <v>636.93</v>
      </c>
      <c r="U107" s="7" t="n">
        <v>636.93</v>
      </c>
      <c r="V107" s="7" t="n">
        <v>636.93</v>
      </c>
      <c r="W107" s="7" t="n">
        <v>636.93</v>
      </c>
      <c r="X107" s="7" t="n">
        <v>636.93</v>
      </c>
      <c r="Y107" s="7" t="n">
        <v>636.93</v>
      </c>
      <c r="Z107" s="7" t="n">
        <v>350</v>
      </c>
      <c r="AA107" s="7" t="n">
        <v>250</v>
      </c>
      <c r="AB107" s="7" t="n">
        <v>600</v>
      </c>
    </row>
    <row r="108" customFormat="false" ht="15" hidden="false" customHeight="false" outlineLevel="0" collapsed="false">
      <c r="A108" s="8" t="s">
        <v>480</v>
      </c>
      <c r="B108" s="8" t="s">
        <v>481</v>
      </c>
      <c r="C108" s="8" t="s">
        <v>189</v>
      </c>
      <c r="D108" s="8" t="s">
        <v>190</v>
      </c>
      <c r="E108" s="8" t="n">
        <v>1966</v>
      </c>
      <c r="F108" s="8" t="s">
        <v>62</v>
      </c>
      <c r="G108" s="8" t="s">
        <v>63</v>
      </c>
      <c r="H108" s="8" t="s">
        <v>482</v>
      </c>
      <c r="I108" s="8" t="s">
        <v>56</v>
      </c>
      <c r="J108" s="9" t="n">
        <v>725000</v>
      </c>
      <c r="K108" s="8" t="s">
        <v>142</v>
      </c>
      <c r="L108" s="9" t="n">
        <v>10690.38</v>
      </c>
      <c r="M108" s="9" t="n">
        <v>1336.3</v>
      </c>
      <c r="N108" s="9" t="n">
        <v>1336.3</v>
      </c>
      <c r="O108" s="9" t="n">
        <v>8017.8</v>
      </c>
      <c r="P108" s="9" t="n">
        <v>801.78</v>
      </c>
      <c r="Q108" s="9" t="n">
        <v>801.78</v>
      </c>
      <c r="R108" s="9" t="n">
        <v>801.78</v>
      </c>
      <c r="S108" s="9" t="n">
        <v>801.78</v>
      </c>
      <c r="T108" s="9" t="n">
        <v>801.78</v>
      </c>
      <c r="U108" s="9" t="n">
        <v>801.78</v>
      </c>
      <c r="V108" s="9" t="n">
        <v>801.78</v>
      </c>
      <c r="W108" s="9" t="n">
        <v>801.78</v>
      </c>
      <c r="X108" s="9" t="n">
        <v>801.78</v>
      </c>
      <c r="Y108" s="9" t="n">
        <v>801.78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483</v>
      </c>
      <c r="B109" s="3" t="s">
        <v>484</v>
      </c>
      <c r="C109" s="3" t="s">
        <v>101</v>
      </c>
      <c r="D109" s="3" t="s">
        <v>102</v>
      </c>
      <c r="E109" s="3" t="n">
        <v>2015</v>
      </c>
      <c r="F109" s="3" t="s">
        <v>195</v>
      </c>
      <c r="G109" s="3" t="s">
        <v>196</v>
      </c>
      <c r="H109" s="3" t="s">
        <v>485</v>
      </c>
      <c r="I109" s="3" t="s">
        <v>47</v>
      </c>
      <c r="J109" s="7" t="n">
        <v>455000</v>
      </c>
      <c r="K109" s="3" t="s">
        <v>86</v>
      </c>
      <c r="L109" s="7" t="n">
        <v>11284.88</v>
      </c>
      <c r="M109" s="7" t="n">
        <v>1410.61</v>
      </c>
      <c r="N109" s="7" t="n">
        <v>1410.61</v>
      </c>
      <c r="O109" s="7" t="n">
        <v>8463.7</v>
      </c>
      <c r="P109" s="7" t="n">
        <v>846.37</v>
      </c>
      <c r="Q109" s="7" t="n">
        <v>846.37</v>
      </c>
      <c r="R109" s="7" t="n">
        <v>846.37</v>
      </c>
      <c r="S109" s="7" t="n">
        <v>846.37</v>
      </c>
      <c r="T109" s="7" t="n">
        <v>846.37</v>
      </c>
      <c r="U109" s="7" t="n">
        <v>846.37</v>
      </c>
      <c r="V109" s="7" t="n">
        <v>846.37</v>
      </c>
      <c r="W109" s="7" t="n">
        <v>846.37</v>
      </c>
      <c r="X109" s="7" t="n">
        <v>846.37</v>
      </c>
      <c r="Y109" s="7" t="n">
        <v>846.37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486</v>
      </c>
      <c r="B110" s="8" t="s">
        <v>243</v>
      </c>
      <c r="C110" s="8" t="s">
        <v>60</v>
      </c>
      <c r="D110" s="8" t="s">
        <v>61</v>
      </c>
      <c r="E110" s="8" t="n">
        <v>1975</v>
      </c>
      <c r="F110" s="8" t="s">
        <v>155</v>
      </c>
      <c r="G110" s="8" t="s">
        <v>191</v>
      </c>
      <c r="H110" s="8" t="s">
        <v>487</v>
      </c>
      <c r="I110" s="8" t="s">
        <v>56</v>
      </c>
      <c r="J110" s="9" t="n">
        <v>675000</v>
      </c>
      <c r="K110" s="8" t="s">
        <v>307</v>
      </c>
      <c r="L110" s="9" t="n">
        <v>7780.26</v>
      </c>
      <c r="M110" s="9" t="n">
        <v>972.53</v>
      </c>
      <c r="N110" s="9" t="n">
        <v>972.53</v>
      </c>
      <c r="O110" s="9" t="n">
        <v>5835.2</v>
      </c>
      <c r="P110" s="9" t="n">
        <v>583.52</v>
      </c>
      <c r="Q110" s="9" t="n">
        <v>583.52</v>
      </c>
      <c r="R110" s="9" t="n">
        <v>583.52</v>
      </c>
      <c r="S110" s="9" t="n">
        <v>583.52</v>
      </c>
      <c r="T110" s="9" t="n">
        <v>583.52</v>
      </c>
      <c r="U110" s="9" t="n">
        <v>583.52</v>
      </c>
      <c r="V110" s="9" t="n">
        <v>583.52</v>
      </c>
      <c r="W110" s="9" t="n">
        <v>583.52</v>
      </c>
      <c r="X110" s="9" t="n">
        <v>583.52</v>
      </c>
      <c r="Y110" s="9" t="n">
        <v>583.52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488</v>
      </c>
      <c r="B111" s="3" t="s">
        <v>489</v>
      </c>
      <c r="C111" s="3" t="s">
        <v>219</v>
      </c>
      <c r="D111" s="3" t="s">
        <v>220</v>
      </c>
      <c r="E111" s="3" t="n">
        <v>1961</v>
      </c>
      <c r="F111" s="3" t="s">
        <v>83</v>
      </c>
      <c r="G111" s="3" t="s">
        <v>84</v>
      </c>
      <c r="H111" s="3" t="s">
        <v>490</v>
      </c>
      <c r="I111" s="3" t="s">
        <v>56</v>
      </c>
      <c r="J111" s="7" t="n">
        <v>705000</v>
      </c>
      <c r="K111" s="3" t="s">
        <v>90</v>
      </c>
      <c r="L111" s="7" t="n">
        <v>9370.57</v>
      </c>
      <c r="M111" s="7" t="n">
        <v>1171.32</v>
      </c>
      <c r="N111" s="7" t="n">
        <v>1171.32</v>
      </c>
      <c r="O111" s="7" t="n">
        <v>7027.9</v>
      </c>
      <c r="P111" s="7" t="n">
        <v>702.79</v>
      </c>
      <c r="Q111" s="7" t="n">
        <v>702.79</v>
      </c>
      <c r="R111" s="7" t="n">
        <v>702.79</v>
      </c>
      <c r="S111" s="7" t="n">
        <v>702.79</v>
      </c>
      <c r="T111" s="7" t="n">
        <v>702.79</v>
      </c>
      <c r="U111" s="7" t="n">
        <v>702.79</v>
      </c>
      <c r="V111" s="7" t="n">
        <v>702.79</v>
      </c>
      <c r="W111" s="7" t="n">
        <v>702.79</v>
      </c>
      <c r="X111" s="7" t="n">
        <v>702.79</v>
      </c>
      <c r="Y111" s="7" t="n">
        <v>702.79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491</v>
      </c>
      <c r="B112" s="8" t="s">
        <v>492</v>
      </c>
      <c r="C112" s="8" t="s">
        <v>246</v>
      </c>
      <c r="D112" s="8" t="s">
        <v>247</v>
      </c>
      <c r="E112" s="8" t="n">
        <v>1993</v>
      </c>
      <c r="F112" s="8" t="s">
        <v>83</v>
      </c>
      <c r="G112" s="8" t="s">
        <v>84</v>
      </c>
      <c r="H112" s="8" t="s">
        <v>493</v>
      </c>
      <c r="I112" s="8" t="s">
        <v>56</v>
      </c>
      <c r="J112" s="9" t="n">
        <v>495000</v>
      </c>
      <c r="K112" s="8" t="s">
        <v>228</v>
      </c>
      <c r="L112" s="9" t="n">
        <v>8243.95</v>
      </c>
      <c r="M112" s="9" t="n">
        <v>1030.49</v>
      </c>
      <c r="N112" s="9" t="n">
        <v>1030.49</v>
      </c>
      <c r="O112" s="9" t="n">
        <v>6183</v>
      </c>
      <c r="P112" s="9" t="n">
        <v>618.3</v>
      </c>
      <c r="Q112" s="9" t="n">
        <v>618.3</v>
      </c>
      <c r="R112" s="9" t="n">
        <v>618.3</v>
      </c>
      <c r="S112" s="9" t="n">
        <v>618.3</v>
      </c>
      <c r="T112" s="9" t="n">
        <v>618.3</v>
      </c>
      <c r="U112" s="9" t="n">
        <v>618.3</v>
      </c>
      <c r="V112" s="9" t="n">
        <v>618.3</v>
      </c>
      <c r="W112" s="9" t="n">
        <v>618.3</v>
      </c>
      <c r="X112" s="9" t="n">
        <v>618.3</v>
      </c>
      <c r="Y112" s="9" t="n">
        <v>618.3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494</v>
      </c>
      <c r="B113" s="3" t="s">
        <v>495</v>
      </c>
      <c r="C113" s="3" t="s">
        <v>101</v>
      </c>
      <c r="D113" s="3" t="s">
        <v>102</v>
      </c>
      <c r="E113" s="3" t="n">
        <v>1955</v>
      </c>
      <c r="F113" s="3" t="s">
        <v>155</v>
      </c>
      <c r="G113" s="3" t="s">
        <v>156</v>
      </c>
      <c r="H113" s="3" t="s">
        <v>496</v>
      </c>
      <c r="I113" s="3" t="s">
        <v>78</v>
      </c>
      <c r="J113" s="7" t="n">
        <v>390000</v>
      </c>
      <c r="K113" s="3" t="s">
        <v>71</v>
      </c>
      <c r="L113" s="7" t="n">
        <v>2990.61</v>
      </c>
      <c r="M113" s="7" t="n">
        <v>373.83</v>
      </c>
      <c r="N113" s="7" t="n">
        <v>373.83</v>
      </c>
      <c r="O113" s="7" t="n">
        <v>2243</v>
      </c>
      <c r="P113" s="7" t="n">
        <v>224.3</v>
      </c>
      <c r="Q113" s="7" t="n">
        <v>224.3</v>
      </c>
      <c r="R113" s="7" t="n">
        <v>224.3</v>
      </c>
      <c r="S113" s="7" t="n">
        <v>224.3</v>
      </c>
      <c r="T113" s="7" t="n">
        <v>224.3</v>
      </c>
      <c r="U113" s="7" t="n">
        <v>224.3</v>
      </c>
      <c r="V113" s="7" t="n">
        <v>224.3</v>
      </c>
      <c r="W113" s="7" t="n">
        <v>224.3</v>
      </c>
      <c r="X113" s="7" t="n">
        <v>224.3</v>
      </c>
      <c r="Y113" s="7" t="n">
        <v>224.3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497</v>
      </c>
      <c r="B114" s="8" t="s">
        <v>498</v>
      </c>
      <c r="C114" s="8" t="s">
        <v>189</v>
      </c>
      <c r="D114" s="8" t="s">
        <v>190</v>
      </c>
      <c r="E114" s="8" t="n">
        <v>1972</v>
      </c>
      <c r="F114" s="8" t="s">
        <v>44</v>
      </c>
      <c r="G114" s="8" t="s">
        <v>240</v>
      </c>
      <c r="H114" s="8" t="s">
        <v>499</v>
      </c>
      <c r="I114" s="8" t="s">
        <v>47</v>
      </c>
      <c r="J114" s="9" t="n">
        <v>675000</v>
      </c>
      <c r="K114" s="8" t="s">
        <v>86</v>
      </c>
      <c r="L114" s="9" t="n">
        <v>13829.77</v>
      </c>
      <c r="M114" s="9" t="n">
        <v>1728.72</v>
      </c>
      <c r="N114" s="9" t="n">
        <v>1728.72</v>
      </c>
      <c r="O114" s="9" t="n">
        <v>10372.3</v>
      </c>
      <c r="P114" s="9" t="n">
        <v>1037.23</v>
      </c>
      <c r="Q114" s="9" t="n">
        <v>1037.23</v>
      </c>
      <c r="R114" s="9" t="n">
        <v>1037.23</v>
      </c>
      <c r="S114" s="9" t="n">
        <v>1037.23</v>
      </c>
      <c r="T114" s="9" t="n">
        <v>1037.23</v>
      </c>
      <c r="U114" s="9" t="n">
        <v>1037.23</v>
      </c>
      <c r="V114" s="9" t="n">
        <v>1037.23</v>
      </c>
      <c r="W114" s="9" t="n">
        <v>1037.23</v>
      </c>
      <c r="X114" s="9" t="n">
        <v>1037.23</v>
      </c>
      <c r="Y114" s="9" t="n">
        <v>1037.23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500</v>
      </c>
      <c r="B115" s="3" t="s">
        <v>501</v>
      </c>
      <c r="C115" s="3" t="s">
        <v>153</v>
      </c>
      <c r="D115" s="3" t="s">
        <v>154</v>
      </c>
      <c r="E115" s="3" t="n">
        <v>2002</v>
      </c>
      <c r="F115" s="3" t="s">
        <v>107</v>
      </c>
      <c r="G115" s="3" t="s">
        <v>134</v>
      </c>
      <c r="H115" s="3" t="s">
        <v>502</v>
      </c>
      <c r="I115" s="3" t="s">
        <v>56</v>
      </c>
      <c r="J115" s="7" t="n">
        <v>590000</v>
      </c>
      <c r="K115" s="3" t="s">
        <v>86</v>
      </c>
      <c r="L115" s="7" t="n">
        <v>8270.9</v>
      </c>
      <c r="M115" s="7" t="n">
        <v>1033.86</v>
      </c>
      <c r="N115" s="7" t="n">
        <v>1033.86</v>
      </c>
      <c r="O115" s="7" t="n">
        <v>6203.2</v>
      </c>
      <c r="P115" s="7" t="n">
        <v>620.32</v>
      </c>
      <c r="Q115" s="7" t="n">
        <v>620.32</v>
      </c>
      <c r="R115" s="7" t="n">
        <v>620.32</v>
      </c>
      <c r="S115" s="7" t="n">
        <v>620.32</v>
      </c>
      <c r="T115" s="7" t="n">
        <v>620.32</v>
      </c>
      <c r="U115" s="7" t="n">
        <v>620.32</v>
      </c>
      <c r="V115" s="7" t="n">
        <v>620.32</v>
      </c>
      <c r="W115" s="7" t="n">
        <v>620.32</v>
      </c>
      <c r="X115" s="7" t="n">
        <v>620.32</v>
      </c>
      <c r="Y115" s="7" t="n">
        <v>620.32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503</v>
      </c>
      <c r="B116" s="8" t="s">
        <v>376</v>
      </c>
      <c r="C116" s="8" t="s">
        <v>177</v>
      </c>
      <c r="D116" s="8" t="s">
        <v>178</v>
      </c>
      <c r="E116" s="8" t="n">
        <v>1970</v>
      </c>
      <c r="F116" s="8" t="s">
        <v>44</v>
      </c>
      <c r="G116" s="8" t="s">
        <v>45</v>
      </c>
      <c r="H116" s="8" t="s">
        <v>504</v>
      </c>
      <c r="I116" s="8" t="s">
        <v>47</v>
      </c>
      <c r="J116" s="9" t="n">
        <v>665000</v>
      </c>
      <c r="K116" s="8" t="s">
        <v>48</v>
      </c>
      <c r="L116" s="9" t="n">
        <v>9587.88</v>
      </c>
      <c r="M116" s="9" t="n">
        <v>1198.48</v>
      </c>
      <c r="N116" s="9" t="n">
        <v>1198.48</v>
      </c>
      <c r="O116" s="9" t="n">
        <v>7190.9</v>
      </c>
      <c r="P116" s="9" t="n">
        <v>719.09</v>
      </c>
      <c r="Q116" s="9" t="n">
        <v>719.09</v>
      </c>
      <c r="R116" s="9" t="n">
        <v>719.09</v>
      </c>
      <c r="S116" s="9" t="n">
        <v>719.09</v>
      </c>
      <c r="T116" s="9" t="n">
        <v>719.09</v>
      </c>
      <c r="U116" s="9" t="n">
        <v>719.09</v>
      </c>
      <c r="V116" s="9" t="n">
        <v>719.09</v>
      </c>
      <c r="W116" s="9" t="n">
        <v>719.09</v>
      </c>
      <c r="X116" s="9" t="n">
        <v>719.09</v>
      </c>
      <c r="Y116" s="9" t="n">
        <v>719.09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505</v>
      </c>
      <c r="B117" s="3" t="s">
        <v>506</v>
      </c>
      <c r="C117" s="3" t="s">
        <v>507</v>
      </c>
      <c r="D117" s="3" t="s">
        <v>508</v>
      </c>
      <c r="E117" s="3" t="n">
        <v>1998</v>
      </c>
      <c r="F117" s="3" t="s">
        <v>62</v>
      </c>
      <c r="G117" s="3" t="s">
        <v>63</v>
      </c>
      <c r="H117" s="3" t="s">
        <v>509</v>
      </c>
      <c r="I117" s="3" t="s">
        <v>56</v>
      </c>
      <c r="J117" s="7" t="n">
        <v>320000</v>
      </c>
      <c r="K117" s="3" t="s">
        <v>104</v>
      </c>
      <c r="L117" s="7" t="n">
        <v>3987.47</v>
      </c>
      <c r="M117" s="7" t="n">
        <v>498.43</v>
      </c>
      <c r="N117" s="7" t="n">
        <v>498.43</v>
      </c>
      <c r="O117" s="7" t="n">
        <v>2990.6</v>
      </c>
      <c r="P117" s="7" t="n">
        <v>299.06</v>
      </c>
      <c r="Q117" s="7" t="n">
        <v>299.06</v>
      </c>
      <c r="R117" s="7" t="n">
        <v>299.06</v>
      </c>
      <c r="S117" s="7" t="n">
        <v>299.06</v>
      </c>
      <c r="T117" s="7" t="n">
        <v>299.06</v>
      </c>
      <c r="U117" s="7" t="n">
        <v>299.06</v>
      </c>
      <c r="V117" s="7" t="n">
        <v>299.06</v>
      </c>
      <c r="W117" s="7" t="n">
        <v>299.06</v>
      </c>
      <c r="X117" s="7" t="n">
        <v>299.06</v>
      </c>
      <c r="Y117" s="7" t="n">
        <v>299.06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510</v>
      </c>
      <c r="B118" s="8" t="s">
        <v>511</v>
      </c>
      <c r="C118" s="8" t="s">
        <v>330</v>
      </c>
      <c r="D118" s="8" t="s">
        <v>331</v>
      </c>
      <c r="E118" s="8" t="n">
        <v>2021</v>
      </c>
      <c r="F118" s="8" t="s">
        <v>53</v>
      </c>
      <c r="G118" s="8" t="s">
        <v>54</v>
      </c>
      <c r="H118" s="8" t="s">
        <v>512</v>
      </c>
      <c r="I118" s="8" t="s">
        <v>56</v>
      </c>
      <c r="J118" s="9" t="n">
        <v>860000</v>
      </c>
      <c r="K118" s="8" t="s">
        <v>125</v>
      </c>
      <c r="L118" s="9" t="n">
        <v>12145.19</v>
      </c>
      <c r="M118" s="9" t="n">
        <v>1518.15</v>
      </c>
      <c r="N118" s="9" t="n">
        <v>1518.15</v>
      </c>
      <c r="O118" s="9" t="n">
        <v>9108.9</v>
      </c>
      <c r="P118" s="9" t="n">
        <v>910.89</v>
      </c>
      <c r="Q118" s="9" t="n">
        <v>910.89</v>
      </c>
      <c r="R118" s="9" t="n">
        <v>910.89</v>
      </c>
      <c r="S118" s="9" t="n">
        <v>910.89</v>
      </c>
      <c r="T118" s="9" t="n">
        <v>910.89</v>
      </c>
      <c r="U118" s="9" t="n">
        <v>910.89</v>
      </c>
      <c r="V118" s="9" t="n">
        <v>910.89</v>
      </c>
      <c r="W118" s="9" t="n">
        <v>910.89</v>
      </c>
      <c r="X118" s="9" t="n">
        <v>910.89</v>
      </c>
      <c r="Y118" s="9" t="n">
        <v>910.89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513</v>
      </c>
      <c r="B119" s="3" t="s">
        <v>514</v>
      </c>
      <c r="C119" s="3" t="s">
        <v>139</v>
      </c>
      <c r="D119" s="3" t="s">
        <v>140</v>
      </c>
      <c r="E119" s="3" t="n">
        <v>1961</v>
      </c>
      <c r="F119" s="3" t="s">
        <v>155</v>
      </c>
      <c r="G119" s="3" t="s">
        <v>191</v>
      </c>
      <c r="H119" s="3" t="s">
        <v>515</v>
      </c>
      <c r="I119" s="3" t="s">
        <v>56</v>
      </c>
      <c r="J119" s="7" t="n">
        <v>795000</v>
      </c>
      <c r="K119" s="3" t="s">
        <v>292</v>
      </c>
      <c r="L119" s="7" t="n">
        <v>8833.2</v>
      </c>
      <c r="M119" s="7" t="n">
        <v>1104.15</v>
      </c>
      <c r="N119" s="7" t="n">
        <v>1104.15</v>
      </c>
      <c r="O119" s="7" t="n">
        <v>6624.9</v>
      </c>
      <c r="P119" s="7" t="n">
        <v>662.49</v>
      </c>
      <c r="Q119" s="7" t="n">
        <v>662.49</v>
      </c>
      <c r="R119" s="7" t="n">
        <v>662.49</v>
      </c>
      <c r="S119" s="7" t="n">
        <v>662.49</v>
      </c>
      <c r="T119" s="7" t="n">
        <v>662.49</v>
      </c>
      <c r="U119" s="7" t="n">
        <v>662.49</v>
      </c>
      <c r="V119" s="7" t="n">
        <v>662.49</v>
      </c>
      <c r="W119" s="7" t="n">
        <v>662.49</v>
      </c>
      <c r="X119" s="7" t="n">
        <v>662.49</v>
      </c>
      <c r="Y119" s="7" t="n">
        <v>662.49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516</v>
      </c>
      <c r="B120" s="8" t="s">
        <v>517</v>
      </c>
      <c r="C120" s="8" t="s">
        <v>507</v>
      </c>
      <c r="D120" s="8" t="s">
        <v>508</v>
      </c>
      <c r="E120" s="8" t="n">
        <v>1988</v>
      </c>
      <c r="F120" s="8" t="s">
        <v>107</v>
      </c>
      <c r="G120" s="8" t="s">
        <v>134</v>
      </c>
      <c r="H120" s="8" t="s">
        <v>518</v>
      </c>
      <c r="I120" s="8" t="s">
        <v>56</v>
      </c>
      <c r="J120" s="9" t="n">
        <v>985000</v>
      </c>
      <c r="K120" s="8" t="s">
        <v>519</v>
      </c>
      <c r="L120" s="9" t="n">
        <v>11251.13</v>
      </c>
      <c r="M120" s="9" t="n">
        <v>1406.39</v>
      </c>
      <c r="N120" s="9" t="n">
        <v>1406.39</v>
      </c>
      <c r="O120" s="9" t="n">
        <v>8438.3</v>
      </c>
      <c r="P120" s="9" t="n">
        <v>843.83</v>
      </c>
      <c r="Q120" s="9" t="n">
        <v>843.83</v>
      </c>
      <c r="R120" s="9" t="n">
        <v>843.83</v>
      </c>
      <c r="S120" s="9" t="n">
        <v>843.83</v>
      </c>
      <c r="T120" s="9" t="n">
        <v>843.83</v>
      </c>
      <c r="U120" s="9" t="n">
        <v>843.83</v>
      </c>
      <c r="V120" s="9" t="n">
        <v>843.83</v>
      </c>
      <c r="W120" s="9" t="n">
        <v>843.83</v>
      </c>
      <c r="X120" s="9" t="n">
        <v>843.83</v>
      </c>
      <c r="Y120" s="9" t="n">
        <v>843.83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520</v>
      </c>
      <c r="B121" s="3" t="s">
        <v>334</v>
      </c>
      <c r="C121" s="3" t="s">
        <v>267</v>
      </c>
      <c r="D121" s="3" t="s">
        <v>268</v>
      </c>
      <c r="E121" s="3" t="n">
        <v>1960</v>
      </c>
      <c r="F121" s="3" t="s">
        <v>116</v>
      </c>
      <c r="G121" s="3" t="s">
        <v>117</v>
      </c>
      <c r="H121" s="3" t="s">
        <v>521</v>
      </c>
      <c r="I121" s="3" t="s">
        <v>119</v>
      </c>
      <c r="J121" s="7" t="n">
        <v>625000</v>
      </c>
      <c r="K121" s="3" t="s">
        <v>258</v>
      </c>
      <c r="L121" s="7" t="n">
        <v>8255.33</v>
      </c>
      <c r="M121" s="7" t="n">
        <v>1031.92</v>
      </c>
      <c r="N121" s="7" t="n">
        <v>1031.92</v>
      </c>
      <c r="O121" s="7" t="n">
        <v>6191.5</v>
      </c>
      <c r="P121" s="7" t="n">
        <v>619.15</v>
      </c>
      <c r="Q121" s="7" t="n">
        <v>619.15</v>
      </c>
      <c r="R121" s="7" t="n">
        <v>619.15</v>
      </c>
      <c r="S121" s="7" t="n">
        <v>619.15</v>
      </c>
      <c r="T121" s="7" t="n">
        <v>619.15</v>
      </c>
      <c r="U121" s="7" t="n">
        <v>619.15</v>
      </c>
      <c r="V121" s="7" t="n">
        <v>619.15</v>
      </c>
      <c r="W121" s="7" t="n">
        <v>619.15</v>
      </c>
      <c r="X121" s="7" t="n">
        <v>619.15</v>
      </c>
      <c r="Y121" s="7" t="n">
        <v>619.15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522</v>
      </c>
      <c r="B122" s="8" t="s">
        <v>523</v>
      </c>
      <c r="C122" s="8" t="s">
        <v>51</v>
      </c>
      <c r="D122" s="8" t="s">
        <v>52</v>
      </c>
      <c r="E122" s="8" t="n">
        <v>2006</v>
      </c>
      <c r="F122" s="8" t="s">
        <v>62</v>
      </c>
      <c r="G122" s="8" t="s">
        <v>63</v>
      </c>
      <c r="H122" s="8" t="s">
        <v>524</v>
      </c>
      <c r="I122" s="8" t="s">
        <v>56</v>
      </c>
      <c r="J122" s="9" t="n">
        <v>495000</v>
      </c>
      <c r="K122" s="8" t="s">
        <v>525</v>
      </c>
      <c r="L122" s="9" t="n">
        <v>7176.38</v>
      </c>
      <c r="M122" s="9" t="n">
        <v>897.05</v>
      </c>
      <c r="N122" s="9" t="n">
        <v>897.05</v>
      </c>
      <c r="O122" s="9" t="n">
        <v>5382.3</v>
      </c>
      <c r="P122" s="9" t="n">
        <v>538.23</v>
      </c>
      <c r="Q122" s="9" t="n">
        <v>538.23</v>
      </c>
      <c r="R122" s="9" t="n">
        <v>538.23</v>
      </c>
      <c r="S122" s="9" t="n">
        <v>538.23</v>
      </c>
      <c r="T122" s="9" t="n">
        <v>538.23</v>
      </c>
      <c r="U122" s="9" t="n">
        <v>538.23</v>
      </c>
      <c r="V122" s="9" t="n">
        <v>538.23</v>
      </c>
      <c r="W122" s="9" t="n">
        <v>538.23</v>
      </c>
      <c r="X122" s="9" t="n">
        <v>538.23</v>
      </c>
      <c r="Y122" s="9" t="n">
        <v>538.23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526</v>
      </c>
      <c r="B123" s="3" t="s">
        <v>449</v>
      </c>
      <c r="C123" s="3" t="s">
        <v>183</v>
      </c>
      <c r="D123" s="3" t="s">
        <v>184</v>
      </c>
      <c r="E123" s="3" t="n">
        <v>1976</v>
      </c>
      <c r="F123" s="3" t="s">
        <v>122</v>
      </c>
      <c r="G123" s="3" t="s">
        <v>123</v>
      </c>
      <c r="H123" s="3" t="s">
        <v>527</v>
      </c>
      <c r="I123" s="3" t="s">
        <v>56</v>
      </c>
      <c r="J123" s="7" t="n">
        <v>890000</v>
      </c>
      <c r="K123" s="3" t="s">
        <v>264</v>
      </c>
      <c r="L123" s="7" t="n">
        <v>11090.17</v>
      </c>
      <c r="M123" s="7" t="n">
        <v>1386.27</v>
      </c>
      <c r="N123" s="7" t="n">
        <v>1386.27</v>
      </c>
      <c r="O123" s="7" t="n">
        <v>8317.6</v>
      </c>
      <c r="P123" s="7" t="n">
        <v>831.76</v>
      </c>
      <c r="Q123" s="7" t="n">
        <v>831.76</v>
      </c>
      <c r="R123" s="7" t="n">
        <v>831.76</v>
      </c>
      <c r="S123" s="7" t="n">
        <v>831.76</v>
      </c>
      <c r="T123" s="7" t="n">
        <v>831.76</v>
      </c>
      <c r="U123" s="7" t="n">
        <v>831.76</v>
      </c>
      <c r="V123" s="7" t="n">
        <v>831.76</v>
      </c>
      <c r="W123" s="7" t="n">
        <v>831.76</v>
      </c>
      <c r="X123" s="7" t="n">
        <v>831.76</v>
      </c>
      <c r="Y123" s="7" t="n">
        <v>831.76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528</v>
      </c>
      <c r="B124" s="8" t="s">
        <v>529</v>
      </c>
      <c r="C124" s="8" t="s">
        <v>51</v>
      </c>
      <c r="D124" s="8" t="s">
        <v>52</v>
      </c>
      <c r="E124" s="8" t="n">
        <v>1955</v>
      </c>
      <c r="F124" s="8" t="s">
        <v>155</v>
      </c>
      <c r="G124" s="8" t="s">
        <v>156</v>
      </c>
      <c r="H124" s="8" t="s">
        <v>530</v>
      </c>
      <c r="I124" s="8" t="s">
        <v>78</v>
      </c>
      <c r="J124" s="9" t="n">
        <v>470000</v>
      </c>
      <c r="K124" s="8" t="s">
        <v>136</v>
      </c>
      <c r="L124" s="9" t="n">
        <v>5586.31</v>
      </c>
      <c r="M124" s="9" t="n">
        <v>698.29</v>
      </c>
      <c r="N124" s="9" t="n">
        <v>698.29</v>
      </c>
      <c r="O124" s="9" t="n">
        <v>4189.7</v>
      </c>
      <c r="P124" s="9" t="n">
        <v>418.97</v>
      </c>
      <c r="Q124" s="9" t="n">
        <v>418.97</v>
      </c>
      <c r="R124" s="9" t="n">
        <v>418.97</v>
      </c>
      <c r="S124" s="9" t="n">
        <v>418.97</v>
      </c>
      <c r="T124" s="9" t="n">
        <v>418.97</v>
      </c>
      <c r="U124" s="9" t="n">
        <v>418.97</v>
      </c>
      <c r="V124" s="9" t="n">
        <v>418.97</v>
      </c>
      <c r="W124" s="9" t="n">
        <v>418.97</v>
      </c>
      <c r="X124" s="9" t="n">
        <v>418.97</v>
      </c>
      <c r="Y124" s="9" t="n">
        <v>418.97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531</v>
      </c>
      <c r="B125" s="3" t="s">
        <v>444</v>
      </c>
      <c r="C125" s="3" t="s">
        <v>272</v>
      </c>
      <c r="D125" s="3" t="s">
        <v>273</v>
      </c>
      <c r="E125" s="3" t="n">
        <v>2006</v>
      </c>
      <c r="F125" s="3" t="s">
        <v>155</v>
      </c>
      <c r="G125" s="3" t="s">
        <v>191</v>
      </c>
      <c r="H125" s="3" t="s">
        <v>532</v>
      </c>
      <c r="I125" s="3" t="s">
        <v>56</v>
      </c>
      <c r="J125" s="7" t="n">
        <v>515000</v>
      </c>
      <c r="K125" s="3" t="s">
        <v>174</v>
      </c>
      <c r="L125" s="7" t="n">
        <v>4973.45</v>
      </c>
      <c r="M125" s="7" t="n">
        <v>621.68</v>
      </c>
      <c r="N125" s="7" t="n">
        <v>621.68</v>
      </c>
      <c r="O125" s="7" t="n">
        <v>3730.1</v>
      </c>
      <c r="P125" s="7" t="n">
        <v>373.01</v>
      </c>
      <c r="Q125" s="7" t="n">
        <v>373.01</v>
      </c>
      <c r="R125" s="7" t="n">
        <v>373.01</v>
      </c>
      <c r="S125" s="7" t="n">
        <v>373.01</v>
      </c>
      <c r="T125" s="7" t="n">
        <v>373.01</v>
      </c>
      <c r="U125" s="7" t="n">
        <v>373.01</v>
      </c>
      <c r="V125" s="7" t="n">
        <v>373.01</v>
      </c>
      <c r="W125" s="7" t="n">
        <v>373.01</v>
      </c>
      <c r="X125" s="7" t="n">
        <v>373.01</v>
      </c>
      <c r="Y125" s="7" t="n">
        <v>373.01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533</v>
      </c>
      <c r="B126" s="8" t="s">
        <v>92</v>
      </c>
      <c r="C126" s="8" t="s">
        <v>60</v>
      </c>
      <c r="D126" s="8" t="s">
        <v>61</v>
      </c>
      <c r="E126" s="8" t="n">
        <v>2008</v>
      </c>
      <c r="F126" s="8" t="s">
        <v>210</v>
      </c>
      <c r="G126" s="8" t="s">
        <v>211</v>
      </c>
      <c r="H126" s="8" t="s">
        <v>534</v>
      </c>
      <c r="I126" s="8" t="s">
        <v>119</v>
      </c>
      <c r="J126" s="9" t="n">
        <v>1090000</v>
      </c>
      <c r="K126" s="8" t="s">
        <v>142</v>
      </c>
      <c r="L126" s="9" t="n">
        <v>16814.25</v>
      </c>
      <c r="M126" s="9" t="n">
        <v>2101.78</v>
      </c>
      <c r="N126" s="9" t="n">
        <v>2101.78</v>
      </c>
      <c r="O126" s="9" t="n">
        <v>12610.7</v>
      </c>
      <c r="P126" s="9" t="n">
        <v>1261.07</v>
      </c>
      <c r="Q126" s="9" t="n">
        <v>1261.07</v>
      </c>
      <c r="R126" s="9" t="n">
        <v>1261.07</v>
      </c>
      <c r="S126" s="9" t="n">
        <v>1261.07</v>
      </c>
      <c r="T126" s="9" t="n">
        <v>1261.07</v>
      </c>
      <c r="U126" s="9" t="n">
        <v>1261.07</v>
      </c>
      <c r="V126" s="9" t="n">
        <v>1261.07</v>
      </c>
      <c r="W126" s="9" t="n">
        <v>1261.07</v>
      </c>
      <c r="X126" s="9" t="n">
        <v>1261.07</v>
      </c>
      <c r="Y126" s="9" t="n">
        <v>1261.07</v>
      </c>
      <c r="Z126" s="9" t="n">
        <v>350</v>
      </c>
      <c r="AA126" s="9" t="n">
        <v>250</v>
      </c>
      <c r="AB126" s="9" t="n">
        <v>600</v>
      </c>
    </row>
    <row r="127" customFormat="false" ht="15" hidden="false" customHeight="false" outlineLevel="0" collapsed="false">
      <c r="A127" s="3" t="s">
        <v>535</v>
      </c>
      <c r="B127" s="3" t="s">
        <v>536</v>
      </c>
      <c r="C127" s="3" t="s">
        <v>284</v>
      </c>
      <c r="D127" s="3" t="s">
        <v>285</v>
      </c>
      <c r="E127" s="3" t="n">
        <v>1995</v>
      </c>
      <c r="F127" s="3" t="s">
        <v>122</v>
      </c>
      <c r="G127" s="3" t="s">
        <v>123</v>
      </c>
      <c r="H127" s="3" t="s">
        <v>537</v>
      </c>
      <c r="I127" s="3" t="s">
        <v>56</v>
      </c>
      <c r="J127" s="7" t="n">
        <v>360000</v>
      </c>
      <c r="K127" s="3" t="s">
        <v>174</v>
      </c>
      <c r="L127" s="7" t="n">
        <v>4011.44</v>
      </c>
      <c r="M127" s="7" t="n">
        <v>501.43</v>
      </c>
      <c r="N127" s="7" t="n">
        <v>501.43</v>
      </c>
      <c r="O127" s="7" t="n">
        <v>3008.6</v>
      </c>
      <c r="P127" s="7" t="n">
        <v>300.86</v>
      </c>
      <c r="Q127" s="7" t="n">
        <v>300.86</v>
      </c>
      <c r="R127" s="7" t="n">
        <v>300.86</v>
      </c>
      <c r="S127" s="7" t="n">
        <v>300.86</v>
      </c>
      <c r="T127" s="7" t="n">
        <v>300.86</v>
      </c>
      <c r="U127" s="7" t="n">
        <v>300.86</v>
      </c>
      <c r="V127" s="7" t="n">
        <v>300.86</v>
      </c>
      <c r="W127" s="7" t="n">
        <v>300.86</v>
      </c>
      <c r="X127" s="7" t="n">
        <v>300.86</v>
      </c>
      <c r="Y127" s="7" t="n">
        <v>300.86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538</v>
      </c>
      <c r="B128" s="8" t="s">
        <v>337</v>
      </c>
      <c r="C128" s="8" t="s">
        <v>219</v>
      </c>
      <c r="D128" s="8" t="s">
        <v>220</v>
      </c>
      <c r="E128" s="8" t="n">
        <v>1958</v>
      </c>
      <c r="F128" s="8" t="s">
        <v>44</v>
      </c>
      <c r="G128" s="8" t="s">
        <v>240</v>
      </c>
      <c r="H128" s="8" t="s">
        <v>539</v>
      </c>
      <c r="I128" s="8" t="s">
        <v>47</v>
      </c>
      <c r="J128" s="9" t="n">
        <v>420000</v>
      </c>
      <c r="K128" s="8" t="s">
        <v>465</v>
      </c>
      <c r="L128" s="9" t="n">
        <v>10262.49</v>
      </c>
      <c r="M128" s="9" t="n">
        <v>1282.81</v>
      </c>
      <c r="N128" s="9" t="n">
        <v>1282.81</v>
      </c>
      <c r="O128" s="9" t="n">
        <v>7696.9</v>
      </c>
      <c r="P128" s="9" t="n">
        <v>769.69</v>
      </c>
      <c r="Q128" s="9" t="n">
        <v>769.69</v>
      </c>
      <c r="R128" s="9" t="n">
        <v>769.69</v>
      </c>
      <c r="S128" s="9" t="n">
        <v>769.69</v>
      </c>
      <c r="T128" s="9" t="n">
        <v>769.69</v>
      </c>
      <c r="U128" s="9" t="n">
        <v>769.69</v>
      </c>
      <c r="V128" s="9" t="n">
        <v>769.69</v>
      </c>
      <c r="W128" s="9" t="n">
        <v>769.69</v>
      </c>
      <c r="X128" s="9" t="n">
        <v>769.69</v>
      </c>
      <c r="Y128" s="9" t="n">
        <v>769.69</v>
      </c>
      <c r="Z128" s="9" t="n">
        <v>350</v>
      </c>
      <c r="AA128" s="9" t="n">
        <v>0</v>
      </c>
      <c r="AB128" s="9" t="n">
        <v>350</v>
      </c>
    </row>
    <row r="129" customFormat="false" ht="15" hidden="false" customHeight="false" outlineLevel="0" collapsed="false">
      <c r="A129" s="3" t="s">
        <v>540</v>
      </c>
      <c r="B129" s="3" t="s">
        <v>541</v>
      </c>
      <c r="C129" s="3" t="s">
        <v>267</v>
      </c>
      <c r="D129" s="3" t="s">
        <v>268</v>
      </c>
      <c r="E129" s="3" t="n">
        <v>2007</v>
      </c>
      <c r="F129" s="3" t="s">
        <v>44</v>
      </c>
      <c r="G129" s="3" t="s">
        <v>240</v>
      </c>
      <c r="H129" s="3" t="s">
        <v>542</v>
      </c>
      <c r="I129" s="3" t="s">
        <v>47</v>
      </c>
      <c r="J129" s="7" t="n">
        <v>970000</v>
      </c>
      <c r="K129" s="3" t="s">
        <v>543</v>
      </c>
      <c r="L129" s="7" t="n">
        <v>19137.82</v>
      </c>
      <c r="M129" s="7" t="n">
        <v>2392.23</v>
      </c>
      <c r="N129" s="7" t="n">
        <v>2392.23</v>
      </c>
      <c r="O129" s="7" t="n">
        <v>14353.4</v>
      </c>
      <c r="P129" s="7" t="n">
        <v>1435.34</v>
      </c>
      <c r="Q129" s="7" t="n">
        <v>1435.34</v>
      </c>
      <c r="R129" s="7" t="n">
        <v>1435.34</v>
      </c>
      <c r="S129" s="7" t="n">
        <v>1435.34</v>
      </c>
      <c r="T129" s="7" t="n">
        <v>1435.34</v>
      </c>
      <c r="U129" s="7" t="n">
        <v>1435.34</v>
      </c>
      <c r="V129" s="7" t="n">
        <v>1435.34</v>
      </c>
      <c r="W129" s="7" t="n">
        <v>1435.34</v>
      </c>
      <c r="X129" s="7" t="n">
        <v>1435.34</v>
      </c>
      <c r="Y129" s="7" t="n">
        <v>1435.34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544</v>
      </c>
      <c r="B130" s="8" t="s">
        <v>545</v>
      </c>
      <c r="C130" s="8" t="s">
        <v>101</v>
      </c>
      <c r="D130" s="8" t="s">
        <v>102</v>
      </c>
      <c r="E130" s="8" t="n">
        <v>2013</v>
      </c>
      <c r="F130" s="8" t="s">
        <v>53</v>
      </c>
      <c r="G130" s="8" t="s">
        <v>54</v>
      </c>
      <c r="H130" s="8" t="s">
        <v>546</v>
      </c>
      <c r="I130" s="8" t="s">
        <v>56</v>
      </c>
      <c r="J130" s="9" t="n">
        <v>335000</v>
      </c>
      <c r="K130" s="8" t="s">
        <v>547</v>
      </c>
      <c r="L130" s="9" t="n">
        <v>5298.27</v>
      </c>
      <c r="M130" s="9" t="n">
        <v>662.28</v>
      </c>
      <c r="N130" s="9" t="n">
        <v>662.28</v>
      </c>
      <c r="O130" s="9" t="n">
        <v>3973.7</v>
      </c>
      <c r="P130" s="9" t="n">
        <v>397.37</v>
      </c>
      <c r="Q130" s="9" t="n">
        <v>397.37</v>
      </c>
      <c r="R130" s="9" t="n">
        <v>397.37</v>
      </c>
      <c r="S130" s="9" t="n">
        <v>397.37</v>
      </c>
      <c r="T130" s="9" t="n">
        <v>397.37</v>
      </c>
      <c r="U130" s="9" t="n">
        <v>397.37</v>
      </c>
      <c r="V130" s="9" t="n">
        <v>397.37</v>
      </c>
      <c r="W130" s="9" t="n">
        <v>397.37</v>
      </c>
      <c r="X130" s="9" t="n">
        <v>397.37</v>
      </c>
      <c r="Y130" s="9" t="n">
        <v>397.37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548</v>
      </c>
      <c r="B131" s="3" t="s">
        <v>549</v>
      </c>
      <c r="C131" s="3" t="s">
        <v>295</v>
      </c>
      <c r="D131" s="3" t="s">
        <v>296</v>
      </c>
      <c r="E131" s="3" t="n">
        <v>1982</v>
      </c>
      <c r="F131" s="3" t="s">
        <v>122</v>
      </c>
      <c r="G131" s="3" t="s">
        <v>123</v>
      </c>
      <c r="H131" s="3" t="s">
        <v>550</v>
      </c>
      <c r="I131" s="3" t="s">
        <v>56</v>
      </c>
      <c r="J131" s="7" t="n">
        <v>1510000</v>
      </c>
      <c r="K131" s="3" t="s">
        <v>86</v>
      </c>
      <c r="L131" s="7" t="n">
        <v>17911.3</v>
      </c>
      <c r="M131" s="7" t="n">
        <v>2238.91</v>
      </c>
      <c r="N131" s="7" t="n">
        <v>2238.91</v>
      </c>
      <c r="O131" s="7" t="n">
        <v>13433.5</v>
      </c>
      <c r="P131" s="7" t="n">
        <v>1343.35</v>
      </c>
      <c r="Q131" s="7" t="n">
        <v>1343.35</v>
      </c>
      <c r="R131" s="7" t="n">
        <v>1343.35</v>
      </c>
      <c r="S131" s="7" t="n">
        <v>1343.35</v>
      </c>
      <c r="T131" s="7" t="n">
        <v>1343.35</v>
      </c>
      <c r="U131" s="7" t="n">
        <v>1343.35</v>
      </c>
      <c r="V131" s="7" t="n">
        <v>1343.35</v>
      </c>
      <c r="W131" s="7" t="n">
        <v>1343.35</v>
      </c>
      <c r="X131" s="7" t="n">
        <v>1343.35</v>
      </c>
      <c r="Y131" s="7" t="n">
        <v>1343.35</v>
      </c>
      <c r="Z131" s="7" t="n">
        <v>350</v>
      </c>
      <c r="AA131" s="7" t="n">
        <v>250</v>
      </c>
      <c r="AB131" s="7" t="n">
        <v>600</v>
      </c>
    </row>
    <row r="132" customFormat="false" ht="15" hidden="false" customHeight="false" outlineLevel="0" collapsed="false">
      <c r="A132" s="8" t="s">
        <v>551</v>
      </c>
      <c r="B132" s="8" t="s">
        <v>549</v>
      </c>
      <c r="C132" s="8" t="s">
        <v>208</v>
      </c>
      <c r="D132" s="8" t="s">
        <v>209</v>
      </c>
      <c r="E132" s="8" t="n">
        <v>2015</v>
      </c>
      <c r="F132" s="8" t="s">
        <v>53</v>
      </c>
      <c r="G132" s="8" t="s">
        <v>54</v>
      </c>
      <c r="H132" s="8" t="s">
        <v>552</v>
      </c>
      <c r="I132" s="8" t="s">
        <v>56</v>
      </c>
      <c r="J132" s="9" t="n">
        <v>495000</v>
      </c>
      <c r="K132" s="8" t="s">
        <v>168</v>
      </c>
      <c r="L132" s="9" t="n">
        <v>5693.66</v>
      </c>
      <c r="M132" s="9" t="n">
        <v>711.71</v>
      </c>
      <c r="N132" s="9" t="n">
        <v>711.71</v>
      </c>
      <c r="O132" s="9" t="n">
        <v>4270.2</v>
      </c>
      <c r="P132" s="9" t="n">
        <v>427.02</v>
      </c>
      <c r="Q132" s="9" t="n">
        <v>427.02</v>
      </c>
      <c r="R132" s="9" t="n">
        <v>427.02</v>
      </c>
      <c r="S132" s="9" t="n">
        <v>427.02</v>
      </c>
      <c r="T132" s="9" t="n">
        <v>427.02</v>
      </c>
      <c r="U132" s="9" t="n">
        <v>427.02</v>
      </c>
      <c r="V132" s="9" t="n">
        <v>427.02</v>
      </c>
      <c r="W132" s="9" t="n">
        <v>427.02</v>
      </c>
      <c r="X132" s="9" t="n">
        <v>427.02</v>
      </c>
      <c r="Y132" s="9" t="n">
        <v>427.02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553</v>
      </c>
      <c r="B133" s="3" t="s">
        <v>554</v>
      </c>
      <c r="C133" s="3" t="s">
        <v>74</v>
      </c>
      <c r="D133" s="3" t="s">
        <v>75</v>
      </c>
      <c r="E133" s="3" t="n">
        <v>1966</v>
      </c>
      <c r="F133" s="3" t="s">
        <v>53</v>
      </c>
      <c r="G133" s="3" t="s">
        <v>54</v>
      </c>
      <c r="H133" s="3" t="s">
        <v>555</v>
      </c>
      <c r="I133" s="3" t="s">
        <v>56</v>
      </c>
      <c r="J133" s="7" t="n">
        <v>800000</v>
      </c>
      <c r="K133" s="3" t="s">
        <v>90</v>
      </c>
      <c r="L133" s="7" t="n">
        <v>10633.27</v>
      </c>
      <c r="M133" s="7" t="n">
        <v>1329.16</v>
      </c>
      <c r="N133" s="7" t="n">
        <v>1329.16</v>
      </c>
      <c r="O133" s="7" t="n">
        <v>7975</v>
      </c>
      <c r="P133" s="7" t="n">
        <v>797.5</v>
      </c>
      <c r="Q133" s="7" t="n">
        <v>797.5</v>
      </c>
      <c r="R133" s="7" t="n">
        <v>797.5</v>
      </c>
      <c r="S133" s="7" t="n">
        <v>797.5</v>
      </c>
      <c r="T133" s="7" t="n">
        <v>797.5</v>
      </c>
      <c r="U133" s="7" t="n">
        <v>797.5</v>
      </c>
      <c r="V133" s="7" t="n">
        <v>797.5</v>
      </c>
      <c r="W133" s="7" t="n">
        <v>797.5</v>
      </c>
      <c r="X133" s="7" t="n">
        <v>797.5</v>
      </c>
      <c r="Y133" s="7" t="n">
        <v>797.5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556</v>
      </c>
      <c r="B134" s="8" t="s">
        <v>511</v>
      </c>
      <c r="C134" s="8" t="s">
        <v>171</v>
      </c>
      <c r="D134" s="8" t="s">
        <v>172</v>
      </c>
      <c r="E134" s="8" t="n">
        <v>2013</v>
      </c>
      <c r="F134" s="8" t="s">
        <v>210</v>
      </c>
      <c r="G134" s="8" t="s">
        <v>211</v>
      </c>
      <c r="H134" s="8" t="s">
        <v>557</v>
      </c>
      <c r="I134" s="8" t="s">
        <v>119</v>
      </c>
      <c r="J134" s="9" t="n">
        <v>965000</v>
      </c>
      <c r="K134" s="8" t="s">
        <v>71</v>
      </c>
      <c r="L134" s="9" t="n">
        <v>12024.74</v>
      </c>
      <c r="M134" s="9" t="n">
        <v>1503.09</v>
      </c>
      <c r="N134" s="9" t="n">
        <v>1503.09</v>
      </c>
      <c r="O134" s="9" t="n">
        <v>9018.6</v>
      </c>
      <c r="P134" s="9" t="n">
        <v>901.86</v>
      </c>
      <c r="Q134" s="9" t="n">
        <v>901.86</v>
      </c>
      <c r="R134" s="9" t="n">
        <v>901.86</v>
      </c>
      <c r="S134" s="9" t="n">
        <v>901.86</v>
      </c>
      <c r="T134" s="9" t="n">
        <v>901.86</v>
      </c>
      <c r="U134" s="9" t="n">
        <v>901.86</v>
      </c>
      <c r="V134" s="9" t="n">
        <v>901.86</v>
      </c>
      <c r="W134" s="9" t="n">
        <v>901.86</v>
      </c>
      <c r="X134" s="9" t="n">
        <v>901.86</v>
      </c>
      <c r="Y134" s="9" t="n">
        <v>901.86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558</v>
      </c>
      <c r="B135" s="3" t="s">
        <v>559</v>
      </c>
      <c r="C135" s="3" t="s">
        <v>219</v>
      </c>
      <c r="D135" s="3" t="s">
        <v>220</v>
      </c>
      <c r="E135" s="3" t="n">
        <v>1979</v>
      </c>
      <c r="F135" s="3" t="s">
        <v>107</v>
      </c>
      <c r="G135" s="3" t="s">
        <v>134</v>
      </c>
      <c r="H135" s="3" t="s">
        <v>560</v>
      </c>
      <c r="I135" s="3" t="s">
        <v>56</v>
      </c>
      <c r="J135" s="7" t="n">
        <v>365000</v>
      </c>
      <c r="K135" s="3" t="s">
        <v>307</v>
      </c>
      <c r="L135" s="7" t="n">
        <v>4854.34</v>
      </c>
      <c r="M135" s="7" t="n">
        <v>606.79</v>
      </c>
      <c r="N135" s="7" t="n">
        <v>606.79</v>
      </c>
      <c r="O135" s="7" t="n">
        <v>3640.8</v>
      </c>
      <c r="P135" s="7" t="n">
        <v>364.08</v>
      </c>
      <c r="Q135" s="7" t="n">
        <v>364.08</v>
      </c>
      <c r="R135" s="7" t="n">
        <v>364.08</v>
      </c>
      <c r="S135" s="7" t="n">
        <v>364.08</v>
      </c>
      <c r="T135" s="7" t="n">
        <v>364.08</v>
      </c>
      <c r="U135" s="7" t="n">
        <v>364.08</v>
      </c>
      <c r="V135" s="7" t="n">
        <v>364.08</v>
      </c>
      <c r="W135" s="7" t="n">
        <v>364.08</v>
      </c>
      <c r="X135" s="7" t="n">
        <v>364.08</v>
      </c>
      <c r="Y135" s="7" t="n">
        <v>364.08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561</v>
      </c>
      <c r="B136" s="8" t="s">
        <v>562</v>
      </c>
      <c r="C136" s="8" t="s">
        <v>42</v>
      </c>
      <c r="D136" s="8" t="s">
        <v>43</v>
      </c>
      <c r="E136" s="8" t="n">
        <v>2021</v>
      </c>
      <c r="F136" s="8" t="s">
        <v>53</v>
      </c>
      <c r="G136" s="8" t="s">
        <v>54</v>
      </c>
      <c r="H136" s="8" t="s">
        <v>563</v>
      </c>
      <c r="I136" s="8" t="s">
        <v>56</v>
      </c>
      <c r="J136" s="9" t="n">
        <v>560000</v>
      </c>
      <c r="K136" s="8" t="s">
        <v>125</v>
      </c>
      <c r="L136" s="9" t="n">
        <v>7908.5</v>
      </c>
      <c r="M136" s="9" t="n">
        <v>988.56</v>
      </c>
      <c r="N136" s="9" t="n">
        <v>988.56</v>
      </c>
      <c r="O136" s="9" t="n">
        <v>5931.4</v>
      </c>
      <c r="P136" s="9" t="n">
        <v>593.14</v>
      </c>
      <c r="Q136" s="9" t="n">
        <v>593.14</v>
      </c>
      <c r="R136" s="9" t="n">
        <v>593.14</v>
      </c>
      <c r="S136" s="9" t="n">
        <v>593.14</v>
      </c>
      <c r="T136" s="9" t="n">
        <v>593.14</v>
      </c>
      <c r="U136" s="9" t="n">
        <v>593.14</v>
      </c>
      <c r="V136" s="9" t="n">
        <v>593.14</v>
      </c>
      <c r="W136" s="9" t="n">
        <v>593.14</v>
      </c>
      <c r="X136" s="9" t="n">
        <v>593.14</v>
      </c>
      <c r="Y136" s="9" t="n">
        <v>593.14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564</v>
      </c>
      <c r="B137" s="3" t="s">
        <v>565</v>
      </c>
      <c r="C137" s="3" t="s">
        <v>171</v>
      </c>
      <c r="D137" s="3" t="s">
        <v>172</v>
      </c>
      <c r="E137" s="3" t="n">
        <v>1973</v>
      </c>
      <c r="F137" s="3" t="s">
        <v>122</v>
      </c>
      <c r="G137" s="3" t="s">
        <v>123</v>
      </c>
      <c r="H137" s="3" t="s">
        <v>566</v>
      </c>
      <c r="I137" s="3" t="s">
        <v>56</v>
      </c>
      <c r="J137" s="7" t="n">
        <v>450000</v>
      </c>
      <c r="K137" s="3" t="s">
        <v>301</v>
      </c>
      <c r="L137" s="7" t="n">
        <v>4906.47</v>
      </c>
      <c r="M137" s="7" t="n">
        <v>613.31</v>
      </c>
      <c r="N137" s="7" t="n">
        <v>613.31</v>
      </c>
      <c r="O137" s="7" t="n">
        <v>3679.9</v>
      </c>
      <c r="P137" s="7" t="n">
        <v>367.99</v>
      </c>
      <c r="Q137" s="7" t="n">
        <v>367.99</v>
      </c>
      <c r="R137" s="7" t="n">
        <v>367.99</v>
      </c>
      <c r="S137" s="7" t="n">
        <v>367.99</v>
      </c>
      <c r="T137" s="7" t="n">
        <v>367.99</v>
      </c>
      <c r="U137" s="7" t="n">
        <v>367.99</v>
      </c>
      <c r="V137" s="7" t="n">
        <v>367.99</v>
      </c>
      <c r="W137" s="7" t="n">
        <v>367.99</v>
      </c>
      <c r="X137" s="7" t="n">
        <v>367.99</v>
      </c>
      <c r="Y137" s="7" t="n">
        <v>367.99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567</v>
      </c>
      <c r="B138" s="8" t="s">
        <v>506</v>
      </c>
      <c r="C138" s="8" t="s">
        <v>93</v>
      </c>
      <c r="D138" s="8" t="s">
        <v>94</v>
      </c>
      <c r="E138" s="8" t="n">
        <v>2019</v>
      </c>
      <c r="F138" s="8" t="s">
        <v>155</v>
      </c>
      <c r="G138" s="8" t="s">
        <v>191</v>
      </c>
      <c r="H138" s="8" t="s">
        <v>568</v>
      </c>
      <c r="I138" s="8" t="s">
        <v>56</v>
      </c>
      <c r="J138" s="9" t="n">
        <v>370000</v>
      </c>
      <c r="K138" s="8" t="s">
        <v>142</v>
      </c>
      <c r="L138" s="9" t="n">
        <v>6295.14</v>
      </c>
      <c r="M138" s="9" t="n">
        <v>786.89</v>
      </c>
      <c r="N138" s="9" t="n">
        <v>786.89</v>
      </c>
      <c r="O138" s="9" t="n">
        <v>4721.4</v>
      </c>
      <c r="P138" s="9" t="n">
        <v>472.14</v>
      </c>
      <c r="Q138" s="9" t="n">
        <v>472.14</v>
      </c>
      <c r="R138" s="9" t="n">
        <v>472.14</v>
      </c>
      <c r="S138" s="9" t="n">
        <v>472.14</v>
      </c>
      <c r="T138" s="9" t="n">
        <v>472.14</v>
      </c>
      <c r="U138" s="9" t="n">
        <v>472.14</v>
      </c>
      <c r="V138" s="9" t="n">
        <v>472.14</v>
      </c>
      <c r="W138" s="9" t="n">
        <v>472.14</v>
      </c>
      <c r="X138" s="9" t="n">
        <v>472.14</v>
      </c>
      <c r="Y138" s="9" t="n">
        <v>472.14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569</v>
      </c>
      <c r="B139" s="3" t="s">
        <v>570</v>
      </c>
      <c r="C139" s="3" t="s">
        <v>60</v>
      </c>
      <c r="D139" s="3" t="s">
        <v>61</v>
      </c>
      <c r="E139" s="3" t="n">
        <v>2014</v>
      </c>
      <c r="F139" s="3" t="s">
        <v>95</v>
      </c>
      <c r="G139" s="3" t="s">
        <v>96</v>
      </c>
      <c r="H139" s="3" t="s">
        <v>571</v>
      </c>
      <c r="I139" s="3" t="s">
        <v>47</v>
      </c>
      <c r="J139" s="7" t="n">
        <v>670000</v>
      </c>
      <c r="K139" s="3" t="s">
        <v>232</v>
      </c>
      <c r="L139" s="7" t="n">
        <v>11185.23</v>
      </c>
      <c r="M139" s="7" t="n">
        <v>1398.15</v>
      </c>
      <c r="N139" s="7" t="n">
        <v>1398.15</v>
      </c>
      <c r="O139" s="7" t="n">
        <v>8388.9</v>
      </c>
      <c r="P139" s="7" t="n">
        <v>838.89</v>
      </c>
      <c r="Q139" s="7" t="n">
        <v>838.89</v>
      </c>
      <c r="R139" s="7" t="n">
        <v>838.89</v>
      </c>
      <c r="S139" s="7" t="n">
        <v>838.89</v>
      </c>
      <c r="T139" s="7" t="n">
        <v>838.89</v>
      </c>
      <c r="U139" s="7" t="n">
        <v>838.89</v>
      </c>
      <c r="V139" s="7" t="n">
        <v>838.89</v>
      </c>
      <c r="W139" s="7" t="n">
        <v>838.89</v>
      </c>
      <c r="X139" s="7" t="n">
        <v>838.89</v>
      </c>
      <c r="Y139" s="7" t="n">
        <v>838.89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572</v>
      </c>
      <c r="B140" s="8" t="s">
        <v>415</v>
      </c>
      <c r="C140" s="8" t="s">
        <v>208</v>
      </c>
      <c r="D140" s="8" t="s">
        <v>209</v>
      </c>
      <c r="E140" s="8" t="n">
        <v>1978</v>
      </c>
      <c r="F140" s="8" t="s">
        <v>107</v>
      </c>
      <c r="G140" s="8" t="s">
        <v>134</v>
      </c>
      <c r="H140" s="8" t="s">
        <v>573</v>
      </c>
      <c r="I140" s="8" t="s">
        <v>56</v>
      </c>
      <c r="J140" s="9" t="n">
        <v>285000</v>
      </c>
      <c r="K140" s="8" t="s">
        <v>150</v>
      </c>
      <c r="L140" s="9" t="n">
        <v>4166</v>
      </c>
      <c r="M140" s="9" t="n">
        <v>520.75</v>
      </c>
      <c r="N140" s="9" t="n">
        <v>520.75</v>
      </c>
      <c r="O140" s="9" t="n">
        <v>3124.5</v>
      </c>
      <c r="P140" s="9" t="n">
        <v>312.45</v>
      </c>
      <c r="Q140" s="9" t="n">
        <v>312.45</v>
      </c>
      <c r="R140" s="9" t="n">
        <v>312.45</v>
      </c>
      <c r="S140" s="9" t="n">
        <v>312.45</v>
      </c>
      <c r="T140" s="9" t="n">
        <v>312.45</v>
      </c>
      <c r="U140" s="9" t="n">
        <v>312.45</v>
      </c>
      <c r="V140" s="9" t="n">
        <v>312.45</v>
      </c>
      <c r="W140" s="9" t="n">
        <v>312.45</v>
      </c>
      <c r="X140" s="9" t="n">
        <v>312.45</v>
      </c>
      <c r="Y140" s="9" t="n">
        <v>312.45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574</v>
      </c>
      <c r="B141" s="3" t="s">
        <v>575</v>
      </c>
      <c r="C141" s="3" t="s">
        <v>246</v>
      </c>
      <c r="D141" s="3" t="s">
        <v>247</v>
      </c>
      <c r="E141" s="3" t="n">
        <v>2010</v>
      </c>
      <c r="F141" s="3" t="s">
        <v>62</v>
      </c>
      <c r="G141" s="3" t="s">
        <v>63</v>
      </c>
      <c r="H141" s="3" t="s">
        <v>576</v>
      </c>
      <c r="I141" s="3" t="s">
        <v>56</v>
      </c>
      <c r="J141" s="7" t="n">
        <v>1030000</v>
      </c>
      <c r="K141" s="3" t="s">
        <v>322</v>
      </c>
      <c r="L141" s="7" t="n">
        <v>11312.63</v>
      </c>
      <c r="M141" s="7" t="n">
        <v>1414.08</v>
      </c>
      <c r="N141" s="7" t="n">
        <v>1414.08</v>
      </c>
      <c r="O141" s="7" t="n">
        <v>8484.5</v>
      </c>
      <c r="P141" s="7" t="n">
        <v>848.45</v>
      </c>
      <c r="Q141" s="7" t="n">
        <v>848.45</v>
      </c>
      <c r="R141" s="7" t="n">
        <v>848.45</v>
      </c>
      <c r="S141" s="7" t="n">
        <v>848.45</v>
      </c>
      <c r="T141" s="7" t="n">
        <v>848.45</v>
      </c>
      <c r="U141" s="7" t="n">
        <v>848.45</v>
      </c>
      <c r="V141" s="7" t="n">
        <v>848.45</v>
      </c>
      <c r="W141" s="7" t="n">
        <v>848.45</v>
      </c>
      <c r="X141" s="7" t="n">
        <v>848.45</v>
      </c>
      <c r="Y141" s="7" t="n">
        <v>848.45</v>
      </c>
      <c r="Z141" s="7" t="n">
        <v>350</v>
      </c>
      <c r="AA141" s="7" t="n">
        <v>250</v>
      </c>
      <c r="AB141" s="7" t="n">
        <v>600</v>
      </c>
    </row>
    <row r="142" customFormat="false" ht="15" hidden="false" customHeight="false" outlineLevel="0" collapsed="false">
      <c r="A142" s="8" t="s">
        <v>577</v>
      </c>
      <c r="B142" s="8" t="s">
        <v>160</v>
      </c>
      <c r="C142" s="8" t="s">
        <v>145</v>
      </c>
      <c r="D142" s="8" t="s">
        <v>146</v>
      </c>
      <c r="E142" s="8" t="n">
        <v>2012</v>
      </c>
      <c r="F142" s="8" t="s">
        <v>44</v>
      </c>
      <c r="G142" s="8" t="s">
        <v>240</v>
      </c>
      <c r="H142" s="8" t="s">
        <v>578</v>
      </c>
      <c r="I142" s="8" t="s">
        <v>47</v>
      </c>
      <c r="J142" s="9" t="n">
        <v>780000</v>
      </c>
      <c r="K142" s="8" t="s">
        <v>213</v>
      </c>
      <c r="L142" s="9" t="n">
        <v>16217.82</v>
      </c>
      <c r="M142" s="9" t="n">
        <v>2027.23</v>
      </c>
      <c r="N142" s="9" t="n">
        <v>2027.23</v>
      </c>
      <c r="O142" s="9" t="n">
        <v>12163.4</v>
      </c>
      <c r="P142" s="9" t="n">
        <v>1216.34</v>
      </c>
      <c r="Q142" s="9" t="n">
        <v>1216.34</v>
      </c>
      <c r="R142" s="9" t="n">
        <v>1216.34</v>
      </c>
      <c r="S142" s="9" t="n">
        <v>1216.34</v>
      </c>
      <c r="T142" s="9" t="n">
        <v>1216.34</v>
      </c>
      <c r="U142" s="9" t="n">
        <v>1216.34</v>
      </c>
      <c r="V142" s="9" t="n">
        <v>1216.34</v>
      </c>
      <c r="W142" s="9" t="n">
        <v>1216.34</v>
      </c>
      <c r="X142" s="9" t="n">
        <v>1216.34</v>
      </c>
      <c r="Y142" s="9" t="n">
        <v>1216.34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579</v>
      </c>
      <c r="B143" s="3" t="s">
        <v>580</v>
      </c>
      <c r="C143" s="3" t="s">
        <v>261</v>
      </c>
      <c r="D143" s="3" t="s">
        <v>262</v>
      </c>
      <c r="E143" s="3" t="n">
        <v>1999</v>
      </c>
      <c r="F143" s="3" t="s">
        <v>53</v>
      </c>
      <c r="G143" s="3" t="s">
        <v>54</v>
      </c>
      <c r="H143" s="3" t="s">
        <v>581</v>
      </c>
      <c r="I143" s="3" t="s">
        <v>56</v>
      </c>
      <c r="J143" s="7" t="n">
        <v>450000</v>
      </c>
      <c r="K143" s="3" t="s">
        <v>158</v>
      </c>
      <c r="L143" s="7" t="n">
        <v>5337.81</v>
      </c>
      <c r="M143" s="7" t="n">
        <v>667.23</v>
      </c>
      <c r="N143" s="7" t="n">
        <v>667.23</v>
      </c>
      <c r="O143" s="7" t="n">
        <v>4003.4</v>
      </c>
      <c r="P143" s="7" t="n">
        <v>400.34</v>
      </c>
      <c r="Q143" s="7" t="n">
        <v>400.34</v>
      </c>
      <c r="R143" s="7" t="n">
        <v>400.34</v>
      </c>
      <c r="S143" s="7" t="n">
        <v>400.34</v>
      </c>
      <c r="T143" s="7" t="n">
        <v>400.34</v>
      </c>
      <c r="U143" s="7" t="n">
        <v>400.34</v>
      </c>
      <c r="V143" s="7" t="n">
        <v>400.34</v>
      </c>
      <c r="W143" s="7" t="n">
        <v>400.34</v>
      </c>
      <c r="X143" s="7" t="n">
        <v>400.34</v>
      </c>
      <c r="Y143" s="7" t="n">
        <v>400.34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582</v>
      </c>
      <c r="B144" s="8" t="s">
        <v>271</v>
      </c>
      <c r="C144" s="8" t="s">
        <v>304</v>
      </c>
      <c r="D144" s="8" t="s">
        <v>305</v>
      </c>
      <c r="E144" s="8" t="n">
        <v>1995</v>
      </c>
      <c r="F144" s="8" t="s">
        <v>122</v>
      </c>
      <c r="G144" s="8" t="s">
        <v>123</v>
      </c>
      <c r="H144" s="8" t="s">
        <v>583</v>
      </c>
      <c r="I144" s="8" t="s">
        <v>56</v>
      </c>
      <c r="J144" s="9" t="n">
        <v>765000</v>
      </c>
      <c r="K144" s="8" t="s">
        <v>275</v>
      </c>
      <c r="L144" s="9" t="n">
        <v>9135.38</v>
      </c>
      <c r="M144" s="9" t="n">
        <v>1141.92</v>
      </c>
      <c r="N144" s="9" t="n">
        <v>1141.92</v>
      </c>
      <c r="O144" s="9" t="n">
        <v>6851.5</v>
      </c>
      <c r="P144" s="9" t="n">
        <v>685.15</v>
      </c>
      <c r="Q144" s="9" t="n">
        <v>685.15</v>
      </c>
      <c r="R144" s="9" t="n">
        <v>685.15</v>
      </c>
      <c r="S144" s="9" t="n">
        <v>685.15</v>
      </c>
      <c r="T144" s="9" t="n">
        <v>685.15</v>
      </c>
      <c r="U144" s="9" t="n">
        <v>685.15</v>
      </c>
      <c r="V144" s="9" t="n">
        <v>685.15</v>
      </c>
      <c r="W144" s="9" t="n">
        <v>685.15</v>
      </c>
      <c r="X144" s="9" t="n">
        <v>685.15</v>
      </c>
      <c r="Y144" s="9" t="n">
        <v>685.15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584</v>
      </c>
      <c r="B145" s="3" t="s">
        <v>585</v>
      </c>
      <c r="C145" s="3" t="s">
        <v>114</v>
      </c>
      <c r="D145" s="3" t="s">
        <v>115</v>
      </c>
      <c r="E145" s="3" t="n">
        <v>1988</v>
      </c>
      <c r="F145" s="3" t="s">
        <v>155</v>
      </c>
      <c r="G145" s="3" t="s">
        <v>156</v>
      </c>
      <c r="H145" s="3" t="s">
        <v>586</v>
      </c>
      <c r="I145" s="3" t="s">
        <v>78</v>
      </c>
      <c r="J145" s="7" t="n">
        <v>455000</v>
      </c>
      <c r="K145" s="3" t="s">
        <v>587</v>
      </c>
      <c r="L145" s="7" t="n">
        <v>3907.73</v>
      </c>
      <c r="M145" s="7" t="n">
        <v>488.47</v>
      </c>
      <c r="N145" s="7" t="n">
        <v>488.47</v>
      </c>
      <c r="O145" s="7" t="n">
        <v>2930.8</v>
      </c>
      <c r="P145" s="7" t="n">
        <v>293.08</v>
      </c>
      <c r="Q145" s="7" t="n">
        <v>293.08</v>
      </c>
      <c r="R145" s="7" t="n">
        <v>293.08</v>
      </c>
      <c r="S145" s="7" t="n">
        <v>293.08</v>
      </c>
      <c r="T145" s="7" t="n">
        <v>293.08</v>
      </c>
      <c r="U145" s="7" t="n">
        <v>293.08</v>
      </c>
      <c r="V145" s="7" t="n">
        <v>293.08</v>
      </c>
      <c r="W145" s="7" t="n">
        <v>293.08</v>
      </c>
      <c r="X145" s="7" t="n">
        <v>293.08</v>
      </c>
      <c r="Y145" s="7" t="n">
        <v>293.08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588</v>
      </c>
      <c r="B146" s="8" t="s">
        <v>589</v>
      </c>
      <c r="C146" s="8" t="s">
        <v>101</v>
      </c>
      <c r="D146" s="8" t="s">
        <v>102</v>
      </c>
      <c r="E146" s="8" t="n">
        <v>2007</v>
      </c>
      <c r="F146" s="8" t="s">
        <v>122</v>
      </c>
      <c r="G146" s="8" t="s">
        <v>123</v>
      </c>
      <c r="H146" s="8" t="s">
        <v>590</v>
      </c>
      <c r="I146" s="8" t="s">
        <v>56</v>
      </c>
      <c r="J146" s="9" t="n">
        <v>485000</v>
      </c>
      <c r="K146" s="8" t="s">
        <v>232</v>
      </c>
      <c r="L146" s="9" t="n">
        <v>6392.19</v>
      </c>
      <c r="M146" s="9" t="n">
        <v>799.02</v>
      </c>
      <c r="N146" s="9" t="n">
        <v>799.02</v>
      </c>
      <c r="O146" s="9" t="n">
        <v>4794.1</v>
      </c>
      <c r="P146" s="9" t="n">
        <v>479.41</v>
      </c>
      <c r="Q146" s="9" t="n">
        <v>479.41</v>
      </c>
      <c r="R146" s="9" t="n">
        <v>479.41</v>
      </c>
      <c r="S146" s="9" t="n">
        <v>479.41</v>
      </c>
      <c r="T146" s="9" t="n">
        <v>479.41</v>
      </c>
      <c r="U146" s="9" t="n">
        <v>479.41</v>
      </c>
      <c r="V146" s="9" t="n">
        <v>479.41</v>
      </c>
      <c r="W146" s="9" t="n">
        <v>479.41</v>
      </c>
      <c r="X146" s="9" t="n">
        <v>479.41</v>
      </c>
      <c r="Y146" s="9" t="n">
        <v>479.41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591</v>
      </c>
      <c r="B147" s="3" t="s">
        <v>376</v>
      </c>
      <c r="C147" s="3" t="s">
        <v>272</v>
      </c>
      <c r="D147" s="3" t="s">
        <v>273</v>
      </c>
      <c r="E147" s="3" t="n">
        <v>2016</v>
      </c>
      <c r="F147" s="3" t="s">
        <v>44</v>
      </c>
      <c r="G147" s="3" t="s">
        <v>240</v>
      </c>
      <c r="H147" s="3" t="s">
        <v>592</v>
      </c>
      <c r="I147" s="3" t="s">
        <v>47</v>
      </c>
      <c r="J147" s="7" t="n">
        <v>695000</v>
      </c>
      <c r="K147" s="3" t="s">
        <v>136</v>
      </c>
      <c r="L147" s="7" t="n">
        <v>16349.1</v>
      </c>
      <c r="M147" s="7" t="n">
        <v>2043.64</v>
      </c>
      <c r="N147" s="7" t="n">
        <v>2043.64</v>
      </c>
      <c r="O147" s="7" t="n">
        <v>12261.8</v>
      </c>
      <c r="P147" s="7" t="n">
        <v>1226.18</v>
      </c>
      <c r="Q147" s="7" t="n">
        <v>1226.18</v>
      </c>
      <c r="R147" s="7" t="n">
        <v>1226.18</v>
      </c>
      <c r="S147" s="7" t="n">
        <v>1226.18</v>
      </c>
      <c r="T147" s="7" t="n">
        <v>1226.18</v>
      </c>
      <c r="U147" s="7" t="n">
        <v>1226.18</v>
      </c>
      <c r="V147" s="7" t="n">
        <v>1226.18</v>
      </c>
      <c r="W147" s="7" t="n">
        <v>1226.18</v>
      </c>
      <c r="X147" s="7" t="n">
        <v>1226.18</v>
      </c>
      <c r="Y147" s="7" t="n">
        <v>1226.18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593</v>
      </c>
      <c r="B148" s="8" t="s">
        <v>303</v>
      </c>
      <c r="C148" s="8" t="s">
        <v>238</v>
      </c>
      <c r="D148" s="8" t="s">
        <v>239</v>
      </c>
      <c r="E148" s="8" t="n">
        <v>1974</v>
      </c>
      <c r="F148" s="8" t="s">
        <v>155</v>
      </c>
      <c r="G148" s="8" t="s">
        <v>191</v>
      </c>
      <c r="H148" s="8" t="s">
        <v>594</v>
      </c>
      <c r="I148" s="8" t="s">
        <v>56</v>
      </c>
      <c r="J148" s="9" t="n">
        <v>1360000</v>
      </c>
      <c r="K148" s="8" t="s">
        <v>301</v>
      </c>
      <c r="L148" s="9" t="n">
        <v>10874.19</v>
      </c>
      <c r="M148" s="9" t="n">
        <v>1359.27</v>
      </c>
      <c r="N148" s="9" t="n">
        <v>1359.27</v>
      </c>
      <c r="O148" s="9" t="n">
        <v>8155.6</v>
      </c>
      <c r="P148" s="9" t="n">
        <v>815.56</v>
      </c>
      <c r="Q148" s="9" t="n">
        <v>815.56</v>
      </c>
      <c r="R148" s="9" t="n">
        <v>815.56</v>
      </c>
      <c r="S148" s="9" t="n">
        <v>815.56</v>
      </c>
      <c r="T148" s="9" t="n">
        <v>815.56</v>
      </c>
      <c r="U148" s="9" t="n">
        <v>815.56</v>
      </c>
      <c r="V148" s="9" t="n">
        <v>815.56</v>
      </c>
      <c r="W148" s="9" t="n">
        <v>815.56</v>
      </c>
      <c r="X148" s="9" t="n">
        <v>815.56</v>
      </c>
      <c r="Y148" s="9" t="n">
        <v>815.56</v>
      </c>
      <c r="Z148" s="9" t="n">
        <v>350</v>
      </c>
      <c r="AA148" s="9" t="n">
        <v>250</v>
      </c>
      <c r="AB148" s="9" t="n">
        <v>600</v>
      </c>
    </row>
    <row r="149" customFormat="false" ht="15" hidden="false" customHeight="false" outlineLevel="0" collapsed="false">
      <c r="A149" s="3" t="s">
        <v>595</v>
      </c>
      <c r="B149" s="3" t="s">
        <v>596</v>
      </c>
      <c r="C149" s="3" t="s">
        <v>261</v>
      </c>
      <c r="D149" s="3" t="s">
        <v>262</v>
      </c>
      <c r="E149" s="3" t="n">
        <v>2007</v>
      </c>
      <c r="F149" s="3" t="s">
        <v>44</v>
      </c>
      <c r="G149" s="3" t="s">
        <v>45</v>
      </c>
      <c r="H149" s="3" t="s">
        <v>597</v>
      </c>
      <c r="I149" s="3" t="s">
        <v>47</v>
      </c>
      <c r="J149" s="7" t="n">
        <v>290000</v>
      </c>
      <c r="K149" s="3" t="s">
        <v>125</v>
      </c>
      <c r="L149" s="7" t="n">
        <v>7245.84</v>
      </c>
      <c r="M149" s="7" t="n">
        <v>905.73</v>
      </c>
      <c r="N149" s="7" t="n">
        <v>905.73</v>
      </c>
      <c r="O149" s="7" t="n">
        <v>5434.4</v>
      </c>
      <c r="P149" s="7" t="n">
        <v>543.44</v>
      </c>
      <c r="Q149" s="7" t="n">
        <v>543.44</v>
      </c>
      <c r="R149" s="7" t="n">
        <v>543.44</v>
      </c>
      <c r="S149" s="7" t="n">
        <v>543.44</v>
      </c>
      <c r="T149" s="7" t="n">
        <v>543.44</v>
      </c>
      <c r="U149" s="7" t="n">
        <v>543.44</v>
      </c>
      <c r="V149" s="7" t="n">
        <v>543.44</v>
      </c>
      <c r="W149" s="7" t="n">
        <v>543.44</v>
      </c>
      <c r="X149" s="7" t="n">
        <v>543.44</v>
      </c>
      <c r="Y149" s="7" t="n">
        <v>543.44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598</v>
      </c>
      <c r="B150" s="8" t="s">
        <v>523</v>
      </c>
      <c r="C150" s="8" t="s">
        <v>42</v>
      </c>
      <c r="D150" s="8" t="s">
        <v>43</v>
      </c>
      <c r="E150" s="8" t="n">
        <v>2011</v>
      </c>
      <c r="F150" s="8" t="s">
        <v>83</v>
      </c>
      <c r="G150" s="8" t="s">
        <v>84</v>
      </c>
      <c r="H150" s="8" t="s">
        <v>599</v>
      </c>
      <c r="I150" s="8" t="s">
        <v>56</v>
      </c>
      <c r="J150" s="9" t="n">
        <v>235000</v>
      </c>
      <c r="K150" s="8" t="s">
        <v>543</v>
      </c>
      <c r="L150" s="9" t="n">
        <v>4490.07</v>
      </c>
      <c r="M150" s="9" t="n">
        <v>561.26</v>
      </c>
      <c r="N150" s="9" t="n">
        <v>561.26</v>
      </c>
      <c r="O150" s="9" t="n">
        <v>3367.6</v>
      </c>
      <c r="P150" s="9" t="n">
        <v>336.76</v>
      </c>
      <c r="Q150" s="9" t="n">
        <v>336.76</v>
      </c>
      <c r="R150" s="9" t="n">
        <v>336.76</v>
      </c>
      <c r="S150" s="9" t="n">
        <v>336.76</v>
      </c>
      <c r="T150" s="9" t="n">
        <v>336.76</v>
      </c>
      <c r="U150" s="9" t="n">
        <v>336.76</v>
      </c>
      <c r="V150" s="9" t="n">
        <v>336.76</v>
      </c>
      <c r="W150" s="9" t="n">
        <v>336.76</v>
      </c>
      <c r="X150" s="9" t="n">
        <v>336.76</v>
      </c>
      <c r="Y150" s="9" t="n">
        <v>336.76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600</v>
      </c>
      <c r="B151" s="3" t="s">
        <v>601</v>
      </c>
      <c r="C151" s="3" t="s">
        <v>114</v>
      </c>
      <c r="D151" s="3" t="s">
        <v>115</v>
      </c>
      <c r="E151" s="3" t="n">
        <v>1990</v>
      </c>
      <c r="F151" s="3" t="s">
        <v>107</v>
      </c>
      <c r="G151" s="3" t="s">
        <v>134</v>
      </c>
      <c r="H151" s="3" t="s">
        <v>602</v>
      </c>
      <c r="I151" s="3" t="s">
        <v>56</v>
      </c>
      <c r="J151" s="7" t="n">
        <v>530000</v>
      </c>
      <c r="K151" s="3" t="s">
        <v>186</v>
      </c>
      <c r="L151" s="7" t="n">
        <v>7429.79</v>
      </c>
      <c r="M151" s="7" t="n">
        <v>928.72</v>
      </c>
      <c r="N151" s="7" t="n">
        <v>928.72</v>
      </c>
      <c r="O151" s="7" t="n">
        <v>5572.3</v>
      </c>
      <c r="P151" s="7" t="n">
        <v>557.23</v>
      </c>
      <c r="Q151" s="7" t="n">
        <v>557.23</v>
      </c>
      <c r="R151" s="7" t="n">
        <v>557.23</v>
      </c>
      <c r="S151" s="7" t="n">
        <v>557.23</v>
      </c>
      <c r="T151" s="7" t="n">
        <v>557.23</v>
      </c>
      <c r="U151" s="7" t="n">
        <v>557.23</v>
      </c>
      <c r="V151" s="7" t="n">
        <v>557.23</v>
      </c>
      <c r="W151" s="7" t="n">
        <v>557.23</v>
      </c>
      <c r="X151" s="7" t="n">
        <v>557.23</v>
      </c>
      <c r="Y151" s="7" t="n">
        <v>557.23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603</v>
      </c>
      <c r="B152" s="8" t="s">
        <v>604</v>
      </c>
      <c r="C152" s="8" t="s">
        <v>51</v>
      </c>
      <c r="D152" s="8" t="s">
        <v>52</v>
      </c>
      <c r="E152" s="8" t="n">
        <v>1965</v>
      </c>
      <c r="F152" s="8" t="s">
        <v>44</v>
      </c>
      <c r="G152" s="8" t="s">
        <v>240</v>
      </c>
      <c r="H152" s="8" t="s">
        <v>605</v>
      </c>
      <c r="I152" s="8" t="s">
        <v>47</v>
      </c>
      <c r="J152" s="9" t="n">
        <v>840000</v>
      </c>
      <c r="K152" s="8" t="s">
        <v>519</v>
      </c>
      <c r="L152" s="9" t="n">
        <v>14023.27</v>
      </c>
      <c r="M152" s="9" t="n">
        <v>1752.91</v>
      </c>
      <c r="N152" s="9" t="n">
        <v>1752.91</v>
      </c>
      <c r="O152" s="9" t="n">
        <v>10517.5</v>
      </c>
      <c r="P152" s="9" t="n">
        <v>1051.75</v>
      </c>
      <c r="Q152" s="9" t="n">
        <v>1051.75</v>
      </c>
      <c r="R152" s="9" t="n">
        <v>1051.75</v>
      </c>
      <c r="S152" s="9" t="n">
        <v>1051.75</v>
      </c>
      <c r="T152" s="9" t="n">
        <v>1051.75</v>
      </c>
      <c r="U152" s="9" t="n">
        <v>1051.75</v>
      </c>
      <c r="V152" s="9" t="n">
        <v>1051.75</v>
      </c>
      <c r="W152" s="9" t="n">
        <v>1051.75</v>
      </c>
      <c r="X152" s="9" t="n">
        <v>1051.75</v>
      </c>
      <c r="Y152" s="9" t="n">
        <v>1051.75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606</v>
      </c>
      <c r="B153" s="3" t="s">
        <v>607</v>
      </c>
      <c r="C153" s="3" t="s">
        <v>145</v>
      </c>
      <c r="D153" s="3" t="s">
        <v>146</v>
      </c>
      <c r="E153" s="3" t="n">
        <v>1974</v>
      </c>
      <c r="F153" s="3" t="s">
        <v>225</v>
      </c>
      <c r="G153" s="3" t="s">
        <v>226</v>
      </c>
      <c r="H153" s="3" t="s">
        <v>608</v>
      </c>
      <c r="I153" s="3" t="s">
        <v>78</v>
      </c>
      <c r="J153" s="7" t="n">
        <v>300000</v>
      </c>
      <c r="K153" s="3" t="s">
        <v>57</v>
      </c>
      <c r="L153" s="7" t="n">
        <v>2921.6</v>
      </c>
      <c r="M153" s="7" t="n">
        <v>365.2</v>
      </c>
      <c r="N153" s="7" t="n">
        <v>365.2</v>
      </c>
      <c r="O153" s="7" t="n">
        <v>2191.2</v>
      </c>
      <c r="P153" s="7" t="n">
        <v>219.12</v>
      </c>
      <c r="Q153" s="7" t="n">
        <v>219.12</v>
      </c>
      <c r="R153" s="7" t="n">
        <v>219.12</v>
      </c>
      <c r="S153" s="7" t="n">
        <v>219.12</v>
      </c>
      <c r="T153" s="7" t="n">
        <v>219.12</v>
      </c>
      <c r="U153" s="7" t="n">
        <v>219.12</v>
      </c>
      <c r="V153" s="7" t="n">
        <v>219.12</v>
      </c>
      <c r="W153" s="7" t="n">
        <v>219.12</v>
      </c>
      <c r="X153" s="7" t="n">
        <v>219.12</v>
      </c>
      <c r="Y153" s="7" t="n">
        <v>219.12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609</v>
      </c>
      <c r="B154" s="8" t="s">
        <v>610</v>
      </c>
      <c r="C154" s="8" t="s">
        <v>238</v>
      </c>
      <c r="D154" s="8" t="s">
        <v>239</v>
      </c>
      <c r="E154" s="8" t="n">
        <v>1977</v>
      </c>
      <c r="F154" s="8" t="s">
        <v>53</v>
      </c>
      <c r="G154" s="8" t="s">
        <v>54</v>
      </c>
      <c r="H154" s="8" t="s">
        <v>611</v>
      </c>
      <c r="I154" s="8" t="s">
        <v>56</v>
      </c>
      <c r="J154" s="9" t="n">
        <v>475000</v>
      </c>
      <c r="K154" s="8" t="s">
        <v>264</v>
      </c>
      <c r="L154" s="9" t="n">
        <v>6829.52</v>
      </c>
      <c r="M154" s="9" t="n">
        <v>853.69</v>
      </c>
      <c r="N154" s="9" t="n">
        <v>853.69</v>
      </c>
      <c r="O154" s="9" t="n">
        <v>5122.1</v>
      </c>
      <c r="P154" s="9" t="n">
        <v>512.21</v>
      </c>
      <c r="Q154" s="9" t="n">
        <v>512.21</v>
      </c>
      <c r="R154" s="9" t="n">
        <v>512.21</v>
      </c>
      <c r="S154" s="9" t="n">
        <v>512.21</v>
      </c>
      <c r="T154" s="9" t="n">
        <v>512.21</v>
      </c>
      <c r="U154" s="9" t="n">
        <v>512.21</v>
      </c>
      <c r="V154" s="9" t="n">
        <v>512.21</v>
      </c>
      <c r="W154" s="9" t="n">
        <v>512.21</v>
      </c>
      <c r="X154" s="9" t="n">
        <v>512.21</v>
      </c>
      <c r="Y154" s="9" t="n">
        <v>512.21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612</v>
      </c>
      <c r="B155" s="3" t="s">
        <v>613</v>
      </c>
      <c r="C155" s="3" t="s">
        <v>93</v>
      </c>
      <c r="D155" s="3" t="s">
        <v>94</v>
      </c>
      <c r="E155" s="3" t="n">
        <v>1975</v>
      </c>
      <c r="F155" s="3" t="s">
        <v>62</v>
      </c>
      <c r="G155" s="3" t="s">
        <v>63</v>
      </c>
      <c r="H155" s="3" t="s">
        <v>614</v>
      </c>
      <c r="I155" s="3" t="s">
        <v>56</v>
      </c>
      <c r="J155" s="7" t="n">
        <v>740000</v>
      </c>
      <c r="K155" s="3" t="s">
        <v>131</v>
      </c>
      <c r="L155" s="7" t="n">
        <v>9989.46</v>
      </c>
      <c r="M155" s="7" t="n">
        <v>1248.68</v>
      </c>
      <c r="N155" s="7" t="n">
        <v>1248.68</v>
      </c>
      <c r="O155" s="7" t="n">
        <v>7492.1</v>
      </c>
      <c r="P155" s="7" t="n">
        <v>749.21</v>
      </c>
      <c r="Q155" s="7" t="n">
        <v>749.21</v>
      </c>
      <c r="R155" s="7" t="n">
        <v>749.21</v>
      </c>
      <c r="S155" s="7" t="n">
        <v>749.21</v>
      </c>
      <c r="T155" s="7" t="n">
        <v>749.21</v>
      </c>
      <c r="U155" s="7" t="n">
        <v>749.21</v>
      </c>
      <c r="V155" s="7" t="n">
        <v>749.21</v>
      </c>
      <c r="W155" s="7" t="n">
        <v>749.21</v>
      </c>
      <c r="X155" s="7" t="n">
        <v>749.21</v>
      </c>
      <c r="Y155" s="7" t="n">
        <v>749.21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615</v>
      </c>
      <c r="B156" s="8" t="s">
        <v>616</v>
      </c>
      <c r="C156" s="8" t="s">
        <v>183</v>
      </c>
      <c r="D156" s="8" t="s">
        <v>184</v>
      </c>
      <c r="E156" s="8" t="n">
        <v>1956</v>
      </c>
      <c r="F156" s="8" t="s">
        <v>155</v>
      </c>
      <c r="G156" s="8" t="s">
        <v>191</v>
      </c>
      <c r="H156" s="8" t="s">
        <v>617</v>
      </c>
      <c r="I156" s="8" t="s">
        <v>56</v>
      </c>
      <c r="J156" s="9" t="n">
        <v>270000</v>
      </c>
      <c r="K156" s="8" t="s">
        <v>142</v>
      </c>
      <c r="L156" s="9" t="n">
        <v>4593.75</v>
      </c>
      <c r="M156" s="9" t="n">
        <v>574.22</v>
      </c>
      <c r="N156" s="9" t="n">
        <v>574.22</v>
      </c>
      <c r="O156" s="9" t="n">
        <v>3445.3</v>
      </c>
      <c r="P156" s="9" t="n">
        <v>344.53</v>
      </c>
      <c r="Q156" s="9" t="n">
        <v>344.53</v>
      </c>
      <c r="R156" s="9" t="n">
        <v>344.53</v>
      </c>
      <c r="S156" s="9" t="n">
        <v>344.53</v>
      </c>
      <c r="T156" s="9" t="n">
        <v>344.53</v>
      </c>
      <c r="U156" s="9" t="n">
        <v>344.53</v>
      </c>
      <c r="V156" s="9" t="n">
        <v>344.53</v>
      </c>
      <c r="W156" s="9" t="n">
        <v>344.53</v>
      </c>
      <c r="X156" s="9" t="n">
        <v>344.53</v>
      </c>
      <c r="Y156" s="9" t="n">
        <v>344.53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618</v>
      </c>
      <c r="B157" s="3" t="s">
        <v>619</v>
      </c>
      <c r="C157" s="3" t="s">
        <v>114</v>
      </c>
      <c r="D157" s="3" t="s">
        <v>115</v>
      </c>
      <c r="E157" s="3" t="n">
        <v>1979</v>
      </c>
      <c r="F157" s="3" t="s">
        <v>122</v>
      </c>
      <c r="G157" s="3" t="s">
        <v>123</v>
      </c>
      <c r="H157" s="3" t="s">
        <v>620</v>
      </c>
      <c r="I157" s="3" t="s">
        <v>56</v>
      </c>
      <c r="J157" s="7" t="n">
        <v>1015000</v>
      </c>
      <c r="K157" s="3" t="s">
        <v>316</v>
      </c>
      <c r="L157" s="7" t="n">
        <v>9631.77</v>
      </c>
      <c r="M157" s="7" t="n">
        <v>1203.97</v>
      </c>
      <c r="N157" s="7" t="n">
        <v>1203.97</v>
      </c>
      <c r="O157" s="7" t="n">
        <v>7223.8</v>
      </c>
      <c r="P157" s="7" t="n">
        <v>722.38</v>
      </c>
      <c r="Q157" s="7" t="n">
        <v>722.38</v>
      </c>
      <c r="R157" s="7" t="n">
        <v>722.38</v>
      </c>
      <c r="S157" s="7" t="n">
        <v>722.38</v>
      </c>
      <c r="T157" s="7" t="n">
        <v>722.38</v>
      </c>
      <c r="U157" s="7" t="n">
        <v>722.38</v>
      </c>
      <c r="V157" s="7" t="n">
        <v>722.38</v>
      </c>
      <c r="W157" s="7" t="n">
        <v>722.38</v>
      </c>
      <c r="X157" s="7" t="n">
        <v>722.38</v>
      </c>
      <c r="Y157" s="7" t="n">
        <v>722.38</v>
      </c>
      <c r="Z157" s="7" t="n">
        <v>350</v>
      </c>
      <c r="AA157" s="7" t="n">
        <v>250</v>
      </c>
      <c r="AB157" s="7" t="n">
        <v>600</v>
      </c>
    </row>
    <row r="158" customFormat="false" ht="15" hidden="false" customHeight="false" outlineLevel="0" collapsed="false">
      <c r="A158" s="8" t="s">
        <v>621</v>
      </c>
      <c r="B158" s="8" t="s">
        <v>622</v>
      </c>
      <c r="C158" s="8" t="s">
        <v>139</v>
      </c>
      <c r="D158" s="8" t="s">
        <v>140</v>
      </c>
      <c r="E158" s="8" t="n">
        <v>2002</v>
      </c>
      <c r="F158" s="8" t="s">
        <v>44</v>
      </c>
      <c r="G158" s="8" t="s">
        <v>76</v>
      </c>
      <c r="H158" s="8" t="s">
        <v>623</v>
      </c>
      <c r="I158" s="8" t="s">
        <v>78</v>
      </c>
      <c r="J158" s="9" t="n">
        <v>785000</v>
      </c>
      <c r="K158" s="8" t="s">
        <v>275</v>
      </c>
      <c r="L158" s="9" t="n">
        <v>6201.4</v>
      </c>
      <c r="M158" s="9" t="n">
        <v>775.17</v>
      </c>
      <c r="N158" s="9" t="n">
        <v>775.17</v>
      </c>
      <c r="O158" s="9" t="n">
        <v>4651</v>
      </c>
      <c r="P158" s="9" t="n">
        <v>465.1</v>
      </c>
      <c r="Q158" s="9" t="n">
        <v>465.1</v>
      </c>
      <c r="R158" s="9" t="n">
        <v>465.1</v>
      </c>
      <c r="S158" s="9" t="n">
        <v>465.1</v>
      </c>
      <c r="T158" s="9" t="n">
        <v>465.1</v>
      </c>
      <c r="U158" s="9" t="n">
        <v>465.1</v>
      </c>
      <c r="V158" s="9" t="n">
        <v>465.1</v>
      </c>
      <c r="W158" s="9" t="n">
        <v>465.1</v>
      </c>
      <c r="X158" s="9" t="n">
        <v>465.1</v>
      </c>
      <c r="Y158" s="9" t="n">
        <v>465.1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624</v>
      </c>
      <c r="B159" s="3" t="s">
        <v>625</v>
      </c>
      <c r="C159" s="3" t="s">
        <v>267</v>
      </c>
      <c r="D159" s="3" t="s">
        <v>268</v>
      </c>
      <c r="E159" s="3" t="n">
        <v>1984</v>
      </c>
      <c r="F159" s="3" t="s">
        <v>210</v>
      </c>
      <c r="G159" s="3" t="s">
        <v>211</v>
      </c>
      <c r="H159" s="3" t="s">
        <v>626</v>
      </c>
      <c r="I159" s="3" t="s">
        <v>119</v>
      </c>
      <c r="J159" s="7" t="n">
        <v>300000</v>
      </c>
      <c r="K159" s="3" t="s">
        <v>98</v>
      </c>
      <c r="L159" s="7" t="n">
        <v>5271.91</v>
      </c>
      <c r="M159" s="7" t="n">
        <v>658.99</v>
      </c>
      <c r="N159" s="7" t="n">
        <v>658.99</v>
      </c>
      <c r="O159" s="7" t="n">
        <v>3953.9</v>
      </c>
      <c r="P159" s="7" t="n">
        <v>395.39</v>
      </c>
      <c r="Q159" s="7" t="n">
        <v>395.39</v>
      </c>
      <c r="R159" s="7" t="n">
        <v>395.39</v>
      </c>
      <c r="S159" s="7" t="n">
        <v>395.39</v>
      </c>
      <c r="T159" s="7" t="n">
        <v>395.39</v>
      </c>
      <c r="U159" s="7" t="n">
        <v>395.39</v>
      </c>
      <c r="V159" s="7" t="n">
        <v>395.39</v>
      </c>
      <c r="W159" s="7" t="n">
        <v>395.39</v>
      </c>
      <c r="X159" s="7" t="n">
        <v>395.39</v>
      </c>
      <c r="Y159" s="7" t="n">
        <v>395.39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627</v>
      </c>
      <c r="B160" s="8" t="s">
        <v>554</v>
      </c>
      <c r="C160" s="8" t="s">
        <v>219</v>
      </c>
      <c r="D160" s="8" t="s">
        <v>220</v>
      </c>
      <c r="E160" s="8" t="n">
        <v>2001</v>
      </c>
      <c r="F160" s="8" t="s">
        <v>95</v>
      </c>
      <c r="G160" s="8" t="s">
        <v>96</v>
      </c>
      <c r="H160" s="8" t="s">
        <v>628</v>
      </c>
      <c r="I160" s="8" t="s">
        <v>47</v>
      </c>
      <c r="J160" s="9" t="n">
        <v>230000</v>
      </c>
      <c r="K160" s="8" t="s">
        <v>131</v>
      </c>
      <c r="L160" s="9" t="n">
        <v>6782.86</v>
      </c>
      <c r="M160" s="9" t="n">
        <v>847.86</v>
      </c>
      <c r="N160" s="9" t="n">
        <v>847.86</v>
      </c>
      <c r="O160" s="9" t="n">
        <v>5087.1</v>
      </c>
      <c r="P160" s="9" t="n">
        <v>508.71</v>
      </c>
      <c r="Q160" s="9" t="n">
        <v>508.71</v>
      </c>
      <c r="R160" s="9" t="n">
        <v>508.71</v>
      </c>
      <c r="S160" s="9" t="n">
        <v>508.71</v>
      </c>
      <c r="T160" s="9" t="n">
        <v>508.71</v>
      </c>
      <c r="U160" s="9" t="n">
        <v>508.71</v>
      </c>
      <c r="V160" s="9" t="n">
        <v>508.71</v>
      </c>
      <c r="W160" s="9" t="n">
        <v>508.71</v>
      </c>
      <c r="X160" s="9" t="n">
        <v>508.71</v>
      </c>
      <c r="Y160" s="9" t="n">
        <v>508.71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629</v>
      </c>
      <c r="B161" s="3" t="s">
        <v>630</v>
      </c>
      <c r="C161" s="3" t="s">
        <v>272</v>
      </c>
      <c r="D161" s="3" t="s">
        <v>273</v>
      </c>
      <c r="E161" s="3" t="n">
        <v>2016</v>
      </c>
      <c r="F161" s="3" t="s">
        <v>107</v>
      </c>
      <c r="G161" s="3" t="s">
        <v>134</v>
      </c>
      <c r="H161" s="3" t="s">
        <v>631</v>
      </c>
      <c r="I161" s="3" t="s">
        <v>56</v>
      </c>
      <c r="J161" s="7" t="n">
        <v>1070000</v>
      </c>
      <c r="K161" s="3" t="s">
        <v>71</v>
      </c>
      <c r="L161" s="7" t="n">
        <v>9401.56</v>
      </c>
      <c r="M161" s="7" t="n">
        <v>1175.19</v>
      </c>
      <c r="N161" s="7" t="n">
        <v>1175.19</v>
      </c>
      <c r="O161" s="7" t="n">
        <v>7051.2</v>
      </c>
      <c r="P161" s="7" t="n">
        <v>705.12</v>
      </c>
      <c r="Q161" s="7" t="n">
        <v>705.12</v>
      </c>
      <c r="R161" s="7" t="n">
        <v>705.12</v>
      </c>
      <c r="S161" s="7" t="n">
        <v>705.12</v>
      </c>
      <c r="T161" s="7" t="n">
        <v>705.12</v>
      </c>
      <c r="U161" s="7" t="n">
        <v>705.12</v>
      </c>
      <c r="V161" s="7" t="n">
        <v>705.12</v>
      </c>
      <c r="W161" s="7" t="n">
        <v>705.12</v>
      </c>
      <c r="X161" s="7" t="n">
        <v>705.12</v>
      </c>
      <c r="Y161" s="7" t="n">
        <v>705.12</v>
      </c>
      <c r="Z161" s="7" t="n">
        <v>350</v>
      </c>
      <c r="AA161" s="7" t="n">
        <v>250</v>
      </c>
      <c r="AB161" s="7" t="n">
        <v>600</v>
      </c>
    </row>
    <row r="162" customFormat="false" ht="15" hidden="false" customHeight="false" outlineLevel="0" collapsed="false">
      <c r="A162" s="8" t="s">
        <v>632</v>
      </c>
      <c r="B162" s="8" t="s">
        <v>438</v>
      </c>
      <c r="C162" s="8" t="s">
        <v>261</v>
      </c>
      <c r="D162" s="8" t="s">
        <v>262</v>
      </c>
      <c r="E162" s="8" t="n">
        <v>1984</v>
      </c>
      <c r="F162" s="8" t="s">
        <v>53</v>
      </c>
      <c r="G162" s="8" t="s">
        <v>54</v>
      </c>
      <c r="H162" s="8" t="s">
        <v>633</v>
      </c>
      <c r="I162" s="8" t="s">
        <v>56</v>
      </c>
      <c r="J162" s="9" t="n">
        <v>960000</v>
      </c>
      <c r="K162" s="8" t="s">
        <v>86</v>
      </c>
      <c r="L162" s="9" t="n">
        <v>13457.74</v>
      </c>
      <c r="M162" s="9" t="n">
        <v>1682.22</v>
      </c>
      <c r="N162" s="9" t="n">
        <v>1682.22</v>
      </c>
      <c r="O162" s="9" t="n">
        <v>10093.3</v>
      </c>
      <c r="P162" s="9" t="n">
        <v>1009.33</v>
      </c>
      <c r="Q162" s="9" t="n">
        <v>1009.33</v>
      </c>
      <c r="R162" s="9" t="n">
        <v>1009.33</v>
      </c>
      <c r="S162" s="9" t="n">
        <v>1009.33</v>
      </c>
      <c r="T162" s="9" t="n">
        <v>1009.33</v>
      </c>
      <c r="U162" s="9" t="n">
        <v>1009.33</v>
      </c>
      <c r="V162" s="9" t="n">
        <v>1009.33</v>
      </c>
      <c r="W162" s="9" t="n">
        <v>1009.33</v>
      </c>
      <c r="X162" s="9" t="n">
        <v>1009.33</v>
      </c>
      <c r="Y162" s="9" t="n">
        <v>1009.33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634</v>
      </c>
      <c r="B163" s="3" t="s">
        <v>635</v>
      </c>
      <c r="C163" s="3" t="s">
        <v>219</v>
      </c>
      <c r="D163" s="3" t="s">
        <v>220</v>
      </c>
      <c r="E163" s="3" t="n">
        <v>1979</v>
      </c>
      <c r="F163" s="3" t="s">
        <v>83</v>
      </c>
      <c r="G163" s="3" t="s">
        <v>84</v>
      </c>
      <c r="H163" s="3" t="s">
        <v>636</v>
      </c>
      <c r="I163" s="3" t="s">
        <v>56</v>
      </c>
      <c r="J163" s="7" t="n">
        <v>1300000</v>
      </c>
      <c r="K163" s="3" t="s">
        <v>301</v>
      </c>
      <c r="L163" s="7" t="n">
        <v>10394.44</v>
      </c>
      <c r="M163" s="7" t="n">
        <v>1299.31</v>
      </c>
      <c r="N163" s="7" t="n">
        <v>1299.31</v>
      </c>
      <c r="O163" s="7" t="n">
        <v>7795.8</v>
      </c>
      <c r="P163" s="7" t="n">
        <v>779.58</v>
      </c>
      <c r="Q163" s="7" t="n">
        <v>779.58</v>
      </c>
      <c r="R163" s="7" t="n">
        <v>779.58</v>
      </c>
      <c r="S163" s="7" t="n">
        <v>779.58</v>
      </c>
      <c r="T163" s="7" t="n">
        <v>779.58</v>
      </c>
      <c r="U163" s="7" t="n">
        <v>779.58</v>
      </c>
      <c r="V163" s="7" t="n">
        <v>779.58</v>
      </c>
      <c r="W163" s="7" t="n">
        <v>779.58</v>
      </c>
      <c r="X163" s="7" t="n">
        <v>779.58</v>
      </c>
      <c r="Y163" s="7" t="n">
        <v>779.58</v>
      </c>
      <c r="Z163" s="7" t="n">
        <v>350</v>
      </c>
      <c r="AA163" s="7" t="n">
        <v>250</v>
      </c>
      <c r="AB163" s="7" t="n">
        <v>600</v>
      </c>
    </row>
    <row r="164" customFormat="false" ht="15" hidden="false" customHeight="false" outlineLevel="0" collapsed="false">
      <c r="A164" s="8" t="s">
        <v>637</v>
      </c>
      <c r="B164" s="8" t="s">
        <v>194</v>
      </c>
      <c r="C164" s="8" t="s">
        <v>177</v>
      </c>
      <c r="D164" s="8" t="s">
        <v>178</v>
      </c>
      <c r="E164" s="8" t="n">
        <v>2018</v>
      </c>
      <c r="F164" s="8" t="s">
        <v>62</v>
      </c>
      <c r="G164" s="8" t="s">
        <v>63</v>
      </c>
      <c r="H164" s="8" t="s">
        <v>638</v>
      </c>
      <c r="I164" s="8" t="s">
        <v>56</v>
      </c>
      <c r="J164" s="9" t="n">
        <v>1950000</v>
      </c>
      <c r="K164" s="8" t="s">
        <v>307</v>
      </c>
      <c r="L164" s="9" t="n">
        <v>19018.4</v>
      </c>
      <c r="M164" s="9" t="n">
        <v>2377.3</v>
      </c>
      <c r="N164" s="9" t="n">
        <v>2377.3</v>
      </c>
      <c r="O164" s="9" t="n">
        <v>14263.8</v>
      </c>
      <c r="P164" s="9" t="n">
        <v>1426.38</v>
      </c>
      <c r="Q164" s="9" t="n">
        <v>1426.38</v>
      </c>
      <c r="R164" s="9" t="n">
        <v>1426.38</v>
      </c>
      <c r="S164" s="9" t="n">
        <v>1426.38</v>
      </c>
      <c r="T164" s="9" t="n">
        <v>1426.38</v>
      </c>
      <c r="U164" s="9" t="n">
        <v>1426.38</v>
      </c>
      <c r="V164" s="9" t="n">
        <v>1426.38</v>
      </c>
      <c r="W164" s="9" t="n">
        <v>1426.38</v>
      </c>
      <c r="X164" s="9" t="n">
        <v>1426.38</v>
      </c>
      <c r="Y164" s="9" t="n">
        <v>1426.38</v>
      </c>
      <c r="Z164" s="9" t="n">
        <v>350</v>
      </c>
      <c r="AA164" s="9" t="n">
        <v>250</v>
      </c>
      <c r="AB164" s="9" t="n">
        <v>600</v>
      </c>
    </row>
    <row r="165" customFormat="false" ht="15" hidden="false" customHeight="false" outlineLevel="0" collapsed="false">
      <c r="A165" s="3" t="s">
        <v>639</v>
      </c>
      <c r="B165" s="3" t="s">
        <v>364</v>
      </c>
      <c r="C165" s="3" t="s">
        <v>74</v>
      </c>
      <c r="D165" s="3" t="s">
        <v>75</v>
      </c>
      <c r="E165" s="3" t="n">
        <v>1992</v>
      </c>
      <c r="F165" s="3" t="s">
        <v>53</v>
      </c>
      <c r="G165" s="3" t="s">
        <v>54</v>
      </c>
      <c r="H165" s="3" t="s">
        <v>640</v>
      </c>
      <c r="I165" s="3" t="s">
        <v>56</v>
      </c>
      <c r="J165" s="7" t="n">
        <v>475000</v>
      </c>
      <c r="K165" s="3" t="s">
        <v>90</v>
      </c>
      <c r="L165" s="7" t="n">
        <v>7284.81</v>
      </c>
      <c r="M165" s="7" t="n">
        <v>910.6</v>
      </c>
      <c r="N165" s="7" t="n">
        <v>910.6</v>
      </c>
      <c r="O165" s="7" t="n">
        <v>5463.6</v>
      </c>
      <c r="P165" s="7" t="n">
        <v>546.36</v>
      </c>
      <c r="Q165" s="7" t="n">
        <v>546.36</v>
      </c>
      <c r="R165" s="7" t="n">
        <v>546.36</v>
      </c>
      <c r="S165" s="7" t="n">
        <v>546.36</v>
      </c>
      <c r="T165" s="7" t="n">
        <v>546.36</v>
      </c>
      <c r="U165" s="7" t="n">
        <v>546.36</v>
      </c>
      <c r="V165" s="7" t="n">
        <v>546.36</v>
      </c>
      <c r="W165" s="7" t="n">
        <v>546.36</v>
      </c>
      <c r="X165" s="7" t="n">
        <v>546.36</v>
      </c>
      <c r="Y165" s="7" t="n">
        <v>546.36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641</v>
      </c>
      <c r="B166" s="8" t="s">
        <v>642</v>
      </c>
      <c r="C166" s="8" t="s">
        <v>60</v>
      </c>
      <c r="D166" s="8" t="s">
        <v>61</v>
      </c>
      <c r="E166" s="8" t="n">
        <v>1976</v>
      </c>
      <c r="F166" s="8" t="s">
        <v>155</v>
      </c>
      <c r="G166" s="8" t="s">
        <v>156</v>
      </c>
      <c r="H166" s="8" t="s">
        <v>643</v>
      </c>
      <c r="I166" s="8" t="s">
        <v>78</v>
      </c>
      <c r="J166" s="9" t="n">
        <v>365000</v>
      </c>
      <c r="K166" s="8" t="s">
        <v>547</v>
      </c>
      <c r="L166" s="9" t="n">
        <v>3694.55</v>
      </c>
      <c r="M166" s="9" t="n">
        <v>461.82</v>
      </c>
      <c r="N166" s="9" t="n">
        <v>461.82</v>
      </c>
      <c r="O166" s="9" t="n">
        <v>2770.9</v>
      </c>
      <c r="P166" s="9" t="n">
        <v>277.09</v>
      </c>
      <c r="Q166" s="9" t="n">
        <v>277.09</v>
      </c>
      <c r="R166" s="9" t="n">
        <v>277.09</v>
      </c>
      <c r="S166" s="9" t="n">
        <v>277.09</v>
      </c>
      <c r="T166" s="9" t="n">
        <v>277.09</v>
      </c>
      <c r="U166" s="9" t="n">
        <v>277.09</v>
      </c>
      <c r="V166" s="9" t="n">
        <v>277.09</v>
      </c>
      <c r="W166" s="9" t="n">
        <v>277.09</v>
      </c>
      <c r="X166" s="9" t="n">
        <v>277.09</v>
      </c>
      <c r="Y166" s="9" t="n">
        <v>277.09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644</v>
      </c>
      <c r="B167" s="3" t="s">
        <v>645</v>
      </c>
      <c r="C167" s="3" t="s">
        <v>171</v>
      </c>
      <c r="D167" s="3" t="s">
        <v>172</v>
      </c>
      <c r="E167" s="3" t="n">
        <v>1974</v>
      </c>
      <c r="F167" s="3" t="s">
        <v>95</v>
      </c>
      <c r="G167" s="3" t="s">
        <v>96</v>
      </c>
      <c r="H167" s="3" t="s">
        <v>646</v>
      </c>
      <c r="I167" s="3" t="s">
        <v>47</v>
      </c>
      <c r="J167" s="7" t="n">
        <v>560000</v>
      </c>
      <c r="K167" s="3" t="s">
        <v>168</v>
      </c>
      <c r="L167" s="7" t="n">
        <v>8159</v>
      </c>
      <c r="M167" s="7" t="n">
        <v>1019.88</v>
      </c>
      <c r="N167" s="7" t="n">
        <v>1019.88</v>
      </c>
      <c r="O167" s="7" t="n">
        <v>6119.2</v>
      </c>
      <c r="P167" s="7" t="n">
        <v>611.92</v>
      </c>
      <c r="Q167" s="7" t="n">
        <v>611.92</v>
      </c>
      <c r="R167" s="7" t="n">
        <v>611.92</v>
      </c>
      <c r="S167" s="7" t="n">
        <v>611.92</v>
      </c>
      <c r="T167" s="7" t="n">
        <v>611.92</v>
      </c>
      <c r="U167" s="7" t="n">
        <v>611.92</v>
      </c>
      <c r="V167" s="7" t="n">
        <v>611.92</v>
      </c>
      <c r="W167" s="7" t="n">
        <v>611.92</v>
      </c>
      <c r="X167" s="7" t="n">
        <v>611.92</v>
      </c>
      <c r="Y167" s="7" t="n">
        <v>611.92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647</v>
      </c>
      <c r="B168" s="8" t="s">
        <v>648</v>
      </c>
      <c r="C168" s="8" t="s">
        <v>219</v>
      </c>
      <c r="D168" s="8" t="s">
        <v>220</v>
      </c>
      <c r="E168" s="8" t="n">
        <v>1986</v>
      </c>
      <c r="F168" s="8" t="s">
        <v>122</v>
      </c>
      <c r="G168" s="8" t="s">
        <v>123</v>
      </c>
      <c r="H168" s="8" t="s">
        <v>649</v>
      </c>
      <c r="I168" s="8" t="s">
        <v>56</v>
      </c>
      <c r="J168" s="9" t="n">
        <v>605000</v>
      </c>
      <c r="K168" s="8" t="s">
        <v>275</v>
      </c>
      <c r="L168" s="9" t="n">
        <v>7224.7</v>
      </c>
      <c r="M168" s="9" t="n">
        <v>903.09</v>
      </c>
      <c r="N168" s="9" t="n">
        <v>903.09</v>
      </c>
      <c r="O168" s="9" t="n">
        <v>5418.5</v>
      </c>
      <c r="P168" s="9" t="n">
        <v>541.85</v>
      </c>
      <c r="Q168" s="9" t="n">
        <v>541.85</v>
      </c>
      <c r="R168" s="9" t="n">
        <v>541.85</v>
      </c>
      <c r="S168" s="9" t="n">
        <v>541.85</v>
      </c>
      <c r="T168" s="9" t="n">
        <v>541.85</v>
      </c>
      <c r="U168" s="9" t="n">
        <v>541.85</v>
      </c>
      <c r="V168" s="9" t="n">
        <v>541.85</v>
      </c>
      <c r="W168" s="9" t="n">
        <v>541.85</v>
      </c>
      <c r="X168" s="9" t="n">
        <v>541.85</v>
      </c>
      <c r="Y168" s="9" t="n">
        <v>541.85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650</v>
      </c>
      <c r="B169" s="3" t="s">
        <v>651</v>
      </c>
      <c r="C169" s="3" t="s">
        <v>153</v>
      </c>
      <c r="D169" s="3" t="s">
        <v>154</v>
      </c>
      <c r="E169" s="3" t="n">
        <v>2006</v>
      </c>
      <c r="F169" s="3" t="s">
        <v>155</v>
      </c>
      <c r="G169" s="3" t="s">
        <v>191</v>
      </c>
      <c r="H169" s="3" t="s">
        <v>652</v>
      </c>
      <c r="I169" s="3" t="s">
        <v>56</v>
      </c>
      <c r="J169" s="7" t="n">
        <v>315000</v>
      </c>
      <c r="K169" s="3" t="s">
        <v>150</v>
      </c>
      <c r="L169" s="7" t="n">
        <v>4604.53</v>
      </c>
      <c r="M169" s="7" t="n">
        <v>575.57</v>
      </c>
      <c r="N169" s="7" t="n">
        <v>575.57</v>
      </c>
      <c r="O169" s="7" t="n">
        <v>3453.4</v>
      </c>
      <c r="P169" s="7" t="n">
        <v>345.34</v>
      </c>
      <c r="Q169" s="7" t="n">
        <v>345.34</v>
      </c>
      <c r="R169" s="7" t="n">
        <v>345.34</v>
      </c>
      <c r="S169" s="7" t="n">
        <v>345.34</v>
      </c>
      <c r="T169" s="7" t="n">
        <v>345.34</v>
      </c>
      <c r="U169" s="7" t="n">
        <v>345.34</v>
      </c>
      <c r="V169" s="7" t="n">
        <v>345.34</v>
      </c>
      <c r="W169" s="7" t="n">
        <v>345.34</v>
      </c>
      <c r="X169" s="7" t="n">
        <v>345.34</v>
      </c>
      <c r="Y169" s="7" t="n">
        <v>345.34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653</v>
      </c>
      <c r="B170" s="8" t="s">
        <v>654</v>
      </c>
      <c r="C170" s="8" t="s">
        <v>272</v>
      </c>
      <c r="D170" s="8" t="s">
        <v>273</v>
      </c>
      <c r="E170" s="8" t="n">
        <v>2005</v>
      </c>
      <c r="F170" s="8" t="s">
        <v>44</v>
      </c>
      <c r="G170" s="8" t="s">
        <v>76</v>
      </c>
      <c r="H170" s="8" t="s">
        <v>655</v>
      </c>
      <c r="I170" s="8" t="s">
        <v>78</v>
      </c>
      <c r="J170" s="9" t="n">
        <v>660000</v>
      </c>
      <c r="K170" s="8" t="s">
        <v>142</v>
      </c>
      <c r="L170" s="9" t="n">
        <v>6438.05</v>
      </c>
      <c r="M170" s="9" t="n">
        <v>804.76</v>
      </c>
      <c r="N170" s="9" t="n">
        <v>804.76</v>
      </c>
      <c r="O170" s="9" t="n">
        <v>4828.5</v>
      </c>
      <c r="P170" s="9" t="n">
        <v>482.85</v>
      </c>
      <c r="Q170" s="9" t="n">
        <v>482.85</v>
      </c>
      <c r="R170" s="9" t="n">
        <v>482.85</v>
      </c>
      <c r="S170" s="9" t="n">
        <v>482.85</v>
      </c>
      <c r="T170" s="9" t="n">
        <v>482.85</v>
      </c>
      <c r="U170" s="9" t="n">
        <v>482.85</v>
      </c>
      <c r="V170" s="9" t="n">
        <v>482.85</v>
      </c>
      <c r="W170" s="9" t="n">
        <v>482.85</v>
      </c>
      <c r="X170" s="9" t="n">
        <v>482.85</v>
      </c>
      <c r="Y170" s="9" t="n">
        <v>482.85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656</v>
      </c>
      <c r="B171" s="3" t="s">
        <v>657</v>
      </c>
      <c r="C171" s="3" t="s">
        <v>145</v>
      </c>
      <c r="D171" s="3" t="s">
        <v>146</v>
      </c>
      <c r="E171" s="3" t="n">
        <v>1997</v>
      </c>
      <c r="F171" s="3" t="s">
        <v>83</v>
      </c>
      <c r="G171" s="3" t="s">
        <v>84</v>
      </c>
      <c r="H171" s="3" t="s">
        <v>658</v>
      </c>
      <c r="I171" s="3" t="s">
        <v>56</v>
      </c>
      <c r="J171" s="7" t="n">
        <v>305000</v>
      </c>
      <c r="K171" s="3" t="s">
        <v>228</v>
      </c>
      <c r="L171" s="7" t="n">
        <v>5079.6</v>
      </c>
      <c r="M171" s="7" t="n">
        <v>634.95</v>
      </c>
      <c r="N171" s="7" t="n">
        <v>634.95</v>
      </c>
      <c r="O171" s="7" t="n">
        <v>3809.7</v>
      </c>
      <c r="P171" s="7" t="n">
        <v>380.97</v>
      </c>
      <c r="Q171" s="7" t="n">
        <v>380.97</v>
      </c>
      <c r="R171" s="7" t="n">
        <v>380.97</v>
      </c>
      <c r="S171" s="7" t="n">
        <v>380.97</v>
      </c>
      <c r="T171" s="7" t="n">
        <v>380.97</v>
      </c>
      <c r="U171" s="7" t="n">
        <v>380.97</v>
      </c>
      <c r="V171" s="7" t="n">
        <v>380.97</v>
      </c>
      <c r="W171" s="7" t="n">
        <v>380.97</v>
      </c>
      <c r="X171" s="7" t="n">
        <v>380.97</v>
      </c>
      <c r="Y171" s="7" t="n">
        <v>380.97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659</v>
      </c>
      <c r="B172" s="8" t="s">
        <v>660</v>
      </c>
      <c r="C172" s="8" t="s">
        <v>246</v>
      </c>
      <c r="D172" s="8" t="s">
        <v>247</v>
      </c>
      <c r="E172" s="8" t="n">
        <v>2003</v>
      </c>
      <c r="F172" s="8" t="s">
        <v>62</v>
      </c>
      <c r="G172" s="8" t="s">
        <v>63</v>
      </c>
      <c r="H172" s="8" t="s">
        <v>661</v>
      </c>
      <c r="I172" s="8" t="s">
        <v>56</v>
      </c>
      <c r="J172" s="9" t="n">
        <v>400000</v>
      </c>
      <c r="K172" s="8" t="s">
        <v>48</v>
      </c>
      <c r="L172" s="9" t="n">
        <v>4553.01</v>
      </c>
      <c r="M172" s="9" t="n">
        <v>569.13</v>
      </c>
      <c r="N172" s="9" t="n">
        <v>569.13</v>
      </c>
      <c r="O172" s="9" t="n">
        <v>3414.8</v>
      </c>
      <c r="P172" s="9" t="n">
        <v>341.48</v>
      </c>
      <c r="Q172" s="9" t="n">
        <v>341.48</v>
      </c>
      <c r="R172" s="9" t="n">
        <v>341.48</v>
      </c>
      <c r="S172" s="9" t="n">
        <v>341.48</v>
      </c>
      <c r="T172" s="9" t="n">
        <v>341.48</v>
      </c>
      <c r="U172" s="9" t="n">
        <v>341.48</v>
      </c>
      <c r="V172" s="9" t="n">
        <v>341.48</v>
      </c>
      <c r="W172" s="9" t="n">
        <v>341.48</v>
      </c>
      <c r="X172" s="9" t="n">
        <v>341.48</v>
      </c>
      <c r="Y172" s="9" t="n">
        <v>341.48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662</v>
      </c>
      <c r="B173" s="3" t="s">
        <v>663</v>
      </c>
      <c r="C173" s="3" t="s">
        <v>238</v>
      </c>
      <c r="D173" s="3" t="s">
        <v>239</v>
      </c>
      <c r="E173" s="3" t="n">
        <v>1995</v>
      </c>
      <c r="F173" s="3" t="s">
        <v>155</v>
      </c>
      <c r="G173" s="3" t="s">
        <v>191</v>
      </c>
      <c r="H173" s="3" t="s">
        <v>664</v>
      </c>
      <c r="I173" s="3" t="s">
        <v>56</v>
      </c>
      <c r="J173" s="7" t="n">
        <v>710000</v>
      </c>
      <c r="K173" s="3" t="s">
        <v>275</v>
      </c>
      <c r="L173" s="7" t="n">
        <v>8478.58</v>
      </c>
      <c r="M173" s="7" t="n">
        <v>1059.82</v>
      </c>
      <c r="N173" s="7" t="n">
        <v>1059.82</v>
      </c>
      <c r="O173" s="7" t="n">
        <v>6358.9</v>
      </c>
      <c r="P173" s="7" t="n">
        <v>635.89</v>
      </c>
      <c r="Q173" s="7" t="n">
        <v>635.89</v>
      </c>
      <c r="R173" s="7" t="n">
        <v>635.89</v>
      </c>
      <c r="S173" s="7" t="n">
        <v>635.89</v>
      </c>
      <c r="T173" s="7" t="n">
        <v>635.89</v>
      </c>
      <c r="U173" s="7" t="n">
        <v>635.89</v>
      </c>
      <c r="V173" s="7" t="n">
        <v>635.89</v>
      </c>
      <c r="W173" s="7" t="n">
        <v>635.89</v>
      </c>
      <c r="X173" s="7" t="n">
        <v>635.89</v>
      </c>
      <c r="Y173" s="7" t="n">
        <v>635.89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665</v>
      </c>
      <c r="B174" s="8" t="s">
        <v>666</v>
      </c>
      <c r="C174" s="8" t="s">
        <v>114</v>
      </c>
      <c r="D174" s="8" t="s">
        <v>115</v>
      </c>
      <c r="E174" s="8" t="n">
        <v>1960</v>
      </c>
      <c r="F174" s="8" t="s">
        <v>122</v>
      </c>
      <c r="G174" s="8" t="s">
        <v>123</v>
      </c>
      <c r="H174" s="8" t="s">
        <v>667</v>
      </c>
      <c r="I174" s="8" t="s">
        <v>56</v>
      </c>
      <c r="J174" s="9" t="n">
        <v>395000</v>
      </c>
      <c r="K174" s="8" t="s">
        <v>668</v>
      </c>
      <c r="L174" s="9" t="n">
        <v>5347.99</v>
      </c>
      <c r="M174" s="9" t="n">
        <v>668.5</v>
      </c>
      <c r="N174" s="9" t="n">
        <v>668.5</v>
      </c>
      <c r="O174" s="9" t="n">
        <v>4011</v>
      </c>
      <c r="P174" s="9" t="n">
        <v>401.1</v>
      </c>
      <c r="Q174" s="9" t="n">
        <v>401.1</v>
      </c>
      <c r="R174" s="9" t="n">
        <v>401.1</v>
      </c>
      <c r="S174" s="9" t="n">
        <v>401.1</v>
      </c>
      <c r="T174" s="9" t="n">
        <v>401.1</v>
      </c>
      <c r="U174" s="9" t="n">
        <v>401.1</v>
      </c>
      <c r="V174" s="9" t="n">
        <v>401.1</v>
      </c>
      <c r="W174" s="9" t="n">
        <v>401.1</v>
      </c>
      <c r="X174" s="9" t="n">
        <v>401.1</v>
      </c>
      <c r="Y174" s="9" t="n">
        <v>401.1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669</v>
      </c>
      <c r="B175" s="3" t="s">
        <v>670</v>
      </c>
      <c r="C175" s="3" t="s">
        <v>261</v>
      </c>
      <c r="D175" s="3" t="s">
        <v>262</v>
      </c>
      <c r="E175" s="3" t="n">
        <v>1985</v>
      </c>
      <c r="F175" s="3" t="s">
        <v>195</v>
      </c>
      <c r="G175" s="3" t="s">
        <v>196</v>
      </c>
      <c r="H175" s="3" t="s">
        <v>671</v>
      </c>
      <c r="I175" s="3" t="s">
        <v>47</v>
      </c>
      <c r="J175" s="7" t="n">
        <v>815000</v>
      </c>
      <c r="K175" s="3" t="s">
        <v>90</v>
      </c>
      <c r="L175" s="7" t="n">
        <v>15832.33</v>
      </c>
      <c r="M175" s="7" t="n">
        <v>1979.04</v>
      </c>
      <c r="N175" s="7" t="n">
        <v>1979.04</v>
      </c>
      <c r="O175" s="7" t="n">
        <v>11874.2</v>
      </c>
      <c r="P175" s="7" t="n">
        <v>1187.42</v>
      </c>
      <c r="Q175" s="7" t="n">
        <v>1187.42</v>
      </c>
      <c r="R175" s="7" t="n">
        <v>1187.42</v>
      </c>
      <c r="S175" s="7" t="n">
        <v>1187.42</v>
      </c>
      <c r="T175" s="7" t="n">
        <v>1187.42</v>
      </c>
      <c r="U175" s="7" t="n">
        <v>1187.42</v>
      </c>
      <c r="V175" s="7" t="n">
        <v>1187.42</v>
      </c>
      <c r="W175" s="7" t="n">
        <v>1187.42</v>
      </c>
      <c r="X175" s="7" t="n">
        <v>1187.42</v>
      </c>
      <c r="Y175" s="7" t="n">
        <v>1187.42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672</v>
      </c>
      <c r="B176" s="8" t="s">
        <v>309</v>
      </c>
      <c r="C176" s="8" t="s">
        <v>246</v>
      </c>
      <c r="D176" s="8" t="s">
        <v>247</v>
      </c>
      <c r="E176" s="8" t="n">
        <v>1957</v>
      </c>
      <c r="F176" s="8" t="s">
        <v>44</v>
      </c>
      <c r="G176" s="8" t="s">
        <v>240</v>
      </c>
      <c r="H176" s="8" t="s">
        <v>673</v>
      </c>
      <c r="I176" s="8" t="s">
        <v>47</v>
      </c>
      <c r="J176" s="9" t="n">
        <v>820000</v>
      </c>
      <c r="K176" s="8" t="s">
        <v>465</v>
      </c>
      <c r="L176" s="9" t="n">
        <v>16551.71</v>
      </c>
      <c r="M176" s="9" t="n">
        <v>2068.96</v>
      </c>
      <c r="N176" s="9" t="n">
        <v>2068.96</v>
      </c>
      <c r="O176" s="9" t="n">
        <v>12413.8</v>
      </c>
      <c r="P176" s="9" t="n">
        <v>1241.38</v>
      </c>
      <c r="Q176" s="9" t="n">
        <v>1241.38</v>
      </c>
      <c r="R176" s="9" t="n">
        <v>1241.38</v>
      </c>
      <c r="S176" s="9" t="n">
        <v>1241.38</v>
      </c>
      <c r="T176" s="9" t="n">
        <v>1241.38</v>
      </c>
      <c r="U176" s="9" t="n">
        <v>1241.38</v>
      </c>
      <c r="V176" s="9" t="n">
        <v>1241.38</v>
      </c>
      <c r="W176" s="9" t="n">
        <v>1241.38</v>
      </c>
      <c r="X176" s="9" t="n">
        <v>1241.38</v>
      </c>
      <c r="Y176" s="9" t="n">
        <v>1241.38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674</v>
      </c>
      <c r="B177" s="3" t="s">
        <v>675</v>
      </c>
      <c r="C177" s="3" t="s">
        <v>128</v>
      </c>
      <c r="D177" s="3" t="s">
        <v>129</v>
      </c>
      <c r="E177" s="3" t="n">
        <v>1974</v>
      </c>
      <c r="F177" s="3" t="s">
        <v>107</v>
      </c>
      <c r="G177" s="3" t="s">
        <v>134</v>
      </c>
      <c r="H177" s="3" t="s">
        <v>676</v>
      </c>
      <c r="I177" s="3" t="s">
        <v>56</v>
      </c>
      <c r="J177" s="7" t="n">
        <v>600000</v>
      </c>
      <c r="K177" s="3" t="s">
        <v>168</v>
      </c>
      <c r="L177" s="7" t="n">
        <v>5981.22</v>
      </c>
      <c r="M177" s="7" t="n">
        <v>747.65</v>
      </c>
      <c r="N177" s="7" t="n">
        <v>747.65</v>
      </c>
      <c r="O177" s="7" t="n">
        <v>4485.9</v>
      </c>
      <c r="P177" s="7" t="n">
        <v>448.59</v>
      </c>
      <c r="Q177" s="7" t="n">
        <v>448.59</v>
      </c>
      <c r="R177" s="7" t="n">
        <v>448.59</v>
      </c>
      <c r="S177" s="7" t="n">
        <v>448.59</v>
      </c>
      <c r="T177" s="7" t="n">
        <v>448.59</v>
      </c>
      <c r="U177" s="7" t="n">
        <v>448.59</v>
      </c>
      <c r="V177" s="7" t="n">
        <v>448.59</v>
      </c>
      <c r="W177" s="7" t="n">
        <v>448.59</v>
      </c>
      <c r="X177" s="7" t="n">
        <v>448.59</v>
      </c>
      <c r="Y177" s="7" t="n">
        <v>448.59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677</v>
      </c>
      <c r="B178" s="8" t="s">
        <v>678</v>
      </c>
      <c r="C178" s="8" t="s">
        <v>219</v>
      </c>
      <c r="D178" s="8" t="s">
        <v>220</v>
      </c>
      <c r="E178" s="8" t="n">
        <v>2005</v>
      </c>
      <c r="F178" s="8" t="s">
        <v>122</v>
      </c>
      <c r="G178" s="8" t="s">
        <v>123</v>
      </c>
      <c r="H178" s="8" t="s">
        <v>679</v>
      </c>
      <c r="I178" s="8" t="s">
        <v>56</v>
      </c>
      <c r="J178" s="9" t="n">
        <v>365000</v>
      </c>
      <c r="K178" s="8" t="s">
        <v>322</v>
      </c>
      <c r="L178" s="9" t="n">
        <v>5466.61</v>
      </c>
      <c r="M178" s="9" t="n">
        <v>683.33</v>
      </c>
      <c r="N178" s="9" t="n">
        <v>683.33</v>
      </c>
      <c r="O178" s="9" t="n">
        <v>4100</v>
      </c>
      <c r="P178" s="9" t="n">
        <v>410</v>
      </c>
      <c r="Q178" s="9" t="n">
        <v>410</v>
      </c>
      <c r="R178" s="9" t="n">
        <v>410</v>
      </c>
      <c r="S178" s="9" t="n">
        <v>410</v>
      </c>
      <c r="T178" s="9" t="n">
        <v>410</v>
      </c>
      <c r="U178" s="9" t="n">
        <v>410</v>
      </c>
      <c r="V178" s="9" t="n">
        <v>410</v>
      </c>
      <c r="W178" s="9" t="n">
        <v>410</v>
      </c>
      <c r="X178" s="9" t="n">
        <v>410</v>
      </c>
      <c r="Y178" s="9" t="n">
        <v>410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680</v>
      </c>
      <c r="B179" s="3" t="s">
        <v>203</v>
      </c>
      <c r="C179" s="3" t="s">
        <v>246</v>
      </c>
      <c r="D179" s="3" t="s">
        <v>247</v>
      </c>
      <c r="E179" s="3" t="n">
        <v>1997</v>
      </c>
      <c r="F179" s="3" t="s">
        <v>122</v>
      </c>
      <c r="G179" s="3" t="s">
        <v>123</v>
      </c>
      <c r="H179" s="3" t="s">
        <v>681</v>
      </c>
      <c r="I179" s="3" t="s">
        <v>56</v>
      </c>
      <c r="J179" s="7" t="n">
        <v>355000</v>
      </c>
      <c r="K179" s="3" t="s">
        <v>587</v>
      </c>
      <c r="L179" s="7" t="n">
        <v>4763.89</v>
      </c>
      <c r="M179" s="7" t="n">
        <v>595.49</v>
      </c>
      <c r="N179" s="7" t="n">
        <v>595.49</v>
      </c>
      <c r="O179" s="7" t="n">
        <v>3572.9</v>
      </c>
      <c r="P179" s="7" t="n">
        <v>357.29</v>
      </c>
      <c r="Q179" s="7" t="n">
        <v>357.29</v>
      </c>
      <c r="R179" s="7" t="n">
        <v>357.29</v>
      </c>
      <c r="S179" s="7" t="n">
        <v>357.29</v>
      </c>
      <c r="T179" s="7" t="n">
        <v>357.29</v>
      </c>
      <c r="U179" s="7" t="n">
        <v>357.29</v>
      </c>
      <c r="V179" s="7" t="n">
        <v>357.29</v>
      </c>
      <c r="W179" s="7" t="n">
        <v>357.29</v>
      </c>
      <c r="X179" s="7" t="n">
        <v>357.29</v>
      </c>
      <c r="Y179" s="7" t="n">
        <v>357.29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682</v>
      </c>
      <c r="B180" s="8" t="s">
        <v>683</v>
      </c>
      <c r="C180" s="8" t="s">
        <v>189</v>
      </c>
      <c r="D180" s="8" t="s">
        <v>190</v>
      </c>
      <c r="E180" s="8" t="n">
        <v>2021</v>
      </c>
      <c r="F180" s="8" t="s">
        <v>155</v>
      </c>
      <c r="G180" s="8" t="s">
        <v>156</v>
      </c>
      <c r="H180" s="8" t="s">
        <v>684</v>
      </c>
      <c r="I180" s="8" t="s">
        <v>78</v>
      </c>
      <c r="J180" s="9" t="n">
        <v>540000</v>
      </c>
      <c r="K180" s="8" t="s">
        <v>136</v>
      </c>
      <c r="L180" s="9" t="n">
        <v>5749.73</v>
      </c>
      <c r="M180" s="9" t="n">
        <v>718.72</v>
      </c>
      <c r="N180" s="9" t="n">
        <v>718.72</v>
      </c>
      <c r="O180" s="9" t="n">
        <v>4312.3</v>
      </c>
      <c r="P180" s="9" t="n">
        <v>431.23</v>
      </c>
      <c r="Q180" s="9" t="n">
        <v>431.23</v>
      </c>
      <c r="R180" s="9" t="n">
        <v>431.23</v>
      </c>
      <c r="S180" s="9" t="n">
        <v>431.23</v>
      </c>
      <c r="T180" s="9" t="n">
        <v>431.23</v>
      </c>
      <c r="U180" s="9" t="n">
        <v>431.23</v>
      </c>
      <c r="V180" s="9" t="n">
        <v>431.23</v>
      </c>
      <c r="W180" s="9" t="n">
        <v>431.23</v>
      </c>
      <c r="X180" s="9" t="n">
        <v>431.23</v>
      </c>
      <c r="Y180" s="9" t="n">
        <v>431.23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685</v>
      </c>
      <c r="B181" s="3" t="s">
        <v>686</v>
      </c>
      <c r="C181" s="3" t="s">
        <v>101</v>
      </c>
      <c r="D181" s="3" t="s">
        <v>102</v>
      </c>
      <c r="E181" s="3" t="n">
        <v>2006</v>
      </c>
      <c r="F181" s="3" t="s">
        <v>107</v>
      </c>
      <c r="G181" s="3" t="s">
        <v>134</v>
      </c>
      <c r="H181" s="3" t="s">
        <v>687</v>
      </c>
      <c r="I181" s="3" t="s">
        <v>56</v>
      </c>
      <c r="J181" s="7" t="n">
        <v>515000</v>
      </c>
      <c r="K181" s="3" t="s">
        <v>525</v>
      </c>
      <c r="L181" s="7" t="n">
        <v>6470.83</v>
      </c>
      <c r="M181" s="7" t="n">
        <v>808.85</v>
      </c>
      <c r="N181" s="7" t="n">
        <v>808.85</v>
      </c>
      <c r="O181" s="7" t="n">
        <v>4853.1</v>
      </c>
      <c r="P181" s="7" t="n">
        <v>485.31</v>
      </c>
      <c r="Q181" s="7" t="n">
        <v>485.31</v>
      </c>
      <c r="R181" s="7" t="n">
        <v>485.31</v>
      </c>
      <c r="S181" s="7" t="n">
        <v>485.31</v>
      </c>
      <c r="T181" s="7" t="n">
        <v>485.31</v>
      </c>
      <c r="U181" s="7" t="n">
        <v>485.31</v>
      </c>
      <c r="V181" s="7" t="n">
        <v>485.31</v>
      </c>
      <c r="W181" s="7" t="n">
        <v>485.31</v>
      </c>
      <c r="X181" s="7" t="n">
        <v>485.31</v>
      </c>
      <c r="Y181" s="7" t="n">
        <v>485.31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688</v>
      </c>
      <c r="B182" s="8" t="s">
        <v>689</v>
      </c>
      <c r="C182" s="8" t="s">
        <v>330</v>
      </c>
      <c r="D182" s="8" t="s">
        <v>331</v>
      </c>
      <c r="E182" s="8" t="n">
        <v>1956</v>
      </c>
      <c r="F182" s="8" t="s">
        <v>62</v>
      </c>
      <c r="G182" s="8" t="s">
        <v>63</v>
      </c>
      <c r="H182" s="8" t="s">
        <v>690</v>
      </c>
      <c r="I182" s="8" t="s">
        <v>56</v>
      </c>
      <c r="J182" s="9" t="n">
        <v>1115000</v>
      </c>
      <c r="K182" s="8" t="s">
        <v>543</v>
      </c>
      <c r="L182" s="9" t="n">
        <v>12736.04</v>
      </c>
      <c r="M182" s="9" t="n">
        <v>1592.01</v>
      </c>
      <c r="N182" s="9" t="n">
        <v>1592.01</v>
      </c>
      <c r="O182" s="9" t="n">
        <v>9552</v>
      </c>
      <c r="P182" s="9" t="n">
        <v>955.2</v>
      </c>
      <c r="Q182" s="9" t="n">
        <v>955.2</v>
      </c>
      <c r="R182" s="9" t="n">
        <v>955.2</v>
      </c>
      <c r="S182" s="9" t="n">
        <v>955.2</v>
      </c>
      <c r="T182" s="9" t="n">
        <v>955.2</v>
      </c>
      <c r="U182" s="9" t="n">
        <v>955.2</v>
      </c>
      <c r="V182" s="9" t="n">
        <v>955.2</v>
      </c>
      <c r="W182" s="9" t="n">
        <v>955.2</v>
      </c>
      <c r="X182" s="9" t="n">
        <v>955.2</v>
      </c>
      <c r="Y182" s="9" t="n">
        <v>955.2</v>
      </c>
      <c r="Z182" s="9" t="n">
        <v>350</v>
      </c>
      <c r="AA182" s="9" t="n">
        <v>250</v>
      </c>
      <c r="AB182" s="9" t="n">
        <v>600</v>
      </c>
    </row>
    <row r="183" customFormat="false" ht="15" hidden="false" customHeight="false" outlineLevel="0" collapsed="false">
      <c r="A183" s="3" t="s">
        <v>691</v>
      </c>
      <c r="B183" s="3" t="s">
        <v>692</v>
      </c>
      <c r="C183" s="3" t="s">
        <v>246</v>
      </c>
      <c r="D183" s="3" t="s">
        <v>247</v>
      </c>
      <c r="E183" s="3" t="n">
        <v>1955</v>
      </c>
      <c r="F183" s="3" t="s">
        <v>122</v>
      </c>
      <c r="G183" s="3" t="s">
        <v>123</v>
      </c>
      <c r="H183" s="3" t="s">
        <v>693</v>
      </c>
      <c r="I183" s="3" t="s">
        <v>56</v>
      </c>
      <c r="J183" s="7" t="n">
        <v>1215000</v>
      </c>
      <c r="K183" s="3" t="s">
        <v>180</v>
      </c>
      <c r="L183" s="7" t="n">
        <v>14732.34</v>
      </c>
      <c r="M183" s="7" t="n">
        <v>1841.54</v>
      </c>
      <c r="N183" s="7" t="n">
        <v>1841.54</v>
      </c>
      <c r="O183" s="7" t="n">
        <v>11049.3</v>
      </c>
      <c r="P183" s="7" t="n">
        <v>1104.93</v>
      </c>
      <c r="Q183" s="7" t="n">
        <v>1104.93</v>
      </c>
      <c r="R183" s="7" t="n">
        <v>1104.93</v>
      </c>
      <c r="S183" s="7" t="n">
        <v>1104.93</v>
      </c>
      <c r="T183" s="7" t="n">
        <v>1104.93</v>
      </c>
      <c r="U183" s="7" t="n">
        <v>1104.93</v>
      </c>
      <c r="V183" s="7" t="n">
        <v>1104.93</v>
      </c>
      <c r="W183" s="7" t="n">
        <v>1104.93</v>
      </c>
      <c r="X183" s="7" t="n">
        <v>1104.93</v>
      </c>
      <c r="Y183" s="7" t="n">
        <v>1104.93</v>
      </c>
      <c r="Z183" s="7" t="n">
        <v>350</v>
      </c>
      <c r="AA183" s="7" t="n">
        <v>250</v>
      </c>
      <c r="AB183" s="7" t="n">
        <v>600</v>
      </c>
    </row>
    <row r="184" customFormat="false" ht="15" hidden="false" customHeight="false" outlineLevel="0" collapsed="false">
      <c r="A184" s="8" t="s">
        <v>694</v>
      </c>
      <c r="B184" s="8" t="s">
        <v>403</v>
      </c>
      <c r="C184" s="8" t="s">
        <v>128</v>
      </c>
      <c r="D184" s="8" t="s">
        <v>129</v>
      </c>
      <c r="E184" s="8" t="n">
        <v>1962</v>
      </c>
      <c r="F184" s="8" t="s">
        <v>122</v>
      </c>
      <c r="G184" s="8" t="s">
        <v>123</v>
      </c>
      <c r="H184" s="8" t="s">
        <v>695</v>
      </c>
      <c r="I184" s="8" t="s">
        <v>56</v>
      </c>
      <c r="J184" s="9" t="n">
        <v>675000</v>
      </c>
      <c r="K184" s="8" t="s">
        <v>57</v>
      </c>
      <c r="L184" s="9" t="n">
        <v>8901.73</v>
      </c>
      <c r="M184" s="9" t="n">
        <v>1112.72</v>
      </c>
      <c r="N184" s="9" t="n">
        <v>1112.72</v>
      </c>
      <c r="O184" s="9" t="n">
        <v>6676.3</v>
      </c>
      <c r="P184" s="9" t="n">
        <v>667.63</v>
      </c>
      <c r="Q184" s="9" t="n">
        <v>667.63</v>
      </c>
      <c r="R184" s="9" t="n">
        <v>667.63</v>
      </c>
      <c r="S184" s="9" t="n">
        <v>667.63</v>
      </c>
      <c r="T184" s="9" t="n">
        <v>667.63</v>
      </c>
      <c r="U184" s="9" t="n">
        <v>667.63</v>
      </c>
      <c r="V184" s="9" t="n">
        <v>667.63</v>
      </c>
      <c r="W184" s="9" t="n">
        <v>667.63</v>
      </c>
      <c r="X184" s="9" t="n">
        <v>667.63</v>
      </c>
      <c r="Y184" s="9" t="n">
        <v>667.63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696</v>
      </c>
      <c r="B185" s="3" t="s">
        <v>697</v>
      </c>
      <c r="C185" s="3" t="s">
        <v>272</v>
      </c>
      <c r="D185" s="3" t="s">
        <v>273</v>
      </c>
      <c r="E185" s="3" t="n">
        <v>1996</v>
      </c>
      <c r="F185" s="3" t="s">
        <v>122</v>
      </c>
      <c r="G185" s="3" t="s">
        <v>123</v>
      </c>
      <c r="H185" s="3" t="s">
        <v>698</v>
      </c>
      <c r="I185" s="3" t="s">
        <v>56</v>
      </c>
      <c r="J185" s="7" t="n">
        <v>935000</v>
      </c>
      <c r="K185" s="3" t="s">
        <v>275</v>
      </c>
      <c r="L185" s="7" t="n">
        <v>11165.46</v>
      </c>
      <c r="M185" s="7" t="n">
        <v>1395.68</v>
      </c>
      <c r="N185" s="7" t="n">
        <v>1395.68</v>
      </c>
      <c r="O185" s="7" t="n">
        <v>8374.1</v>
      </c>
      <c r="P185" s="7" t="n">
        <v>837.41</v>
      </c>
      <c r="Q185" s="7" t="n">
        <v>837.41</v>
      </c>
      <c r="R185" s="7" t="n">
        <v>837.41</v>
      </c>
      <c r="S185" s="7" t="n">
        <v>837.41</v>
      </c>
      <c r="T185" s="7" t="n">
        <v>837.41</v>
      </c>
      <c r="U185" s="7" t="n">
        <v>837.41</v>
      </c>
      <c r="V185" s="7" t="n">
        <v>837.41</v>
      </c>
      <c r="W185" s="7" t="n">
        <v>837.41</v>
      </c>
      <c r="X185" s="7" t="n">
        <v>837.41</v>
      </c>
      <c r="Y185" s="7" t="n">
        <v>837.41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699</v>
      </c>
      <c r="B186" s="8" t="s">
        <v>700</v>
      </c>
      <c r="C186" s="8" t="s">
        <v>183</v>
      </c>
      <c r="D186" s="8" t="s">
        <v>184</v>
      </c>
      <c r="E186" s="8" t="n">
        <v>1964</v>
      </c>
      <c r="F186" s="8" t="s">
        <v>95</v>
      </c>
      <c r="G186" s="8" t="s">
        <v>96</v>
      </c>
      <c r="H186" s="8" t="s">
        <v>701</v>
      </c>
      <c r="I186" s="8" t="s">
        <v>47</v>
      </c>
      <c r="J186" s="9" t="n">
        <v>380000</v>
      </c>
      <c r="K186" s="8" t="s">
        <v>547</v>
      </c>
      <c r="L186" s="9" t="n">
        <v>9215.29</v>
      </c>
      <c r="M186" s="9" t="n">
        <v>1151.91</v>
      </c>
      <c r="N186" s="9" t="n">
        <v>1151.91</v>
      </c>
      <c r="O186" s="9" t="n">
        <v>6911.5</v>
      </c>
      <c r="P186" s="9" t="n">
        <v>691.15</v>
      </c>
      <c r="Q186" s="9" t="n">
        <v>691.15</v>
      </c>
      <c r="R186" s="9" t="n">
        <v>691.15</v>
      </c>
      <c r="S186" s="9" t="n">
        <v>691.15</v>
      </c>
      <c r="T186" s="9" t="n">
        <v>691.15</v>
      </c>
      <c r="U186" s="9" t="n">
        <v>691.15</v>
      </c>
      <c r="V186" s="9" t="n">
        <v>691.15</v>
      </c>
      <c r="W186" s="9" t="n">
        <v>691.15</v>
      </c>
      <c r="X186" s="9" t="n">
        <v>691.15</v>
      </c>
      <c r="Y186" s="9" t="n">
        <v>691.15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702</v>
      </c>
      <c r="B187" s="3" t="s">
        <v>703</v>
      </c>
      <c r="C187" s="3" t="s">
        <v>177</v>
      </c>
      <c r="D187" s="3" t="s">
        <v>178</v>
      </c>
      <c r="E187" s="3" t="n">
        <v>1985</v>
      </c>
      <c r="F187" s="3" t="s">
        <v>107</v>
      </c>
      <c r="G187" s="3" t="s">
        <v>134</v>
      </c>
      <c r="H187" s="3" t="s">
        <v>704</v>
      </c>
      <c r="I187" s="3" t="s">
        <v>56</v>
      </c>
      <c r="J187" s="7" t="n">
        <v>675000</v>
      </c>
      <c r="K187" s="3" t="s">
        <v>249</v>
      </c>
      <c r="L187" s="7" t="n">
        <v>7990.53</v>
      </c>
      <c r="M187" s="7" t="n">
        <v>998.82</v>
      </c>
      <c r="N187" s="7" t="n">
        <v>998.82</v>
      </c>
      <c r="O187" s="7" t="n">
        <v>5992.9</v>
      </c>
      <c r="P187" s="7" t="n">
        <v>599.29</v>
      </c>
      <c r="Q187" s="7" t="n">
        <v>599.29</v>
      </c>
      <c r="R187" s="7" t="n">
        <v>599.29</v>
      </c>
      <c r="S187" s="7" t="n">
        <v>599.29</v>
      </c>
      <c r="T187" s="7" t="n">
        <v>599.29</v>
      </c>
      <c r="U187" s="7" t="n">
        <v>599.29</v>
      </c>
      <c r="V187" s="7" t="n">
        <v>599.29</v>
      </c>
      <c r="W187" s="7" t="n">
        <v>599.29</v>
      </c>
      <c r="X187" s="7" t="n">
        <v>599.29</v>
      </c>
      <c r="Y187" s="7" t="n">
        <v>599.29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705</v>
      </c>
      <c r="B188" s="8" t="s">
        <v>706</v>
      </c>
      <c r="C188" s="8" t="s">
        <v>114</v>
      </c>
      <c r="D188" s="8" t="s">
        <v>115</v>
      </c>
      <c r="E188" s="8" t="n">
        <v>1964</v>
      </c>
      <c r="F188" s="8" t="s">
        <v>62</v>
      </c>
      <c r="G188" s="8" t="s">
        <v>310</v>
      </c>
      <c r="H188" s="8" t="s">
        <v>707</v>
      </c>
      <c r="I188" s="8" t="s">
        <v>78</v>
      </c>
      <c r="J188" s="9" t="n">
        <v>495000</v>
      </c>
      <c r="K188" s="8" t="s">
        <v>292</v>
      </c>
      <c r="L188" s="9" t="n">
        <v>4061.48</v>
      </c>
      <c r="M188" s="9" t="n">
        <v>507.69</v>
      </c>
      <c r="N188" s="9" t="n">
        <v>507.69</v>
      </c>
      <c r="O188" s="9" t="n">
        <v>3046.1</v>
      </c>
      <c r="P188" s="9" t="n">
        <v>304.61</v>
      </c>
      <c r="Q188" s="9" t="n">
        <v>304.61</v>
      </c>
      <c r="R188" s="9" t="n">
        <v>304.61</v>
      </c>
      <c r="S188" s="9" t="n">
        <v>304.61</v>
      </c>
      <c r="T188" s="9" t="n">
        <v>304.61</v>
      </c>
      <c r="U188" s="9" t="n">
        <v>304.61</v>
      </c>
      <c r="V188" s="9" t="n">
        <v>304.61</v>
      </c>
      <c r="W188" s="9" t="n">
        <v>304.61</v>
      </c>
      <c r="X188" s="9" t="n">
        <v>304.61</v>
      </c>
      <c r="Y188" s="9" t="n">
        <v>304.61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708</v>
      </c>
      <c r="B189" s="3" t="s">
        <v>709</v>
      </c>
      <c r="C189" s="3" t="s">
        <v>246</v>
      </c>
      <c r="D189" s="3" t="s">
        <v>247</v>
      </c>
      <c r="E189" s="3" t="n">
        <v>1960</v>
      </c>
      <c r="F189" s="3" t="s">
        <v>44</v>
      </c>
      <c r="G189" s="3" t="s">
        <v>76</v>
      </c>
      <c r="H189" s="3" t="s">
        <v>710</v>
      </c>
      <c r="I189" s="3" t="s">
        <v>78</v>
      </c>
      <c r="J189" s="7" t="n">
        <v>870000</v>
      </c>
      <c r="K189" s="3" t="s">
        <v>519</v>
      </c>
      <c r="L189" s="7" t="n">
        <v>6574.07</v>
      </c>
      <c r="M189" s="7" t="n">
        <v>821.76</v>
      </c>
      <c r="N189" s="7" t="n">
        <v>821.76</v>
      </c>
      <c r="O189" s="7" t="n">
        <v>4930.6</v>
      </c>
      <c r="P189" s="7" t="n">
        <v>493.06</v>
      </c>
      <c r="Q189" s="7" t="n">
        <v>493.06</v>
      </c>
      <c r="R189" s="7" t="n">
        <v>493.06</v>
      </c>
      <c r="S189" s="7" t="n">
        <v>493.06</v>
      </c>
      <c r="T189" s="7" t="n">
        <v>493.06</v>
      </c>
      <c r="U189" s="7" t="n">
        <v>493.06</v>
      </c>
      <c r="V189" s="7" t="n">
        <v>493.06</v>
      </c>
      <c r="W189" s="7" t="n">
        <v>493.06</v>
      </c>
      <c r="X189" s="7" t="n">
        <v>493.06</v>
      </c>
      <c r="Y189" s="7" t="n">
        <v>493.06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711</v>
      </c>
      <c r="B190" s="8" t="s">
        <v>712</v>
      </c>
      <c r="C190" s="8" t="s">
        <v>60</v>
      </c>
      <c r="D190" s="8" t="s">
        <v>61</v>
      </c>
      <c r="E190" s="8" t="n">
        <v>2005</v>
      </c>
      <c r="F190" s="8" t="s">
        <v>44</v>
      </c>
      <c r="G190" s="8" t="s">
        <v>45</v>
      </c>
      <c r="H190" s="8" t="s">
        <v>713</v>
      </c>
      <c r="I190" s="8" t="s">
        <v>47</v>
      </c>
      <c r="J190" s="9" t="n">
        <v>410000</v>
      </c>
      <c r="K190" s="8" t="s">
        <v>65</v>
      </c>
      <c r="L190" s="9" t="n">
        <v>9264.9</v>
      </c>
      <c r="M190" s="9" t="n">
        <v>1158.11</v>
      </c>
      <c r="N190" s="9" t="n">
        <v>1158.11</v>
      </c>
      <c r="O190" s="9" t="n">
        <v>6948.7</v>
      </c>
      <c r="P190" s="9" t="n">
        <v>694.87</v>
      </c>
      <c r="Q190" s="9" t="n">
        <v>694.87</v>
      </c>
      <c r="R190" s="9" t="n">
        <v>694.87</v>
      </c>
      <c r="S190" s="9" t="n">
        <v>694.87</v>
      </c>
      <c r="T190" s="9" t="n">
        <v>694.87</v>
      </c>
      <c r="U190" s="9" t="n">
        <v>694.87</v>
      </c>
      <c r="V190" s="9" t="n">
        <v>694.87</v>
      </c>
      <c r="W190" s="9" t="n">
        <v>694.87</v>
      </c>
      <c r="X190" s="9" t="n">
        <v>694.87</v>
      </c>
      <c r="Y190" s="9" t="n">
        <v>694.87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714</v>
      </c>
      <c r="B191" s="3" t="s">
        <v>715</v>
      </c>
      <c r="C191" s="3" t="s">
        <v>60</v>
      </c>
      <c r="D191" s="3" t="s">
        <v>61</v>
      </c>
      <c r="E191" s="3" t="n">
        <v>2021</v>
      </c>
      <c r="F191" s="3" t="s">
        <v>53</v>
      </c>
      <c r="G191" s="3" t="s">
        <v>54</v>
      </c>
      <c r="H191" s="3" t="s">
        <v>716</v>
      </c>
      <c r="I191" s="3" t="s">
        <v>56</v>
      </c>
      <c r="J191" s="7" t="n">
        <v>1015000</v>
      </c>
      <c r="K191" s="3" t="s">
        <v>278</v>
      </c>
      <c r="L191" s="7" t="n">
        <v>10612.78</v>
      </c>
      <c r="M191" s="7" t="n">
        <v>1326.6</v>
      </c>
      <c r="N191" s="7" t="n">
        <v>1326.6</v>
      </c>
      <c r="O191" s="7" t="n">
        <v>7959.6</v>
      </c>
      <c r="P191" s="7" t="n">
        <v>795.96</v>
      </c>
      <c r="Q191" s="7" t="n">
        <v>795.96</v>
      </c>
      <c r="R191" s="7" t="n">
        <v>795.96</v>
      </c>
      <c r="S191" s="7" t="n">
        <v>795.96</v>
      </c>
      <c r="T191" s="7" t="n">
        <v>795.96</v>
      </c>
      <c r="U191" s="7" t="n">
        <v>795.96</v>
      </c>
      <c r="V191" s="7" t="n">
        <v>795.96</v>
      </c>
      <c r="W191" s="7" t="n">
        <v>795.96</v>
      </c>
      <c r="X191" s="7" t="n">
        <v>795.96</v>
      </c>
      <c r="Y191" s="7" t="n">
        <v>795.96</v>
      </c>
      <c r="Z191" s="7" t="n">
        <v>350</v>
      </c>
      <c r="AA191" s="7" t="n">
        <v>250</v>
      </c>
      <c r="AB191" s="7" t="n">
        <v>600</v>
      </c>
    </row>
    <row r="192" customFormat="false" ht="15" hidden="false" customHeight="false" outlineLevel="0" collapsed="false">
      <c r="A192" s="8" t="s">
        <v>717</v>
      </c>
      <c r="B192" s="8" t="s">
        <v>718</v>
      </c>
      <c r="C192" s="8" t="s">
        <v>246</v>
      </c>
      <c r="D192" s="8" t="s">
        <v>247</v>
      </c>
      <c r="E192" s="8" t="n">
        <v>1978</v>
      </c>
      <c r="F192" s="8" t="s">
        <v>62</v>
      </c>
      <c r="G192" s="8" t="s">
        <v>63</v>
      </c>
      <c r="H192" s="8" t="s">
        <v>719</v>
      </c>
      <c r="I192" s="8" t="s">
        <v>56</v>
      </c>
      <c r="J192" s="9" t="n">
        <v>735000</v>
      </c>
      <c r="K192" s="8" t="s">
        <v>301</v>
      </c>
      <c r="L192" s="9" t="n">
        <v>6945.38</v>
      </c>
      <c r="M192" s="9" t="n">
        <v>868.17</v>
      </c>
      <c r="N192" s="9" t="n">
        <v>868.17</v>
      </c>
      <c r="O192" s="9" t="n">
        <v>5209</v>
      </c>
      <c r="P192" s="9" t="n">
        <v>520.9</v>
      </c>
      <c r="Q192" s="9" t="n">
        <v>520.9</v>
      </c>
      <c r="R192" s="9" t="n">
        <v>520.9</v>
      </c>
      <c r="S192" s="9" t="n">
        <v>520.9</v>
      </c>
      <c r="T192" s="9" t="n">
        <v>520.9</v>
      </c>
      <c r="U192" s="9" t="n">
        <v>520.9</v>
      </c>
      <c r="V192" s="9" t="n">
        <v>520.9</v>
      </c>
      <c r="W192" s="9" t="n">
        <v>520.9</v>
      </c>
      <c r="X192" s="9" t="n">
        <v>520.9</v>
      </c>
      <c r="Y192" s="9" t="n">
        <v>520.9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720</v>
      </c>
      <c r="B193" s="3" t="s">
        <v>686</v>
      </c>
      <c r="C193" s="3" t="s">
        <v>177</v>
      </c>
      <c r="D193" s="3" t="s">
        <v>178</v>
      </c>
      <c r="E193" s="3" t="n">
        <v>2023</v>
      </c>
      <c r="F193" s="3" t="s">
        <v>53</v>
      </c>
      <c r="G193" s="3" t="s">
        <v>54</v>
      </c>
      <c r="H193" s="3" t="s">
        <v>721</v>
      </c>
      <c r="I193" s="3" t="s">
        <v>56</v>
      </c>
      <c r="J193" s="7" t="n">
        <v>790000</v>
      </c>
      <c r="K193" s="3" t="s">
        <v>90</v>
      </c>
      <c r="L193" s="7" t="n">
        <v>10500.36</v>
      </c>
      <c r="M193" s="7" t="n">
        <v>1312.55</v>
      </c>
      <c r="N193" s="7" t="n">
        <v>1312.55</v>
      </c>
      <c r="O193" s="7" t="n">
        <v>7875.3</v>
      </c>
      <c r="P193" s="7" t="n">
        <v>787.53</v>
      </c>
      <c r="Q193" s="7" t="n">
        <v>787.53</v>
      </c>
      <c r="R193" s="7" t="n">
        <v>787.53</v>
      </c>
      <c r="S193" s="7" t="n">
        <v>787.53</v>
      </c>
      <c r="T193" s="7" t="n">
        <v>787.53</v>
      </c>
      <c r="U193" s="7" t="n">
        <v>787.53</v>
      </c>
      <c r="V193" s="7" t="n">
        <v>787.53</v>
      </c>
      <c r="W193" s="7" t="n">
        <v>787.53</v>
      </c>
      <c r="X193" s="7" t="n">
        <v>787.53</v>
      </c>
      <c r="Y193" s="7" t="n">
        <v>787.53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722</v>
      </c>
      <c r="B194" s="8" t="s">
        <v>723</v>
      </c>
      <c r="C194" s="8" t="s">
        <v>272</v>
      </c>
      <c r="D194" s="8" t="s">
        <v>273</v>
      </c>
      <c r="E194" s="8" t="n">
        <v>2017</v>
      </c>
      <c r="F194" s="8" t="s">
        <v>83</v>
      </c>
      <c r="G194" s="8" t="s">
        <v>84</v>
      </c>
      <c r="H194" s="8" t="s">
        <v>724</v>
      </c>
      <c r="I194" s="8" t="s">
        <v>56</v>
      </c>
      <c r="J194" s="9" t="n">
        <v>760000</v>
      </c>
      <c r="K194" s="8" t="s">
        <v>98</v>
      </c>
      <c r="L194" s="9" t="n">
        <v>9864.85</v>
      </c>
      <c r="M194" s="9" t="n">
        <v>1233.11</v>
      </c>
      <c r="N194" s="9" t="n">
        <v>1233.11</v>
      </c>
      <c r="O194" s="9" t="n">
        <v>7398.6</v>
      </c>
      <c r="P194" s="9" t="n">
        <v>739.86</v>
      </c>
      <c r="Q194" s="9" t="n">
        <v>739.86</v>
      </c>
      <c r="R194" s="9" t="n">
        <v>739.86</v>
      </c>
      <c r="S194" s="9" t="n">
        <v>739.86</v>
      </c>
      <c r="T194" s="9" t="n">
        <v>739.86</v>
      </c>
      <c r="U194" s="9" t="n">
        <v>739.86</v>
      </c>
      <c r="V194" s="9" t="n">
        <v>739.86</v>
      </c>
      <c r="W194" s="9" t="n">
        <v>739.86</v>
      </c>
      <c r="X194" s="9" t="n">
        <v>739.86</v>
      </c>
      <c r="Y194" s="9" t="n">
        <v>739.86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725</v>
      </c>
      <c r="B195" s="3" t="s">
        <v>726</v>
      </c>
      <c r="C195" s="3" t="s">
        <v>68</v>
      </c>
      <c r="D195" s="3" t="s">
        <v>69</v>
      </c>
      <c r="E195" s="3" t="n">
        <v>1986</v>
      </c>
      <c r="F195" s="3" t="s">
        <v>107</v>
      </c>
      <c r="G195" s="3" t="s">
        <v>134</v>
      </c>
      <c r="H195" s="3" t="s">
        <v>727</v>
      </c>
      <c r="I195" s="3" t="s">
        <v>56</v>
      </c>
      <c r="J195" s="7" t="n">
        <v>665000</v>
      </c>
      <c r="K195" s="3" t="s">
        <v>86</v>
      </c>
      <c r="L195" s="7" t="n">
        <v>9322.29</v>
      </c>
      <c r="M195" s="7" t="n">
        <v>1165.29</v>
      </c>
      <c r="N195" s="7" t="n">
        <v>1165.29</v>
      </c>
      <c r="O195" s="7" t="n">
        <v>6991.7</v>
      </c>
      <c r="P195" s="7" t="n">
        <v>699.17</v>
      </c>
      <c r="Q195" s="7" t="n">
        <v>699.17</v>
      </c>
      <c r="R195" s="7" t="n">
        <v>699.17</v>
      </c>
      <c r="S195" s="7" t="n">
        <v>699.17</v>
      </c>
      <c r="T195" s="7" t="n">
        <v>699.17</v>
      </c>
      <c r="U195" s="7" t="n">
        <v>699.17</v>
      </c>
      <c r="V195" s="7" t="n">
        <v>699.17</v>
      </c>
      <c r="W195" s="7" t="n">
        <v>699.17</v>
      </c>
      <c r="X195" s="7" t="n">
        <v>699.17</v>
      </c>
      <c r="Y195" s="7" t="n">
        <v>699.17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728</v>
      </c>
      <c r="B196" s="8" t="s">
        <v>523</v>
      </c>
      <c r="C196" s="8" t="s">
        <v>139</v>
      </c>
      <c r="D196" s="8" t="s">
        <v>140</v>
      </c>
      <c r="E196" s="8" t="n">
        <v>2018</v>
      </c>
      <c r="F196" s="8" t="s">
        <v>155</v>
      </c>
      <c r="G196" s="8" t="s">
        <v>156</v>
      </c>
      <c r="H196" s="8" t="s">
        <v>729</v>
      </c>
      <c r="I196" s="8" t="s">
        <v>78</v>
      </c>
      <c r="J196" s="9" t="n">
        <v>755000</v>
      </c>
      <c r="K196" s="8" t="s">
        <v>164</v>
      </c>
      <c r="L196" s="9" t="n">
        <v>5290.16</v>
      </c>
      <c r="M196" s="9" t="n">
        <v>661.27</v>
      </c>
      <c r="N196" s="9" t="n">
        <v>661.27</v>
      </c>
      <c r="O196" s="9" t="n">
        <v>3967.6</v>
      </c>
      <c r="P196" s="9" t="n">
        <v>396.76</v>
      </c>
      <c r="Q196" s="9" t="n">
        <v>396.76</v>
      </c>
      <c r="R196" s="9" t="n">
        <v>396.76</v>
      </c>
      <c r="S196" s="9" t="n">
        <v>396.76</v>
      </c>
      <c r="T196" s="9" t="n">
        <v>396.76</v>
      </c>
      <c r="U196" s="9" t="n">
        <v>396.76</v>
      </c>
      <c r="V196" s="9" t="n">
        <v>396.76</v>
      </c>
      <c r="W196" s="9" t="n">
        <v>396.76</v>
      </c>
      <c r="X196" s="9" t="n">
        <v>396.76</v>
      </c>
      <c r="Y196" s="9" t="n">
        <v>396.76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730</v>
      </c>
      <c r="B197" s="3" t="s">
        <v>731</v>
      </c>
      <c r="C197" s="3" t="s">
        <v>295</v>
      </c>
      <c r="D197" s="3" t="s">
        <v>296</v>
      </c>
      <c r="E197" s="3" t="n">
        <v>1983</v>
      </c>
      <c r="F197" s="3" t="s">
        <v>44</v>
      </c>
      <c r="G197" s="3" t="s">
        <v>45</v>
      </c>
      <c r="H197" s="3" t="s">
        <v>732</v>
      </c>
      <c r="I197" s="3" t="s">
        <v>47</v>
      </c>
      <c r="J197" s="7" t="n">
        <v>965000</v>
      </c>
      <c r="K197" s="3" t="s">
        <v>228</v>
      </c>
      <c r="L197" s="7" t="n">
        <v>20357.27</v>
      </c>
      <c r="M197" s="7" t="n">
        <v>2544.66</v>
      </c>
      <c r="N197" s="7" t="n">
        <v>2544.66</v>
      </c>
      <c r="O197" s="7" t="n">
        <v>15268</v>
      </c>
      <c r="P197" s="7" t="n">
        <v>1526.8</v>
      </c>
      <c r="Q197" s="7" t="n">
        <v>1526.8</v>
      </c>
      <c r="R197" s="7" t="n">
        <v>1526.8</v>
      </c>
      <c r="S197" s="7" t="n">
        <v>1526.8</v>
      </c>
      <c r="T197" s="7" t="n">
        <v>1526.8</v>
      </c>
      <c r="U197" s="7" t="n">
        <v>1526.8</v>
      </c>
      <c r="V197" s="7" t="n">
        <v>1526.8</v>
      </c>
      <c r="W197" s="7" t="n">
        <v>1526.8</v>
      </c>
      <c r="X197" s="7" t="n">
        <v>1526.8</v>
      </c>
      <c r="Y197" s="7" t="n">
        <v>1526.8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733</v>
      </c>
      <c r="B198" s="8" t="s">
        <v>589</v>
      </c>
      <c r="C198" s="8" t="s">
        <v>42</v>
      </c>
      <c r="D198" s="8" t="s">
        <v>43</v>
      </c>
      <c r="E198" s="8" t="n">
        <v>2017</v>
      </c>
      <c r="F198" s="8" t="s">
        <v>225</v>
      </c>
      <c r="G198" s="8" t="s">
        <v>226</v>
      </c>
      <c r="H198" s="8" t="s">
        <v>734</v>
      </c>
      <c r="I198" s="8" t="s">
        <v>78</v>
      </c>
      <c r="J198" s="9" t="n">
        <v>350000</v>
      </c>
      <c r="K198" s="8" t="s">
        <v>125</v>
      </c>
      <c r="L198" s="9" t="n">
        <v>3650.07</v>
      </c>
      <c r="M198" s="9" t="n">
        <v>456.26</v>
      </c>
      <c r="N198" s="9" t="n">
        <v>456.26</v>
      </c>
      <c r="O198" s="9" t="n">
        <v>2737.6</v>
      </c>
      <c r="P198" s="9" t="n">
        <v>273.76</v>
      </c>
      <c r="Q198" s="9" t="n">
        <v>273.76</v>
      </c>
      <c r="R198" s="9" t="n">
        <v>273.76</v>
      </c>
      <c r="S198" s="9" t="n">
        <v>273.76</v>
      </c>
      <c r="T198" s="9" t="n">
        <v>273.76</v>
      </c>
      <c r="U198" s="9" t="n">
        <v>273.76</v>
      </c>
      <c r="V198" s="9" t="n">
        <v>273.76</v>
      </c>
      <c r="W198" s="9" t="n">
        <v>273.76</v>
      </c>
      <c r="X198" s="9" t="n">
        <v>273.76</v>
      </c>
      <c r="Y198" s="9" t="n">
        <v>273.76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735</v>
      </c>
      <c r="B199" s="3" t="s">
        <v>288</v>
      </c>
      <c r="C199" s="3" t="s">
        <v>42</v>
      </c>
      <c r="D199" s="3" t="s">
        <v>43</v>
      </c>
      <c r="E199" s="3" t="n">
        <v>1957</v>
      </c>
      <c r="F199" s="3" t="s">
        <v>53</v>
      </c>
      <c r="G199" s="3" t="s">
        <v>54</v>
      </c>
      <c r="H199" s="3" t="s">
        <v>736</v>
      </c>
      <c r="I199" s="3" t="s">
        <v>56</v>
      </c>
      <c r="J199" s="7" t="n">
        <v>365000</v>
      </c>
      <c r="K199" s="3" t="s">
        <v>71</v>
      </c>
      <c r="L199" s="7" t="n">
        <v>4373.28</v>
      </c>
      <c r="M199" s="7" t="n">
        <v>546.66</v>
      </c>
      <c r="N199" s="7" t="n">
        <v>546.66</v>
      </c>
      <c r="O199" s="7" t="n">
        <v>3280</v>
      </c>
      <c r="P199" s="7" t="n">
        <v>328</v>
      </c>
      <c r="Q199" s="7" t="n">
        <v>328</v>
      </c>
      <c r="R199" s="7" t="n">
        <v>328</v>
      </c>
      <c r="S199" s="7" t="n">
        <v>328</v>
      </c>
      <c r="T199" s="7" t="n">
        <v>328</v>
      </c>
      <c r="U199" s="7" t="n">
        <v>328</v>
      </c>
      <c r="V199" s="7" t="n">
        <v>328</v>
      </c>
      <c r="W199" s="7" t="n">
        <v>328</v>
      </c>
      <c r="X199" s="7" t="n">
        <v>328</v>
      </c>
      <c r="Y199" s="7" t="n">
        <v>328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737</v>
      </c>
      <c r="B200" s="8" t="s">
        <v>706</v>
      </c>
      <c r="C200" s="8" t="s">
        <v>60</v>
      </c>
      <c r="D200" s="8" t="s">
        <v>61</v>
      </c>
      <c r="E200" s="8" t="n">
        <v>1971</v>
      </c>
      <c r="F200" s="8" t="s">
        <v>44</v>
      </c>
      <c r="G200" s="8" t="s">
        <v>76</v>
      </c>
      <c r="H200" s="8" t="s">
        <v>738</v>
      </c>
      <c r="I200" s="8" t="s">
        <v>78</v>
      </c>
      <c r="J200" s="9" t="n">
        <v>610000</v>
      </c>
      <c r="K200" s="8" t="s">
        <v>86</v>
      </c>
      <c r="L200" s="9" t="n">
        <v>5657</v>
      </c>
      <c r="M200" s="9" t="n">
        <v>707.12</v>
      </c>
      <c r="N200" s="9" t="n">
        <v>707.12</v>
      </c>
      <c r="O200" s="9" t="n">
        <v>4242.7</v>
      </c>
      <c r="P200" s="9" t="n">
        <v>424.27</v>
      </c>
      <c r="Q200" s="9" t="n">
        <v>424.27</v>
      </c>
      <c r="R200" s="9" t="n">
        <v>424.27</v>
      </c>
      <c r="S200" s="9" t="n">
        <v>424.27</v>
      </c>
      <c r="T200" s="9" t="n">
        <v>424.27</v>
      </c>
      <c r="U200" s="9" t="n">
        <v>424.27</v>
      </c>
      <c r="V200" s="9" t="n">
        <v>424.27</v>
      </c>
      <c r="W200" s="9" t="n">
        <v>424.27</v>
      </c>
      <c r="X200" s="9" t="n">
        <v>424.27</v>
      </c>
      <c r="Y200" s="9" t="n">
        <v>424.27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739</v>
      </c>
      <c r="B201" s="3" t="s">
        <v>430</v>
      </c>
      <c r="C201" s="3" t="s">
        <v>51</v>
      </c>
      <c r="D201" s="3" t="s">
        <v>52</v>
      </c>
      <c r="E201" s="3" t="n">
        <v>1957</v>
      </c>
      <c r="F201" s="3" t="s">
        <v>53</v>
      </c>
      <c r="G201" s="3" t="s">
        <v>54</v>
      </c>
      <c r="H201" s="3" t="s">
        <v>740</v>
      </c>
      <c r="I201" s="3" t="s">
        <v>56</v>
      </c>
      <c r="J201" s="7" t="n">
        <v>775000</v>
      </c>
      <c r="K201" s="3" t="s">
        <v>312</v>
      </c>
      <c r="L201" s="7" t="n">
        <v>9979.08</v>
      </c>
      <c r="M201" s="7" t="n">
        <v>1247.38</v>
      </c>
      <c r="N201" s="7" t="n">
        <v>1247.38</v>
      </c>
      <c r="O201" s="7" t="n">
        <v>7484.3</v>
      </c>
      <c r="P201" s="7" t="n">
        <v>748.43</v>
      </c>
      <c r="Q201" s="7" t="n">
        <v>748.43</v>
      </c>
      <c r="R201" s="7" t="n">
        <v>748.43</v>
      </c>
      <c r="S201" s="7" t="n">
        <v>748.43</v>
      </c>
      <c r="T201" s="7" t="n">
        <v>748.43</v>
      </c>
      <c r="U201" s="7" t="n">
        <v>748.43</v>
      </c>
      <c r="V201" s="7" t="n">
        <v>748.43</v>
      </c>
      <c r="W201" s="7" t="n">
        <v>748.43</v>
      </c>
      <c r="X201" s="7" t="n">
        <v>748.43</v>
      </c>
      <c r="Y201" s="7" t="n">
        <v>748.43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741</v>
      </c>
      <c r="B202" s="8" t="s">
        <v>742</v>
      </c>
      <c r="C202" s="8" t="s">
        <v>219</v>
      </c>
      <c r="D202" s="8" t="s">
        <v>220</v>
      </c>
      <c r="E202" s="8" t="n">
        <v>2015</v>
      </c>
      <c r="F202" s="8" t="s">
        <v>477</v>
      </c>
      <c r="G202" s="8" t="s">
        <v>478</v>
      </c>
      <c r="H202" s="8" t="s">
        <v>743</v>
      </c>
      <c r="I202" s="8" t="s">
        <v>110</v>
      </c>
      <c r="J202" s="9" t="n">
        <v>1405000</v>
      </c>
      <c r="K202" s="8" t="s">
        <v>90</v>
      </c>
      <c r="L202" s="9" t="n">
        <v>9768.3</v>
      </c>
      <c r="M202" s="9" t="n">
        <v>1221.04</v>
      </c>
      <c r="N202" s="9" t="n">
        <v>1221.04</v>
      </c>
      <c r="O202" s="9" t="n">
        <v>7326.2</v>
      </c>
      <c r="P202" s="9" t="n">
        <v>732.62</v>
      </c>
      <c r="Q202" s="9" t="n">
        <v>732.62</v>
      </c>
      <c r="R202" s="9" t="n">
        <v>732.62</v>
      </c>
      <c r="S202" s="9" t="n">
        <v>732.62</v>
      </c>
      <c r="T202" s="9" t="n">
        <v>732.62</v>
      </c>
      <c r="U202" s="9" t="n">
        <v>732.62</v>
      </c>
      <c r="V202" s="9" t="n">
        <v>732.62</v>
      </c>
      <c r="W202" s="9" t="n">
        <v>732.62</v>
      </c>
      <c r="X202" s="9" t="n">
        <v>732.62</v>
      </c>
      <c r="Y202" s="9" t="n">
        <v>732.62</v>
      </c>
      <c r="Z202" s="9" t="n">
        <v>350</v>
      </c>
      <c r="AA202" s="9" t="n">
        <v>250</v>
      </c>
      <c r="AB202" s="9" t="n">
        <v>600</v>
      </c>
    </row>
    <row r="203" customFormat="false" ht="15" hidden="false" customHeight="false" outlineLevel="0" collapsed="false">
      <c r="A203" s="3" t="s">
        <v>744</v>
      </c>
      <c r="B203" s="3" t="s">
        <v>645</v>
      </c>
      <c r="C203" s="3" t="s">
        <v>189</v>
      </c>
      <c r="D203" s="3" t="s">
        <v>190</v>
      </c>
      <c r="E203" s="3" t="n">
        <v>2009</v>
      </c>
      <c r="F203" s="3" t="s">
        <v>83</v>
      </c>
      <c r="G203" s="3" t="s">
        <v>84</v>
      </c>
      <c r="H203" s="3" t="s">
        <v>745</v>
      </c>
      <c r="I203" s="3" t="s">
        <v>56</v>
      </c>
      <c r="J203" s="7" t="n">
        <v>375000</v>
      </c>
      <c r="K203" s="3" t="s">
        <v>213</v>
      </c>
      <c r="L203" s="7" t="n">
        <v>6155.55</v>
      </c>
      <c r="M203" s="7" t="n">
        <v>769.44</v>
      </c>
      <c r="N203" s="7" t="n">
        <v>769.44</v>
      </c>
      <c r="O203" s="7" t="n">
        <v>4616.7</v>
      </c>
      <c r="P203" s="7" t="n">
        <v>461.67</v>
      </c>
      <c r="Q203" s="7" t="n">
        <v>461.67</v>
      </c>
      <c r="R203" s="7" t="n">
        <v>461.67</v>
      </c>
      <c r="S203" s="7" t="n">
        <v>461.67</v>
      </c>
      <c r="T203" s="7" t="n">
        <v>461.67</v>
      </c>
      <c r="U203" s="7" t="n">
        <v>461.67</v>
      </c>
      <c r="V203" s="7" t="n">
        <v>461.67</v>
      </c>
      <c r="W203" s="7" t="n">
        <v>461.67</v>
      </c>
      <c r="X203" s="7" t="n">
        <v>461.67</v>
      </c>
      <c r="Y203" s="7" t="n">
        <v>461.67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746</v>
      </c>
      <c r="B204" s="8" t="s">
        <v>747</v>
      </c>
      <c r="C204" s="8" t="s">
        <v>252</v>
      </c>
      <c r="D204" s="8" t="s">
        <v>253</v>
      </c>
      <c r="E204" s="8" t="n">
        <v>2007</v>
      </c>
      <c r="F204" s="8" t="s">
        <v>83</v>
      </c>
      <c r="G204" s="8" t="s">
        <v>84</v>
      </c>
      <c r="H204" s="8" t="s">
        <v>748</v>
      </c>
      <c r="I204" s="8" t="s">
        <v>56</v>
      </c>
      <c r="J204" s="9" t="n">
        <v>855000</v>
      </c>
      <c r="K204" s="8" t="s">
        <v>278</v>
      </c>
      <c r="L204" s="9" t="n">
        <v>10565.26</v>
      </c>
      <c r="M204" s="9" t="n">
        <v>1320.66</v>
      </c>
      <c r="N204" s="9" t="n">
        <v>1320.66</v>
      </c>
      <c r="O204" s="9" t="n">
        <v>7923.9</v>
      </c>
      <c r="P204" s="9" t="n">
        <v>792.39</v>
      </c>
      <c r="Q204" s="9" t="n">
        <v>792.39</v>
      </c>
      <c r="R204" s="9" t="n">
        <v>792.39</v>
      </c>
      <c r="S204" s="9" t="n">
        <v>792.39</v>
      </c>
      <c r="T204" s="9" t="n">
        <v>792.39</v>
      </c>
      <c r="U204" s="9" t="n">
        <v>792.39</v>
      </c>
      <c r="V204" s="9" t="n">
        <v>792.39</v>
      </c>
      <c r="W204" s="9" t="n">
        <v>792.39</v>
      </c>
      <c r="X204" s="9" t="n">
        <v>792.39</v>
      </c>
      <c r="Y204" s="9" t="n">
        <v>792.39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749</v>
      </c>
      <c r="B205" s="3" t="s">
        <v>750</v>
      </c>
      <c r="C205" s="3" t="s">
        <v>252</v>
      </c>
      <c r="D205" s="3" t="s">
        <v>253</v>
      </c>
      <c r="E205" s="3" t="n">
        <v>1956</v>
      </c>
      <c r="F205" s="3" t="s">
        <v>155</v>
      </c>
      <c r="G205" s="3" t="s">
        <v>191</v>
      </c>
      <c r="H205" s="3" t="s">
        <v>751</v>
      </c>
      <c r="I205" s="3" t="s">
        <v>56</v>
      </c>
      <c r="J205" s="7" t="n">
        <v>450000</v>
      </c>
      <c r="K205" s="3" t="s">
        <v>249</v>
      </c>
      <c r="L205" s="7" t="n">
        <v>6146.56</v>
      </c>
      <c r="M205" s="7" t="n">
        <v>768.32</v>
      </c>
      <c r="N205" s="7" t="n">
        <v>768.32</v>
      </c>
      <c r="O205" s="7" t="n">
        <v>4609.9</v>
      </c>
      <c r="P205" s="7" t="n">
        <v>460.99</v>
      </c>
      <c r="Q205" s="7" t="n">
        <v>460.99</v>
      </c>
      <c r="R205" s="7" t="n">
        <v>460.99</v>
      </c>
      <c r="S205" s="7" t="n">
        <v>460.99</v>
      </c>
      <c r="T205" s="7" t="n">
        <v>460.99</v>
      </c>
      <c r="U205" s="7" t="n">
        <v>460.99</v>
      </c>
      <c r="V205" s="7" t="n">
        <v>460.99</v>
      </c>
      <c r="W205" s="7" t="n">
        <v>460.99</v>
      </c>
      <c r="X205" s="7" t="n">
        <v>460.99</v>
      </c>
      <c r="Y205" s="7" t="n">
        <v>460.99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752</v>
      </c>
      <c r="B206" s="8" t="s">
        <v>753</v>
      </c>
      <c r="C206" s="8" t="s">
        <v>171</v>
      </c>
      <c r="D206" s="8" t="s">
        <v>172</v>
      </c>
      <c r="E206" s="8" t="n">
        <v>1957</v>
      </c>
      <c r="F206" s="8" t="s">
        <v>122</v>
      </c>
      <c r="G206" s="8" t="s">
        <v>123</v>
      </c>
      <c r="H206" s="8" t="s">
        <v>754</v>
      </c>
      <c r="I206" s="8" t="s">
        <v>56</v>
      </c>
      <c r="J206" s="9" t="n">
        <v>660000</v>
      </c>
      <c r="K206" s="8" t="s">
        <v>519</v>
      </c>
      <c r="L206" s="9" t="n">
        <v>7538.82</v>
      </c>
      <c r="M206" s="9" t="n">
        <v>942.35</v>
      </c>
      <c r="N206" s="9" t="n">
        <v>942.35</v>
      </c>
      <c r="O206" s="9" t="n">
        <v>5654.1</v>
      </c>
      <c r="P206" s="9" t="n">
        <v>565.41</v>
      </c>
      <c r="Q206" s="9" t="n">
        <v>565.41</v>
      </c>
      <c r="R206" s="9" t="n">
        <v>565.41</v>
      </c>
      <c r="S206" s="9" t="n">
        <v>565.41</v>
      </c>
      <c r="T206" s="9" t="n">
        <v>565.41</v>
      </c>
      <c r="U206" s="9" t="n">
        <v>565.41</v>
      </c>
      <c r="V206" s="9" t="n">
        <v>565.41</v>
      </c>
      <c r="W206" s="9" t="n">
        <v>565.41</v>
      </c>
      <c r="X206" s="9" t="n">
        <v>565.41</v>
      </c>
      <c r="Y206" s="9" t="n">
        <v>565.41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755</v>
      </c>
      <c r="B207" s="3" t="s">
        <v>756</v>
      </c>
      <c r="C207" s="3" t="s">
        <v>81</v>
      </c>
      <c r="D207" s="3" t="s">
        <v>82</v>
      </c>
      <c r="E207" s="3" t="n">
        <v>1995</v>
      </c>
      <c r="F207" s="3" t="s">
        <v>107</v>
      </c>
      <c r="G207" s="3" t="s">
        <v>134</v>
      </c>
      <c r="H207" s="3" t="s">
        <v>757</v>
      </c>
      <c r="I207" s="3" t="s">
        <v>56</v>
      </c>
      <c r="J207" s="7" t="n">
        <v>815000</v>
      </c>
      <c r="K207" s="3" t="s">
        <v>301</v>
      </c>
      <c r="L207" s="7" t="n">
        <v>7701.34</v>
      </c>
      <c r="M207" s="7" t="n">
        <v>962.67</v>
      </c>
      <c r="N207" s="7" t="n">
        <v>962.67</v>
      </c>
      <c r="O207" s="7" t="n">
        <v>5776</v>
      </c>
      <c r="P207" s="7" t="n">
        <v>577.6</v>
      </c>
      <c r="Q207" s="7" t="n">
        <v>577.6</v>
      </c>
      <c r="R207" s="7" t="n">
        <v>577.6</v>
      </c>
      <c r="S207" s="7" t="n">
        <v>577.6</v>
      </c>
      <c r="T207" s="7" t="n">
        <v>577.6</v>
      </c>
      <c r="U207" s="7" t="n">
        <v>577.6</v>
      </c>
      <c r="V207" s="7" t="n">
        <v>577.6</v>
      </c>
      <c r="W207" s="7" t="n">
        <v>577.6</v>
      </c>
      <c r="X207" s="7" t="n">
        <v>577.6</v>
      </c>
      <c r="Y207" s="7" t="n">
        <v>577.6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758</v>
      </c>
      <c r="B208" s="8" t="s">
        <v>400</v>
      </c>
      <c r="C208" s="8" t="s">
        <v>284</v>
      </c>
      <c r="D208" s="8" t="s">
        <v>285</v>
      </c>
      <c r="E208" s="8" t="n">
        <v>2023</v>
      </c>
      <c r="F208" s="8" t="s">
        <v>83</v>
      </c>
      <c r="G208" s="8" t="s">
        <v>84</v>
      </c>
      <c r="H208" s="8" t="s">
        <v>759</v>
      </c>
      <c r="I208" s="8" t="s">
        <v>56</v>
      </c>
      <c r="J208" s="9" t="n">
        <v>1595000</v>
      </c>
      <c r="K208" s="8" t="s">
        <v>71</v>
      </c>
      <c r="L208" s="9" t="n">
        <v>14014.49</v>
      </c>
      <c r="M208" s="9" t="n">
        <v>1751.81</v>
      </c>
      <c r="N208" s="9" t="n">
        <v>1751.81</v>
      </c>
      <c r="O208" s="9" t="n">
        <v>10510.9</v>
      </c>
      <c r="P208" s="9" t="n">
        <v>1051.09</v>
      </c>
      <c r="Q208" s="9" t="n">
        <v>1051.09</v>
      </c>
      <c r="R208" s="9" t="n">
        <v>1051.09</v>
      </c>
      <c r="S208" s="9" t="n">
        <v>1051.09</v>
      </c>
      <c r="T208" s="9" t="n">
        <v>1051.09</v>
      </c>
      <c r="U208" s="9" t="n">
        <v>1051.09</v>
      </c>
      <c r="V208" s="9" t="n">
        <v>1051.09</v>
      </c>
      <c r="W208" s="9" t="n">
        <v>1051.09</v>
      </c>
      <c r="X208" s="9" t="n">
        <v>1051.09</v>
      </c>
      <c r="Y208" s="9" t="n">
        <v>1051.09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760</v>
      </c>
      <c r="B209" s="3" t="s">
        <v>660</v>
      </c>
      <c r="C209" s="3" t="s">
        <v>139</v>
      </c>
      <c r="D209" s="3" t="s">
        <v>140</v>
      </c>
      <c r="E209" s="3" t="n">
        <v>1968</v>
      </c>
      <c r="F209" s="3" t="s">
        <v>53</v>
      </c>
      <c r="G209" s="3" t="s">
        <v>54</v>
      </c>
      <c r="H209" s="3" t="s">
        <v>761</v>
      </c>
      <c r="I209" s="3" t="s">
        <v>56</v>
      </c>
      <c r="J209" s="7" t="n">
        <v>760000</v>
      </c>
      <c r="K209" s="3" t="s">
        <v>762</v>
      </c>
      <c r="L209" s="7" t="n">
        <v>8602.15</v>
      </c>
      <c r="M209" s="7" t="n">
        <v>1075.27</v>
      </c>
      <c r="N209" s="7" t="n">
        <v>1075.27</v>
      </c>
      <c r="O209" s="7" t="n">
        <v>6451.6</v>
      </c>
      <c r="P209" s="7" t="n">
        <v>645.16</v>
      </c>
      <c r="Q209" s="7" t="n">
        <v>645.16</v>
      </c>
      <c r="R209" s="7" t="n">
        <v>645.16</v>
      </c>
      <c r="S209" s="7" t="n">
        <v>645.16</v>
      </c>
      <c r="T209" s="7" t="n">
        <v>645.16</v>
      </c>
      <c r="U209" s="7" t="n">
        <v>645.16</v>
      </c>
      <c r="V209" s="7" t="n">
        <v>645.16</v>
      </c>
      <c r="W209" s="7" t="n">
        <v>645.16</v>
      </c>
      <c r="X209" s="7" t="n">
        <v>645.16</v>
      </c>
      <c r="Y209" s="7" t="n">
        <v>645.16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763</v>
      </c>
      <c r="B210" s="8" t="s">
        <v>764</v>
      </c>
      <c r="C210" s="8" t="s">
        <v>267</v>
      </c>
      <c r="D210" s="8" t="s">
        <v>268</v>
      </c>
      <c r="E210" s="8" t="n">
        <v>1972</v>
      </c>
      <c r="F210" s="8" t="s">
        <v>107</v>
      </c>
      <c r="G210" s="8" t="s">
        <v>134</v>
      </c>
      <c r="H210" s="8" t="s">
        <v>765</v>
      </c>
      <c r="I210" s="8" t="s">
        <v>56</v>
      </c>
      <c r="J210" s="9" t="n">
        <v>1895000</v>
      </c>
      <c r="K210" s="8" t="s">
        <v>98</v>
      </c>
      <c r="L210" s="9" t="n">
        <v>20813.05</v>
      </c>
      <c r="M210" s="9" t="n">
        <v>2601.63</v>
      </c>
      <c r="N210" s="9" t="n">
        <v>2601.63</v>
      </c>
      <c r="O210" s="9" t="n">
        <v>15609.8</v>
      </c>
      <c r="P210" s="9" t="n">
        <v>1560.98</v>
      </c>
      <c r="Q210" s="9" t="n">
        <v>1560.98</v>
      </c>
      <c r="R210" s="9" t="n">
        <v>1560.98</v>
      </c>
      <c r="S210" s="9" t="n">
        <v>1560.98</v>
      </c>
      <c r="T210" s="9" t="n">
        <v>1560.98</v>
      </c>
      <c r="U210" s="9" t="n">
        <v>1560.98</v>
      </c>
      <c r="V210" s="9" t="n">
        <v>1560.98</v>
      </c>
      <c r="W210" s="9" t="n">
        <v>1560.98</v>
      </c>
      <c r="X210" s="9" t="n">
        <v>1560.98</v>
      </c>
      <c r="Y210" s="9" t="n">
        <v>1560.98</v>
      </c>
      <c r="Z210" s="9" t="n">
        <v>350</v>
      </c>
      <c r="AA210" s="9" t="n">
        <v>250</v>
      </c>
      <c r="AB210" s="9" t="n">
        <v>600</v>
      </c>
    </row>
    <row r="211" customFormat="false" ht="15" hidden="false" customHeight="false" outlineLevel="0" collapsed="false">
      <c r="A211" s="3" t="s">
        <v>766</v>
      </c>
      <c r="B211" s="3" t="s">
        <v>767</v>
      </c>
      <c r="C211" s="3" t="s">
        <v>246</v>
      </c>
      <c r="D211" s="3" t="s">
        <v>247</v>
      </c>
      <c r="E211" s="3" t="n">
        <v>1982</v>
      </c>
      <c r="F211" s="3" t="s">
        <v>107</v>
      </c>
      <c r="G211" s="3" t="s">
        <v>134</v>
      </c>
      <c r="H211" s="3" t="s">
        <v>768</v>
      </c>
      <c r="I211" s="3" t="s">
        <v>56</v>
      </c>
      <c r="J211" s="7" t="n">
        <v>420000</v>
      </c>
      <c r="K211" s="3" t="s">
        <v>432</v>
      </c>
      <c r="L211" s="7" t="n">
        <v>4881.3</v>
      </c>
      <c r="M211" s="7" t="n">
        <v>610.16</v>
      </c>
      <c r="N211" s="7" t="n">
        <v>610.16</v>
      </c>
      <c r="O211" s="7" t="n">
        <v>3661</v>
      </c>
      <c r="P211" s="7" t="n">
        <v>366.1</v>
      </c>
      <c r="Q211" s="7" t="n">
        <v>366.1</v>
      </c>
      <c r="R211" s="7" t="n">
        <v>366.1</v>
      </c>
      <c r="S211" s="7" t="n">
        <v>366.1</v>
      </c>
      <c r="T211" s="7" t="n">
        <v>366.1</v>
      </c>
      <c r="U211" s="7" t="n">
        <v>366.1</v>
      </c>
      <c r="V211" s="7" t="n">
        <v>366.1</v>
      </c>
      <c r="W211" s="7" t="n">
        <v>366.1</v>
      </c>
      <c r="X211" s="7" t="n">
        <v>366.1</v>
      </c>
      <c r="Y211" s="7" t="n">
        <v>366.1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769</v>
      </c>
      <c r="B212" s="8" t="s">
        <v>770</v>
      </c>
      <c r="C212" s="8" t="s">
        <v>153</v>
      </c>
      <c r="D212" s="8" t="s">
        <v>154</v>
      </c>
      <c r="E212" s="8" t="n">
        <v>1986</v>
      </c>
      <c r="F212" s="8" t="s">
        <v>62</v>
      </c>
      <c r="G212" s="8" t="s">
        <v>63</v>
      </c>
      <c r="H212" s="8" t="s">
        <v>771</v>
      </c>
      <c r="I212" s="8" t="s">
        <v>56</v>
      </c>
      <c r="J212" s="9" t="n">
        <v>855000</v>
      </c>
      <c r="K212" s="8" t="s">
        <v>57</v>
      </c>
      <c r="L212" s="9" t="n">
        <v>11275.53</v>
      </c>
      <c r="M212" s="9" t="n">
        <v>1409.44</v>
      </c>
      <c r="N212" s="9" t="n">
        <v>1409.44</v>
      </c>
      <c r="O212" s="9" t="n">
        <v>8456.6</v>
      </c>
      <c r="P212" s="9" t="n">
        <v>845.66</v>
      </c>
      <c r="Q212" s="9" t="n">
        <v>845.66</v>
      </c>
      <c r="R212" s="9" t="n">
        <v>845.66</v>
      </c>
      <c r="S212" s="9" t="n">
        <v>845.66</v>
      </c>
      <c r="T212" s="9" t="n">
        <v>845.66</v>
      </c>
      <c r="U212" s="9" t="n">
        <v>845.66</v>
      </c>
      <c r="V212" s="9" t="n">
        <v>845.66</v>
      </c>
      <c r="W212" s="9" t="n">
        <v>845.66</v>
      </c>
      <c r="X212" s="9" t="n">
        <v>845.66</v>
      </c>
      <c r="Y212" s="9" t="n">
        <v>845.66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772</v>
      </c>
      <c r="B213" s="3" t="s">
        <v>773</v>
      </c>
      <c r="C213" s="3" t="s">
        <v>42</v>
      </c>
      <c r="D213" s="3" t="s">
        <v>43</v>
      </c>
      <c r="E213" s="3" t="n">
        <v>1998</v>
      </c>
      <c r="F213" s="3" t="s">
        <v>83</v>
      </c>
      <c r="G213" s="3" t="s">
        <v>84</v>
      </c>
      <c r="H213" s="3" t="s">
        <v>774</v>
      </c>
      <c r="I213" s="3" t="s">
        <v>56</v>
      </c>
      <c r="J213" s="7" t="n">
        <v>545000</v>
      </c>
      <c r="K213" s="3" t="s">
        <v>205</v>
      </c>
      <c r="L213" s="7" t="n">
        <v>5715.9</v>
      </c>
      <c r="M213" s="7" t="n">
        <v>714.49</v>
      </c>
      <c r="N213" s="7" t="n">
        <v>714.49</v>
      </c>
      <c r="O213" s="7" t="n">
        <v>4286.9</v>
      </c>
      <c r="P213" s="7" t="n">
        <v>428.69</v>
      </c>
      <c r="Q213" s="7" t="n">
        <v>428.69</v>
      </c>
      <c r="R213" s="7" t="n">
        <v>428.69</v>
      </c>
      <c r="S213" s="7" t="n">
        <v>428.69</v>
      </c>
      <c r="T213" s="7" t="n">
        <v>428.69</v>
      </c>
      <c r="U213" s="7" t="n">
        <v>428.69</v>
      </c>
      <c r="V213" s="7" t="n">
        <v>428.69</v>
      </c>
      <c r="W213" s="7" t="n">
        <v>428.69</v>
      </c>
      <c r="X213" s="7" t="n">
        <v>428.69</v>
      </c>
      <c r="Y213" s="7" t="n">
        <v>428.69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775</v>
      </c>
      <c r="B214" s="8" t="s">
        <v>776</v>
      </c>
      <c r="C214" s="8" t="s">
        <v>304</v>
      </c>
      <c r="D214" s="8" t="s">
        <v>305</v>
      </c>
      <c r="E214" s="8" t="n">
        <v>1984</v>
      </c>
      <c r="F214" s="8" t="s">
        <v>53</v>
      </c>
      <c r="G214" s="8" t="s">
        <v>54</v>
      </c>
      <c r="H214" s="8" t="s">
        <v>777</v>
      </c>
      <c r="I214" s="8" t="s">
        <v>56</v>
      </c>
      <c r="J214" s="9" t="n">
        <v>795000</v>
      </c>
      <c r="K214" s="8" t="s">
        <v>322</v>
      </c>
      <c r="L214" s="9" t="n">
        <v>10319.16</v>
      </c>
      <c r="M214" s="9" t="n">
        <v>1289.89</v>
      </c>
      <c r="N214" s="9" t="n">
        <v>1289.89</v>
      </c>
      <c r="O214" s="9" t="n">
        <v>7739.4</v>
      </c>
      <c r="P214" s="9" t="n">
        <v>773.94</v>
      </c>
      <c r="Q214" s="9" t="n">
        <v>773.94</v>
      </c>
      <c r="R214" s="9" t="n">
        <v>773.94</v>
      </c>
      <c r="S214" s="9" t="n">
        <v>773.94</v>
      </c>
      <c r="T214" s="9" t="n">
        <v>773.94</v>
      </c>
      <c r="U214" s="9" t="n">
        <v>773.94</v>
      </c>
      <c r="V214" s="9" t="n">
        <v>773.94</v>
      </c>
      <c r="W214" s="9" t="n">
        <v>773.94</v>
      </c>
      <c r="X214" s="9" t="n">
        <v>773.94</v>
      </c>
      <c r="Y214" s="9" t="n">
        <v>773.94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778</v>
      </c>
      <c r="B215" s="3" t="s">
        <v>779</v>
      </c>
      <c r="C215" s="3" t="s">
        <v>284</v>
      </c>
      <c r="D215" s="3" t="s">
        <v>285</v>
      </c>
      <c r="E215" s="3" t="n">
        <v>2016</v>
      </c>
      <c r="F215" s="3" t="s">
        <v>44</v>
      </c>
      <c r="G215" s="3" t="s">
        <v>240</v>
      </c>
      <c r="H215" s="3" t="s">
        <v>780</v>
      </c>
      <c r="I215" s="3" t="s">
        <v>47</v>
      </c>
      <c r="J215" s="7" t="n">
        <v>1535000</v>
      </c>
      <c r="K215" s="3" t="s">
        <v>86</v>
      </c>
      <c r="L215" s="7" t="n">
        <v>26484.14</v>
      </c>
      <c r="M215" s="7" t="n">
        <v>3310.52</v>
      </c>
      <c r="N215" s="7" t="n">
        <v>3310.52</v>
      </c>
      <c r="O215" s="7" t="n">
        <v>19863.1</v>
      </c>
      <c r="P215" s="7" t="n">
        <v>1986.31</v>
      </c>
      <c r="Q215" s="7" t="n">
        <v>1986.31</v>
      </c>
      <c r="R215" s="7" t="n">
        <v>1986.31</v>
      </c>
      <c r="S215" s="7" t="n">
        <v>1986.31</v>
      </c>
      <c r="T215" s="7" t="n">
        <v>1986.31</v>
      </c>
      <c r="U215" s="7" t="n">
        <v>1986.31</v>
      </c>
      <c r="V215" s="7" t="n">
        <v>1986.31</v>
      </c>
      <c r="W215" s="7" t="n">
        <v>1986.31</v>
      </c>
      <c r="X215" s="7" t="n">
        <v>1986.31</v>
      </c>
      <c r="Y215" s="7" t="n">
        <v>1986.31</v>
      </c>
      <c r="Z215" s="7" t="n">
        <v>350</v>
      </c>
      <c r="AA215" s="7" t="n">
        <v>250</v>
      </c>
      <c r="AB215" s="7" t="n">
        <v>600</v>
      </c>
    </row>
    <row r="216" customFormat="false" ht="15" hidden="false" customHeight="false" outlineLevel="0" collapsed="false">
      <c r="A216" s="8" t="s">
        <v>781</v>
      </c>
      <c r="B216" s="8" t="s">
        <v>376</v>
      </c>
      <c r="C216" s="8" t="s">
        <v>139</v>
      </c>
      <c r="D216" s="8" t="s">
        <v>140</v>
      </c>
      <c r="E216" s="8" t="n">
        <v>1963</v>
      </c>
      <c r="F216" s="8" t="s">
        <v>122</v>
      </c>
      <c r="G216" s="8" t="s">
        <v>123</v>
      </c>
      <c r="H216" s="8" t="s">
        <v>782</v>
      </c>
      <c r="I216" s="8" t="s">
        <v>56</v>
      </c>
      <c r="J216" s="9" t="n">
        <v>420000</v>
      </c>
      <c r="K216" s="8" t="s">
        <v>71</v>
      </c>
      <c r="L216" s="9" t="n">
        <v>5032.28</v>
      </c>
      <c r="M216" s="9" t="n">
        <v>629.03</v>
      </c>
      <c r="N216" s="9" t="n">
        <v>629.03</v>
      </c>
      <c r="O216" s="9" t="n">
        <v>3774.2</v>
      </c>
      <c r="P216" s="9" t="n">
        <v>377.42</v>
      </c>
      <c r="Q216" s="9" t="n">
        <v>377.42</v>
      </c>
      <c r="R216" s="9" t="n">
        <v>377.42</v>
      </c>
      <c r="S216" s="9" t="n">
        <v>377.42</v>
      </c>
      <c r="T216" s="9" t="n">
        <v>377.42</v>
      </c>
      <c r="U216" s="9" t="n">
        <v>377.42</v>
      </c>
      <c r="V216" s="9" t="n">
        <v>377.42</v>
      </c>
      <c r="W216" s="9" t="n">
        <v>377.42</v>
      </c>
      <c r="X216" s="9" t="n">
        <v>377.42</v>
      </c>
      <c r="Y216" s="9" t="n">
        <v>377.42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783</v>
      </c>
      <c r="B217" s="3" t="s">
        <v>784</v>
      </c>
      <c r="C217" s="3" t="s">
        <v>81</v>
      </c>
      <c r="D217" s="3" t="s">
        <v>82</v>
      </c>
      <c r="E217" s="3" t="n">
        <v>1956</v>
      </c>
      <c r="F217" s="3" t="s">
        <v>155</v>
      </c>
      <c r="G217" s="3" t="s">
        <v>156</v>
      </c>
      <c r="H217" s="3" t="s">
        <v>785</v>
      </c>
      <c r="I217" s="3" t="s">
        <v>78</v>
      </c>
      <c r="J217" s="7" t="n">
        <v>775000</v>
      </c>
      <c r="K217" s="3" t="s">
        <v>136</v>
      </c>
      <c r="L217" s="7" t="n">
        <v>8251.93</v>
      </c>
      <c r="M217" s="7" t="n">
        <v>1031.49</v>
      </c>
      <c r="N217" s="7" t="n">
        <v>1031.49</v>
      </c>
      <c r="O217" s="7" t="n">
        <v>6188.9</v>
      </c>
      <c r="P217" s="7" t="n">
        <v>618.89</v>
      </c>
      <c r="Q217" s="7" t="n">
        <v>618.89</v>
      </c>
      <c r="R217" s="7" t="n">
        <v>618.89</v>
      </c>
      <c r="S217" s="7" t="n">
        <v>618.89</v>
      </c>
      <c r="T217" s="7" t="n">
        <v>618.89</v>
      </c>
      <c r="U217" s="7" t="n">
        <v>618.89</v>
      </c>
      <c r="V217" s="7" t="n">
        <v>618.89</v>
      </c>
      <c r="W217" s="7" t="n">
        <v>618.89</v>
      </c>
      <c r="X217" s="7" t="n">
        <v>618.89</v>
      </c>
      <c r="Y217" s="7" t="n">
        <v>618.89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786</v>
      </c>
      <c r="B218" s="8" t="s">
        <v>787</v>
      </c>
      <c r="C218" s="8" t="s">
        <v>267</v>
      </c>
      <c r="D218" s="8" t="s">
        <v>268</v>
      </c>
      <c r="E218" s="8" t="n">
        <v>1961</v>
      </c>
      <c r="F218" s="8" t="s">
        <v>107</v>
      </c>
      <c r="G218" s="8" t="s">
        <v>134</v>
      </c>
      <c r="H218" s="8" t="s">
        <v>788</v>
      </c>
      <c r="I218" s="8" t="s">
        <v>56</v>
      </c>
      <c r="J218" s="9" t="n">
        <v>340000</v>
      </c>
      <c r="K218" s="8" t="s">
        <v>275</v>
      </c>
      <c r="L218" s="9" t="n">
        <v>4684.81</v>
      </c>
      <c r="M218" s="9" t="n">
        <v>585.6</v>
      </c>
      <c r="N218" s="9" t="n">
        <v>585.6</v>
      </c>
      <c r="O218" s="9" t="n">
        <v>3513.6</v>
      </c>
      <c r="P218" s="9" t="n">
        <v>351.36</v>
      </c>
      <c r="Q218" s="9" t="n">
        <v>351.36</v>
      </c>
      <c r="R218" s="9" t="n">
        <v>351.36</v>
      </c>
      <c r="S218" s="9" t="n">
        <v>351.36</v>
      </c>
      <c r="T218" s="9" t="n">
        <v>351.36</v>
      </c>
      <c r="U218" s="9" t="n">
        <v>351.36</v>
      </c>
      <c r="V218" s="9" t="n">
        <v>351.36</v>
      </c>
      <c r="W218" s="9" t="n">
        <v>351.36</v>
      </c>
      <c r="X218" s="9" t="n">
        <v>351.36</v>
      </c>
      <c r="Y218" s="9" t="n">
        <v>351.36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789</v>
      </c>
      <c r="B219" s="3" t="s">
        <v>790</v>
      </c>
      <c r="C219" s="3" t="s">
        <v>208</v>
      </c>
      <c r="D219" s="3" t="s">
        <v>209</v>
      </c>
      <c r="E219" s="3" t="n">
        <v>1956</v>
      </c>
      <c r="F219" s="3" t="s">
        <v>122</v>
      </c>
      <c r="G219" s="3" t="s">
        <v>123</v>
      </c>
      <c r="H219" s="3" t="s">
        <v>791</v>
      </c>
      <c r="I219" s="3" t="s">
        <v>56</v>
      </c>
      <c r="J219" s="7" t="n">
        <v>530000</v>
      </c>
      <c r="K219" s="3" t="s">
        <v>86</v>
      </c>
      <c r="L219" s="7" t="n">
        <v>7429.79</v>
      </c>
      <c r="M219" s="7" t="n">
        <v>928.72</v>
      </c>
      <c r="N219" s="7" t="n">
        <v>928.72</v>
      </c>
      <c r="O219" s="7" t="n">
        <v>5572.3</v>
      </c>
      <c r="P219" s="7" t="n">
        <v>557.23</v>
      </c>
      <c r="Q219" s="7" t="n">
        <v>557.23</v>
      </c>
      <c r="R219" s="7" t="n">
        <v>557.23</v>
      </c>
      <c r="S219" s="7" t="n">
        <v>557.23</v>
      </c>
      <c r="T219" s="7" t="n">
        <v>557.23</v>
      </c>
      <c r="U219" s="7" t="n">
        <v>557.23</v>
      </c>
      <c r="V219" s="7" t="n">
        <v>557.23</v>
      </c>
      <c r="W219" s="7" t="n">
        <v>557.23</v>
      </c>
      <c r="X219" s="7" t="n">
        <v>557.23</v>
      </c>
      <c r="Y219" s="7" t="n">
        <v>557.23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792</v>
      </c>
      <c r="B220" s="8" t="s">
        <v>793</v>
      </c>
      <c r="C220" s="8" t="s">
        <v>128</v>
      </c>
      <c r="D220" s="8" t="s">
        <v>129</v>
      </c>
      <c r="E220" s="8" t="n">
        <v>1995</v>
      </c>
      <c r="F220" s="8" t="s">
        <v>83</v>
      </c>
      <c r="G220" s="8" t="s">
        <v>84</v>
      </c>
      <c r="H220" s="8" t="s">
        <v>794</v>
      </c>
      <c r="I220" s="8" t="s">
        <v>56</v>
      </c>
      <c r="J220" s="9" t="n">
        <v>365000</v>
      </c>
      <c r="K220" s="8" t="s">
        <v>213</v>
      </c>
      <c r="L220" s="9" t="n">
        <v>5991.4</v>
      </c>
      <c r="M220" s="9" t="n">
        <v>748.92</v>
      </c>
      <c r="N220" s="9" t="n">
        <v>748.92</v>
      </c>
      <c r="O220" s="9" t="n">
        <v>4493.5</v>
      </c>
      <c r="P220" s="9" t="n">
        <v>449.35</v>
      </c>
      <c r="Q220" s="9" t="n">
        <v>449.35</v>
      </c>
      <c r="R220" s="9" t="n">
        <v>449.35</v>
      </c>
      <c r="S220" s="9" t="n">
        <v>449.35</v>
      </c>
      <c r="T220" s="9" t="n">
        <v>449.35</v>
      </c>
      <c r="U220" s="9" t="n">
        <v>449.35</v>
      </c>
      <c r="V220" s="9" t="n">
        <v>449.35</v>
      </c>
      <c r="W220" s="9" t="n">
        <v>449.35</v>
      </c>
      <c r="X220" s="9" t="n">
        <v>449.35</v>
      </c>
      <c r="Y220" s="9" t="n">
        <v>449.35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795</v>
      </c>
      <c r="B221" s="3" t="s">
        <v>796</v>
      </c>
      <c r="C221" s="3" t="s">
        <v>189</v>
      </c>
      <c r="D221" s="3" t="s">
        <v>190</v>
      </c>
      <c r="E221" s="3" t="n">
        <v>1977</v>
      </c>
      <c r="F221" s="3" t="s">
        <v>44</v>
      </c>
      <c r="G221" s="3" t="s">
        <v>76</v>
      </c>
      <c r="H221" s="3" t="s">
        <v>797</v>
      </c>
      <c r="I221" s="3" t="s">
        <v>78</v>
      </c>
      <c r="J221" s="7" t="n">
        <v>735000</v>
      </c>
      <c r="K221" s="3" t="s">
        <v>57</v>
      </c>
      <c r="L221" s="7" t="n">
        <v>6412.29</v>
      </c>
      <c r="M221" s="7" t="n">
        <v>801.54</v>
      </c>
      <c r="N221" s="7" t="n">
        <v>801.54</v>
      </c>
      <c r="O221" s="7" t="n">
        <v>4809.2</v>
      </c>
      <c r="P221" s="7" t="n">
        <v>480.92</v>
      </c>
      <c r="Q221" s="7" t="n">
        <v>480.92</v>
      </c>
      <c r="R221" s="7" t="n">
        <v>480.92</v>
      </c>
      <c r="S221" s="7" t="n">
        <v>480.92</v>
      </c>
      <c r="T221" s="7" t="n">
        <v>480.92</v>
      </c>
      <c r="U221" s="7" t="n">
        <v>480.92</v>
      </c>
      <c r="V221" s="7" t="n">
        <v>480.92</v>
      </c>
      <c r="W221" s="7" t="n">
        <v>480.92</v>
      </c>
      <c r="X221" s="7" t="n">
        <v>480.92</v>
      </c>
      <c r="Y221" s="7" t="n">
        <v>480.92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798</v>
      </c>
      <c r="B222" s="8" t="s">
        <v>799</v>
      </c>
      <c r="C222" s="8" t="s">
        <v>60</v>
      </c>
      <c r="D222" s="8" t="s">
        <v>61</v>
      </c>
      <c r="E222" s="8" t="n">
        <v>1969</v>
      </c>
      <c r="F222" s="8" t="s">
        <v>83</v>
      </c>
      <c r="G222" s="8" t="s">
        <v>84</v>
      </c>
      <c r="H222" s="8" t="s">
        <v>800</v>
      </c>
      <c r="I222" s="8" t="s">
        <v>56</v>
      </c>
      <c r="J222" s="9" t="n">
        <v>710000</v>
      </c>
      <c r="K222" s="8" t="s">
        <v>275</v>
      </c>
      <c r="L222" s="9" t="n">
        <v>8478.58</v>
      </c>
      <c r="M222" s="9" t="n">
        <v>1059.82</v>
      </c>
      <c r="N222" s="9" t="n">
        <v>1059.82</v>
      </c>
      <c r="O222" s="9" t="n">
        <v>6358.9</v>
      </c>
      <c r="P222" s="9" t="n">
        <v>635.89</v>
      </c>
      <c r="Q222" s="9" t="n">
        <v>635.89</v>
      </c>
      <c r="R222" s="9" t="n">
        <v>635.89</v>
      </c>
      <c r="S222" s="9" t="n">
        <v>635.89</v>
      </c>
      <c r="T222" s="9" t="n">
        <v>635.89</v>
      </c>
      <c r="U222" s="9" t="n">
        <v>635.89</v>
      </c>
      <c r="V222" s="9" t="n">
        <v>635.89</v>
      </c>
      <c r="W222" s="9" t="n">
        <v>635.89</v>
      </c>
      <c r="X222" s="9" t="n">
        <v>635.89</v>
      </c>
      <c r="Y222" s="9" t="n">
        <v>635.89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801</v>
      </c>
      <c r="B223" s="3" t="s">
        <v>642</v>
      </c>
      <c r="C223" s="3" t="s">
        <v>128</v>
      </c>
      <c r="D223" s="3" t="s">
        <v>129</v>
      </c>
      <c r="E223" s="3" t="n">
        <v>2017</v>
      </c>
      <c r="F223" s="3" t="s">
        <v>53</v>
      </c>
      <c r="G223" s="3" t="s">
        <v>54</v>
      </c>
      <c r="H223" s="3" t="s">
        <v>802</v>
      </c>
      <c r="I223" s="3" t="s">
        <v>56</v>
      </c>
      <c r="J223" s="7" t="n">
        <v>910000</v>
      </c>
      <c r="K223" s="3" t="s">
        <v>547</v>
      </c>
      <c r="L223" s="7" t="n">
        <v>12473.33</v>
      </c>
      <c r="M223" s="7" t="n">
        <v>1559.17</v>
      </c>
      <c r="N223" s="7" t="n">
        <v>1559.17</v>
      </c>
      <c r="O223" s="7" t="n">
        <v>9355</v>
      </c>
      <c r="P223" s="7" t="n">
        <v>935.5</v>
      </c>
      <c r="Q223" s="7" t="n">
        <v>935.5</v>
      </c>
      <c r="R223" s="7" t="n">
        <v>935.5</v>
      </c>
      <c r="S223" s="7" t="n">
        <v>935.5</v>
      </c>
      <c r="T223" s="7" t="n">
        <v>935.5</v>
      </c>
      <c r="U223" s="7" t="n">
        <v>935.5</v>
      </c>
      <c r="V223" s="7" t="n">
        <v>935.5</v>
      </c>
      <c r="W223" s="7" t="n">
        <v>935.5</v>
      </c>
      <c r="X223" s="7" t="n">
        <v>935.5</v>
      </c>
      <c r="Y223" s="7" t="n">
        <v>935.5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803</v>
      </c>
      <c r="B224" s="8" t="s">
        <v>697</v>
      </c>
      <c r="C224" s="8" t="s">
        <v>238</v>
      </c>
      <c r="D224" s="8" t="s">
        <v>239</v>
      </c>
      <c r="E224" s="8" t="n">
        <v>2021</v>
      </c>
      <c r="F224" s="8" t="s">
        <v>107</v>
      </c>
      <c r="G224" s="8" t="s">
        <v>134</v>
      </c>
      <c r="H224" s="8" t="s">
        <v>804</v>
      </c>
      <c r="I224" s="8" t="s">
        <v>56</v>
      </c>
      <c r="J224" s="9" t="n">
        <v>265000</v>
      </c>
      <c r="K224" s="8" t="s">
        <v>205</v>
      </c>
      <c r="L224" s="9" t="n">
        <v>3206.88</v>
      </c>
      <c r="M224" s="9" t="n">
        <v>400.86</v>
      </c>
      <c r="N224" s="9" t="n">
        <v>400.86</v>
      </c>
      <c r="O224" s="9" t="n">
        <v>2405.2</v>
      </c>
      <c r="P224" s="9" t="n">
        <v>240.52</v>
      </c>
      <c r="Q224" s="9" t="n">
        <v>240.52</v>
      </c>
      <c r="R224" s="9" t="n">
        <v>240.52</v>
      </c>
      <c r="S224" s="9" t="n">
        <v>240.52</v>
      </c>
      <c r="T224" s="9" t="n">
        <v>240.52</v>
      </c>
      <c r="U224" s="9" t="n">
        <v>240.52</v>
      </c>
      <c r="V224" s="9" t="n">
        <v>240.52</v>
      </c>
      <c r="W224" s="9" t="n">
        <v>240.52</v>
      </c>
      <c r="X224" s="9" t="n">
        <v>240.52</v>
      </c>
      <c r="Y224" s="9" t="n">
        <v>240.52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805</v>
      </c>
      <c r="B225" s="3" t="s">
        <v>806</v>
      </c>
      <c r="C225" s="3" t="s">
        <v>171</v>
      </c>
      <c r="D225" s="3" t="s">
        <v>172</v>
      </c>
      <c r="E225" s="3" t="n">
        <v>2011</v>
      </c>
      <c r="F225" s="3" t="s">
        <v>122</v>
      </c>
      <c r="G225" s="3" t="s">
        <v>123</v>
      </c>
      <c r="H225" s="3" t="s">
        <v>807</v>
      </c>
      <c r="I225" s="3" t="s">
        <v>56</v>
      </c>
      <c r="J225" s="7" t="n">
        <v>840000</v>
      </c>
      <c r="K225" s="3" t="s">
        <v>222</v>
      </c>
      <c r="L225" s="7" t="n">
        <v>10205.45</v>
      </c>
      <c r="M225" s="7" t="n">
        <v>1275.68</v>
      </c>
      <c r="N225" s="7" t="n">
        <v>1275.68</v>
      </c>
      <c r="O225" s="7" t="n">
        <v>7654.1</v>
      </c>
      <c r="P225" s="7" t="n">
        <v>765.41</v>
      </c>
      <c r="Q225" s="7" t="n">
        <v>765.41</v>
      </c>
      <c r="R225" s="7" t="n">
        <v>765.41</v>
      </c>
      <c r="S225" s="7" t="n">
        <v>765.41</v>
      </c>
      <c r="T225" s="7" t="n">
        <v>765.41</v>
      </c>
      <c r="U225" s="7" t="n">
        <v>765.41</v>
      </c>
      <c r="V225" s="7" t="n">
        <v>765.41</v>
      </c>
      <c r="W225" s="7" t="n">
        <v>765.41</v>
      </c>
      <c r="X225" s="7" t="n">
        <v>765.41</v>
      </c>
      <c r="Y225" s="7" t="n">
        <v>765.41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808</v>
      </c>
      <c r="B226" s="8" t="s">
        <v>809</v>
      </c>
      <c r="C226" s="8" t="s">
        <v>183</v>
      </c>
      <c r="D226" s="8" t="s">
        <v>184</v>
      </c>
      <c r="E226" s="8" t="n">
        <v>1956</v>
      </c>
      <c r="F226" s="8" t="s">
        <v>44</v>
      </c>
      <c r="G226" s="8" t="s">
        <v>45</v>
      </c>
      <c r="H226" s="8" t="s">
        <v>810</v>
      </c>
      <c r="I226" s="8" t="s">
        <v>47</v>
      </c>
      <c r="J226" s="9" t="n">
        <v>670000</v>
      </c>
      <c r="K226" s="8" t="s">
        <v>307</v>
      </c>
      <c r="L226" s="9" t="n">
        <v>11286.91</v>
      </c>
      <c r="M226" s="9" t="n">
        <v>1410.86</v>
      </c>
      <c r="N226" s="9" t="n">
        <v>1410.86</v>
      </c>
      <c r="O226" s="9" t="n">
        <v>8465.2</v>
      </c>
      <c r="P226" s="9" t="n">
        <v>846.52</v>
      </c>
      <c r="Q226" s="9" t="n">
        <v>846.52</v>
      </c>
      <c r="R226" s="9" t="n">
        <v>846.52</v>
      </c>
      <c r="S226" s="9" t="n">
        <v>846.52</v>
      </c>
      <c r="T226" s="9" t="n">
        <v>846.52</v>
      </c>
      <c r="U226" s="9" t="n">
        <v>846.52</v>
      </c>
      <c r="V226" s="9" t="n">
        <v>846.52</v>
      </c>
      <c r="W226" s="9" t="n">
        <v>846.52</v>
      </c>
      <c r="X226" s="9" t="n">
        <v>846.52</v>
      </c>
      <c r="Y226" s="9" t="n">
        <v>846.52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811</v>
      </c>
      <c r="B227" s="3" t="s">
        <v>812</v>
      </c>
      <c r="C227" s="3" t="s">
        <v>272</v>
      </c>
      <c r="D227" s="3" t="s">
        <v>273</v>
      </c>
      <c r="E227" s="3" t="n">
        <v>1999</v>
      </c>
      <c r="F227" s="3" t="s">
        <v>107</v>
      </c>
      <c r="G227" s="3" t="s">
        <v>134</v>
      </c>
      <c r="H227" s="3" t="s">
        <v>813</v>
      </c>
      <c r="I227" s="3" t="s">
        <v>56</v>
      </c>
      <c r="J227" s="7" t="n">
        <v>230000</v>
      </c>
      <c r="K227" s="3" t="s">
        <v>104</v>
      </c>
      <c r="L227" s="7" t="n">
        <v>3515.63</v>
      </c>
      <c r="M227" s="7" t="n">
        <v>439.45</v>
      </c>
      <c r="N227" s="7" t="n">
        <v>439.45</v>
      </c>
      <c r="O227" s="7" t="n">
        <v>2636.7</v>
      </c>
      <c r="P227" s="7" t="n">
        <v>263.67</v>
      </c>
      <c r="Q227" s="7" t="n">
        <v>263.67</v>
      </c>
      <c r="R227" s="7" t="n">
        <v>263.67</v>
      </c>
      <c r="S227" s="7" t="n">
        <v>263.67</v>
      </c>
      <c r="T227" s="7" t="n">
        <v>263.67</v>
      </c>
      <c r="U227" s="7" t="n">
        <v>263.67</v>
      </c>
      <c r="V227" s="7" t="n">
        <v>263.67</v>
      </c>
      <c r="W227" s="7" t="n">
        <v>263.67</v>
      </c>
      <c r="X227" s="7" t="n">
        <v>263.67</v>
      </c>
      <c r="Y227" s="7" t="n">
        <v>263.67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814</v>
      </c>
      <c r="B228" s="8" t="s">
        <v>815</v>
      </c>
      <c r="C228" s="8" t="s">
        <v>330</v>
      </c>
      <c r="D228" s="8" t="s">
        <v>331</v>
      </c>
      <c r="E228" s="8" t="n">
        <v>1961</v>
      </c>
      <c r="F228" s="8" t="s">
        <v>155</v>
      </c>
      <c r="G228" s="8" t="s">
        <v>156</v>
      </c>
      <c r="H228" s="8" t="s">
        <v>816</v>
      </c>
      <c r="I228" s="8" t="s">
        <v>78</v>
      </c>
      <c r="J228" s="9" t="n">
        <v>515000</v>
      </c>
      <c r="K228" s="8" t="s">
        <v>322</v>
      </c>
      <c r="L228" s="9" t="n">
        <v>4422.21</v>
      </c>
      <c r="M228" s="9" t="n">
        <v>552.78</v>
      </c>
      <c r="N228" s="9" t="n">
        <v>552.78</v>
      </c>
      <c r="O228" s="9" t="n">
        <v>3316.7</v>
      </c>
      <c r="P228" s="9" t="n">
        <v>331.67</v>
      </c>
      <c r="Q228" s="9" t="n">
        <v>331.67</v>
      </c>
      <c r="R228" s="9" t="n">
        <v>331.67</v>
      </c>
      <c r="S228" s="9" t="n">
        <v>331.67</v>
      </c>
      <c r="T228" s="9" t="n">
        <v>331.67</v>
      </c>
      <c r="U228" s="9" t="n">
        <v>331.67</v>
      </c>
      <c r="V228" s="9" t="n">
        <v>331.67</v>
      </c>
      <c r="W228" s="9" t="n">
        <v>331.67</v>
      </c>
      <c r="X228" s="9" t="n">
        <v>331.67</v>
      </c>
      <c r="Y228" s="9" t="n">
        <v>331.67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817</v>
      </c>
      <c r="B229" s="3" t="s">
        <v>406</v>
      </c>
      <c r="C229" s="3" t="s">
        <v>60</v>
      </c>
      <c r="D229" s="3" t="s">
        <v>61</v>
      </c>
      <c r="E229" s="3" t="n">
        <v>1989</v>
      </c>
      <c r="F229" s="3" t="s">
        <v>107</v>
      </c>
      <c r="G229" s="3" t="s">
        <v>134</v>
      </c>
      <c r="H229" s="3" t="s">
        <v>818</v>
      </c>
      <c r="I229" s="3" t="s">
        <v>56</v>
      </c>
      <c r="J229" s="7" t="n">
        <v>680000</v>
      </c>
      <c r="K229" s="3" t="s">
        <v>131</v>
      </c>
      <c r="L229" s="7" t="n">
        <v>9179.51</v>
      </c>
      <c r="M229" s="7" t="n">
        <v>1147.44</v>
      </c>
      <c r="N229" s="7" t="n">
        <v>1147.44</v>
      </c>
      <c r="O229" s="7" t="n">
        <v>6884.6</v>
      </c>
      <c r="P229" s="7" t="n">
        <v>688.46</v>
      </c>
      <c r="Q229" s="7" t="n">
        <v>688.46</v>
      </c>
      <c r="R229" s="7" t="n">
        <v>688.46</v>
      </c>
      <c r="S229" s="7" t="n">
        <v>688.46</v>
      </c>
      <c r="T229" s="7" t="n">
        <v>688.46</v>
      </c>
      <c r="U229" s="7" t="n">
        <v>688.46</v>
      </c>
      <c r="V229" s="7" t="n">
        <v>688.46</v>
      </c>
      <c r="W229" s="7" t="n">
        <v>688.46</v>
      </c>
      <c r="X229" s="7" t="n">
        <v>688.46</v>
      </c>
      <c r="Y229" s="7" t="n">
        <v>688.46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819</v>
      </c>
      <c r="B230" s="8" t="s">
        <v>412</v>
      </c>
      <c r="C230" s="8" t="s">
        <v>145</v>
      </c>
      <c r="D230" s="8" t="s">
        <v>146</v>
      </c>
      <c r="E230" s="8" t="n">
        <v>1956</v>
      </c>
      <c r="F230" s="8" t="s">
        <v>44</v>
      </c>
      <c r="G230" s="8" t="s">
        <v>240</v>
      </c>
      <c r="H230" s="8" t="s">
        <v>820</v>
      </c>
      <c r="I230" s="8" t="s">
        <v>47</v>
      </c>
      <c r="J230" s="9" t="n">
        <v>680000</v>
      </c>
      <c r="K230" s="8" t="s">
        <v>90</v>
      </c>
      <c r="L230" s="9" t="n">
        <v>13209.8</v>
      </c>
      <c r="M230" s="9" t="n">
        <v>1651.22</v>
      </c>
      <c r="N230" s="9" t="n">
        <v>1651.22</v>
      </c>
      <c r="O230" s="9" t="n">
        <v>9907.3</v>
      </c>
      <c r="P230" s="9" t="n">
        <v>990.73</v>
      </c>
      <c r="Q230" s="9" t="n">
        <v>990.73</v>
      </c>
      <c r="R230" s="9" t="n">
        <v>990.73</v>
      </c>
      <c r="S230" s="9" t="n">
        <v>990.73</v>
      </c>
      <c r="T230" s="9" t="n">
        <v>990.73</v>
      </c>
      <c r="U230" s="9" t="n">
        <v>990.73</v>
      </c>
      <c r="V230" s="9" t="n">
        <v>990.73</v>
      </c>
      <c r="W230" s="9" t="n">
        <v>990.73</v>
      </c>
      <c r="X230" s="9" t="n">
        <v>990.73</v>
      </c>
      <c r="Y230" s="9" t="n">
        <v>990.73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821</v>
      </c>
      <c r="B231" s="3" t="s">
        <v>133</v>
      </c>
      <c r="C231" s="3" t="s">
        <v>60</v>
      </c>
      <c r="D231" s="3" t="s">
        <v>61</v>
      </c>
      <c r="E231" s="3" t="n">
        <v>2014</v>
      </c>
      <c r="F231" s="3" t="s">
        <v>195</v>
      </c>
      <c r="G231" s="3" t="s">
        <v>196</v>
      </c>
      <c r="H231" s="3" t="s">
        <v>822</v>
      </c>
      <c r="I231" s="3" t="s">
        <v>47</v>
      </c>
      <c r="J231" s="7" t="n">
        <v>1950000</v>
      </c>
      <c r="K231" s="3" t="s">
        <v>142</v>
      </c>
      <c r="L231" s="7" t="n">
        <v>35388.87</v>
      </c>
      <c r="M231" s="7" t="n">
        <v>4423.61</v>
      </c>
      <c r="N231" s="7" t="n">
        <v>4423.61</v>
      </c>
      <c r="O231" s="7" t="n">
        <v>26541.7</v>
      </c>
      <c r="P231" s="7" t="n">
        <v>2654.17</v>
      </c>
      <c r="Q231" s="7" t="n">
        <v>2654.17</v>
      </c>
      <c r="R231" s="7" t="n">
        <v>2654.17</v>
      </c>
      <c r="S231" s="7" t="n">
        <v>2654.17</v>
      </c>
      <c r="T231" s="7" t="n">
        <v>2654.17</v>
      </c>
      <c r="U231" s="7" t="n">
        <v>2654.17</v>
      </c>
      <c r="V231" s="7" t="n">
        <v>2654.17</v>
      </c>
      <c r="W231" s="7" t="n">
        <v>2654.17</v>
      </c>
      <c r="X231" s="7" t="n">
        <v>2654.17</v>
      </c>
      <c r="Y231" s="7" t="n">
        <v>2654.17</v>
      </c>
      <c r="Z231" s="7" t="n">
        <v>350</v>
      </c>
      <c r="AA231" s="7" t="n">
        <v>250</v>
      </c>
      <c r="AB231" s="7" t="n">
        <v>600</v>
      </c>
    </row>
    <row r="232" customFormat="false" ht="15" hidden="false" customHeight="false" outlineLevel="0" collapsed="false">
      <c r="A232" s="8" t="s">
        <v>823</v>
      </c>
      <c r="B232" s="8" t="s">
        <v>470</v>
      </c>
      <c r="C232" s="8" t="s">
        <v>238</v>
      </c>
      <c r="D232" s="8" t="s">
        <v>239</v>
      </c>
      <c r="E232" s="8" t="n">
        <v>2011</v>
      </c>
      <c r="F232" s="8" t="s">
        <v>83</v>
      </c>
      <c r="G232" s="8" t="s">
        <v>84</v>
      </c>
      <c r="H232" s="8" t="s">
        <v>824</v>
      </c>
      <c r="I232" s="8" t="s">
        <v>56</v>
      </c>
      <c r="J232" s="9" t="n">
        <v>630000</v>
      </c>
      <c r="K232" s="8" t="s">
        <v>90</v>
      </c>
      <c r="L232" s="9" t="n">
        <v>8373.7</v>
      </c>
      <c r="M232" s="9" t="n">
        <v>1046.71</v>
      </c>
      <c r="N232" s="9" t="n">
        <v>1046.71</v>
      </c>
      <c r="O232" s="9" t="n">
        <v>6280.3</v>
      </c>
      <c r="P232" s="9" t="n">
        <v>628.03</v>
      </c>
      <c r="Q232" s="9" t="n">
        <v>628.03</v>
      </c>
      <c r="R232" s="9" t="n">
        <v>628.03</v>
      </c>
      <c r="S232" s="9" t="n">
        <v>628.03</v>
      </c>
      <c r="T232" s="9" t="n">
        <v>628.03</v>
      </c>
      <c r="U232" s="9" t="n">
        <v>628.03</v>
      </c>
      <c r="V232" s="9" t="n">
        <v>628.03</v>
      </c>
      <c r="W232" s="9" t="n">
        <v>628.03</v>
      </c>
      <c r="X232" s="9" t="n">
        <v>628.03</v>
      </c>
      <c r="Y232" s="9" t="n">
        <v>628.03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825</v>
      </c>
      <c r="B233" s="3" t="s">
        <v>675</v>
      </c>
      <c r="C233" s="3" t="s">
        <v>153</v>
      </c>
      <c r="D233" s="3" t="s">
        <v>154</v>
      </c>
      <c r="E233" s="3" t="n">
        <v>2020</v>
      </c>
      <c r="F233" s="3" t="s">
        <v>53</v>
      </c>
      <c r="G233" s="3" t="s">
        <v>54</v>
      </c>
      <c r="H233" s="3" t="s">
        <v>826</v>
      </c>
      <c r="I233" s="3" t="s">
        <v>56</v>
      </c>
      <c r="J233" s="7" t="n">
        <v>525000</v>
      </c>
      <c r="K233" s="3" t="s">
        <v>142</v>
      </c>
      <c r="L233" s="7" t="n">
        <v>7741.31</v>
      </c>
      <c r="M233" s="7" t="n">
        <v>967.66</v>
      </c>
      <c r="N233" s="7" t="n">
        <v>967.66</v>
      </c>
      <c r="O233" s="7" t="n">
        <v>5806</v>
      </c>
      <c r="P233" s="7" t="n">
        <v>580.6</v>
      </c>
      <c r="Q233" s="7" t="n">
        <v>580.6</v>
      </c>
      <c r="R233" s="7" t="n">
        <v>580.6</v>
      </c>
      <c r="S233" s="7" t="n">
        <v>580.6</v>
      </c>
      <c r="T233" s="7" t="n">
        <v>580.6</v>
      </c>
      <c r="U233" s="7" t="n">
        <v>580.6</v>
      </c>
      <c r="V233" s="7" t="n">
        <v>580.6</v>
      </c>
      <c r="W233" s="7" t="n">
        <v>580.6</v>
      </c>
      <c r="X233" s="7" t="n">
        <v>580.6</v>
      </c>
      <c r="Y233" s="7" t="n">
        <v>580.6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827</v>
      </c>
      <c r="B234" s="8" t="s">
        <v>449</v>
      </c>
      <c r="C234" s="8" t="s">
        <v>252</v>
      </c>
      <c r="D234" s="8" t="s">
        <v>253</v>
      </c>
      <c r="E234" s="8" t="n">
        <v>2018</v>
      </c>
      <c r="F234" s="8" t="s">
        <v>95</v>
      </c>
      <c r="G234" s="8" t="s">
        <v>96</v>
      </c>
      <c r="H234" s="8" t="s">
        <v>828</v>
      </c>
      <c r="I234" s="8" t="s">
        <v>47</v>
      </c>
      <c r="J234" s="9" t="n">
        <v>1145000</v>
      </c>
      <c r="K234" s="8" t="s">
        <v>86</v>
      </c>
      <c r="L234" s="9" t="n">
        <v>19755.27</v>
      </c>
      <c r="M234" s="9" t="n">
        <v>2469.41</v>
      </c>
      <c r="N234" s="9" t="n">
        <v>2469.41</v>
      </c>
      <c r="O234" s="9" t="n">
        <v>14816.5</v>
      </c>
      <c r="P234" s="9" t="n">
        <v>1481.65</v>
      </c>
      <c r="Q234" s="9" t="n">
        <v>1481.65</v>
      </c>
      <c r="R234" s="9" t="n">
        <v>1481.65</v>
      </c>
      <c r="S234" s="9" t="n">
        <v>1481.65</v>
      </c>
      <c r="T234" s="9" t="n">
        <v>1481.65</v>
      </c>
      <c r="U234" s="9" t="n">
        <v>1481.65</v>
      </c>
      <c r="V234" s="9" t="n">
        <v>1481.65</v>
      </c>
      <c r="W234" s="9" t="n">
        <v>1481.65</v>
      </c>
      <c r="X234" s="9" t="n">
        <v>1481.65</v>
      </c>
      <c r="Y234" s="9" t="n">
        <v>1481.65</v>
      </c>
      <c r="Z234" s="9" t="n">
        <v>350</v>
      </c>
      <c r="AA234" s="9" t="n">
        <v>250</v>
      </c>
      <c r="AB234" s="9" t="n">
        <v>600</v>
      </c>
    </row>
    <row r="235" customFormat="false" ht="15" hidden="false" customHeight="false" outlineLevel="0" collapsed="false">
      <c r="A235" s="3" t="s">
        <v>829</v>
      </c>
      <c r="B235" s="3" t="s">
        <v>830</v>
      </c>
      <c r="C235" s="3" t="s">
        <v>238</v>
      </c>
      <c r="D235" s="3" t="s">
        <v>239</v>
      </c>
      <c r="E235" s="3" t="n">
        <v>2020</v>
      </c>
      <c r="F235" s="3" t="s">
        <v>831</v>
      </c>
      <c r="G235" s="3" t="s">
        <v>832</v>
      </c>
      <c r="H235" s="3" t="s">
        <v>833</v>
      </c>
      <c r="I235" s="3" t="s">
        <v>110</v>
      </c>
      <c r="J235" s="7" t="n">
        <v>575000</v>
      </c>
      <c r="K235" s="3" t="s">
        <v>57</v>
      </c>
      <c r="L235" s="7" t="n">
        <v>4433.11</v>
      </c>
      <c r="M235" s="7" t="n">
        <v>554.14</v>
      </c>
      <c r="N235" s="7" t="n">
        <v>554.14</v>
      </c>
      <c r="O235" s="7" t="n">
        <v>3324.8</v>
      </c>
      <c r="P235" s="7" t="n">
        <v>332.48</v>
      </c>
      <c r="Q235" s="7" t="n">
        <v>332.48</v>
      </c>
      <c r="R235" s="7" t="n">
        <v>332.48</v>
      </c>
      <c r="S235" s="7" t="n">
        <v>332.48</v>
      </c>
      <c r="T235" s="7" t="n">
        <v>332.48</v>
      </c>
      <c r="U235" s="7" t="n">
        <v>332.48</v>
      </c>
      <c r="V235" s="7" t="n">
        <v>332.48</v>
      </c>
      <c r="W235" s="7" t="n">
        <v>332.48</v>
      </c>
      <c r="X235" s="7" t="n">
        <v>332.48</v>
      </c>
      <c r="Y235" s="7" t="n">
        <v>332.48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834</v>
      </c>
      <c r="B236" s="8" t="s">
        <v>215</v>
      </c>
      <c r="C236" s="8" t="s">
        <v>93</v>
      </c>
      <c r="D236" s="8" t="s">
        <v>94</v>
      </c>
      <c r="E236" s="8" t="n">
        <v>1986</v>
      </c>
      <c r="F236" s="8" t="s">
        <v>122</v>
      </c>
      <c r="G236" s="8" t="s">
        <v>123</v>
      </c>
      <c r="H236" s="8" t="s">
        <v>835</v>
      </c>
      <c r="I236" s="8" t="s">
        <v>56</v>
      </c>
      <c r="J236" s="9" t="n">
        <v>340000</v>
      </c>
      <c r="K236" s="8" t="s">
        <v>222</v>
      </c>
      <c r="L236" s="9" t="n">
        <v>4766.29</v>
      </c>
      <c r="M236" s="9" t="n">
        <v>595.79</v>
      </c>
      <c r="N236" s="9" t="n">
        <v>595.79</v>
      </c>
      <c r="O236" s="9" t="n">
        <v>3574.7</v>
      </c>
      <c r="P236" s="9" t="n">
        <v>357.47</v>
      </c>
      <c r="Q236" s="9" t="n">
        <v>357.47</v>
      </c>
      <c r="R236" s="9" t="n">
        <v>357.47</v>
      </c>
      <c r="S236" s="9" t="n">
        <v>357.47</v>
      </c>
      <c r="T236" s="9" t="n">
        <v>357.47</v>
      </c>
      <c r="U236" s="9" t="n">
        <v>357.47</v>
      </c>
      <c r="V236" s="9" t="n">
        <v>357.47</v>
      </c>
      <c r="W236" s="9" t="n">
        <v>357.47</v>
      </c>
      <c r="X236" s="9" t="n">
        <v>357.47</v>
      </c>
      <c r="Y236" s="9" t="n">
        <v>357.47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836</v>
      </c>
      <c r="B237" s="3" t="s">
        <v>441</v>
      </c>
      <c r="C237" s="3" t="s">
        <v>238</v>
      </c>
      <c r="D237" s="3" t="s">
        <v>239</v>
      </c>
      <c r="E237" s="3" t="n">
        <v>1955</v>
      </c>
      <c r="F237" s="3" t="s">
        <v>107</v>
      </c>
      <c r="G237" s="3" t="s">
        <v>134</v>
      </c>
      <c r="H237" s="3" t="s">
        <v>837</v>
      </c>
      <c r="I237" s="3" t="s">
        <v>56</v>
      </c>
      <c r="J237" s="7" t="n">
        <v>1295000</v>
      </c>
      <c r="K237" s="3" t="s">
        <v>278</v>
      </c>
      <c r="L237" s="7" t="n">
        <v>13540.45</v>
      </c>
      <c r="M237" s="7" t="n">
        <v>1692.56</v>
      </c>
      <c r="N237" s="7" t="n">
        <v>1692.56</v>
      </c>
      <c r="O237" s="7" t="n">
        <v>10155.3</v>
      </c>
      <c r="P237" s="7" t="n">
        <v>1015.53</v>
      </c>
      <c r="Q237" s="7" t="n">
        <v>1015.53</v>
      </c>
      <c r="R237" s="7" t="n">
        <v>1015.53</v>
      </c>
      <c r="S237" s="7" t="n">
        <v>1015.53</v>
      </c>
      <c r="T237" s="7" t="n">
        <v>1015.53</v>
      </c>
      <c r="U237" s="7" t="n">
        <v>1015.53</v>
      </c>
      <c r="V237" s="7" t="n">
        <v>1015.53</v>
      </c>
      <c r="W237" s="7" t="n">
        <v>1015.53</v>
      </c>
      <c r="X237" s="7" t="n">
        <v>1015.53</v>
      </c>
      <c r="Y237" s="7" t="n">
        <v>1015.53</v>
      </c>
      <c r="Z237" s="7" t="n">
        <v>350</v>
      </c>
      <c r="AA237" s="7" t="n">
        <v>250</v>
      </c>
      <c r="AB237" s="7" t="n">
        <v>600</v>
      </c>
    </row>
    <row r="238" customFormat="false" ht="15" hidden="false" customHeight="false" outlineLevel="0" collapsed="false">
      <c r="A238" s="8" t="s">
        <v>838</v>
      </c>
      <c r="B238" s="8" t="s">
        <v>839</v>
      </c>
      <c r="C238" s="8" t="s">
        <v>267</v>
      </c>
      <c r="D238" s="8" t="s">
        <v>268</v>
      </c>
      <c r="E238" s="8" t="n">
        <v>2006</v>
      </c>
      <c r="F238" s="8" t="s">
        <v>62</v>
      </c>
      <c r="G238" s="8" t="s">
        <v>310</v>
      </c>
      <c r="H238" s="8" t="s">
        <v>840</v>
      </c>
      <c r="I238" s="8" t="s">
        <v>78</v>
      </c>
      <c r="J238" s="9" t="n">
        <v>1950000</v>
      </c>
      <c r="K238" s="8" t="s">
        <v>278</v>
      </c>
      <c r="L238" s="9" t="n">
        <v>14087.01</v>
      </c>
      <c r="M238" s="9" t="n">
        <v>1760.88</v>
      </c>
      <c r="N238" s="9" t="n">
        <v>1760.88</v>
      </c>
      <c r="O238" s="9" t="n">
        <v>10565.3</v>
      </c>
      <c r="P238" s="9" t="n">
        <v>1056.53</v>
      </c>
      <c r="Q238" s="9" t="n">
        <v>1056.53</v>
      </c>
      <c r="R238" s="9" t="n">
        <v>1056.53</v>
      </c>
      <c r="S238" s="9" t="n">
        <v>1056.53</v>
      </c>
      <c r="T238" s="9" t="n">
        <v>1056.53</v>
      </c>
      <c r="U238" s="9" t="n">
        <v>1056.53</v>
      </c>
      <c r="V238" s="9" t="n">
        <v>1056.53</v>
      </c>
      <c r="W238" s="9" t="n">
        <v>1056.53</v>
      </c>
      <c r="X238" s="9" t="n">
        <v>1056.53</v>
      </c>
      <c r="Y238" s="9" t="n">
        <v>1056.53</v>
      </c>
      <c r="Z238" s="9" t="n">
        <v>350</v>
      </c>
      <c r="AA238" s="9" t="n">
        <v>250</v>
      </c>
      <c r="AB238" s="9" t="n">
        <v>600</v>
      </c>
    </row>
    <row r="239" customFormat="false" ht="15" hidden="false" customHeight="false" outlineLevel="0" collapsed="false">
      <c r="A239" s="3" t="s">
        <v>841</v>
      </c>
      <c r="B239" s="3" t="s">
        <v>243</v>
      </c>
      <c r="C239" s="3" t="s">
        <v>246</v>
      </c>
      <c r="D239" s="3" t="s">
        <v>247</v>
      </c>
      <c r="E239" s="3" t="n">
        <v>1956</v>
      </c>
      <c r="F239" s="3" t="s">
        <v>62</v>
      </c>
      <c r="G239" s="3" t="s">
        <v>63</v>
      </c>
      <c r="H239" s="3" t="s">
        <v>842</v>
      </c>
      <c r="I239" s="3" t="s">
        <v>56</v>
      </c>
      <c r="J239" s="7" t="n">
        <v>510000</v>
      </c>
      <c r="K239" s="3" t="s">
        <v>278</v>
      </c>
      <c r="L239" s="7" t="n">
        <v>6302.08</v>
      </c>
      <c r="M239" s="7" t="n">
        <v>787.76</v>
      </c>
      <c r="N239" s="7" t="n">
        <v>787.76</v>
      </c>
      <c r="O239" s="7" t="n">
        <v>4726.6</v>
      </c>
      <c r="P239" s="7" t="n">
        <v>472.66</v>
      </c>
      <c r="Q239" s="7" t="n">
        <v>472.66</v>
      </c>
      <c r="R239" s="7" t="n">
        <v>472.66</v>
      </c>
      <c r="S239" s="7" t="n">
        <v>472.66</v>
      </c>
      <c r="T239" s="7" t="n">
        <v>472.66</v>
      </c>
      <c r="U239" s="7" t="n">
        <v>472.66</v>
      </c>
      <c r="V239" s="7" t="n">
        <v>472.66</v>
      </c>
      <c r="W239" s="7" t="n">
        <v>472.66</v>
      </c>
      <c r="X239" s="7" t="n">
        <v>472.66</v>
      </c>
      <c r="Y239" s="7" t="n">
        <v>472.66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843</v>
      </c>
      <c r="B240" s="8" t="s">
        <v>844</v>
      </c>
      <c r="C240" s="8" t="s">
        <v>145</v>
      </c>
      <c r="D240" s="8" t="s">
        <v>146</v>
      </c>
      <c r="E240" s="8" t="n">
        <v>2019</v>
      </c>
      <c r="F240" s="8" t="s">
        <v>53</v>
      </c>
      <c r="G240" s="8" t="s">
        <v>54</v>
      </c>
      <c r="H240" s="8" t="s">
        <v>845</v>
      </c>
      <c r="I240" s="8" t="s">
        <v>56</v>
      </c>
      <c r="J240" s="9" t="n">
        <v>700000</v>
      </c>
      <c r="K240" s="8" t="s">
        <v>57</v>
      </c>
      <c r="L240" s="9" t="n">
        <v>9231.43</v>
      </c>
      <c r="M240" s="9" t="n">
        <v>1153.93</v>
      </c>
      <c r="N240" s="9" t="n">
        <v>1153.93</v>
      </c>
      <c r="O240" s="9" t="n">
        <v>6923.6</v>
      </c>
      <c r="P240" s="9" t="n">
        <v>692.36</v>
      </c>
      <c r="Q240" s="9" t="n">
        <v>692.36</v>
      </c>
      <c r="R240" s="9" t="n">
        <v>692.36</v>
      </c>
      <c r="S240" s="9" t="n">
        <v>692.36</v>
      </c>
      <c r="T240" s="9" t="n">
        <v>692.36</v>
      </c>
      <c r="U240" s="9" t="n">
        <v>692.36</v>
      </c>
      <c r="V240" s="9" t="n">
        <v>692.36</v>
      </c>
      <c r="W240" s="9" t="n">
        <v>692.36</v>
      </c>
      <c r="X240" s="9" t="n">
        <v>692.36</v>
      </c>
      <c r="Y240" s="9" t="n">
        <v>692.36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846</v>
      </c>
      <c r="B241" s="3" t="s">
        <v>224</v>
      </c>
      <c r="C241" s="3" t="s">
        <v>74</v>
      </c>
      <c r="D241" s="3" t="s">
        <v>75</v>
      </c>
      <c r="E241" s="3" t="n">
        <v>1984</v>
      </c>
      <c r="F241" s="3" t="s">
        <v>53</v>
      </c>
      <c r="G241" s="3" t="s">
        <v>54</v>
      </c>
      <c r="H241" s="3" t="s">
        <v>847</v>
      </c>
      <c r="I241" s="3" t="s">
        <v>56</v>
      </c>
      <c r="J241" s="7" t="n">
        <v>465000</v>
      </c>
      <c r="K241" s="3" t="s">
        <v>57</v>
      </c>
      <c r="L241" s="7" t="n">
        <v>7075.74</v>
      </c>
      <c r="M241" s="7" t="n">
        <v>884.47</v>
      </c>
      <c r="N241" s="7" t="n">
        <v>884.47</v>
      </c>
      <c r="O241" s="7" t="n">
        <v>5306.8</v>
      </c>
      <c r="P241" s="7" t="n">
        <v>530.68</v>
      </c>
      <c r="Q241" s="7" t="n">
        <v>530.68</v>
      </c>
      <c r="R241" s="7" t="n">
        <v>530.68</v>
      </c>
      <c r="S241" s="7" t="n">
        <v>530.68</v>
      </c>
      <c r="T241" s="7" t="n">
        <v>530.68</v>
      </c>
      <c r="U241" s="7" t="n">
        <v>530.68</v>
      </c>
      <c r="V241" s="7" t="n">
        <v>530.68</v>
      </c>
      <c r="W241" s="7" t="n">
        <v>530.68</v>
      </c>
      <c r="X241" s="7" t="n">
        <v>530.68</v>
      </c>
      <c r="Y241" s="7" t="n">
        <v>530.68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848</v>
      </c>
      <c r="B242" s="8" t="s">
        <v>570</v>
      </c>
      <c r="C242" s="8" t="s">
        <v>153</v>
      </c>
      <c r="D242" s="8" t="s">
        <v>154</v>
      </c>
      <c r="E242" s="8" t="n">
        <v>1995</v>
      </c>
      <c r="F242" s="8" t="s">
        <v>195</v>
      </c>
      <c r="G242" s="8" t="s">
        <v>196</v>
      </c>
      <c r="H242" s="8" t="s">
        <v>849</v>
      </c>
      <c r="I242" s="8" t="s">
        <v>47</v>
      </c>
      <c r="J242" s="9" t="n">
        <v>655000</v>
      </c>
      <c r="K242" s="8" t="s">
        <v>142</v>
      </c>
      <c r="L242" s="9" t="n">
        <v>14115.84</v>
      </c>
      <c r="M242" s="9" t="n">
        <v>1764.48</v>
      </c>
      <c r="N242" s="9" t="n">
        <v>1764.48</v>
      </c>
      <c r="O242" s="9" t="n">
        <v>10586.9</v>
      </c>
      <c r="P242" s="9" t="n">
        <v>1058.69</v>
      </c>
      <c r="Q242" s="9" t="n">
        <v>1058.69</v>
      </c>
      <c r="R242" s="9" t="n">
        <v>1058.69</v>
      </c>
      <c r="S242" s="9" t="n">
        <v>1058.69</v>
      </c>
      <c r="T242" s="9" t="n">
        <v>1058.69</v>
      </c>
      <c r="U242" s="9" t="n">
        <v>1058.69</v>
      </c>
      <c r="V242" s="9" t="n">
        <v>1058.69</v>
      </c>
      <c r="W242" s="9" t="n">
        <v>1058.69</v>
      </c>
      <c r="X242" s="9" t="n">
        <v>1058.69</v>
      </c>
      <c r="Y242" s="9" t="n">
        <v>1058.69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850</v>
      </c>
      <c r="B243" s="3" t="s">
        <v>851</v>
      </c>
      <c r="C243" s="3" t="s">
        <v>189</v>
      </c>
      <c r="D243" s="3" t="s">
        <v>190</v>
      </c>
      <c r="E243" s="3" t="n">
        <v>1959</v>
      </c>
      <c r="F243" s="3" t="s">
        <v>62</v>
      </c>
      <c r="G243" s="3" t="s">
        <v>63</v>
      </c>
      <c r="H243" s="3" t="s">
        <v>852</v>
      </c>
      <c r="I243" s="3" t="s">
        <v>56</v>
      </c>
      <c r="J243" s="7" t="n">
        <v>965000</v>
      </c>
      <c r="K243" s="3" t="s">
        <v>525</v>
      </c>
      <c r="L243" s="7" t="n">
        <v>12124.95</v>
      </c>
      <c r="M243" s="7" t="n">
        <v>1515.62</v>
      </c>
      <c r="N243" s="7" t="n">
        <v>1515.62</v>
      </c>
      <c r="O243" s="7" t="n">
        <v>9093.7</v>
      </c>
      <c r="P243" s="7" t="n">
        <v>909.37</v>
      </c>
      <c r="Q243" s="7" t="n">
        <v>909.37</v>
      </c>
      <c r="R243" s="7" t="n">
        <v>909.37</v>
      </c>
      <c r="S243" s="7" t="n">
        <v>909.37</v>
      </c>
      <c r="T243" s="7" t="n">
        <v>909.37</v>
      </c>
      <c r="U243" s="7" t="n">
        <v>909.37</v>
      </c>
      <c r="V243" s="7" t="n">
        <v>909.37</v>
      </c>
      <c r="W243" s="7" t="n">
        <v>909.37</v>
      </c>
      <c r="X243" s="7" t="n">
        <v>909.37</v>
      </c>
      <c r="Y243" s="7" t="n">
        <v>909.37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853</v>
      </c>
      <c r="B244" s="8" t="s">
        <v>678</v>
      </c>
      <c r="C244" s="8" t="s">
        <v>304</v>
      </c>
      <c r="D244" s="8" t="s">
        <v>305</v>
      </c>
      <c r="E244" s="8" t="n">
        <v>1955</v>
      </c>
      <c r="F244" s="8" t="s">
        <v>83</v>
      </c>
      <c r="G244" s="8" t="s">
        <v>84</v>
      </c>
      <c r="H244" s="8" t="s">
        <v>854</v>
      </c>
      <c r="I244" s="8" t="s">
        <v>56</v>
      </c>
      <c r="J244" s="9" t="n">
        <v>580000</v>
      </c>
      <c r="K244" s="8" t="s">
        <v>180</v>
      </c>
      <c r="L244" s="9" t="n">
        <v>8311.4</v>
      </c>
      <c r="M244" s="9" t="n">
        <v>1038.92</v>
      </c>
      <c r="N244" s="9" t="n">
        <v>1038.92</v>
      </c>
      <c r="O244" s="9" t="n">
        <v>6233.5</v>
      </c>
      <c r="P244" s="9" t="n">
        <v>623.35</v>
      </c>
      <c r="Q244" s="9" t="n">
        <v>623.35</v>
      </c>
      <c r="R244" s="9" t="n">
        <v>623.35</v>
      </c>
      <c r="S244" s="9" t="n">
        <v>623.35</v>
      </c>
      <c r="T244" s="9" t="n">
        <v>623.35</v>
      </c>
      <c r="U244" s="9" t="n">
        <v>623.35</v>
      </c>
      <c r="V244" s="9" t="n">
        <v>623.35</v>
      </c>
      <c r="W244" s="9" t="n">
        <v>623.35</v>
      </c>
      <c r="X244" s="9" t="n">
        <v>623.35</v>
      </c>
      <c r="Y244" s="9" t="n">
        <v>623.35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855</v>
      </c>
      <c r="B245" s="3" t="s">
        <v>856</v>
      </c>
      <c r="C245" s="3" t="s">
        <v>252</v>
      </c>
      <c r="D245" s="3" t="s">
        <v>253</v>
      </c>
      <c r="E245" s="3" t="n">
        <v>2014</v>
      </c>
      <c r="F245" s="3" t="s">
        <v>107</v>
      </c>
      <c r="G245" s="3" t="s">
        <v>134</v>
      </c>
      <c r="H245" s="3" t="s">
        <v>857</v>
      </c>
      <c r="I245" s="3" t="s">
        <v>56</v>
      </c>
      <c r="J245" s="7" t="n">
        <v>835000</v>
      </c>
      <c r="K245" s="3" t="s">
        <v>142</v>
      </c>
      <c r="L245" s="7" t="n">
        <v>12312.37</v>
      </c>
      <c r="M245" s="7" t="n">
        <v>1539.05</v>
      </c>
      <c r="N245" s="7" t="n">
        <v>1539.05</v>
      </c>
      <c r="O245" s="7" t="n">
        <v>9234.3</v>
      </c>
      <c r="P245" s="7" t="n">
        <v>923.43</v>
      </c>
      <c r="Q245" s="7" t="n">
        <v>923.43</v>
      </c>
      <c r="R245" s="7" t="n">
        <v>923.43</v>
      </c>
      <c r="S245" s="7" t="n">
        <v>923.43</v>
      </c>
      <c r="T245" s="7" t="n">
        <v>923.43</v>
      </c>
      <c r="U245" s="7" t="n">
        <v>923.43</v>
      </c>
      <c r="V245" s="7" t="n">
        <v>923.43</v>
      </c>
      <c r="W245" s="7" t="n">
        <v>923.43</v>
      </c>
      <c r="X245" s="7" t="n">
        <v>923.43</v>
      </c>
      <c r="Y245" s="7" t="n">
        <v>923.43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858</v>
      </c>
      <c r="B246" s="8" t="s">
        <v>859</v>
      </c>
      <c r="C246" s="8" t="s">
        <v>171</v>
      </c>
      <c r="D246" s="8" t="s">
        <v>172</v>
      </c>
      <c r="E246" s="8" t="n">
        <v>2012</v>
      </c>
      <c r="F246" s="8" t="s">
        <v>53</v>
      </c>
      <c r="G246" s="8" t="s">
        <v>54</v>
      </c>
      <c r="H246" s="8" t="s">
        <v>860</v>
      </c>
      <c r="I246" s="8" t="s">
        <v>56</v>
      </c>
      <c r="J246" s="9" t="n">
        <v>530000</v>
      </c>
      <c r="K246" s="8" t="s">
        <v>142</v>
      </c>
      <c r="L246" s="9" t="n">
        <v>7815.04</v>
      </c>
      <c r="M246" s="9" t="n">
        <v>976.88</v>
      </c>
      <c r="N246" s="9" t="n">
        <v>976.88</v>
      </c>
      <c r="O246" s="9" t="n">
        <v>5861.3</v>
      </c>
      <c r="P246" s="9" t="n">
        <v>586.13</v>
      </c>
      <c r="Q246" s="9" t="n">
        <v>586.13</v>
      </c>
      <c r="R246" s="9" t="n">
        <v>586.13</v>
      </c>
      <c r="S246" s="9" t="n">
        <v>586.13</v>
      </c>
      <c r="T246" s="9" t="n">
        <v>586.13</v>
      </c>
      <c r="U246" s="9" t="n">
        <v>586.13</v>
      </c>
      <c r="V246" s="9" t="n">
        <v>586.13</v>
      </c>
      <c r="W246" s="9" t="n">
        <v>586.13</v>
      </c>
      <c r="X246" s="9" t="n">
        <v>586.13</v>
      </c>
      <c r="Y246" s="9" t="n">
        <v>586.13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861</v>
      </c>
      <c r="B247" s="3" t="s">
        <v>862</v>
      </c>
      <c r="C247" s="3" t="s">
        <v>177</v>
      </c>
      <c r="D247" s="3" t="s">
        <v>178</v>
      </c>
      <c r="E247" s="3" t="n">
        <v>1971</v>
      </c>
      <c r="F247" s="3" t="s">
        <v>83</v>
      </c>
      <c r="G247" s="3" t="s">
        <v>84</v>
      </c>
      <c r="H247" s="3" t="s">
        <v>863</v>
      </c>
      <c r="I247" s="3" t="s">
        <v>56</v>
      </c>
      <c r="J247" s="7" t="n">
        <v>810000</v>
      </c>
      <c r="K247" s="3" t="s">
        <v>525</v>
      </c>
      <c r="L247" s="7" t="n">
        <v>10177.41</v>
      </c>
      <c r="M247" s="7" t="n">
        <v>1272.18</v>
      </c>
      <c r="N247" s="7" t="n">
        <v>1272.18</v>
      </c>
      <c r="O247" s="7" t="n">
        <v>7633.1</v>
      </c>
      <c r="P247" s="7" t="n">
        <v>763.31</v>
      </c>
      <c r="Q247" s="7" t="n">
        <v>763.31</v>
      </c>
      <c r="R247" s="7" t="n">
        <v>763.31</v>
      </c>
      <c r="S247" s="7" t="n">
        <v>763.31</v>
      </c>
      <c r="T247" s="7" t="n">
        <v>763.31</v>
      </c>
      <c r="U247" s="7" t="n">
        <v>763.31</v>
      </c>
      <c r="V247" s="7" t="n">
        <v>763.31</v>
      </c>
      <c r="W247" s="7" t="n">
        <v>763.31</v>
      </c>
      <c r="X247" s="7" t="n">
        <v>763.31</v>
      </c>
      <c r="Y247" s="7" t="n">
        <v>763.31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864</v>
      </c>
      <c r="B248" s="8" t="s">
        <v>865</v>
      </c>
      <c r="C248" s="8" t="s">
        <v>51</v>
      </c>
      <c r="D248" s="8" t="s">
        <v>52</v>
      </c>
      <c r="E248" s="8" t="n">
        <v>1997</v>
      </c>
      <c r="F248" s="8" t="s">
        <v>155</v>
      </c>
      <c r="G248" s="8" t="s">
        <v>191</v>
      </c>
      <c r="H248" s="8" t="s">
        <v>866</v>
      </c>
      <c r="I248" s="8" t="s">
        <v>56</v>
      </c>
      <c r="J248" s="9" t="n">
        <v>645000</v>
      </c>
      <c r="K248" s="8" t="s">
        <v>158</v>
      </c>
      <c r="L248" s="9" t="n">
        <v>6630.74</v>
      </c>
      <c r="M248" s="9" t="n">
        <v>828.84</v>
      </c>
      <c r="N248" s="9" t="n">
        <v>828.84</v>
      </c>
      <c r="O248" s="9" t="n">
        <v>4973.1</v>
      </c>
      <c r="P248" s="9" t="n">
        <v>497.31</v>
      </c>
      <c r="Q248" s="9" t="n">
        <v>497.31</v>
      </c>
      <c r="R248" s="9" t="n">
        <v>497.31</v>
      </c>
      <c r="S248" s="9" t="n">
        <v>497.31</v>
      </c>
      <c r="T248" s="9" t="n">
        <v>497.31</v>
      </c>
      <c r="U248" s="9" t="n">
        <v>497.31</v>
      </c>
      <c r="V248" s="9" t="n">
        <v>497.31</v>
      </c>
      <c r="W248" s="9" t="n">
        <v>497.31</v>
      </c>
      <c r="X248" s="9" t="n">
        <v>497.31</v>
      </c>
      <c r="Y248" s="9" t="n">
        <v>497.31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867</v>
      </c>
      <c r="B249" s="3" t="s">
        <v>868</v>
      </c>
      <c r="C249" s="3" t="s">
        <v>139</v>
      </c>
      <c r="D249" s="3" t="s">
        <v>140</v>
      </c>
      <c r="E249" s="3" t="n">
        <v>2021</v>
      </c>
      <c r="F249" s="3" t="s">
        <v>62</v>
      </c>
      <c r="G249" s="3" t="s">
        <v>63</v>
      </c>
      <c r="H249" s="3" t="s">
        <v>869</v>
      </c>
      <c r="I249" s="3" t="s">
        <v>56</v>
      </c>
      <c r="J249" s="7" t="n">
        <v>275000</v>
      </c>
      <c r="K249" s="3" t="s">
        <v>465</v>
      </c>
      <c r="L249" s="7" t="n">
        <v>4382.27</v>
      </c>
      <c r="M249" s="7" t="n">
        <v>547.78</v>
      </c>
      <c r="N249" s="7" t="n">
        <v>547.78</v>
      </c>
      <c r="O249" s="7" t="n">
        <v>3286.7</v>
      </c>
      <c r="P249" s="7" t="n">
        <v>328.67</v>
      </c>
      <c r="Q249" s="7" t="n">
        <v>328.67</v>
      </c>
      <c r="R249" s="7" t="n">
        <v>328.67</v>
      </c>
      <c r="S249" s="7" t="n">
        <v>328.67</v>
      </c>
      <c r="T249" s="7" t="n">
        <v>328.67</v>
      </c>
      <c r="U249" s="7" t="n">
        <v>328.67</v>
      </c>
      <c r="V249" s="7" t="n">
        <v>328.67</v>
      </c>
      <c r="W249" s="7" t="n">
        <v>328.67</v>
      </c>
      <c r="X249" s="7" t="n">
        <v>328.67</v>
      </c>
      <c r="Y249" s="7" t="n">
        <v>328.67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870</v>
      </c>
      <c r="B250" s="8" t="s">
        <v>630</v>
      </c>
      <c r="C250" s="8" t="s">
        <v>189</v>
      </c>
      <c r="D250" s="8" t="s">
        <v>190</v>
      </c>
      <c r="E250" s="8" t="n">
        <v>1972</v>
      </c>
      <c r="F250" s="8" t="s">
        <v>53</v>
      </c>
      <c r="G250" s="8" t="s">
        <v>54</v>
      </c>
      <c r="H250" s="8" t="s">
        <v>871</v>
      </c>
      <c r="I250" s="8" t="s">
        <v>56</v>
      </c>
      <c r="J250" s="9" t="n">
        <v>190000</v>
      </c>
      <c r="K250" s="8" t="s">
        <v>668</v>
      </c>
      <c r="L250" s="9" t="n">
        <v>3155.54</v>
      </c>
      <c r="M250" s="9" t="n">
        <v>394.44</v>
      </c>
      <c r="N250" s="9" t="n">
        <v>394.44</v>
      </c>
      <c r="O250" s="9" t="n">
        <v>2366.7</v>
      </c>
      <c r="P250" s="9" t="n">
        <v>236.67</v>
      </c>
      <c r="Q250" s="9" t="n">
        <v>236.67</v>
      </c>
      <c r="R250" s="9" t="n">
        <v>236.67</v>
      </c>
      <c r="S250" s="9" t="n">
        <v>236.67</v>
      </c>
      <c r="T250" s="9" t="n">
        <v>236.67</v>
      </c>
      <c r="U250" s="9" t="n">
        <v>236.67</v>
      </c>
      <c r="V250" s="9" t="n">
        <v>236.67</v>
      </c>
      <c r="W250" s="9" t="n">
        <v>236.67</v>
      </c>
      <c r="X250" s="9" t="n">
        <v>236.67</v>
      </c>
      <c r="Y250" s="9" t="n">
        <v>236.67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872</v>
      </c>
      <c r="B251" s="3" t="s">
        <v>266</v>
      </c>
      <c r="C251" s="3" t="s">
        <v>114</v>
      </c>
      <c r="D251" s="3" t="s">
        <v>115</v>
      </c>
      <c r="E251" s="3" t="n">
        <v>1994</v>
      </c>
      <c r="F251" s="3" t="s">
        <v>62</v>
      </c>
      <c r="G251" s="3" t="s">
        <v>310</v>
      </c>
      <c r="H251" s="3" t="s">
        <v>873</v>
      </c>
      <c r="I251" s="3" t="s">
        <v>78</v>
      </c>
      <c r="J251" s="7" t="n">
        <v>935000</v>
      </c>
      <c r="K251" s="3" t="s">
        <v>86</v>
      </c>
      <c r="L251" s="7" t="n">
        <v>8670.97</v>
      </c>
      <c r="M251" s="7" t="n">
        <v>1083.87</v>
      </c>
      <c r="N251" s="7" t="n">
        <v>1083.87</v>
      </c>
      <c r="O251" s="7" t="n">
        <v>6503.2</v>
      </c>
      <c r="P251" s="7" t="n">
        <v>650.32</v>
      </c>
      <c r="Q251" s="7" t="n">
        <v>650.32</v>
      </c>
      <c r="R251" s="7" t="n">
        <v>650.32</v>
      </c>
      <c r="S251" s="7" t="n">
        <v>650.32</v>
      </c>
      <c r="T251" s="7" t="n">
        <v>650.32</v>
      </c>
      <c r="U251" s="7" t="n">
        <v>650.32</v>
      </c>
      <c r="V251" s="7" t="n">
        <v>650.32</v>
      </c>
      <c r="W251" s="7" t="n">
        <v>650.32</v>
      </c>
      <c r="X251" s="7" t="n">
        <v>650.32</v>
      </c>
      <c r="Y251" s="7" t="n">
        <v>650.32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874</v>
      </c>
      <c r="B252" s="8" t="s">
        <v>343</v>
      </c>
      <c r="C252" s="8" t="s">
        <v>246</v>
      </c>
      <c r="D252" s="8" t="s">
        <v>247</v>
      </c>
      <c r="E252" s="8" t="n">
        <v>1977</v>
      </c>
      <c r="F252" s="8" t="s">
        <v>44</v>
      </c>
      <c r="G252" s="8" t="s">
        <v>240</v>
      </c>
      <c r="H252" s="8" t="s">
        <v>875</v>
      </c>
      <c r="I252" s="8" t="s">
        <v>47</v>
      </c>
      <c r="J252" s="9" t="n">
        <v>1105000</v>
      </c>
      <c r="K252" s="8" t="s">
        <v>125</v>
      </c>
      <c r="L252" s="9" t="n">
        <v>19206.35</v>
      </c>
      <c r="M252" s="9" t="n">
        <v>2400.79</v>
      </c>
      <c r="N252" s="9" t="n">
        <v>2400.79</v>
      </c>
      <c r="O252" s="9" t="n">
        <v>14404.8</v>
      </c>
      <c r="P252" s="9" t="n">
        <v>1440.48</v>
      </c>
      <c r="Q252" s="9" t="n">
        <v>1440.48</v>
      </c>
      <c r="R252" s="9" t="n">
        <v>1440.48</v>
      </c>
      <c r="S252" s="9" t="n">
        <v>1440.48</v>
      </c>
      <c r="T252" s="9" t="n">
        <v>1440.48</v>
      </c>
      <c r="U252" s="9" t="n">
        <v>1440.48</v>
      </c>
      <c r="V252" s="9" t="n">
        <v>1440.48</v>
      </c>
      <c r="W252" s="9" t="n">
        <v>1440.48</v>
      </c>
      <c r="X252" s="9" t="n">
        <v>1440.48</v>
      </c>
      <c r="Y252" s="9" t="n">
        <v>1440.48</v>
      </c>
      <c r="Z252" s="9" t="n">
        <v>350</v>
      </c>
      <c r="AA252" s="9" t="n">
        <v>250</v>
      </c>
      <c r="AB252" s="9" t="n">
        <v>600</v>
      </c>
    </row>
    <row r="253" customFormat="false" ht="15" hidden="false" customHeight="false" outlineLevel="0" collapsed="false">
      <c r="A253" s="3" t="s">
        <v>876</v>
      </c>
      <c r="B253" s="3" t="s">
        <v>370</v>
      </c>
      <c r="C253" s="3" t="s">
        <v>295</v>
      </c>
      <c r="D253" s="3" t="s">
        <v>296</v>
      </c>
      <c r="E253" s="3" t="n">
        <v>2013</v>
      </c>
      <c r="F253" s="3" t="s">
        <v>62</v>
      </c>
      <c r="G253" s="3" t="s">
        <v>63</v>
      </c>
      <c r="H253" s="3" t="s">
        <v>877</v>
      </c>
      <c r="I253" s="3" t="s">
        <v>56</v>
      </c>
      <c r="J253" s="7" t="n">
        <v>415000</v>
      </c>
      <c r="K253" s="3" t="s">
        <v>292</v>
      </c>
      <c r="L253" s="7" t="n">
        <v>5320.43</v>
      </c>
      <c r="M253" s="7" t="n">
        <v>665.05</v>
      </c>
      <c r="N253" s="7" t="n">
        <v>665.05</v>
      </c>
      <c r="O253" s="7" t="n">
        <v>3990.3</v>
      </c>
      <c r="P253" s="7" t="n">
        <v>399.03</v>
      </c>
      <c r="Q253" s="7" t="n">
        <v>399.03</v>
      </c>
      <c r="R253" s="7" t="n">
        <v>399.03</v>
      </c>
      <c r="S253" s="7" t="n">
        <v>399.03</v>
      </c>
      <c r="T253" s="7" t="n">
        <v>399.03</v>
      </c>
      <c r="U253" s="7" t="n">
        <v>399.03</v>
      </c>
      <c r="V253" s="7" t="n">
        <v>399.03</v>
      </c>
      <c r="W253" s="7" t="n">
        <v>399.03</v>
      </c>
      <c r="X253" s="7" t="n">
        <v>399.03</v>
      </c>
      <c r="Y253" s="7" t="n">
        <v>399.03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878</v>
      </c>
      <c r="B254" s="8" t="s">
        <v>879</v>
      </c>
      <c r="C254" s="8" t="s">
        <v>128</v>
      </c>
      <c r="D254" s="8" t="s">
        <v>129</v>
      </c>
      <c r="E254" s="8" t="n">
        <v>2002</v>
      </c>
      <c r="F254" s="8" t="s">
        <v>44</v>
      </c>
      <c r="G254" s="8" t="s">
        <v>45</v>
      </c>
      <c r="H254" s="8" t="s">
        <v>880</v>
      </c>
      <c r="I254" s="8" t="s">
        <v>47</v>
      </c>
      <c r="J254" s="9" t="n">
        <v>675000</v>
      </c>
      <c r="K254" s="8" t="s">
        <v>180</v>
      </c>
      <c r="L254" s="9" t="n">
        <v>14137.1</v>
      </c>
      <c r="M254" s="9" t="n">
        <v>1767.14</v>
      </c>
      <c r="N254" s="9" t="n">
        <v>1767.14</v>
      </c>
      <c r="O254" s="9" t="n">
        <v>10602.8</v>
      </c>
      <c r="P254" s="9" t="n">
        <v>1060.28</v>
      </c>
      <c r="Q254" s="9" t="n">
        <v>1060.28</v>
      </c>
      <c r="R254" s="9" t="n">
        <v>1060.28</v>
      </c>
      <c r="S254" s="9" t="n">
        <v>1060.28</v>
      </c>
      <c r="T254" s="9" t="n">
        <v>1060.28</v>
      </c>
      <c r="U254" s="9" t="n">
        <v>1060.28</v>
      </c>
      <c r="V254" s="9" t="n">
        <v>1060.28</v>
      </c>
      <c r="W254" s="9" t="n">
        <v>1060.28</v>
      </c>
      <c r="X254" s="9" t="n">
        <v>1060.28</v>
      </c>
      <c r="Y254" s="9" t="n">
        <v>1060.28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881</v>
      </c>
      <c r="B255" s="3" t="s">
        <v>882</v>
      </c>
      <c r="C255" s="3" t="s">
        <v>183</v>
      </c>
      <c r="D255" s="3" t="s">
        <v>184</v>
      </c>
      <c r="E255" s="3" t="n">
        <v>1985</v>
      </c>
      <c r="F255" s="3" t="s">
        <v>195</v>
      </c>
      <c r="G255" s="3" t="s">
        <v>196</v>
      </c>
      <c r="H255" s="3" t="s">
        <v>883</v>
      </c>
      <c r="I255" s="3" t="s">
        <v>47</v>
      </c>
      <c r="J255" s="7" t="n">
        <v>745000</v>
      </c>
      <c r="K255" s="3" t="s">
        <v>86</v>
      </c>
      <c r="L255" s="7" t="n">
        <v>15263.96</v>
      </c>
      <c r="M255" s="7" t="n">
        <v>1907.99</v>
      </c>
      <c r="N255" s="7" t="n">
        <v>1907.99</v>
      </c>
      <c r="O255" s="7" t="n">
        <v>11448</v>
      </c>
      <c r="P255" s="7" t="n">
        <v>1144.8</v>
      </c>
      <c r="Q255" s="7" t="n">
        <v>1144.8</v>
      </c>
      <c r="R255" s="7" t="n">
        <v>1144.8</v>
      </c>
      <c r="S255" s="7" t="n">
        <v>1144.8</v>
      </c>
      <c r="T255" s="7" t="n">
        <v>1144.8</v>
      </c>
      <c r="U255" s="7" t="n">
        <v>1144.8</v>
      </c>
      <c r="V255" s="7" t="n">
        <v>1144.8</v>
      </c>
      <c r="W255" s="7" t="n">
        <v>1144.8</v>
      </c>
      <c r="X255" s="7" t="n">
        <v>1144.8</v>
      </c>
      <c r="Y255" s="7" t="n">
        <v>1144.8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884</v>
      </c>
      <c r="B256" s="8" t="s">
        <v>885</v>
      </c>
      <c r="C256" s="8" t="s">
        <v>171</v>
      </c>
      <c r="D256" s="8" t="s">
        <v>172</v>
      </c>
      <c r="E256" s="8" t="n">
        <v>2011</v>
      </c>
      <c r="F256" s="8" t="s">
        <v>225</v>
      </c>
      <c r="G256" s="8" t="s">
        <v>226</v>
      </c>
      <c r="H256" s="8" t="s">
        <v>886</v>
      </c>
      <c r="I256" s="8" t="s">
        <v>78</v>
      </c>
      <c r="J256" s="9" t="n">
        <v>1650000</v>
      </c>
      <c r="K256" s="8" t="s">
        <v>275</v>
      </c>
      <c r="L256" s="9" t="n">
        <v>11519.12</v>
      </c>
      <c r="M256" s="9" t="n">
        <v>1439.89</v>
      </c>
      <c r="N256" s="9" t="n">
        <v>1439.89</v>
      </c>
      <c r="O256" s="9" t="n">
        <v>8639.3</v>
      </c>
      <c r="P256" s="9" t="n">
        <v>863.93</v>
      </c>
      <c r="Q256" s="9" t="n">
        <v>863.93</v>
      </c>
      <c r="R256" s="9" t="n">
        <v>863.93</v>
      </c>
      <c r="S256" s="9" t="n">
        <v>863.93</v>
      </c>
      <c r="T256" s="9" t="n">
        <v>863.93</v>
      </c>
      <c r="U256" s="9" t="n">
        <v>863.93</v>
      </c>
      <c r="V256" s="9" t="n">
        <v>863.93</v>
      </c>
      <c r="W256" s="9" t="n">
        <v>863.93</v>
      </c>
      <c r="X256" s="9" t="n">
        <v>863.93</v>
      </c>
      <c r="Y256" s="9" t="n">
        <v>863.93</v>
      </c>
      <c r="Z256" s="9" t="n">
        <v>350</v>
      </c>
      <c r="AA256" s="9" t="n">
        <v>250</v>
      </c>
      <c r="AB256" s="9" t="n">
        <v>600</v>
      </c>
    </row>
    <row r="257" customFormat="false" ht="15" hidden="false" customHeight="false" outlineLevel="0" collapsed="false">
      <c r="A257" s="3" t="s">
        <v>887</v>
      </c>
      <c r="B257" s="3" t="s">
        <v>610</v>
      </c>
      <c r="C257" s="3" t="s">
        <v>114</v>
      </c>
      <c r="D257" s="3" t="s">
        <v>115</v>
      </c>
      <c r="E257" s="3" t="n">
        <v>1966</v>
      </c>
      <c r="F257" s="3" t="s">
        <v>53</v>
      </c>
      <c r="G257" s="3" t="s">
        <v>54</v>
      </c>
      <c r="H257" s="3" t="s">
        <v>888</v>
      </c>
      <c r="I257" s="3" t="s">
        <v>56</v>
      </c>
      <c r="J257" s="7" t="n">
        <v>325000</v>
      </c>
      <c r="K257" s="3" t="s">
        <v>398</v>
      </c>
      <c r="L257" s="7" t="n">
        <v>4984.35</v>
      </c>
      <c r="M257" s="7" t="n">
        <v>623.04</v>
      </c>
      <c r="N257" s="7" t="n">
        <v>623.04</v>
      </c>
      <c r="O257" s="7" t="n">
        <v>3738.3</v>
      </c>
      <c r="P257" s="7" t="n">
        <v>373.83</v>
      </c>
      <c r="Q257" s="7" t="n">
        <v>373.83</v>
      </c>
      <c r="R257" s="7" t="n">
        <v>373.83</v>
      </c>
      <c r="S257" s="7" t="n">
        <v>373.83</v>
      </c>
      <c r="T257" s="7" t="n">
        <v>373.83</v>
      </c>
      <c r="U257" s="7" t="n">
        <v>373.83</v>
      </c>
      <c r="V257" s="7" t="n">
        <v>373.83</v>
      </c>
      <c r="W257" s="7" t="n">
        <v>373.83</v>
      </c>
      <c r="X257" s="7" t="n">
        <v>373.83</v>
      </c>
      <c r="Y257" s="7" t="n">
        <v>373.83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889</v>
      </c>
      <c r="B258" s="8" t="s">
        <v>890</v>
      </c>
      <c r="C258" s="8" t="s">
        <v>219</v>
      </c>
      <c r="D258" s="8" t="s">
        <v>220</v>
      </c>
      <c r="E258" s="8" t="n">
        <v>1966</v>
      </c>
      <c r="F258" s="8" t="s">
        <v>83</v>
      </c>
      <c r="G258" s="8" t="s">
        <v>84</v>
      </c>
      <c r="H258" s="8" t="s">
        <v>891</v>
      </c>
      <c r="I258" s="8" t="s">
        <v>56</v>
      </c>
      <c r="J258" s="9" t="n">
        <v>560000</v>
      </c>
      <c r="K258" s="8" t="s">
        <v>228</v>
      </c>
      <c r="L258" s="9" t="n">
        <v>8082.95</v>
      </c>
      <c r="M258" s="9" t="n">
        <v>1010.37</v>
      </c>
      <c r="N258" s="9" t="n">
        <v>1010.37</v>
      </c>
      <c r="O258" s="9" t="n">
        <v>6062.2</v>
      </c>
      <c r="P258" s="9" t="n">
        <v>606.22</v>
      </c>
      <c r="Q258" s="9" t="n">
        <v>606.22</v>
      </c>
      <c r="R258" s="9" t="n">
        <v>606.22</v>
      </c>
      <c r="S258" s="9" t="n">
        <v>606.22</v>
      </c>
      <c r="T258" s="9" t="n">
        <v>606.22</v>
      </c>
      <c r="U258" s="9" t="n">
        <v>606.22</v>
      </c>
      <c r="V258" s="9" t="n">
        <v>606.22</v>
      </c>
      <c r="W258" s="9" t="n">
        <v>606.22</v>
      </c>
      <c r="X258" s="9" t="n">
        <v>606.22</v>
      </c>
      <c r="Y258" s="9" t="n">
        <v>606.22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892</v>
      </c>
      <c r="B259" s="3" t="s">
        <v>334</v>
      </c>
      <c r="C259" s="3" t="s">
        <v>145</v>
      </c>
      <c r="D259" s="3" t="s">
        <v>146</v>
      </c>
      <c r="E259" s="3" t="n">
        <v>1965</v>
      </c>
      <c r="F259" s="3" t="s">
        <v>83</v>
      </c>
      <c r="G259" s="3" t="s">
        <v>84</v>
      </c>
      <c r="H259" s="3" t="s">
        <v>893</v>
      </c>
      <c r="I259" s="3" t="s">
        <v>56</v>
      </c>
      <c r="J259" s="7" t="n">
        <v>235000</v>
      </c>
      <c r="K259" s="3" t="s">
        <v>198</v>
      </c>
      <c r="L259" s="7" t="n">
        <v>4628.22</v>
      </c>
      <c r="M259" s="7" t="n">
        <v>578.53</v>
      </c>
      <c r="N259" s="7" t="n">
        <v>578.53</v>
      </c>
      <c r="O259" s="7" t="n">
        <v>3471.2</v>
      </c>
      <c r="P259" s="7" t="n">
        <v>347.12</v>
      </c>
      <c r="Q259" s="7" t="n">
        <v>347.12</v>
      </c>
      <c r="R259" s="7" t="n">
        <v>347.12</v>
      </c>
      <c r="S259" s="7" t="n">
        <v>347.12</v>
      </c>
      <c r="T259" s="7" t="n">
        <v>347.12</v>
      </c>
      <c r="U259" s="7" t="n">
        <v>347.12</v>
      </c>
      <c r="V259" s="7" t="n">
        <v>347.12</v>
      </c>
      <c r="W259" s="7" t="n">
        <v>347.12</v>
      </c>
      <c r="X259" s="7" t="n">
        <v>347.12</v>
      </c>
      <c r="Y259" s="7" t="n">
        <v>347.12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894</v>
      </c>
      <c r="B260" s="8" t="s">
        <v>895</v>
      </c>
      <c r="C260" s="8" t="s">
        <v>60</v>
      </c>
      <c r="D260" s="8" t="s">
        <v>61</v>
      </c>
      <c r="E260" s="8" t="n">
        <v>2022</v>
      </c>
      <c r="F260" s="8" t="s">
        <v>62</v>
      </c>
      <c r="G260" s="8" t="s">
        <v>310</v>
      </c>
      <c r="H260" s="8" t="s">
        <v>896</v>
      </c>
      <c r="I260" s="8" t="s">
        <v>78</v>
      </c>
      <c r="J260" s="9" t="n">
        <v>1010000</v>
      </c>
      <c r="K260" s="8" t="s">
        <v>587</v>
      </c>
      <c r="L260" s="9" t="n">
        <v>6867.15</v>
      </c>
      <c r="M260" s="9" t="n">
        <v>858.39</v>
      </c>
      <c r="N260" s="9" t="n">
        <v>858.39</v>
      </c>
      <c r="O260" s="9" t="n">
        <v>5150.4</v>
      </c>
      <c r="P260" s="9" t="n">
        <v>515.04</v>
      </c>
      <c r="Q260" s="9" t="n">
        <v>515.04</v>
      </c>
      <c r="R260" s="9" t="n">
        <v>515.04</v>
      </c>
      <c r="S260" s="9" t="n">
        <v>515.04</v>
      </c>
      <c r="T260" s="9" t="n">
        <v>515.04</v>
      </c>
      <c r="U260" s="9" t="n">
        <v>515.04</v>
      </c>
      <c r="V260" s="9" t="n">
        <v>515.04</v>
      </c>
      <c r="W260" s="9" t="n">
        <v>515.04</v>
      </c>
      <c r="X260" s="9" t="n">
        <v>515.04</v>
      </c>
      <c r="Y260" s="9" t="n">
        <v>515.04</v>
      </c>
      <c r="Z260" s="9" t="n">
        <v>350</v>
      </c>
      <c r="AA260" s="9" t="n">
        <v>250</v>
      </c>
      <c r="AB260" s="9" t="n">
        <v>600</v>
      </c>
    </row>
    <row r="261" customFormat="false" ht="15" hidden="false" customHeight="false" outlineLevel="0" collapsed="false">
      <c r="A261" s="3" t="s">
        <v>897</v>
      </c>
      <c r="B261" s="3" t="s">
        <v>625</v>
      </c>
      <c r="C261" s="3" t="s">
        <v>93</v>
      </c>
      <c r="D261" s="3" t="s">
        <v>94</v>
      </c>
      <c r="E261" s="3" t="n">
        <v>2010</v>
      </c>
      <c r="F261" s="3" t="s">
        <v>155</v>
      </c>
      <c r="G261" s="3" t="s">
        <v>191</v>
      </c>
      <c r="H261" s="3" t="s">
        <v>898</v>
      </c>
      <c r="I261" s="3" t="s">
        <v>56</v>
      </c>
      <c r="J261" s="7" t="n">
        <v>1400000</v>
      </c>
      <c r="K261" s="3" t="s">
        <v>205</v>
      </c>
      <c r="L261" s="7" t="n">
        <v>12424.12</v>
      </c>
      <c r="M261" s="7" t="n">
        <v>1553.02</v>
      </c>
      <c r="N261" s="7" t="n">
        <v>1553.02</v>
      </c>
      <c r="O261" s="7" t="n">
        <v>9318.1</v>
      </c>
      <c r="P261" s="7" t="n">
        <v>931.81</v>
      </c>
      <c r="Q261" s="7" t="n">
        <v>931.81</v>
      </c>
      <c r="R261" s="7" t="n">
        <v>931.81</v>
      </c>
      <c r="S261" s="7" t="n">
        <v>931.81</v>
      </c>
      <c r="T261" s="7" t="n">
        <v>931.81</v>
      </c>
      <c r="U261" s="7" t="n">
        <v>931.81</v>
      </c>
      <c r="V261" s="7" t="n">
        <v>931.81</v>
      </c>
      <c r="W261" s="7" t="n">
        <v>931.81</v>
      </c>
      <c r="X261" s="7" t="n">
        <v>931.81</v>
      </c>
      <c r="Y261" s="7" t="n">
        <v>931.81</v>
      </c>
      <c r="Z261" s="7" t="n">
        <v>350</v>
      </c>
      <c r="AA261" s="7" t="n">
        <v>250</v>
      </c>
      <c r="AB261" s="7" t="n">
        <v>600</v>
      </c>
    </row>
    <row r="262" customFormat="false" ht="15" hidden="false" customHeight="false" outlineLevel="0" collapsed="false">
      <c r="A262" s="8" t="s">
        <v>899</v>
      </c>
      <c r="B262" s="8" t="s">
        <v>260</v>
      </c>
      <c r="C262" s="8" t="s">
        <v>238</v>
      </c>
      <c r="D262" s="8" t="s">
        <v>239</v>
      </c>
      <c r="E262" s="8" t="n">
        <v>1999</v>
      </c>
      <c r="F262" s="8" t="s">
        <v>107</v>
      </c>
      <c r="G262" s="8" t="s">
        <v>134</v>
      </c>
      <c r="H262" s="8" t="s">
        <v>900</v>
      </c>
      <c r="I262" s="8" t="s">
        <v>56</v>
      </c>
      <c r="J262" s="9" t="n">
        <v>280000</v>
      </c>
      <c r="K262" s="8" t="s">
        <v>228</v>
      </c>
      <c r="L262" s="9" t="n">
        <v>4663.24</v>
      </c>
      <c r="M262" s="9" t="n">
        <v>582.9</v>
      </c>
      <c r="N262" s="9" t="n">
        <v>582.9</v>
      </c>
      <c r="O262" s="9" t="n">
        <v>3497.4</v>
      </c>
      <c r="P262" s="9" t="n">
        <v>349.74</v>
      </c>
      <c r="Q262" s="9" t="n">
        <v>349.74</v>
      </c>
      <c r="R262" s="9" t="n">
        <v>349.74</v>
      </c>
      <c r="S262" s="9" t="n">
        <v>349.74</v>
      </c>
      <c r="T262" s="9" t="n">
        <v>349.74</v>
      </c>
      <c r="U262" s="9" t="n">
        <v>349.74</v>
      </c>
      <c r="V262" s="9" t="n">
        <v>349.74</v>
      </c>
      <c r="W262" s="9" t="n">
        <v>349.74</v>
      </c>
      <c r="X262" s="9" t="n">
        <v>349.74</v>
      </c>
      <c r="Y262" s="9" t="n">
        <v>349.74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901</v>
      </c>
      <c r="B263" s="3" t="s">
        <v>902</v>
      </c>
      <c r="C263" s="3" t="s">
        <v>295</v>
      </c>
      <c r="D263" s="3" t="s">
        <v>296</v>
      </c>
      <c r="E263" s="3" t="n">
        <v>1955</v>
      </c>
      <c r="F263" s="3" t="s">
        <v>107</v>
      </c>
      <c r="G263" s="3" t="s">
        <v>108</v>
      </c>
      <c r="H263" s="3" t="s">
        <v>903</v>
      </c>
      <c r="I263" s="3" t="s">
        <v>110</v>
      </c>
      <c r="J263" s="7" t="n">
        <v>685000</v>
      </c>
      <c r="K263" s="3" t="s">
        <v>142</v>
      </c>
      <c r="L263" s="7" t="n">
        <v>5904.95</v>
      </c>
      <c r="M263" s="7" t="n">
        <v>738.12</v>
      </c>
      <c r="N263" s="7" t="n">
        <v>738.12</v>
      </c>
      <c r="O263" s="7" t="n">
        <v>4428.7</v>
      </c>
      <c r="P263" s="7" t="n">
        <v>442.87</v>
      </c>
      <c r="Q263" s="7" t="n">
        <v>442.87</v>
      </c>
      <c r="R263" s="7" t="n">
        <v>442.87</v>
      </c>
      <c r="S263" s="7" t="n">
        <v>442.87</v>
      </c>
      <c r="T263" s="7" t="n">
        <v>442.87</v>
      </c>
      <c r="U263" s="7" t="n">
        <v>442.87</v>
      </c>
      <c r="V263" s="7" t="n">
        <v>442.87</v>
      </c>
      <c r="W263" s="7" t="n">
        <v>442.87</v>
      </c>
      <c r="X263" s="7" t="n">
        <v>442.87</v>
      </c>
      <c r="Y263" s="7" t="n">
        <v>442.87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904</v>
      </c>
      <c r="B264" s="8" t="s">
        <v>905</v>
      </c>
      <c r="C264" s="8" t="s">
        <v>304</v>
      </c>
      <c r="D264" s="8" t="s">
        <v>305</v>
      </c>
      <c r="E264" s="8" t="n">
        <v>1967</v>
      </c>
      <c r="F264" s="8" t="s">
        <v>225</v>
      </c>
      <c r="G264" s="8" t="s">
        <v>226</v>
      </c>
      <c r="H264" s="8" t="s">
        <v>906</v>
      </c>
      <c r="I264" s="8" t="s">
        <v>78</v>
      </c>
      <c r="J264" s="9" t="n">
        <v>1065000</v>
      </c>
      <c r="K264" s="8" t="s">
        <v>125</v>
      </c>
      <c r="L264" s="9" t="n">
        <v>8792.77</v>
      </c>
      <c r="M264" s="9" t="n">
        <v>1099.1</v>
      </c>
      <c r="N264" s="9" t="n">
        <v>1099.1</v>
      </c>
      <c r="O264" s="9" t="n">
        <v>6594.6</v>
      </c>
      <c r="P264" s="9" t="n">
        <v>659.46</v>
      </c>
      <c r="Q264" s="9" t="n">
        <v>659.46</v>
      </c>
      <c r="R264" s="9" t="n">
        <v>659.46</v>
      </c>
      <c r="S264" s="9" t="n">
        <v>659.46</v>
      </c>
      <c r="T264" s="9" t="n">
        <v>659.46</v>
      </c>
      <c r="U264" s="9" t="n">
        <v>659.46</v>
      </c>
      <c r="V264" s="9" t="n">
        <v>659.46</v>
      </c>
      <c r="W264" s="9" t="n">
        <v>659.46</v>
      </c>
      <c r="X264" s="9" t="n">
        <v>659.46</v>
      </c>
      <c r="Y264" s="9" t="n">
        <v>659.46</v>
      </c>
      <c r="Z264" s="9" t="n">
        <v>350</v>
      </c>
      <c r="AA264" s="9" t="n">
        <v>250</v>
      </c>
      <c r="AB264" s="9" t="n">
        <v>600</v>
      </c>
    </row>
    <row r="265" customFormat="false" ht="15" hidden="false" customHeight="false" outlineLevel="0" collapsed="false">
      <c r="A265" s="3" t="s">
        <v>907</v>
      </c>
      <c r="B265" s="3" t="s">
        <v>908</v>
      </c>
      <c r="C265" s="3" t="s">
        <v>128</v>
      </c>
      <c r="D265" s="3" t="s">
        <v>129</v>
      </c>
      <c r="E265" s="3" t="n">
        <v>1972</v>
      </c>
      <c r="F265" s="3" t="s">
        <v>83</v>
      </c>
      <c r="G265" s="3" t="s">
        <v>84</v>
      </c>
      <c r="H265" s="3" t="s">
        <v>909</v>
      </c>
      <c r="I265" s="3" t="s">
        <v>56</v>
      </c>
      <c r="J265" s="7" t="n">
        <v>1310000</v>
      </c>
      <c r="K265" s="3" t="s">
        <v>180</v>
      </c>
      <c r="L265" s="7" t="n">
        <v>15884.25</v>
      </c>
      <c r="M265" s="7" t="n">
        <v>1985.53</v>
      </c>
      <c r="N265" s="7" t="n">
        <v>1985.53</v>
      </c>
      <c r="O265" s="7" t="n">
        <v>11913.2</v>
      </c>
      <c r="P265" s="7" t="n">
        <v>1191.32</v>
      </c>
      <c r="Q265" s="7" t="n">
        <v>1191.32</v>
      </c>
      <c r="R265" s="7" t="n">
        <v>1191.32</v>
      </c>
      <c r="S265" s="7" t="n">
        <v>1191.32</v>
      </c>
      <c r="T265" s="7" t="n">
        <v>1191.32</v>
      </c>
      <c r="U265" s="7" t="n">
        <v>1191.32</v>
      </c>
      <c r="V265" s="7" t="n">
        <v>1191.32</v>
      </c>
      <c r="W265" s="7" t="n">
        <v>1191.32</v>
      </c>
      <c r="X265" s="7" t="n">
        <v>1191.32</v>
      </c>
      <c r="Y265" s="7" t="n">
        <v>1191.32</v>
      </c>
      <c r="Z265" s="7" t="n">
        <v>350</v>
      </c>
      <c r="AA265" s="7" t="n">
        <v>250</v>
      </c>
      <c r="AB265" s="7" t="n">
        <v>600</v>
      </c>
    </row>
    <row r="266" customFormat="false" ht="15" hidden="false" customHeight="false" outlineLevel="0" collapsed="false">
      <c r="A266" s="8" t="s">
        <v>910</v>
      </c>
      <c r="B266" s="8" t="s">
        <v>911</v>
      </c>
      <c r="C266" s="8" t="s">
        <v>330</v>
      </c>
      <c r="D266" s="8" t="s">
        <v>331</v>
      </c>
      <c r="E266" s="8" t="n">
        <v>1967</v>
      </c>
      <c r="F266" s="8" t="s">
        <v>62</v>
      </c>
      <c r="G266" s="8" t="s">
        <v>63</v>
      </c>
      <c r="H266" s="8" t="s">
        <v>912</v>
      </c>
      <c r="I266" s="8" t="s">
        <v>56</v>
      </c>
      <c r="J266" s="9" t="n">
        <v>1030000</v>
      </c>
      <c r="K266" s="8" t="s">
        <v>322</v>
      </c>
      <c r="L266" s="9" t="n">
        <v>11312.63</v>
      </c>
      <c r="M266" s="9" t="n">
        <v>1414.08</v>
      </c>
      <c r="N266" s="9" t="n">
        <v>1414.08</v>
      </c>
      <c r="O266" s="9" t="n">
        <v>8484.5</v>
      </c>
      <c r="P266" s="9" t="n">
        <v>848.45</v>
      </c>
      <c r="Q266" s="9" t="n">
        <v>848.45</v>
      </c>
      <c r="R266" s="9" t="n">
        <v>848.45</v>
      </c>
      <c r="S266" s="9" t="n">
        <v>848.45</v>
      </c>
      <c r="T266" s="9" t="n">
        <v>848.45</v>
      </c>
      <c r="U266" s="9" t="n">
        <v>848.45</v>
      </c>
      <c r="V266" s="9" t="n">
        <v>848.45</v>
      </c>
      <c r="W266" s="9" t="n">
        <v>848.45</v>
      </c>
      <c r="X266" s="9" t="n">
        <v>848.45</v>
      </c>
      <c r="Y266" s="9" t="n">
        <v>848.45</v>
      </c>
      <c r="Z266" s="9" t="n">
        <v>350</v>
      </c>
      <c r="AA266" s="9" t="n">
        <v>250</v>
      </c>
      <c r="AB266" s="9" t="n">
        <v>600</v>
      </c>
    </row>
    <row r="267" customFormat="false" ht="15" hidden="false" customHeight="false" outlineLevel="0" collapsed="false">
      <c r="A267" s="3" t="s">
        <v>913</v>
      </c>
      <c r="B267" s="3" t="s">
        <v>559</v>
      </c>
      <c r="C267" s="3" t="s">
        <v>93</v>
      </c>
      <c r="D267" s="3" t="s">
        <v>94</v>
      </c>
      <c r="E267" s="3" t="n">
        <v>1964</v>
      </c>
      <c r="F267" s="3" t="s">
        <v>147</v>
      </c>
      <c r="G267" s="3" t="s">
        <v>148</v>
      </c>
      <c r="H267" s="3" t="s">
        <v>914</v>
      </c>
      <c r="I267" s="3" t="s">
        <v>119</v>
      </c>
      <c r="J267" s="7" t="n">
        <v>635000</v>
      </c>
      <c r="K267" s="3" t="s">
        <v>278</v>
      </c>
      <c r="L267" s="7" t="n">
        <v>9416.06</v>
      </c>
      <c r="M267" s="7" t="n">
        <v>1177.01</v>
      </c>
      <c r="N267" s="7" t="n">
        <v>1177.01</v>
      </c>
      <c r="O267" s="7" t="n">
        <v>7062</v>
      </c>
      <c r="P267" s="7" t="n">
        <v>706.2</v>
      </c>
      <c r="Q267" s="7" t="n">
        <v>706.2</v>
      </c>
      <c r="R267" s="7" t="n">
        <v>706.2</v>
      </c>
      <c r="S267" s="7" t="n">
        <v>706.2</v>
      </c>
      <c r="T267" s="7" t="n">
        <v>706.2</v>
      </c>
      <c r="U267" s="7" t="n">
        <v>706.2</v>
      </c>
      <c r="V267" s="7" t="n">
        <v>706.2</v>
      </c>
      <c r="W267" s="7" t="n">
        <v>706.2</v>
      </c>
      <c r="X267" s="7" t="n">
        <v>706.2</v>
      </c>
      <c r="Y267" s="7" t="n">
        <v>706.2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915</v>
      </c>
      <c r="B268" s="8" t="s">
        <v>916</v>
      </c>
      <c r="C268" s="8" t="s">
        <v>153</v>
      </c>
      <c r="D268" s="8" t="s">
        <v>154</v>
      </c>
      <c r="E268" s="8" t="n">
        <v>2004</v>
      </c>
      <c r="F268" s="8" t="s">
        <v>195</v>
      </c>
      <c r="G268" s="8" t="s">
        <v>196</v>
      </c>
      <c r="H268" s="8" t="s">
        <v>917</v>
      </c>
      <c r="I268" s="8" t="s">
        <v>47</v>
      </c>
      <c r="J268" s="9" t="n">
        <v>365000</v>
      </c>
      <c r="K268" s="8" t="s">
        <v>228</v>
      </c>
      <c r="L268" s="9" t="n">
        <v>9320.93</v>
      </c>
      <c r="M268" s="9" t="n">
        <v>1165.12</v>
      </c>
      <c r="N268" s="9" t="n">
        <v>1165.12</v>
      </c>
      <c r="O268" s="9" t="n">
        <v>6990.7</v>
      </c>
      <c r="P268" s="9" t="n">
        <v>699.07</v>
      </c>
      <c r="Q268" s="9" t="n">
        <v>699.07</v>
      </c>
      <c r="R268" s="9" t="n">
        <v>699.07</v>
      </c>
      <c r="S268" s="9" t="n">
        <v>699.07</v>
      </c>
      <c r="T268" s="9" t="n">
        <v>699.07</v>
      </c>
      <c r="U268" s="9" t="n">
        <v>699.07</v>
      </c>
      <c r="V268" s="9" t="n">
        <v>699.07</v>
      </c>
      <c r="W268" s="9" t="n">
        <v>699.07</v>
      </c>
      <c r="X268" s="9" t="n">
        <v>699.07</v>
      </c>
      <c r="Y268" s="9" t="n">
        <v>699.07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918</v>
      </c>
      <c r="B269" s="3" t="s">
        <v>919</v>
      </c>
      <c r="C269" s="3" t="s">
        <v>252</v>
      </c>
      <c r="D269" s="3" t="s">
        <v>253</v>
      </c>
      <c r="E269" s="3" t="n">
        <v>1956</v>
      </c>
      <c r="F269" s="3" t="s">
        <v>107</v>
      </c>
      <c r="G269" s="3" t="s">
        <v>134</v>
      </c>
      <c r="H269" s="3" t="s">
        <v>920</v>
      </c>
      <c r="I269" s="3" t="s">
        <v>56</v>
      </c>
      <c r="J269" s="7" t="n">
        <v>775000</v>
      </c>
      <c r="K269" s="3" t="s">
        <v>142</v>
      </c>
      <c r="L269" s="7" t="n">
        <v>11427.66</v>
      </c>
      <c r="M269" s="7" t="n">
        <v>1428.46</v>
      </c>
      <c r="N269" s="7" t="n">
        <v>1428.46</v>
      </c>
      <c r="O269" s="7" t="n">
        <v>8570.7</v>
      </c>
      <c r="P269" s="7" t="n">
        <v>857.07</v>
      </c>
      <c r="Q269" s="7" t="n">
        <v>857.07</v>
      </c>
      <c r="R269" s="7" t="n">
        <v>857.07</v>
      </c>
      <c r="S269" s="7" t="n">
        <v>857.07</v>
      </c>
      <c r="T269" s="7" t="n">
        <v>857.07</v>
      </c>
      <c r="U269" s="7" t="n">
        <v>857.07</v>
      </c>
      <c r="V269" s="7" t="n">
        <v>857.07</v>
      </c>
      <c r="W269" s="7" t="n">
        <v>857.07</v>
      </c>
      <c r="X269" s="7" t="n">
        <v>857.07</v>
      </c>
      <c r="Y269" s="7" t="n">
        <v>857.07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921</v>
      </c>
      <c r="B270" s="8" t="s">
        <v>604</v>
      </c>
      <c r="C270" s="8" t="s">
        <v>183</v>
      </c>
      <c r="D270" s="8" t="s">
        <v>184</v>
      </c>
      <c r="E270" s="8" t="n">
        <v>1994</v>
      </c>
      <c r="F270" s="8" t="s">
        <v>95</v>
      </c>
      <c r="G270" s="8" t="s">
        <v>96</v>
      </c>
      <c r="H270" s="8" t="s">
        <v>922</v>
      </c>
      <c r="I270" s="8" t="s">
        <v>47</v>
      </c>
      <c r="J270" s="9" t="n">
        <v>480000</v>
      </c>
      <c r="K270" s="8" t="s">
        <v>142</v>
      </c>
      <c r="L270" s="9" t="n">
        <v>12522.21</v>
      </c>
      <c r="M270" s="9" t="n">
        <v>1565.28</v>
      </c>
      <c r="N270" s="9" t="n">
        <v>1565.28</v>
      </c>
      <c r="O270" s="9" t="n">
        <v>9391.7</v>
      </c>
      <c r="P270" s="9" t="n">
        <v>939.17</v>
      </c>
      <c r="Q270" s="9" t="n">
        <v>939.17</v>
      </c>
      <c r="R270" s="9" t="n">
        <v>939.17</v>
      </c>
      <c r="S270" s="9" t="n">
        <v>939.17</v>
      </c>
      <c r="T270" s="9" t="n">
        <v>939.17</v>
      </c>
      <c r="U270" s="9" t="n">
        <v>939.17</v>
      </c>
      <c r="V270" s="9" t="n">
        <v>939.17</v>
      </c>
      <c r="W270" s="9" t="n">
        <v>939.17</v>
      </c>
      <c r="X270" s="9" t="n">
        <v>939.17</v>
      </c>
      <c r="Y270" s="9" t="n">
        <v>939.17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923</v>
      </c>
      <c r="B271" s="3" t="s">
        <v>390</v>
      </c>
      <c r="C271" s="3" t="s">
        <v>219</v>
      </c>
      <c r="D271" s="3" t="s">
        <v>220</v>
      </c>
      <c r="E271" s="3" t="n">
        <v>1959</v>
      </c>
      <c r="F271" s="3" t="s">
        <v>107</v>
      </c>
      <c r="G271" s="3" t="s">
        <v>134</v>
      </c>
      <c r="H271" s="3" t="s">
        <v>924</v>
      </c>
      <c r="I271" s="3" t="s">
        <v>56</v>
      </c>
      <c r="J271" s="7" t="n">
        <v>545000</v>
      </c>
      <c r="K271" s="3" t="s">
        <v>301</v>
      </c>
      <c r="L271" s="7" t="n">
        <v>5149.98</v>
      </c>
      <c r="M271" s="7" t="n">
        <v>643.75</v>
      </c>
      <c r="N271" s="7" t="n">
        <v>643.75</v>
      </c>
      <c r="O271" s="7" t="n">
        <v>3862.5</v>
      </c>
      <c r="P271" s="7" t="n">
        <v>386.25</v>
      </c>
      <c r="Q271" s="7" t="n">
        <v>386.25</v>
      </c>
      <c r="R271" s="7" t="n">
        <v>386.25</v>
      </c>
      <c r="S271" s="7" t="n">
        <v>386.25</v>
      </c>
      <c r="T271" s="7" t="n">
        <v>386.25</v>
      </c>
      <c r="U271" s="7" t="n">
        <v>386.25</v>
      </c>
      <c r="V271" s="7" t="n">
        <v>386.25</v>
      </c>
      <c r="W271" s="7" t="n">
        <v>386.25</v>
      </c>
      <c r="X271" s="7" t="n">
        <v>386.25</v>
      </c>
      <c r="Y271" s="7" t="n">
        <v>386.25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925</v>
      </c>
      <c r="B272" s="8" t="s">
        <v>926</v>
      </c>
      <c r="C272" s="8" t="s">
        <v>171</v>
      </c>
      <c r="D272" s="8" t="s">
        <v>172</v>
      </c>
      <c r="E272" s="8" t="n">
        <v>1971</v>
      </c>
      <c r="F272" s="8" t="s">
        <v>122</v>
      </c>
      <c r="G272" s="8" t="s">
        <v>123</v>
      </c>
      <c r="H272" s="8" t="s">
        <v>927</v>
      </c>
      <c r="I272" s="8" t="s">
        <v>56</v>
      </c>
      <c r="J272" s="9" t="n">
        <v>550000</v>
      </c>
      <c r="K272" s="8" t="s">
        <v>316</v>
      </c>
      <c r="L272" s="9" t="n">
        <v>6168.13</v>
      </c>
      <c r="M272" s="9" t="n">
        <v>771.02</v>
      </c>
      <c r="N272" s="9" t="n">
        <v>771.02</v>
      </c>
      <c r="O272" s="9" t="n">
        <v>4626.1</v>
      </c>
      <c r="P272" s="9" t="n">
        <v>462.61</v>
      </c>
      <c r="Q272" s="9" t="n">
        <v>462.61</v>
      </c>
      <c r="R272" s="9" t="n">
        <v>462.61</v>
      </c>
      <c r="S272" s="9" t="n">
        <v>462.61</v>
      </c>
      <c r="T272" s="9" t="n">
        <v>462.61</v>
      </c>
      <c r="U272" s="9" t="n">
        <v>462.61</v>
      </c>
      <c r="V272" s="9" t="n">
        <v>462.61</v>
      </c>
      <c r="W272" s="9" t="n">
        <v>462.61</v>
      </c>
      <c r="X272" s="9" t="n">
        <v>462.61</v>
      </c>
      <c r="Y272" s="9" t="n">
        <v>462.61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928</v>
      </c>
      <c r="B273" s="3" t="s">
        <v>481</v>
      </c>
      <c r="C273" s="3" t="s">
        <v>183</v>
      </c>
      <c r="D273" s="3" t="s">
        <v>184</v>
      </c>
      <c r="E273" s="3" t="n">
        <v>2005</v>
      </c>
      <c r="F273" s="3" t="s">
        <v>44</v>
      </c>
      <c r="G273" s="3" t="s">
        <v>45</v>
      </c>
      <c r="H273" s="3" t="s">
        <v>929</v>
      </c>
      <c r="I273" s="3" t="s">
        <v>47</v>
      </c>
      <c r="J273" s="7" t="n">
        <v>1950000</v>
      </c>
      <c r="K273" s="3" t="s">
        <v>398</v>
      </c>
      <c r="L273" s="7" t="n">
        <v>31899.82</v>
      </c>
      <c r="M273" s="7" t="n">
        <v>3987.48</v>
      </c>
      <c r="N273" s="7" t="n">
        <v>3987.48</v>
      </c>
      <c r="O273" s="7" t="n">
        <v>23924.9</v>
      </c>
      <c r="P273" s="7" t="n">
        <v>2392.49</v>
      </c>
      <c r="Q273" s="7" t="n">
        <v>2392.49</v>
      </c>
      <c r="R273" s="7" t="n">
        <v>2392.49</v>
      </c>
      <c r="S273" s="7" t="n">
        <v>2392.49</v>
      </c>
      <c r="T273" s="7" t="n">
        <v>2392.49</v>
      </c>
      <c r="U273" s="7" t="n">
        <v>2392.49</v>
      </c>
      <c r="V273" s="7" t="n">
        <v>2392.49</v>
      </c>
      <c r="W273" s="7" t="n">
        <v>2392.49</v>
      </c>
      <c r="X273" s="7" t="n">
        <v>2392.49</v>
      </c>
      <c r="Y273" s="7" t="n">
        <v>2392.49</v>
      </c>
      <c r="Z273" s="7" t="n">
        <v>350</v>
      </c>
      <c r="AA273" s="7" t="n">
        <v>250</v>
      </c>
      <c r="AB273" s="7" t="n">
        <v>600</v>
      </c>
    </row>
    <row r="274" customFormat="false" ht="15" hidden="false" customHeight="false" outlineLevel="0" collapsed="false">
      <c r="A274" s="8" t="s">
        <v>930</v>
      </c>
      <c r="B274" s="8" t="s">
        <v>931</v>
      </c>
      <c r="C274" s="8" t="s">
        <v>74</v>
      </c>
      <c r="D274" s="8" t="s">
        <v>75</v>
      </c>
      <c r="E274" s="8" t="n">
        <v>2017</v>
      </c>
      <c r="F274" s="8" t="s">
        <v>83</v>
      </c>
      <c r="G274" s="8" t="s">
        <v>84</v>
      </c>
      <c r="H274" s="8" t="s">
        <v>932</v>
      </c>
      <c r="I274" s="8" t="s">
        <v>56</v>
      </c>
      <c r="J274" s="9" t="n">
        <v>665000</v>
      </c>
      <c r="K274" s="8" t="s">
        <v>111</v>
      </c>
      <c r="L274" s="9" t="n">
        <v>6767.29</v>
      </c>
      <c r="M274" s="9" t="n">
        <v>845.91</v>
      </c>
      <c r="N274" s="9" t="n">
        <v>845.91</v>
      </c>
      <c r="O274" s="9" t="n">
        <v>5075.5</v>
      </c>
      <c r="P274" s="9" t="n">
        <v>507.55</v>
      </c>
      <c r="Q274" s="9" t="n">
        <v>507.55</v>
      </c>
      <c r="R274" s="9" t="n">
        <v>507.55</v>
      </c>
      <c r="S274" s="9" t="n">
        <v>507.55</v>
      </c>
      <c r="T274" s="9" t="n">
        <v>507.55</v>
      </c>
      <c r="U274" s="9" t="n">
        <v>507.55</v>
      </c>
      <c r="V274" s="9" t="n">
        <v>507.55</v>
      </c>
      <c r="W274" s="9" t="n">
        <v>507.55</v>
      </c>
      <c r="X274" s="9" t="n">
        <v>507.55</v>
      </c>
      <c r="Y274" s="9" t="n">
        <v>507.55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933</v>
      </c>
      <c r="B275" s="3" t="s">
        <v>934</v>
      </c>
      <c r="C275" s="3" t="s">
        <v>128</v>
      </c>
      <c r="D275" s="3" t="s">
        <v>129</v>
      </c>
      <c r="E275" s="3" t="n">
        <v>2016</v>
      </c>
      <c r="F275" s="3" t="s">
        <v>107</v>
      </c>
      <c r="G275" s="3" t="s">
        <v>134</v>
      </c>
      <c r="H275" s="3" t="s">
        <v>935</v>
      </c>
      <c r="I275" s="3" t="s">
        <v>56</v>
      </c>
      <c r="J275" s="7" t="n">
        <v>660000</v>
      </c>
      <c r="K275" s="3" t="s">
        <v>228</v>
      </c>
      <c r="L275" s="7" t="n">
        <v>9526.33</v>
      </c>
      <c r="M275" s="7" t="n">
        <v>1190.79</v>
      </c>
      <c r="N275" s="7" t="n">
        <v>1190.79</v>
      </c>
      <c r="O275" s="7" t="n">
        <v>7144.7</v>
      </c>
      <c r="P275" s="7" t="n">
        <v>714.47</v>
      </c>
      <c r="Q275" s="7" t="n">
        <v>714.47</v>
      </c>
      <c r="R275" s="7" t="n">
        <v>714.47</v>
      </c>
      <c r="S275" s="7" t="n">
        <v>714.47</v>
      </c>
      <c r="T275" s="7" t="n">
        <v>714.47</v>
      </c>
      <c r="U275" s="7" t="n">
        <v>714.47</v>
      </c>
      <c r="V275" s="7" t="n">
        <v>714.47</v>
      </c>
      <c r="W275" s="7" t="n">
        <v>714.47</v>
      </c>
      <c r="X275" s="7" t="n">
        <v>714.47</v>
      </c>
      <c r="Y275" s="7" t="n">
        <v>714.47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936</v>
      </c>
      <c r="B276" s="8" t="s">
        <v>937</v>
      </c>
      <c r="C276" s="8" t="s">
        <v>81</v>
      </c>
      <c r="D276" s="8" t="s">
        <v>82</v>
      </c>
      <c r="E276" s="8" t="n">
        <v>1992</v>
      </c>
      <c r="F276" s="8" t="s">
        <v>107</v>
      </c>
      <c r="G276" s="8" t="s">
        <v>134</v>
      </c>
      <c r="H276" s="8" t="s">
        <v>938</v>
      </c>
      <c r="I276" s="8" t="s">
        <v>56</v>
      </c>
      <c r="J276" s="9" t="n">
        <v>635000</v>
      </c>
      <c r="K276" s="8" t="s">
        <v>312</v>
      </c>
      <c r="L276" s="9" t="n">
        <v>8176.4</v>
      </c>
      <c r="M276" s="9" t="n">
        <v>1022.05</v>
      </c>
      <c r="N276" s="9" t="n">
        <v>1022.05</v>
      </c>
      <c r="O276" s="9" t="n">
        <v>6132.3</v>
      </c>
      <c r="P276" s="9" t="n">
        <v>613.23</v>
      </c>
      <c r="Q276" s="9" t="n">
        <v>613.23</v>
      </c>
      <c r="R276" s="9" t="n">
        <v>613.23</v>
      </c>
      <c r="S276" s="9" t="n">
        <v>613.23</v>
      </c>
      <c r="T276" s="9" t="n">
        <v>613.23</v>
      </c>
      <c r="U276" s="9" t="n">
        <v>613.23</v>
      </c>
      <c r="V276" s="9" t="n">
        <v>613.23</v>
      </c>
      <c r="W276" s="9" t="n">
        <v>613.23</v>
      </c>
      <c r="X276" s="9" t="n">
        <v>613.23</v>
      </c>
      <c r="Y276" s="9" t="n">
        <v>613.23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939</v>
      </c>
      <c r="B277" s="3" t="s">
        <v>358</v>
      </c>
      <c r="C277" s="3" t="s">
        <v>272</v>
      </c>
      <c r="D277" s="3" t="s">
        <v>273</v>
      </c>
      <c r="E277" s="3" t="n">
        <v>1967</v>
      </c>
      <c r="F277" s="3" t="s">
        <v>122</v>
      </c>
      <c r="G277" s="3" t="s">
        <v>123</v>
      </c>
      <c r="H277" s="3" t="s">
        <v>940</v>
      </c>
      <c r="I277" s="3" t="s">
        <v>56</v>
      </c>
      <c r="J277" s="7" t="n">
        <v>520000</v>
      </c>
      <c r="K277" s="3" t="s">
        <v>249</v>
      </c>
      <c r="L277" s="7" t="n">
        <v>6155.67</v>
      </c>
      <c r="M277" s="7" t="n">
        <v>769.46</v>
      </c>
      <c r="N277" s="7" t="n">
        <v>769.46</v>
      </c>
      <c r="O277" s="7" t="n">
        <v>4616.8</v>
      </c>
      <c r="P277" s="7" t="n">
        <v>461.68</v>
      </c>
      <c r="Q277" s="7" t="n">
        <v>461.68</v>
      </c>
      <c r="R277" s="7" t="n">
        <v>461.68</v>
      </c>
      <c r="S277" s="7" t="n">
        <v>461.68</v>
      </c>
      <c r="T277" s="7" t="n">
        <v>461.68</v>
      </c>
      <c r="U277" s="7" t="n">
        <v>461.68</v>
      </c>
      <c r="V277" s="7" t="n">
        <v>461.68</v>
      </c>
      <c r="W277" s="7" t="n">
        <v>461.68</v>
      </c>
      <c r="X277" s="7" t="n">
        <v>461.68</v>
      </c>
      <c r="Y277" s="7" t="n">
        <v>461.68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941</v>
      </c>
      <c r="B278" s="8" t="s">
        <v>770</v>
      </c>
      <c r="C278" s="8" t="s">
        <v>304</v>
      </c>
      <c r="D278" s="8" t="s">
        <v>305</v>
      </c>
      <c r="E278" s="8" t="n">
        <v>1981</v>
      </c>
      <c r="F278" s="8" t="s">
        <v>53</v>
      </c>
      <c r="G278" s="8" t="s">
        <v>54</v>
      </c>
      <c r="H278" s="8" t="s">
        <v>942</v>
      </c>
      <c r="I278" s="8" t="s">
        <v>56</v>
      </c>
      <c r="J278" s="9" t="n">
        <v>1950000</v>
      </c>
      <c r="K278" s="8" t="s">
        <v>205</v>
      </c>
      <c r="L278" s="9" t="n">
        <v>17305.03</v>
      </c>
      <c r="M278" s="9" t="n">
        <v>2163.13</v>
      </c>
      <c r="N278" s="9" t="n">
        <v>2163.13</v>
      </c>
      <c r="O278" s="9" t="n">
        <v>12978.8</v>
      </c>
      <c r="P278" s="9" t="n">
        <v>1297.88</v>
      </c>
      <c r="Q278" s="9" t="n">
        <v>1297.88</v>
      </c>
      <c r="R278" s="9" t="n">
        <v>1297.88</v>
      </c>
      <c r="S278" s="9" t="n">
        <v>1297.88</v>
      </c>
      <c r="T278" s="9" t="n">
        <v>1297.88</v>
      </c>
      <c r="U278" s="9" t="n">
        <v>1297.88</v>
      </c>
      <c r="V278" s="9" t="n">
        <v>1297.88</v>
      </c>
      <c r="W278" s="9" t="n">
        <v>1297.88</v>
      </c>
      <c r="X278" s="9" t="n">
        <v>1297.88</v>
      </c>
      <c r="Y278" s="9" t="n">
        <v>1297.88</v>
      </c>
      <c r="Z278" s="9" t="n">
        <v>350</v>
      </c>
      <c r="AA278" s="9" t="n">
        <v>250</v>
      </c>
      <c r="AB278" s="9" t="n">
        <v>600</v>
      </c>
    </row>
    <row r="279" customFormat="false" ht="15" hidden="false" customHeight="false" outlineLevel="0" collapsed="false">
      <c r="A279" s="3" t="s">
        <v>943</v>
      </c>
      <c r="B279" s="3" t="s">
        <v>944</v>
      </c>
      <c r="C279" s="3" t="s">
        <v>42</v>
      </c>
      <c r="D279" s="3" t="s">
        <v>43</v>
      </c>
      <c r="E279" s="3" t="n">
        <v>2018</v>
      </c>
      <c r="F279" s="3" t="s">
        <v>83</v>
      </c>
      <c r="G279" s="3" t="s">
        <v>84</v>
      </c>
      <c r="H279" s="3" t="s">
        <v>945</v>
      </c>
      <c r="I279" s="3" t="s">
        <v>56</v>
      </c>
      <c r="J279" s="7" t="n">
        <v>885000</v>
      </c>
      <c r="K279" s="3" t="s">
        <v>547</v>
      </c>
      <c r="L279" s="7" t="n">
        <v>12130.65</v>
      </c>
      <c r="M279" s="7" t="n">
        <v>1516.33</v>
      </c>
      <c r="N279" s="7" t="n">
        <v>1516.33</v>
      </c>
      <c r="O279" s="7" t="n">
        <v>9098</v>
      </c>
      <c r="P279" s="7" t="n">
        <v>909.8</v>
      </c>
      <c r="Q279" s="7" t="n">
        <v>909.8</v>
      </c>
      <c r="R279" s="7" t="n">
        <v>909.8</v>
      </c>
      <c r="S279" s="7" t="n">
        <v>909.8</v>
      </c>
      <c r="T279" s="7" t="n">
        <v>909.8</v>
      </c>
      <c r="U279" s="7" t="n">
        <v>909.8</v>
      </c>
      <c r="V279" s="7" t="n">
        <v>909.8</v>
      </c>
      <c r="W279" s="7" t="n">
        <v>909.8</v>
      </c>
      <c r="X279" s="7" t="n">
        <v>909.8</v>
      </c>
      <c r="Y279" s="7" t="n">
        <v>909.8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946</v>
      </c>
      <c r="B280" s="8" t="s">
        <v>619</v>
      </c>
      <c r="C280" s="8" t="s">
        <v>304</v>
      </c>
      <c r="D280" s="8" t="s">
        <v>305</v>
      </c>
      <c r="E280" s="8" t="n">
        <v>2009</v>
      </c>
      <c r="F280" s="8" t="s">
        <v>122</v>
      </c>
      <c r="G280" s="8" t="s">
        <v>123</v>
      </c>
      <c r="H280" s="8" t="s">
        <v>947</v>
      </c>
      <c r="I280" s="8" t="s">
        <v>56</v>
      </c>
      <c r="J280" s="9" t="n">
        <v>260000</v>
      </c>
      <c r="K280" s="8" t="s">
        <v>186</v>
      </c>
      <c r="L280" s="9" t="n">
        <v>4205.54</v>
      </c>
      <c r="M280" s="9" t="n">
        <v>525.69</v>
      </c>
      <c r="N280" s="9" t="n">
        <v>525.69</v>
      </c>
      <c r="O280" s="9" t="n">
        <v>3154.2</v>
      </c>
      <c r="P280" s="9" t="n">
        <v>315.42</v>
      </c>
      <c r="Q280" s="9" t="n">
        <v>315.42</v>
      </c>
      <c r="R280" s="9" t="n">
        <v>315.42</v>
      </c>
      <c r="S280" s="9" t="n">
        <v>315.42</v>
      </c>
      <c r="T280" s="9" t="n">
        <v>315.42</v>
      </c>
      <c r="U280" s="9" t="n">
        <v>315.42</v>
      </c>
      <c r="V280" s="9" t="n">
        <v>315.42</v>
      </c>
      <c r="W280" s="9" t="n">
        <v>315.42</v>
      </c>
      <c r="X280" s="9" t="n">
        <v>315.42</v>
      </c>
      <c r="Y280" s="9" t="n">
        <v>315.42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948</v>
      </c>
      <c r="B281" s="3" t="s">
        <v>949</v>
      </c>
      <c r="C281" s="3" t="s">
        <v>246</v>
      </c>
      <c r="D281" s="3" t="s">
        <v>247</v>
      </c>
      <c r="E281" s="3" t="n">
        <v>1969</v>
      </c>
      <c r="F281" s="3" t="s">
        <v>53</v>
      </c>
      <c r="G281" s="3" t="s">
        <v>54</v>
      </c>
      <c r="H281" s="3" t="s">
        <v>950</v>
      </c>
      <c r="I281" s="3" t="s">
        <v>56</v>
      </c>
      <c r="J281" s="7" t="n">
        <v>275000</v>
      </c>
      <c r="K281" s="3" t="s">
        <v>158</v>
      </c>
      <c r="L281" s="7" t="n">
        <v>3261.99</v>
      </c>
      <c r="M281" s="7" t="n">
        <v>407.75</v>
      </c>
      <c r="N281" s="7" t="n">
        <v>407.75</v>
      </c>
      <c r="O281" s="7" t="n">
        <v>2446.5</v>
      </c>
      <c r="P281" s="7" t="n">
        <v>244.65</v>
      </c>
      <c r="Q281" s="7" t="n">
        <v>244.65</v>
      </c>
      <c r="R281" s="7" t="n">
        <v>244.65</v>
      </c>
      <c r="S281" s="7" t="n">
        <v>244.65</v>
      </c>
      <c r="T281" s="7" t="n">
        <v>244.65</v>
      </c>
      <c r="U281" s="7" t="n">
        <v>244.65</v>
      </c>
      <c r="V281" s="7" t="n">
        <v>244.65</v>
      </c>
      <c r="W281" s="7" t="n">
        <v>244.65</v>
      </c>
      <c r="X281" s="7" t="n">
        <v>244.65</v>
      </c>
      <c r="Y281" s="7" t="n">
        <v>244.65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951</v>
      </c>
      <c r="B282" s="8" t="s">
        <v>952</v>
      </c>
      <c r="C282" s="8" t="s">
        <v>139</v>
      </c>
      <c r="D282" s="8" t="s">
        <v>140</v>
      </c>
      <c r="E282" s="8" t="n">
        <v>1956</v>
      </c>
      <c r="F282" s="8" t="s">
        <v>477</v>
      </c>
      <c r="G282" s="8" t="s">
        <v>478</v>
      </c>
      <c r="H282" s="8" t="s">
        <v>953</v>
      </c>
      <c r="I282" s="8" t="s">
        <v>110</v>
      </c>
      <c r="J282" s="9" t="n">
        <v>435000</v>
      </c>
      <c r="K282" s="8" t="s">
        <v>668</v>
      </c>
      <c r="L282" s="9" t="n">
        <v>3298.15</v>
      </c>
      <c r="M282" s="9" t="n">
        <v>412.27</v>
      </c>
      <c r="N282" s="9" t="n">
        <v>412.27</v>
      </c>
      <c r="O282" s="9" t="n">
        <v>2473.6</v>
      </c>
      <c r="P282" s="9" t="n">
        <v>247.36</v>
      </c>
      <c r="Q282" s="9" t="n">
        <v>247.36</v>
      </c>
      <c r="R282" s="9" t="n">
        <v>247.36</v>
      </c>
      <c r="S282" s="9" t="n">
        <v>247.36</v>
      </c>
      <c r="T282" s="9" t="n">
        <v>247.36</v>
      </c>
      <c r="U282" s="9" t="n">
        <v>247.36</v>
      </c>
      <c r="V282" s="9" t="n">
        <v>247.36</v>
      </c>
      <c r="W282" s="9" t="n">
        <v>247.36</v>
      </c>
      <c r="X282" s="9" t="n">
        <v>247.36</v>
      </c>
      <c r="Y282" s="9" t="n">
        <v>247.36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954</v>
      </c>
      <c r="B283" s="3" t="s">
        <v>955</v>
      </c>
      <c r="C283" s="3" t="s">
        <v>171</v>
      </c>
      <c r="D283" s="3" t="s">
        <v>172</v>
      </c>
      <c r="E283" s="3" t="n">
        <v>1959</v>
      </c>
      <c r="F283" s="3" t="s">
        <v>44</v>
      </c>
      <c r="G283" s="3" t="s">
        <v>240</v>
      </c>
      <c r="H283" s="3" t="s">
        <v>956</v>
      </c>
      <c r="I283" s="3" t="s">
        <v>47</v>
      </c>
      <c r="J283" s="7" t="n">
        <v>1125000</v>
      </c>
      <c r="K283" s="3" t="s">
        <v>71</v>
      </c>
      <c r="L283" s="7" t="n">
        <v>14377.92</v>
      </c>
      <c r="M283" s="7" t="n">
        <v>1797.24</v>
      </c>
      <c r="N283" s="7" t="n">
        <v>1797.24</v>
      </c>
      <c r="O283" s="7" t="n">
        <v>10783.4</v>
      </c>
      <c r="P283" s="7" t="n">
        <v>1078.34</v>
      </c>
      <c r="Q283" s="7" t="n">
        <v>1078.34</v>
      </c>
      <c r="R283" s="7" t="n">
        <v>1078.34</v>
      </c>
      <c r="S283" s="7" t="n">
        <v>1078.34</v>
      </c>
      <c r="T283" s="7" t="n">
        <v>1078.34</v>
      </c>
      <c r="U283" s="7" t="n">
        <v>1078.34</v>
      </c>
      <c r="V283" s="7" t="n">
        <v>1078.34</v>
      </c>
      <c r="W283" s="7" t="n">
        <v>1078.34</v>
      </c>
      <c r="X283" s="7" t="n">
        <v>1078.34</v>
      </c>
      <c r="Y283" s="7" t="n">
        <v>1078.34</v>
      </c>
      <c r="Z283" s="7" t="n">
        <v>350</v>
      </c>
      <c r="AA283" s="7" t="n">
        <v>250</v>
      </c>
      <c r="AB283" s="7" t="n">
        <v>600</v>
      </c>
    </row>
    <row r="284" customFormat="false" ht="15" hidden="false" customHeight="false" outlineLevel="0" collapsed="false">
      <c r="A284" s="8" t="s">
        <v>957</v>
      </c>
      <c r="B284" s="8" t="s">
        <v>958</v>
      </c>
      <c r="C284" s="8" t="s">
        <v>189</v>
      </c>
      <c r="D284" s="8" t="s">
        <v>190</v>
      </c>
      <c r="E284" s="8" t="n">
        <v>1962</v>
      </c>
      <c r="F284" s="8" t="s">
        <v>53</v>
      </c>
      <c r="G284" s="8" t="s">
        <v>54</v>
      </c>
      <c r="H284" s="8" t="s">
        <v>959</v>
      </c>
      <c r="I284" s="8" t="s">
        <v>56</v>
      </c>
      <c r="J284" s="9" t="n">
        <v>490000</v>
      </c>
      <c r="K284" s="8" t="s">
        <v>142</v>
      </c>
      <c r="L284" s="9" t="n">
        <v>8336.8</v>
      </c>
      <c r="M284" s="9" t="n">
        <v>1042.1</v>
      </c>
      <c r="N284" s="9" t="n">
        <v>1042.1</v>
      </c>
      <c r="O284" s="9" t="n">
        <v>6252.6</v>
      </c>
      <c r="P284" s="9" t="n">
        <v>625.26</v>
      </c>
      <c r="Q284" s="9" t="n">
        <v>625.26</v>
      </c>
      <c r="R284" s="9" t="n">
        <v>625.26</v>
      </c>
      <c r="S284" s="9" t="n">
        <v>625.26</v>
      </c>
      <c r="T284" s="9" t="n">
        <v>625.26</v>
      </c>
      <c r="U284" s="9" t="n">
        <v>625.26</v>
      </c>
      <c r="V284" s="9" t="n">
        <v>625.26</v>
      </c>
      <c r="W284" s="9" t="n">
        <v>625.26</v>
      </c>
      <c r="X284" s="9" t="n">
        <v>625.26</v>
      </c>
      <c r="Y284" s="9" t="n">
        <v>625.26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960</v>
      </c>
      <c r="B285" s="3" t="s">
        <v>961</v>
      </c>
      <c r="C285" s="3" t="s">
        <v>153</v>
      </c>
      <c r="D285" s="3" t="s">
        <v>154</v>
      </c>
      <c r="E285" s="3" t="n">
        <v>2019</v>
      </c>
      <c r="F285" s="3" t="s">
        <v>155</v>
      </c>
      <c r="G285" s="3" t="s">
        <v>156</v>
      </c>
      <c r="H285" s="3" t="s">
        <v>962</v>
      </c>
      <c r="I285" s="3" t="s">
        <v>78</v>
      </c>
      <c r="J285" s="7" t="n">
        <v>435000</v>
      </c>
      <c r="K285" s="3" t="s">
        <v>90</v>
      </c>
      <c r="L285" s="7" t="n">
        <v>4269.67</v>
      </c>
      <c r="M285" s="7" t="n">
        <v>533.71</v>
      </c>
      <c r="N285" s="7" t="n">
        <v>533.71</v>
      </c>
      <c r="O285" s="7" t="n">
        <v>3202.3</v>
      </c>
      <c r="P285" s="7" t="n">
        <v>320.23</v>
      </c>
      <c r="Q285" s="7" t="n">
        <v>320.23</v>
      </c>
      <c r="R285" s="7" t="n">
        <v>320.23</v>
      </c>
      <c r="S285" s="7" t="n">
        <v>320.23</v>
      </c>
      <c r="T285" s="7" t="n">
        <v>320.23</v>
      </c>
      <c r="U285" s="7" t="n">
        <v>320.23</v>
      </c>
      <c r="V285" s="7" t="n">
        <v>320.23</v>
      </c>
      <c r="W285" s="7" t="n">
        <v>320.23</v>
      </c>
      <c r="X285" s="7" t="n">
        <v>320.23</v>
      </c>
      <c r="Y285" s="7" t="n">
        <v>320.23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963</v>
      </c>
      <c r="B286" s="8" t="s">
        <v>964</v>
      </c>
      <c r="C286" s="8" t="s">
        <v>189</v>
      </c>
      <c r="D286" s="8" t="s">
        <v>190</v>
      </c>
      <c r="E286" s="8" t="n">
        <v>2015</v>
      </c>
      <c r="F286" s="8" t="s">
        <v>122</v>
      </c>
      <c r="G286" s="8" t="s">
        <v>123</v>
      </c>
      <c r="H286" s="8" t="s">
        <v>965</v>
      </c>
      <c r="I286" s="8" t="s">
        <v>56</v>
      </c>
      <c r="J286" s="9" t="n">
        <v>360000</v>
      </c>
      <c r="K286" s="8" t="s">
        <v>292</v>
      </c>
      <c r="L286" s="9" t="n">
        <v>4615.31</v>
      </c>
      <c r="M286" s="9" t="n">
        <v>576.91</v>
      </c>
      <c r="N286" s="9" t="n">
        <v>576.91</v>
      </c>
      <c r="O286" s="9" t="n">
        <v>3461.5</v>
      </c>
      <c r="P286" s="9" t="n">
        <v>346.15</v>
      </c>
      <c r="Q286" s="9" t="n">
        <v>346.15</v>
      </c>
      <c r="R286" s="9" t="n">
        <v>346.15</v>
      </c>
      <c r="S286" s="9" t="n">
        <v>346.15</v>
      </c>
      <c r="T286" s="9" t="n">
        <v>346.15</v>
      </c>
      <c r="U286" s="9" t="n">
        <v>346.15</v>
      </c>
      <c r="V286" s="9" t="n">
        <v>346.15</v>
      </c>
      <c r="W286" s="9" t="n">
        <v>346.15</v>
      </c>
      <c r="X286" s="9" t="n">
        <v>346.15</v>
      </c>
      <c r="Y286" s="9" t="n">
        <v>346.15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966</v>
      </c>
      <c r="B287" s="3" t="s">
        <v>967</v>
      </c>
      <c r="C287" s="3" t="s">
        <v>161</v>
      </c>
      <c r="D287" s="3" t="s">
        <v>162</v>
      </c>
      <c r="E287" s="3" t="n">
        <v>1986</v>
      </c>
      <c r="F287" s="3" t="s">
        <v>122</v>
      </c>
      <c r="G287" s="3" t="s">
        <v>123</v>
      </c>
      <c r="H287" s="3" t="s">
        <v>968</v>
      </c>
      <c r="I287" s="3" t="s">
        <v>56</v>
      </c>
      <c r="J287" s="7" t="n">
        <v>665000</v>
      </c>
      <c r="K287" s="3" t="s">
        <v>174</v>
      </c>
      <c r="L287" s="7" t="n">
        <v>6422.02</v>
      </c>
      <c r="M287" s="7" t="n">
        <v>802.75</v>
      </c>
      <c r="N287" s="7" t="n">
        <v>802.75</v>
      </c>
      <c r="O287" s="7" t="n">
        <v>4816.5</v>
      </c>
      <c r="P287" s="7" t="n">
        <v>481.65</v>
      </c>
      <c r="Q287" s="7" t="n">
        <v>481.65</v>
      </c>
      <c r="R287" s="7" t="n">
        <v>481.65</v>
      </c>
      <c r="S287" s="7" t="n">
        <v>481.65</v>
      </c>
      <c r="T287" s="7" t="n">
        <v>481.65</v>
      </c>
      <c r="U287" s="7" t="n">
        <v>481.65</v>
      </c>
      <c r="V287" s="7" t="n">
        <v>481.65</v>
      </c>
      <c r="W287" s="7" t="n">
        <v>481.65</v>
      </c>
      <c r="X287" s="7" t="n">
        <v>481.65</v>
      </c>
      <c r="Y287" s="7" t="n">
        <v>481.65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969</v>
      </c>
      <c r="B288" s="8" t="s">
        <v>970</v>
      </c>
      <c r="C288" s="8" t="s">
        <v>272</v>
      </c>
      <c r="D288" s="8" t="s">
        <v>273</v>
      </c>
      <c r="E288" s="8" t="n">
        <v>2003</v>
      </c>
      <c r="F288" s="8" t="s">
        <v>107</v>
      </c>
      <c r="G288" s="8" t="s">
        <v>134</v>
      </c>
      <c r="H288" s="8" t="s">
        <v>971</v>
      </c>
      <c r="I288" s="8" t="s">
        <v>56</v>
      </c>
      <c r="J288" s="9" t="n">
        <v>560000</v>
      </c>
      <c r="K288" s="8" t="s">
        <v>465</v>
      </c>
      <c r="L288" s="9" t="n">
        <v>7734.05</v>
      </c>
      <c r="M288" s="9" t="n">
        <v>966.76</v>
      </c>
      <c r="N288" s="9" t="n">
        <v>966.76</v>
      </c>
      <c r="O288" s="9" t="n">
        <v>5800.5</v>
      </c>
      <c r="P288" s="9" t="n">
        <v>580.05</v>
      </c>
      <c r="Q288" s="9" t="n">
        <v>580.05</v>
      </c>
      <c r="R288" s="9" t="n">
        <v>580.05</v>
      </c>
      <c r="S288" s="9" t="n">
        <v>580.05</v>
      </c>
      <c r="T288" s="9" t="n">
        <v>580.05</v>
      </c>
      <c r="U288" s="9" t="n">
        <v>580.05</v>
      </c>
      <c r="V288" s="9" t="n">
        <v>580.05</v>
      </c>
      <c r="W288" s="9" t="n">
        <v>580.05</v>
      </c>
      <c r="X288" s="9" t="n">
        <v>580.05</v>
      </c>
      <c r="Y288" s="9" t="n">
        <v>580.05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972</v>
      </c>
      <c r="B289" s="3" t="s">
        <v>514</v>
      </c>
      <c r="C289" s="3" t="s">
        <v>60</v>
      </c>
      <c r="D289" s="3" t="s">
        <v>61</v>
      </c>
      <c r="E289" s="3" t="n">
        <v>1981</v>
      </c>
      <c r="F289" s="3" t="s">
        <v>62</v>
      </c>
      <c r="G289" s="3" t="s">
        <v>63</v>
      </c>
      <c r="H289" s="3" t="s">
        <v>973</v>
      </c>
      <c r="I289" s="3" t="s">
        <v>56</v>
      </c>
      <c r="J289" s="7" t="n">
        <v>505000</v>
      </c>
      <c r="K289" s="3" t="s">
        <v>168</v>
      </c>
      <c r="L289" s="7" t="n">
        <v>5034.19</v>
      </c>
      <c r="M289" s="7" t="n">
        <v>629.27</v>
      </c>
      <c r="N289" s="7" t="n">
        <v>629.27</v>
      </c>
      <c r="O289" s="7" t="n">
        <v>3775.6</v>
      </c>
      <c r="P289" s="7" t="n">
        <v>377.56</v>
      </c>
      <c r="Q289" s="7" t="n">
        <v>377.56</v>
      </c>
      <c r="R289" s="7" t="n">
        <v>377.56</v>
      </c>
      <c r="S289" s="7" t="n">
        <v>377.56</v>
      </c>
      <c r="T289" s="7" t="n">
        <v>377.56</v>
      </c>
      <c r="U289" s="7" t="n">
        <v>377.56</v>
      </c>
      <c r="V289" s="7" t="n">
        <v>377.56</v>
      </c>
      <c r="W289" s="7" t="n">
        <v>377.56</v>
      </c>
      <c r="X289" s="7" t="n">
        <v>377.56</v>
      </c>
      <c r="Y289" s="7" t="n">
        <v>377.56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974</v>
      </c>
      <c r="B290" s="8" t="s">
        <v>975</v>
      </c>
      <c r="C290" s="8" t="s">
        <v>507</v>
      </c>
      <c r="D290" s="8" t="s">
        <v>508</v>
      </c>
      <c r="E290" s="8" t="n">
        <v>2013</v>
      </c>
      <c r="F290" s="8" t="s">
        <v>195</v>
      </c>
      <c r="G290" s="8" t="s">
        <v>196</v>
      </c>
      <c r="H290" s="8" t="s">
        <v>976</v>
      </c>
      <c r="I290" s="8" t="s">
        <v>47</v>
      </c>
      <c r="J290" s="9" t="n">
        <v>345000</v>
      </c>
      <c r="K290" s="8" t="s">
        <v>292</v>
      </c>
      <c r="L290" s="9" t="n">
        <v>6781.95</v>
      </c>
      <c r="M290" s="9" t="n">
        <v>847.74</v>
      </c>
      <c r="N290" s="9" t="n">
        <v>847.74</v>
      </c>
      <c r="O290" s="9" t="n">
        <v>5086.5</v>
      </c>
      <c r="P290" s="9" t="n">
        <v>508.65</v>
      </c>
      <c r="Q290" s="9" t="n">
        <v>508.65</v>
      </c>
      <c r="R290" s="9" t="n">
        <v>508.65</v>
      </c>
      <c r="S290" s="9" t="n">
        <v>508.65</v>
      </c>
      <c r="T290" s="9" t="n">
        <v>508.65</v>
      </c>
      <c r="U290" s="9" t="n">
        <v>508.65</v>
      </c>
      <c r="V290" s="9" t="n">
        <v>508.65</v>
      </c>
      <c r="W290" s="9" t="n">
        <v>508.65</v>
      </c>
      <c r="X290" s="9" t="n">
        <v>508.65</v>
      </c>
      <c r="Y290" s="9" t="n">
        <v>508.65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977</v>
      </c>
      <c r="B291" s="3" t="s">
        <v>978</v>
      </c>
      <c r="C291" s="3" t="s">
        <v>171</v>
      </c>
      <c r="D291" s="3" t="s">
        <v>172</v>
      </c>
      <c r="E291" s="3" t="n">
        <v>2003</v>
      </c>
      <c r="F291" s="3" t="s">
        <v>44</v>
      </c>
      <c r="G291" s="3" t="s">
        <v>240</v>
      </c>
      <c r="H291" s="3" t="s">
        <v>979</v>
      </c>
      <c r="I291" s="3" t="s">
        <v>47</v>
      </c>
      <c r="J291" s="7" t="n">
        <v>450000</v>
      </c>
      <c r="K291" s="3" t="s">
        <v>432</v>
      </c>
      <c r="L291" s="7" t="n">
        <v>8019.29</v>
      </c>
      <c r="M291" s="7" t="n">
        <v>1002.41</v>
      </c>
      <c r="N291" s="7" t="n">
        <v>1002.41</v>
      </c>
      <c r="O291" s="7" t="n">
        <v>6014.5</v>
      </c>
      <c r="P291" s="7" t="n">
        <v>601.45</v>
      </c>
      <c r="Q291" s="7" t="n">
        <v>601.45</v>
      </c>
      <c r="R291" s="7" t="n">
        <v>601.45</v>
      </c>
      <c r="S291" s="7" t="n">
        <v>601.45</v>
      </c>
      <c r="T291" s="7" t="n">
        <v>601.45</v>
      </c>
      <c r="U291" s="7" t="n">
        <v>601.45</v>
      </c>
      <c r="V291" s="7" t="n">
        <v>601.45</v>
      </c>
      <c r="W291" s="7" t="n">
        <v>601.45</v>
      </c>
      <c r="X291" s="7" t="n">
        <v>601.45</v>
      </c>
      <c r="Y291" s="7" t="n">
        <v>601.45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980</v>
      </c>
      <c r="B292" s="8" t="s">
        <v>981</v>
      </c>
      <c r="C292" s="8" t="s">
        <v>295</v>
      </c>
      <c r="D292" s="8" t="s">
        <v>296</v>
      </c>
      <c r="E292" s="8" t="n">
        <v>2006</v>
      </c>
      <c r="F292" s="8" t="s">
        <v>53</v>
      </c>
      <c r="G292" s="8" t="s">
        <v>54</v>
      </c>
      <c r="H292" s="8" t="s">
        <v>982</v>
      </c>
      <c r="I292" s="8" t="s">
        <v>56</v>
      </c>
      <c r="J292" s="9" t="n">
        <v>1120000</v>
      </c>
      <c r="K292" s="8" t="s">
        <v>264</v>
      </c>
      <c r="L292" s="9" t="n">
        <v>11809.07</v>
      </c>
      <c r="M292" s="9" t="n">
        <v>1476.13</v>
      </c>
      <c r="N292" s="9" t="n">
        <v>1476.13</v>
      </c>
      <c r="O292" s="9" t="n">
        <v>8856.8</v>
      </c>
      <c r="P292" s="9" t="n">
        <v>885.68</v>
      </c>
      <c r="Q292" s="9" t="n">
        <v>885.68</v>
      </c>
      <c r="R292" s="9" t="n">
        <v>885.68</v>
      </c>
      <c r="S292" s="9" t="n">
        <v>885.68</v>
      </c>
      <c r="T292" s="9" t="n">
        <v>885.68</v>
      </c>
      <c r="U292" s="9" t="n">
        <v>885.68</v>
      </c>
      <c r="V292" s="9" t="n">
        <v>885.68</v>
      </c>
      <c r="W292" s="9" t="n">
        <v>885.68</v>
      </c>
      <c r="X292" s="9" t="n">
        <v>885.68</v>
      </c>
      <c r="Y292" s="9" t="n">
        <v>885.68</v>
      </c>
      <c r="Z292" s="9" t="n">
        <v>350</v>
      </c>
      <c r="AA292" s="9" t="n">
        <v>250</v>
      </c>
      <c r="AB292" s="9" t="n">
        <v>600</v>
      </c>
    </row>
    <row r="293" customFormat="false" ht="15" hidden="false" customHeight="false" outlineLevel="0" collapsed="false">
      <c r="A293" s="3" t="s">
        <v>983</v>
      </c>
      <c r="B293" s="3" t="s">
        <v>554</v>
      </c>
      <c r="C293" s="3" t="s">
        <v>252</v>
      </c>
      <c r="D293" s="3" t="s">
        <v>253</v>
      </c>
      <c r="E293" s="3" t="n">
        <v>2020</v>
      </c>
      <c r="F293" s="3" t="s">
        <v>95</v>
      </c>
      <c r="G293" s="3" t="s">
        <v>96</v>
      </c>
      <c r="H293" s="3" t="s">
        <v>984</v>
      </c>
      <c r="I293" s="3" t="s">
        <v>47</v>
      </c>
      <c r="J293" s="7" t="n">
        <v>300000</v>
      </c>
      <c r="K293" s="3" t="s">
        <v>398</v>
      </c>
      <c r="L293" s="7" t="n">
        <v>7054.77</v>
      </c>
      <c r="M293" s="7" t="n">
        <v>881.85</v>
      </c>
      <c r="N293" s="7" t="n">
        <v>881.85</v>
      </c>
      <c r="O293" s="7" t="n">
        <v>5291.1</v>
      </c>
      <c r="P293" s="7" t="n">
        <v>529.11</v>
      </c>
      <c r="Q293" s="7" t="n">
        <v>529.11</v>
      </c>
      <c r="R293" s="7" t="n">
        <v>529.11</v>
      </c>
      <c r="S293" s="7" t="n">
        <v>529.11</v>
      </c>
      <c r="T293" s="7" t="n">
        <v>529.11</v>
      </c>
      <c r="U293" s="7" t="n">
        <v>529.11</v>
      </c>
      <c r="V293" s="7" t="n">
        <v>529.11</v>
      </c>
      <c r="W293" s="7" t="n">
        <v>529.11</v>
      </c>
      <c r="X293" s="7" t="n">
        <v>529.11</v>
      </c>
      <c r="Y293" s="7" t="n">
        <v>529.11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985</v>
      </c>
      <c r="B294" s="8" t="s">
        <v>514</v>
      </c>
      <c r="C294" s="8" t="s">
        <v>171</v>
      </c>
      <c r="D294" s="8" t="s">
        <v>172</v>
      </c>
      <c r="E294" s="8" t="n">
        <v>1991</v>
      </c>
      <c r="F294" s="8" t="s">
        <v>116</v>
      </c>
      <c r="G294" s="8" t="s">
        <v>117</v>
      </c>
      <c r="H294" s="8" t="s">
        <v>986</v>
      </c>
      <c r="I294" s="8" t="s">
        <v>119</v>
      </c>
      <c r="J294" s="9" t="n">
        <v>885000</v>
      </c>
      <c r="K294" s="8" t="s">
        <v>136</v>
      </c>
      <c r="L294" s="9" t="n">
        <v>17093.2</v>
      </c>
      <c r="M294" s="9" t="n">
        <v>2136.65</v>
      </c>
      <c r="N294" s="9" t="n">
        <v>2136.65</v>
      </c>
      <c r="O294" s="9" t="n">
        <v>12819.9</v>
      </c>
      <c r="P294" s="9" t="n">
        <v>1281.99</v>
      </c>
      <c r="Q294" s="9" t="n">
        <v>1281.99</v>
      </c>
      <c r="R294" s="9" t="n">
        <v>1281.99</v>
      </c>
      <c r="S294" s="9" t="n">
        <v>1281.99</v>
      </c>
      <c r="T294" s="9" t="n">
        <v>1281.99</v>
      </c>
      <c r="U294" s="9" t="n">
        <v>1281.99</v>
      </c>
      <c r="V294" s="9" t="n">
        <v>1281.99</v>
      </c>
      <c r="W294" s="9" t="n">
        <v>1281.99</v>
      </c>
      <c r="X294" s="9" t="n">
        <v>1281.99</v>
      </c>
      <c r="Y294" s="9" t="n">
        <v>1281.99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987</v>
      </c>
      <c r="B295" s="3" t="s">
        <v>610</v>
      </c>
      <c r="C295" s="3" t="s">
        <v>189</v>
      </c>
      <c r="D295" s="3" t="s">
        <v>190</v>
      </c>
      <c r="E295" s="3" t="n">
        <v>1980</v>
      </c>
      <c r="F295" s="3" t="s">
        <v>44</v>
      </c>
      <c r="G295" s="3" t="s">
        <v>76</v>
      </c>
      <c r="H295" s="3" t="s">
        <v>988</v>
      </c>
      <c r="I295" s="3" t="s">
        <v>78</v>
      </c>
      <c r="J295" s="7" t="n">
        <v>720000</v>
      </c>
      <c r="K295" s="3" t="s">
        <v>519</v>
      </c>
      <c r="L295" s="7" t="n">
        <v>5440.61</v>
      </c>
      <c r="M295" s="7" t="n">
        <v>680.08</v>
      </c>
      <c r="N295" s="7" t="n">
        <v>680.08</v>
      </c>
      <c r="O295" s="7" t="n">
        <v>4080.5</v>
      </c>
      <c r="P295" s="7" t="n">
        <v>408.05</v>
      </c>
      <c r="Q295" s="7" t="n">
        <v>408.05</v>
      </c>
      <c r="R295" s="7" t="n">
        <v>408.05</v>
      </c>
      <c r="S295" s="7" t="n">
        <v>408.05</v>
      </c>
      <c r="T295" s="7" t="n">
        <v>408.05</v>
      </c>
      <c r="U295" s="7" t="n">
        <v>408.05</v>
      </c>
      <c r="V295" s="7" t="n">
        <v>408.05</v>
      </c>
      <c r="W295" s="7" t="n">
        <v>408.05</v>
      </c>
      <c r="X295" s="7" t="n">
        <v>408.05</v>
      </c>
      <c r="Y295" s="7" t="n">
        <v>408.05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989</v>
      </c>
      <c r="B296" s="8" t="s">
        <v>224</v>
      </c>
      <c r="C296" s="8" t="s">
        <v>238</v>
      </c>
      <c r="D296" s="8" t="s">
        <v>239</v>
      </c>
      <c r="E296" s="8" t="n">
        <v>2004</v>
      </c>
      <c r="F296" s="8" t="s">
        <v>53</v>
      </c>
      <c r="G296" s="8" t="s">
        <v>54</v>
      </c>
      <c r="H296" s="8" t="s">
        <v>990</v>
      </c>
      <c r="I296" s="8" t="s">
        <v>56</v>
      </c>
      <c r="J296" s="9" t="n">
        <v>470000</v>
      </c>
      <c r="K296" s="8" t="s">
        <v>198</v>
      </c>
      <c r="L296" s="9" t="n">
        <v>7546.01</v>
      </c>
      <c r="M296" s="9" t="n">
        <v>943.25</v>
      </c>
      <c r="N296" s="9" t="n">
        <v>943.25</v>
      </c>
      <c r="O296" s="9" t="n">
        <v>5659.5</v>
      </c>
      <c r="P296" s="9" t="n">
        <v>565.95</v>
      </c>
      <c r="Q296" s="9" t="n">
        <v>565.95</v>
      </c>
      <c r="R296" s="9" t="n">
        <v>565.95</v>
      </c>
      <c r="S296" s="9" t="n">
        <v>565.95</v>
      </c>
      <c r="T296" s="9" t="n">
        <v>565.95</v>
      </c>
      <c r="U296" s="9" t="n">
        <v>565.95</v>
      </c>
      <c r="V296" s="9" t="n">
        <v>565.95</v>
      </c>
      <c r="W296" s="9" t="n">
        <v>565.95</v>
      </c>
      <c r="X296" s="9" t="n">
        <v>565.95</v>
      </c>
      <c r="Y296" s="9" t="n">
        <v>565.95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991</v>
      </c>
      <c r="B297" s="3" t="s">
        <v>992</v>
      </c>
      <c r="C297" s="3" t="s">
        <v>507</v>
      </c>
      <c r="D297" s="3" t="s">
        <v>508</v>
      </c>
      <c r="E297" s="3" t="n">
        <v>2011</v>
      </c>
      <c r="F297" s="3" t="s">
        <v>155</v>
      </c>
      <c r="G297" s="3" t="s">
        <v>191</v>
      </c>
      <c r="H297" s="3" t="s">
        <v>993</v>
      </c>
      <c r="I297" s="3" t="s">
        <v>56</v>
      </c>
      <c r="J297" s="7" t="n">
        <v>210000</v>
      </c>
      <c r="K297" s="3" t="s">
        <v>994</v>
      </c>
      <c r="L297" s="7" t="n">
        <v>3888.94</v>
      </c>
      <c r="M297" s="7" t="n">
        <v>486.12</v>
      </c>
      <c r="N297" s="7" t="n">
        <v>486.12</v>
      </c>
      <c r="O297" s="7" t="n">
        <v>2916.7</v>
      </c>
      <c r="P297" s="7" t="n">
        <v>291.67</v>
      </c>
      <c r="Q297" s="7" t="n">
        <v>291.67</v>
      </c>
      <c r="R297" s="7" t="n">
        <v>291.67</v>
      </c>
      <c r="S297" s="7" t="n">
        <v>291.67</v>
      </c>
      <c r="T297" s="7" t="n">
        <v>291.67</v>
      </c>
      <c r="U297" s="7" t="n">
        <v>291.67</v>
      </c>
      <c r="V297" s="7" t="n">
        <v>291.67</v>
      </c>
      <c r="W297" s="7" t="n">
        <v>291.67</v>
      </c>
      <c r="X297" s="7" t="n">
        <v>291.67</v>
      </c>
      <c r="Y297" s="7" t="n">
        <v>291.67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995</v>
      </c>
      <c r="B298" s="8" t="s">
        <v>996</v>
      </c>
      <c r="C298" s="8" t="s">
        <v>60</v>
      </c>
      <c r="D298" s="8" t="s">
        <v>61</v>
      </c>
      <c r="E298" s="8" t="n">
        <v>1963</v>
      </c>
      <c r="F298" s="8" t="s">
        <v>122</v>
      </c>
      <c r="G298" s="8" t="s">
        <v>123</v>
      </c>
      <c r="H298" s="8" t="s">
        <v>997</v>
      </c>
      <c r="I298" s="8" t="s">
        <v>56</v>
      </c>
      <c r="J298" s="9" t="n">
        <v>335000</v>
      </c>
      <c r="K298" s="8" t="s">
        <v>762</v>
      </c>
      <c r="L298" s="9" t="n">
        <v>4375.09</v>
      </c>
      <c r="M298" s="9" t="n">
        <v>546.89</v>
      </c>
      <c r="N298" s="9" t="n">
        <v>546.89</v>
      </c>
      <c r="O298" s="9" t="n">
        <v>3281.3</v>
      </c>
      <c r="P298" s="9" t="n">
        <v>328.13</v>
      </c>
      <c r="Q298" s="9" t="n">
        <v>328.13</v>
      </c>
      <c r="R298" s="9" t="n">
        <v>328.13</v>
      </c>
      <c r="S298" s="9" t="n">
        <v>328.13</v>
      </c>
      <c r="T298" s="9" t="n">
        <v>328.13</v>
      </c>
      <c r="U298" s="9" t="n">
        <v>328.13</v>
      </c>
      <c r="V298" s="9" t="n">
        <v>328.13</v>
      </c>
      <c r="W298" s="9" t="n">
        <v>328.13</v>
      </c>
      <c r="X298" s="9" t="n">
        <v>328.13</v>
      </c>
      <c r="Y298" s="9" t="n">
        <v>328.13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998</v>
      </c>
      <c r="B299" s="3" t="s">
        <v>787</v>
      </c>
      <c r="C299" s="3" t="s">
        <v>261</v>
      </c>
      <c r="D299" s="3" t="s">
        <v>262</v>
      </c>
      <c r="E299" s="3" t="n">
        <v>1983</v>
      </c>
      <c r="F299" s="3" t="s">
        <v>44</v>
      </c>
      <c r="G299" s="3" t="s">
        <v>240</v>
      </c>
      <c r="H299" s="3" t="s">
        <v>999</v>
      </c>
      <c r="I299" s="3" t="s">
        <v>47</v>
      </c>
      <c r="J299" s="7" t="n">
        <v>895000</v>
      </c>
      <c r="K299" s="3" t="s">
        <v>90</v>
      </c>
      <c r="L299" s="7" t="n">
        <v>17386.43</v>
      </c>
      <c r="M299" s="7" t="n">
        <v>2173.3</v>
      </c>
      <c r="N299" s="7" t="n">
        <v>2173.3</v>
      </c>
      <c r="O299" s="7" t="n">
        <v>13039.8</v>
      </c>
      <c r="P299" s="7" t="n">
        <v>1303.98</v>
      </c>
      <c r="Q299" s="7" t="n">
        <v>1303.98</v>
      </c>
      <c r="R299" s="7" t="n">
        <v>1303.98</v>
      </c>
      <c r="S299" s="7" t="n">
        <v>1303.98</v>
      </c>
      <c r="T299" s="7" t="n">
        <v>1303.98</v>
      </c>
      <c r="U299" s="7" t="n">
        <v>1303.98</v>
      </c>
      <c r="V299" s="7" t="n">
        <v>1303.98</v>
      </c>
      <c r="W299" s="7" t="n">
        <v>1303.98</v>
      </c>
      <c r="X299" s="7" t="n">
        <v>1303.98</v>
      </c>
      <c r="Y299" s="7" t="n">
        <v>1303.98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1000</v>
      </c>
      <c r="B300" s="8" t="s">
        <v>1001</v>
      </c>
      <c r="C300" s="8" t="s">
        <v>68</v>
      </c>
      <c r="D300" s="8" t="s">
        <v>69</v>
      </c>
      <c r="E300" s="8" t="n">
        <v>1957</v>
      </c>
      <c r="F300" s="8" t="s">
        <v>44</v>
      </c>
      <c r="G300" s="8" t="s">
        <v>45</v>
      </c>
      <c r="H300" s="8" t="s">
        <v>1002</v>
      </c>
      <c r="I300" s="8" t="s">
        <v>47</v>
      </c>
      <c r="J300" s="9" t="n">
        <v>295000</v>
      </c>
      <c r="K300" s="8" t="s">
        <v>668</v>
      </c>
      <c r="L300" s="9" t="n">
        <v>6124.24</v>
      </c>
      <c r="M300" s="9" t="n">
        <v>765.53</v>
      </c>
      <c r="N300" s="9" t="n">
        <v>765.53</v>
      </c>
      <c r="O300" s="9" t="n">
        <v>4593.2</v>
      </c>
      <c r="P300" s="9" t="n">
        <v>459.32</v>
      </c>
      <c r="Q300" s="9" t="n">
        <v>459.32</v>
      </c>
      <c r="R300" s="9" t="n">
        <v>459.32</v>
      </c>
      <c r="S300" s="9" t="n">
        <v>459.32</v>
      </c>
      <c r="T300" s="9" t="n">
        <v>459.32</v>
      </c>
      <c r="U300" s="9" t="n">
        <v>459.32</v>
      </c>
      <c r="V300" s="9" t="n">
        <v>459.32</v>
      </c>
      <c r="W300" s="9" t="n">
        <v>459.32</v>
      </c>
      <c r="X300" s="9" t="n">
        <v>459.32</v>
      </c>
      <c r="Y300" s="9" t="n">
        <v>459.32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1003</v>
      </c>
      <c r="B301" s="3" t="s">
        <v>1004</v>
      </c>
      <c r="C301" s="3" t="s">
        <v>145</v>
      </c>
      <c r="D301" s="3" t="s">
        <v>146</v>
      </c>
      <c r="E301" s="3" t="n">
        <v>2022</v>
      </c>
      <c r="F301" s="3" t="s">
        <v>83</v>
      </c>
      <c r="G301" s="3" t="s">
        <v>84</v>
      </c>
      <c r="H301" s="3" t="s">
        <v>1005</v>
      </c>
      <c r="I301" s="3" t="s">
        <v>56</v>
      </c>
      <c r="J301" s="7" t="n">
        <v>475000</v>
      </c>
      <c r="K301" s="3" t="s">
        <v>48</v>
      </c>
      <c r="L301" s="7" t="n">
        <v>5406.7</v>
      </c>
      <c r="M301" s="7" t="n">
        <v>675.84</v>
      </c>
      <c r="N301" s="7" t="n">
        <v>675.84</v>
      </c>
      <c r="O301" s="7" t="n">
        <v>4055</v>
      </c>
      <c r="P301" s="7" t="n">
        <v>405.5</v>
      </c>
      <c r="Q301" s="7" t="n">
        <v>405.5</v>
      </c>
      <c r="R301" s="7" t="n">
        <v>405.5</v>
      </c>
      <c r="S301" s="7" t="n">
        <v>405.5</v>
      </c>
      <c r="T301" s="7" t="n">
        <v>405.5</v>
      </c>
      <c r="U301" s="7" t="n">
        <v>405.5</v>
      </c>
      <c r="V301" s="7" t="n">
        <v>405.5</v>
      </c>
      <c r="W301" s="7" t="n">
        <v>405.5</v>
      </c>
      <c r="X301" s="7" t="n">
        <v>405.5</v>
      </c>
      <c r="Y301" s="7" t="n">
        <v>405.5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1006</v>
      </c>
      <c r="B302" s="8" t="s">
        <v>955</v>
      </c>
      <c r="C302" s="8" t="s">
        <v>139</v>
      </c>
      <c r="D302" s="8" t="s">
        <v>140</v>
      </c>
      <c r="E302" s="8" t="n">
        <v>2024</v>
      </c>
      <c r="F302" s="8" t="s">
        <v>107</v>
      </c>
      <c r="G302" s="8" t="s">
        <v>134</v>
      </c>
      <c r="H302" s="8" t="s">
        <v>1007</v>
      </c>
      <c r="I302" s="8" t="s">
        <v>56</v>
      </c>
      <c r="J302" s="9" t="n">
        <v>715000</v>
      </c>
      <c r="K302" s="8" t="s">
        <v>228</v>
      </c>
      <c r="L302" s="9" t="n">
        <v>10320.2</v>
      </c>
      <c r="M302" s="9" t="n">
        <v>1290.03</v>
      </c>
      <c r="N302" s="9" t="n">
        <v>1290.03</v>
      </c>
      <c r="O302" s="9" t="n">
        <v>7740.1</v>
      </c>
      <c r="P302" s="9" t="n">
        <v>774.01</v>
      </c>
      <c r="Q302" s="9" t="n">
        <v>774.01</v>
      </c>
      <c r="R302" s="9" t="n">
        <v>774.01</v>
      </c>
      <c r="S302" s="9" t="n">
        <v>774.01</v>
      </c>
      <c r="T302" s="9" t="n">
        <v>774.01</v>
      </c>
      <c r="U302" s="9" t="n">
        <v>774.01</v>
      </c>
      <c r="V302" s="9" t="n">
        <v>774.01</v>
      </c>
      <c r="W302" s="9" t="n">
        <v>774.01</v>
      </c>
      <c r="X302" s="9" t="n">
        <v>774.01</v>
      </c>
      <c r="Y302" s="9" t="n">
        <v>774.01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1008</v>
      </c>
      <c r="B303" s="3" t="s">
        <v>1009</v>
      </c>
      <c r="C303" s="3" t="s">
        <v>219</v>
      </c>
      <c r="D303" s="3" t="s">
        <v>220</v>
      </c>
      <c r="E303" s="3" t="n">
        <v>1998</v>
      </c>
      <c r="F303" s="3" t="s">
        <v>107</v>
      </c>
      <c r="G303" s="3" t="s">
        <v>134</v>
      </c>
      <c r="H303" s="3" t="s">
        <v>1010</v>
      </c>
      <c r="I303" s="3" t="s">
        <v>56</v>
      </c>
      <c r="J303" s="7" t="n">
        <v>460000</v>
      </c>
      <c r="K303" s="3" t="s">
        <v>86</v>
      </c>
      <c r="L303" s="7" t="n">
        <v>7440.58</v>
      </c>
      <c r="M303" s="7" t="n">
        <v>930.07</v>
      </c>
      <c r="N303" s="7" t="n">
        <v>930.07</v>
      </c>
      <c r="O303" s="7" t="n">
        <v>5580.4</v>
      </c>
      <c r="P303" s="7" t="n">
        <v>558.04</v>
      </c>
      <c r="Q303" s="7" t="n">
        <v>558.04</v>
      </c>
      <c r="R303" s="7" t="n">
        <v>558.04</v>
      </c>
      <c r="S303" s="7" t="n">
        <v>558.04</v>
      </c>
      <c r="T303" s="7" t="n">
        <v>558.04</v>
      </c>
      <c r="U303" s="7" t="n">
        <v>558.04</v>
      </c>
      <c r="V303" s="7" t="n">
        <v>558.04</v>
      </c>
      <c r="W303" s="7" t="n">
        <v>558.04</v>
      </c>
      <c r="X303" s="7" t="n">
        <v>558.04</v>
      </c>
      <c r="Y303" s="7" t="n">
        <v>558.04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1011</v>
      </c>
      <c r="B304" s="8" t="s">
        <v>1012</v>
      </c>
      <c r="C304" s="8" t="s">
        <v>128</v>
      </c>
      <c r="D304" s="8" t="s">
        <v>129</v>
      </c>
      <c r="E304" s="8" t="n">
        <v>2002</v>
      </c>
      <c r="F304" s="8" t="s">
        <v>116</v>
      </c>
      <c r="G304" s="8" t="s">
        <v>117</v>
      </c>
      <c r="H304" s="8" t="s">
        <v>1013</v>
      </c>
      <c r="I304" s="8" t="s">
        <v>119</v>
      </c>
      <c r="J304" s="9" t="n">
        <v>715000</v>
      </c>
      <c r="K304" s="8" t="s">
        <v>131</v>
      </c>
      <c r="L304" s="9" t="n">
        <v>11582.37</v>
      </c>
      <c r="M304" s="9" t="n">
        <v>1447.8</v>
      </c>
      <c r="N304" s="9" t="n">
        <v>1447.8</v>
      </c>
      <c r="O304" s="9" t="n">
        <v>8686.8</v>
      </c>
      <c r="P304" s="9" t="n">
        <v>868.68</v>
      </c>
      <c r="Q304" s="9" t="n">
        <v>868.68</v>
      </c>
      <c r="R304" s="9" t="n">
        <v>868.68</v>
      </c>
      <c r="S304" s="9" t="n">
        <v>868.68</v>
      </c>
      <c r="T304" s="9" t="n">
        <v>868.68</v>
      </c>
      <c r="U304" s="9" t="n">
        <v>868.68</v>
      </c>
      <c r="V304" s="9" t="n">
        <v>868.68</v>
      </c>
      <c r="W304" s="9" t="n">
        <v>868.68</v>
      </c>
      <c r="X304" s="9" t="n">
        <v>868.68</v>
      </c>
      <c r="Y304" s="9" t="n">
        <v>868.68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1014</v>
      </c>
      <c r="B305" s="3" t="s">
        <v>1015</v>
      </c>
      <c r="C305" s="3" t="s">
        <v>261</v>
      </c>
      <c r="D305" s="3" t="s">
        <v>262</v>
      </c>
      <c r="E305" s="3" t="n">
        <v>1961</v>
      </c>
      <c r="F305" s="3" t="s">
        <v>155</v>
      </c>
      <c r="G305" s="3" t="s">
        <v>191</v>
      </c>
      <c r="H305" s="3" t="s">
        <v>1016</v>
      </c>
      <c r="I305" s="3" t="s">
        <v>56</v>
      </c>
      <c r="J305" s="7" t="n">
        <v>730000</v>
      </c>
      <c r="K305" s="3" t="s">
        <v>71</v>
      </c>
      <c r="L305" s="7" t="n">
        <v>7580.36</v>
      </c>
      <c r="M305" s="7" t="n">
        <v>947.54</v>
      </c>
      <c r="N305" s="7" t="n">
        <v>947.54</v>
      </c>
      <c r="O305" s="7" t="n">
        <v>5685.3</v>
      </c>
      <c r="P305" s="7" t="n">
        <v>568.53</v>
      </c>
      <c r="Q305" s="7" t="n">
        <v>568.53</v>
      </c>
      <c r="R305" s="7" t="n">
        <v>568.53</v>
      </c>
      <c r="S305" s="7" t="n">
        <v>568.53</v>
      </c>
      <c r="T305" s="7" t="n">
        <v>568.53</v>
      </c>
      <c r="U305" s="7" t="n">
        <v>568.53</v>
      </c>
      <c r="V305" s="7" t="n">
        <v>568.53</v>
      </c>
      <c r="W305" s="7" t="n">
        <v>568.53</v>
      </c>
      <c r="X305" s="7" t="n">
        <v>568.53</v>
      </c>
      <c r="Y305" s="7" t="n">
        <v>568.53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1017</v>
      </c>
      <c r="B306" s="8" t="s">
        <v>575</v>
      </c>
      <c r="C306" s="8" t="s">
        <v>161</v>
      </c>
      <c r="D306" s="8" t="s">
        <v>162</v>
      </c>
      <c r="E306" s="8" t="n">
        <v>2008</v>
      </c>
      <c r="F306" s="8" t="s">
        <v>53</v>
      </c>
      <c r="G306" s="8" t="s">
        <v>54</v>
      </c>
      <c r="H306" s="8" t="s">
        <v>1018</v>
      </c>
      <c r="I306" s="8" t="s">
        <v>56</v>
      </c>
      <c r="J306" s="9" t="n">
        <v>560000</v>
      </c>
      <c r="K306" s="8" t="s">
        <v>131</v>
      </c>
      <c r="L306" s="9" t="n">
        <v>7559.59</v>
      </c>
      <c r="M306" s="9" t="n">
        <v>944.95</v>
      </c>
      <c r="N306" s="9" t="n">
        <v>944.95</v>
      </c>
      <c r="O306" s="9" t="n">
        <v>5669.7</v>
      </c>
      <c r="P306" s="9" t="n">
        <v>566.97</v>
      </c>
      <c r="Q306" s="9" t="n">
        <v>566.97</v>
      </c>
      <c r="R306" s="9" t="n">
        <v>566.97</v>
      </c>
      <c r="S306" s="9" t="n">
        <v>566.97</v>
      </c>
      <c r="T306" s="9" t="n">
        <v>566.97</v>
      </c>
      <c r="U306" s="9" t="n">
        <v>566.97</v>
      </c>
      <c r="V306" s="9" t="n">
        <v>566.97</v>
      </c>
      <c r="W306" s="9" t="n">
        <v>566.97</v>
      </c>
      <c r="X306" s="9" t="n">
        <v>566.97</v>
      </c>
      <c r="Y306" s="9" t="n">
        <v>566.97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1019</v>
      </c>
      <c r="B307" s="3" t="s">
        <v>961</v>
      </c>
      <c r="C307" s="3" t="s">
        <v>171</v>
      </c>
      <c r="D307" s="3" t="s">
        <v>172</v>
      </c>
      <c r="E307" s="3" t="n">
        <v>1968</v>
      </c>
      <c r="F307" s="3" t="s">
        <v>44</v>
      </c>
      <c r="G307" s="3" t="s">
        <v>240</v>
      </c>
      <c r="H307" s="3" t="s">
        <v>1020</v>
      </c>
      <c r="I307" s="3" t="s">
        <v>47</v>
      </c>
      <c r="J307" s="7" t="n">
        <v>675000</v>
      </c>
      <c r="K307" s="3" t="s">
        <v>668</v>
      </c>
      <c r="L307" s="7" t="n">
        <v>11576.02</v>
      </c>
      <c r="M307" s="7" t="n">
        <v>1447</v>
      </c>
      <c r="N307" s="7" t="n">
        <v>1447</v>
      </c>
      <c r="O307" s="7" t="n">
        <v>8682</v>
      </c>
      <c r="P307" s="7" t="n">
        <v>868.2</v>
      </c>
      <c r="Q307" s="7" t="n">
        <v>868.2</v>
      </c>
      <c r="R307" s="7" t="n">
        <v>868.2</v>
      </c>
      <c r="S307" s="7" t="n">
        <v>868.2</v>
      </c>
      <c r="T307" s="7" t="n">
        <v>868.2</v>
      </c>
      <c r="U307" s="7" t="n">
        <v>868.2</v>
      </c>
      <c r="V307" s="7" t="n">
        <v>868.2</v>
      </c>
      <c r="W307" s="7" t="n">
        <v>868.2</v>
      </c>
      <c r="X307" s="7" t="n">
        <v>868.2</v>
      </c>
      <c r="Y307" s="7" t="n">
        <v>868.2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1021</v>
      </c>
      <c r="B308" s="8" t="s">
        <v>1022</v>
      </c>
      <c r="C308" s="8" t="s">
        <v>267</v>
      </c>
      <c r="D308" s="8" t="s">
        <v>268</v>
      </c>
      <c r="E308" s="8" t="n">
        <v>2019</v>
      </c>
      <c r="F308" s="8" t="s">
        <v>95</v>
      </c>
      <c r="G308" s="8" t="s">
        <v>96</v>
      </c>
      <c r="H308" s="8" t="s">
        <v>1023</v>
      </c>
      <c r="I308" s="8" t="s">
        <v>47</v>
      </c>
      <c r="J308" s="9" t="n">
        <v>1390000</v>
      </c>
      <c r="K308" s="8" t="s">
        <v>264</v>
      </c>
      <c r="L308" s="9" t="n">
        <v>21317.67</v>
      </c>
      <c r="M308" s="9" t="n">
        <v>2664.71</v>
      </c>
      <c r="N308" s="9" t="n">
        <v>2664.71</v>
      </c>
      <c r="O308" s="9" t="n">
        <v>15988.3</v>
      </c>
      <c r="P308" s="9" t="n">
        <v>1598.83</v>
      </c>
      <c r="Q308" s="9" t="n">
        <v>1598.83</v>
      </c>
      <c r="R308" s="9" t="n">
        <v>1598.83</v>
      </c>
      <c r="S308" s="9" t="n">
        <v>1598.83</v>
      </c>
      <c r="T308" s="9" t="n">
        <v>1598.83</v>
      </c>
      <c r="U308" s="9" t="n">
        <v>1598.83</v>
      </c>
      <c r="V308" s="9" t="n">
        <v>1598.83</v>
      </c>
      <c r="W308" s="9" t="n">
        <v>1598.83</v>
      </c>
      <c r="X308" s="9" t="n">
        <v>1598.83</v>
      </c>
      <c r="Y308" s="9" t="n">
        <v>1598.83</v>
      </c>
      <c r="Z308" s="9" t="n">
        <v>350</v>
      </c>
      <c r="AA308" s="9" t="n">
        <v>250</v>
      </c>
      <c r="AB308" s="9" t="n">
        <v>600</v>
      </c>
    </row>
    <row r="309" customFormat="false" ht="15" hidden="false" customHeight="false" outlineLevel="0" collapsed="false">
      <c r="A309" s="3" t="s">
        <v>1024</v>
      </c>
      <c r="B309" s="3" t="s">
        <v>400</v>
      </c>
      <c r="C309" s="3" t="s">
        <v>246</v>
      </c>
      <c r="D309" s="3" t="s">
        <v>247</v>
      </c>
      <c r="E309" s="3" t="n">
        <v>2012</v>
      </c>
      <c r="F309" s="3" t="s">
        <v>53</v>
      </c>
      <c r="G309" s="3" t="s">
        <v>54</v>
      </c>
      <c r="H309" s="3" t="s">
        <v>1025</v>
      </c>
      <c r="I309" s="3" t="s">
        <v>56</v>
      </c>
      <c r="J309" s="7" t="n">
        <v>560000</v>
      </c>
      <c r="K309" s="3" t="s">
        <v>86</v>
      </c>
      <c r="L309" s="7" t="n">
        <v>7850.35</v>
      </c>
      <c r="M309" s="7" t="n">
        <v>981.29</v>
      </c>
      <c r="N309" s="7" t="n">
        <v>981.29</v>
      </c>
      <c r="O309" s="7" t="n">
        <v>5887.8</v>
      </c>
      <c r="P309" s="7" t="n">
        <v>588.78</v>
      </c>
      <c r="Q309" s="7" t="n">
        <v>588.78</v>
      </c>
      <c r="R309" s="7" t="n">
        <v>588.78</v>
      </c>
      <c r="S309" s="7" t="n">
        <v>588.78</v>
      </c>
      <c r="T309" s="7" t="n">
        <v>588.78</v>
      </c>
      <c r="U309" s="7" t="n">
        <v>588.78</v>
      </c>
      <c r="V309" s="7" t="n">
        <v>588.78</v>
      </c>
      <c r="W309" s="7" t="n">
        <v>588.78</v>
      </c>
      <c r="X309" s="7" t="n">
        <v>588.78</v>
      </c>
      <c r="Y309" s="7" t="n">
        <v>588.78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1026</v>
      </c>
      <c r="B310" s="8" t="s">
        <v>501</v>
      </c>
      <c r="C310" s="8" t="s">
        <v>93</v>
      </c>
      <c r="D310" s="8" t="s">
        <v>94</v>
      </c>
      <c r="E310" s="8" t="n">
        <v>2009</v>
      </c>
      <c r="F310" s="8" t="s">
        <v>155</v>
      </c>
      <c r="G310" s="8" t="s">
        <v>191</v>
      </c>
      <c r="H310" s="8" t="s">
        <v>1027</v>
      </c>
      <c r="I310" s="8" t="s">
        <v>56</v>
      </c>
      <c r="J310" s="9" t="n">
        <v>250000</v>
      </c>
      <c r="K310" s="8" t="s">
        <v>205</v>
      </c>
      <c r="L310" s="9" t="n">
        <v>3025.35</v>
      </c>
      <c r="M310" s="9" t="n">
        <v>378.17</v>
      </c>
      <c r="N310" s="9" t="n">
        <v>378.17</v>
      </c>
      <c r="O310" s="9" t="n">
        <v>2269</v>
      </c>
      <c r="P310" s="9" t="n">
        <v>226.9</v>
      </c>
      <c r="Q310" s="9" t="n">
        <v>226.9</v>
      </c>
      <c r="R310" s="9" t="n">
        <v>226.9</v>
      </c>
      <c r="S310" s="9" t="n">
        <v>226.9</v>
      </c>
      <c r="T310" s="9" t="n">
        <v>226.9</v>
      </c>
      <c r="U310" s="9" t="n">
        <v>226.9</v>
      </c>
      <c r="V310" s="9" t="n">
        <v>226.9</v>
      </c>
      <c r="W310" s="9" t="n">
        <v>226.9</v>
      </c>
      <c r="X310" s="9" t="n">
        <v>226.9</v>
      </c>
      <c r="Y310" s="9" t="n">
        <v>226.9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1028</v>
      </c>
      <c r="B311" s="3" t="s">
        <v>1029</v>
      </c>
      <c r="C311" s="3" t="s">
        <v>189</v>
      </c>
      <c r="D311" s="3" t="s">
        <v>190</v>
      </c>
      <c r="E311" s="3" t="n">
        <v>1962</v>
      </c>
      <c r="F311" s="3" t="s">
        <v>122</v>
      </c>
      <c r="G311" s="3" t="s">
        <v>123</v>
      </c>
      <c r="H311" s="3" t="s">
        <v>1030</v>
      </c>
      <c r="I311" s="3" t="s">
        <v>56</v>
      </c>
      <c r="J311" s="7" t="n">
        <v>905000</v>
      </c>
      <c r="K311" s="3" t="s">
        <v>316</v>
      </c>
      <c r="L311" s="7" t="n">
        <v>10149.38</v>
      </c>
      <c r="M311" s="7" t="n">
        <v>1268.67</v>
      </c>
      <c r="N311" s="7" t="n">
        <v>1268.67</v>
      </c>
      <c r="O311" s="7" t="n">
        <v>7612</v>
      </c>
      <c r="P311" s="7" t="n">
        <v>761.2</v>
      </c>
      <c r="Q311" s="7" t="n">
        <v>761.2</v>
      </c>
      <c r="R311" s="7" t="n">
        <v>761.2</v>
      </c>
      <c r="S311" s="7" t="n">
        <v>761.2</v>
      </c>
      <c r="T311" s="7" t="n">
        <v>761.2</v>
      </c>
      <c r="U311" s="7" t="n">
        <v>761.2</v>
      </c>
      <c r="V311" s="7" t="n">
        <v>761.2</v>
      </c>
      <c r="W311" s="7" t="n">
        <v>761.2</v>
      </c>
      <c r="X311" s="7" t="n">
        <v>761.2</v>
      </c>
      <c r="Y311" s="7" t="n">
        <v>761.2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1031</v>
      </c>
      <c r="B312" s="8" t="s">
        <v>1032</v>
      </c>
      <c r="C312" s="8" t="s">
        <v>261</v>
      </c>
      <c r="D312" s="8" t="s">
        <v>262</v>
      </c>
      <c r="E312" s="8" t="n">
        <v>1963</v>
      </c>
      <c r="F312" s="8" t="s">
        <v>107</v>
      </c>
      <c r="G312" s="8" t="s">
        <v>134</v>
      </c>
      <c r="H312" s="8" t="s">
        <v>1033</v>
      </c>
      <c r="I312" s="8" t="s">
        <v>56</v>
      </c>
      <c r="J312" s="9" t="n">
        <v>605000</v>
      </c>
      <c r="K312" s="8" t="s">
        <v>90</v>
      </c>
      <c r="L312" s="9" t="n">
        <v>8041.41</v>
      </c>
      <c r="M312" s="9" t="n">
        <v>1005.18</v>
      </c>
      <c r="N312" s="9" t="n">
        <v>1005.18</v>
      </c>
      <c r="O312" s="9" t="n">
        <v>6031.1</v>
      </c>
      <c r="P312" s="9" t="n">
        <v>603.11</v>
      </c>
      <c r="Q312" s="9" t="n">
        <v>603.11</v>
      </c>
      <c r="R312" s="9" t="n">
        <v>603.11</v>
      </c>
      <c r="S312" s="9" t="n">
        <v>603.11</v>
      </c>
      <c r="T312" s="9" t="n">
        <v>603.11</v>
      </c>
      <c r="U312" s="9" t="n">
        <v>603.11</v>
      </c>
      <c r="V312" s="9" t="n">
        <v>603.11</v>
      </c>
      <c r="W312" s="9" t="n">
        <v>603.11</v>
      </c>
      <c r="X312" s="9" t="n">
        <v>603.11</v>
      </c>
      <c r="Y312" s="9" t="n">
        <v>603.11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1034</v>
      </c>
      <c r="B313" s="3" t="s">
        <v>1035</v>
      </c>
      <c r="C313" s="3" t="s">
        <v>284</v>
      </c>
      <c r="D313" s="3" t="s">
        <v>285</v>
      </c>
      <c r="E313" s="3" t="n">
        <v>1958</v>
      </c>
      <c r="F313" s="3" t="s">
        <v>195</v>
      </c>
      <c r="G313" s="3" t="s">
        <v>196</v>
      </c>
      <c r="H313" s="3" t="s">
        <v>1036</v>
      </c>
      <c r="I313" s="3" t="s">
        <v>47</v>
      </c>
      <c r="J313" s="7" t="n">
        <v>800000</v>
      </c>
      <c r="K313" s="3" t="s">
        <v>264</v>
      </c>
      <c r="L313" s="7" t="n">
        <v>14569.63</v>
      </c>
      <c r="M313" s="7" t="n">
        <v>1821.2</v>
      </c>
      <c r="N313" s="7" t="n">
        <v>1821.2</v>
      </c>
      <c r="O313" s="7" t="n">
        <v>10927.2</v>
      </c>
      <c r="P313" s="7" t="n">
        <v>1092.72</v>
      </c>
      <c r="Q313" s="7" t="n">
        <v>1092.72</v>
      </c>
      <c r="R313" s="7" t="n">
        <v>1092.72</v>
      </c>
      <c r="S313" s="7" t="n">
        <v>1092.72</v>
      </c>
      <c r="T313" s="7" t="n">
        <v>1092.72</v>
      </c>
      <c r="U313" s="7" t="n">
        <v>1092.72</v>
      </c>
      <c r="V313" s="7" t="n">
        <v>1092.72</v>
      </c>
      <c r="W313" s="7" t="n">
        <v>1092.72</v>
      </c>
      <c r="X313" s="7" t="n">
        <v>1092.72</v>
      </c>
      <c r="Y313" s="7" t="n">
        <v>1092.72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1037</v>
      </c>
      <c r="B314" s="8" t="s">
        <v>133</v>
      </c>
      <c r="C314" s="8" t="s">
        <v>208</v>
      </c>
      <c r="D314" s="8" t="s">
        <v>209</v>
      </c>
      <c r="E314" s="8" t="n">
        <v>1973</v>
      </c>
      <c r="F314" s="8" t="s">
        <v>122</v>
      </c>
      <c r="G314" s="8" t="s">
        <v>123</v>
      </c>
      <c r="H314" s="8" t="s">
        <v>1038</v>
      </c>
      <c r="I314" s="8" t="s">
        <v>56</v>
      </c>
      <c r="J314" s="9" t="n">
        <v>415000</v>
      </c>
      <c r="K314" s="8" t="s">
        <v>71</v>
      </c>
      <c r="L314" s="9" t="n">
        <v>4972.36</v>
      </c>
      <c r="M314" s="9" t="n">
        <v>621.54</v>
      </c>
      <c r="N314" s="9" t="n">
        <v>621.54</v>
      </c>
      <c r="O314" s="9" t="n">
        <v>3729.3</v>
      </c>
      <c r="P314" s="9" t="n">
        <v>372.93</v>
      </c>
      <c r="Q314" s="9" t="n">
        <v>372.93</v>
      </c>
      <c r="R314" s="9" t="n">
        <v>372.93</v>
      </c>
      <c r="S314" s="9" t="n">
        <v>372.93</v>
      </c>
      <c r="T314" s="9" t="n">
        <v>372.93</v>
      </c>
      <c r="U314" s="9" t="n">
        <v>372.93</v>
      </c>
      <c r="V314" s="9" t="n">
        <v>372.93</v>
      </c>
      <c r="W314" s="9" t="n">
        <v>372.93</v>
      </c>
      <c r="X314" s="9" t="n">
        <v>372.93</v>
      </c>
      <c r="Y314" s="9" t="n">
        <v>372.93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1039</v>
      </c>
      <c r="B315" s="3" t="s">
        <v>570</v>
      </c>
      <c r="C315" s="3" t="s">
        <v>272</v>
      </c>
      <c r="D315" s="3" t="s">
        <v>273</v>
      </c>
      <c r="E315" s="3" t="n">
        <v>1978</v>
      </c>
      <c r="F315" s="3" t="s">
        <v>122</v>
      </c>
      <c r="G315" s="3" t="s">
        <v>123</v>
      </c>
      <c r="H315" s="3" t="s">
        <v>1040</v>
      </c>
      <c r="I315" s="3" t="s">
        <v>56</v>
      </c>
      <c r="J315" s="7" t="n">
        <v>460000</v>
      </c>
      <c r="K315" s="3" t="s">
        <v>98</v>
      </c>
      <c r="L315" s="7" t="n">
        <v>6889.42</v>
      </c>
      <c r="M315" s="7" t="n">
        <v>861.18</v>
      </c>
      <c r="N315" s="7" t="n">
        <v>861.18</v>
      </c>
      <c r="O315" s="7" t="n">
        <v>5167.1</v>
      </c>
      <c r="P315" s="7" t="n">
        <v>516.71</v>
      </c>
      <c r="Q315" s="7" t="n">
        <v>516.71</v>
      </c>
      <c r="R315" s="7" t="n">
        <v>516.71</v>
      </c>
      <c r="S315" s="7" t="n">
        <v>516.71</v>
      </c>
      <c r="T315" s="7" t="n">
        <v>516.71</v>
      </c>
      <c r="U315" s="7" t="n">
        <v>516.71</v>
      </c>
      <c r="V315" s="7" t="n">
        <v>516.71</v>
      </c>
      <c r="W315" s="7" t="n">
        <v>516.71</v>
      </c>
      <c r="X315" s="7" t="n">
        <v>516.71</v>
      </c>
      <c r="Y315" s="7" t="n">
        <v>516.71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1041</v>
      </c>
      <c r="B316" s="8" t="s">
        <v>919</v>
      </c>
      <c r="C316" s="8" t="s">
        <v>252</v>
      </c>
      <c r="D316" s="8" t="s">
        <v>253</v>
      </c>
      <c r="E316" s="8" t="n">
        <v>1988</v>
      </c>
      <c r="F316" s="8" t="s">
        <v>122</v>
      </c>
      <c r="G316" s="8" t="s">
        <v>123</v>
      </c>
      <c r="H316" s="8" t="s">
        <v>1042</v>
      </c>
      <c r="I316" s="8" t="s">
        <v>56</v>
      </c>
      <c r="J316" s="9" t="n">
        <v>1140000</v>
      </c>
      <c r="K316" s="8" t="s">
        <v>258</v>
      </c>
      <c r="L316" s="9" t="n">
        <v>10617.62</v>
      </c>
      <c r="M316" s="9" t="n">
        <v>1327.2</v>
      </c>
      <c r="N316" s="9" t="n">
        <v>1327.2</v>
      </c>
      <c r="O316" s="9" t="n">
        <v>7963.2</v>
      </c>
      <c r="P316" s="9" t="n">
        <v>796.32</v>
      </c>
      <c r="Q316" s="9" t="n">
        <v>796.32</v>
      </c>
      <c r="R316" s="9" t="n">
        <v>796.32</v>
      </c>
      <c r="S316" s="9" t="n">
        <v>796.32</v>
      </c>
      <c r="T316" s="9" t="n">
        <v>796.32</v>
      </c>
      <c r="U316" s="9" t="n">
        <v>796.32</v>
      </c>
      <c r="V316" s="9" t="n">
        <v>796.32</v>
      </c>
      <c r="W316" s="9" t="n">
        <v>796.32</v>
      </c>
      <c r="X316" s="9" t="n">
        <v>796.32</v>
      </c>
      <c r="Y316" s="9" t="n">
        <v>796.32</v>
      </c>
      <c r="Z316" s="9" t="n">
        <v>350</v>
      </c>
      <c r="AA316" s="9" t="n">
        <v>250</v>
      </c>
      <c r="AB316" s="9" t="n">
        <v>600</v>
      </c>
    </row>
    <row r="317" customFormat="false" ht="15" hidden="false" customHeight="false" outlineLevel="0" collapsed="false">
      <c r="A317" s="3" t="s">
        <v>1043</v>
      </c>
      <c r="B317" s="3" t="s">
        <v>1044</v>
      </c>
      <c r="C317" s="3" t="s">
        <v>507</v>
      </c>
      <c r="D317" s="3" t="s">
        <v>508</v>
      </c>
      <c r="E317" s="3" t="n">
        <v>2003</v>
      </c>
      <c r="F317" s="3" t="s">
        <v>116</v>
      </c>
      <c r="G317" s="3" t="s">
        <v>117</v>
      </c>
      <c r="H317" s="3" t="s">
        <v>1045</v>
      </c>
      <c r="I317" s="3" t="s">
        <v>119</v>
      </c>
      <c r="J317" s="7" t="n">
        <v>1430000</v>
      </c>
      <c r="K317" s="3" t="s">
        <v>322</v>
      </c>
      <c r="L317" s="7" t="n">
        <v>19418.18</v>
      </c>
      <c r="M317" s="7" t="n">
        <v>2427.27</v>
      </c>
      <c r="N317" s="7" t="n">
        <v>2427.27</v>
      </c>
      <c r="O317" s="7" t="n">
        <v>14563.6</v>
      </c>
      <c r="P317" s="7" t="n">
        <v>1456.36</v>
      </c>
      <c r="Q317" s="7" t="n">
        <v>1456.36</v>
      </c>
      <c r="R317" s="7" t="n">
        <v>1456.36</v>
      </c>
      <c r="S317" s="7" t="n">
        <v>1456.36</v>
      </c>
      <c r="T317" s="7" t="n">
        <v>1456.36</v>
      </c>
      <c r="U317" s="7" t="n">
        <v>1456.36</v>
      </c>
      <c r="V317" s="7" t="n">
        <v>1456.36</v>
      </c>
      <c r="W317" s="7" t="n">
        <v>1456.36</v>
      </c>
      <c r="X317" s="7" t="n">
        <v>1456.36</v>
      </c>
      <c r="Y317" s="7" t="n">
        <v>1456.36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1046</v>
      </c>
      <c r="B318" s="8" t="s">
        <v>458</v>
      </c>
      <c r="C318" s="8" t="s">
        <v>219</v>
      </c>
      <c r="D318" s="8" t="s">
        <v>220</v>
      </c>
      <c r="E318" s="8" t="n">
        <v>2006</v>
      </c>
      <c r="F318" s="8" t="s">
        <v>107</v>
      </c>
      <c r="G318" s="8" t="s">
        <v>134</v>
      </c>
      <c r="H318" s="8" t="s">
        <v>1047</v>
      </c>
      <c r="I318" s="8" t="s">
        <v>56</v>
      </c>
      <c r="J318" s="9" t="n">
        <v>365000</v>
      </c>
      <c r="K318" s="8" t="s">
        <v>465</v>
      </c>
      <c r="L318" s="9" t="n">
        <v>5816.47</v>
      </c>
      <c r="M318" s="9" t="n">
        <v>727.06</v>
      </c>
      <c r="N318" s="9" t="n">
        <v>727.06</v>
      </c>
      <c r="O318" s="9" t="n">
        <v>4362.4</v>
      </c>
      <c r="P318" s="9" t="n">
        <v>436.24</v>
      </c>
      <c r="Q318" s="9" t="n">
        <v>436.24</v>
      </c>
      <c r="R318" s="9" t="n">
        <v>436.24</v>
      </c>
      <c r="S318" s="9" t="n">
        <v>436.24</v>
      </c>
      <c r="T318" s="9" t="n">
        <v>436.24</v>
      </c>
      <c r="U318" s="9" t="n">
        <v>436.24</v>
      </c>
      <c r="V318" s="9" t="n">
        <v>436.24</v>
      </c>
      <c r="W318" s="9" t="n">
        <v>436.24</v>
      </c>
      <c r="X318" s="9" t="n">
        <v>436.24</v>
      </c>
      <c r="Y318" s="9" t="n">
        <v>436.24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1048</v>
      </c>
      <c r="B319" s="3" t="s">
        <v>1049</v>
      </c>
      <c r="C319" s="3" t="s">
        <v>238</v>
      </c>
      <c r="D319" s="3" t="s">
        <v>239</v>
      </c>
      <c r="E319" s="3" t="n">
        <v>2006</v>
      </c>
      <c r="F319" s="3" t="s">
        <v>155</v>
      </c>
      <c r="G319" s="3" t="s">
        <v>191</v>
      </c>
      <c r="H319" s="3" t="s">
        <v>1050</v>
      </c>
      <c r="I319" s="3" t="s">
        <v>56</v>
      </c>
      <c r="J319" s="7" t="n">
        <v>490000</v>
      </c>
      <c r="K319" s="3" t="s">
        <v>174</v>
      </c>
      <c r="L319" s="7" t="n">
        <v>5460.01</v>
      </c>
      <c r="M319" s="7" t="n">
        <v>682.5</v>
      </c>
      <c r="N319" s="7" t="n">
        <v>682.5</v>
      </c>
      <c r="O319" s="7" t="n">
        <v>4095</v>
      </c>
      <c r="P319" s="7" t="n">
        <v>409.5</v>
      </c>
      <c r="Q319" s="7" t="n">
        <v>409.5</v>
      </c>
      <c r="R319" s="7" t="n">
        <v>409.5</v>
      </c>
      <c r="S319" s="7" t="n">
        <v>409.5</v>
      </c>
      <c r="T319" s="7" t="n">
        <v>409.5</v>
      </c>
      <c r="U319" s="7" t="n">
        <v>409.5</v>
      </c>
      <c r="V319" s="7" t="n">
        <v>409.5</v>
      </c>
      <c r="W319" s="7" t="n">
        <v>409.5</v>
      </c>
      <c r="X319" s="7" t="n">
        <v>409.5</v>
      </c>
      <c r="Y319" s="7" t="n">
        <v>409.5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1051</v>
      </c>
      <c r="B320" s="8" t="s">
        <v>1052</v>
      </c>
      <c r="C320" s="8" t="s">
        <v>171</v>
      </c>
      <c r="D320" s="8" t="s">
        <v>172</v>
      </c>
      <c r="E320" s="8" t="n">
        <v>1959</v>
      </c>
      <c r="F320" s="8" t="s">
        <v>107</v>
      </c>
      <c r="G320" s="8" t="s">
        <v>134</v>
      </c>
      <c r="H320" s="8" t="s">
        <v>1053</v>
      </c>
      <c r="I320" s="8" t="s">
        <v>56</v>
      </c>
      <c r="J320" s="9" t="n">
        <v>890000</v>
      </c>
      <c r="K320" s="8" t="s">
        <v>90</v>
      </c>
      <c r="L320" s="9" t="n">
        <v>11829.52</v>
      </c>
      <c r="M320" s="9" t="n">
        <v>1478.69</v>
      </c>
      <c r="N320" s="9" t="n">
        <v>1478.69</v>
      </c>
      <c r="O320" s="9" t="n">
        <v>8872.1</v>
      </c>
      <c r="P320" s="9" t="n">
        <v>887.21</v>
      </c>
      <c r="Q320" s="9" t="n">
        <v>887.21</v>
      </c>
      <c r="R320" s="9" t="n">
        <v>887.21</v>
      </c>
      <c r="S320" s="9" t="n">
        <v>887.21</v>
      </c>
      <c r="T320" s="9" t="n">
        <v>887.21</v>
      </c>
      <c r="U320" s="9" t="n">
        <v>887.21</v>
      </c>
      <c r="V320" s="9" t="n">
        <v>887.21</v>
      </c>
      <c r="W320" s="9" t="n">
        <v>887.21</v>
      </c>
      <c r="X320" s="9" t="n">
        <v>887.21</v>
      </c>
      <c r="Y320" s="9" t="n">
        <v>887.21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1054</v>
      </c>
      <c r="B321" s="3" t="s">
        <v>1055</v>
      </c>
      <c r="C321" s="3" t="s">
        <v>171</v>
      </c>
      <c r="D321" s="3" t="s">
        <v>172</v>
      </c>
      <c r="E321" s="3" t="n">
        <v>1971</v>
      </c>
      <c r="F321" s="3" t="s">
        <v>62</v>
      </c>
      <c r="G321" s="3" t="s">
        <v>63</v>
      </c>
      <c r="H321" s="3" t="s">
        <v>1056</v>
      </c>
      <c r="I321" s="3" t="s">
        <v>56</v>
      </c>
      <c r="J321" s="7" t="n">
        <v>290000</v>
      </c>
      <c r="K321" s="3" t="s">
        <v>57</v>
      </c>
      <c r="L321" s="7" t="n">
        <v>4412.82</v>
      </c>
      <c r="M321" s="7" t="n">
        <v>551.6</v>
      </c>
      <c r="N321" s="7" t="n">
        <v>551.6</v>
      </c>
      <c r="O321" s="7" t="n">
        <v>3309.6</v>
      </c>
      <c r="P321" s="7" t="n">
        <v>330.96</v>
      </c>
      <c r="Q321" s="7" t="n">
        <v>330.96</v>
      </c>
      <c r="R321" s="7" t="n">
        <v>330.96</v>
      </c>
      <c r="S321" s="7" t="n">
        <v>330.96</v>
      </c>
      <c r="T321" s="7" t="n">
        <v>330.96</v>
      </c>
      <c r="U321" s="7" t="n">
        <v>330.96</v>
      </c>
      <c r="V321" s="7" t="n">
        <v>330.96</v>
      </c>
      <c r="W321" s="7" t="n">
        <v>330.96</v>
      </c>
      <c r="X321" s="7" t="n">
        <v>330.96</v>
      </c>
      <c r="Y321" s="7" t="n">
        <v>330.96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1057</v>
      </c>
      <c r="B322" s="8" t="s">
        <v>1058</v>
      </c>
      <c r="C322" s="8" t="s">
        <v>128</v>
      </c>
      <c r="D322" s="8" t="s">
        <v>129</v>
      </c>
      <c r="E322" s="8" t="n">
        <v>2008</v>
      </c>
      <c r="F322" s="8" t="s">
        <v>477</v>
      </c>
      <c r="G322" s="8" t="s">
        <v>478</v>
      </c>
      <c r="H322" s="8" t="s">
        <v>1059</v>
      </c>
      <c r="I322" s="8" t="s">
        <v>110</v>
      </c>
      <c r="J322" s="9" t="n">
        <v>1950000</v>
      </c>
      <c r="K322" s="8" t="s">
        <v>543</v>
      </c>
      <c r="L322" s="9" t="n">
        <v>13769.26</v>
      </c>
      <c r="M322" s="9" t="n">
        <v>1721.16</v>
      </c>
      <c r="N322" s="9" t="n">
        <v>1721.16</v>
      </c>
      <c r="O322" s="9" t="n">
        <v>10326.9</v>
      </c>
      <c r="P322" s="9" t="n">
        <v>1032.69</v>
      </c>
      <c r="Q322" s="9" t="n">
        <v>1032.69</v>
      </c>
      <c r="R322" s="9" t="n">
        <v>1032.69</v>
      </c>
      <c r="S322" s="9" t="n">
        <v>1032.69</v>
      </c>
      <c r="T322" s="9" t="n">
        <v>1032.69</v>
      </c>
      <c r="U322" s="9" t="n">
        <v>1032.69</v>
      </c>
      <c r="V322" s="9" t="n">
        <v>1032.69</v>
      </c>
      <c r="W322" s="9" t="n">
        <v>1032.69</v>
      </c>
      <c r="X322" s="9" t="n">
        <v>1032.69</v>
      </c>
      <c r="Y322" s="9" t="n">
        <v>1032.69</v>
      </c>
      <c r="Z322" s="9" t="n">
        <v>350</v>
      </c>
      <c r="AA322" s="9" t="n">
        <v>250</v>
      </c>
      <c r="AB322" s="9" t="n">
        <v>600</v>
      </c>
    </row>
    <row r="323" customFormat="false" ht="15" hidden="false" customHeight="false" outlineLevel="0" collapsed="false">
      <c r="A323" s="3" t="s">
        <v>1060</v>
      </c>
      <c r="B323" s="3" t="s">
        <v>489</v>
      </c>
      <c r="C323" s="3" t="s">
        <v>60</v>
      </c>
      <c r="D323" s="3" t="s">
        <v>61</v>
      </c>
      <c r="E323" s="3" t="n">
        <v>2012</v>
      </c>
      <c r="F323" s="3" t="s">
        <v>83</v>
      </c>
      <c r="G323" s="3" t="s">
        <v>84</v>
      </c>
      <c r="H323" s="3" t="s">
        <v>1061</v>
      </c>
      <c r="I323" s="3" t="s">
        <v>56</v>
      </c>
      <c r="J323" s="7" t="n">
        <v>530000</v>
      </c>
      <c r="K323" s="3" t="s">
        <v>278</v>
      </c>
      <c r="L323" s="7" t="n">
        <v>6549.22</v>
      </c>
      <c r="M323" s="7" t="n">
        <v>818.65</v>
      </c>
      <c r="N323" s="7" t="n">
        <v>818.65</v>
      </c>
      <c r="O323" s="7" t="n">
        <v>4911.9</v>
      </c>
      <c r="P323" s="7" t="n">
        <v>491.19</v>
      </c>
      <c r="Q323" s="7" t="n">
        <v>491.19</v>
      </c>
      <c r="R323" s="7" t="n">
        <v>491.19</v>
      </c>
      <c r="S323" s="7" t="n">
        <v>491.19</v>
      </c>
      <c r="T323" s="7" t="n">
        <v>491.19</v>
      </c>
      <c r="U323" s="7" t="n">
        <v>491.19</v>
      </c>
      <c r="V323" s="7" t="n">
        <v>491.19</v>
      </c>
      <c r="W323" s="7" t="n">
        <v>491.19</v>
      </c>
      <c r="X323" s="7" t="n">
        <v>491.19</v>
      </c>
      <c r="Y323" s="7" t="n">
        <v>491.19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1062</v>
      </c>
      <c r="B324" s="8" t="s">
        <v>575</v>
      </c>
      <c r="C324" s="8" t="s">
        <v>74</v>
      </c>
      <c r="D324" s="8" t="s">
        <v>75</v>
      </c>
      <c r="E324" s="8" t="n">
        <v>2002</v>
      </c>
      <c r="F324" s="8" t="s">
        <v>53</v>
      </c>
      <c r="G324" s="8" t="s">
        <v>54</v>
      </c>
      <c r="H324" s="8" t="s">
        <v>1063</v>
      </c>
      <c r="I324" s="8" t="s">
        <v>56</v>
      </c>
      <c r="J324" s="9" t="n">
        <v>1025000</v>
      </c>
      <c r="K324" s="8" t="s">
        <v>301</v>
      </c>
      <c r="L324" s="9" t="n">
        <v>8195.62</v>
      </c>
      <c r="M324" s="9" t="n">
        <v>1024.45</v>
      </c>
      <c r="N324" s="9" t="n">
        <v>1024.45</v>
      </c>
      <c r="O324" s="9" t="n">
        <v>6146.7</v>
      </c>
      <c r="P324" s="9" t="n">
        <v>614.67</v>
      </c>
      <c r="Q324" s="9" t="n">
        <v>614.67</v>
      </c>
      <c r="R324" s="9" t="n">
        <v>614.67</v>
      </c>
      <c r="S324" s="9" t="n">
        <v>614.67</v>
      </c>
      <c r="T324" s="9" t="n">
        <v>614.67</v>
      </c>
      <c r="U324" s="9" t="n">
        <v>614.67</v>
      </c>
      <c r="V324" s="9" t="n">
        <v>614.67</v>
      </c>
      <c r="W324" s="9" t="n">
        <v>614.67</v>
      </c>
      <c r="X324" s="9" t="n">
        <v>614.67</v>
      </c>
      <c r="Y324" s="9" t="n">
        <v>614.67</v>
      </c>
      <c r="Z324" s="9" t="n">
        <v>350</v>
      </c>
      <c r="AA324" s="9" t="n">
        <v>250</v>
      </c>
      <c r="AB324" s="9" t="n">
        <v>600</v>
      </c>
    </row>
    <row r="325" customFormat="false" ht="15" hidden="false" customHeight="false" outlineLevel="0" collapsed="false">
      <c r="A325" s="3" t="s">
        <v>1064</v>
      </c>
      <c r="B325" s="3" t="s">
        <v>271</v>
      </c>
      <c r="C325" s="3" t="s">
        <v>81</v>
      </c>
      <c r="D325" s="3" t="s">
        <v>82</v>
      </c>
      <c r="E325" s="3" t="n">
        <v>1970</v>
      </c>
      <c r="F325" s="3" t="s">
        <v>44</v>
      </c>
      <c r="G325" s="3" t="s">
        <v>240</v>
      </c>
      <c r="H325" s="3" t="s">
        <v>1065</v>
      </c>
      <c r="I325" s="3" t="s">
        <v>47</v>
      </c>
      <c r="J325" s="7" t="n">
        <v>995000</v>
      </c>
      <c r="K325" s="3" t="s">
        <v>90</v>
      </c>
      <c r="L325" s="7" t="n">
        <v>19329.04</v>
      </c>
      <c r="M325" s="7" t="n">
        <v>2416.13</v>
      </c>
      <c r="N325" s="7" t="n">
        <v>2416.13</v>
      </c>
      <c r="O325" s="7" t="n">
        <v>14496.8</v>
      </c>
      <c r="P325" s="7" t="n">
        <v>1449.68</v>
      </c>
      <c r="Q325" s="7" t="n">
        <v>1449.68</v>
      </c>
      <c r="R325" s="7" t="n">
        <v>1449.68</v>
      </c>
      <c r="S325" s="7" t="n">
        <v>1449.68</v>
      </c>
      <c r="T325" s="7" t="n">
        <v>1449.68</v>
      </c>
      <c r="U325" s="7" t="n">
        <v>1449.68</v>
      </c>
      <c r="V325" s="7" t="n">
        <v>1449.68</v>
      </c>
      <c r="W325" s="7" t="n">
        <v>1449.68</v>
      </c>
      <c r="X325" s="7" t="n">
        <v>1449.68</v>
      </c>
      <c r="Y325" s="7" t="n">
        <v>1449.68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1066</v>
      </c>
      <c r="B326" s="8" t="s">
        <v>1067</v>
      </c>
      <c r="C326" s="8" t="s">
        <v>60</v>
      </c>
      <c r="D326" s="8" t="s">
        <v>61</v>
      </c>
      <c r="E326" s="8" t="n">
        <v>2004</v>
      </c>
      <c r="F326" s="8" t="s">
        <v>44</v>
      </c>
      <c r="G326" s="8" t="s">
        <v>45</v>
      </c>
      <c r="H326" s="8" t="s">
        <v>1068</v>
      </c>
      <c r="I326" s="8" t="s">
        <v>47</v>
      </c>
      <c r="J326" s="9" t="n">
        <v>560000</v>
      </c>
      <c r="K326" s="8" t="s">
        <v>57</v>
      </c>
      <c r="L326" s="9" t="n">
        <v>10793.66</v>
      </c>
      <c r="M326" s="9" t="n">
        <v>1349.21</v>
      </c>
      <c r="N326" s="9" t="n">
        <v>1349.21</v>
      </c>
      <c r="O326" s="9" t="n">
        <v>8095.2</v>
      </c>
      <c r="P326" s="9" t="n">
        <v>809.52</v>
      </c>
      <c r="Q326" s="9" t="n">
        <v>809.52</v>
      </c>
      <c r="R326" s="9" t="n">
        <v>809.52</v>
      </c>
      <c r="S326" s="9" t="n">
        <v>809.52</v>
      </c>
      <c r="T326" s="9" t="n">
        <v>809.52</v>
      </c>
      <c r="U326" s="9" t="n">
        <v>809.52</v>
      </c>
      <c r="V326" s="9" t="n">
        <v>809.52</v>
      </c>
      <c r="W326" s="9" t="n">
        <v>809.52</v>
      </c>
      <c r="X326" s="9" t="n">
        <v>809.52</v>
      </c>
      <c r="Y326" s="9" t="n">
        <v>809.52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1069</v>
      </c>
      <c r="B327" s="3" t="s">
        <v>1004</v>
      </c>
      <c r="C327" s="3" t="s">
        <v>161</v>
      </c>
      <c r="D327" s="3" t="s">
        <v>162</v>
      </c>
      <c r="E327" s="3" t="n">
        <v>1983</v>
      </c>
      <c r="F327" s="3" t="s">
        <v>210</v>
      </c>
      <c r="G327" s="3" t="s">
        <v>211</v>
      </c>
      <c r="H327" s="3" t="s">
        <v>1070</v>
      </c>
      <c r="I327" s="3" t="s">
        <v>119</v>
      </c>
      <c r="J327" s="7" t="n">
        <v>845000</v>
      </c>
      <c r="K327" s="3" t="s">
        <v>164</v>
      </c>
      <c r="L327" s="7" t="n">
        <v>10740.03</v>
      </c>
      <c r="M327" s="7" t="n">
        <v>1342.5</v>
      </c>
      <c r="N327" s="7" t="n">
        <v>1342.5</v>
      </c>
      <c r="O327" s="7" t="n">
        <v>8055</v>
      </c>
      <c r="P327" s="7" t="n">
        <v>805.5</v>
      </c>
      <c r="Q327" s="7" t="n">
        <v>805.5</v>
      </c>
      <c r="R327" s="7" t="n">
        <v>805.5</v>
      </c>
      <c r="S327" s="7" t="n">
        <v>805.5</v>
      </c>
      <c r="T327" s="7" t="n">
        <v>805.5</v>
      </c>
      <c r="U327" s="7" t="n">
        <v>805.5</v>
      </c>
      <c r="V327" s="7" t="n">
        <v>805.5</v>
      </c>
      <c r="W327" s="7" t="n">
        <v>805.5</v>
      </c>
      <c r="X327" s="7" t="n">
        <v>805.5</v>
      </c>
      <c r="Y327" s="7" t="n">
        <v>805.5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1071</v>
      </c>
      <c r="B328" s="8" t="s">
        <v>981</v>
      </c>
      <c r="C328" s="8" t="s">
        <v>81</v>
      </c>
      <c r="D328" s="8" t="s">
        <v>82</v>
      </c>
      <c r="E328" s="8" t="n">
        <v>1968</v>
      </c>
      <c r="F328" s="8" t="s">
        <v>107</v>
      </c>
      <c r="G328" s="8" t="s">
        <v>134</v>
      </c>
      <c r="H328" s="8" t="s">
        <v>1072</v>
      </c>
      <c r="I328" s="8" t="s">
        <v>56</v>
      </c>
      <c r="J328" s="9" t="n">
        <v>660000</v>
      </c>
      <c r="K328" s="8" t="s">
        <v>232</v>
      </c>
      <c r="L328" s="9" t="n">
        <v>7538.82</v>
      </c>
      <c r="M328" s="9" t="n">
        <v>942.35</v>
      </c>
      <c r="N328" s="9" t="n">
        <v>942.35</v>
      </c>
      <c r="O328" s="9" t="n">
        <v>5654.1</v>
      </c>
      <c r="P328" s="9" t="n">
        <v>565.41</v>
      </c>
      <c r="Q328" s="9" t="n">
        <v>565.41</v>
      </c>
      <c r="R328" s="9" t="n">
        <v>565.41</v>
      </c>
      <c r="S328" s="9" t="n">
        <v>565.41</v>
      </c>
      <c r="T328" s="9" t="n">
        <v>565.41</v>
      </c>
      <c r="U328" s="9" t="n">
        <v>565.41</v>
      </c>
      <c r="V328" s="9" t="n">
        <v>565.41</v>
      </c>
      <c r="W328" s="9" t="n">
        <v>565.41</v>
      </c>
      <c r="X328" s="9" t="n">
        <v>565.41</v>
      </c>
      <c r="Y328" s="9" t="n">
        <v>565.41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1073</v>
      </c>
      <c r="B329" s="3" t="s">
        <v>88</v>
      </c>
      <c r="C329" s="3" t="s">
        <v>60</v>
      </c>
      <c r="D329" s="3" t="s">
        <v>61</v>
      </c>
      <c r="E329" s="3" t="n">
        <v>1968</v>
      </c>
      <c r="F329" s="3" t="s">
        <v>62</v>
      </c>
      <c r="G329" s="3" t="s">
        <v>310</v>
      </c>
      <c r="H329" s="3" t="s">
        <v>1074</v>
      </c>
      <c r="I329" s="3" t="s">
        <v>78</v>
      </c>
      <c r="J329" s="7" t="n">
        <v>290000</v>
      </c>
      <c r="K329" s="3" t="s">
        <v>90</v>
      </c>
      <c r="L329" s="7" t="n">
        <v>2846.44</v>
      </c>
      <c r="M329" s="7" t="n">
        <v>355.81</v>
      </c>
      <c r="N329" s="7" t="n">
        <v>355.81</v>
      </c>
      <c r="O329" s="7" t="n">
        <v>2134.8</v>
      </c>
      <c r="P329" s="7" t="n">
        <v>213.48</v>
      </c>
      <c r="Q329" s="7" t="n">
        <v>213.48</v>
      </c>
      <c r="R329" s="7" t="n">
        <v>213.48</v>
      </c>
      <c r="S329" s="7" t="n">
        <v>213.48</v>
      </c>
      <c r="T329" s="7" t="n">
        <v>213.48</v>
      </c>
      <c r="U329" s="7" t="n">
        <v>213.48</v>
      </c>
      <c r="V329" s="7" t="n">
        <v>213.48</v>
      </c>
      <c r="W329" s="7" t="n">
        <v>213.48</v>
      </c>
      <c r="X329" s="7" t="n">
        <v>213.48</v>
      </c>
      <c r="Y329" s="7" t="n">
        <v>213.48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1075</v>
      </c>
      <c r="B330" s="8" t="s">
        <v>1076</v>
      </c>
      <c r="C330" s="8" t="s">
        <v>60</v>
      </c>
      <c r="D330" s="8" t="s">
        <v>61</v>
      </c>
      <c r="E330" s="8" t="n">
        <v>1978</v>
      </c>
      <c r="F330" s="8" t="s">
        <v>155</v>
      </c>
      <c r="G330" s="8" t="s">
        <v>191</v>
      </c>
      <c r="H330" s="8" t="s">
        <v>1077</v>
      </c>
      <c r="I330" s="8" t="s">
        <v>56</v>
      </c>
      <c r="J330" s="9" t="n">
        <v>535000</v>
      </c>
      <c r="K330" s="8" t="s">
        <v>164</v>
      </c>
      <c r="L330" s="9" t="n">
        <v>5666.58</v>
      </c>
      <c r="M330" s="9" t="n">
        <v>708.32</v>
      </c>
      <c r="N330" s="9" t="n">
        <v>708.32</v>
      </c>
      <c r="O330" s="9" t="n">
        <v>4249.9</v>
      </c>
      <c r="P330" s="9" t="n">
        <v>424.99</v>
      </c>
      <c r="Q330" s="9" t="n">
        <v>424.99</v>
      </c>
      <c r="R330" s="9" t="n">
        <v>424.99</v>
      </c>
      <c r="S330" s="9" t="n">
        <v>424.99</v>
      </c>
      <c r="T330" s="9" t="n">
        <v>424.99</v>
      </c>
      <c r="U330" s="9" t="n">
        <v>424.99</v>
      </c>
      <c r="V330" s="9" t="n">
        <v>424.99</v>
      </c>
      <c r="W330" s="9" t="n">
        <v>424.99</v>
      </c>
      <c r="X330" s="9" t="n">
        <v>424.99</v>
      </c>
      <c r="Y330" s="9" t="n">
        <v>424.99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1078</v>
      </c>
      <c r="B331" s="3" t="s">
        <v>88</v>
      </c>
      <c r="C331" s="3" t="s">
        <v>219</v>
      </c>
      <c r="D331" s="3" t="s">
        <v>220</v>
      </c>
      <c r="E331" s="3" t="n">
        <v>2002</v>
      </c>
      <c r="F331" s="3" t="s">
        <v>107</v>
      </c>
      <c r="G331" s="3" t="s">
        <v>134</v>
      </c>
      <c r="H331" s="3" t="s">
        <v>1079</v>
      </c>
      <c r="I331" s="3" t="s">
        <v>56</v>
      </c>
      <c r="J331" s="7" t="n">
        <v>570000</v>
      </c>
      <c r="K331" s="3" t="s">
        <v>168</v>
      </c>
      <c r="L331" s="7" t="n">
        <v>5682.15</v>
      </c>
      <c r="M331" s="7" t="n">
        <v>710.27</v>
      </c>
      <c r="N331" s="7" t="n">
        <v>710.27</v>
      </c>
      <c r="O331" s="7" t="n">
        <v>4261.6</v>
      </c>
      <c r="P331" s="7" t="n">
        <v>426.16</v>
      </c>
      <c r="Q331" s="7" t="n">
        <v>426.16</v>
      </c>
      <c r="R331" s="7" t="n">
        <v>426.16</v>
      </c>
      <c r="S331" s="7" t="n">
        <v>426.16</v>
      </c>
      <c r="T331" s="7" t="n">
        <v>426.16</v>
      </c>
      <c r="U331" s="7" t="n">
        <v>426.16</v>
      </c>
      <c r="V331" s="7" t="n">
        <v>426.16</v>
      </c>
      <c r="W331" s="7" t="n">
        <v>426.16</v>
      </c>
      <c r="X331" s="7" t="n">
        <v>426.16</v>
      </c>
      <c r="Y331" s="7" t="n">
        <v>426.16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1080</v>
      </c>
      <c r="B332" s="8" t="s">
        <v>895</v>
      </c>
      <c r="C332" s="8" t="s">
        <v>252</v>
      </c>
      <c r="D332" s="8" t="s">
        <v>253</v>
      </c>
      <c r="E332" s="8" t="n">
        <v>2020</v>
      </c>
      <c r="F332" s="8" t="s">
        <v>195</v>
      </c>
      <c r="G332" s="8" t="s">
        <v>196</v>
      </c>
      <c r="H332" s="8" t="s">
        <v>1081</v>
      </c>
      <c r="I332" s="8" t="s">
        <v>47</v>
      </c>
      <c r="J332" s="9" t="n">
        <v>1510000</v>
      </c>
      <c r="K332" s="8" t="s">
        <v>150</v>
      </c>
      <c r="L332" s="9" t="n">
        <v>23544.01</v>
      </c>
      <c r="M332" s="9" t="n">
        <v>2943</v>
      </c>
      <c r="N332" s="9" t="n">
        <v>2943</v>
      </c>
      <c r="O332" s="9" t="n">
        <v>17658</v>
      </c>
      <c r="P332" s="9" t="n">
        <v>1765.8</v>
      </c>
      <c r="Q332" s="9" t="n">
        <v>1765.8</v>
      </c>
      <c r="R332" s="9" t="n">
        <v>1765.8</v>
      </c>
      <c r="S332" s="9" t="n">
        <v>1765.8</v>
      </c>
      <c r="T332" s="9" t="n">
        <v>1765.8</v>
      </c>
      <c r="U332" s="9" t="n">
        <v>1765.8</v>
      </c>
      <c r="V332" s="9" t="n">
        <v>1765.8</v>
      </c>
      <c r="W332" s="9" t="n">
        <v>1765.8</v>
      </c>
      <c r="X332" s="9" t="n">
        <v>1765.8</v>
      </c>
      <c r="Y332" s="9" t="n">
        <v>1765.8</v>
      </c>
      <c r="Z332" s="9" t="n">
        <v>350</v>
      </c>
      <c r="AA332" s="9" t="n">
        <v>250</v>
      </c>
      <c r="AB332" s="9" t="n">
        <v>600</v>
      </c>
    </row>
    <row r="333" customFormat="false" ht="15" hidden="false" customHeight="false" outlineLevel="0" collapsed="false">
      <c r="A333" s="3" t="s">
        <v>1082</v>
      </c>
      <c r="B333" s="3" t="s">
        <v>1083</v>
      </c>
      <c r="C333" s="3" t="s">
        <v>189</v>
      </c>
      <c r="D333" s="3" t="s">
        <v>190</v>
      </c>
      <c r="E333" s="3" t="n">
        <v>2018</v>
      </c>
      <c r="F333" s="3" t="s">
        <v>83</v>
      </c>
      <c r="G333" s="3" t="s">
        <v>84</v>
      </c>
      <c r="H333" s="3" t="s">
        <v>1084</v>
      </c>
      <c r="I333" s="3" t="s">
        <v>56</v>
      </c>
      <c r="J333" s="7" t="n">
        <v>395000</v>
      </c>
      <c r="K333" s="3" t="s">
        <v>48</v>
      </c>
      <c r="L333" s="7" t="n">
        <v>4496.1</v>
      </c>
      <c r="M333" s="7" t="n">
        <v>562.01</v>
      </c>
      <c r="N333" s="7" t="n">
        <v>562.01</v>
      </c>
      <c r="O333" s="7" t="n">
        <v>3372.1</v>
      </c>
      <c r="P333" s="7" t="n">
        <v>337.21</v>
      </c>
      <c r="Q333" s="7" t="n">
        <v>337.21</v>
      </c>
      <c r="R333" s="7" t="n">
        <v>337.21</v>
      </c>
      <c r="S333" s="7" t="n">
        <v>337.21</v>
      </c>
      <c r="T333" s="7" t="n">
        <v>337.21</v>
      </c>
      <c r="U333" s="7" t="n">
        <v>337.21</v>
      </c>
      <c r="V333" s="7" t="n">
        <v>337.21</v>
      </c>
      <c r="W333" s="7" t="n">
        <v>337.21</v>
      </c>
      <c r="X333" s="7" t="n">
        <v>337.21</v>
      </c>
      <c r="Y333" s="7" t="n">
        <v>337.21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1085</v>
      </c>
      <c r="B334" s="8" t="s">
        <v>1086</v>
      </c>
      <c r="C334" s="8" t="s">
        <v>177</v>
      </c>
      <c r="D334" s="8" t="s">
        <v>178</v>
      </c>
      <c r="E334" s="8" t="n">
        <v>1996</v>
      </c>
      <c r="F334" s="8" t="s">
        <v>122</v>
      </c>
      <c r="G334" s="8" t="s">
        <v>123</v>
      </c>
      <c r="H334" s="8" t="s">
        <v>1087</v>
      </c>
      <c r="I334" s="8" t="s">
        <v>56</v>
      </c>
      <c r="J334" s="9" t="n">
        <v>325000</v>
      </c>
      <c r="K334" s="8" t="s">
        <v>222</v>
      </c>
      <c r="L334" s="9" t="n">
        <v>4556.01</v>
      </c>
      <c r="M334" s="9" t="n">
        <v>569.5</v>
      </c>
      <c r="N334" s="9" t="n">
        <v>569.5</v>
      </c>
      <c r="O334" s="9" t="n">
        <v>3417</v>
      </c>
      <c r="P334" s="9" t="n">
        <v>341.7</v>
      </c>
      <c r="Q334" s="9" t="n">
        <v>341.7</v>
      </c>
      <c r="R334" s="9" t="n">
        <v>341.7</v>
      </c>
      <c r="S334" s="9" t="n">
        <v>341.7</v>
      </c>
      <c r="T334" s="9" t="n">
        <v>341.7</v>
      </c>
      <c r="U334" s="9" t="n">
        <v>341.7</v>
      </c>
      <c r="V334" s="9" t="n">
        <v>341.7</v>
      </c>
      <c r="W334" s="9" t="n">
        <v>341.7</v>
      </c>
      <c r="X334" s="9" t="n">
        <v>341.7</v>
      </c>
      <c r="Y334" s="9" t="n">
        <v>341.7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1088</v>
      </c>
      <c r="B335" s="3" t="s">
        <v>549</v>
      </c>
      <c r="C335" s="3" t="s">
        <v>101</v>
      </c>
      <c r="D335" s="3" t="s">
        <v>102</v>
      </c>
      <c r="E335" s="3" t="n">
        <v>1981</v>
      </c>
      <c r="F335" s="3" t="s">
        <v>53</v>
      </c>
      <c r="G335" s="3" t="s">
        <v>54</v>
      </c>
      <c r="H335" s="3" t="s">
        <v>1089</v>
      </c>
      <c r="I335" s="3" t="s">
        <v>56</v>
      </c>
      <c r="J335" s="7" t="n">
        <v>1230000</v>
      </c>
      <c r="K335" s="3" t="s">
        <v>65</v>
      </c>
      <c r="L335" s="7" t="n">
        <v>13293.11</v>
      </c>
      <c r="M335" s="7" t="n">
        <v>1661.64</v>
      </c>
      <c r="N335" s="7" t="n">
        <v>1661.64</v>
      </c>
      <c r="O335" s="7" t="n">
        <v>9969.8</v>
      </c>
      <c r="P335" s="7" t="n">
        <v>996.98</v>
      </c>
      <c r="Q335" s="7" t="n">
        <v>996.98</v>
      </c>
      <c r="R335" s="7" t="n">
        <v>996.98</v>
      </c>
      <c r="S335" s="7" t="n">
        <v>996.98</v>
      </c>
      <c r="T335" s="7" t="n">
        <v>996.98</v>
      </c>
      <c r="U335" s="7" t="n">
        <v>996.98</v>
      </c>
      <c r="V335" s="7" t="n">
        <v>996.98</v>
      </c>
      <c r="W335" s="7" t="n">
        <v>996.98</v>
      </c>
      <c r="X335" s="7" t="n">
        <v>996.98</v>
      </c>
      <c r="Y335" s="7" t="n">
        <v>996.98</v>
      </c>
      <c r="Z335" s="7" t="n">
        <v>350</v>
      </c>
      <c r="AA335" s="7" t="n">
        <v>250</v>
      </c>
      <c r="AB335" s="7" t="n">
        <v>600</v>
      </c>
    </row>
    <row r="336" customFormat="false" ht="15" hidden="false" customHeight="false" outlineLevel="0" collapsed="false">
      <c r="A336" s="8" t="s">
        <v>1090</v>
      </c>
      <c r="B336" s="8" t="s">
        <v>1091</v>
      </c>
      <c r="C336" s="8" t="s">
        <v>284</v>
      </c>
      <c r="D336" s="8" t="s">
        <v>285</v>
      </c>
      <c r="E336" s="8" t="n">
        <v>1995</v>
      </c>
      <c r="F336" s="8" t="s">
        <v>44</v>
      </c>
      <c r="G336" s="8" t="s">
        <v>76</v>
      </c>
      <c r="H336" s="8" t="s">
        <v>1092</v>
      </c>
      <c r="I336" s="8" t="s">
        <v>78</v>
      </c>
      <c r="J336" s="9" t="n">
        <v>220000</v>
      </c>
      <c r="K336" s="8" t="s">
        <v>86</v>
      </c>
      <c r="L336" s="9" t="n">
        <v>2704.49</v>
      </c>
      <c r="M336" s="9" t="n">
        <v>338.06</v>
      </c>
      <c r="N336" s="9" t="n">
        <v>338.06</v>
      </c>
      <c r="O336" s="9" t="n">
        <v>2028.4</v>
      </c>
      <c r="P336" s="9" t="n">
        <v>202.84</v>
      </c>
      <c r="Q336" s="9" t="n">
        <v>202.84</v>
      </c>
      <c r="R336" s="9" t="n">
        <v>202.84</v>
      </c>
      <c r="S336" s="9" t="n">
        <v>202.84</v>
      </c>
      <c r="T336" s="9" t="n">
        <v>202.84</v>
      </c>
      <c r="U336" s="9" t="n">
        <v>202.84</v>
      </c>
      <c r="V336" s="9" t="n">
        <v>202.84</v>
      </c>
      <c r="W336" s="9" t="n">
        <v>202.84</v>
      </c>
      <c r="X336" s="9" t="n">
        <v>202.84</v>
      </c>
      <c r="Y336" s="9" t="n">
        <v>202.84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1093</v>
      </c>
      <c r="B337" s="3" t="s">
        <v>975</v>
      </c>
      <c r="C337" s="3" t="s">
        <v>219</v>
      </c>
      <c r="D337" s="3" t="s">
        <v>220</v>
      </c>
      <c r="E337" s="3" t="n">
        <v>1987</v>
      </c>
      <c r="F337" s="3" t="s">
        <v>53</v>
      </c>
      <c r="G337" s="3" t="s">
        <v>54</v>
      </c>
      <c r="H337" s="3" t="s">
        <v>1094</v>
      </c>
      <c r="I337" s="3" t="s">
        <v>56</v>
      </c>
      <c r="J337" s="7" t="n">
        <v>215000</v>
      </c>
      <c r="K337" s="3" t="s">
        <v>136</v>
      </c>
      <c r="L337" s="7" t="n">
        <v>4897.92</v>
      </c>
      <c r="M337" s="7" t="n">
        <v>612.24</v>
      </c>
      <c r="N337" s="7" t="n">
        <v>612.24</v>
      </c>
      <c r="O337" s="7" t="n">
        <v>3673.4</v>
      </c>
      <c r="P337" s="7" t="n">
        <v>367.34</v>
      </c>
      <c r="Q337" s="7" t="n">
        <v>367.34</v>
      </c>
      <c r="R337" s="7" t="n">
        <v>367.34</v>
      </c>
      <c r="S337" s="7" t="n">
        <v>367.34</v>
      </c>
      <c r="T337" s="7" t="n">
        <v>367.34</v>
      </c>
      <c r="U337" s="7" t="n">
        <v>367.34</v>
      </c>
      <c r="V337" s="7" t="n">
        <v>367.34</v>
      </c>
      <c r="W337" s="7" t="n">
        <v>367.34</v>
      </c>
      <c r="X337" s="7" t="n">
        <v>367.34</v>
      </c>
      <c r="Y337" s="7" t="n">
        <v>367.34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1095</v>
      </c>
      <c r="B338" s="8" t="s">
        <v>1096</v>
      </c>
      <c r="C338" s="8" t="s">
        <v>330</v>
      </c>
      <c r="D338" s="8" t="s">
        <v>331</v>
      </c>
      <c r="E338" s="8" t="n">
        <v>1998</v>
      </c>
      <c r="F338" s="8" t="s">
        <v>107</v>
      </c>
      <c r="G338" s="8" t="s">
        <v>134</v>
      </c>
      <c r="H338" s="8" t="s">
        <v>1097</v>
      </c>
      <c r="I338" s="8" t="s">
        <v>56</v>
      </c>
      <c r="J338" s="9" t="n">
        <v>495000</v>
      </c>
      <c r="K338" s="8" t="s">
        <v>275</v>
      </c>
      <c r="L338" s="9" t="n">
        <v>6820.52</v>
      </c>
      <c r="M338" s="9" t="n">
        <v>852.57</v>
      </c>
      <c r="N338" s="9" t="n">
        <v>852.57</v>
      </c>
      <c r="O338" s="9" t="n">
        <v>5115.4</v>
      </c>
      <c r="P338" s="9" t="n">
        <v>511.54</v>
      </c>
      <c r="Q338" s="9" t="n">
        <v>511.54</v>
      </c>
      <c r="R338" s="9" t="n">
        <v>511.54</v>
      </c>
      <c r="S338" s="9" t="n">
        <v>511.54</v>
      </c>
      <c r="T338" s="9" t="n">
        <v>511.54</v>
      </c>
      <c r="U338" s="9" t="n">
        <v>511.54</v>
      </c>
      <c r="V338" s="9" t="n">
        <v>511.54</v>
      </c>
      <c r="W338" s="9" t="n">
        <v>511.54</v>
      </c>
      <c r="X338" s="9" t="n">
        <v>511.54</v>
      </c>
      <c r="Y338" s="9" t="n">
        <v>511.54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1098</v>
      </c>
      <c r="B339" s="3" t="s">
        <v>80</v>
      </c>
      <c r="C339" s="3" t="s">
        <v>272</v>
      </c>
      <c r="D339" s="3" t="s">
        <v>273</v>
      </c>
      <c r="E339" s="3" t="n">
        <v>1965</v>
      </c>
      <c r="F339" s="3" t="s">
        <v>155</v>
      </c>
      <c r="G339" s="3" t="s">
        <v>191</v>
      </c>
      <c r="H339" s="3" t="s">
        <v>1099</v>
      </c>
      <c r="I339" s="3" t="s">
        <v>56</v>
      </c>
      <c r="J339" s="7" t="n">
        <v>555000</v>
      </c>
      <c r="K339" s="3" t="s">
        <v>275</v>
      </c>
      <c r="L339" s="7" t="n">
        <v>6627.62</v>
      </c>
      <c r="M339" s="7" t="n">
        <v>828.45</v>
      </c>
      <c r="N339" s="7" t="n">
        <v>828.45</v>
      </c>
      <c r="O339" s="7" t="n">
        <v>4970.7</v>
      </c>
      <c r="P339" s="7" t="n">
        <v>497.07</v>
      </c>
      <c r="Q339" s="7" t="n">
        <v>497.07</v>
      </c>
      <c r="R339" s="7" t="n">
        <v>497.07</v>
      </c>
      <c r="S339" s="7" t="n">
        <v>497.07</v>
      </c>
      <c r="T339" s="7" t="n">
        <v>497.07</v>
      </c>
      <c r="U339" s="7" t="n">
        <v>497.07</v>
      </c>
      <c r="V339" s="7" t="n">
        <v>497.07</v>
      </c>
      <c r="W339" s="7" t="n">
        <v>497.07</v>
      </c>
      <c r="X339" s="7" t="n">
        <v>497.07</v>
      </c>
      <c r="Y339" s="7" t="n">
        <v>497.07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1100</v>
      </c>
      <c r="B340" s="8" t="s">
        <v>358</v>
      </c>
      <c r="C340" s="8" t="s">
        <v>51</v>
      </c>
      <c r="D340" s="8" t="s">
        <v>52</v>
      </c>
      <c r="E340" s="8" t="n">
        <v>2019</v>
      </c>
      <c r="F340" s="8" t="s">
        <v>225</v>
      </c>
      <c r="G340" s="8" t="s">
        <v>226</v>
      </c>
      <c r="H340" s="8" t="s">
        <v>1101</v>
      </c>
      <c r="I340" s="8" t="s">
        <v>78</v>
      </c>
      <c r="J340" s="9" t="n">
        <v>1290000</v>
      </c>
      <c r="K340" s="8" t="s">
        <v>525</v>
      </c>
      <c r="L340" s="9" t="n">
        <v>9475.72</v>
      </c>
      <c r="M340" s="9" t="n">
        <v>1184.46</v>
      </c>
      <c r="N340" s="9" t="n">
        <v>1184.46</v>
      </c>
      <c r="O340" s="9" t="n">
        <v>7106.8</v>
      </c>
      <c r="P340" s="9" t="n">
        <v>710.68</v>
      </c>
      <c r="Q340" s="9" t="n">
        <v>710.68</v>
      </c>
      <c r="R340" s="9" t="n">
        <v>710.68</v>
      </c>
      <c r="S340" s="9" t="n">
        <v>710.68</v>
      </c>
      <c r="T340" s="9" t="n">
        <v>710.68</v>
      </c>
      <c r="U340" s="9" t="n">
        <v>710.68</v>
      </c>
      <c r="V340" s="9" t="n">
        <v>710.68</v>
      </c>
      <c r="W340" s="9" t="n">
        <v>710.68</v>
      </c>
      <c r="X340" s="9" t="n">
        <v>710.68</v>
      </c>
      <c r="Y340" s="9" t="n">
        <v>710.68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1102</v>
      </c>
      <c r="B341" s="3" t="s">
        <v>1103</v>
      </c>
      <c r="C341" s="3" t="s">
        <v>189</v>
      </c>
      <c r="D341" s="3" t="s">
        <v>190</v>
      </c>
      <c r="E341" s="3" t="n">
        <v>2022</v>
      </c>
      <c r="F341" s="3" t="s">
        <v>62</v>
      </c>
      <c r="G341" s="3" t="s">
        <v>63</v>
      </c>
      <c r="H341" s="3" t="s">
        <v>1104</v>
      </c>
      <c r="I341" s="3" t="s">
        <v>56</v>
      </c>
      <c r="J341" s="7" t="n">
        <v>1070000</v>
      </c>
      <c r="K341" s="3" t="s">
        <v>65</v>
      </c>
      <c r="L341" s="7" t="n">
        <v>11563.92</v>
      </c>
      <c r="M341" s="7" t="n">
        <v>1445.49</v>
      </c>
      <c r="N341" s="7" t="n">
        <v>1445.49</v>
      </c>
      <c r="O341" s="7" t="n">
        <v>8672.9</v>
      </c>
      <c r="P341" s="7" t="n">
        <v>867.29</v>
      </c>
      <c r="Q341" s="7" t="n">
        <v>867.29</v>
      </c>
      <c r="R341" s="7" t="n">
        <v>867.29</v>
      </c>
      <c r="S341" s="7" t="n">
        <v>867.29</v>
      </c>
      <c r="T341" s="7" t="n">
        <v>867.29</v>
      </c>
      <c r="U341" s="7" t="n">
        <v>867.29</v>
      </c>
      <c r="V341" s="7" t="n">
        <v>867.29</v>
      </c>
      <c r="W341" s="7" t="n">
        <v>867.29</v>
      </c>
      <c r="X341" s="7" t="n">
        <v>867.29</v>
      </c>
      <c r="Y341" s="7" t="n">
        <v>867.29</v>
      </c>
      <c r="Z341" s="7" t="n">
        <v>350</v>
      </c>
      <c r="AA341" s="7" t="n">
        <v>250</v>
      </c>
      <c r="AB341" s="7" t="n">
        <v>600</v>
      </c>
    </row>
    <row r="342" customFormat="false" ht="15" hidden="false" customHeight="false" outlineLevel="0" collapsed="false">
      <c r="A342" s="8" t="s">
        <v>1105</v>
      </c>
      <c r="B342" s="8" t="s">
        <v>343</v>
      </c>
      <c r="C342" s="8" t="s">
        <v>284</v>
      </c>
      <c r="D342" s="8" t="s">
        <v>285</v>
      </c>
      <c r="E342" s="8" t="n">
        <v>1958</v>
      </c>
      <c r="F342" s="8" t="s">
        <v>155</v>
      </c>
      <c r="G342" s="8" t="s">
        <v>191</v>
      </c>
      <c r="H342" s="8" t="s">
        <v>1106</v>
      </c>
      <c r="I342" s="8" t="s">
        <v>56</v>
      </c>
      <c r="J342" s="9" t="n">
        <v>490000</v>
      </c>
      <c r="K342" s="8" t="s">
        <v>158</v>
      </c>
      <c r="L342" s="9" t="n">
        <v>5812.27</v>
      </c>
      <c r="M342" s="9" t="n">
        <v>726.53</v>
      </c>
      <c r="N342" s="9" t="n">
        <v>726.53</v>
      </c>
      <c r="O342" s="9" t="n">
        <v>4359.2</v>
      </c>
      <c r="P342" s="9" t="n">
        <v>435.92</v>
      </c>
      <c r="Q342" s="9" t="n">
        <v>435.92</v>
      </c>
      <c r="R342" s="9" t="n">
        <v>435.92</v>
      </c>
      <c r="S342" s="9" t="n">
        <v>435.92</v>
      </c>
      <c r="T342" s="9" t="n">
        <v>435.92</v>
      </c>
      <c r="U342" s="9" t="n">
        <v>435.92</v>
      </c>
      <c r="V342" s="9" t="n">
        <v>435.92</v>
      </c>
      <c r="W342" s="9" t="n">
        <v>435.92</v>
      </c>
      <c r="X342" s="9" t="n">
        <v>435.92</v>
      </c>
      <c r="Y342" s="9" t="n">
        <v>435.92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1107</v>
      </c>
      <c r="B343" s="3" t="s">
        <v>266</v>
      </c>
      <c r="C343" s="3" t="s">
        <v>171</v>
      </c>
      <c r="D343" s="3" t="s">
        <v>172</v>
      </c>
      <c r="E343" s="3" t="n">
        <v>1985</v>
      </c>
      <c r="F343" s="3" t="s">
        <v>62</v>
      </c>
      <c r="G343" s="3" t="s">
        <v>63</v>
      </c>
      <c r="H343" s="3" t="s">
        <v>1108</v>
      </c>
      <c r="I343" s="3" t="s">
        <v>56</v>
      </c>
      <c r="J343" s="7" t="n">
        <v>305000</v>
      </c>
      <c r="K343" s="3" t="s">
        <v>71</v>
      </c>
      <c r="L343" s="7" t="n">
        <v>3654.39</v>
      </c>
      <c r="M343" s="7" t="n">
        <v>456.8</v>
      </c>
      <c r="N343" s="7" t="n">
        <v>456.8</v>
      </c>
      <c r="O343" s="7" t="n">
        <v>2740.8</v>
      </c>
      <c r="P343" s="7" t="n">
        <v>274.08</v>
      </c>
      <c r="Q343" s="7" t="n">
        <v>274.08</v>
      </c>
      <c r="R343" s="7" t="n">
        <v>274.08</v>
      </c>
      <c r="S343" s="7" t="n">
        <v>274.08</v>
      </c>
      <c r="T343" s="7" t="n">
        <v>274.08</v>
      </c>
      <c r="U343" s="7" t="n">
        <v>274.08</v>
      </c>
      <c r="V343" s="7" t="n">
        <v>274.08</v>
      </c>
      <c r="W343" s="7" t="n">
        <v>274.08</v>
      </c>
      <c r="X343" s="7" t="n">
        <v>274.08</v>
      </c>
      <c r="Y343" s="7" t="n">
        <v>274.08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1109</v>
      </c>
      <c r="B344" s="8" t="s">
        <v>1110</v>
      </c>
      <c r="C344" s="8" t="s">
        <v>51</v>
      </c>
      <c r="D344" s="8" t="s">
        <v>52</v>
      </c>
      <c r="E344" s="8" t="n">
        <v>1977</v>
      </c>
      <c r="F344" s="8" t="s">
        <v>44</v>
      </c>
      <c r="G344" s="8" t="s">
        <v>240</v>
      </c>
      <c r="H344" s="8" t="s">
        <v>1111</v>
      </c>
      <c r="I344" s="8" t="s">
        <v>47</v>
      </c>
      <c r="J344" s="9" t="n">
        <v>480000</v>
      </c>
      <c r="K344" s="8" t="s">
        <v>90</v>
      </c>
      <c r="L344" s="9" t="n">
        <v>11287.63</v>
      </c>
      <c r="M344" s="9" t="n">
        <v>1410.95</v>
      </c>
      <c r="N344" s="9" t="n">
        <v>1410.95</v>
      </c>
      <c r="O344" s="9" t="n">
        <v>8465.7</v>
      </c>
      <c r="P344" s="9" t="n">
        <v>846.57</v>
      </c>
      <c r="Q344" s="9" t="n">
        <v>846.57</v>
      </c>
      <c r="R344" s="9" t="n">
        <v>846.57</v>
      </c>
      <c r="S344" s="9" t="n">
        <v>846.57</v>
      </c>
      <c r="T344" s="9" t="n">
        <v>846.57</v>
      </c>
      <c r="U344" s="9" t="n">
        <v>846.57</v>
      </c>
      <c r="V344" s="9" t="n">
        <v>846.57</v>
      </c>
      <c r="W344" s="9" t="n">
        <v>846.57</v>
      </c>
      <c r="X344" s="9" t="n">
        <v>846.57</v>
      </c>
      <c r="Y344" s="9" t="n">
        <v>846.57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1112</v>
      </c>
      <c r="B345" s="3" t="s">
        <v>260</v>
      </c>
      <c r="C345" s="3" t="s">
        <v>183</v>
      </c>
      <c r="D345" s="3" t="s">
        <v>184</v>
      </c>
      <c r="E345" s="3" t="n">
        <v>2006</v>
      </c>
      <c r="F345" s="3" t="s">
        <v>83</v>
      </c>
      <c r="G345" s="3" t="s">
        <v>84</v>
      </c>
      <c r="H345" s="3" t="s">
        <v>1113</v>
      </c>
      <c r="I345" s="3" t="s">
        <v>56</v>
      </c>
      <c r="J345" s="7" t="n">
        <v>580000</v>
      </c>
      <c r="K345" s="3" t="s">
        <v>142</v>
      </c>
      <c r="L345" s="7" t="n">
        <v>8552.31</v>
      </c>
      <c r="M345" s="7" t="n">
        <v>1069.04</v>
      </c>
      <c r="N345" s="7" t="n">
        <v>1069.04</v>
      </c>
      <c r="O345" s="7" t="n">
        <v>6414.2</v>
      </c>
      <c r="P345" s="7" t="n">
        <v>641.42</v>
      </c>
      <c r="Q345" s="7" t="n">
        <v>641.42</v>
      </c>
      <c r="R345" s="7" t="n">
        <v>641.42</v>
      </c>
      <c r="S345" s="7" t="n">
        <v>641.42</v>
      </c>
      <c r="T345" s="7" t="n">
        <v>641.42</v>
      </c>
      <c r="U345" s="7" t="n">
        <v>641.42</v>
      </c>
      <c r="V345" s="7" t="n">
        <v>641.42</v>
      </c>
      <c r="W345" s="7" t="n">
        <v>641.42</v>
      </c>
      <c r="X345" s="7" t="n">
        <v>641.42</v>
      </c>
      <c r="Y345" s="7" t="n">
        <v>641.42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1114</v>
      </c>
      <c r="B346" s="8" t="s">
        <v>1115</v>
      </c>
      <c r="C346" s="8" t="s">
        <v>139</v>
      </c>
      <c r="D346" s="8" t="s">
        <v>140</v>
      </c>
      <c r="E346" s="8" t="n">
        <v>2021</v>
      </c>
      <c r="F346" s="8" t="s">
        <v>62</v>
      </c>
      <c r="G346" s="8" t="s">
        <v>310</v>
      </c>
      <c r="H346" s="8" t="s">
        <v>1116</v>
      </c>
      <c r="I346" s="8" t="s">
        <v>78</v>
      </c>
      <c r="J346" s="9" t="n">
        <v>285000</v>
      </c>
      <c r="K346" s="8" t="s">
        <v>131</v>
      </c>
      <c r="L346" s="9" t="n">
        <v>2841.08</v>
      </c>
      <c r="M346" s="9" t="n">
        <v>355.13</v>
      </c>
      <c r="N346" s="9" t="n">
        <v>355.13</v>
      </c>
      <c r="O346" s="9" t="n">
        <v>2130.8</v>
      </c>
      <c r="P346" s="9" t="n">
        <v>213.08</v>
      </c>
      <c r="Q346" s="9" t="n">
        <v>213.08</v>
      </c>
      <c r="R346" s="9" t="n">
        <v>213.08</v>
      </c>
      <c r="S346" s="9" t="n">
        <v>213.08</v>
      </c>
      <c r="T346" s="9" t="n">
        <v>213.08</v>
      </c>
      <c r="U346" s="9" t="n">
        <v>213.08</v>
      </c>
      <c r="V346" s="9" t="n">
        <v>213.08</v>
      </c>
      <c r="W346" s="9" t="n">
        <v>213.08</v>
      </c>
      <c r="X346" s="9" t="n">
        <v>213.08</v>
      </c>
      <c r="Y346" s="9" t="n">
        <v>213.08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1117</v>
      </c>
      <c r="B347" s="3" t="s">
        <v>1118</v>
      </c>
      <c r="C347" s="3" t="s">
        <v>60</v>
      </c>
      <c r="D347" s="3" t="s">
        <v>61</v>
      </c>
      <c r="E347" s="3" t="n">
        <v>1992</v>
      </c>
      <c r="F347" s="3" t="s">
        <v>107</v>
      </c>
      <c r="G347" s="3" t="s">
        <v>134</v>
      </c>
      <c r="H347" s="3" t="s">
        <v>1119</v>
      </c>
      <c r="I347" s="3" t="s">
        <v>56</v>
      </c>
      <c r="J347" s="7" t="n">
        <v>405000</v>
      </c>
      <c r="K347" s="3" t="s">
        <v>232</v>
      </c>
      <c r="L347" s="7" t="n">
        <v>5337.81</v>
      </c>
      <c r="M347" s="7" t="n">
        <v>667.23</v>
      </c>
      <c r="N347" s="7" t="n">
        <v>667.23</v>
      </c>
      <c r="O347" s="7" t="n">
        <v>4003.4</v>
      </c>
      <c r="P347" s="7" t="n">
        <v>400.34</v>
      </c>
      <c r="Q347" s="7" t="n">
        <v>400.34</v>
      </c>
      <c r="R347" s="7" t="n">
        <v>400.34</v>
      </c>
      <c r="S347" s="7" t="n">
        <v>400.34</v>
      </c>
      <c r="T347" s="7" t="n">
        <v>400.34</v>
      </c>
      <c r="U347" s="7" t="n">
        <v>400.34</v>
      </c>
      <c r="V347" s="7" t="n">
        <v>400.34</v>
      </c>
      <c r="W347" s="7" t="n">
        <v>400.34</v>
      </c>
      <c r="X347" s="7" t="n">
        <v>400.34</v>
      </c>
      <c r="Y347" s="7" t="n">
        <v>400.34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1120</v>
      </c>
      <c r="B348" s="8" t="s">
        <v>1121</v>
      </c>
      <c r="C348" s="8" t="s">
        <v>507</v>
      </c>
      <c r="D348" s="8" t="s">
        <v>508</v>
      </c>
      <c r="E348" s="8" t="n">
        <v>1997</v>
      </c>
      <c r="F348" s="8" t="s">
        <v>53</v>
      </c>
      <c r="G348" s="8" t="s">
        <v>54</v>
      </c>
      <c r="H348" s="8" t="s">
        <v>1122</v>
      </c>
      <c r="I348" s="8" t="s">
        <v>56</v>
      </c>
      <c r="J348" s="9" t="n">
        <v>595000</v>
      </c>
      <c r="K348" s="8" t="s">
        <v>180</v>
      </c>
      <c r="L348" s="9" t="n">
        <v>8526.35</v>
      </c>
      <c r="M348" s="9" t="n">
        <v>1065.79</v>
      </c>
      <c r="N348" s="9" t="n">
        <v>1065.79</v>
      </c>
      <c r="O348" s="9" t="n">
        <v>6394.8</v>
      </c>
      <c r="P348" s="9" t="n">
        <v>639.48</v>
      </c>
      <c r="Q348" s="9" t="n">
        <v>639.48</v>
      </c>
      <c r="R348" s="9" t="n">
        <v>639.48</v>
      </c>
      <c r="S348" s="9" t="n">
        <v>639.48</v>
      </c>
      <c r="T348" s="9" t="n">
        <v>639.48</v>
      </c>
      <c r="U348" s="9" t="n">
        <v>639.48</v>
      </c>
      <c r="V348" s="9" t="n">
        <v>639.48</v>
      </c>
      <c r="W348" s="9" t="n">
        <v>639.48</v>
      </c>
      <c r="X348" s="9" t="n">
        <v>639.48</v>
      </c>
      <c r="Y348" s="9" t="n">
        <v>639.48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1123</v>
      </c>
      <c r="B349" s="3" t="s">
        <v>955</v>
      </c>
      <c r="C349" s="3" t="s">
        <v>42</v>
      </c>
      <c r="D349" s="3" t="s">
        <v>43</v>
      </c>
      <c r="E349" s="3" t="n">
        <v>1974</v>
      </c>
      <c r="F349" s="3" t="s">
        <v>122</v>
      </c>
      <c r="G349" s="3" t="s">
        <v>123</v>
      </c>
      <c r="H349" s="3" t="s">
        <v>1124</v>
      </c>
      <c r="I349" s="3" t="s">
        <v>56</v>
      </c>
      <c r="J349" s="7" t="n">
        <v>270000</v>
      </c>
      <c r="K349" s="3" t="s">
        <v>86</v>
      </c>
      <c r="L349" s="7" t="n">
        <v>4367.3</v>
      </c>
      <c r="M349" s="7" t="n">
        <v>545.91</v>
      </c>
      <c r="N349" s="7" t="n">
        <v>545.91</v>
      </c>
      <c r="O349" s="7" t="n">
        <v>3275.5</v>
      </c>
      <c r="P349" s="7" t="n">
        <v>327.55</v>
      </c>
      <c r="Q349" s="7" t="n">
        <v>327.55</v>
      </c>
      <c r="R349" s="7" t="n">
        <v>327.55</v>
      </c>
      <c r="S349" s="7" t="n">
        <v>327.55</v>
      </c>
      <c r="T349" s="7" t="n">
        <v>327.55</v>
      </c>
      <c r="U349" s="7" t="n">
        <v>327.55</v>
      </c>
      <c r="V349" s="7" t="n">
        <v>327.55</v>
      </c>
      <c r="W349" s="7" t="n">
        <v>327.55</v>
      </c>
      <c r="X349" s="7" t="n">
        <v>327.55</v>
      </c>
      <c r="Y349" s="7" t="n">
        <v>327.55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1125</v>
      </c>
      <c r="B350" s="8" t="s">
        <v>1022</v>
      </c>
      <c r="C350" s="8" t="s">
        <v>252</v>
      </c>
      <c r="D350" s="8" t="s">
        <v>253</v>
      </c>
      <c r="E350" s="8" t="n">
        <v>2001</v>
      </c>
      <c r="F350" s="8" t="s">
        <v>155</v>
      </c>
      <c r="G350" s="8" t="s">
        <v>191</v>
      </c>
      <c r="H350" s="8" t="s">
        <v>1126</v>
      </c>
      <c r="I350" s="8" t="s">
        <v>56</v>
      </c>
      <c r="J350" s="9" t="n">
        <v>620000</v>
      </c>
      <c r="K350" s="8" t="s">
        <v>668</v>
      </c>
      <c r="L350" s="9" t="n">
        <v>7275.07</v>
      </c>
      <c r="M350" s="9" t="n">
        <v>909.38</v>
      </c>
      <c r="N350" s="9" t="n">
        <v>909.38</v>
      </c>
      <c r="O350" s="9" t="n">
        <v>5456.3</v>
      </c>
      <c r="P350" s="9" t="n">
        <v>545.63</v>
      </c>
      <c r="Q350" s="9" t="n">
        <v>545.63</v>
      </c>
      <c r="R350" s="9" t="n">
        <v>545.63</v>
      </c>
      <c r="S350" s="9" t="n">
        <v>545.63</v>
      </c>
      <c r="T350" s="9" t="n">
        <v>545.63</v>
      </c>
      <c r="U350" s="9" t="n">
        <v>545.63</v>
      </c>
      <c r="V350" s="9" t="n">
        <v>545.63</v>
      </c>
      <c r="W350" s="9" t="n">
        <v>545.63</v>
      </c>
      <c r="X350" s="9" t="n">
        <v>545.63</v>
      </c>
      <c r="Y350" s="9" t="n">
        <v>545.63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1127</v>
      </c>
      <c r="B351" s="3" t="s">
        <v>449</v>
      </c>
      <c r="C351" s="3" t="s">
        <v>171</v>
      </c>
      <c r="D351" s="3" t="s">
        <v>172</v>
      </c>
      <c r="E351" s="3" t="n">
        <v>2004</v>
      </c>
      <c r="F351" s="3" t="s">
        <v>83</v>
      </c>
      <c r="G351" s="3" t="s">
        <v>84</v>
      </c>
      <c r="H351" s="3" t="s">
        <v>1128</v>
      </c>
      <c r="I351" s="3" t="s">
        <v>56</v>
      </c>
      <c r="J351" s="7" t="n">
        <v>1245000</v>
      </c>
      <c r="K351" s="3" t="s">
        <v>125</v>
      </c>
      <c r="L351" s="7" t="n">
        <v>14877.31</v>
      </c>
      <c r="M351" s="7" t="n">
        <v>1859.66</v>
      </c>
      <c r="N351" s="7" t="n">
        <v>1859.66</v>
      </c>
      <c r="O351" s="7" t="n">
        <v>11158</v>
      </c>
      <c r="P351" s="7" t="n">
        <v>1115.8</v>
      </c>
      <c r="Q351" s="7" t="n">
        <v>1115.8</v>
      </c>
      <c r="R351" s="7" t="n">
        <v>1115.8</v>
      </c>
      <c r="S351" s="7" t="n">
        <v>1115.8</v>
      </c>
      <c r="T351" s="7" t="n">
        <v>1115.8</v>
      </c>
      <c r="U351" s="7" t="n">
        <v>1115.8</v>
      </c>
      <c r="V351" s="7" t="n">
        <v>1115.8</v>
      </c>
      <c r="W351" s="7" t="n">
        <v>1115.8</v>
      </c>
      <c r="X351" s="7" t="n">
        <v>1115.8</v>
      </c>
      <c r="Y351" s="7" t="n">
        <v>1115.8</v>
      </c>
      <c r="Z351" s="7" t="n">
        <v>350</v>
      </c>
      <c r="AA351" s="7" t="n">
        <v>250</v>
      </c>
      <c r="AB351" s="7" t="n">
        <v>600</v>
      </c>
    </row>
    <row r="352" customFormat="false" ht="15" hidden="false" customHeight="false" outlineLevel="0" collapsed="false">
      <c r="A352" s="8" t="s">
        <v>1129</v>
      </c>
      <c r="B352" s="8" t="s">
        <v>427</v>
      </c>
      <c r="C352" s="8" t="s">
        <v>81</v>
      </c>
      <c r="D352" s="8" t="s">
        <v>82</v>
      </c>
      <c r="E352" s="8" t="n">
        <v>2020</v>
      </c>
      <c r="F352" s="8" t="s">
        <v>155</v>
      </c>
      <c r="G352" s="8" t="s">
        <v>191</v>
      </c>
      <c r="H352" s="8" t="s">
        <v>1130</v>
      </c>
      <c r="I352" s="8" t="s">
        <v>56</v>
      </c>
      <c r="J352" s="9" t="n">
        <v>285000</v>
      </c>
      <c r="K352" s="8" t="s">
        <v>543</v>
      </c>
      <c r="L352" s="9" t="n">
        <v>4439.18</v>
      </c>
      <c r="M352" s="9" t="n">
        <v>554.9</v>
      </c>
      <c r="N352" s="9" t="n">
        <v>554.9</v>
      </c>
      <c r="O352" s="9" t="n">
        <v>3329.4</v>
      </c>
      <c r="P352" s="9" t="n">
        <v>332.94</v>
      </c>
      <c r="Q352" s="9" t="n">
        <v>332.94</v>
      </c>
      <c r="R352" s="9" t="n">
        <v>332.94</v>
      </c>
      <c r="S352" s="9" t="n">
        <v>332.94</v>
      </c>
      <c r="T352" s="9" t="n">
        <v>332.94</v>
      </c>
      <c r="U352" s="9" t="n">
        <v>332.94</v>
      </c>
      <c r="V352" s="9" t="n">
        <v>332.94</v>
      </c>
      <c r="W352" s="9" t="n">
        <v>332.94</v>
      </c>
      <c r="X352" s="9" t="n">
        <v>332.94</v>
      </c>
      <c r="Y352" s="9" t="n">
        <v>332.94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1131</v>
      </c>
      <c r="B353" s="3" t="s">
        <v>753</v>
      </c>
      <c r="C353" s="3" t="s">
        <v>177</v>
      </c>
      <c r="D353" s="3" t="s">
        <v>178</v>
      </c>
      <c r="E353" s="3" t="n">
        <v>1957</v>
      </c>
      <c r="F353" s="3" t="s">
        <v>53</v>
      </c>
      <c r="G353" s="3" t="s">
        <v>54</v>
      </c>
      <c r="H353" s="3" t="s">
        <v>1132</v>
      </c>
      <c r="I353" s="3" t="s">
        <v>56</v>
      </c>
      <c r="J353" s="7" t="n">
        <v>220000</v>
      </c>
      <c r="K353" s="3" t="s">
        <v>136</v>
      </c>
      <c r="L353" s="7" t="n">
        <v>5011.83</v>
      </c>
      <c r="M353" s="7" t="n">
        <v>626.48</v>
      </c>
      <c r="N353" s="7" t="n">
        <v>626.48</v>
      </c>
      <c r="O353" s="7" t="n">
        <v>3758.9</v>
      </c>
      <c r="P353" s="7" t="n">
        <v>375.89</v>
      </c>
      <c r="Q353" s="7" t="n">
        <v>375.89</v>
      </c>
      <c r="R353" s="7" t="n">
        <v>375.89</v>
      </c>
      <c r="S353" s="7" t="n">
        <v>375.89</v>
      </c>
      <c r="T353" s="7" t="n">
        <v>375.89</v>
      </c>
      <c r="U353" s="7" t="n">
        <v>375.89</v>
      </c>
      <c r="V353" s="7" t="n">
        <v>375.89</v>
      </c>
      <c r="W353" s="7" t="n">
        <v>375.89</v>
      </c>
      <c r="X353" s="7" t="n">
        <v>375.89</v>
      </c>
      <c r="Y353" s="7" t="n">
        <v>375.89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1133</v>
      </c>
      <c r="B354" s="8" t="s">
        <v>1134</v>
      </c>
      <c r="C354" s="8" t="s">
        <v>507</v>
      </c>
      <c r="D354" s="8" t="s">
        <v>508</v>
      </c>
      <c r="E354" s="8" t="n">
        <v>1968</v>
      </c>
      <c r="F354" s="8" t="s">
        <v>155</v>
      </c>
      <c r="G354" s="8" t="s">
        <v>191</v>
      </c>
      <c r="H354" s="8" t="s">
        <v>1135</v>
      </c>
      <c r="I354" s="8" t="s">
        <v>56</v>
      </c>
      <c r="J354" s="9" t="n">
        <v>640000</v>
      </c>
      <c r="K354" s="8" t="s">
        <v>48</v>
      </c>
      <c r="L354" s="9" t="n">
        <v>6313.5</v>
      </c>
      <c r="M354" s="9" t="n">
        <v>789.19</v>
      </c>
      <c r="N354" s="9" t="n">
        <v>789.19</v>
      </c>
      <c r="O354" s="9" t="n">
        <v>4735.1</v>
      </c>
      <c r="P354" s="9" t="n">
        <v>473.51</v>
      </c>
      <c r="Q354" s="9" t="n">
        <v>473.51</v>
      </c>
      <c r="R354" s="9" t="n">
        <v>473.51</v>
      </c>
      <c r="S354" s="9" t="n">
        <v>473.51</v>
      </c>
      <c r="T354" s="9" t="n">
        <v>473.51</v>
      </c>
      <c r="U354" s="9" t="n">
        <v>473.51</v>
      </c>
      <c r="V354" s="9" t="n">
        <v>473.51</v>
      </c>
      <c r="W354" s="9" t="n">
        <v>473.51</v>
      </c>
      <c r="X354" s="9" t="n">
        <v>473.51</v>
      </c>
      <c r="Y354" s="9" t="n">
        <v>473.51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1136</v>
      </c>
      <c r="B355" s="3" t="s">
        <v>1137</v>
      </c>
      <c r="C355" s="3" t="s">
        <v>252</v>
      </c>
      <c r="D355" s="3" t="s">
        <v>253</v>
      </c>
      <c r="E355" s="3" t="n">
        <v>1957</v>
      </c>
      <c r="F355" s="3" t="s">
        <v>155</v>
      </c>
      <c r="G355" s="3" t="s">
        <v>156</v>
      </c>
      <c r="H355" s="3" t="s">
        <v>1138</v>
      </c>
      <c r="I355" s="3" t="s">
        <v>78</v>
      </c>
      <c r="J355" s="7" t="n">
        <v>380000</v>
      </c>
      <c r="K355" s="3" t="s">
        <v>86</v>
      </c>
      <c r="L355" s="7" t="n">
        <v>3933.8</v>
      </c>
      <c r="M355" s="7" t="n">
        <v>491.73</v>
      </c>
      <c r="N355" s="7" t="n">
        <v>491.73</v>
      </c>
      <c r="O355" s="7" t="n">
        <v>2950.4</v>
      </c>
      <c r="P355" s="7" t="n">
        <v>295.04</v>
      </c>
      <c r="Q355" s="7" t="n">
        <v>295.04</v>
      </c>
      <c r="R355" s="7" t="n">
        <v>295.04</v>
      </c>
      <c r="S355" s="7" t="n">
        <v>295.04</v>
      </c>
      <c r="T355" s="7" t="n">
        <v>295.04</v>
      </c>
      <c r="U355" s="7" t="n">
        <v>295.04</v>
      </c>
      <c r="V355" s="7" t="n">
        <v>295.04</v>
      </c>
      <c r="W355" s="7" t="n">
        <v>295.04</v>
      </c>
      <c r="X355" s="7" t="n">
        <v>295.04</v>
      </c>
      <c r="Y355" s="7" t="n">
        <v>295.04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1139</v>
      </c>
      <c r="B356" s="8" t="s">
        <v>1140</v>
      </c>
      <c r="C356" s="8" t="s">
        <v>177</v>
      </c>
      <c r="D356" s="8" t="s">
        <v>178</v>
      </c>
      <c r="E356" s="8" t="n">
        <v>1978</v>
      </c>
      <c r="F356" s="8" t="s">
        <v>83</v>
      </c>
      <c r="G356" s="8" t="s">
        <v>84</v>
      </c>
      <c r="H356" s="8" t="s">
        <v>1141</v>
      </c>
      <c r="I356" s="8" t="s">
        <v>56</v>
      </c>
      <c r="J356" s="9" t="n">
        <v>1210000</v>
      </c>
      <c r="K356" s="8" t="s">
        <v>71</v>
      </c>
      <c r="L356" s="9" t="n">
        <v>10631.67</v>
      </c>
      <c r="M356" s="9" t="n">
        <v>1328.96</v>
      </c>
      <c r="N356" s="9" t="n">
        <v>1328.96</v>
      </c>
      <c r="O356" s="9" t="n">
        <v>7973.8</v>
      </c>
      <c r="P356" s="9" t="n">
        <v>797.38</v>
      </c>
      <c r="Q356" s="9" t="n">
        <v>797.38</v>
      </c>
      <c r="R356" s="9" t="n">
        <v>797.38</v>
      </c>
      <c r="S356" s="9" t="n">
        <v>797.38</v>
      </c>
      <c r="T356" s="9" t="n">
        <v>797.38</v>
      </c>
      <c r="U356" s="9" t="n">
        <v>797.38</v>
      </c>
      <c r="V356" s="9" t="n">
        <v>797.38</v>
      </c>
      <c r="W356" s="9" t="n">
        <v>797.38</v>
      </c>
      <c r="X356" s="9" t="n">
        <v>797.38</v>
      </c>
      <c r="Y356" s="9" t="n">
        <v>797.38</v>
      </c>
      <c r="Z356" s="9" t="n">
        <v>350</v>
      </c>
      <c r="AA356" s="9" t="n">
        <v>250</v>
      </c>
      <c r="AB356" s="9" t="n">
        <v>600</v>
      </c>
    </row>
    <row r="357" customFormat="false" ht="15" hidden="false" customHeight="false" outlineLevel="0" collapsed="false">
      <c r="A357" s="3" t="s">
        <v>1142</v>
      </c>
      <c r="B357" s="3" t="s">
        <v>427</v>
      </c>
      <c r="C357" s="3" t="s">
        <v>238</v>
      </c>
      <c r="D357" s="3" t="s">
        <v>239</v>
      </c>
      <c r="E357" s="3" t="n">
        <v>1984</v>
      </c>
      <c r="F357" s="3" t="s">
        <v>122</v>
      </c>
      <c r="G357" s="3" t="s">
        <v>123</v>
      </c>
      <c r="H357" s="3" t="s">
        <v>1143</v>
      </c>
      <c r="I357" s="3" t="s">
        <v>56</v>
      </c>
      <c r="J357" s="7" t="n">
        <v>670000</v>
      </c>
      <c r="K357" s="3" t="s">
        <v>519</v>
      </c>
      <c r="L357" s="7" t="n">
        <v>7653.05</v>
      </c>
      <c r="M357" s="7" t="n">
        <v>956.63</v>
      </c>
      <c r="N357" s="7" t="n">
        <v>956.63</v>
      </c>
      <c r="O357" s="7" t="n">
        <v>5739.8</v>
      </c>
      <c r="P357" s="7" t="n">
        <v>573.98</v>
      </c>
      <c r="Q357" s="7" t="n">
        <v>573.98</v>
      </c>
      <c r="R357" s="7" t="n">
        <v>573.98</v>
      </c>
      <c r="S357" s="7" t="n">
        <v>573.98</v>
      </c>
      <c r="T357" s="7" t="n">
        <v>573.98</v>
      </c>
      <c r="U357" s="7" t="n">
        <v>573.98</v>
      </c>
      <c r="V357" s="7" t="n">
        <v>573.98</v>
      </c>
      <c r="W357" s="7" t="n">
        <v>573.98</v>
      </c>
      <c r="X357" s="7" t="n">
        <v>573.98</v>
      </c>
      <c r="Y357" s="7" t="n">
        <v>573.98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1144</v>
      </c>
      <c r="B358" s="8" t="s">
        <v>1145</v>
      </c>
      <c r="C358" s="8" t="s">
        <v>261</v>
      </c>
      <c r="D358" s="8" t="s">
        <v>262</v>
      </c>
      <c r="E358" s="8" t="n">
        <v>1966</v>
      </c>
      <c r="F358" s="8" t="s">
        <v>62</v>
      </c>
      <c r="G358" s="8" t="s">
        <v>63</v>
      </c>
      <c r="H358" s="8" t="s">
        <v>1146</v>
      </c>
      <c r="I358" s="8" t="s">
        <v>56</v>
      </c>
      <c r="J358" s="9" t="n">
        <v>735000</v>
      </c>
      <c r="K358" s="8" t="s">
        <v>142</v>
      </c>
      <c r="L358" s="9" t="n">
        <v>10837.84</v>
      </c>
      <c r="M358" s="9" t="n">
        <v>1354.73</v>
      </c>
      <c r="N358" s="9" t="n">
        <v>1354.73</v>
      </c>
      <c r="O358" s="9" t="n">
        <v>8128.4</v>
      </c>
      <c r="P358" s="9" t="n">
        <v>812.84</v>
      </c>
      <c r="Q358" s="9" t="n">
        <v>812.84</v>
      </c>
      <c r="R358" s="9" t="n">
        <v>812.84</v>
      </c>
      <c r="S358" s="9" t="n">
        <v>812.84</v>
      </c>
      <c r="T358" s="9" t="n">
        <v>812.84</v>
      </c>
      <c r="U358" s="9" t="n">
        <v>812.84</v>
      </c>
      <c r="V358" s="9" t="n">
        <v>812.84</v>
      </c>
      <c r="W358" s="9" t="n">
        <v>812.84</v>
      </c>
      <c r="X358" s="9" t="n">
        <v>812.84</v>
      </c>
      <c r="Y358" s="9" t="n">
        <v>812.84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1147</v>
      </c>
      <c r="B359" s="3" t="s">
        <v>1148</v>
      </c>
      <c r="C359" s="3" t="s">
        <v>60</v>
      </c>
      <c r="D359" s="3" t="s">
        <v>61</v>
      </c>
      <c r="E359" s="3" t="n">
        <v>1999</v>
      </c>
      <c r="F359" s="3" t="s">
        <v>107</v>
      </c>
      <c r="G359" s="3" t="s">
        <v>134</v>
      </c>
      <c r="H359" s="3" t="s">
        <v>1149</v>
      </c>
      <c r="I359" s="3" t="s">
        <v>56</v>
      </c>
      <c r="J359" s="7" t="n">
        <v>625000</v>
      </c>
      <c r="K359" s="3" t="s">
        <v>48</v>
      </c>
      <c r="L359" s="7" t="n">
        <v>6165.53</v>
      </c>
      <c r="M359" s="7" t="n">
        <v>770.69</v>
      </c>
      <c r="N359" s="7" t="n">
        <v>770.69</v>
      </c>
      <c r="O359" s="7" t="n">
        <v>4624.1</v>
      </c>
      <c r="P359" s="7" t="n">
        <v>462.41</v>
      </c>
      <c r="Q359" s="7" t="n">
        <v>462.41</v>
      </c>
      <c r="R359" s="7" t="n">
        <v>462.41</v>
      </c>
      <c r="S359" s="7" t="n">
        <v>462.41</v>
      </c>
      <c r="T359" s="7" t="n">
        <v>462.41</v>
      </c>
      <c r="U359" s="7" t="n">
        <v>462.41</v>
      </c>
      <c r="V359" s="7" t="n">
        <v>462.41</v>
      </c>
      <c r="W359" s="7" t="n">
        <v>462.41</v>
      </c>
      <c r="X359" s="7" t="n">
        <v>462.41</v>
      </c>
      <c r="Y359" s="7" t="n">
        <v>462.41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1150</v>
      </c>
      <c r="B360" s="8" t="s">
        <v>1151</v>
      </c>
      <c r="C360" s="8" t="s">
        <v>183</v>
      </c>
      <c r="D360" s="8" t="s">
        <v>184</v>
      </c>
      <c r="E360" s="8" t="n">
        <v>2002</v>
      </c>
      <c r="F360" s="8" t="s">
        <v>155</v>
      </c>
      <c r="G360" s="8" t="s">
        <v>191</v>
      </c>
      <c r="H360" s="8" t="s">
        <v>1152</v>
      </c>
      <c r="I360" s="8" t="s">
        <v>56</v>
      </c>
      <c r="J360" s="9" t="n">
        <v>715000</v>
      </c>
      <c r="K360" s="8" t="s">
        <v>168</v>
      </c>
      <c r="L360" s="9" t="n">
        <v>7127.61</v>
      </c>
      <c r="M360" s="9" t="n">
        <v>890.95</v>
      </c>
      <c r="N360" s="9" t="n">
        <v>890.95</v>
      </c>
      <c r="O360" s="9" t="n">
        <v>5345.7</v>
      </c>
      <c r="P360" s="9" t="n">
        <v>534.57</v>
      </c>
      <c r="Q360" s="9" t="n">
        <v>534.57</v>
      </c>
      <c r="R360" s="9" t="n">
        <v>534.57</v>
      </c>
      <c r="S360" s="9" t="n">
        <v>534.57</v>
      </c>
      <c r="T360" s="9" t="n">
        <v>534.57</v>
      </c>
      <c r="U360" s="9" t="n">
        <v>534.57</v>
      </c>
      <c r="V360" s="9" t="n">
        <v>534.57</v>
      </c>
      <c r="W360" s="9" t="n">
        <v>534.57</v>
      </c>
      <c r="X360" s="9" t="n">
        <v>534.57</v>
      </c>
      <c r="Y360" s="9" t="n">
        <v>534.57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1153</v>
      </c>
      <c r="B361" s="3" t="s">
        <v>1154</v>
      </c>
      <c r="C361" s="3" t="s">
        <v>177</v>
      </c>
      <c r="D361" s="3" t="s">
        <v>178</v>
      </c>
      <c r="E361" s="3" t="n">
        <v>2018</v>
      </c>
      <c r="F361" s="3" t="s">
        <v>122</v>
      </c>
      <c r="G361" s="3" t="s">
        <v>123</v>
      </c>
      <c r="H361" s="3" t="s">
        <v>1155</v>
      </c>
      <c r="I361" s="3" t="s">
        <v>56</v>
      </c>
      <c r="J361" s="7" t="n">
        <v>565000</v>
      </c>
      <c r="K361" s="3" t="s">
        <v>150</v>
      </c>
      <c r="L361" s="7" t="n">
        <v>7157.73</v>
      </c>
      <c r="M361" s="7" t="n">
        <v>894.72</v>
      </c>
      <c r="N361" s="7" t="n">
        <v>894.72</v>
      </c>
      <c r="O361" s="7" t="n">
        <v>5368.3</v>
      </c>
      <c r="P361" s="7" t="n">
        <v>536.83</v>
      </c>
      <c r="Q361" s="7" t="n">
        <v>536.83</v>
      </c>
      <c r="R361" s="7" t="n">
        <v>536.83</v>
      </c>
      <c r="S361" s="7" t="n">
        <v>536.83</v>
      </c>
      <c r="T361" s="7" t="n">
        <v>536.83</v>
      </c>
      <c r="U361" s="7" t="n">
        <v>536.83</v>
      </c>
      <c r="V361" s="7" t="n">
        <v>536.83</v>
      </c>
      <c r="W361" s="7" t="n">
        <v>536.83</v>
      </c>
      <c r="X361" s="7" t="n">
        <v>536.83</v>
      </c>
      <c r="Y361" s="7" t="n">
        <v>536.83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1156</v>
      </c>
      <c r="B362" s="8" t="s">
        <v>1157</v>
      </c>
      <c r="C362" s="8" t="s">
        <v>51</v>
      </c>
      <c r="D362" s="8" t="s">
        <v>52</v>
      </c>
      <c r="E362" s="8" t="n">
        <v>2017</v>
      </c>
      <c r="F362" s="8" t="s">
        <v>95</v>
      </c>
      <c r="G362" s="8" t="s">
        <v>96</v>
      </c>
      <c r="H362" s="8" t="s">
        <v>1158</v>
      </c>
      <c r="I362" s="8" t="s">
        <v>47</v>
      </c>
      <c r="J362" s="9" t="n">
        <v>805000</v>
      </c>
      <c r="K362" s="8" t="s">
        <v>205</v>
      </c>
      <c r="L362" s="9" t="n">
        <v>12339.42</v>
      </c>
      <c r="M362" s="9" t="n">
        <v>1542.43</v>
      </c>
      <c r="N362" s="9" t="n">
        <v>1542.43</v>
      </c>
      <c r="O362" s="9" t="n">
        <v>9254.6</v>
      </c>
      <c r="P362" s="9" t="n">
        <v>925.46</v>
      </c>
      <c r="Q362" s="9" t="n">
        <v>925.46</v>
      </c>
      <c r="R362" s="9" t="n">
        <v>925.46</v>
      </c>
      <c r="S362" s="9" t="n">
        <v>925.46</v>
      </c>
      <c r="T362" s="9" t="n">
        <v>925.46</v>
      </c>
      <c r="U362" s="9" t="n">
        <v>925.46</v>
      </c>
      <c r="V362" s="9" t="n">
        <v>925.46</v>
      </c>
      <c r="W362" s="9" t="n">
        <v>925.46</v>
      </c>
      <c r="X362" s="9" t="n">
        <v>925.46</v>
      </c>
      <c r="Y362" s="9" t="n">
        <v>925.46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1159</v>
      </c>
      <c r="B363" s="3" t="s">
        <v>1160</v>
      </c>
      <c r="C363" s="3" t="s">
        <v>177</v>
      </c>
      <c r="D363" s="3" t="s">
        <v>178</v>
      </c>
      <c r="E363" s="3" t="n">
        <v>1980</v>
      </c>
      <c r="F363" s="3" t="s">
        <v>53</v>
      </c>
      <c r="G363" s="3" t="s">
        <v>54</v>
      </c>
      <c r="H363" s="3" t="s">
        <v>1161</v>
      </c>
      <c r="I363" s="3" t="s">
        <v>56</v>
      </c>
      <c r="J363" s="7" t="n">
        <v>730000</v>
      </c>
      <c r="K363" s="3" t="s">
        <v>168</v>
      </c>
      <c r="L363" s="7" t="n">
        <v>7277.15</v>
      </c>
      <c r="M363" s="7" t="n">
        <v>909.64</v>
      </c>
      <c r="N363" s="7" t="n">
        <v>909.64</v>
      </c>
      <c r="O363" s="7" t="n">
        <v>5457.9</v>
      </c>
      <c r="P363" s="7" t="n">
        <v>545.79</v>
      </c>
      <c r="Q363" s="7" t="n">
        <v>545.79</v>
      </c>
      <c r="R363" s="7" t="n">
        <v>545.79</v>
      </c>
      <c r="S363" s="7" t="n">
        <v>545.79</v>
      </c>
      <c r="T363" s="7" t="n">
        <v>545.79</v>
      </c>
      <c r="U363" s="7" t="n">
        <v>545.79</v>
      </c>
      <c r="V363" s="7" t="n">
        <v>545.79</v>
      </c>
      <c r="W363" s="7" t="n">
        <v>545.79</v>
      </c>
      <c r="X363" s="7" t="n">
        <v>545.79</v>
      </c>
      <c r="Y363" s="7" t="n">
        <v>545.79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1162</v>
      </c>
      <c r="B364" s="8" t="s">
        <v>806</v>
      </c>
      <c r="C364" s="8" t="s">
        <v>284</v>
      </c>
      <c r="D364" s="8" t="s">
        <v>285</v>
      </c>
      <c r="E364" s="8" t="n">
        <v>1992</v>
      </c>
      <c r="F364" s="8" t="s">
        <v>225</v>
      </c>
      <c r="G364" s="8" t="s">
        <v>226</v>
      </c>
      <c r="H364" s="8" t="s">
        <v>1163</v>
      </c>
      <c r="I364" s="8" t="s">
        <v>78</v>
      </c>
      <c r="J364" s="9" t="n">
        <v>320000</v>
      </c>
      <c r="K364" s="8" t="s">
        <v>111</v>
      </c>
      <c r="L364" s="9" t="n">
        <v>2404.76</v>
      </c>
      <c r="M364" s="9" t="n">
        <v>300.6</v>
      </c>
      <c r="N364" s="9" t="n">
        <v>300.6</v>
      </c>
      <c r="O364" s="9" t="n">
        <v>1803.6</v>
      </c>
      <c r="P364" s="9" t="n">
        <v>180.36</v>
      </c>
      <c r="Q364" s="9" t="n">
        <v>180.36</v>
      </c>
      <c r="R364" s="9" t="n">
        <v>180.36</v>
      </c>
      <c r="S364" s="9" t="n">
        <v>180.36</v>
      </c>
      <c r="T364" s="9" t="n">
        <v>180.36</v>
      </c>
      <c r="U364" s="9" t="n">
        <v>180.36</v>
      </c>
      <c r="V364" s="9" t="n">
        <v>180.36</v>
      </c>
      <c r="W364" s="9" t="n">
        <v>180.36</v>
      </c>
      <c r="X364" s="9" t="n">
        <v>180.36</v>
      </c>
      <c r="Y364" s="9" t="n">
        <v>180.36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1164</v>
      </c>
      <c r="B365" s="3" t="s">
        <v>1118</v>
      </c>
      <c r="C365" s="3" t="s">
        <v>267</v>
      </c>
      <c r="D365" s="3" t="s">
        <v>268</v>
      </c>
      <c r="E365" s="3" t="n">
        <v>1972</v>
      </c>
      <c r="F365" s="3" t="s">
        <v>155</v>
      </c>
      <c r="G365" s="3" t="s">
        <v>156</v>
      </c>
      <c r="H365" s="3" t="s">
        <v>1165</v>
      </c>
      <c r="I365" s="3" t="s">
        <v>78</v>
      </c>
      <c r="J365" s="7" t="n">
        <v>640000</v>
      </c>
      <c r="K365" s="3" t="s">
        <v>205</v>
      </c>
      <c r="L365" s="7" t="n">
        <v>4440.42</v>
      </c>
      <c r="M365" s="7" t="n">
        <v>555.05</v>
      </c>
      <c r="N365" s="7" t="n">
        <v>555.05</v>
      </c>
      <c r="O365" s="7" t="n">
        <v>3330.3</v>
      </c>
      <c r="P365" s="7" t="n">
        <v>333.03</v>
      </c>
      <c r="Q365" s="7" t="n">
        <v>333.03</v>
      </c>
      <c r="R365" s="7" t="n">
        <v>333.03</v>
      </c>
      <c r="S365" s="7" t="n">
        <v>333.03</v>
      </c>
      <c r="T365" s="7" t="n">
        <v>333.03</v>
      </c>
      <c r="U365" s="7" t="n">
        <v>333.03</v>
      </c>
      <c r="V365" s="7" t="n">
        <v>333.03</v>
      </c>
      <c r="W365" s="7" t="n">
        <v>333.03</v>
      </c>
      <c r="X365" s="7" t="n">
        <v>333.03</v>
      </c>
      <c r="Y365" s="7" t="n">
        <v>333.03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1166</v>
      </c>
      <c r="B366" s="8" t="s">
        <v>1167</v>
      </c>
      <c r="C366" s="8" t="s">
        <v>295</v>
      </c>
      <c r="D366" s="8" t="s">
        <v>296</v>
      </c>
      <c r="E366" s="8" t="n">
        <v>1960</v>
      </c>
      <c r="F366" s="8" t="s">
        <v>62</v>
      </c>
      <c r="G366" s="8" t="s">
        <v>310</v>
      </c>
      <c r="H366" s="8" t="s">
        <v>1168</v>
      </c>
      <c r="I366" s="8" t="s">
        <v>78</v>
      </c>
      <c r="J366" s="9" t="n">
        <v>365000</v>
      </c>
      <c r="K366" s="8" t="s">
        <v>131</v>
      </c>
      <c r="L366" s="9" t="n">
        <v>3638.57</v>
      </c>
      <c r="M366" s="9" t="n">
        <v>454.82</v>
      </c>
      <c r="N366" s="9" t="n">
        <v>454.82</v>
      </c>
      <c r="O366" s="9" t="n">
        <v>2728.9</v>
      </c>
      <c r="P366" s="9" t="n">
        <v>272.89</v>
      </c>
      <c r="Q366" s="9" t="n">
        <v>272.89</v>
      </c>
      <c r="R366" s="9" t="n">
        <v>272.89</v>
      </c>
      <c r="S366" s="9" t="n">
        <v>272.89</v>
      </c>
      <c r="T366" s="9" t="n">
        <v>272.89</v>
      </c>
      <c r="U366" s="9" t="n">
        <v>272.89</v>
      </c>
      <c r="V366" s="9" t="n">
        <v>272.89</v>
      </c>
      <c r="W366" s="9" t="n">
        <v>272.89</v>
      </c>
      <c r="X366" s="9" t="n">
        <v>272.89</v>
      </c>
      <c r="Y366" s="9" t="n">
        <v>272.89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1169</v>
      </c>
      <c r="B367" s="3" t="s">
        <v>484</v>
      </c>
      <c r="C367" s="3" t="s">
        <v>295</v>
      </c>
      <c r="D367" s="3" t="s">
        <v>296</v>
      </c>
      <c r="E367" s="3" t="n">
        <v>1970</v>
      </c>
      <c r="F367" s="3" t="s">
        <v>155</v>
      </c>
      <c r="G367" s="3" t="s">
        <v>191</v>
      </c>
      <c r="H367" s="3" t="s">
        <v>1170</v>
      </c>
      <c r="I367" s="3" t="s">
        <v>56</v>
      </c>
      <c r="J367" s="7" t="n">
        <v>405000</v>
      </c>
      <c r="K367" s="3" t="s">
        <v>131</v>
      </c>
      <c r="L367" s="7" t="n">
        <v>6308.31</v>
      </c>
      <c r="M367" s="7" t="n">
        <v>788.54</v>
      </c>
      <c r="N367" s="7" t="n">
        <v>788.54</v>
      </c>
      <c r="O367" s="7" t="n">
        <v>4731.2</v>
      </c>
      <c r="P367" s="7" t="n">
        <v>473.12</v>
      </c>
      <c r="Q367" s="7" t="n">
        <v>473.12</v>
      </c>
      <c r="R367" s="7" t="n">
        <v>473.12</v>
      </c>
      <c r="S367" s="7" t="n">
        <v>473.12</v>
      </c>
      <c r="T367" s="7" t="n">
        <v>473.12</v>
      </c>
      <c r="U367" s="7" t="n">
        <v>473.12</v>
      </c>
      <c r="V367" s="7" t="n">
        <v>473.12</v>
      </c>
      <c r="W367" s="7" t="n">
        <v>473.12</v>
      </c>
      <c r="X367" s="7" t="n">
        <v>473.12</v>
      </c>
      <c r="Y367" s="7" t="n">
        <v>473.12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1171</v>
      </c>
      <c r="B368" s="8" t="s">
        <v>1172</v>
      </c>
      <c r="C368" s="8" t="s">
        <v>60</v>
      </c>
      <c r="D368" s="8" t="s">
        <v>61</v>
      </c>
      <c r="E368" s="8" t="n">
        <v>1987</v>
      </c>
      <c r="F368" s="8" t="s">
        <v>155</v>
      </c>
      <c r="G368" s="8" t="s">
        <v>191</v>
      </c>
      <c r="H368" s="8" t="s">
        <v>1173</v>
      </c>
      <c r="I368" s="8" t="s">
        <v>56</v>
      </c>
      <c r="J368" s="9" t="n">
        <v>585000</v>
      </c>
      <c r="K368" s="8" t="s">
        <v>168</v>
      </c>
      <c r="L368" s="9" t="n">
        <v>5831.69</v>
      </c>
      <c r="M368" s="9" t="n">
        <v>728.96</v>
      </c>
      <c r="N368" s="9" t="n">
        <v>728.96</v>
      </c>
      <c r="O368" s="9" t="n">
        <v>4373.8</v>
      </c>
      <c r="P368" s="9" t="n">
        <v>437.38</v>
      </c>
      <c r="Q368" s="9" t="n">
        <v>437.38</v>
      </c>
      <c r="R368" s="9" t="n">
        <v>437.38</v>
      </c>
      <c r="S368" s="9" t="n">
        <v>437.38</v>
      </c>
      <c r="T368" s="9" t="n">
        <v>437.38</v>
      </c>
      <c r="U368" s="9" t="n">
        <v>437.38</v>
      </c>
      <c r="V368" s="9" t="n">
        <v>437.38</v>
      </c>
      <c r="W368" s="9" t="n">
        <v>437.38</v>
      </c>
      <c r="X368" s="9" t="n">
        <v>437.38</v>
      </c>
      <c r="Y368" s="9" t="n">
        <v>437.38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1174</v>
      </c>
      <c r="B369" s="3" t="s">
        <v>559</v>
      </c>
      <c r="C369" s="3" t="s">
        <v>261</v>
      </c>
      <c r="D369" s="3" t="s">
        <v>262</v>
      </c>
      <c r="E369" s="3" t="n">
        <v>2018</v>
      </c>
      <c r="F369" s="3" t="s">
        <v>155</v>
      </c>
      <c r="G369" s="3" t="s">
        <v>191</v>
      </c>
      <c r="H369" s="3" t="s">
        <v>1175</v>
      </c>
      <c r="I369" s="3" t="s">
        <v>56</v>
      </c>
      <c r="J369" s="7" t="n">
        <v>520000</v>
      </c>
      <c r="K369" s="3" t="s">
        <v>322</v>
      </c>
      <c r="L369" s="7" t="n">
        <v>6749.64</v>
      </c>
      <c r="M369" s="7" t="n">
        <v>843.71</v>
      </c>
      <c r="N369" s="7" t="n">
        <v>843.71</v>
      </c>
      <c r="O369" s="7" t="n">
        <v>5062.2</v>
      </c>
      <c r="P369" s="7" t="n">
        <v>506.22</v>
      </c>
      <c r="Q369" s="7" t="n">
        <v>506.22</v>
      </c>
      <c r="R369" s="7" t="n">
        <v>506.22</v>
      </c>
      <c r="S369" s="7" t="n">
        <v>506.22</v>
      </c>
      <c r="T369" s="7" t="n">
        <v>506.22</v>
      </c>
      <c r="U369" s="7" t="n">
        <v>506.22</v>
      </c>
      <c r="V369" s="7" t="n">
        <v>506.22</v>
      </c>
      <c r="W369" s="7" t="n">
        <v>506.22</v>
      </c>
      <c r="X369" s="7" t="n">
        <v>506.22</v>
      </c>
      <c r="Y369" s="7" t="n">
        <v>506.22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1176</v>
      </c>
      <c r="B370" s="8" t="s">
        <v>654</v>
      </c>
      <c r="C370" s="8" t="s">
        <v>267</v>
      </c>
      <c r="D370" s="8" t="s">
        <v>268</v>
      </c>
      <c r="E370" s="8" t="n">
        <v>2024</v>
      </c>
      <c r="F370" s="8" t="s">
        <v>53</v>
      </c>
      <c r="G370" s="8" t="s">
        <v>54</v>
      </c>
      <c r="H370" s="8" t="s">
        <v>1177</v>
      </c>
      <c r="I370" s="8" t="s">
        <v>56</v>
      </c>
      <c r="J370" s="9" t="n">
        <v>410000</v>
      </c>
      <c r="K370" s="8" t="s">
        <v>125</v>
      </c>
      <c r="L370" s="9" t="n">
        <v>6680.95</v>
      </c>
      <c r="M370" s="9" t="n">
        <v>835.12</v>
      </c>
      <c r="N370" s="9" t="n">
        <v>835.12</v>
      </c>
      <c r="O370" s="9" t="n">
        <v>5010.7</v>
      </c>
      <c r="P370" s="9" t="n">
        <v>501.07</v>
      </c>
      <c r="Q370" s="9" t="n">
        <v>501.07</v>
      </c>
      <c r="R370" s="9" t="n">
        <v>501.07</v>
      </c>
      <c r="S370" s="9" t="n">
        <v>501.07</v>
      </c>
      <c r="T370" s="9" t="n">
        <v>501.07</v>
      </c>
      <c r="U370" s="9" t="n">
        <v>501.07</v>
      </c>
      <c r="V370" s="9" t="n">
        <v>501.07</v>
      </c>
      <c r="W370" s="9" t="n">
        <v>501.07</v>
      </c>
      <c r="X370" s="9" t="n">
        <v>501.07</v>
      </c>
      <c r="Y370" s="9" t="n">
        <v>501.07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1178</v>
      </c>
      <c r="B371" s="3" t="s">
        <v>1179</v>
      </c>
      <c r="C371" s="3" t="s">
        <v>161</v>
      </c>
      <c r="D371" s="3" t="s">
        <v>162</v>
      </c>
      <c r="E371" s="3" t="n">
        <v>1972</v>
      </c>
      <c r="F371" s="3" t="s">
        <v>44</v>
      </c>
      <c r="G371" s="3" t="s">
        <v>76</v>
      </c>
      <c r="H371" s="3" t="s">
        <v>1180</v>
      </c>
      <c r="I371" s="3" t="s">
        <v>78</v>
      </c>
      <c r="J371" s="7" t="n">
        <v>1055000</v>
      </c>
      <c r="K371" s="3" t="s">
        <v>90</v>
      </c>
      <c r="L371" s="7" t="n">
        <v>8197.84</v>
      </c>
      <c r="M371" s="7" t="n">
        <v>1024.73</v>
      </c>
      <c r="N371" s="7" t="n">
        <v>1024.73</v>
      </c>
      <c r="O371" s="7" t="n">
        <v>6148.4</v>
      </c>
      <c r="P371" s="7" t="n">
        <v>614.84</v>
      </c>
      <c r="Q371" s="7" t="n">
        <v>614.84</v>
      </c>
      <c r="R371" s="7" t="n">
        <v>614.84</v>
      </c>
      <c r="S371" s="7" t="n">
        <v>614.84</v>
      </c>
      <c r="T371" s="7" t="n">
        <v>614.84</v>
      </c>
      <c r="U371" s="7" t="n">
        <v>614.84</v>
      </c>
      <c r="V371" s="7" t="n">
        <v>614.84</v>
      </c>
      <c r="W371" s="7" t="n">
        <v>614.84</v>
      </c>
      <c r="X371" s="7" t="n">
        <v>614.84</v>
      </c>
      <c r="Y371" s="7" t="n">
        <v>614.84</v>
      </c>
      <c r="Z371" s="7" t="n">
        <v>350</v>
      </c>
      <c r="AA371" s="7" t="n">
        <v>250</v>
      </c>
      <c r="AB371" s="7" t="n">
        <v>600</v>
      </c>
    </row>
    <row r="372" customFormat="false" ht="15" hidden="false" customHeight="false" outlineLevel="0" collapsed="false">
      <c r="A372" s="8" t="s">
        <v>1181</v>
      </c>
      <c r="B372" s="8" t="s">
        <v>851</v>
      </c>
      <c r="C372" s="8" t="s">
        <v>145</v>
      </c>
      <c r="D372" s="8" t="s">
        <v>146</v>
      </c>
      <c r="E372" s="8" t="n">
        <v>1983</v>
      </c>
      <c r="F372" s="8" t="s">
        <v>195</v>
      </c>
      <c r="G372" s="8" t="s">
        <v>196</v>
      </c>
      <c r="H372" s="8" t="s">
        <v>1182</v>
      </c>
      <c r="I372" s="8" t="s">
        <v>47</v>
      </c>
      <c r="J372" s="9" t="n">
        <v>1640000</v>
      </c>
      <c r="K372" s="8" t="s">
        <v>48</v>
      </c>
      <c r="L372" s="9" t="n">
        <v>19911.83</v>
      </c>
      <c r="M372" s="9" t="n">
        <v>2488.98</v>
      </c>
      <c r="N372" s="9" t="n">
        <v>2488.98</v>
      </c>
      <c r="O372" s="9" t="n">
        <v>14933.9</v>
      </c>
      <c r="P372" s="9" t="n">
        <v>1493.39</v>
      </c>
      <c r="Q372" s="9" t="n">
        <v>1493.39</v>
      </c>
      <c r="R372" s="9" t="n">
        <v>1493.39</v>
      </c>
      <c r="S372" s="9" t="n">
        <v>1493.39</v>
      </c>
      <c r="T372" s="9" t="n">
        <v>1493.39</v>
      </c>
      <c r="U372" s="9" t="n">
        <v>1493.39</v>
      </c>
      <c r="V372" s="9" t="n">
        <v>1493.39</v>
      </c>
      <c r="W372" s="9" t="n">
        <v>1493.39</v>
      </c>
      <c r="X372" s="9" t="n">
        <v>1493.39</v>
      </c>
      <c r="Y372" s="9" t="n">
        <v>1493.39</v>
      </c>
      <c r="Z372" s="9" t="n">
        <v>350</v>
      </c>
      <c r="AA372" s="9" t="n">
        <v>250</v>
      </c>
      <c r="AB372" s="9" t="n">
        <v>600</v>
      </c>
    </row>
    <row r="373" customFormat="false" ht="15" hidden="false" customHeight="false" outlineLevel="0" collapsed="false">
      <c r="A373" s="3" t="s">
        <v>1183</v>
      </c>
      <c r="B373" s="3" t="s">
        <v>1184</v>
      </c>
      <c r="C373" s="3" t="s">
        <v>189</v>
      </c>
      <c r="D373" s="3" t="s">
        <v>190</v>
      </c>
      <c r="E373" s="3" t="n">
        <v>1957</v>
      </c>
      <c r="F373" s="3" t="s">
        <v>95</v>
      </c>
      <c r="G373" s="3" t="s">
        <v>96</v>
      </c>
      <c r="H373" s="3" t="s">
        <v>1185</v>
      </c>
      <c r="I373" s="3" t="s">
        <v>47</v>
      </c>
      <c r="J373" s="7" t="n">
        <v>1530000</v>
      </c>
      <c r="K373" s="3" t="s">
        <v>525</v>
      </c>
      <c r="L373" s="7" t="n">
        <v>23660.31</v>
      </c>
      <c r="M373" s="7" t="n">
        <v>2957.54</v>
      </c>
      <c r="N373" s="7" t="n">
        <v>2957.54</v>
      </c>
      <c r="O373" s="7" t="n">
        <v>17745.2</v>
      </c>
      <c r="P373" s="7" t="n">
        <v>1774.52</v>
      </c>
      <c r="Q373" s="7" t="n">
        <v>1774.52</v>
      </c>
      <c r="R373" s="7" t="n">
        <v>1774.52</v>
      </c>
      <c r="S373" s="7" t="n">
        <v>1774.52</v>
      </c>
      <c r="T373" s="7" t="n">
        <v>1774.52</v>
      </c>
      <c r="U373" s="7" t="n">
        <v>1774.52</v>
      </c>
      <c r="V373" s="7" t="n">
        <v>1774.52</v>
      </c>
      <c r="W373" s="7" t="n">
        <v>1774.52</v>
      </c>
      <c r="X373" s="7" t="n">
        <v>1774.52</v>
      </c>
      <c r="Y373" s="7" t="n">
        <v>1774.52</v>
      </c>
      <c r="Z373" s="7" t="n">
        <v>350</v>
      </c>
      <c r="AA373" s="7" t="n">
        <v>250</v>
      </c>
      <c r="AB373" s="7" t="n">
        <v>600</v>
      </c>
    </row>
    <row r="374" customFormat="false" ht="15" hidden="false" customHeight="false" outlineLevel="0" collapsed="false">
      <c r="A374" s="8" t="s">
        <v>1186</v>
      </c>
      <c r="B374" s="8" t="s">
        <v>580</v>
      </c>
      <c r="C374" s="8" t="s">
        <v>267</v>
      </c>
      <c r="D374" s="8" t="s">
        <v>268</v>
      </c>
      <c r="E374" s="8" t="n">
        <v>2009</v>
      </c>
      <c r="F374" s="8" t="s">
        <v>195</v>
      </c>
      <c r="G374" s="8" t="s">
        <v>196</v>
      </c>
      <c r="H374" s="8" t="s">
        <v>1187</v>
      </c>
      <c r="I374" s="8" t="s">
        <v>47</v>
      </c>
      <c r="J374" s="9" t="n">
        <v>540000</v>
      </c>
      <c r="K374" s="8" t="s">
        <v>228</v>
      </c>
      <c r="L374" s="9" t="n">
        <v>11391.63</v>
      </c>
      <c r="M374" s="9" t="n">
        <v>1423.95</v>
      </c>
      <c r="N374" s="9" t="n">
        <v>1423.95</v>
      </c>
      <c r="O374" s="9" t="n">
        <v>8543.7</v>
      </c>
      <c r="P374" s="9" t="n">
        <v>854.37</v>
      </c>
      <c r="Q374" s="9" t="n">
        <v>854.37</v>
      </c>
      <c r="R374" s="9" t="n">
        <v>854.37</v>
      </c>
      <c r="S374" s="9" t="n">
        <v>854.37</v>
      </c>
      <c r="T374" s="9" t="n">
        <v>854.37</v>
      </c>
      <c r="U374" s="9" t="n">
        <v>854.37</v>
      </c>
      <c r="V374" s="9" t="n">
        <v>854.37</v>
      </c>
      <c r="W374" s="9" t="n">
        <v>854.37</v>
      </c>
      <c r="X374" s="9" t="n">
        <v>854.37</v>
      </c>
      <c r="Y374" s="9" t="n">
        <v>854.37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1188</v>
      </c>
      <c r="B375" s="3" t="s">
        <v>1157</v>
      </c>
      <c r="C375" s="3" t="s">
        <v>304</v>
      </c>
      <c r="D375" s="3" t="s">
        <v>305</v>
      </c>
      <c r="E375" s="3" t="n">
        <v>1959</v>
      </c>
      <c r="F375" s="3" t="s">
        <v>62</v>
      </c>
      <c r="G375" s="3" t="s">
        <v>63</v>
      </c>
      <c r="H375" s="3" t="s">
        <v>1189</v>
      </c>
      <c r="I375" s="3" t="s">
        <v>56</v>
      </c>
      <c r="J375" s="7" t="n">
        <v>235000</v>
      </c>
      <c r="K375" s="3" t="s">
        <v>111</v>
      </c>
      <c r="L375" s="7" t="n">
        <v>3384.82</v>
      </c>
      <c r="M375" s="7" t="n">
        <v>423.1</v>
      </c>
      <c r="N375" s="7" t="n">
        <v>423.1</v>
      </c>
      <c r="O375" s="7" t="n">
        <v>2538.6</v>
      </c>
      <c r="P375" s="7" t="n">
        <v>253.86</v>
      </c>
      <c r="Q375" s="7" t="n">
        <v>253.86</v>
      </c>
      <c r="R375" s="7" t="n">
        <v>253.86</v>
      </c>
      <c r="S375" s="7" t="n">
        <v>253.86</v>
      </c>
      <c r="T375" s="7" t="n">
        <v>253.86</v>
      </c>
      <c r="U375" s="7" t="n">
        <v>253.86</v>
      </c>
      <c r="V375" s="7" t="n">
        <v>253.86</v>
      </c>
      <c r="W375" s="7" t="n">
        <v>253.86</v>
      </c>
      <c r="X375" s="7" t="n">
        <v>253.86</v>
      </c>
      <c r="Y375" s="7" t="n">
        <v>253.86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1190</v>
      </c>
      <c r="B376" s="8" t="s">
        <v>370</v>
      </c>
      <c r="C376" s="8" t="s">
        <v>177</v>
      </c>
      <c r="D376" s="8" t="s">
        <v>178</v>
      </c>
      <c r="E376" s="8" t="n">
        <v>1982</v>
      </c>
      <c r="F376" s="8" t="s">
        <v>44</v>
      </c>
      <c r="G376" s="8" t="s">
        <v>240</v>
      </c>
      <c r="H376" s="8" t="s">
        <v>1191</v>
      </c>
      <c r="I376" s="8" t="s">
        <v>47</v>
      </c>
      <c r="J376" s="9" t="n">
        <v>595000</v>
      </c>
      <c r="K376" s="8" t="s">
        <v>249</v>
      </c>
      <c r="L376" s="9" t="n">
        <v>10294.36</v>
      </c>
      <c r="M376" s="9" t="n">
        <v>1286.8</v>
      </c>
      <c r="N376" s="9" t="n">
        <v>1286.8</v>
      </c>
      <c r="O376" s="9" t="n">
        <v>7720.8</v>
      </c>
      <c r="P376" s="9" t="n">
        <v>772.08</v>
      </c>
      <c r="Q376" s="9" t="n">
        <v>772.08</v>
      </c>
      <c r="R376" s="9" t="n">
        <v>772.08</v>
      </c>
      <c r="S376" s="9" t="n">
        <v>772.08</v>
      </c>
      <c r="T376" s="9" t="n">
        <v>772.08</v>
      </c>
      <c r="U376" s="9" t="n">
        <v>772.08</v>
      </c>
      <c r="V376" s="9" t="n">
        <v>772.08</v>
      </c>
      <c r="W376" s="9" t="n">
        <v>772.08</v>
      </c>
      <c r="X376" s="9" t="n">
        <v>772.08</v>
      </c>
      <c r="Y376" s="9" t="n">
        <v>772.08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1192</v>
      </c>
      <c r="B377" s="3" t="s">
        <v>1193</v>
      </c>
      <c r="C377" s="3" t="s">
        <v>183</v>
      </c>
      <c r="D377" s="3" t="s">
        <v>184</v>
      </c>
      <c r="E377" s="3" t="n">
        <v>1997</v>
      </c>
      <c r="F377" s="3" t="s">
        <v>122</v>
      </c>
      <c r="G377" s="3" t="s">
        <v>123</v>
      </c>
      <c r="H377" s="3" t="s">
        <v>1194</v>
      </c>
      <c r="I377" s="3" t="s">
        <v>56</v>
      </c>
      <c r="J377" s="7" t="n">
        <v>430000</v>
      </c>
      <c r="K377" s="3" t="s">
        <v>994</v>
      </c>
      <c r="L377" s="7" t="n">
        <v>6491.63</v>
      </c>
      <c r="M377" s="7" t="n">
        <v>811.45</v>
      </c>
      <c r="N377" s="7" t="n">
        <v>811.45</v>
      </c>
      <c r="O377" s="7" t="n">
        <v>4868.7</v>
      </c>
      <c r="P377" s="7" t="n">
        <v>486.87</v>
      </c>
      <c r="Q377" s="7" t="n">
        <v>486.87</v>
      </c>
      <c r="R377" s="7" t="n">
        <v>486.87</v>
      </c>
      <c r="S377" s="7" t="n">
        <v>486.87</v>
      </c>
      <c r="T377" s="7" t="n">
        <v>486.87</v>
      </c>
      <c r="U377" s="7" t="n">
        <v>486.87</v>
      </c>
      <c r="V377" s="7" t="n">
        <v>486.87</v>
      </c>
      <c r="W377" s="7" t="n">
        <v>486.87</v>
      </c>
      <c r="X377" s="7" t="n">
        <v>486.87</v>
      </c>
      <c r="Y377" s="7" t="n">
        <v>486.87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1195</v>
      </c>
      <c r="B378" s="8" t="s">
        <v>709</v>
      </c>
      <c r="C378" s="8" t="s">
        <v>261</v>
      </c>
      <c r="D378" s="8" t="s">
        <v>262</v>
      </c>
      <c r="E378" s="8" t="n">
        <v>1974</v>
      </c>
      <c r="F378" s="8" t="s">
        <v>44</v>
      </c>
      <c r="G378" s="8" t="s">
        <v>76</v>
      </c>
      <c r="H378" s="8" t="s">
        <v>1196</v>
      </c>
      <c r="I378" s="8" t="s">
        <v>78</v>
      </c>
      <c r="J378" s="9" t="n">
        <v>810000</v>
      </c>
      <c r="K378" s="8" t="s">
        <v>322</v>
      </c>
      <c r="L378" s="9" t="n">
        <v>6955.32</v>
      </c>
      <c r="M378" s="9" t="n">
        <v>869.41</v>
      </c>
      <c r="N378" s="9" t="n">
        <v>869.41</v>
      </c>
      <c r="O378" s="9" t="n">
        <v>5216.5</v>
      </c>
      <c r="P378" s="9" t="n">
        <v>521.65</v>
      </c>
      <c r="Q378" s="9" t="n">
        <v>521.65</v>
      </c>
      <c r="R378" s="9" t="n">
        <v>521.65</v>
      </c>
      <c r="S378" s="9" t="n">
        <v>521.65</v>
      </c>
      <c r="T378" s="9" t="n">
        <v>521.65</v>
      </c>
      <c r="U378" s="9" t="n">
        <v>521.65</v>
      </c>
      <c r="V378" s="9" t="n">
        <v>521.65</v>
      </c>
      <c r="W378" s="9" t="n">
        <v>521.65</v>
      </c>
      <c r="X378" s="9" t="n">
        <v>521.65</v>
      </c>
      <c r="Y378" s="9" t="n">
        <v>521.65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1197</v>
      </c>
      <c r="B379" s="3" t="s">
        <v>1198</v>
      </c>
      <c r="C379" s="3" t="s">
        <v>114</v>
      </c>
      <c r="D379" s="3" t="s">
        <v>115</v>
      </c>
      <c r="E379" s="3" t="n">
        <v>1957</v>
      </c>
      <c r="F379" s="3" t="s">
        <v>83</v>
      </c>
      <c r="G379" s="3" t="s">
        <v>84</v>
      </c>
      <c r="H379" s="3" t="s">
        <v>1199</v>
      </c>
      <c r="I379" s="3" t="s">
        <v>56</v>
      </c>
      <c r="J379" s="7" t="n">
        <v>145000</v>
      </c>
      <c r="K379" s="3" t="s">
        <v>86</v>
      </c>
      <c r="L379" s="7" t="n">
        <v>2877.02</v>
      </c>
      <c r="M379" s="7" t="n">
        <v>359.63</v>
      </c>
      <c r="N379" s="7" t="n">
        <v>359.63</v>
      </c>
      <c r="O379" s="7" t="n">
        <v>2157.8</v>
      </c>
      <c r="P379" s="7" t="n">
        <v>215.78</v>
      </c>
      <c r="Q379" s="7" t="n">
        <v>215.78</v>
      </c>
      <c r="R379" s="7" t="n">
        <v>215.78</v>
      </c>
      <c r="S379" s="7" t="n">
        <v>215.78</v>
      </c>
      <c r="T379" s="7" t="n">
        <v>215.78</v>
      </c>
      <c r="U379" s="7" t="n">
        <v>215.78</v>
      </c>
      <c r="V379" s="7" t="n">
        <v>215.78</v>
      </c>
      <c r="W379" s="7" t="n">
        <v>215.78</v>
      </c>
      <c r="X379" s="7" t="n">
        <v>215.78</v>
      </c>
      <c r="Y379" s="7" t="n">
        <v>215.78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1200</v>
      </c>
      <c r="B380" s="8" t="s">
        <v>1201</v>
      </c>
      <c r="C380" s="8" t="s">
        <v>171</v>
      </c>
      <c r="D380" s="8" t="s">
        <v>172</v>
      </c>
      <c r="E380" s="8" t="n">
        <v>1956</v>
      </c>
      <c r="F380" s="8" t="s">
        <v>83</v>
      </c>
      <c r="G380" s="8" t="s">
        <v>84</v>
      </c>
      <c r="H380" s="8" t="s">
        <v>1202</v>
      </c>
      <c r="I380" s="8" t="s">
        <v>56</v>
      </c>
      <c r="J380" s="9" t="n">
        <v>855000</v>
      </c>
      <c r="K380" s="8" t="s">
        <v>292</v>
      </c>
      <c r="L380" s="9" t="n">
        <v>9499.86</v>
      </c>
      <c r="M380" s="9" t="n">
        <v>1187.48</v>
      </c>
      <c r="N380" s="9" t="n">
        <v>1187.48</v>
      </c>
      <c r="O380" s="9" t="n">
        <v>7124.9</v>
      </c>
      <c r="P380" s="9" t="n">
        <v>712.49</v>
      </c>
      <c r="Q380" s="9" t="n">
        <v>712.49</v>
      </c>
      <c r="R380" s="9" t="n">
        <v>712.49</v>
      </c>
      <c r="S380" s="9" t="n">
        <v>712.49</v>
      </c>
      <c r="T380" s="9" t="n">
        <v>712.49</v>
      </c>
      <c r="U380" s="9" t="n">
        <v>712.49</v>
      </c>
      <c r="V380" s="9" t="n">
        <v>712.49</v>
      </c>
      <c r="W380" s="9" t="n">
        <v>712.49</v>
      </c>
      <c r="X380" s="9" t="n">
        <v>712.49</v>
      </c>
      <c r="Y380" s="9" t="n">
        <v>712.49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1203</v>
      </c>
      <c r="B381" s="3" t="s">
        <v>1204</v>
      </c>
      <c r="C381" s="3" t="s">
        <v>177</v>
      </c>
      <c r="D381" s="3" t="s">
        <v>178</v>
      </c>
      <c r="E381" s="3" t="n">
        <v>1976</v>
      </c>
      <c r="F381" s="3" t="s">
        <v>83</v>
      </c>
      <c r="G381" s="3" t="s">
        <v>84</v>
      </c>
      <c r="H381" s="3" t="s">
        <v>1205</v>
      </c>
      <c r="I381" s="3" t="s">
        <v>56</v>
      </c>
      <c r="J381" s="7" t="n">
        <v>1105000</v>
      </c>
      <c r="K381" s="3" t="s">
        <v>432</v>
      </c>
      <c r="L381" s="7" t="n">
        <v>9417.82</v>
      </c>
      <c r="M381" s="7" t="n">
        <v>1177.23</v>
      </c>
      <c r="N381" s="7" t="n">
        <v>1177.23</v>
      </c>
      <c r="O381" s="7" t="n">
        <v>7063.4</v>
      </c>
      <c r="P381" s="7" t="n">
        <v>706.34</v>
      </c>
      <c r="Q381" s="7" t="n">
        <v>706.34</v>
      </c>
      <c r="R381" s="7" t="n">
        <v>706.34</v>
      </c>
      <c r="S381" s="7" t="n">
        <v>706.34</v>
      </c>
      <c r="T381" s="7" t="n">
        <v>706.34</v>
      </c>
      <c r="U381" s="7" t="n">
        <v>706.34</v>
      </c>
      <c r="V381" s="7" t="n">
        <v>706.34</v>
      </c>
      <c r="W381" s="7" t="n">
        <v>706.34</v>
      </c>
      <c r="X381" s="7" t="n">
        <v>706.34</v>
      </c>
      <c r="Y381" s="7" t="n">
        <v>706.34</v>
      </c>
      <c r="Z381" s="7" t="n">
        <v>350</v>
      </c>
      <c r="AA381" s="7" t="n">
        <v>250</v>
      </c>
      <c r="AB381" s="7" t="n">
        <v>600</v>
      </c>
    </row>
    <row r="382" customFormat="false" ht="15" hidden="false" customHeight="false" outlineLevel="0" collapsed="false">
      <c r="A382" s="8" t="s">
        <v>1206</v>
      </c>
      <c r="B382" s="8" t="s">
        <v>851</v>
      </c>
      <c r="C382" s="8" t="s">
        <v>507</v>
      </c>
      <c r="D382" s="8" t="s">
        <v>508</v>
      </c>
      <c r="E382" s="8" t="n">
        <v>2012</v>
      </c>
      <c r="F382" s="8" t="s">
        <v>107</v>
      </c>
      <c r="G382" s="8" t="s">
        <v>134</v>
      </c>
      <c r="H382" s="8" t="s">
        <v>1207</v>
      </c>
      <c r="I382" s="8" t="s">
        <v>56</v>
      </c>
      <c r="J382" s="9" t="n">
        <v>500000</v>
      </c>
      <c r="K382" s="8" t="s">
        <v>125</v>
      </c>
      <c r="L382" s="9" t="n">
        <v>7061.16</v>
      </c>
      <c r="M382" s="9" t="n">
        <v>882.64</v>
      </c>
      <c r="N382" s="9" t="n">
        <v>882.64</v>
      </c>
      <c r="O382" s="9" t="n">
        <v>5295.9</v>
      </c>
      <c r="P382" s="9" t="n">
        <v>529.59</v>
      </c>
      <c r="Q382" s="9" t="n">
        <v>529.59</v>
      </c>
      <c r="R382" s="9" t="n">
        <v>529.59</v>
      </c>
      <c r="S382" s="9" t="n">
        <v>529.59</v>
      </c>
      <c r="T382" s="9" t="n">
        <v>529.59</v>
      </c>
      <c r="U382" s="9" t="n">
        <v>529.59</v>
      </c>
      <c r="V382" s="9" t="n">
        <v>529.59</v>
      </c>
      <c r="W382" s="9" t="n">
        <v>529.59</v>
      </c>
      <c r="X382" s="9" t="n">
        <v>529.59</v>
      </c>
      <c r="Y382" s="9" t="n">
        <v>529.59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1208</v>
      </c>
      <c r="B383" s="3" t="s">
        <v>1209</v>
      </c>
      <c r="C383" s="3" t="s">
        <v>101</v>
      </c>
      <c r="D383" s="3" t="s">
        <v>102</v>
      </c>
      <c r="E383" s="3" t="n">
        <v>2017</v>
      </c>
      <c r="F383" s="3" t="s">
        <v>107</v>
      </c>
      <c r="G383" s="3" t="s">
        <v>134</v>
      </c>
      <c r="H383" s="3" t="s">
        <v>1210</v>
      </c>
      <c r="I383" s="3" t="s">
        <v>56</v>
      </c>
      <c r="J383" s="7" t="n">
        <v>760000</v>
      </c>
      <c r="K383" s="3" t="s">
        <v>90</v>
      </c>
      <c r="L383" s="7" t="n">
        <v>10101.61</v>
      </c>
      <c r="M383" s="7" t="n">
        <v>1262.7</v>
      </c>
      <c r="N383" s="7" t="n">
        <v>1262.7</v>
      </c>
      <c r="O383" s="7" t="n">
        <v>7576.2</v>
      </c>
      <c r="P383" s="7" t="n">
        <v>757.62</v>
      </c>
      <c r="Q383" s="7" t="n">
        <v>757.62</v>
      </c>
      <c r="R383" s="7" t="n">
        <v>757.62</v>
      </c>
      <c r="S383" s="7" t="n">
        <v>757.62</v>
      </c>
      <c r="T383" s="7" t="n">
        <v>757.62</v>
      </c>
      <c r="U383" s="7" t="n">
        <v>757.62</v>
      </c>
      <c r="V383" s="7" t="n">
        <v>757.62</v>
      </c>
      <c r="W383" s="7" t="n">
        <v>757.62</v>
      </c>
      <c r="X383" s="7" t="n">
        <v>757.62</v>
      </c>
      <c r="Y383" s="7" t="n">
        <v>757.62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1211</v>
      </c>
      <c r="B384" s="8" t="s">
        <v>1212</v>
      </c>
      <c r="C384" s="8" t="s">
        <v>208</v>
      </c>
      <c r="D384" s="8" t="s">
        <v>209</v>
      </c>
      <c r="E384" s="8" t="n">
        <v>2020</v>
      </c>
      <c r="F384" s="8" t="s">
        <v>95</v>
      </c>
      <c r="G384" s="8" t="s">
        <v>96</v>
      </c>
      <c r="H384" s="8" t="s">
        <v>1213</v>
      </c>
      <c r="I384" s="8" t="s">
        <v>47</v>
      </c>
      <c r="J384" s="9" t="n">
        <v>600000</v>
      </c>
      <c r="K384" s="8" t="s">
        <v>994</v>
      </c>
      <c r="L384" s="9" t="n">
        <v>11473.58</v>
      </c>
      <c r="M384" s="9" t="n">
        <v>1434.2</v>
      </c>
      <c r="N384" s="9" t="n">
        <v>1434.2</v>
      </c>
      <c r="O384" s="9" t="n">
        <v>8605.2</v>
      </c>
      <c r="P384" s="9" t="n">
        <v>860.52</v>
      </c>
      <c r="Q384" s="9" t="n">
        <v>860.52</v>
      </c>
      <c r="R384" s="9" t="n">
        <v>860.52</v>
      </c>
      <c r="S384" s="9" t="n">
        <v>860.52</v>
      </c>
      <c r="T384" s="9" t="n">
        <v>860.52</v>
      </c>
      <c r="U384" s="9" t="n">
        <v>860.52</v>
      </c>
      <c r="V384" s="9" t="n">
        <v>860.52</v>
      </c>
      <c r="W384" s="9" t="n">
        <v>860.52</v>
      </c>
      <c r="X384" s="9" t="n">
        <v>860.52</v>
      </c>
      <c r="Y384" s="9" t="n">
        <v>860.52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1214</v>
      </c>
      <c r="B385" s="3" t="s">
        <v>1215</v>
      </c>
      <c r="C385" s="3" t="s">
        <v>177</v>
      </c>
      <c r="D385" s="3" t="s">
        <v>178</v>
      </c>
      <c r="E385" s="3" t="n">
        <v>1959</v>
      </c>
      <c r="F385" s="3" t="s">
        <v>44</v>
      </c>
      <c r="G385" s="3" t="s">
        <v>45</v>
      </c>
      <c r="H385" s="3" t="s">
        <v>1216</v>
      </c>
      <c r="I385" s="3" t="s">
        <v>47</v>
      </c>
      <c r="J385" s="7" t="n">
        <v>910000</v>
      </c>
      <c r="K385" s="3" t="s">
        <v>142</v>
      </c>
      <c r="L385" s="7" t="n">
        <v>19611.33</v>
      </c>
      <c r="M385" s="7" t="n">
        <v>2451.42</v>
      </c>
      <c r="N385" s="7" t="n">
        <v>2451.42</v>
      </c>
      <c r="O385" s="7" t="n">
        <v>14708.5</v>
      </c>
      <c r="P385" s="7" t="n">
        <v>1470.85</v>
      </c>
      <c r="Q385" s="7" t="n">
        <v>1470.85</v>
      </c>
      <c r="R385" s="7" t="n">
        <v>1470.85</v>
      </c>
      <c r="S385" s="7" t="n">
        <v>1470.85</v>
      </c>
      <c r="T385" s="7" t="n">
        <v>1470.85</v>
      </c>
      <c r="U385" s="7" t="n">
        <v>1470.85</v>
      </c>
      <c r="V385" s="7" t="n">
        <v>1470.85</v>
      </c>
      <c r="W385" s="7" t="n">
        <v>1470.85</v>
      </c>
      <c r="X385" s="7" t="n">
        <v>1470.85</v>
      </c>
      <c r="Y385" s="7" t="n">
        <v>1470.85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1217</v>
      </c>
      <c r="B386" s="8" t="s">
        <v>352</v>
      </c>
      <c r="C386" s="8" t="s">
        <v>139</v>
      </c>
      <c r="D386" s="8" t="s">
        <v>140</v>
      </c>
      <c r="E386" s="8" t="n">
        <v>2014</v>
      </c>
      <c r="F386" s="8" t="s">
        <v>53</v>
      </c>
      <c r="G386" s="8" t="s">
        <v>54</v>
      </c>
      <c r="H386" s="8" t="s">
        <v>1218</v>
      </c>
      <c r="I386" s="8" t="s">
        <v>56</v>
      </c>
      <c r="J386" s="9" t="n">
        <v>230000</v>
      </c>
      <c r="K386" s="8" t="s">
        <v>994</v>
      </c>
      <c r="L386" s="9" t="n">
        <v>4259.32</v>
      </c>
      <c r="M386" s="9" t="n">
        <v>532.41</v>
      </c>
      <c r="N386" s="9" t="n">
        <v>532.41</v>
      </c>
      <c r="O386" s="9" t="n">
        <v>3194.5</v>
      </c>
      <c r="P386" s="9" t="n">
        <v>319.45</v>
      </c>
      <c r="Q386" s="9" t="n">
        <v>319.45</v>
      </c>
      <c r="R386" s="9" t="n">
        <v>319.45</v>
      </c>
      <c r="S386" s="9" t="n">
        <v>319.45</v>
      </c>
      <c r="T386" s="9" t="n">
        <v>319.45</v>
      </c>
      <c r="U386" s="9" t="n">
        <v>319.45</v>
      </c>
      <c r="V386" s="9" t="n">
        <v>319.45</v>
      </c>
      <c r="W386" s="9" t="n">
        <v>319.45</v>
      </c>
      <c r="X386" s="9" t="n">
        <v>319.45</v>
      </c>
      <c r="Y386" s="9" t="n">
        <v>319.45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1219</v>
      </c>
      <c r="B387" s="3" t="s">
        <v>1009</v>
      </c>
      <c r="C387" s="3" t="s">
        <v>68</v>
      </c>
      <c r="D387" s="3" t="s">
        <v>69</v>
      </c>
      <c r="E387" s="3" t="n">
        <v>2006</v>
      </c>
      <c r="F387" s="3" t="s">
        <v>122</v>
      </c>
      <c r="G387" s="3" t="s">
        <v>123</v>
      </c>
      <c r="H387" s="3" t="s">
        <v>1220</v>
      </c>
      <c r="I387" s="3" t="s">
        <v>56</v>
      </c>
      <c r="J387" s="7" t="n">
        <v>755000</v>
      </c>
      <c r="K387" s="3" t="s">
        <v>301</v>
      </c>
      <c r="L387" s="7" t="n">
        <v>7134.36</v>
      </c>
      <c r="M387" s="7" t="n">
        <v>891.79</v>
      </c>
      <c r="N387" s="7" t="n">
        <v>891.79</v>
      </c>
      <c r="O387" s="7" t="n">
        <v>5350.8</v>
      </c>
      <c r="P387" s="7" t="n">
        <v>535.08</v>
      </c>
      <c r="Q387" s="7" t="n">
        <v>535.08</v>
      </c>
      <c r="R387" s="7" t="n">
        <v>535.08</v>
      </c>
      <c r="S387" s="7" t="n">
        <v>535.08</v>
      </c>
      <c r="T387" s="7" t="n">
        <v>535.08</v>
      </c>
      <c r="U387" s="7" t="n">
        <v>535.08</v>
      </c>
      <c r="V387" s="7" t="n">
        <v>535.08</v>
      </c>
      <c r="W387" s="7" t="n">
        <v>535.08</v>
      </c>
      <c r="X387" s="7" t="n">
        <v>535.08</v>
      </c>
      <c r="Y387" s="7" t="n">
        <v>535.08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1221</v>
      </c>
      <c r="B388" s="8" t="s">
        <v>1212</v>
      </c>
      <c r="C388" s="8" t="s">
        <v>145</v>
      </c>
      <c r="D388" s="8" t="s">
        <v>146</v>
      </c>
      <c r="E388" s="8" t="n">
        <v>1965</v>
      </c>
      <c r="F388" s="8" t="s">
        <v>53</v>
      </c>
      <c r="G388" s="8" t="s">
        <v>54</v>
      </c>
      <c r="H388" s="8" t="s">
        <v>1222</v>
      </c>
      <c r="I388" s="8" t="s">
        <v>56</v>
      </c>
      <c r="J388" s="9" t="n">
        <v>320000</v>
      </c>
      <c r="K388" s="8" t="s">
        <v>232</v>
      </c>
      <c r="L388" s="9" t="n">
        <v>4217.52</v>
      </c>
      <c r="M388" s="9" t="n">
        <v>527.19</v>
      </c>
      <c r="N388" s="9" t="n">
        <v>527.19</v>
      </c>
      <c r="O388" s="9" t="n">
        <v>3163.1</v>
      </c>
      <c r="P388" s="9" t="n">
        <v>316.31</v>
      </c>
      <c r="Q388" s="9" t="n">
        <v>316.31</v>
      </c>
      <c r="R388" s="9" t="n">
        <v>316.31</v>
      </c>
      <c r="S388" s="9" t="n">
        <v>316.31</v>
      </c>
      <c r="T388" s="9" t="n">
        <v>316.31</v>
      </c>
      <c r="U388" s="9" t="n">
        <v>316.31</v>
      </c>
      <c r="V388" s="9" t="n">
        <v>316.31</v>
      </c>
      <c r="W388" s="9" t="n">
        <v>316.31</v>
      </c>
      <c r="X388" s="9" t="n">
        <v>316.31</v>
      </c>
      <c r="Y388" s="9" t="n">
        <v>316.31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1223</v>
      </c>
      <c r="B389" s="3" t="s">
        <v>1224</v>
      </c>
      <c r="C389" s="3" t="s">
        <v>507</v>
      </c>
      <c r="D389" s="3" t="s">
        <v>508</v>
      </c>
      <c r="E389" s="3" t="n">
        <v>2020</v>
      </c>
      <c r="F389" s="3" t="s">
        <v>53</v>
      </c>
      <c r="G389" s="3" t="s">
        <v>54</v>
      </c>
      <c r="H389" s="3" t="s">
        <v>1225</v>
      </c>
      <c r="I389" s="3" t="s">
        <v>56</v>
      </c>
      <c r="J389" s="7" t="n">
        <v>315000</v>
      </c>
      <c r="K389" s="3" t="s">
        <v>228</v>
      </c>
      <c r="L389" s="7" t="n">
        <v>5246.14</v>
      </c>
      <c r="M389" s="7" t="n">
        <v>655.77</v>
      </c>
      <c r="N389" s="7" t="n">
        <v>655.77</v>
      </c>
      <c r="O389" s="7" t="n">
        <v>3934.6</v>
      </c>
      <c r="P389" s="7" t="n">
        <v>393.46</v>
      </c>
      <c r="Q389" s="7" t="n">
        <v>393.46</v>
      </c>
      <c r="R389" s="7" t="n">
        <v>393.46</v>
      </c>
      <c r="S389" s="7" t="n">
        <v>393.46</v>
      </c>
      <c r="T389" s="7" t="n">
        <v>393.46</v>
      </c>
      <c r="U389" s="7" t="n">
        <v>393.46</v>
      </c>
      <c r="V389" s="7" t="n">
        <v>393.46</v>
      </c>
      <c r="W389" s="7" t="n">
        <v>393.46</v>
      </c>
      <c r="X389" s="7" t="n">
        <v>393.46</v>
      </c>
      <c r="Y389" s="7" t="n">
        <v>393.46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1226</v>
      </c>
      <c r="B390" s="8" t="s">
        <v>166</v>
      </c>
      <c r="C390" s="8" t="s">
        <v>81</v>
      </c>
      <c r="D390" s="8" t="s">
        <v>82</v>
      </c>
      <c r="E390" s="8" t="n">
        <v>1961</v>
      </c>
      <c r="F390" s="8" t="s">
        <v>122</v>
      </c>
      <c r="G390" s="8" t="s">
        <v>123</v>
      </c>
      <c r="H390" s="8" t="s">
        <v>1227</v>
      </c>
      <c r="I390" s="8" t="s">
        <v>56</v>
      </c>
      <c r="J390" s="9" t="n">
        <v>355000</v>
      </c>
      <c r="K390" s="8" t="s">
        <v>90</v>
      </c>
      <c r="L390" s="9" t="n">
        <v>5444.44</v>
      </c>
      <c r="M390" s="9" t="n">
        <v>680.55</v>
      </c>
      <c r="N390" s="9" t="n">
        <v>680.55</v>
      </c>
      <c r="O390" s="9" t="n">
        <v>4083.3</v>
      </c>
      <c r="P390" s="9" t="n">
        <v>408.33</v>
      </c>
      <c r="Q390" s="9" t="n">
        <v>408.33</v>
      </c>
      <c r="R390" s="9" t="n">
        <v>408.33</v>
      </c>
      <c r="S390" s="9" t="n">
        <v>408.33</v>
      </c>
      <c r="T390" s="9" t="n">
        <v>408.33</v>
      </c>
      <c r="U390" s="9" t="n">
        <v>408.33</v>
      </c>
      <c r="V390" s="9" t="n">
        <v>408.33</v>
      </c>
      <c r="W390" s="9" t="n">
        <v>408.33</v>
      </c>
      <c r="X390" s="9" t="n">
        <v>408.33</v>
      </c>
      <c r="Y390" s="9" t="n">
        <v>408.33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1228</v>
      </c>
      <c r="B391" s="3" t="s">
        <v>1229</v>
      </c>
      <c r="C391" s="3" t="s">
        <v>189</v>
      </c>
      <c r="D391" s="3" t="s">
        <v>190</v>
      </c>
      <c r="E391" s="3" t="n">
        <v>1969</v>
      </c>
      <c r="F391" s="3" t="s">
        <v>107</v>
      </c>
      <c r="G391" s="3" t="s">
        <v>108</v>
      </c>
      <c r="H391" s="3" t="s">
        <v>1230</v>
      </c>
      <c r="I391" s="3" t="s">
        <v>110</v>
      </c>
      <c r="J391" s="7" t="n">
        <v>365000</v>
      </c>
      <c r="K391" s="3" t="s">
        <v>136</v>
      </c>
      <c r="L391" s="7" t="n">
        <v>3796.01</v>
      </c>
      <c r="M391" s="7" t="n">
        <v>474.5</v>
      </c>
      <c r="N391" s="7" t="n">
        <v>474.5</v>
      </c>
      <c r="O391" s="7" t="n">
        <v>2847</v>
      </c>
      <c r="P391" s="7" t="n">
        <v>284.7</v>
      </c>
      <c r="Q391" s="7" t="n">
        <v>284.7</v>
      </c>
      <c r="R391" s="7" t="n">
        <v>284.7</v>
      </c>
      <c r="S391" s="7" t="n">
        <v>284.7</v>
      </c>
      <c r="T391" s="7" t="n">
        <v>284.7</v>
      </c>
      <c r="U391" s="7" t="n">
        <v>284.7</v>
      </c>
      <c r="V391" s="7" t="n">
        <v>284.7</v>
      </c>
      <c r="W391" s="7" t="n">
        <v>284.7</v>
      </c>
      <c r="X391" s="7" t="n">
        <v>284.7</v>
      </c>
      <c r="Y391" s="7" t="n">
        <v>284.7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1231</v>
      </c>
      <c r="B392" s="8" t="s">
        <v>1232</v>
      </c>
      <c r="C392" s="8" t="s">
        <v>51</v>
      </c>
      <c r="D392" s="8" t="s">
        <v>52</v>
      </c>
      <c r="E392" s="8" t="n">
        <v>1987</v>
      </c>
      <c r="F392" s="8" t="s">
        <v>477</v>
      </c>
      <c r="G392" s="8" t="s">
        <v>478</v>
      </c>
      <c r="H392" s="8" t="s">
        <v>1233</v>
      </c>
      <c r="I392" s="8" t="s">
        <v>110</v>
      </c>
      <c r="J392" s="9" t="n">
        <v>465000</v>
      </c>
      <c r="K392" s="8" t="s">
        <v>264</v>
      </c>
      <c r="L392" s="9" t="n">
        <v>3744.01</v>
      </c>
      <c r="M392" s="9" t="n">
        <v>468</v>
      </c>
      <c r="N392" s="9" t="n">
        <v>468</v>
      </c>
      <c r="O392" s="9" t="n">
        <v>2808</v>
      </c>
      <c r="P392" s="9" t="n">
        <v>280.8</v>
      </c>
      <c r="Q392" s="9" t="n">
        <v>280.8</v>
      </c>
      <c r="R392" s="9" t="n">
        <v>280.8</v>
      </c>
      <c r="S392" s="9" t="n">
        <v>280.8</v>
      </c>
      <c r="T392" s="9" t="n">
        <v>280.8</v>
      </c>
      <c r="U392" s="9" t="n">
        <v>280.8</v>
      </c>
      <c r="V392" s="9" t="n">
        <v>280.8</v>
      </c>
      <c r="W392" s="9" t="n">
        <v>280.8</v>
      </c>
      <c r="X392" s="9" t="n">
        <v>280.8</v>
      </c>
      <c r="Y392" s="9" t="n">
        <v>280.8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1234</v>
      </c>
      <c r="B393" s="3" t="s">
        <v>1235</v>
      </c>
      <c r="C393" s="3" t="s">
        <v>74</v>
      </c>
      <c r="D393" s="3" t="s">
        <v>75</v>
      </c>
      <c r="E393" s="3" t="n">
        <v>1970</v>
      </c>
      <c r="F393" s="3" t="s">
        <v>155</v>
      </c>
      <c r="G393" s="3" t="s">
        <v>191</v>
      </c>
      <c r="H393" s="3" t="s">
        <v>1236</v>
      </c>
      <c r="I393" s="3" t="s">
        <v>56</v>
      </c>
      <c r="J393" s="7" t="n">
        <v>725000</v>
      </c>
      <c r="K393" s="3" t="s">
        <v>228</v>
      </c>
      <c r="L393" s="7" t="n">
        <v>10464.53</v>
      </c>
      <c r="M393" s="7" t="n">
        <v>1308.07</v>
      </c>
      <c r="N393" s="7" t="n">
        <v>1308.07</v>
      </c>
      <c r="O393" s="7" t="n">
        <v>7848.4</v>
      </c>
      <c r="P393" s="7" t="n">
        <v>784.84</v>
      </c>
      <c r="Q393" s="7" t="n">
        <v>784.84</v>
      </c>
      <c r="R393" s="7" t="n">
        <v>784.84</v>
      </c>
      <c r="S393" s="7" t="n">
        <v>784.84</v>
      </c>
      <c r="T393" s="7" t="n">
        <v>784.84</v>
      </c>
      <c r="U393" s="7" t="n">
        <v>784.84</v>
      </c>
      <c r="V393" s="7" t="n">
        <v>784.84</v>
      </c>
      <c r="W393" s="7" t="n">
        <v>784.84</v>
      </c>
      <c r="X393" s="7" t="n">
        <v>784.84</v>
      </c>
      <c r="Y393" s="7" t="n">
        <v>784.84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1237</v>
      </c>
      <c r="B394" s="8" t="s">
        <v>303</v>
      </c>
      <c r="C394" s="8" t="s">
        <v>304</v>
      </c>
      <c r="D394" s="8" t="s">
        <v>305</v>
      </c>
      <c r="E394" s="8" t="n">
        <v>2003</v>
      </c>
      <c r="F394" s="8" t="s">
        <v>83</v>
      </c>
      <c r="G394" s="8" t="s">
        <v>84</v>
      </c>
      <c r="H394" s="8" t="s">
        <v>1238</v>
      </c>
      <c r="I394" s="8" t="s">
        <v>56</v>
      </c>
      <c r="J394" s="9" t="n">
        <v>135000</v>
      </c>
      <c r="K394" s="8" t="s">
        <v>164</v>
      </c>
      <c r="L394" s="9" t="n">
        <v>2023.83</v>
      </c>
      <c r="M394" s="9" t="n">
        <v>252.98</v>
      </c>
      <c r="N394" s="9" t="n">
        <v>252.98</v>
      </c>
      <c r="O394" s="9" t="n">
        <v>1517.9</v>
      </c>
      <c r="P394" s="9" t="n">
        <v>151.79</v>
      </c>
      <c r="Q394" s="9" t="n">
        <v>151.79</v>
      </c>
      <c r="R394" s="9" t="n">
        <v>151.79</v>
      </c>
      <c r="S394" s="9" t="n">
        <v>151.79</v>
      </c>
      <c r="T394" s="9" t="n">
        <v>151.79</v>
      </c>
      <c r="U394" s="9" t="n">
        <v>151.79</v>
      </c>
      <c r="V394" s="9" t="n">
        <v>151.79</v>
      </c>
      <c r="W394" s="9" t="n">
        <v>151.79</v>
      </c>
      <c r="X394" s="9" t="n">
        <v>151.79</v>
      </c>
      <c r="Y394" s="9" t="n">
        <v>151.79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1239</v>
      </c>
      <c r="B395" s="3" t="s">
        <v>1240</v>
      </c>
      <c r="C395" s="3" t="s">
        <v>153</v>
      </c>
      <c r="D395" s="3" t="s">
        <v>154</v>
      </c>
      <c r="E395" s="3" t="n">
        <v>1985</v>
      </c>
      <c r="F395" s="3" t="s">
        <v>44</v>
      </c>
      <c r="G395" s="3" t="s">
        <v>45</v>
      </c>
      <c r="H395" s="3" t="s">
        <v>1241</v>
      </c>
      <c r="I395" s="3" t="s">
        <v>47</v>
      </c>
      <c r="J395" s="7" t="n">
        <v>1620000</v>
      </c>
      <c r="K395" s="3" t="s">
        <v>168</v>
      </c>
      <c r="L395" s="7" t="n">
        <v>19876.05</v>
      </c>
      <c r="M395" s="7" t="n">
        <v>2484.51</v>
      </c>
      <c r="N395" s="7" t="n">
        <v>2484.51</v>
      </c>
      <c r="O395" s="7" t="n">
        <v>14907</v>
      </c>
      <c r="P395" s="7" t="n">
        <v>1490.7</v>
      </c>
      <c r="Q395" s="7" t="n">
        <v>1490.7</v>
      </c>
      <c r="R395" s="7" t="n">
        <v>1490.7</v>
      </c>
      <c r="S395" s="7" t="n">
        <v>1490.7</v>
      </c>
      <c r="T395" s="7" t="n">
        <v>1490.7</v>
      </c>
      <c r="U395" s="7" t="n">
        <v>1490.7</v>
      </c>
      <c r="V395" s="7" t="n">
        <v>1490.7</v>
      </c>
      <c r="W395" s="7" t="n">
        <v>1490.7</v>
      </c>
      <c r="X395" s="7" t="n">
        <v>1490.7</v>
      </c>
      <c r="Y395" s="7" t="n">
        <v>1490.7</v>
      </c>
      <c r="Z395" s="7" t="n">
        <v>350</v>
      </c>
      <c r="AA395" s="7" t="n">
        <v>250</v>
      </c>
      <c r="AB395" s="7" t="n">
        <v>600</v>
      </c>
    </row>
    <row r="396" customFormat="false" ht="15" hidden="false" customHeight="false" outlineLevel="0" collapsed="false">
      <c r="A396" s="8" t="s">
        <v>1242</v>
      </c>
      <c r="B396" s="8" t="s">
        <v>1243</v>
      </c>
      <c r="C396" s="8" t="s">
        <v>161</v>
      </c>
      <c r="D396" s="8" t="s">
        <v>162</v>
      </c>
      <c r="E396" s="8" t="n">
        <v>1996</v>
      </c>
      <c r="F396" s="8" t="s">
        <v>62</v>
      </c>
      <c r="G396" s="8" t="s">
        <v>63</v>
      </c>
      <c r="H396" s="8" t="s">
        <v>1244</v>
      </c>
      <c r="I396" s="8" t="s">
        <v>56</v>
      </c>
      <c r="J396" s="9" t="n">
        <v>575000</v>
      </c>
      <c r="K396" s="8" t="s">
        <v>186</v>
      </c>
      <c r="L396" s="9" t="n">
        <v>8060.63</v>
      </c>
      <c r="M396" s="9" t="n">
        <v>1007.58</v>
      </c>
      <c r="N396" s="9" t="n">
        <v>1007.58</v>
      </c>
      <c r="O396" s="9" t="n">
        <v>6045.5</v>
      </c>
      <c r="P396" s="9" t="n">
        <v>604.55</v>
      </c>
      <c r="Q396" s="9" t="n">
        <v>604.55</v>
      </c>
      <c r="R396" s="9" t="n">
        <v>604.55</v>
      </c>
      <c r="S396" s="9" t="n">
        <v>604.55</v>
      </c>
      <c r="T396" s="9" t="n">
        <v>604.55</v>
      </c>
      <c r="U396" s="9" t="n">
        <v>604.55</v>
      </c>
      <c r="V396" s="9" t="n">
        <v>604.55</v>
      </c>
      <c r="W396" s="9" t="n">
        <v>604.55</v>
      </c>
      <c r="X396" s="9" t="n">
        <v>604.55</v>
      </c>
      <c r="Y396" s="9" t="n">
        <v>604.55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1245</v>
      </c>
      <c r="B397" s="3" t="s">
        <v>670</v>
      </c>
      <c r="C397" s="3" t="s">
        <v>272</v>
      </c>
      <c r="D397" s="3" t="s">
        <v>273</v>
      </c>
      <c r="E397" s="3" t="n">
        <v>1977</v>
      </c>
      <c r="F397" s="3" t="s">
        <v>831</v>
      </c>
      <c r="G397" s="3" t="s">
        <v>832</v>
      </c>
      <c r="H397" s="3" t="s">
        <v>1246</v>
      </c>
      <c r="I397" s="3" t="s">
        <v>110</v>
      </c>
      <c r="J397" s="7" t="n">
        <v>470000</v>
      </c>
      <c r="K397" s="3" t="s">
        <v>86</v>
      </c>
      <c r="L397" s="7" t="n">
        <v>4257.3</v>
      </c>
      <c r="M397" s="7" t="n">
        <v>532.16</v>
      </c>
      <c r="N397" s="7" t="n">
        <v>532.16</v>
      </c>
      <c r="O397" s="7" t="n">
        <v>3193</v>
      </c>
      <c r="P397" s="7" t="n">
        <v>319.3</v>
      </c>
      <c r="Q397" s="7" t="n">
        <v>319.3</v>
      </c>
      <c r="R397" s="7" t="n">
        <v>319.3</v>
      </c>
      <c r="S397" s="7" t="n">
        <v>319.3</v>
      </c>
      <c r="T397" s="7" t="n">
        <v>319.3</v>
      </c>
      <c r="U397" s="7" t="n">
        <v>319.3</v>
      </c>
      <c r="V397" s="7" t="n">
        <v>319.3</v>
      </c>
      <c r="W397" s="7" t="n">
        <v>319.3</v>
      </c>
      <c r="X397" s="7" t="n">
        <v>319.3</v>
      </c>
      <c r="Y397" s="7" t="n">
        <v>319.3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1247</v>
      </c>
      <c r="B398" s="8" t="s">
        <v>1248</v>
      </c>
      <c r="C398" s="8" t="s">
        <v>153</v>
      </c>
      <c r="D398" s="8" t="s">
        <v>154</v>
      </c>
      <c r="E398" s="8" t="n">
        <v>2017</v>
      </c>
      <c r="F398" s="8" t="s">
        <v>155</v>
      </c>
      <c r="G398" s="8" t="s">
        <v>191</v>
      </c>
      <c r="H398" s="8" t="s">
        <v>1249</v>
      </c>
      <c r="I398" s="8" t="s">
        <v>56</v>
      </c>
      <c r="J398" s="9" t="n">
        <v>465000</v>
      </c>
      <c r="K398" s="8" t="s">
        <v>232</v>
      </c>
      <c r="L398" s="9" t="n">
        <v>6128.59</v>
      </c>
      <c r="M398" s="9" t="n">
        <v>766.07</v>
      </c>
      <c r="N398" s="9" t="n">
        <v>766.07</v>
      </c>
      <c r="O398" s="9" t="n">
        <v>4596.4</v>
      </c>
      <c r="P398" s="9" t="n">
        <v>459.64</v>
      </c>
      <c r="Q398" s="9" t="n">
        <v>459.64</v>
      </c>
      <c r="R398" s="9" t="n">
        <v>459.64</v>
      </c>
      <c r="S398" s="9" t="n">
        <v>459.64</v>
      </c>
      <c r="T398" s="9" t="n">
        <v>459.64</v>
      </c>
      <c r="U398" s="9" t="n">
        <v>459.64</v>
      </c>
      <c r="V398" s="9" t="n">
        <v>459.64</v>
      </c>
      <c r="W398" s="9" t="n">
        <v>459.64</v>
      </c>
      <c r="X398" s="9" t="n">
        <v>459.64</v>
      </c>
      <c r="Y398" s="9" t="n">
        <v>459.64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1250</v>
      </c>
      <c r="B399" s="3" t="s">
        <v>113</v>
      </c>
      <c r="C399" s="3" t="s">
        <v>304</v>
      </c>
      <c r="D399" s="3" t="s">
        <v>305</v>
      </c>
      <c r="E399" s="3" t="n">
        <v>1979</v>
      </c>
      <c r="F399" s="3" t="s">
        <v>62</v>
      </c>
      <c r="G399" s="3" t="s">
        <v>63</v>
      </c>
      <c r="H399" s="3" t="s">
        <v>1251</v>
      </c>
      <c r="I399" s="3" t="s">
        <v>56</v>
      </c>
      <c r="J399" s="7" t="n">
        <v>655000</v>
      </c>
      <c r="K399" s="3" t="s">
        <v>322</v>
      </c>
      <c r="L399" s="7" t="n">
        <v>8501.94</v>
      </c>
      <c r="M399" s="7" t="n">
        <v>1062.74</v>
      </c>
      <c r="N399" s="7" t="n">
        <v>1062.74</v>
      </c>
      <c r="O399" s="7" t="n">
        <v>6376.5</v>
      </c>
      <c r="P399" s="7" t="n">
        <v>637.65</v>
      </c>
      <c r="Q399" s="7" t="n">
        <v>637.65</v>
      </c>
      <c r="R399" s="7" t="n">
        <v>637.65</v>
      </c>
      <c r="S399" s="7" t="n">
        <v>637.65</v>
      </c>
      <c r="T399" s="7" t="n">
        <v>637.65</v>
      </c>
      <c r="U399" s="7" t="n">
        <v>637.65</v>
      </c>
      <c r="V399" s="7" t="n">
        <v>637.65</v>
      </c>
      <c r="W399" s="7" t="n">
        <v>637.65</v>
      </c>
      <c r="X399" s="7" t="n">
        <v>637.65</v>
      </c>
      <c r="Y399" s="7" t="n">
        <v>637.65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1252</v>
      </c>
      <c r="B400" s="8" t="s">
        <v>1253</v>
      </c>
      <c r="C400" s="8" t="s">
        <v>238</v>
      </c>
      <c r="D400" s="8" t="s">
        <v>239</v>
      </c>
      <c r="E400" s="8" t="n">
        <v>1972</v>
      </c>
      <c r="F400" s="8" t="s">
        <v>122</v>
      </c>
      <c r="G400" s="8" t="s">
        <v>123</v>
      </c>
      <c r="H400" s="8" t="s">
        <v>1254</v>
      </c>
      <c r="I400" s="8" t="s">
        <v>56</v>
      </c>
      <c r="J400" s="9" t="n">
        <v>735000</v>
      </c>
      <c r="K400" s="8" t="s">
        <v>465</v>
      </c>
      <c r="L400" s="9" t="n">
        <v>10150.93</v>
      </c>
      <c r="M400" s="9" t="n">
        <v>1268.87</v>
      </c>
      <c r="N400" s="9" t="n">
        <v>1268.87</v>
      </c>
      <c r="O400" s="9" t="n">
        <v>7613.2</v>
      </c>
      <c r="P400" s="9" t="n">
        <v>761.32</v>
      </c>
      <c r="Q400" s="9" t="n">
        <v>761.32</v>
      </c>
      <c r="R400" s="9" t="n">
        <v>761.32</v>
      </c>
      <c r="S400" s="9" t="n">
        <v>761.32</v>
      </c>
      <c r="T400" s="9" t="n">
        <v>761.32</v>
      </c>
      <c r="U400" s="9" t="n">
        <v>761.32</v>
      </c>
      <c r="V400" s="9" t="n">
        <v>761.32</v>
      </c>
      <c r="W400" s="9" t="n">
        <v>761.32</v>
      </c>
      <c r="X400" s="9" t="n">
        <v>761.32</v>
      </c>
      <c r="Y400" s="9" t="n">
        <v>761.32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1255</v>
      </c>
      <c r="B401" s="3" t="s">
        <v>1083</v>
      </c>
      <c r="C401" s="3" t="s">
        <v>183</v>
      </c>
      <c r="D401" s="3" t="s">
        <v>184</v>
      </c>
      <c r="E401" s="3" t="n">
        <v>2018</v>
      </c>
      <c r="F401" s="3" t="s">
        <v>107</v>
      </c>
      <c r="G401" s="3" t="s">
        <v>134</v>
      </c>
      <c r="H401" s="3" t="s">
        <v>1256</v>
      </c>
      <c r="I401" s="3" t="s">
        <v>56</v>
      </c>
      <c r="J401" s="7" t="n">
        <v>850000</v>
      </c>
      <c r="K401" s="3" t="s">
        <v>104</v>
      </c>
      <c r="L401" s="7" t="n">
        <v>9179.51</v>
      </c>
      <c r="M401" s="7" t="n">
        <v>1147.44</v>
      </c>
      <c r="N401" s="7" t="n">
        <v>1147.44</v>
      </c>
      <c r="O401" s="7" t="n">
        <v>6884.6</v>
      </c>
      <c r="P401" s="7" t="n">
        <v>688.46</v>
      </c>
      <c r="Q401" s="7" t="n">
        <v>688.46</v>
      </c>
      <c r="R401" s="7" t="n">
        <v>688.46</v>
      </c>
      <c r="S401" s="7" t="n">
        <v>688.46</v>
      </c>
      <c r="T401" s="7" t="n">
        <v>688.46</v>
      </c>
      <c r="U401" s="7" t="n">
        <v>688.46</v>
      </c>
      <c r="V401" s="7" t="n">
        <v>688.46</v>
      </c>
      <c r="W401" s="7" t="n">
        <v>688.46</v>
      </c>
      <c r="X401" s="7" t="n">
        <v>688.46</v>
      </c>
      <c r="Y401" s="7" t="n">
        <v>688.46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1257</v>
      </c>
      <c r="B402" s="8" t="s">
        <v>1258</v>
      </c>
      <c r="C402" s="8" t="s">
        <v>261</v>
      </c>
      <c r="D402" s="8" t="s">
        <v>262</v>
      </c>
      <c r="E402" s="8" t="n">
        <v>2007</v>
      </c>
      <c r="F402" s="8" t="s">
        <v>210</v>
      </c>
      <c r="G402" s="8" t="s">
        <v>211</v>
      </c>
      <c r="H402" s="8" t="s">
        <v>1259</v>
      </c>
      <c r="I402" s="8" t="s">
        <v>119</v>
      </c>
      <c r="J402" s="9" t="n">
        <v>350000</v>
      </c>
      <c r="K402" s="8" t="s">
        <v>278</v>
      </c>
      <c r="L402" s="9" t="n">
        <v>5855.33</v>
      </c>
      <c r="M402" s="9" t="n">
        <v>731.92</v>
      </c>
      <c r="N402" s="9" t="n">
        <v>731.92</v>
      </c>
      <c r="O402" s="9" t="n">
        <v>4391.5</v>
      </c>
      <c r="P402" s="9" t="n">
        <v>439.15</v>
      </c>
      <c r="Q402" s="9" t="n">
        <v>439.15</v>
      </c>
      <c r="R402" s="9" t="n">
        <v>439.15</v>
      </c>
      <c r="S402" s="9" t="n">
        <v>439.15</v>
      </c>
      <c r="T402" s="9" t="n">
        <v>439.15</v>
      </c>
      <c r="U402" s="9" t="n">
        <v>439.15</v>
      </c>
      <c r="V402" s="9" t="n">
        <v>439.15</v>
      </c>
      <c r="W402" s="9" t="n">
        <v>439.15</v>
      </c>
      <c r="X402" s="9" t="n">
        <v>439.15</v>
      </c>
      <c r="Y402" s="9" t="n">
        <v>439.15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1260</v>
      </c>
      <c r="B403" s="3" t="s">
        <v>851</v>
      </c>
      <c r="C403" s="3" t="s">
        <v>189</v>
      </c>
      <c r="D403" s="3" t="s">
        <v>190</v>
      </c>
      <c r="E403" s="3" t="n">
        <v>1993</v>
      </c>
      <c r="F403" s="3" t="s">
        <v>107</v>
      </c>
      <c r="G403" s="3" t="s">
        <v>134</v>
      </c>
      <c r="H403" s="3" t="s">
        <v>1261</v>
      </c>
      <c r="I403" s="3" t="s">
        <v>56</v>
      </c>
      <c r="J403" s="7" t="n">
        <v>320000</v>
      </c>
      <c r="K403" s="3" t="s">
        <v>762</v>
      </c>
      <c r="L403" s="7" t="n">
        <v>4179.18</v>
      </c>
      <c r="M403" s="7" t="n">
        <v>522.4</v>
      </c>
      <c r="N403" s="7" t="n">
        <v>522.4</v>
      </c>
      <c r="O403" s="7" t="n">
        <v>3134.4</v>
      </c>
      <c r="P403" s="7" t="n">
        <v>313.44</v>
      </c>
      <c r="Q403" s="7" t="n">
        <v>313.44</v>
      </c>
      <c r="R403" s="7" t="n">
        <v>313.44</v>
      </c>
      <c r="S403" s="7" t="n">
        <v>313.44</v>
      </c>
      <c r="T403" s="7" t="n">
        <v>313.44</v>
      </c>
      <c r="U403" s="7" t="n">
        <v>313.44</v>
      </c>
      <c r="V403" s="7" t="n">
        <v>313.44</v>
      </c>
      <c r="W403" s="7" t="n">
        <v>313.44</v>
      </c>
      <c r="X403" s="7" t="n">
        <v>313.44</v>
      </c>
      <c r="Y403" s="7" t="n">
        <v>313.44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1262</v>
      </c>
      <c r="B404" s="8" t="s">
        <v>1263</v>
      </c>
      <c r="C404" s="8" t="s">
        <v>261</v>
      </c>
      <c r="D404" s="8" t="s">
        <v>262</v>
      </c>
      <c r="E404" s="8" t="n">
        <v>2022</v>
      </c>
      <c r="F404" s="8" t="s">
        <v>225</v>
      </c>
      <c r="G404" s="8" t="s">
        <v>226</v>
      </c>
      <c r="H404" s="8" t="s">
        <v>1264</v>
      </c>
      <c r="I404" s="8" t="s">
        <v>78</v>
      </c>
      <c r="J404" s="9" t="n">
        <v>630000</v>
      </c>
      <c r="K404" s="8" t="s">
        <v>543</v>
      </c>
      <c r="L404" s="9" t="n">
        <v>5626.08</v>
      </c>
      <c r="M404" s="9" t="n">
        <v>703.26</v>
      </c>
      <c r="N404" s="9" t="n">
        <v>703.26</v>
      </c>
      <c r="O404" s="9" t="n">
        <v>4219.6</v>
      </c>
      <c r="P404" s="9" t="n">
        <v>421.96</v>
      </c>
      <c r="Q404" s="9" t="n">
        <v>421.96</v>
      </c>
      <c r="R404" s="9" t="n">
        <v>421.96</v>
      </c>
      <c r="S404" s="9" t="n">
        <v>421.96</v>
      </c>
      <c r="T404" s="9" t="n">
        <v>421.96</v>
      </c>
      <c r="U404" s="9" t="n">
        <v>421.96</v>
      </c>
      <c r="V404" s="9" t="n">
        <v>421.96</v>
      </c>
      <c r="W404" s="9" t="n">
        <v>421.96</v>
      </c>
      <c r="X404" s="9" t="n">
        <v>421.96</v>
      </c>
      <c r="Y404" s="9" t="n">
        <v>421.96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1265</v>
      </c>
      <c r="B405" s="3" t="s">
        <v>1266</v>
      </c>
      <c r="C405" s="3" t="s">
        <v>284</v>
      </c>
      <c r="D405" s="3" t="s">
        <v>285</v>
      </c>
      <c r="E405" s="3" t="n">
        <v>1979</v>
      </c>
      <c r="F405" s="3" t="s">
        <v>155</v>
      </c>
      <c r="G405" s="3" t="s">
        <v>191</v>
      </c>
      <c r="H405" s="3" t="s">
        <v>1267</v>
      </c>
      <c r="I405" s="3" t="s">
        <v>56</v>
      </c>
      <c r="J405" s="7" t="n">
        <v>1840000</v>
      </c>
      <c r="K405" s="3" t="s">
        <v>264</v>
      </c>
      <c r="L405" s="7" t="n">
        <v>19400.61</v>
      </c>
      <c r="M405" s="7" t="n">
        <v>2425.08</v>
      </c>
      <c r="N405" s="7" t="n">
        <v>2425.08</v>
      </c>
      <c r="O405" s="7" t="n">
        <v>14550.5</v>
      </c>
      <c r="P405" s="7" t="n">
        <v>1455.05</v>
      </c>
      <c r="Q405" s="7" t="n">
        <v>1455.05</v>
      </c>
      <c r="R405" s="7" t="n">
        <v>1455.05</v>
      </c>
      <c r="S405" s="7" t="n">
        <v>1455.05</v>
      </c>
      <c r="T405" s="7" t="n">
        <v>1455.05</v>
      </c>
      <c r="U405" s="7" t="n">
        <v>1455.05</v>
      </c>
      <c r="V405" s="7" t="n">
        <v>1455.05</v>
      </c>
      <c r="W405" s="7" t="n">
        <v>1455.05</v>
      </c>
      <c r="X405" s="7" t="n">
        <v>1455.05</v>
      </c>
      <c r="Y405" s="7" t="n">
        <v>1455.05</v>
      </c>
      <c r="Z405" s="7" t="n">
        <v>350</v>
      </c>
      <c r="AA405" s="7" t="n">
        <v>250</v>
      </c>
      <c r="AB405" s="7" t="n">
        <v>600</v>
      </c>
    </row>
    <row r="406" customFormat="false" ht="15" hidden="false" customHeight="false" outlineLevel="0" collapsed="false">
      <c r="A406" s="8" t="s">
        <v>1268</v>
      </c>
      <c r="B406" s="8" t="s">
        <v>1121</v>
      </c>
      <c r="C406" s="8" t="s">
        <v>183</v>
      </c>
      <c r="D406" s="8" t="s">
        <v>184</v>
      </c>
      <c r="E406" s="8" t="n">
        <v>2014</v>
      </c>
      <c r="F406" s="8" t="s">
        <v>107</v>
      </c>
      <c r="G406" s="8" t="s">
        <v>134</v>
      </c>
      <c r="H406" s="8" t="s">
        <v>1269</v>
      </c>
      <c r="I406" s="8" t="s">
        <v>56</v>
      </c>
      <c r="J406" s="9" t="n">
        <v>695000</v>
      </c>
      <c r="K406" s="8" t="s">
        <v>258</v>
      </c>
      <c r="L406" s="9" t="n">
        <v>7649.93</v>
      </c>
      <c r="M406" s="9" t="n">
        <v>956.24</v>
      </c>
      <c r="N406" s="9" t="n">
        <v>956.24</v>
      </c>
      <c r="O406" s="9" t="n">
        <v>5737.4</v>
      </c>
      <c r="P406" s="9" t="n">
        <v>573.74</v>
      </c>
      <c r="Q406" s="9" t="n">
        <v>573.74</v>
      </c>
      <c r="R406" s="9" t="n">
        <v>573.74</v>
      </c>
      <c r="S406" s="9" t="n">
        <v>573.74</v>
      </c>
      <c r="T406" s="9" t="n">
        <v>573.74</v>
      </c>
      <c r="U406" s="9" t="n">
        <v>573.74</v>
      </c>
      <c r="V406" s="9" t="n">
        <v>573.74</v>
      </c>
      <c r="W406" s="9" t="n">
        <v>573.74</v>
      </c>
      <c r="X406" s="9" t="n">
        <v>573.74</v>
      </c>
      <c r="Y406" s="9" t="n">
        <v>573.74</v>
      </c>
      <c r="Z406" s="9" t="n">
        <v>350</v>
      </c>
      <c r="AA406" s="9" t="n">
        <v>0</v>
      </c>
      <c r="AB406" s="9" t="n">
        <v>350</v>
      </c>
    </row>
    <row r="407" customFormat="false" ht="15" hidden="false" customHeight="false" outlineLevel="0" collapsed="false">
      <c r="A407" s="3" t="s">
        <v>1270</v>
      </c>
      <c r="B407" s="3" t="s">
        <v>406</v>
      </c>
      <c r="C407" s="3" t="s">
        <v>81</v>
      </c>
      <c r="D407" s="3" t="s">
        <v>82</v>
      </c>
      <c r="E407" s="3" t="n">
        <v>2005</v>
      </c>
      <c r="F407" s="3" t="s">
        <v>155</v>
      </c>
      <c r="G407" s="3" t="s">
        <v>156</v>
      </c>
      <c r="H407" s="3" t="s">
        <v>1271</v>
      </c>
      <c r="I407" s="3" t="s">
        <v>78</v>
      </c>
      <c r="J407" s="7" t="n">
        <v>630000</v>
      </c>
      <c r="K407" s="3" t="s">
        <v>205</v>
      </c>
      <c r="L407" s="7" t="n">
        <v>4371.03</v>
      </c>
      <c r="M407" s="7" t="n">
        <v>546.38</v>
      </c>
      <c r="N407" s="7" t="n">
        <v>546.38</v>
      </c>
      <c r="O407" s="7" t="n">
        <v>3278.3</v>
      </c>
      <c r="P407" s="7" t="n">
        <v>327.83</v>
      </c>
      <c r="Q407" s="7" t="n">
        <v>327.83</v>
      </c>
      <c r="R407" s="7" t="n">
        <v>327.83</v>
      </c>
      <c r="S407" s="7" t="n">
        <v>327.83</v>
      </c>
      <c r="T407" s="7" t="n">
        <v>327.83</v>
      </c>
      <c r="U407" s="7" t="n">
        <v>327.83</v>
      </c>
      <c r="V407" s="7" t="n">
        <v>327.83</v>
      </c>
      <c r="W407" s="7" t="n">
        <v>327.83</v>
      </c>
      <c r="X407" s="7" t="n">
        <v>327.83</v>
      </c>
      <c r="Y407" s="7" t="n">
        <v>327.83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1272</v>
      </c>
      <c r="B408" s="8" t="s">
        <v>961</v>
      </c>
      <c r="C408" s="8" t="s">
        <v>295</v>
      </c>
      <c r="D408" s="8" t="s">
        <v>296</v>
      </c>
      <c r="E408" s="8" t="n">
        <v>2006</v>
      </c>
      <c r="F408" s="8" t="s">
        <v>122</v>
      </c>
      <c r="G408" s="8" t="s">
        <v>123</v>
      </c>
      <c r="H408" s="8" t="s">
        <v>1273</v>
      </c>
      <c r="I408" s="8" t="s">
        <v>56</v>
      </c>
      <c r="J408" s="9" t="n">
        <v>480000</v>
      </c>
      <c r="K408" s="8" t="s">
        <v>275</v>
      </c>
      <c r="L408" s="9" t="n">
        <v>6613.84</v>
      </c>
      <c r="M408" s="9" t="n">
        <v>826.73</v>
      </c>
      <c r="N408" s="9" t="n">
        <v>826.73</v>
      </c>
      <c r="O408" s="9" t="n">
        <v>4960.4</v>
      </c>
      <c r="P408" s="9" t="n">
        <v>496.04</v>
      </c>
      <c r="Q408" s="9" t="n">
        <v>496.04</v>
      </c>
      <c r="R408" s="9" t="n">
        <v>496.04</v>
      </c>
      <c r="S408" s="9" t="n">
        <v>496.04</v>
      </c>
      <c r="T408" s="9" t="n">
        <v>496.04</v>
      </c>
      <c r="U408" s="9" t="n">
        <v>496.04</v>
      </c>
      <c r="V408" s="9" t="n">
        <v>496.04</v>
      </c>
      <c r="W408" s="9" t="n">
        <v>496.04</v>
      </c>
      <c r="X408" s="9" t="n">
        <v>496.04</v>
      </c>
      <c r="Y408" s="9" t="n">
        <v>496.04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1274</v>
      </c>
      <c r="B409" s="3" t="s">
        <v>1275</v>
      </c>
      <c r="C409" s="3" t="s">
        <v>267</v>
      </c>
      <c r="D409" s="3" t="s">
        <v>268</v>
      </c>
      <c r="E409" s="3" t="n">
        <v>1983</v>
      </c>
      <c r="F409" s="3" t="s">
        <v>122</v>
      </c>
      <c r="G409" s="3" t="s">
        <v>123</v>
      </c>
      <c r="H409" s="3" t="s">
        <v>1276</v>
      </c>
      <c r="I409" s="3" t="s">
        <v>56</v>
      </c>
      <c r="J409" s="7" t="n">
        <v>425000</v>
      </c>
      <c r="K409" s="3" t="s">
        <v>186</v>
      </c>
      <c r="L409" s="7" t="n">
        <v>6874.44</v>
      </c>
      <c r="M409" s="7" t="n">
        <v>859.3</v>
      </c>
      <c r="N409" s="7" t="n">
        <v>859.3</v>
      </c>
      <c r="O409" s="7" t="n">
        <v>5155.8</v>
      </c>
      <c r="P409" s="7" t="n">
        <v>515.58</v>
      </c>
      <c r="Q409" s="7" t="n">
        <v>515.58</v>
      </c>
      <c r="R409" s="7" t="n">
        <v>515.58</v>
      </c>
      <c r="S409" s="7" t="n">
        <v>515.58</v>
      </c>
      <c r="T409" s="7" t="n">
        <v>515.58</v>
      </c>
      <c r="U409" s="7" t="n">
        <v>515.58</v>
      </c>
      <c r="V409" s="7" t="n">
        <v>515.58</v>
      </c>
      <c r="W409" s="7" t="n">
        <v>515.58</v>
      </c>
      <c r="X409" s="7" t="n">
        <v>515.58</v>
      </c>
      <c r="Y409" s="7" t="n">
        <v>515.58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1277</v>
      </c>
      <c r="B410" s="8" t="s">
        <v>1278</v>
      </c>
      <c r="C410" s="8" t="s">
        <v>304</v>
      </c>
      <c r="D410" s="8" t="s">
        <v>305</v>
      </c>
      <c r="E410" s="8" t="n">
        <v>1983</v>
      </c>
      <c r="F410" s="8" t="s">
        <v>83</v>
      </c>
      <c r="G410" s="8" t="s">
        <v>84</v>
      </c>
      <c r="H410" s="8" t="s">
        <v>1279</v>
      </c>
      <c r="I410" s="8" t="s">
        <v>56</v>
      </c>
      <c r="J410" s="9" t="n">
        <v>180000</v>
      </c>
      <c r="K410" s="8" t="s">
        <v>228</v>
      </c>
      <c r="L410" s="9" t="n">
        <v>3677.29</v>
      </c>
      <c r="M410" s="9" t="n">
        <v>459.66</v>
      </c>
      <c r="N410" s="9" t="n">
        <v>459.66</v>
      </c>
      <c r="O410" s="9" t="n">
        <v>2758</v>
      </c>
      <c r="P410" s="9" t="n">
        <v>275.8</v>
      </c>
      <c r="Q410" s="9" t="n">
        <v>275.8</v>
      </c>
      <c r="R410" s="9" t="n">
        <v>275.8</v>
      </c>
      <c r="S410" s="9" t="n">
        <v>275.8</v>
      </c>
      <c r="T410" s="9" t="n">
        <v>275.8</v>
      </c>
      <c r="U410" s="9" t="n">
        <v>275.8</v>
      </c>
      <c r="V410" s="9" t="n">
        <v>275.8</v>
      </c>
      <c r="W410" s="9" t="n">
        <v>275.8</v>
      </c>
      <c r="X410" s="9" t="n">
        <v>275.8</v>
      </c>
      <c r="Y410" s="9" t="n">
        <v>275.8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1280</v>
      </c>
      <c r="B411" s="3" t="s">
        <v>1281</v>
      </c>
      <c r="C411" s="3" t="s">
        <v>261</v>
      </c>
      <c r="D411" s="3" t="s">
        <v>262</v>
      </c>
      <c r="E411" s="3" t="n">
        <v>1985</v>
      </c>
      <c r="F411" s="3" t="s">
        <v>44</v>
      </c>
      <c r="G411" s="3" t="s">
        <v>240</v>
      </c>
      <c r="H411" s="3" t="s">
        <v>1282</v>
      </c>
      <c r="I411" s="3" t="s">
        <v>47</v>
      </c>
      <c r="J411" s="7" t="n">
        <v>390000</v>
      </c>
      <c r="K411" s="3" t="s">
        <v>232</v>
      </c>
      <c r="L411" s="7" t="n">
        <v>7881.5</v>
      </c>
      <c r="M411" s="7" t="n">
        <v>985.19</v>
      </c>
      <c r="N411" s="7" t="n">
        <v>985.19</v>
      </c>
      <c r="O411" s="7" t="n">
        <v>5911.1</v>
      </c>
      <c r="P411" s="7" t="n">
        <v>591.11</v>
      </c>
      <c r="Q411" s="7" t="n">
        <v>591.11</v>
      </c>
      <c r="R411" s="7" t="n">
        <v>591.11</v>
      </c>
      <c r="S411" s="7" t="n">
        <v>591.11</v>
      </c>
      <c r="T411" s="7" t="n">
        <v>591.11</v>
      </c>
      <c r="U411" s="7" t="n">
        <v>591.11</v>
      </c>
      <c r="V411" s="7" t="n">
        <v>591.11</v>
      </c>
      <c r="W411" s="7" t="n">
        <v>591.11</v>
      </c>
      <c r="X411" s="7" t="n">
        <v>591.11</v>
      </c>
      <c r="Y411" s="7" t="n">
        <v>591.11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1283</v>
      </c>
      <c r="B412" s="8" t="s">
        <v>1110</v>
      </c>
      <c r="C412" s="8" t="s">
        <v>238</v>
      </c>
      <c r="D412" s="8" t="s">
        <v>239</v>
      </c>
      <c r="E412" s="8" t="n">
        <v>1969</v>
      </c>
      <c r="F412" s="8" t="s">
        <v>107</v>
      </c>
      <c r="G412" s="8" t="s">
        <v>134</v>
      </c>
      <c r="H412" s="8" t="s">
        <v>1284</v>
      </c>
      <c r="I412" s="8" t="s">
        <v>56</v>
      </c>
      <c r="J412" s="9" t="n">
        <v>795000</v>
      </c>
      <c r="K412" s="8" t="s">
        <v>142</v>
      </c>
      <c r="L412" s="9" t="n">
        <v>11722.56</v>
      </c>
      <c r="M412" s="9" t="n">
        <v>1465.32</v>
      </c>
      <c r="N412" s="9" t="n">
        <v>1465.32</v>
      </c>
      <c r="O412" s="9" t="n">
        <v>8791.9</v>
      </c>
      <c r="P412" s="9" t="n">
        <v>879.19</v>
      </c>
      <c r="Q412" s="9" t="n">
        <v>879.19</v>
      </c>
      <c r="R412" s="9" t="n">
        <v>879.19</v>
      </c>
      <c r="S412" s="9" t="n">
        <v>879.19</v>
      </c>
      <c r="T412" s="9" t="n">
        <v>879.19</v>
      </c>
      <c r="U412" s="9" t="n">
        <v>879.19</v>
      </c>
      <c r="V412" s="9" t="n">
        <v>879.19</v>
      </c>
      <c r="W412" s="9" t="n">
        <v>879.19</v>
      </c>
      <c r="X412" s="9" t="n">
        <v>879.19</v>
      </c>
      <c r="Y412" s="9" t="n">
        <v>879.19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1285</v>
      </c>
      <c r="B413" s="3" t="s">
        <v>779</v>
      </c>
      <c r="C413" s="3" t="s">
        <v>161</v>
      </c>
      <c r="D413" s="3" t="s">
        <v>162</v>
      </c>
      <c r="E413" s="3" t="n">
        <v>1974</v>
      </c>
      <c r="F413" s="3" t="s">
        <v>195</v>
      </c>
      <c r="G413" s="3" t="s">
        <v>196</v>
      </c>
      <c r="H413" s="3" t="s">
        <v>1286</v>
      </c>
      <c r="I413" s="3" t="s">
        <v>47</v>
      </c>
      <c r="J413" s="7" t="n">
        <v>1185000</v>
      </c>
      <c r="K413" s="3" t="s">
        <v>275</v>
      </c>
      <c r="L413" s="7" t="n">
        <v>17416.46</v>
      </c>
      <c r="M413" s="7" t="n">
        <v>2177.06</v>
      </c>
      <c r="N413" s="7" t="n">
        <v>2177.06</v>
      </c>
      <c r="O413" s="7" t="n">
        <v>13062.3</v>
      </c>
      <c r="P413" s="7" t="n">
        <v>1306.23</v>
      </c>
      <c r="Q413" s="7" t="n">
        <v>1306.23</v>
      </c>
      <c r="R413" s="7" t="n">
        <v>1306.23</v>
      </c>
      <c r="S413" s="7" t="n">
        <v>1306.23</v>
      </c>
      <c r="T413" s="7" t="n">
        <v>1306.23</v>
      </c>
      <c r="U413" s="7" t="n">
        <v>1306.23</v>
      </c>
      <c r="V413" s="7" t="n">
        <v>1306.23</v>
      </c>
      <c r="W413" s="7" t="n">
        <v>1306.23</v>
      </c>
      <c r="X413" s="7" t="n">
        <v>1306.23</v>
      </c>
      <c r="Y413" s="7" t="n">
        <v>1306.23</v>
      </c>
      <c r="Z413" s="7" t="n">
        <v>350</v>
      </c>
      <c r="AA413" s="7" t="n">
        <v>250</v>
      </c>
      <c r="AB413" s="7" t="n">
        <v>600</v>
      </c>
    </row>
    <row r="414" customFormat="false" ht="15" hidden="false" customHeight="false" outlineLevel="0" collapsed="false">
      <c r="A414" s="8" t="s">
        <v>1287</v>
      </c>
      <c r="B414" s="8" t="s">
        <v>1193</v>
      </c>
      <c r="C414" s="8" t="s">
        <v>60</v>
      </c>
      <c r="D414" s="8" t="s">
        <v>61</v>
      </c>
      <c r="E414" s="8" t="n">
        <v>1989</v>
      </c>
      <c r="F414" s="8" t="s">
        <v>53</v>
      </c>
      <c r="G414" s="8" t="s">
        <v>54</v>
      </c>
      <c r="H414" s="8" t="s">
        <v>1288</v>
      </c>
      <c r="I414" s="8" t="s">
        <v>56</v>
      </c>
      <c r="J414" s="9" t="n">
        <v>365000</v>
      </c>
      <c r="K414" s="8" t="s">
        <v>525</v>
      </c>
      <c r="L414" s="9" t="n">
        <v>5291.67</v>
      </c>
      <c r="M414" s="9" t="n">
        <v>661.46</v>
      </c>
      <c r="N414" s="9" t="n">
        <v>661.46</v>
      </c>
      <c r="O414" s="9" t="n">
        <v>3968.8</v>
      </c>
      <c r="P414" s="9" t="n">
        <v>396.88</v>
      </c>
      <c r="Q414" s="9" t="n">
        <v>396.88</v>
      </c>
      <c r="R414" s="9" t="n">
        <v>396.88</v>
      </c>
      <c r="S414" s="9" t="n">
        <v>396.88</v>
      </c>
      <c r="T414" s="9" t="n">
        <v>396.88</v>
      </c>
      <c r="U414" s="9" t="n">
        <v>396.88</v>
      </c>
      <c r="V414" s="9" t="n">
        <v>396.88</v>
      </c>
      <c r="W414" s="9" t="n">
        <v>396.88</v>
      </c>
      <c r="X414" s="9" t="n">
        <v>396.88</v>
      </c>
      <c r="Y414" s="9" t="n">
        <v>396.88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1289</v>
      </c>
      <c r="B415" s="3" t="s">
        <v>868</v>
      </c>
      <c r="C415" s="3" t="s">
        <v>272</v>
      </c>
      <c r="D415" s="3" t="s">
        <v>273</v>
      </c>
      <c r="E415" s="3" t="n">
        <v>2019</v>
      </c>
      <c r="F415" s="3" t="s">
        <v>122</v>
      </c>
      <c r="G415" s="3" t="s">
        <v>123</v>
      </c>
      <c r="H415" s="3" t="s">
        <v>1290</v>
      </c>
      <c r="I415" s="3" t="s">
        <v>56</v>
      </c>
      <c r="J415" s="7" t="n">
        <v>430000</v>
      </c>
      <c r="K415" s="3" t="s">
        <v>275</v>
      </c>
      <c r="L415" s="7" t="n">
        <v>5924.9</v>
      </c>
      <c r="M415" s="7" t="n">
        <v>740.61</v>
      </c>
      <c r="N415" s="7" t="n">
        <v>740.61</v>
      </c>
      <c r="O415" s="7" t="n">
        <v>4443.7</v>
      </c>
      <c r="P415" s="7" t="n">
        <v>444.37</v>
      </c>
      <c r="Q415" s="7" t="n">
        <v>444.37</v>
      </c>
      <c r="R415" s="7" t="n">
        <v>444.37</v>
      </c>
      <c r="S415" s="7" t="n">
        <v>444.37</v>
      </c>
      <c r="T415" s="7" t="n">
        <v>444.37</v>
      </c>
      <c r="U415" s="7" t="n">
        <v>444.37</v>
      </c>
      <c r="V415" s="7" t="n">
        <v>444.37</v>
      </c>
      <c r="W415" s="7" t="n">
        <v>444.37</v>
      </c>
      <c r="X415" s="7" t="n">
        <v>444.37</v>
      </c>
      <c r="Y415" s="7" t="n">
        <v>444.37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1291</v>
      </c>
      <c r="B416" s="8" t="s">
        <v>400</v>
      </c>
      <c r="C416" s="8" t="s">
        <v>272</v>
      </c>
      <c r="D416" s="8" t="s">
        <v>273</v>
      </c>
      <c r="E416" s="8" t="n">
        <v>2024</v>
      </c>
      <c r="F416" s="8" t="s">
        <v>44</v>
      </c>
      <c r="G416" s="8" t="s">
        <v>45</v>
      </c>
      <c r="H416" s="8" t="s">
        <v>1292</v>
      </c>
      <c r="I416" s="8" t="s">
        <v>47</v>
      </c>
      <c r="J416" s="9" t="n">
        <v>615000</v>
      </c>
      <c r="K416" s="8" t="s">
        <v>174</v>
      </c>
      <c r="L416" s="9" t="n">
        <v>8680.31</v>
      </c>
      <c r="M416" s="9" t="n">
        <v>1085.04</v>
      </c>
      <c r="N416" s="9" t="n">
        <v>1085.04</v>
      </c>
      <c r="O416" s="9" t="n">
        <v>6510.2</v>
      </c>
      <c r="P416" s="9" t="n">
        <v>651.02</v>
      </c>
      <c r="Q416" s="9" t="n">
        <v>651.02</v>
      </c>
      <c r="R416" s="9" t="n">
        <v>651.02</v>
      </c>
      <c r="S416" s="9" t="n">
        <v>651.02</v>
      </c>
      <c r="T416" s="9" t="n">
        <v>651.02</v>
      </c>
      <c r="U416" s="9" t="n">
        <v>651.02</v>
      </c>
      <c r="V416" s="9" t="n">
        <v>651.02</v>
      </c>
      <c r="W416" s="9" t="n">
        <v>651.02</v>
      </c>
      <c r="X416" s="9" t="n">
        <v>651.02</v>
      </c>
      <c r="Y416" s="9" t="n">
        <v>651.02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1293</v>
      </c>
      <c r="B417" s="3" t="s">
        <v>1294</v>
      </c>
      <c r="C417" s="3" t="s">
        <v>330</v>
      </c>
      <c r="D417" s="3" t="s">
        <v>331</v>
      </c>
      <c r="E417" s="3" t="n">
        <v>1957</v>
      </c>
      <c r="F417" s="3" t="s">
        <v>95</v>
      </c>
      <c r="G417" s="3" t="s">
        <v>96</v>
      </c>
      <c r="H417" s="3" t="s">
        <v>1295</v>
      </c>
      <c r="I417" s="3" t="s">
        <v>47</v>
      </c>
      <c r="J417" s="7" t="n">
        <v>1575000</v>
      </c>
      <c r="K417" s="3" t="s">
        <v>86</v>
      </c>
      <c r="L417" s="7" t="n">
        <v>27174.28</v>
      </c>
      <c r="M417" s="7" t="n">
        <v>3396.78</v>
      </c>
      <c r="N417" s="7" t="n">
        <v>3396.78</v>
      </c>
      <c r="O417" s="7" t="n">
        <v>20380.7</v>
      </c>
      <c r="P417" s="7" t="n">
        <v>2038.07</v>
      </c>
      <c r="Q417" s="7" t="n">
        <v>2038.07</v>
      </c>
      <c r="R417" s="7" t="n">
        <v>2038.07</v>
      </c>
      <c r="S417" s="7" t="n">
        <v>2038.07</v>
      </c>
      <c r="T417" s="7" t="n">
        <v>2038.07</v>
      </c>
      <c r="U417" s="7" t="n">
        <v>2038.07</v>
      </c>
      <c r="V417" s="7" t="n">
        <v>2038.07</v>
      </c>
      <c r="W417" s="7" t="n">
        <v>2038.07</v>
      </c>
      <c r="X417" s="7" t="n">
        <v>2038.07</v>
      </c>
      <c r="Y417" s="7" t="n">
        <v>2038.07</v>
      </c>
      <c r="Z417" s="7" t="n">
        <v>350</v>
      </c>
      <c r="AA417" s="7" t="n">
        <v>250</v>
      </c>
      <c r="AB417" s="7" t="n">
        <v>600</v>
      </c>
    </row>
    <row r="418" customFormat="false" ht="15" hidden="false" customHeight="false" outlineLevel="0" collapsed="false">
      <c r="A418" s="8" t="s">
        <v>1296</v>
      </c>
      <c r="B418" s="8" t="s">
        <v>529</v>
      </c>
      <c r="C418" s="8" t="s">
        <v>74</v>
      </c>
      <c r="D418" s="8" t="s">
        <v>75</v>
      </c>
      <c r="E418" s="8" t="n">
        <v>1991</v>
      </c>
      <c r="F418" s="8" t="s">
        <v>225</v>
      </c>
      <c r="G418" s="8" t="s">
        <v>226</v>
      </c>
      <c r="H418" s="8" t="s">
        <v>1297</v>
      </c>
      <c r="I418" s="8" t="s">
        <v>78</v>
      </c>
      <c r="J418" s="9" t="n">
        <v>820000</v>
      </c>
      <c r="K418" s="8" t="s">
        <v>158</v>
      </c>
      <c r="L418" s="9" t="n">
        <v>5576.62</v>
      </c>
      <c r="M418" s="9" t="n">
        <v>697.08</v>
      </c>
      <c r="N418" s="9" t="n">
        <v>697.08</v>
      </c>
      <c r="O418" s="9" t="n">
        <v>4182.5</v>
      </c>
      <c r="P418" s="9" t="n">
        <v>418.25</v>
      </c>
      <c r="Q418" s="9" t="n">
        <v>418.25</v>
      </c>
      <c r="R418" s="9" t="n">
        <v>418.25</v>
      </c>
      <c r="S418" s="9" t="n">
        <v>418.25</v>
      </c>
      <c r="T418" s="9" t="n">
        <v>418.25</v>
      </c>
      <c r="U418" s="9" t="n">
        <v>418.25</v>
      </c>
      <c r="V418" s="9" t="n">
        <v>418.25</v>
      </c>
      <c r="W418" s="9" t="n">
        <v>418.25</v>
      </c>
      <c r="X418" s="9" t="n">
        <v>418.25</v>
      </c>
      <c r="Y418" s="9" t="n">
        <v>418.25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1298</v>
      </c>
      <c r="B419" s="3" t="s">
        <v>1299</v>
      </c>
      <c r="C419" s="3" t="s">
        <v>145</v>
      </c>
      <c r="D419" s="3" t="s">
        <v>146</v>
      </c>
      <c r="E419" s="3" t="n">
        <v>1972</v>
      </c>
      <c r="F419" s="3" t="s">
        <v>83</v>
      </c>
      <c r="G419" s="3" t="s">
        <v>84</v>
      </c>
      <c r="H419" s="3" t="s">
        <v>1300</v>
      </c>
      <c r="I419" s="3" t="s">
        <v>56</v>
      </c>
      <c r="J419" s="7" t="n">
        <v>495000</v>
      </c>
      <c r="K419" s="3" t="s">
        <v>125</v>
      </c>
      <c r="L419" s="7" t="n">
        <v>8066.02</v>
      </c>
      <c r="M419" s="7" t="n">
        <v>1008.25</v>
      </c>
      <c r="N419" s="7" t="n">
        <v>1008.25</v>
      </c>
      <c r="O419" s="7" t="n">
        <v>6049.5</v>
      </c>
      <c r="P419" s="7" t="n">
        <v>604.95</v>
      </c>
      <c r="Q419" s="7" t="n">
        <v>604.95</v>
      </c>
      <c r="R419" s="7" t="n">
        <v>604.95</v>
      </c>
      <c r="S419" s="7" t="n">
        <v>604.95</v>
      </c>
      <c r="T419" s="7" t="n">
        <v>604.95</v>
      </c>
      <c r="U419" s="7" t="n">
        <v>604.95</v>
      </c>
      <c r="V419" s="7" t="n">
        <v>604.95</v>
      </c>
      <c r="W419" s="7" t="n">
        <v>604.95</v>
      </c>
      <c r="X419" s="7" t="n">
        <v>604.95</v>
      </c>
      <c r="Y419" s="7" t="n">
        <v>604.95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1301</v>
      </c>
      <c r="B420" s="8" t="s">
        <v>1302</v>
      </c>
      <c r="C420" s="8" t="s">
        <v>208</v>
      </c>
      <c r="D420" s="8" t="s">
        <v>209</v>
      </c>
      <c r="E420" s="8" t="n">
        <v>1980</v>
      </c>
      <c r="F420" s="8" t="s">
        <v>44</v>
      </c>
      <c r="G420" s="8" t="s">
        <v>45</v>
      </c>
      <c r="H420" s="8" t="s">
        <v>1303</v>
      </c>
      <c r="I420" s="8" t="s">
        <v>47</v>
      </c>
      <c r="J420" s="9" t="n">
        <v>880000</v>
      </c>
      <c r="K420" s="8" t="s">
        <v>525</v>
      </c>
      <c r="L420" s="9" t="n">
        <v>16160.15</v>
      </c>
      <c r="M420" s="9" t="n">
        <v>2020.02</v>
      </c>
      <c r="N420" s="9" t="n">
        <v>2020.02</v>
      </c>
      <c r="O420" s="9" t="n">
        <v>12120.1</v>
      </c>
      <c r="P420" s="9" t="n">
        <v>1212.01</v>
      </c>
      <c r="Q420" s="9" t="n">
        <v>1212.01</v>
      </c>
      <c r="R420" s="9" t="n">
        <v>1212.01</v>
      </c>
      <c r="S420" s="9" t="n">
        <v>1212.01</v>
      </c>
      <c r="T420" s="9" t="n">
        <v>1212.01</v>
      </c>
      <c r="U420" s="9" t="n">
        <v>1212.01</v>
      </c>
      <c r="V420" s="9" t="n">
        <v>1212.01</v>
      </c>
      <c r="W420" s="9" t="n">
        <v>1212.01</v>
      </c>
      <c r="X420" s="9" t="n">
        <v>1212.01</v>
      </c>
      <c r="Y420" s="9" t="n">
        <v>1212.01</v>
      </c>
      <c r="Z420" s="9" t="n">
        <v>350</v>
      </c>
      <c r="AA420" s="9" t="n">
        <v>0</v>
      </c>
      <c r="AB420" s="9" t="n">
        <v>350</v>
      </c>
    </row>
    <row r="421" customFormat="false" ht="15" hidden="false" customHeight="false" outlineLevel="0" collapsed="false">
      <c r="A421" s="3" t="s">
        <v>1304</v>
      </c>
      <c r="B421" s="3" t="s">
        <v>1305</v>
      </c>
      <c r="C421" s="3" t="s">
        <v>114</v>
      </c>
      <c r="D421" s="3" t="s">
        <v>115</v>
      </c>
      <c r="E421" s="3" t="n">
        <v>2018</v>
      </c>
      <c r="F421" s="3" t="s">
        <v>107</v>
      </c>
      <c r="G421" s="3" t="s">
        <v>134</v>
      </c>
      <c r="H421" s="3" t="s">
        <v>1306</v>
      </c>
      <c r="I421" s="3" t="s">
        <v>56</v>
      </c>
      <c r="J421" s="7" t="n">
        <v>435000</v>
      </c>
      <c r="K421" s="3" t="s">
        <v>136</v>
      </c>
      <c r="L421" s="7" t="n">
        <v>8078.59</v>
      </c>
      <c r="M421" s="7" t="n">
        <v>1009.82</v>
      </c>
      <c r="N421" s="7" t="n">
        <v>1009.82</v>
      </c>
      <c r="O421" s="7" t="n">
        <v>6058.9</v>
      </c>
      <c r="P421" s="7" t="n">
        <v>605.89</v>
      </c>
      <c r="Q421" s="7" t="n">
        <v>605.89</v>
      </c>
      <c r="R421" s="7" t="n">
        <v>605.89</v>
      </c>
      <c r="S421" s="7" t="n">
        <v>605.89</v>
      </c>
      <c r="T421" s="7" t="n">
        <v>605.89</v>
      </c>
      <c r="U421" s="7" t="n">
        <v>605.89</v>
      </c>
      <c r="V421" s="7" t="n">
        <v>605.89</v>
      </c>
      <c r="W421" s="7" t="n">
        <v>605.89</v>
      </c>
      <c r="X421" s="7" t="n">
        <v>605.89</v>
      </c>
      <c r="Y421" s="7" t="n">
        <v>605.89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1307</v>
      </c>
      <c r="B422" s="8" t="s">
        <v>1308</v>
      </c>
      <c r="C422" s="8" t="s">
        <v>330</v>
      </c>
      <c r="D422" s="8" t="s">
        <v>331</v>
      </c>
      <c r="E422" s="8" t="n">
        <v>1998</v>
      </c>
      <c r="F422" s="8" t="s">
        <v>155</v>
      </c>
      <c r="G422" s="8" t="s">
        <v>191</v>
      </c>
      <c r="H422" s="8" t="s">
        <v>1309</v>
      </c>
      <c r="I422" s="8" t="s">
        <v>56</v>
      </c>
      <c r="J422" s="9" t="n">
        <v>225000</v>
      </c>
      <c r="K422" s="8" t="s">
        <v>158</v>
      </c>
      <c r="L422" s="9" t="n">
        <v>3273.85</v>
      </c>
      <c r="M422" s="9" t="n">
        <v>409.23</v>
      </c>
      <c r="N422" s="9" t="n">
        <v>409.23</v>
      </c>
      <c r="O422" s="9" t="n">
        <v>2455.4</v>
      </c>
      <c r="P422" s="9" t="n">
        <v>245.54</v>
      </c>
      <c r="Q422" s="9" t="n">
        <v>245.54</v>
      </c>
      <c r="R422" s="9" t="n">
        <v>245.54</v>
      </c>
      <c r="S422" s="9" t="n">
        <v>245.54</v>
      </c>
      <c r="T422" s="9" t="n">
        <v>245.54</v>
      </c>
      <c r="U422" s="9" t="n">
        <v>245.54</v>
      </c>
      <c r="V422" s="9" t="n">
        <v>245.54</v>
      </c>
      <c r="W422" s="9" t="n">
        <v>245.54</v>
      </c>
      <c r="X422" s="9" t="n">
        <v>245.54</v>
      </c>
      <c r="Y422" s="9" t="n">
        <v>245.54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1310</v>
      </c>
      <c r="B423" s="3" t="s">
        <v>718</v>
      </c>
      <c r="C423" s="3" t="s">
        <v>114</v>
      </c>
      <c r="D423" s="3" t="s">
        <v>115</v>
      </c>
      <c r="E423" s="3" t="n">
        <v>1981</v>
      </c>
      <c r="F423" s="3" t="s">
        <v>147</v>
      </c>
      <c r="G423" s="3" t="s">
        <v>148</v>
      </c>
      <c r="H423" s="3" t="s">
        <v>1311</v>
      </c>
      <c r="I423" s="3" t="s">
        <v>119</v>
      </c>
      <c r="J423" s="7" t="n">
        <v>1950000</v>
      </c>
      <c r="K423" s="3" t="s">
        <v>525</v>
      </c>
      <c r="L423" s="7" t="n">
        <v>25632.01</v>
      </c>
      <c r="M423" s="7" t="n">
        <v>3204</v>
      </c>
      <c r="N423" s="7" t="n">
        <v>3204</v>
      </c>
      <c r="O423" s="7" t="n">
        <v>19224</v>
      </c>
      <c r="P423" s="7" t="n">
        <v>1922.4</v>
      </c>
      <c r="Q423" s="7" t="n">
        <v>1922.4</v>
      </c>
      <c r="R423" s="7" t="n">
        <v>1922.4</v>
      </c>
      <c r="S423" s="7" t="n">
        <v>1922.4</v>
      </c>
      <c r="T423" s="7" t="n">
        <v>1922.4</v>
      </c>
      <c r="U423" s="7" t="n">
        <v>1922.4</v>
      </c>
      <c r="V423" s="7" t="n">
        <v>1922.4</v>
      </c>
      <c r="W423" s="7" t="n">
        <v>1922.4</v>
      </c>
      <c r="X423" s="7" t="n">
        <v>1922.4</v>
      </c>
      <c r="Y423" s="7" t="n">
        <v>1922.4</v>
      </c>
      <c r="Z423" s="7" t="n">
        <v>350</v>
      </c>
      <c r="AA423" s="7" t="n">
        <v>250</v>
      </c>
      <c r="AB423" s="7" t="n">
        <v>600</v>
      </c>
    </row>
    <row r="424" customFormat="false" ht="15" hidden="false" customHeight="false" outlineLevel="0" collapsed="false">
      <c r="A424" s="8" t="s">
        <v>1312</v>
      </c>
      <c r="B424" s="8" t="s">
        <v>1313</v>
      </c>
      <c r="C424" s="8" t="s">
        <v>74</v>
      </c>
      <c r="D424" s="8" t="s">
        <v>75</v>
      </c>
      <c r="E424" s="8" t="n">
        <v>2021</v>
      </c>
      <c r="F424" s="8" t="s">
        <v>195</v>
      </c>
      <c r="G424" s="8" t="s">
        <v>196</v>
      </c>
      <c r="H424" s="8" t="s">
        <v>1314</v>
      </c>
      <c r="I424" s="8" t="s">
        <v>47</v>
      </c>
      <c r="J424" s="9" t="n">
        <v>1130000</v>
      </c>
      <c r="K424" s="8" t="s">
        <v>213</v>
      </c>
      <c r="L424" s="9" t="n">
        <v>19785.3</v>
      </c>
      <c r="M424" s="9" t="n">
        <v>2473.16</v>
      </c>
      <c r="N424" s="9" t="n">
        <v>2473.16</v>
      </c>
      <c r="O424" s="9" t="n">
        <v>14839</v>
      </c>
      <c r="P424" s="9" t="n">
        <v>1483.9</v>
      </c>
      <c r="Q424" s="9" t="n">
        <v>1483.9</v>
      </c>
      <c r="R424" s="9" t="n">
        <v>1483.9</v>
      </c>
      <c r="S424" s="9" t="n">
        <v>1483.9</v>
      </c>
      <c r="T424" s="9" t="n">
        <v>1483.9</v>
      </c>
      <c r="U424" s="9" t="n">
        <v>1483.9</v>
      </c>
      <c r="V424" s="9" t="n">
        <v>1483.9</v>
      </c>
      <c r="W424" s="9" t="n">
        <v>1483.9</v>
      </c>
      <c r="X424" s="9" t="n">
        <v>1483.9</v>
      </c>
      <c r="Y424" s="9" t="n">
        <v>1483.9</v>
      </c>
      <c r="Z424" s="9" t="n">
        <v>350</v>
      </c>
      <c r="AA424" s="9" t="n">
        <v>250</v>
      </c>
      <c r="AB424" s="9" t="n">
        <v>600</v>
      </c>
    </row>
    <row r="425" customFormat="false" ht="15" hidden="false" customHeight="false" outlineLevel="0" collapsed="false">
      <c r="A425" s="3" t="s">
        <v>1315</v>
      </c>
      <c r="B425" s="3" t="s">
        <v>492</v>
      </c>
      <c r="C425" s="3" t="s">
        <v>304</v>
      </c>
      <c r="D425" s="3" t="s">
        <v>305</v>
      </c>
      <c r="E425" s="3" t="n">
        <v>1999</v>
      </c>
      <c r="F425" s="3" t="s">
        <v>44</v>
      </c>
      <c r="G425" s="3" t="s">
        <v>76</v>
      </c>
      <c r="H425" s="3" t="s">
        <v>1316</v>
      </c>
      <c r="I425" s="3" t="s">
        <v>78</v>
      </c>
      <c r="J425" s="7" t="n">
        <v>1950000</v>
      </c>
      <c r="K425" s="3" t="s">
        <v>150</v>
      </c>
      <c r="L425" s="7" t="n">
        <v>14442.14</v>
      </c>
      <c r="M425" s="7" t="n">
        <v>1805.27</v>
      </c>
      <c r="N425" s="7" t="n">
        <v>1805.27</v>
      </c>
      <c r="O425" s="7" t="n">
        <v>10831.6</v>
      </c>
      <c r="P425" s="7" t="n">
        <v>1083.16</v>
      </c>
      <c r="Q425" s="7" t="n">
        <v>1083.16</v>
      </c>
      <c r="R425" s="7" t="n">
        <v>1083.16</v>
      </c>
      <c r="S425" s="7" t="n">
        <v>1083.16</v>
      </c>
      <c r="T425" s="7" t="n">
        <v>1083.16</v>
      </c>
      <c r="U425" s="7" t="n">
        <v>1083.16</v>
      </c>
      <c r="V425" s="7" t="n">
        <v>1083.16</v>
      </c>
      <c r="W425" s="7" t="n">
        <v>1083.16</v>
      </c>
      <c r="X425" s="7" t="n">
        <v>1083.16</v>
      </c>
      <c r="Y425" s="7" t="n">
        <v>1083.16</v>
      </c>
      <c r="Z425" s="7" t="n">
        <v>350</v>
      </c>
      <c r="AA425" s="7" t="n">
        <v>250</v>
      </c>
      <c r="AB425" s="7" t="n">
        <v>600</v>
      </c>
    </row>
    <row r="426" customFormat="false" ht="15" hidden="false" customHeight="false" outlineLevel="0" collapsed="false">
      <c r="A426" s="8" t="s">
        <v>1317</v>
      </c>
      <c r="B426" s="8" t="s">
        <v>753</v>
      </c>
      <c r="C426" s="8" t="s">
        <v>295</v>
      </c>
      <c r="D426" s="8" t="s">
        <v>296</v>
      </c>
      <c r="E426" s="8" t="n">
        <v>1987</v>
      </c>
      <c r="F426" s="8" t="s">
        <v>62</v>
      </c>
      <c r="G426" s="8" t="s">
        <v>63</v>
      </c>
      <c r="H426" s="8" t="s">
        <v>1318</v>
      </c>
      <c r="I426" s="8" t="s">
        <v>56</v>
      </c>
      <c r="J426" s="9" t="n">
        <v>980000</v>
      </c>
      <c r="K426" s="8" t="s">
        <v>86</v>
      </c>
      <c r="L426" s="9" t="n">
        <v>13738.11</v>
      </c>
      <c r="M426" s="9" t="n">
        <v>1717.26</v>
      </c>
      <c r="N426" s="9" t="n">
        <v>1717.26</v>
      </c>
      <c r="O426" s="9" t="n">
        <v>10303.6</v>
      </c>
      <c r="P426" s="9" t="n">
        <v>1030.36</v>
      </c>
      <c r="Q426" s="9" t="n">
        <v>1030.36</v>
      </c>
      <c r="R426" s="9" t="n">
        <v>1030.36</v>
      </c>
      <c r="S426" s="9" t="n">
        <v>1030.36</v>
      </c>
      <c r="T426" s="9" t="n">
        <v>1030.36</v>
      </c>
      <c r="U426" s="9" t="n">
        <v>1030.36</v>
      </c>
      <c r="V426" s="9" t="n">
        <v>1030.36</v>
      </c>
      <c r="W426" s="9" t="n">
        <v>1030.36</v>
      </c>
      <c r="X426" s="9" t="n">
        <v>1030.36</v>
      </c>
      <c r="Y426" s="9" t="n">
        <v>1030.36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1319</v>
      </c>
      <c r="B427" s="3" t="s">
        <v>865</v>
      </c>
      <c r="C427" s="3" t="s">
        <v>252</v>
      </c>
      <c r="D427" s="3" t="s">
        <v>253</v>
      </c>
      <c r="E427" s="3" t="n">
        <v>1968</v>
      </c>
      <c r="F427" s="3" t="s">
        <v>477</v>
      </c>
      <c r="G427" s="3" t="s">
        <v>478</v>
      </c>
      <c r="H427" s="3" t="s">
        <v>1320</v>
      </c>
      <c r="I427" s="3" t="s">
        <v>110</v>
      </c>
      <c r="J427" s="7" t="n">
        <v>890000</v>
      </c>
      <c r="K427" s="3" t="s">
        <v>232</v>
      </c>
      <c r="L427" s="7" t="n">
        <v>5943.2</v>
      </c>
      <c r="M427" s="7" t="n">
        <v>742.9</v>
      </c>
      <c r="N427" s="7" t="n">
        <v>742.9</v>
      </c>
      <c r="O427" s="7" t="n">
        <v>4457.4</v>
      </c>
      <c r="P427" s="7" t="n">
        <v>445.74</v>
      </c>
      <c r="Q427" s="7" t="n">
        <v>445.74</v>
      </c>
      <c r="R427" s="7" t="n">
        <v>445.74</v>
      </c>
      <c r="S427" s="7" t="n">
        <v>445.74</v>
      </c>
      <c r="T427" s="7" t="n">
        <v>445.74</v>
      </c>
      <c r="U427" s="7" t="n">
        <v>445.74</v>
      </c>
      <c r="V427" s="7" t="n">
        <v>445.74</v>
      </c>
      <c r="W427" s="7" t="n">
        <v>445.74</v>
      </c>
      <c r="X427" s="7" t="n">
        <v>445.74</v>
      </c>
      <c r="Y427" s="7" t="n">
        <v>445.74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1321</v>
      </c>
      <c r="B428" s="8" t="s">
        <v>1322</v>
      </c>
      <c r="C428" s="8" t="s">
        <v>189</v>
      </c>
      <c r="D428" s="8" t="s">
        <v>190</v>
      </c>
      <c r="E428" s="8" t="n">
        <v>1972</v>
      </c>
      <c r="F428" s="8" t="s">
        <v>44</v>
      </c>
      <c r="G428" s="8" t="s">
        <v>240</v>
      </c>
      <c r="H428" s="8" t="s">
        <v>1323</v>
      </c>
      <c r="I428" s="8" t="s">
        <v>47</v>
      </c>
      <c r="J428" s="9" t="n">
        <v>320000</v>
      </c>
      <c r="K428" s="8" t="s">
        <v>86</v>
      </c>
      <c r="L428" s="9" t="n">
        <v>7936.61</v>
      </c>
      <c r="M428" s="9" t="n">
        <v>992.08</v>
      </c>
      <c r="N428" s="9" t="n">
        <v>992.08</v>
      </c>
      <c r="O428" s="9" t="n">
        <v>5952.5</v>
      </c>
      <c r="P428" s="9" t="n">
        <v>595.25</v>
      </c>
      <c r="Q428" s="9" t="n">
        <v>595.25</v>
      </c>
      <c r="R428" s="9" t="n">
        <v>595.25</v>
      </c>
      <c r="S428" s="9" t="n">
        <v>595.25</v>
      </c>
      <c r="T428" s="9" t="n">
        <v>595.25</v>
      </c>
      <c r="U428" s="9" t="n">
        <v>595.25</v>
      </c>
      <c r="V428" s="9" t="n">
        <v>595.25</v>
      </c>
      <c r="W428" s="9" t="n">
        <v>595.25</v>
      </c>
      <c r="X428" s="9" t="n">
        <v>595.25</v>
      </c>
      <c r="Y428" s="9" t="n">
        <v>595.25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1324</v>
      </c>
      <c r="B429" s="3" t="s">
        <v>700</v>
      </c>
      <c r="C429" s="3" t="s">
        <v>74</v>
      </c>
      <c r="D429" s="3" t="s">
        <v>75</v>
      </c>
      <c r="E429" s="3" t="n">
        <v>1969</v>
      </c>
      <c r="F429" s="3" t="s">
        <v>155</v>
      </c>
      <c r="G429" s="3" t="s">
        <v>191</v>
      </c>
      <c r="H429" s="3" t="s">
        <v>1325</v>
      </c>
      <c r="I429" s="3" t="s">
        <v>56</v>
      </c>
      <c r="J429" s="7" t="n">
        <v>755000</v>
      </c>
      <c r="K429" s="3" t="s">
        <v>71</v>
      </c>
      <c r="L429" s="7" t="n">
        <v>7839.96</v>
      </c>
      <c r="M429" s="7" t="n">
        <v>980</v>
      </c>
      <c r="N429" s="7" t="n">
        <v>980</v>
      </c>
      <c r="O429" s="7" t="n">
        <v>5880</v>
      </c>
      <c r="P429" s="7" t="n">
        <v>588</v>
      </c>
      <c r="Q429" s="7" t="n">
        <v>588</v>
      </c>
      <c r="R429" s="7" t="n">
        <v>588</v>
      </c>
      <c r="S429" s="7" t="n">
        <v>588</v>
      </c>
      <c r="T429" s="7" t="n">
        <v>588</v>
      </c>
      <c r="U429" s="7" t="n">
        <v>588</v>
      </c>
      <c r="V429" s="7" t="n">
        <v>588</v>
      </c>
      <c r="W429" s="7" t="n">
        <v>588</v>
      </c>
      <c r="X429" s="7" t="n">
        <v>588</v>
      </c>
      <c r="Y429" s="7" t="n">
        <v>588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1326</v>
      </c>
      <c r="B430" s="8" t="s">
        <v>1248</v>
      </c>
      <c r="C430" s="8" t="s">
        <v>74</v>
      </c>
      <c r="D430" s="8" t="s">
        <v>75</v>
      </c>
      <c r="E430" s="8" t="n">
        <v>1978</v>
      </c>
      <c r="F430" s="8" t="s">
        <v>83</v>
      </c>
      <c r="G430" s="8" t="s">
        <v>84</v>
      </c>
      <c r="H430" s="8" t="s">
        <v>1327</v>
      </c>
      <c r="I430" s="8" t="s">
        <v>56</v>
      </c>
      <c r="J430" s="9" t="n">
        <v>295000</v>
      </c>
      <c r="K430" s="8" t="s">
        <v>90</v>
      </c>
      <c r="L430" s="9" t="n">
        <v>4524.26</v>
      </c>
      <c r="M430" s="9" t="n">
        <v>565.53</v>
      </c>
      <c r="N430" s="9" t="n">
        <v>565.53</v>
      </c>
      <c r="O430" s="9" t="n">
        <v>3393.2</v>
      </c>
      <c r="P430" s="9" t="n">
        <v>339.32</v>
      </c>
      <c r="Q430" s="9" t="n">
        <v>339.32</v>
      </c>
      <c r="R430" s="9" t="n">
        <v>339.32</v>
      </c>
      <c r="S430" s="9" t="n">
        <v>339.32</v>
      </c>
      <c r="T430" s="9" t="n">
        <v>339.32</v>
      </c>
      <c r="U430" s="9" t="n">
        <v>339.32</v>
      </c>
      <c r="V430" s="9" t="n">
        <v>339.32</v>
      </c>
      <c r="W430" s="9" t="n">
        <v>339.32</v>
      </c>
      <c r="X430" s="9" t="n">
        <v>339.32</v>
      </c>
      <c r="Y430" s="9" t="n">
        <v>339.32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1328</v>
      </c>
      <c r="B431" s="3" t="s">
        <v>1329</v>
      </c>
      <c r="C431" s="3" t="s">
        <v>295</v>
      </c>
      <c r="D431" s="3" t="s">
        <v>296</v>
      </c>
      <c r="E431" s="3" t="n">
        <v>1974</v>
      </c>
      <c r="F431" s="3" t="s">
        <v>107</v>
      </c>
      <c r="G431" s="3" t="s">
        <v>134</v>
      </c>
      <c r="H431" s="3" t="s">
        <v>1330</v>
      </c>
      <c r="I431" s="3" t="s">
        <v>56</v>
      </c>
      <c r="J431" s="7" t="n">
        <v>270000</v>
      </c>
      <c r="K431" s="3" t="s">
        <v>104</v>
      </c>
      <c r="L431" s="7" t="n">
        <v>3364.43</v>
      </c>
      <c r="M431" s="7" t="n">
        <v>420.55</v>
      </c>
      <c r="N431" s="7" t="n">
        <v>420.55</v>
      </c>
      <c r="O431" s="7" t="n">
        <v>2523.3</v>
      </c>
      <c r="P431" s="7" t="n">
        <v>252.33</v>
      </c>
      <c r="Q431" s="7" t="n">
        <v>252.33</v>
      </c>
      <c r="R431" s="7" t="n">
        <v>252.33</v>
      </c>
      <c r="S431" s="7" t="n">
        <v>252.33</v>
      </c>
      <c r="T431" s="7" t="n">
        <v>252.33</v>
      </c>
      <c r="U431" s="7" t="n">
        <v>252.33</v>
      </c>
      <c r="V431" s="7" t="n">
        <v>252.33</v>
      </c>
      <c r="W431" s="7" t="n">
        <v>252.33</v>
      </c>
      <c r="X431" s="7" t="n">
        <v>252.33</v>
      </c>
      <c r="Y431" s="7" t="n">
        <v>252.33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1331</v>
      </c>
      <c r="B432" s="8" t="s">
        <v>715</v>
      </c>
      <c r="C432" s="8" t="s">
        <v>171</v>
      </c>
      <c r="D432" s="8" t="s">
        <v>172</v>
      </c>
      <c r="E432" s="8" t="n">
        <v>2011</v>
      </c>
      <c r="F432" s="8" t="s">
        <v>107</v>
      </c>
      <c r="G432" s="8" t="s">
        <v>134</v>
      </c>
      <c r="H432" s="8" t="s">
        <v>1332</v>
      </c>
      <c r="I432" s="8" t="s">
        <v>56</v>
      </c>
      <c r="J432" s="9" t="n">
        <v>170000</v>
      </c>
      <c r="K432" s="8" t="s">
        <v>249</v>
      </c>
      <c r="L432" s="9" t="n">
        <v>2848.37</v>
      </c>
      <c r="M432" s="9" t="n">
        <v>356.05</v>
      </c>
      <c r="N432" s="9" t="n">
        <v>356.05</v>
      </c>
      <c r="O432" s="9" t="n">
        <v>2136.3</v>
      </c>
      <c r="P432" s="9" t="n">
        <v>213.63</v>
      </c>
      <c r="Q432" s="9" t="n">
        <v>213.63</v>
      </c>
      <c r="R432" s="9" t="n">
        <v>213.63</v>
      </c>
      <c r="S432" s="9" t="n">
        <v>213.63</v>
      </c>
      <c r="T432" s="9" t="n">
        <v>213.63</v>
      </c>
      <c r="U432" s="9" t="n">
        <v>213.63</v>
      </c>
      <c r="V432" s="9" t="n">
        <v>213.63</v>
      </c>
      <c r="W432" s="9" t="n">
        <v>213.63</v>
      </c>
      <c r="X432" s="9" t="n">
        <v>213.63</v>
      </c>
      <c r="Y432" s="9" t="n">
        <v>213.63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1333</v>
      </c>
      <c r="B433" s="3" t="s">
        <v>1334</v>
      </c>
      <c r="C433" s="3" t="s">
        <v>330</v>
      </c>
      <c r="D433" s="3" t="s">
        <v>331</v>
      </c>
      <c r="E433" s="3" t="n">
        <v>2012</v>
      </c>
      <c r="F433" s="3" t="s">
        <v>107</v>
      </c>
      <c r="G433" s="3" t="s">
        <v>134</v>
      </c>
      <c r="H433" s="3" t="s">
        <v>1335</v>
      </c>
      <c r="I433" s="3" t="s">
        <v>56</v>
      </c>
      <c r="J433" s="7" t="n">
        <v>575000</v>
      </c>
      <c r="K433" s="3" t="s">
        <v>164</v>
      </c>
      <c r="L433" s="7" t="n">
        <v>6090.25</v>
      </c>
      <c r="M433" s="7" t="n">
        <v>761.28</v>
      </c>
      <c r="N433" s="7" t="n">
        <v>761.28</v>
      </c>
      <c r="O433" s="7" t="n">
        <v>4567.7</v>
      </c>
      <c r="P433" s="7" t="n">
        <v>456.77</v>
      </c>
      <c r="Q433" s="7" t="n">
        <v>456.77</v>
      </c>
      <c r="R433" s="7" t="n">
        <v>456.77</v>
      </c>
      <c r="S433" s="7" t="n">
        <v>456.77</v>
      </c>
      <c r="T433" s="7" t="n">
        <v>456.77</v>
      </c>
      <c r="U433" s="7" t="n">
        <v>456.77</v>
      </c>
      <c r="V433" s="7" t="n">
        <v>456.77</v>
      </c>
      <c r="W433" s="7" t="n">
        <v>456.77</v>
      </c>
      <c r="X433" s="7" t="n">
        <v>456.77</v>
      </c>
      <c r="Y433" s="7" t="n">
        <v>456.77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1336</v>
      </c>
      <c r="B434" s="8" t="s">
        <v>1337</v>
      </c>
      <c r="C434" s="8" t="s">
        <v>153</v>
      </c>
      <c r="D434" s="8" t="s">
        <v>154</v>
      </c>
      <c r="E434" s="8" t="n">
        <v>1986</v>
      </c>
      <c r="F434" s="8" t="s">
        <v>116</v>
      </c>
      <c r="G434" s="8" t="s">
        <v>117</v>
      </c>
      <c r="H434" s="8" t="s">
        <v>1338</v>
      </c>
      <c r="I434" s="8" t="s">
        <v>119</v>
      </c>
      <c r="J434" s="9" t="n">
        <v>575000</v>
      </c>
      <c r="K434" s="8" t="s">
        <v>86</v>
      </c>
      <c r="L434" s="9" t="n">
        <v>9672.75</v>
      </c>
      <c r="M434" s="9" t="n">
        <v>1209.09</v>
      </c>
      <c r="N434" s="9" t="n">
        <v>1209.09</v>
      </c>
      <c r="O434" s="9" t="n">
        <v>7254.6</v>
      </c>
      <c r="P434" s="9" t="n">
        <v>725.46</v>
      </c>
      <c r="Q434" s="9" t="n">
        <v>725.46</v>
      </c>
      <c r="R434" s="9" t="n">
        <v>725.46</v>
      </c>
      <c r="S434" s="9" t="n">
        <v>725.46</v>
      </c>
      <c r="T434" s="9" t="n">
        <v>725.46</v>
      </c>
      <c r="U434" s="9" t="n">
        <v>725.46</v>
      </c>
      <c r="V434" s="9" t="n">
        <v>725.46</v>
      </c>
      <c r="W434" s="9" t="n">
        <v>725.46</v>
      </c>
      <c r="X434" s="9" t="n">
        <v>725.46</v>
      </c>
      <c r="Y434" s="9" t="n">
        <v>725.46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1339</v>
      </c>
      <c r="B435" s="3" t="s">
        <v>1340</v>
      </c>
      <c r="C435" s="3" t="s">
        <v>284</v>
      </c>
      <c r="D435" s="3" t="s">
        <v>285</v>
      </c>
      <c r="E435" s="3" t="n">
        <v>1969</v>
      </c>
      <c r="F435" s="3" t="s">
        <v>155</v>
      </c>
      <c r="G435" s="3" t="s">
        <v>191</v>
      </c>
      <c r="H435" s="3" t="s">
        <v>1341</v>
      </c>
      <c r="I435" s="3" t="s">
        <v>56</v>
      </c>
      <c r="J435" s="7" t="n">
        <v>615000</v>
      </c>
      <c r="K435" s="3" t="s">
        <v>111</v>
      </c>
      <c r="L435" s="7" t="n">
        <v>6258.47</v>
      </c>
      <c r="M435" s="7" t="n">
        <v>782.31</v>
      </c>
      <c r="N435" s="7" t="n">
        <v>782.31</v>
      </c>
      <c r="O435" s="7" t="n">
        <v>4693.9</v>
      </c>
      <c r="P435" s="7" t="n">
        <v>469.39</v>
      </c>
      <c r="Q435" s="7" t="n">
        <v>469.39</v>
      </c>
      <c r="R435" s="7" t="n">
        <v>469.39</v>
      </c>
      <c r="S435" s="7" t="n">
        <v>469.39</v>
      </c>
      <c r="T435" s="7" t="n">
        <v>469.39</v>
      </c>
      <c r="U435" s="7" t="n">
        <v>469.39</v>
      </c>
      <c r="V435" s="7" t="n">
        <v>469.39</v>
      </c>
      <c r="W435" s="7" t="n">
        <v>469.39</v>
      </c>
      <c r="X435" s="7" t="n">
        <v>469.39</v>
      </c>
      <c r="Y435" s="7" t="n">
        <v>469.39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1342</v>
      </c>
      <c r="B436" s="8" t="s">
        <v>1343</v>
      </c>
      <c r="C436" s="8" t="s">
        <v>81</v>
      </c>
      <c r="D436" s="8" t="s">
        <v>82</v>
      </c>
      <c r="E436" s="8" t="n">
        <v>2020</v>
      </c>
      <c r="F436" s="8" t="s">
        <v>122</v>
      </c>
      <c r="G436" s="8" t="s">
        <v>123</v>
      </c>
      <c r="H436" s="8" t="s">
        <v>1344</v>
      </c>
      <c r="I436" s="8" t="s">
        <v>56</v>
      </c>
      <c r="J436" s="9" t="n">
        <v>705000</v>
      </c>
      <c r="K436" s="8" t="s">
        <v>307</v>
      </c>
      <c r="L436" s="9" t="n">
        <v>8126.04</v>
      </c>
      <c r="M436" s="9" t="n">
        <v>1015.75</v>
      </c>
      <c r="N436" s="9" t="n">
        <v>1015.75</v>
      </c>
      <c r="O436" s="9" t="n">
        <v>6094.5</v>
      </c>
      <c r="P436" s="9" t="n">
        <v>609.45</v>
      </c>
      <c r="Q436" s="9" t="n">
        <v>609.45</v>
      </c>
      <c r="R436" s="9" t="n">
        <v>609.45</v>
      </c>
      <c r="S436" s="9" t="n">
        <v>609.45</v>
      </c>
      <c r="T436" s="9" t="n">
        <v>609.45</v>
      </c>
      <c r="U436" s="9" t="n">
        <v>609.45</v>
      </c>
      <c r="V436" s="9" t="n">
        <v>609.45</v>
      </c>
      <c r="W436" s="9" t="n">
        <v>609.45</v>
      </c>
      <c r="X436" s="9" t="n">
        <v>609.45</v>
      </c>
      <c r="Y436" s="9" t="n">
        <v>609.45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1345</v>
      </c>
      <c r="B437" s="3" t="s">
        <v>1052</v>
      </c>
      <c r="C437" s="3" t="s">
        <v>183</v>
      </c>
      <c r="D437" s="3" t="s">
        <v>184</v>
      </c>
      <c r="E437" s="3" t="n">
        <v>2018</v>
      </c>
      <c r="F437" s="3" t="s">
        <v>122</v>
      </c>
      <c r="G437" s="3" t="s">
        <v>123</v>
      </c>
      <c r="H437" s="3" t="s">
        <v>1346</v>
      </c>
      <c r="I437" s="3" t="s">
        <v>56</v>
      </c>
      <c r="J437" s="7" t="n">
        <v>625000</v>
      </c>
      <c r="K437" s="3" t="s">
        <v>543</v>
      </c>
      <c r="L437" s="7" t="n">
        <v>8437.04</v>
      </c>
      <c r="M437" s="7" t="n">
        <v>1054.63</v>
      </c>
      <c r="N437" s="7" t="n">
        <v>1054.63</v>
      </c>
      <c r="O437" s="7" t="n">
        <v>6327.8</v>
      </c>
      <c r="P437" s="7" t="n">
        <v>632.78</v>
      </c>
      <c r="Q437" s="7" t="n">
        <v>632.78</v>
      </c>
      <c r="R437" s="7" t="n">
        <v>632.78</v>
      </c>
      <c r="S437" s="7" t="n">
        <v>632.78</v>
      </c>
      <c r="T437" s="7" t="n">
        <v>632.78</v>
      </c>
      <c r="U437" s="7" t="n">
        <v>632.78</v>
      </c>
      <c r="V437" s="7" t="n">
        <v>632.78</v>
      </c>
      <c r="W437" s="7" t="n">
        <v>632.78</v>
      </c>
      <c r="X437" s="7" t="n">
        <v>632.78</v>
      </c>
      <c r="Y437" s="7" t="n">
        <v>632.78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1347</v>
      </c>
      <c r="B438" s="8" t="s">
        <v>1348</v>
      </c>
      <c r="C438" s="8" t="s">
        <v>507</v>
      </c>
      <c r="D438" s="8" t="s">
        <v>508</v>
      </c>
      <c r="E438" s="8" t="n">
        <v>1992</v>
      </c>
      <c r="F438" s="8" t="s">
        <v>53</v>
      </c>
      <c r="G438" s="8" t="s">
        <v>54</v>
      </c>
      <c r="H438" s="8" t="s">
        <v>1349</v>
      </c>
      <c r="I438" s="8" t="s">
        <v>56</v>
      </c>
      <c r="J438" s="9" t="n">
        <v>705000</v>
      </c>
      <c r="K438" s="8" t="s">
        <v>111</v>
      </c>
      <c r="L438" s="9" t="n">
        <v>7174.34</v>
      </c>
      <c r="M438" s="9" t="n">
        <v>896.79</v>
      </c>
      <c r="N438" s="9" t="n">
        <v>896.79</v>
      </c>
      <c r="O438" s="9" t="n">
        <v>5380.8</v>
      </c>
      <c r="P438" s="9" t="n">
        <v>538.08</v>
      </c>
      <c r="Q438" s="9" t="n">
        <v>538.08</v>
      </c>
      <c r="R438" s="9" t="n">
        <v>538.08</v>
      </c>
      <c r="S438" s="9" t="n">
        <v>538.08</v>
      </c>
      <c r="T438" s="9" t="n">
        <v>538.08</v>
      </c>
      <c r="U438" s="9" t="n">
        <v>538.08</v>
      </c>
      <c r="V438" s="9" t="n">
        <v>538.08</v>
      </c>
      <c r="W438" s="9" t="n">
        <v>538.08</v>
      </c>
      <c r="X438" s="9" t="n">
        <v>538.08</v>
      </c>
      <c r="Y438" s="9" t="n">
        <v>538.08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1350</v>
      </c>
      <c r="B439" s="3" t="s">
        <v>1351</v>
      </c>
      <c r="C439" s="3" t="s">
        <v>114</v>
      </c>
      <c r="D439" s="3" t="s">
        <v>115</v>
      </c>
      <c r="E439" s="3" t="n">
        <v>2011</v>
      </c>
      <c r="F439" s="3" t="s">
        <v>53</v>
      </c>
      <c r="G439" s="3" t="s">
        <v>54</v>
      </c>
      <c r="H439" s="3" t="s">
        <v>1352</v>
      </c>
      <c r="I439" s="3" t="s">
        <v>56</v>
      </c>
      <c r="J439" s="7" t="n">
        <v>665000</v>
      </c>
      <c r="K439" s="3" t="s">
        <v>136</v>
      </c>
      <c r="L439" s="7" t="n">
        <v>10703.36</v>
      </c>
      <c r="M439" s="7" t="n">
        <v>1337.92</v>
      </c>
      <c r="N439" s="7" t="n">
        <v>1337.92</v>
      </c>
      <c r="O439" s="7" t="n">
        <v>8027.5</v>
      </c>
      <c r="P439" s="7" t="n">
        <v>802.75</v>
      </c>
      <c r="Q439" s="7" t="n">
        <v>802.75</v>
      </c>
      <c r="R439" s="7" t="n">
        <v>802.75</v>
      </c>
      <c r="S439" s="7" t="n">
        <v>802.75</v>
      </c>
      <c r="T439" s="7" t="n">
        <v>802.75</v>
      </c>
      <c r="U439" s="7" t="n">
        <v>802.75</v>
      </c>
      <c r="V439" s="7" t="n">
        <v>802.75</v>
      </c>
      <c r="W439" s="7" t="n">
        <v>802.75</v>
      </c>
      <c r="X439" s="7" t="n">
        <v>802.75</v>
      </c>
      <c r="Y439" s="7" t="n">
        <v>802.75</v>
      </c>
      <c r="Z439" s="7" t="n">
        <v>350</v>
      </c>
      <c r="AA439" s="7" t="n">
        <v>0</v>
      </c>
      <c r="AB439" s="7" t="n">
        <v>350</v>
      </c>
    </row>
    <row r="440" customFormat="false" ht="15" hidden="false" customHeight="false" outlineLevel="0" collapsed="false">
      <c r="A440" s="8" t="s">
        <v>1353</v>
      </c>
      <c r="B440" s="8" t="s">
        <v>651</v>
      </c>
      <c r="C440" s="8" t="s">
        <v>128</v>
      </c>
      <c r="D440" s="8" t="s">
        <v>129</v>
      </c>
      <c r="E440" s="8" t="n">
        <v>1962</v>
      </c>
      <c r="F440" s="8" t="s">
        <v>44</v>
      </c>
      <c r="G440" s="8" t="s">
        <v>45</v>
      </c>
      <c r="H440" s="8" t="s">
        <v>1354</v>
      </c>
      <c r="I440" s="8" t="s">
        <v>47</v>
      </c>
      <c r="J440" s="9" t="n">
        <v>1415000</v>
      </c>
      <c r="K440" s="8" t="s">
        <v>465</v>
      </c>
      <c r="L440" s="9" t="n">
        <v>24052.03</v>
      </c>
      <c r="M440" s="9" t="n">
        <v>3006.5</v>
      </c>
      <c r="N440" s="9" t="n">
        <v>3006.5</v>
      </c>
      <c r="O440" s="9" t="n">
        <v>18039</v>
      </c>
      <c r="P440" s="9" t="n">
        <v>1803.9</v>
      </c>
      <c r="Q440" s="9" t="n">
        <v>1803.9</v>
      </c>
      <c r="R440" s="9" t="n">
        <v>1803.9</v>
      </c>
      <c r="S440" s="9" t="n">
        <v>1803.9</v>
      </c>
      <c r="T440" s="9" t="n">
        <v>1803.9</v>
      </c>
      <c r="U440" s="9" t="n">
        <v>1803.9</v>
      </c>
      <c r="V440" s="9" t="n">
        <v>1803.9</v>
      </c>
      <c r="W440" s="9" t="n">
        <v>1803.9</v>
      </c>
      <c r="X440" s="9" t="n">
        <v>1803.9</v>
      </c>
      <c r="Y440" s="9" t="n">
        <v>1803.9</v>
      </c>
      <c r="Z440" s="9" t="n">
        <v>350</v>
      </c>
      <c r="AA440" s="9" t="n">
        <v>250</v>
      </c>
      <c r="AB440" s="9" t="n">
        <v>600</v>
      </c>
    </row>
    <row r="441" customFormat="false" ht="15" hidden="false" customHeight="false" outlineLevel="0" collapsed="false">
      <c r="A441" s="3" t="s">
        <v>1355</v>
      </c>
      <c r="B441" s="3" t="s">
        <v>1356</v>
      </c>
      <c r="C441" s="3" t="s">
        <v>304</v>
      </c>
      <c r="D441" s="3" t="s">
        <v>305</v>
      </c>
      <c r="E441" s="3" t="n">
        <v>1978</v>
      </c>
      <c r="F441" s="3" t="s">
        <v>155</v>
      </c>
      <c r="G441" s="3" t="s">
        <v>191</v>
      </c>
      <c r="H441" s="3" t="s">
        <v>1357</v>
      </c>
      <c r="I441" s="3" t="s">
        <v>56</v>
      </c>
      <c r="J441" s="7" t="n">
        <v>565000</v>
      </c>
      <c r="K441" s="3" t="s">
        <v>65</v>
      </c>
      <c r="L441" s="7" t="n">
        <v>7216.4</v>
      </c>
      <c r="M441" s="7" t="n">
        <v>902.05</v>
      </c>
      <c r="N441" s="7" t="n">
        <v>902.05</v>
      </c>
      <c r="O441" s="7" t="n">
        <v>5412.3</v>
      </c>
      <c r="P441" s="7" t="n">
        <v>541.23</v>
      </c>
      <c r="Q441" s="7" t="n">
        <v>541.23</v>
      </c>
      <c r="R441" s="7" t="n">
        <v>541.23</v>
      </c>
      <c r="S441" s="7" t="n">
        <v>541.23</v>
      </c>
      <c r="T441" s="7" t="n">
        <v>541.23</v>
      </c>
      <c r="U441" s="7" t="n">
        <v>541.23</v>
      </c>
      <c r="V441" s="7" t="n">
        <v>541.23</v>
      </c>
      <c r="W441" s="7" t="n">
        <v>541.23</v>
      </c>
      <c r="X441" s="7" t="n">
        <v>541.23</v>
      </c>
      <c r="Y441" s="7" t="n">
        <v>541.23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1358</v>
      </c>
      <c r="B442" s="8" t="s">
        <v>1359</v>
      </c>
      <c r="C442" s="8" t="s">
        <v>177</v>
      </c>
      <c r="D442" s="8" t="s">
        <v>178</v>
      </c>
      <c r="E442" s="8" t="n">
        <v>1975</v>
      </c>
      <c r="F442" s="8" t="s">
        <v>122</v>
      </c>
      <c r="G442" s="8" t="s">
        <v>123</v>
      </c>
      <c r="H442" s="8" t="s">
        <v>1360</v>
      </c>
      <c r="I442" s="8" t="s">
        <v>56</v>
      </c>
      <c r="J442" s="9" t="n">
        <v>1950000</v>
      </c>
      <c r="K442" s="8" t="s">
        <v>164</v>
      </c>
      <c r="L442" s="9" t="n">
        <v>17476.37</v>
      </c>
      <c r="M442" s="9" t="n">
        <v>2184.55</v>
      </c>
      <c r="N442" s="9" t="n">
        <v>2184.55</v>
      </c>
      <c r="O442" s="9" t="n">
        <v>13107.3</v>
      </c>
      <c r="P442" s="9" t="n">
        <v>1310.73</v>
      </c>
      <c r="Q442" s="9" t="n">
        <v>1310.73</v>
      </c>
      <c r="R442" s="9" t="n">
        <v>1310.73</v>
      </c>
      <c r="S442" s="9" t="n">
        <v>1310.73</v>
      </c>
      <c r="T442" s="9" t="n">
        <v>1310.73</v>
      </c>
      <c r="U442" s="9" t="n">
        <v>1310.73</v>
      </c>
      <c r="V442" s="9" t="n">
        <v>1310.73</v>
      </c>
      <c r="W442" s="9" t="n">
        <v>1310.73</v>
      </c>
      <c r="X442" s="9" t="n">
        <v>1310.73</v>
      </c>
      <c r="Y442" s="9" t="n">
        <v>1310.73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1361</v>
      </c>
      <c r="B443" s="3" t="s">
        <v>415</v>
      </c>
      <c r="C443" s="3" t="s">
        <v>238</v>
      </c>
      <c r="D443" s="3" t="s">
        <v>239</v>
      </c>
      <c r="E443" s="3" t="n">
        <v>1984</v>
      </c>
      <c r="F443" s="3" t="s">
        <v>44</v>
      </c>
      <c r="G443" s="3" t="s">
        <v>76</v>
      </c>
      <c r="H443" s="3" t="s">
        <v>1362</v>
      </c>
      <c r="I443" s="3" t="s">
        <v>78</v>
      </c>
      <c r="J443" s="7" t="n">
        <v>760000</v>
      </c>
      <c r="K443" s="3" t="s">
        <v>205</v>
      </c>
      <c r="L443" s="7" t="n">
        <v>5272.99</v>
      </c>
      <c r="M443" s="7" t="n">
        <v>659.12</v>
      </c>
      <c r="N443" s="7" t="n">
        <v>659.12</v>
      </c>
      <c r="O443" s="7" t="n">
        <v>3954.7</v>
      </c>
      <c r="P443" s="7" t="n">
        <v>395.47</v>
      </c>
      <c r="Q443" s="7" t="n">
        <v>395.47</v>
      </c>
      <c r="R443" s="7" t="n">
        <v>395.47</v>
      </c>
      <c r="S443" s="7" t="n">
        <v>395.47</v>
      </c>
      <c r="T443" s="7" t="n">
        <v>395.47</v>
      </c>
      <c r="U443" s="7" t="n">
        <v>395.47</v>
      </c>
      <c r="V443" s="7" t="n">
        <v>395.47</v>
      </c>
      <c r="W443" s="7" t="n">
        <v>395.47</v>
      </c>
      <c r="X443" s="7" t="n">
        <v>395.47</v>
      </c>
      <c r="Y443" s="7" t="n">
        <v>395.47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1363</v>
      </c>
      <c r="B444" s="8" t="s">
        <v>1364</v>
      </c>
      <c r="C444" s="8" t="s">
        <v>238</v>
      </c>
      <c r="D444" s="8" t="s">
        <v>239</v>
      </c>
      <c r="E444" s="8" t="n">
        <v>1968</v>
      </c>
      <c r="F444" s="8" t="s">
        <v>155</v>
      </c>
      <c r="G444" s="8" t="s">
        <v>191</v>
      </c>
      <c r="H444" s="8" t="s">
        <v>1365</v>
      </c>
      <c r="I444" s="8" t="s">
        <v>56</v>
      </c>
      <c r="J444" s="9" t="n">
        <v>540000</v>
      </c>
      <c r="K444" s="8" t="s">
        <v>174</v>
      </c>
      <c r="L444" s="9" t="n">
        <v>5214.88</v>
      </c>
      <c r="M444" s="9" t="n">
        <v>651.86</v>
      </c>
      <c r="N444" s="9" t="n">
        <v>651.86</v>
      </c>
      <c r="O444" s="9" t="n">
        <v>3911.2</v>
      </c>
      <c r="P444" s="9" t="n">
        <v>391.12</v>
      </c>
      <c r="Q444" s="9" t="n">
        <v>391.12</v>
      </c>
      <c r="R444" s="9" t="n">
        <v>391.12</v>
      </c>
      <c r="S444" s="9" t="n">
        <v>391.12</v>
      </c>
      <c r="T444" s="9" t="n">
        <v>391.12</v>
      </c>
      <c r="U444" s="9" t="n">
        <v>391.12</v>
      </c>
      <c r="V444" s="9" t="n">
        <v>391.12</v>
      </c>
      <c r="W444" s="9" t="n">
        <v>391.12</v>
      </c>
      <c r="X444" s="9" t="n">
        <v>391.12</v>
      </c>
      <c r="Y444" s="9" t="n">
        <v>391.12</v>
      </c>
      <c r="Z444" s="9" t="n">
        <v>350</v>
      </c>
      <c r="AA444" s="9" t="n">
        <v>0</v>
      </c>
      <c r="AB444" s="9" t="n">
        <v>350</v>
      </c>
    </row>
    <row r="445" customFormat="false" ht="15" hidden="false" customHeight="false" outlineLevel="0" collapsed="false">
      <c r="A445" s="3" t="s">
        <v>1366</v>
      </c>
      <c r="B445" s="3" t="s">
        <v>541</v>
      </c>
      <c r="C445" s="3" t="s">
        <v>153</v>
      </c>
      <c r="D445" s="3" t="s">
        <v>154</v>
      </c>
      <c r="E445" s="3" t="n">
        <v>1980</v>
      </c>
      <c r="F445" s="3" t="s">
        <v>83</v>
      </c>
      <c r="G445" s="3" t="s">
        <v>84</v>
      </c>
      <c r="H445" s="3" t="s">
        <v>1367</v>
      </c>
      <c r="I445" s="3" t="s">
        <v>56</v>
      </c>
      <c r="J445" s="7" t="n">
        <v>290000</v>
      </c>
      <c r="K445" s="3" t="s">
        <v>90</v>
      </c>
      <c r="L445" s="7" t="n">
        <v>4447.57</v>
      </c>
      <c r="M445" s="7" t="n">
        <v>555.95</v>
      </c>
      <c r="N445" s="7" t="n">
        <v>555.95</v>
      </c>
      <c r="O445" s="7" t="n">
        <v>3335.7</v>
      </c>
      <c r="P445" s="7" t="n">
        <v>333.57</v>
      </c>
      <c r="Q445" s="7" t="n">
        <v>333.57</v>
      </c>
      <c r="R445" s="7" t="n">
        <v>333.57</v>
      </c>
      <c r="S445" s="7" t="n">
        <v>333.57</v>
      </c>
      <c r="T445" s="7" t="n">
        <v>333.57</v>
      </c>
      <c r="U445" s="7" t="n">
        <v>333.57</v>
      </c>
      <c r="V445" s="7" t="n">
        <v>333.57</v>
      </c>
      <c r="W445" s="7" t="n">
        <v>333.57</v>
      </c>
      <c r="X445" s="7" t="n">
        <v>333.57</v>
      </c>
      <c r="Y445" s="7" t="n">
        <v>333.57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1368</v>
      </c>
      <c r="B446" s="8" t="s">
        <v>1369</v>
      </c>
      <c r="C446" s="8" t="s">
        <v>81</v>
      </c>
      <c r="D446" s="8" t="s">
        <v>82</v>
      </c>
      <c r="E446" s="8" t="n">
        <v>1963</v>
      </c>
      <c r="F446" s="8" t="s">
        <v>107</v>
      </c>
      <c r="G446" s="8" t="s">
        <v>134</v>
      </c>
      <c r="H446" s="8" t="s">
        <v>1370</v>
      </c>
      <c r="I446" s="8" t="s">
        <v>56</v>
      </c>
      <c r="J446" s="9" t="n">
        <v>360000</v>
      </c>
      <c r="K446" s="8" t="s">
        <v>90</v>
      </c>
      <c r="L446" s="9" t="n">
        <v>5521.12</v>
      </c>
      <c r="M446" s="9" t="n">
        <v>690.14</v>
      </c>
      <c r="N446" s="9" t="n">
        <v>690.14</v>
      </c>
      <c r="O446" s="9" t="n">
        <v>4140.8</v>
      </c>
      <c r="P446" s="9" t="n">
        <v>414.08</v>
      </c>
      <c r="Q446" s="9" t="n">
        <v>414.08</v>
      </c>
      <c r="R446" s="9" t="n">
        <v>414.08</v>
      </c>
      <c r="S446" s="9" t="n">
        <v>414.08</v>
      </c>
      <c r="T446" s="9" t="n">
        <v>414.08</v>
      </c>
      <c r="U446" s="9" t="n">
        <v>414.08</v>
      </c>
      <c r="V446" s="9" t="n">
        <v>414.08</v>
      </c>
      <c r="W446" s="9" t="n">
        <v>414.08</v>
      </c>
      <c r="X446" s="9" t="n">
        <v>414.08</v>
      </c>
      <c r="Y446" s="9" t="n">
        <v>414.08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1371</v>
      </c>
      <c r="B447" s="3" t="s">
        <v>337</v>
      </c>
      <c r="C447" s="3" t="s">
        <v>177</v>
      </c>
      <c r="D447" s="3" t="s">
        <v>178</v>
      </c>
      <c r="E447" s="3" t="n">
        <v>1969</v>
      </c>
      <c r="F447" s="3" t="s">
        <v>155</v>
      </c>
      <c r="G447" s="3" t="s">
        <v>156</v>
      </c>
      <c r="H447" s="3" t="s">
        <v>1372</v>
      </c>
      <c r="I447" s="3" t="s">
        <v>78</v>
      </c>
      <c r="J447" s="7" t="n">
        <v>750000</v>
      </c>
      <c r="K447" s="3" t="s">
        <v>275</v>
      </c>
      <c r="L447" s="7" t="n">
        <v>5924.9</v>
      </c>
      <c r="M447" s="7" t="n">
        <v>740.61</v>
      </c>
      <c r="N447" s="7" t="n">
        <v>740.61</v>
      </c>
      <c r="O447" s="7" t="n">
        <v>4443.7</v>
      </c>
      <c r="P447" s="7" t="n">
        <v>444.37</v>
      </c>
      <c r="Q447" s="7" t="n">
        <v>444.37</v>
      </c>
      <c r="R447" s="7" t="n">
        <v>444.37</v>
      </c>
      <c r="S447" s="7" t="n">
        <v>444.37</v>
      </c>
      <c r="T447" s="7" t="n">
        <v>444.37</v>
      </c>
      <c r="U447" s="7" t="n">
        <v>444.37</v>
      </c>
      <c r="V447" s="7" t="n">
        <v>444.37</v>
      </c>
      <c r="W447" s="7" t="n">
        <v>444.37</v>
      </c>
      <c r="X447" s="7" t="n">
        <v>444.37</v>
      </c>
      <c r="Y447" s="7" t="n">
        <v>444.37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1373</v>
      </c>
      <c r="B448" s="8" t="s">
        <v>352</v>
      </c>
      <c r="C448" s="8" t="s">
        <v>101</v>
      </c>
      <c r="D448" s="8" t="s">
        <v>102</v>
      </c>
      <c r="E448" s="8" t="n">
        <v>1987</v>
      </c>
      <c r="F448" s="8" t="s">
        <v>107</v>
      </c>
      <c r="G448" s="8" t="s">
        <v>134</v>
      </c>
      <c r="H448" s="8" t="s">
        <v>1374</v>
      </c>
      <c r="I448" s="8" t="s">
        <v>56</v>
      </c>
      <c r="J448" s="9" t="n">
        <v>460000</v>
      </c>
      <c r="K448" s="8" t="s">
        <v>228</v>
      </c>
      <c r="L448" s="9" t="n">
        <v>7661.03</v>
      </c>
      <c r="M448" s="9" t="n">
        <v>957.63</v>
      </c>
      <c r="N448" s="9" t="n">
        <v>957.63</v>
      </c>
      <c r="O448" s="9" t="n">
        <v>5745.8</v>
      </c>
      <c r="P448" s="9" t="n">
        <v>574.58</v>
      </c>
      <c r="Q448" s="9" t="n">
        <v>574.58</v>
      </c>
      <c r="R448" s="9" t="n">
        <v>574.58</v>
      </c>
      <c r="S448" s="9" t="n">
        <v>574.58</v>
      </c>
      <c r="T448" s="9" t="n">
        <v>574.58</v>
      </c>
      <c r="U448" s="9" t="n">
        <v>574.58</v>
      </c>
      <c r="V448" s="9" t="n">
        <v>574.58</v>
      </c>
      <c r="W448" s="9" t="n">
        <v>574.58</v>
      </c>
      <c r="X448" s="9" t="n">
        <v>574.58</v>
      </c>
      <c r="Y448" s="9" t="n">
        <v>574.58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1375</v>
      </c>
      <c r="B449" s="3" t="s">
        <v>1376</v>
      </c>
      <c r="C449" s="3" t="s">
        <v>74</v>
      </c>
      <c r="D449" s="3" t="s">
        <v>75</v>
      </c>
      <c r="E449" s="3" t="n">
        <v>2016</v>
      </c>
      <c r="F449" s="3" t="s">
        <v>155</v>
      </c>
      <c r="G449" s="3" t="s">
        <v>191</v>
      </c>
      <c r="H449" s="3" t="s">
        <v>1377</v>
      </c>
      <c r="I449" s="3" t="s">
        <v>56</v>
      </c>
      <c r="J449" s="7" t="n">
        <v>550000</v>
      </c>
      <c r="K449" s="3" t="s">
        <v>168</v>
      </c>
      <c r="L449" s="7" t="n">
        <v>5482.78</v>
      </c>
      <c r="M449" s="7" t="n">
        <v>685.35</v>
      </c>
      <c r="N449" s="7" t="n">
        <v>685.35</v>
      </c>
      <c r="O449" s="7" t="n">
        <v>4112.1</v>
      </c>
      <c r="P449" s="7" t="n">
        <v>411.21</v>
      </c>
      <c r="Q449" s="7" t="n">
        <v>411.21</v>
      </c>
      <c r="R449" s="7" t="n">
        <v>411.21</v>
      </c>
      <c r="S449" s="7" t="n">
        <v>411.21</v>
      </c>
      <c r="T449" s="7" t="n">
        <v>411.21</v>
      </c>
      <c r="U449" s="7" t="n">
        <v>411.21</v>
      </c>
      <c r="V449" s="7" t="n">
        <v>411.21</v>
      </c>
      <c r="W449" s="7" t="n">
        <v>411.21</v>
      </c>
      <c r="X449" s="7" t="n">
        <v>411.21</v>
      </c>
      <c r="Y449" s="7" t="n">
        <v>411.21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1378</v>
      </c>
      <c r="B450" s="8" t="s">
        <v>1379</v>
      </c>
      <c r="C450" s="8" t="s">
        <v>145</v>
      </c>
      <c r="D450" s="8" t="s">
        <v>146</v>
      </c>
      <c r="E450" s="8" t="n">
        <v>1978</v>
      </c>
      <c r="F450" s="8" t="s">
        <v>107</v>
      </c>
      <c r="G450" s="8" t="s">
        <v>134</v>
      </c>
      <c r="H450" s="8" t="s">
        <v>1380</v>
      </c>
      <c r="I450" s="8" t="s">
        <v>56</v>
      </c>
      <c r="J450" s="9" t="n">
        <v>335000</v>
      </c>
      <c r="K450" s="8" t="s">
        <v>86</v>
      </c>
      <c r="L450" s="9" t="n">
        <v>5418.68</v>
      </c>
      <c r="M450" s="9" t="n">
        <v>677.34</v>
      </c>
      <c r="N450" s="9" t="n">
        <v>677.34</v>
      </c>
      <c r="O450" s="9" t="n">
        <v>4064</v>
      </c>
      <c r="P450" s="9" t="n">
        <v>406.4</v>
      </c>
      <c r="Q450" s="9" t="n">
        <v>406.4</v>
      </c>
      <c r="R450" s="9" t="n">
        <v>406.4</v>
      </c>
      <c r="S450" s="9" t="n">
        <v>406.4</v>
      </c>
      <c r="T450" s="9" t="n">
        <v>406.4</v>
      </c>
      <c r="U450" s="9" t="n">
        <v>406.4</v>
      </c>
      <c r="V450" s="9" t="n">
        <v>406.4</v>
      </c>
      <c r="W450" s="9" t="n">
        <v>406.4</v>
      </c>
      <c r="X450" s="9" t="n">
        <v>406.4</v>
      </c>
      <c r="Y450" s="9" t="n">
        <v>406.4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1381</v>
      </c>
      <c r="B451" s="3" t="s">
        <v>1382</v>
      </c>
      <c r="C451" s="3" t="s">
        <v>189</v>
      </c>
      <c r="D451" s="3" t="s">
        <v>190</v>
      </c>
      <c r="E451" s="3" t="n">
        <v>1959</v>
      </c>
      <c r="F451" s="3" t="s">
        <v>155</v>
      </c>
      <c r="G451" s="3" t="s">
        <v>191</v>
      </c>
      <c r="H451" s="3" t="s">
        <v>1383</v>
      </c>
      <c r="I451" s="3" t="s">
        <v>56</v>
      </c>
      <c r="J451" s="7" t="n">
        <v>600000</v>
      </c>
      <c r="K451" s="3" t="s">
        <v>994</v>
      </c>
      <c r="L451" s="7" t="n">
        <v>7850.35</v>
      </c>
      <c r="M451" s="7" t="n">
        <v>981.29</v>
      </c>
      <c r="N451" s="7" t="n">
        <v>981.29</v>
      </c>
      <c r="O451" s="7" t="n">
        <v>5887.8</v>
      </c>
      <c r="P451" s="7" t="n">
        <v>588.78</v>
      </c>
      <c r="Q451" s="7" t="n">
        <v>588.78</v>
      </c>
      <c r="R451" s="7" t="n">
        <v>588.78</v>
      </c>
      <c r="S451" s="7" t="n">
        <v>588.78</v>
      </c>
      <c r="T451" s="7" t="n">
        <v>588.78</v>
      </c>
      <c r="U451" s="7" t="n">
        <v>588.78</v>
      </c>
      <c r="V451" s="7" t="n">
        <v>588.78</v>
      </c>
      <c r="W451" s="7" t="n">
        <v>588.78</v>
      </c>
      <c r="X451" s="7" t="n">
        <v>588.78</v>
      </c>
      <c r="Y451" s="7" t="n">
        <v>588.78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1384</v>
      </c>
      <c r="B452" s="8" t="s">
        <v>243</v>
      </c>
      <c r="C452" s="8" t="s">
        <v>507</v>
      </c>
      <c r="D452" s="8" t="s">
        <v>508</v>
      </c>
      <c r="E452" s="8" t="n">
        <v>2012</v>
      </c>
      <c r="F452" s="8" t="s">
        <v>62</v>
      </c>
      <c r="G452" s="8" t="s">
        <v>63</v>
      </c>
      <c r="H452" s="8" t="s">
        <v>1385</v>
      </c>
      <c r="I452" s="8" t="s">
        <v>56</v>
      </c>
      <c r="J452" s="9" t="n">
        <v>275000</v>
      </c>
      <c r="K452" s="8" t="s">
        <v>158</v>
      </c>
      <c r="L452" s="9" t="n">
        <v>3261.99</v>
      </c>
      <c r="M452" s="9" t="n">
        <v>407.75</v>
      </c>
      <c r="N452" s="9" t="n">
        <v>407.75</v>
      </c>
      <c r="O452" s="9" t="n">
        <v>2446.5</v>
      </c>
      <c r="P452" s="9" t="n">
        <v>244.65</v>
      </c>
      <c r="Q452" s="9" t="n">
        <v>244.65</v>
      </c>
      <c r="R452" s="9" t="n">
        <v>244.65</v>
      </c>
      <c r="S452" s="9" t="n">
        <v>244.65</v>
      </c>
      <c r="T452" s="9" t="n">
        <v>244.65</v>
      </c>
      <c r="U452" s="9" t="n">
        <v>244.65</v>
      </c>
      <c r="V452" s="9" t="n">
        <v>244.65</v>
      </c>
      <c r="W452" s="9" t="n">
        <v>244.65</v>
      </c>
      <c r="X452" s="9" t="n">
        <v>244.65</v>
      </c>
      <c r="Y452" s="9" t="n">
        <v>244.65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1386</v>
      </c>
      <c r="B453" s="3" t="s">
        <v>851</v>
      </c>
      <c r="C453" s="3" t="s">
        <v>304</v>
      </c>
      <c r="D453" s="3" t="s">
        <v>305</v>
      </c>
      <c r="E453" s="3" t="n">
        <v>1985</v>
      </c>
      <c r="F453" s="3" t="s">
        <v>62</v>
      </c>
      <c r="G453" s="3" t="s">
        <v>63</v>
      </c>
      <c r="H453" s="3" t="s">
        <v>1387</v>
      </c>
      <c r="I453" s="3" t="s">
        <v>56</v>
      </c>
      <c r="J453" s="7" t="n">
        <v>910000</v>
      </c>
      <c r="K453" s="3" t="s">
        <v>142</v>
      </c>
      <c r="L453" s="7" t="n">
        <v>13418.28</v>
      </c>
      <c r="M453" s="7" t="n">
        <v>1677.29</v>
      </c>
      <c r="N453" s="7" t="n">
        <v>1677.29</v>
      </c>
      <c r="O453" s="7" t="n">
        <v>10063.7</v>
      </c>
      <c r="P453" s="7" t="n">
        <v>1006.37</v>
      </c>
      <c r="Q453" s="7" t="n">
        <v>1006.37</v>
      </c>
      <c r="R453" s="7" t="n">
        <v>1006.37</v>
      </c>
      <c r="S453" s="7" t="n">
        <v>1006.37</v>
      </c>
      <c r="T453" s="7" t="n">
        <v>1006.37</v>
      </c>
      <c r="U453" s="7" t="n">
        <v>1006.37</v>
      </c>
      <c r="V453" s="7" t="n">
        <v>1006.37</v>
      </c>
      <c r="W453" s="7" t="n">
        <v>1006.37</v>
      </c>
      <c r="X453" s="7" t="n">
        <v>1006.37</v>
      </c>
      <c r="Y453" s="7" t="n">
        <v>1006.37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1388</v>
      </c>
      <c r="B454" s="8" t="s">
        <v>415</v>
      </c>
      <c r="C454" s="8" t="s">
        <v>246</v>
      </c>
      <c r="D454" s="8" t="s">
        <v>247</v>
      </c>
      <c r="E454" s="8" t="n">
        <v>1976</v>
      </c>
      <c r="F454" s="8" t="s">
        <v>122</v>
      </c>
      <c r="G454" s="8" t="s">
        <v>123</v>
      </c>
      <c r="H454" s="8" t="s">
        <v>1389</v>
      </c>
      <c r="I454" s="8" t="s">
        <v>56</v>
      </c>
      <c r="J454" s="9" t="n">
        <v>1760000</v>
      </c>
      <c r="K454" s="8" t="s">
        <v>587</v>
      </c>
      <c r="L454" s="9" t="n">
        <v>17319.97</v>
      </c>
      <c r="M454" s="9" t="n">
        <v>2165</v>
      </c>
      <c r="N454" s="9" t="n">
        <v>2165</v>
      </c>
      <c r="O454" s="9" t="n">
        <v>12990</v>
      </c>
      <c r="P454" s="9" t="n">
        <v>1299</v>
      </c>
      <c r="Q454" s="9" t="n">
        <v>1299</v>
      </c>
      <c r="R454" s="9" t="n">
        <v>1299</v>
      </c>
      <c r="S454" s="9" t="n">
        <v>1299</v>
      </c>
      <c r="T454" s="9" t="n">
        <v>1299</v>
      </c>
      <c r="U454" s="9" t="n">
        <v>1299</v>
      </c>
      <c r="V454" s="9" t="n">
        <v>1299</v>
      </c>
      <c r="W454" s="9" t="n">
        <v>1299</v>
      </c>
      <c r="X454" s="9" t="n">
        <v>1299</v>
      </c>
      <c r="Y454" s="9" t="n">
        <v>1299</v>
      </c>
      <c r="Z454" s="9" t="n">
        <v>350</v>
      </c>
      <c r="AA454" s="9" t="n">
        <v>250</v>
      </c>
      <c r="AB454" s="9" t="n">
        <v>600</v>
      </c>
    </row>
    <row r="455" customFormat="false" ht="15" hidden="false" customHeight="false" outlineLevel="0" collapsed="false">
      <c r="A455" s="3" t="s">
        <v>1390</v>
      </c>
      <c r="B455" s="3" t="s">
        <v>218</v>
      </c>
      <c r="C455" s="3" t="s">
        <v>139</v>
      </c>
      <c r="D455" s="3" t="s">
        <v>140</v>
      </c>
      <c r="E455" s="3" t="n">
        <v>1995</v>
      </c>
      <c r="F455" s="3" t="s">
        <v>155</v>
      </c>
      <c r="G455" s="3" t="s">
        <v>191</v>
      </c>
      <c r="H455" s="3" t="s">
        <v>1391</v>
      </c>
      <c r="I455" s="3" t="s">
        <v>56</v>
      </c>
      <c r="J455" s="7" t="n">
        <v>330000</v>
      </c>
      <c r="K455" s="3" t="s">
        <v>275</v>
      </c>
      <c r="L455" s="7" t="n">
        <v>4547.02</v>
      </c>
      <c r="M455" s="7" t="n">
        <v>568.38</v>
      </c>
      <c r="N455" s="7" t="n">
        <v>568.38</v>
      </c>
      <c r="O455" s="7" t="n">
        <v>3410.3</v>
      </c>
      <c r="P455" s="7" t="n">
        <v>341.03</v>
      </c>
      <c r="Q455" s="7" t="n">
        <v>341.03</v>
      </c>
      <c r="R455" s="7" t="n">
        <v>341.03</v>
      </c>
      <c r="S455" s="7" t="n">
        <v>341.03</v>
      </c>
      <c r="T455" s="7" t="n">
        <v>341.03</v>
      </c>
      <c r="U455" s="7" t="n">
        <v>341.03</v>
      </c>
      <c r="V455" s="7" t="n">
        <v>341.03</v>
      </c>
      <c r="W455" s="7" t="n">
        <v>341.03</v>
      </c>
      <c r="X455" s="7" t="n">
        <v>341.03</v>
      </c>
      <c r="Y455" s="7" t="n">
        <v>341.03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1392</v>
      </c>
      <c r="B456" s="8" t="s">
        <v>1393</v>
      </c>
      <c r="C456" s="8" t="s">
        <v>139</v>
      </c>
      <c r="D456" s="8" t="s">
        <v>140</v>
      </c>
      <c r="E456" s="8" t="n">
        <v>1955</v>
      </c>
      <c r="F456" s="8" t="s">
        <v>53</v>
      </c>
      <c r="G456" s="8" t="s">
        <v>54</v>
      </c>
      <c r="H456" s="8" t="s">
        <v>1394</v>
      </c>
      <c r="I456" s="8" t="s">
        <v>56</v>
      </c>
      <c r="J456" s="9" t="n">
        <v>1950000</v>
      </c>
      <c r="K456" s="8" t="s">
        <v>98</v>
      </c>
      <c r="L456" s="9" t="n">
        <v>21417.12</v>
      </c>
      <c r="M456" s="9" t="n">
        <v>2677.14</v>
      </c>
      <c r="N456" s="9" t="n">
        <v>2677.14</v>
      </c>
      <c r="O456" s="9" t="n">
        <v>16062.8</v>
      </c>
      <c r="P456" s="9" t="n">
        <v>1606.28</v>
      </c>
      <c r="Q456" s="9" t="n">
        <v>1606.28</v>
      </c>
      <c r="R456" s="9" t="n">
        <v>1606.28</v>
      </c>
      <c r="S456" s="9" t="n">
        <v>1606.28</v>
      </c>
      <c r="T456" s="9" t="n">
        <v>1606.28</v>
      </c>
      <c r="U456" s="9" t="n">
        <v>1606.28</v>
      </c>
      <c r="V456" s="9" t="n">
        <v>1606.28</v>
      </c>
      <c r="W456" s="9" t="n">
        <v>1606.28</v>
      </c>
      <c r="X456" s="9" t="n">
        <v>1606.28</v>
      </c>
      <c r="Y456" s="9" t="n">
        <v>1606.28</v>
      </c>
      <c r="Z456" s="9" t="n">
        <v>350</v>
      </c>
      <c r="AA456" s="9" t="n">
        <v>250</v>
      </c>
      <c r="AB456" s="9" t="n">
        <v>600</v>
      </c>
    </row>
    <row r="457" customFormat="false" ht="15" hidden="false" customHeight="false" outlineLevel="0" collapsed="false">
      <c r="A457" s="3" t="s">
        <v>1395</v>
      </c>
      <c r="B457" s="3" t="s">
        <v>1396</v>
      </c>
      <c r="C457" s="3" t="s">
        <v>114</v>
      </c>
      <c r="D457" s="3" t="s">
        <v>115</v>
      </c>
      <c r="E457" s="3" t="n">
        <v>1963</v>
      </c>
      <c r="F457" s="3" t="s">
        <v>107</v>
      </c>
      <c r="G457" s="3" t="s">
        <v>134</v>
      </c>
      <c r="H457" s="3" t="s">
        <v>1397</v>
      </c>
      <c r="I457" s="3" t="s">
        <v>56</v>
      </c>
      <c r="J457" s="7" t="n">
        <v>270000</v>
      </c>
      <c r="K457" s="3" t="s">
        <v>312</v>
      </c>
      <c r="L457" s="7" t="n">
        <v>4011.44</v>
      </c>
      <c r="M457" s="7" t="n">
        <v>501.43</v>
      </c>
      <c r="N457" s="7" t="n">
        <v>501.43</v>
      </c>
      <c r="O457" s="7" t="n">
        <v>3008.6</v>
      </c>
      <c r="P457" s="7" t="n">
        <v>300.86</v>
      </c>
      <c r="Q457" s="7" t="n">
        <v>300.86</v>
      </c>
      <c r="R457" s="7" t="n">
        <v>300.86</v>
      </c>
      <c r="S457" s="7" t="n">
        <v>300.86</v>
      </c>
      <c r="T457" s="7" t="n">
        <v>300.86</v>
      </c>
      <c r="U457" s="7" t="n">
        <v>300.86</v>
      </c>
      <c r="V457" s="7" t="n">
        <v>300.86</v>
      </c>
      <c r="W457" s="7" t="n">
        <v>300.86</v>
      </c>
      <c r="X457" s="7" t="n">
        <v>300.86</v>
      </c>
      <c r="Y457" s="7" t="n">
        <v>300.86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1398</v>
      </c>
      <c r="B458" s="8" t="s">
        <v>1399</v>
      </c>
      <c r="C458" s="8" t="s">
        <v>81</v>
      </c>
      <c r="D458" s="8" t="s">
        <v>82</v>
      </c>
      <c r="E458" s="8" t="n">
        <v>1982</v>
      </c>
      <c r="F458" s="8" t="s">
        <v>155</v>
      </c>
      <c r="G458" s="8" t="s">
        <v>191</v>
      </c>
      <c r="H458" s="8" t="s">
        <v>1400</v>
      </c>
      <c r="I458" s="8" t="s">
        <v>56</v>
      </c>
      <c r="J458" s="9" t="n">
        <v>575000</v>
      </c>
      <c r="K458" s="8" t="s">
        <v>762</v>
      </c>
      <c r="L458" s="9" t="n">
        <v>6508.21</v>
      </c>
      <c r="M458" s="9" t="n">
        <v>813.53</v>
      </c>
      <c r="N458" s="9" t="n">
        <v>813.53</v>
      </c>
      <c r="O458" s="9" t="n">
        <v>4881.2</v>
      </c>
      <c r="P458" s="9" t="n">
        <v>488.12</v>
      </c>
      <c r="Q458" s="9" t="n">
        <v>488.12</v>
      </c>
      <c r="R458" s="9" t="n">
        <v>488.12</v>
      </c>
      <c r="S458" s="9" t="n">
        <v>488.12</v>
      </c>
      <c r="T458" s="9" t="n">
        <v>488.12</v>
      </c>
      <c r="U458" s="9" t="n">
        <v>488.12</v>
      </c>
      <c r="V458" s="9" t="n">
        <v>488.12</v>
      </c>
      <c r="W458" s="9" t="n">
        <v>488.12</v>
      </c>
      <c r="X458" s="9" t="n">
        <v>488.12</v>
      </c>
      <c r="Y458" s="9" t="n">
        <v>488.12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1401</v>
      </c>
      <c r="B459" s="3" t="s">
        <v>919</v>
      </c>
      <c r="C459" s="3" t="s">
        <v>261</v>
      </c>
      <c r="D459" s="3" t="s">
        <v>262</v>
      </c>
      <c r="E459" s="3" t="n">
        <v>1970</v>
      </c>
      <c r="F459" s="3" t="s">
        <v>122</v>
      </c>
      <c r="G459" s="3" t="s">
        <v>123</v>
      </c>
      <c r="H459" s="3" t="s">
        <v>1402</v>
      </c>
      <c r="I459" s="3" t="s">
        <v>56</v>
      </c>
      <c r="J459" s="7" t="n">
        <v>1130000</v>
      </c>
      <c r="K459" s="3" t="s">
        <v>301</v>
      </c>
      <c r="L459" s="7" t="n">
        <v>9035.17</v>
      </c>
      <c r="M459" s="7" t="n">
        <v>1129.4</v>
      </c>
      <c r="N459" s="7" t="n">
        <v>1129.4</v>
      </c>
      <c r="O459" s="7" t="n">
        <v>6776.4</v>
      </c>
      <c r="P459" s="7" t="n">
        <v>677.64</v>
      </c>
      <c r="Q459" s="7" t="n">
        <v>677.64</v>
      </c>
      <c r="R459" s="7" t="n">
        <v>677.64</v>
      </c>
      <c r="S459" s="7" t="n">
        <v>677.64</v>
      </c>
      <c r="T459" s="7" t="n">
        <v>677.64</v>
      </c>
      <c r="U459" s="7" t="n">
        <v>677.64</v>
      </c>
      <c r="V459" s="7" t="n">
        <v>677.64</v>
      </c>
      <c r="W459" s="7" t="n">
        <v>677.64</v>
      </c>
      <c r="X459" s="7" t="n">
        <v>677.64</v>
      </c>
      <c r="Y459" s="7" t="n">
        <v>677.64</v>
      </c>
      <c r="Z459" s="7" t="n">
        <v>350</v>
      </c>
      <c r="AA459" s="7" t="n">
        <v>250</v>
      </c>
      <c r="AB459" s="7" t="n">
        <v>600</v>
      </c>
    </row>
    <row r="460" customFormat="false" ht="15" hidden="false" customHeight="false" outlineLevel="0" collapsed="false">
      <c r="A460" s="8" t="s">
        <v>1403</v>
      </c>
      <c r="B460" s="8" t="s">
        <v>1404</v>
      </c>
      <c r="C460" s="8" t="s">
        <v>93</v>
      </c>
      <c r="D460" s="8" t="s">
        <v>94</v>
      </c>
      <c r="E460" s="8" t="n">
        <v>2003</v>
      </c>
      <c r="F460" s="8" t="s">
        <v>53</v>
      </c>
      <c r="G460" s="8" t="s">
        <v>54</v>
      </c>
      <c r="H460" s="8" t="s">
        <v>1405</v>
      </c>
      <c r="I460" s="8" t="s">
        <v>56</v>
      </c>
      <c r="J460" s="9" t="n">
        <v>490000</v>
      </c>
      <c r="K460" s="8" t="s">
        <v>136</v>
      </c>
      <c r="L460" s="9" t="n">
        <v>9100.03</v>
      </c>
      <c r="M460" s="9" t="n">
        <v>1137.5</v>
      </c>
      <c r="N460" s="9" t="n">
        <v>1137.5</v>
      </c>
      <c r="O460" s="9" t="n">
        <v>6825</v>
      </c>
      <c r="P460" s="9" t="n">
        <v>682.5</v>
      </c>
      <c r="Q460" s="9" t="n">
        <v>682.5</v>
      </c>
      <c r="R460" s="9" t="n">
        <v>682.5</v>
      </c>
      <c r="S460" s="9" t="n">
        <v>682.5</v>
      </c>
      <c r="T460" s="9" t="n">
        <v>682.5</v>
      </c>
      <c r="U460" s="9" t="n">
        <v>682.5</v>
      </c>
      <c r="V460" s="9" t="n">
        <v>682.5</v>
      </c>
      <c r="W460" s="9" t="n">
        <v>682.5</v>
      </c>
      <c r="X460" s="9" t="n">
        <v>682.5</v>
      </c>
      <c r="Y460" s="9" t="n">
        <v>682.5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1406</v>
      </c>
      <c r="B461" s="3" t="s">
        <v>1322</v>
      </c>
      <c r="C461" s="3" t="s">
        <v>153</v>
      </c>
      <c r="D461" s="3" t="s">
        <v>154</v>
      </c>
      <c r="E461" s="3" t="n">
        <v>2002</v>
      </c>
      <c r="F461" s="3" t="s">
        <v>62</v>
      </c>
      <c r="G461" s="3" t="s">
        <v>63</v>
      </c>
      <c r="H461" s="3" t="s">
        <v>1407</v>
      </c>
      <c r="I461" s="3" t="s">
        <v>56</v>
      </c>
      <c r="J461" s="7" t="n">
        <v>1365000</v>
      </c>
      <c r="K461" s="3" t="s">
        <v>307</v>
      </c>
      <c r="L461" s="7" t="n">
        <v>13312.88</v>
      </c>
      <c r="M461" s="7" t="n">
        <v>1664.11</v>
      </c>
      <c r="N461" s="7" t="n">
        <v>1664.11</v>
      </c>
      <c r="O461" s="7" t="n">
        <v>9984.7</v>
      </c>
      <c r="P461" s="7" t="n">
        <v>998.47</v>
      </c>
      <c r="Q461" s="7" t="n">
        <v>998.47</v>
      </c>
      <c r="R461" s="7" t="n">
        <v>998.47</v>
      </c>
      <c r="S461" s="7" t="n">
        <v>998.47</v>
      </c>
      <c r="T461" s="7" t="n">
        <v>998.47</v>
      </c>
      <c r="U461" s="7" t="n">
        <v>998.47</v>
      </c>
      <c r="V461" s="7" t="n">
        <v>998.47</v>
      </c>
      <c r="W461" s="7" t="n">
        <v>998.47</v>
      </c>
      <c r="X461" s="7" t="n">
        <v>998.47</v>
      </c>
      <c r="Y461" s="7" t="n">
        <v>998.47</v>
      </c>
      <c r="Z461" s="7" t="n">
        <v>350</v>
      </c>
      <c r="AA461" s="7" t="n">
        <v>250</v>
      </c>
      <c r="AB461" s="7" t="n">
        <v>600</v>
      </c>
    </row>
    <row r="462" customFormat="false" ht="15" hidden="false" customHeight="false" outlineLevel="0" collapsed="false">
      <c r="A462" s="8" t="s">
        <v>1408</v>
      </c>
      <c r="B462" s="8" t="s">
        <v>812</v>
      </c>
      <c r="C462" s="8" t="s">
        <v>81</v>
      </c>
      <c r="D462" s="8" t="s">
        <v>82</v>
      </c>
      <c r="E462" s="8" t="n">
        <v>2016</v>
      </c>
      <c r="F462" s="8" t="s">
        <v>107</v>
      </c>
      <c r="G462" s="8" t="s">
        <v>134</v>
      </c>
      <c r="H462" s="8" t="s">
        <v>1409</v>
      </c>
      <c r="I462" s="8" t="s">
        <v>56</v>
      </c>
      <c r="J462" s="9" t="n">
        <v>430000</v>
      </c>
      <c r="K462" s="8" t="s">
        <v>65</v>
      </c>
      <c r="L462" s="9" t="n">
        <v>6337.07</v>
      </c>
      <c r="M462" s="9" t="n">
        <v>792.13</v>
      </c>
      <c r="N462" s="9" t="n">
        <v>792.13</v>
      </c>
      <c r="O462" s="9" t="n">
        <v>4752.8</v>
      </c>
      <c r="P462" s="9" t="n">
        <v>475.28</v>
      </c>
      <c r="Q462" s="9" t="n">
        <v>475.28</v>
      </c>
      <c r="R462" s="9" t="n">
        <v>475.28</v>
      </c>
      <c r="S462" s="9" t="n">
        <v>475.28</v>
      </c>
      <c r="T462" s="9" t="n">
        <v>475.28</v>
      </c>
      <c r="U462" s="9" t="n">
        <v>475.28</v>
      </c>
      <c r="V462" s="9" t="n">
        <v>475.28</v>
      </c>
      <c r="W462" s="9" t="n">
        <v>475.28</v>
      </c>
      <c r="X462" s="9" t="n">
        <v>475.28</v>
      </c>
      <c r="Y462" s="9" t="n">
        <v>475.28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1410</v>
      </c>
      <c r="B463" s="3" t="s">
        <v>144</v>
      </c>
      <c r="C463" s="3" t="s">
        <v>272</v>
      </c>
      <c r="D463" s="3" t="s">
        <v>273</v>
      </c>
      <c r="E463" s="3" t="n">
        <v>1958</v>
      </c>
      <c r="F463" s="3" t="s">
        <v>44</v>
      </c>
      <c r="G463" s="3" t="s">
        <v>45</v>
      </c>
      <c r="H463" s="3" t="s">
        <v>1411</v>
      </c>
      <c r="I463" s="3" t="s">
        <v>47</v>
      </c>
      <c r="J463" s="7" t="n">
        <v>1190000</v>
      </c>
      <c r="K463" s="3" t="s">
        <v>104</v>
      </c>
      <c r="L463" s="7" t="n">
        <v>15816.99</v>
      </c>
      <c r="M463" s="7" t="n">
        <v>1977.12</v>
      </c>
      <c r="N463" s="7" t="n">
        <v>1977.12</v>
      </c>
      <c r="O463" s="7" t="n">
        <v>11862.7</v>
      </c>
      <c r="P463" s="7" t="n">
        <v>1186.27</v>
      </c>
      <c r="Q463" s="7" t="n">
        <v>1186.27</v>
      </c>
      <c r="R463" s="7" t="n">
        <v>1186.27</v>
      </c>
      <c r="S463" s="7" t="n">
        <v>1186.27</v>
      </c>
      <c r="T463" s="7" t="n">
        <v>1186.27</v>
      </c>
      <c r="U463" s="7" t="n">
        <v>1186.27</v>
      </c>
      <c r="V463" s="7" t="n">
        <v>1186.27</v>
      </c>
      <c r="W463" s="7" t="n">
        <v>1186.27</v>
      </c>
      <c r="X463" s="7" t="n">
        <v>1186.27</v>
      </c>
      <c r="Y463" s="7" t="n">
        <v>1186.27</v>
      </c>
      <c r="Z463" s="7" t="n">
        <v>350</v>
      </c>
      <c r="AA463" s="7" t="n">
        <v>250</v>
      </c>
      <c r="AB463" s="7" t="n">
        <v>600</v>
      </c>
    </row>
    <row r="464" customFormat="false" ht="15" hidden="false" customHeight="false" outlineLevel="0" collapsed="false">
      <c r="A464" s="8" t="s">
        <v>1412</v>
      </c>
      <c r="B464" s="8" t="s">
        <v>1413</v>
      </c>
      <c r="C464" s="8" t="s">
        <v>507</v>
      </c>
      <c r="D464" s="8" t="s">
        <v>508</v>
      </c>
      <c r="E464" s="8" t="n">
        <v>1974</v>
      </c>
      <c r="F464" s="8" t="s">
        <v>122</v>
      </c>
      <c r="G464" s="8" t="s">
        <v>123</v>
      </c>
      <c r="H464" s="8" t="s">
        <v>1414</v>
      </c>
      <c r="I464" s="8" t="s">
        <v>56</v>
      </c>
      <c r="J464" s="9" t="n">
        <v>225000</v>
      </c>
      <c r="K464" s="8" t="s">
        <v>125</v>
      </c>
      <c r="L464" s="9" t="n">
        <v>4497.42</v>
      </c>
      <c r="M464" s="9" t="n">
        <v>562.18</v>
      </c>
      <c r="N464" s="9" t="n">
        <v>562.18</v>
      </c>
      <c r="O464" s="9" t="n">
        <v>3373.1</v>
      </c>
      <c r="P464" s="9" t="n">
        <v>337.31</v>
      </c>
      <c r="Q464" s="9" t="n">
        <v>337.31</v>
      </c>
      <c r="R464" s="9" t="n">
        <v>337.31</v>
      </c>
      <c r="S464" s="9" t="n">
        <v>337.31</v>
      </c>
      <c r="T464" s="9" t="n">
        <v>337.31</v>
      </c>
      <c r="U464" s="9" t="n">
        <v>337.31</v>
      </c>
      <c r="V464" s="9" t="n">
        <v>337.31</v>
      </c>
      <c r="W464" s="9" t="n">
        <v>337.31</v>
      </c>
      <c r="X464" s="9" t="n">
        <v>337.31</v>
      </c>
      <c r="Y464" s="9" t="n">
        <v>337.31</v>
      </c>
      <c r="Z464" s="9" t="n">
        <v>350</v>
      </c>
      <c r="AA464" s="9" t="n">
        <v>0</v>
      </c>
      <c r="AB464" s="9" t="n">
        <v>350</v>
      </c>
    </row>
    <row r="465" customFormat="false" ht="15" hidden="false" customHeight="false" outlineLevel="0" collapsed="false">
      <c r="A465" s="3" t="s">
        <v>1415</v>
      </c>
      <c r="B465" s="3" t="s">
        <v>776</v>
      </c>
      <c r="C465" s="3" t="s">
        <v>68</v>
      </c>
      <c r="D465" s="3" t="s">
        <v>69</v>
      </c>
      <c r="E465" s="3" t="n">
        <v>2013</v>
      </c>
      <c r="F465" s="3" t="s">
        <v>107</v>
      </c>
      <c r="G465" s="3" t="s">
        <v>134</v>
      </c>
      <c r="H465" s="3" t="s">
        <v>1416</v>
      </c>
      <c r="I465" s="3" t="s">
        <v>56</v>
      </c>
      <c r="J465" s="7" t="n">
        <v>1930000</v>
      </c>
      <c r="K465" s="3" t="s">
        <v>104</v>
      </c>
      <c r="L465" s="7" t="n">
        <v>17636.28</v>
      </c>
      <c r="M465" s="7" t="n">
        <v>2204.53</v>
      </c>
      <c r="N465" s="7" t="n">
        <v>2204.53</v>
      </c>
      <c r="O465" s="7" t="n">
        <v>13227.2</v>
      </c>
      <c r="P465" s="7" t="n">
        <v>1322.72</v>
      </c>
      <c r="Q465" s="7" t="n">
        <v>1322.72</v>
      </c>
      <c r="R465" s="7" t="n">
        <v>1322.72</v>
      </c>
      <c r="S465" s="7" t="n">
        <v>1322.72</v>
      </c>
      <c r="T465" s="7" t="n">
        <v>1322.72</v>
      </c>
      <c r="U465" s="7" t="n">
        <v>1322.72</v>
      </c>
      <c r="V465" s="7" t="n">
        <v>1322.72</v>
      </c>
      <c r="W465" s="7" t="n">
        <v>1322.72</v>
      </c>
      <c r="X465" s="7" t="n">
        <v>1322.72</v>
      </c>
      <c r="Y465" s="7" t="n">
        <v>1322.72</v>
      </c>
      <c r="Z465" s="7" t="n">
        <v>350</v>
      </c>
      <c r="AA465" s="7" t="n">
        <v>250</v>
      </c>
      <c r="AB465" s="7" t="n">
        <v>600</v>
      </c>
    </row>
    <row r="466" customFormat="false" ht="15" hidden="false" customHeight="false" outlineLevel="0" collapsed="false">
      <c r="A466" s="8" t="s">
        <v>1417</v>
      </c>
      <c r="B466" s="8" t="s">
        <v>1418</v>
      </c>
      <c r="C466" s="8" t="s">
        <v>272</v>
      </c>
      <c r="D466" s="8" t="s">
        <v>273</v>
      </c>
      <c r="E466" s="8" t="n">
        <v>1960</v>
      </c>
      <c r="F466" s="8" t="s">
        <v>122</v>
      </c>
      <c r="G466" s="8" t="s">
        <v>123</v>
      </c>
      <c r="H466" s="8" t="s">
        <v>1419</v>
      </c>
      <c r="I466" s="8" t="s">
        <v>56</v>
      </c>
      <c r="J466" s="9" t="n">
        <v>685000</v>
      </c>
      <c r="K466" s="8" t="s">
        <v>307</v>
      </c>
      <c r="L466" s="9" t="n">
        <v>7895.52</v>
      </c>
      <c r="M466" s="9" t="n">
        <v>986.94</v>
      </c>
      <c r="N466" s="9" t="n">
        <v>986.94</v>
      </c>
      <c r="O466" s="9" t="n">
        <v>5921.6</v>
      </c>
      <c r="P466" s="9" t="n">
        <v>592.16</v>
      </c>
      <c r="Q466" s="9" t="n">
        <v>592.16</v>
      </c>
      <c r="R466" s="9" t="n">
        <v>592.16</v>
      </c>
      <c r="S466" s="9" t="n">
        <v>592.16</v>
      </c>
      <c r="T466" s="9" t="n">
        <v>592.16</v>
      </c>
      <c r="U466" s="9" t="n">
        <v>592.16</v>
      </c>
      <c r="V466" s="9" t="n">
        <v>592.16</v>
      </c>
      <c r="W466" s="9" t="n">
        <v>592.16</v>
      </c>
      <c r="X466" s="9" t="n">
        <v>592.16</v>
      </c>
      <c r="Y466" s="9" t="n">
        <v>592.16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1420</v>
      </c>
      <c r="B467" s="3" t="s">
        <v>1376</v>
      </c>
      <c r="C467" s="3" t="s">
        <v>101</v>
      </c>
      <c r="D467" s="3" t="s">
        <v>102</v>
      </c>
      <c r="E467" s="3" t="n">
        <v>1996</v>
      </c>
      <c r="F467" s="3" t="s">
        <v>155</v>
      </c>
      <c r="G467" s="3" t="s">
        <v>156</v>
      </c>
      <c r="H467" s="3" t="s">
        <v>1421</v>
      </c>
      <c r="I467" s="3" t="s">
        <v>78</v>
      </c>
      <c r="J467" s="7" t="n">
        <v>750000</v>
      </c>
      <c r="K467" s="3" t="s">
        <v>228</v>
      </c>
      <c r="L467" s="7" t="n">
        <v>7161.41</v>
      </c>
      <c r="M467" s="7" t="n">
        <v>895.18</v>
      </c>
      <c r="N467" s="7" t="n">
        <v>895.18</v>
      </c>
      <c r="O467" s="7" t="n">
        <v>5371.1</v>
      </c>
      <c r="P467" s="7" t="n">
        <v>537.11</v>
      </c>
      <c r="Q467" s="7" t="n">
        <v>537.11</v>
      </c>
      <c r="R467" s="7" t="n">
        <v>537.11</v>
      </c>
      <c r="S467" s="7" t="n">
        <v>537.11</v>
      </c>
      <c r="T467" s="7" t="n">
        <v>537.11</v>
      </c>
      <c r="U467" s="7" t="n">
        <v>537.11</v>
      </c>
      <c r="V467" s="7" t="n">
        <v>537.11</v>
      </c>
      <c r="W467" s="7" t="n">
        <v>537.11</v>
      </c>
      <c r="X467" s="7" t="n">
        <v>537.11</v>
      </c>
      <c r="Y467" s="7" t="n">
        <v>537.11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1422</v>
      </c>
      <c r="B468" s="8" t="s">
        <v>303</v>
      </c>
      <c r="C468" s="8" t="s">
        <v>183</v>
      </c>
      <c r="D468" s="8" t="s">
        <v>184</v>
      </c>
      <c r="E468" s="8" t="n">
        <v>1959</v>
      </c>
      <c r="F468" s="8" t="s">
        <v>155</v>
      </c>
      <c r="G468" s="8" t="s">
        <v>191</v>
      </c>
      <c r="H468" s="8" t="s">
        <v>1423</v>
      </c>
      <c r="I468" s="8" t="s">
        <v>56</v>
      </c>
      <c r="J468" s="9" t="n">
        <v>505000</v>
      </c>
      <c r="K468" s="8" t="s">
        <v>292</v>
      </c>
      <c r="L468" s="9" t="n">
        <v>5611.02</v>
      </c>
      <c r="M468" s="9" t="n">
        <v>701.38</v>
      </c>
      <c r="N468" s="9" t="n">
        <v>701.38</v>
      </c>
      <c r="O468" s="9" t="n">
        <v>4208.3</v>
      </c>
      <c r="P468" s="9" t="n">
        <v>420.83</v>
      </c>
      <c r="Q468" s="9" t="n">
        <v>420.83</v>
      </c>
      <c r="R468" s="9" t="n">
        <v>420.83</v>
      </c>
      <c r="S468" s="9" t="n">
        <v>420.83</v>
      </c>
      <c r="T468" s="9" t="n">
        <v>420.83</v>
      </c>
      <c r="U468" s="9" t="n">
        <v>420.83</v>
      </c>
      <c r="V468" s="9" t="n">
        <v>420.83</v>
      </c>
      <c r="W468" s="9" t="n">
        <v>420.83</v>
      </c>
      <c r="X468" s="9" t="n">
        <v>420.83</v>
      </c>
      <c r="Y468" s="9" t="n">
        <v>420.83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1424</v>
      </c>
      <c r="B469" s="3" t="s">
        <v>1425</v>
      </c>
      <c r="C469" s="3" t="s">
        <v>330</v>
      </c>
      <c r="D469" s="3" t="s">
        <v>331</v>
      </c>
      <c r="E469" s="3" t="n">
        <v>1995</v>
      </c>
      <c r="F469" s="3" t="s">
        <v>83</v>
      </c>
      <c r="G469" s="3" t="s">
        <v>84</v>
      </c>
      <c r="H469" s="3" t="s">
        <v>1426</v>
      </c>
      <c r="I469" s="3" t="s">
        <v>56</v>
      </c>
      <c r="J469" s="7" t="n">
        <v>320000</v>
      </c>
      <c r="K469" s="3" t="s">
        <v>432</v>
      </c>
      <c r="L469" s="7" t="n">
        <v>3719.09</v>
      </c>
      <c r="M469" s="7" t="n">
        <v>464.89</v>
      </c>
      <c r="N469" s="7" t="n">
        <v>464.89</v>
      </c>
      <c r="O469" s="7" t="n">
        <v>2789.3</v>
      </c>
      <c r="P469" s="7" t="n">
        <v>278.93</v>
      </c>
      <c r="Q469" s="7" t="n">
        <v>278.93</v>
      </c>
      <c r="R469" s="7" t="n">
        <v>278.93</v>
      </c>
      <c r="S469" s="7" t="n">
        <v>278.93</v>
      </c>
      <c r="T469" s="7" t="n">
        <v>278.93</v>
      </c>
      <c r="U469" s="7" t="n">
        <v>278.93</v>
      </c>
      <c r="V469" s="7" t="n">
        <v>278.93</v>
      </c>
      <c r="W469" s="7" t="n">
        <v>278.93</v>
      </c>
      <c r="X469" s="7" t="n">
        <v>278.93</v>
      </c>
      <c r="Y469" s="7" t="n">
        <v>278.93</v>
      </c>
      <c r="Z469" s="7" t="n">
        <v>350</v>
      </c>
      <c r="AA469" s="7" t="n">
        <v>0</v>
      </c>
      <c r="AB469" s="7" t="n">
        <v>350</v>
      </c>
    </row>
    <row r="470" customFormat="false" ht="15" hidden="false" customHeight="false" outlineLevel="0" collapsed="false">
      <c r="A470" s="8" t="s">
        <v>1427</v>
      </c>
      <c r="B470" s="8" t="s">
        <v>424</v>
      </c>
      <c r="C470" s="8" t="s">
        <v>267</v>
      </c>
      <c r="D470" s="8" t="s">
        <v>268</v>
      </c>
      <c r="E470" s="8" t="n">
        <v>1980</v>
      </c>
      <c r="F470" s="8" t="s">
        <v>95</v>
      </c>
      <c r="G470" s="8" t="s">
        <v>96</v>
      </c>
      <c r="H470" s="8" t="s">
        <v>1428</v>
      </c>
      <c r="I470" s="8" t="s">
        <v>47</v>
      </c>
      <c r="J470" s="9" t="n">
        <v>1380000</v>
      </c>
      <c r="K470" s="8" t="s">
        <v>142</v>
      </c>
      <c r="L470" s="9" t="n">
        <v>25044.43</v>
      </c>
      <c r="M470" s="9" t="n">
        <v>3130.55</v>
      </c>
      <c r="N470" s="9" t="n">
        <v>3130.55</v>
      </c>
      <c r="O470" s="9" t="n">
        <v>18783.3</v>
      </c>
      <c r="P470" s="9" t="n">
        <v>1878.33</v>
      </c>
      <c r="Q470" s="9" t="n">
        <v>1878.33</v>
      </c>
      <c r="R470" s="9" t="n">
        <v>1878.33</v>
      </c>
      <c r="S470" s="9" t="n">
        <v>1878.33</v>
      </c>
      <c r="T470" s="9" t="n">
        <v>1878.33</v>
      </c>
      <c r="U470" s="9" t="n">
        <v>1878.33</v>
      </c>
      <c r="V470" s="9" t="n">
        <v>1878.33</v>
      </c>
      <c r="W470" s="9" t="n">
        <v>1878.33</v>
      </c>
      <c r="X470" s="9" t="n">
        <v>1878.33</v>
      </c>
      <c r="Y470" s="9" t="n">
        <v>1878.33</v>
      </c>
      <c r="Z470" s="9" t="n">
        <v>350</v>
      </c>
      <c r="AA470" s="9" t="n">
        <v>250</v>
      </c>
      <c r="AB470" s="9" t="n">
        <v>600</v>
      </c>
    </row>
    <row r="471" customFormat="false" ht="15" hidden="false" customHeight="false" outlineLevel="0" collapsed="false">
      <c r="A471" s="3" t="s">
        <v>1429</v>
      </c>
      <c r="B471" s="3" t="s">
        <v>1430</v>
      </c>
      <c r="C471" s="3" t="s">
        <v>295</v>
      </c>
      <c r="D471" s="3" t="s">
        <v>296</v>
      </c>
      <c r="E471" s="3" t="n">
        <v>2006</v>
      </c>
      <c r="F471" s="3" t="s">
        <v>62</v>
      </c>
      <c r="G471" s="3" t="s">
        <v>63</v>
      </c>
      <c r="H471" s="3" t="s">
        <v>1431</v>
      </c>
      <c r="I471" s="3" t="s">
        <v>56</v>
      </c>
      <c r="J471" s="7" t="n">
        <v>1060000</v>
      </c>
      <c r="K471" s="3" t="s">
        <v>275</v>
      </c>
      <c r="L471" s="7" t="n">
        <v>10710.75</v>
      </c>
      <c r="M471" s="7" t="n">
        <v>1338.84</v>
      </c>
      <c r="N471" s="7" t="n">
        <v>1338.84</v>
      </c>
      <c r="O471" s="7" t="n">
        <v>8033.1</v>
      </c>
      <c r="P471" s="7" t="n">
        <v>803.31</v>
      </c>
      <c r="Q471" s="7" t="n">
        <v>803.31</v>
      </c>
      <c r="R471" s="7" t="n">
        <v>803.31</v>
      </c>
      <c r="S471" s="7" t="n">
        <v>803.31</v>
      </c>
      <c r="T471" s="7" t="n">
        <v>803.31</v>
      </c>
      <c r="U471" s="7" t="n">
        <v>803.31</v>
      </c>
      <c r="V471" s="7" t="n">
        <v>803.31</v>
      </c>
      <c r="W471" s="7" t="n">
        <v>803.31</v>
      </c>
      <c r="X471" s="7" t="n">
        <v>803.31</v>
      </c>
      <c r="Y471" s="7" t="n">
        <v>803.31</v>
      </c>
      <c r="Z471" s="7" t="n">
        <v>350</v>
      </c>
      <c r="AA471" s="7" t="n">
        <v>250</v>
      </c>
      <c r="AB471" s="7" t="n">
        <v>600</v>
      </c>
    </row>
    <row r="472" customFormat="false" ht="15" hidden="false" customHeight="false" outlineLevel="0" collapsed="false">
      <c r="A472" s="8" t="s">
        <v>1432</v>
      </c>
      <c r="B472" s="8" t="s">
        <v>271</v>
      </c>
      <c r="C472" s="8" t="s">
        <v>60</v>
      </c>
      <c r="D472" s="8" t="s">
        <v>61</v>
      </c>
      <c r="E472" s="8" t="n">
        <v>1989</v>
      </c>
      <c r="F472" s="8" t="s">
        <v>53</v>
      </c>
      <c r="G472" s="8" t="s">
        <v>54</v>
      </c>
      <c r="H472" s="8" t="s">
        <v>1433</v>
      </c>
      <c r="I472" s="8" t="s">
        <v>56</v>
      </c>
      <c r="J472" s="9" t="n">
        <v>595000</v>
      </c>
      <c r="K472" s="8" t="s">
        <v>86</v>
      </c>
      <c r="L472" s="9" t="n">
        <v>8340.99</v>
      </c>
      <c r="M472" s="9" t="n">
        <v>1042.62</v>
      </c>
      <c r="N472" s="9" t="n">
        <v>1042.62</v>
      </c>
      <c r="O472" s="9" t="n">
        <v>6255.7</v>
      </c>
      <c r="P472" s="9" t="n">
        <v>625.57</v>
      </c>
      <c r="Q472" s="9" t="n">
        <v>625.57</v>
      </c>
      <c r="R472" s="9" t="n">
        <v>625.57</v>
      </c>
      <c r="S472" s="9" t="n">
        <v>625.57</v>
      </c>
      <c r="T472" s="9" t="n">
        <v>625.57</v>
      </c>
      <c r="U472" s="9" t="n">
        <v>625.57</v>
      </c>
      <c r="V472" s="9" t="n">
        <v>625.57</v>
      </c>
      <c r="W472" s="9" t="n">
        <v>625.57</v>
      </c>
      <c r="X472" s="9" t="n">
        <v>625.57</v>
      </c>
      <c r="Y472" s="9" t="n">
        <v>625.57</v>
      </c>
      <c r="Z472" s="9" t="n">
        <v>350</v>
      </c>
      <c r="AA472" s="9" t="n">
        <v>0</v>
      </c>
      <c r="AB472" s="9" t="n">
        <v>350</v>
      </c>
    </row>
    <row r="473" customFormat="false" ht="15" hidden="false" customHeight="false" outlineLevel="0" collapsed="false">
      <c r="A473" s="3" t="s">
        <v>1434</v>
      </c>
      <c r="B473" s="3" t="s">
        <v>844</v>
      </c>
      <c r="C473" s="3" t="s">
        <v>81</v>
      </c>
      <c r="D473" s="3" t="s">
        <v>82</v>
      </c>
      <c r="E473" s="3" t="n">
        <v>2005</v>
      </c>
      <c r="F473" s="3" t="s">
        <v>95</v>
      </c>
      <c r="G473" s="3" t="s">
        <v>96</v>
      </c>
      <c r="H473" s="3" t="s">
        <v>1435</v>
      </c>
      <c r="I473" s="3" t="s">
        <v>47</v>
      </c>
      <c r="J473" s="7" t="n">
        <v>345000</v>
      </c>
      <c r="K473" s="3" t="s">
        <v>158</v>
      </c>
      <c r="L473" s="7" t="n">
        <v>6274.89</v>
      </c>
      <c r="M473" s="7" t="n">
        <v>784.36</v>
      </c>
      <c r="N473" s="7" t="n">
        <v>784.36</v>
      </c>
      <c r="O473" s="7" t="n">
        <v>4706.2</v>
      </c>
      <c r="P473" s="7" t="n">
        <v>470.62</v>
      </c>
      <c r="Q473" s="7" t="n">
        <v>470.62</v>
      </c>
      <c r="R473" s="7" t="n">
        <v>470.62</v>
      </c>
      <c r="S473" s="7" t="n">
        <v>470.62</v>
      </c>
      <c r="T473" s="7" t="n">
        <v>470.62</v>
      </c>
      <c r="U473" s="7" t="n">
        <v>470.62</v>
      </c>
      <c r="V473" s="7" t="n">
        <v>470.62</v>
      </c>
      <c r="W473" s="7" t="n">
        <v>470.62</v>
      </c>
      <c r="X473" s="7" t="n">
        <v>470.62</v>
      </c>
      <c r="Y473" s="7" t="n">
        <v>470.62</v>
      </c>
      <c r="Z473" s="7" t="n">
        <v>350</v>
      </c>
      <c r="AA473" s="7" t="n">
        <v>0</v>
      </c>
      <c r="AB473" s="7" t="n">
        <v>350</v>
      </c>
    </row>
    <row r="474" customFormat="false" ht="15" hidden="false" customHeight="false" outlineLevel="0" collapsed="false">
      <c r="A474" s="8" t="s">
        <v>1436</v>
      </c>
      <c r="B474" s="8" t="s">
        <v>1376</v>
      </c>
      <c r="C474" s="8" t="s">
        <v>330</v>
      </c>
      <c r="D474" s="8" t="s">
        <v>331</v>
      </c>
      <c r="E474" s="8" t="n">
        <v>1993</v>
      </c>
      <c r="F474" s="8" t="s">
        <v>122</v>
      </c>
      <c r="G474" s="8" t="s">
        <v>123</v>
      </c>
      <c r="H474" s="8" t="s">
        <v>1437</v>
      </c>
      <c r="I474" s="8" t="s">
        <v>56</v>
      </c>
      <c r="J474" s="9" t="n">
        <v>810000</v>
      </c>
      <c r="K474" s="8" t="s">
        <v>213</v>
      </c>
      <c r="L474" s="9" t="n">
        <v>11523.19</v>
      </c>
      <c r="M474" s="9" t="n">
        <v>1440.4</v>
      </c>
      <c r="N474" s="9" t="n">
        <v>1440.4</v>
      </c>
      <c r="O474" s="9" t="n">
        <v>8642.4</v>
      </c>
      <c r="P474" s="9" t="n">
        <v>864.24</v>
      </c>
      <c r="Q474" s="9" t="n">
        <v>864.24</v>
      </c>
      <c r="R474" s="9" t="n">
        <v>864.24</v>
      </c>
      <c r="S474" s="9" t="n">
        <v>864.24</v>
      </c>
      <c r="T474" s="9" t="n">
        <v>864.24</v>
      </c>
      <c r="U474" s="9" t="n">
        <v>864.24</v>
      </c>
      <c r="V474" s="9" t="n">
        <v>864.24</v>
      </c>
      <c r="W474" s="9" t="n">
        <v>864.24</v>
      </c>
      <c r="X474" s="9" t="n">
        <v>864.24</v>
      </c>
      <c r="Y474" s="9" t="n">
        <v>864.24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1438</v>
      </c>
      <c r="B475" s="3" t="s">
        <v>565</v>
      </c>
      <c r="C475" s="3" t="s">
        <v>261</v>
      </c>
      <c r="D475" s="3" t="s">
        <v>262</v>
      </c>
      <c r="E475" s="3" t="n">
        <v>2013</v>
      </c>
      <c r="F475" s="3" t="s">
        <v>44</v>
      </c>
      <c r="G475" s="3" t="s">
        <v>240</v>
      </c>
      <c r="H475" s="3" t="s">
        <v>1439</v>
      </c>
      <c r="I475" s="3" t="s">
        <v>47</v>
      </c>
      <c r="J475" s="7" t="n">
        <v>785000</v>
      </c>
      <c r="K475" s="3" t="s">
        <v>90</v>
      </c>
      <c r="L475" s="7" t="n">
        <v>15249.55</v>
      </c>
      <c r="M475" s="7" t="n">
        <v>1906.19</v>
      </c>
      <c r="N475" s="7" t="n">
        <v>1906.19</v>
      </c>
      <c r="O475" s="7" t="n">
        <v>11437.2</v>
      </c>
      <c r="P475" s="7" t="n">
        <v>1143.72</v>
      </c>
      <c r="Q475" s="7" t="n">
        <v>1143.72</v>
      </c>
      <c r="R475" s="7" t="n">
        <v>1143.72</v>
      </c>
      <c r="S475" s="7" t="n">
        <v>1143.72</v>
      </c>
      <c r="T475" s="7" t="n">
        <v>1143.72</v>
      </c>
      <c r="U475" s="7" t="n">
        <v>1143.72</v>
      </c>
      <c r="V475" s="7" t="n">
        <v>1143.72</v>
      </c>
      <c r="W475" s="7" t="n">
        <v>1143.72</v>
      </c>
      <c r="X475" s="7" t="n">
        <v>1143.72</v>
      </c>
      <c r="Y475" s="7" t="n">
        <v>1143.72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1440</v>
      </c>
      <c r="B476" s="8" t="s">
        <v>1441</v>
      </c>
      <c r="C476" s="8" t="s">
        <v>284</v>
      </c>
      <c r="D476" s="8" t="s">
        <v>285</v>
      </c>
      <c r="E476" s="8" t="n">
        <v>2012</v>
      </c>
      <c r="F476" s="8" t="s">
        <v>53</v>
      </c>
      <c r="G476" s="8" t="s">
        <v>54</v>
      </c>
      <c r="H476" s="8" t="s">
        <v>1442</v>
      </c>
      <c r="I476" s="8" t="s">
        <v>56</v>
      </c>
      <c r="J476" s="9" t="n">
        <v>545000</v>
      </c>
      <c r="K476" s="8" t="s">
        <v>278</v>
      </c>
      <c r="L476" s="9" t="n">
        <v>6734.58</v>
      </c>
      <c r="M476" s="9" t="n">
        <v>841.82</v>
      </c>
      <c r="N476" s="9" t="n">
        <v>841.82</v>
      </c>
      <c r="O476" s="9" t="n">
        <v>5050.9</v>
      </c>
      <c r="P476" s="9" t="n">
        <v>505.09</v>
      </c>
      <c r="Q476" s="9" t="n">
        <v>505.09</v>
      </c>
      <c r="R476" s="9" t="n">
        <v>505.09</v>
      </c>
      <c r="S476" s="9" t="n">
        <v>505.09</v>
      </c>
      <c r="T476" s="9" t="n">
        <v>505.09</v>
      </c>
      <c r="U476" s="9" t="n">
        <v>505.09</v>
      </c>
      <c r="V476" s="9" t="n">
        <v>505.09</v>
      </c>
      <c r="W476" s="9" t="n">
        <v>505.09</v>
      </c>
      <c r="X476" s="9" t="n">
        <v>505.09</v>
      </c>
      <c r="Y476" s="9" t="n">
        <v>505.09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1443</v>
      </c>
      <c r="B477" s="3" t="s">
        <v>1444</v>
      </c>
      <c r="C477" s="3" t="s">
        <v>171</v>
      </c>
      <c r="D477" s="3" t="s">
        <v>172</v>
      </c>
      <c r="E477" s="3" t="n">
        <v>1969</v>
      </c>
      <c r="F477" s="3" t="s">
        <v>155</v>
      </c>
      <c r="G477" s="3" t="s">
        <v>156</v>
      </c>
      <c r="H477" s="3" t="s">
        <v>1445</v>
      </c>
      <c r="I477" s="3" t="s">
        <v>78</v>
      </c>
      <c r="J477" s="7" t="n">
        <v>170000</v>
      </c>
      <c r="K477" s="3" t="s">
        <v>213</v>
      </c>
      <c r="L477" s="7" t="n">
        <v>2120.79</v>
      </c>
      <c r="M477" s="7" t="n">
        <v>265.1</v>
      </c>
      <c r="N477" s="7" t="n">
        <v>265.1</v>
      </c>
      <c r="O477" s="7" t="n">
        <v>1590.6</v>
      </c>
      <c r="P477" s="7" t="n">
        <v>159.06</v>
      </c>
      <c r="Q477" s="7" t="n">
        <v>159.06</v>
      </c>
      <c r="R477" s="7" t="n">
        <v>159.06</v>
      </c>
      <c r="S477" s="7" t="n">
        <v>159.06</v>
      </c>
      <c r="T477" s="7" t="n">
        <v>159.06</v>
      </c>
      <c r="U477" s="7" t="n">
        <v>159.06</v>
      </c>
      <c r="V477" s="7" t="n">
        <v>159.06</v>
      </c>
      <c r="W477" s="7" t="n">
        <v>159.06</v>
      </c>
      <c r="X477" s="7" t="n">
        <v>159.06</v>
      </c>
      <c r="Y477" s="7" t="n">
        <v>159.06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1446</v>
      </c>
      <c r="B478" s="8" t="s">
        <v>1447</v>
      </c>
      <c r="C478" s="8" t="s">
        <v>330</v>
      </c>
      <c r="D478" s="8" t="s">
        <v>331</v>
      </c>
      <c r="E478" s="8" t="n">
        <v>2022</v>
      </c>
      <c r="F478" s="8" t="s">
        <v>62</v>
      </c>
      <c r="G478" s="8" t="s">
        <v>63</v>
      </c>
      <c r="H478" s="8" t="s">
        <v>1448</v>
      </c>
      <c r="I478" s="8" t="s">
        <v>56</v>
      </c>
      <c r="J478" s="9" t="n">
        <v>475000</v>
      </c>
      <c r="K478" s="8" t="s">
        <v>180</v>
      </c>
      <c r="L478" s="9" t="n">
        <v>7853.94</v>
      </c>
      <c r="M478" s="9" t="n">
        <v>981.74</v>
      </c>
      <c r="N478" s="9" t="n">
        <v>981.74</v>
      </c>
      <c r="O478" s="9" t="n">
        <v>5890.5</v>
      </c>
      <c r="P478" s="9" t="n">
        <v>589.05</v>
      </c>
      <c r="Q478" s="9" t="n">
        <v>589.05</v>
      </c>
      <c r="R478" s="9" t="n">
        <v>589.05</v>
      </c>
      <c r="S478" s="9" t="n">
        <v>589.05</v>
      </c>
      <c r="T478" s="9" t="n">
        <v>589.05</v>
      </c>
      <c r="U478" s="9" t="n">
        <v>589.05</v>
      </c>
      <c r="V478" s="9" t="n">
        <v>589.05</v>
      </c>
      <c r="W478" s="9" t="n">
        <v>589.05</v>
      </c>
      <c r="X478" s="9" t="n">
        <v>589.05</v>
      </c>
      <c r="Y478" s="9" t="n">
        <v>589.05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1449</v>
      </c>
      <c r="B479" s="3" t="s">
        <v>1450</v>
      </c>
      <c r="C479" s="3" t="s">
        <v>238</v>
      </c>
      <c r="D479" s="3" t="s">
        <v>239</v>
      </c>
      <c r="E479" s="3" t="n">
        <v>1990</v>
      </c>
      <c r="F479" s="3" t="s">
        <v>62</v>
      </c>
      <c r="G479" s="3" t="s">
        <v>310</v>
      </c>
      <c r="H479" s="3" t="s">
        <v>1451</v>
      </c>
      <c r="I479" s="3" t="s">
        <v>78</v>
      </c>
      <c r="J479" s="7" t="n">
        <v>320000</v>
      </c>
      <c r="K479" s="3" t="s">
        <v>213</v>
      </c>
      <c r="L479" s="7" t="n">
        <v>3361.75</v>
      </c>
      <c r="M479" s="7" t="n">
        <v>420.22</v>
      </c>
      <c r="N479" s="7" t="n">
        <v>420.22</v>
      </c>
      <c r="O479" s="7" t="n">
        <v>2521.3</v>
      </c>
      <c r="P479" s="7" t="n">
        <v>252.13</v>
      </c>
      <c r="Q479" s="7" t="n">
        <v>252.13</v>
      </c>
      <c r="R479" s="7" t="n">
        <v>252.13</v>
      </c>
      <c r="S479" s="7" t="n">
        <v>252.13</v>
      </c>
      <c r="T479" s="7" t="n">
        <v>252.13</v>
      </c>
      <c r="U479" s="7" t="n">
        <v>252.13</v>
      </c>
      <c r="V479" s="7" t="n">
        <v>252.13</v>
      </c>
      <c r="W479" s="7" t="n">
        <v>252.13</v>
      </c>
      <c r="X479" s="7" t="n">
        <v>252.13</v>
      </c>
      <c r="Y479" s="7" t="n">
        <v>252.13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1452</v>
      </c>
      <c r="B480" s="8" t="s">
        <v>1453</v>
      </c>
      <c r="C480" s="8" t="s">
        <v>189</v>
      </c>
      <c r="D480" s="8" t="s">
        <v>190</v>
      </c>
      <c r="E480" s="8" t="n">
        <v>1994</v>
      </c>
      <c r="F480" s="8" t="s">
        <v>95</v>
      </c>
      <c r="G480" s="8" t="s">
        <v>96</v>
      </c>
      <c r="H480" s="8" t="s">
        <v>1454</v>
      </c>
      <c r="I480" s="8" t="s">
        <v>47</v>
      </c>
      <c r="J480" s="9" t="n">
        <v>1205000</v>
      </c>
      <c r="K480" s="8" t="s">
        <v>136</v>
      </c>
      <c r="L480" s="9" t="n">
        <v>23870.55</v>
      </c>
      <c r="M480" s="9" t="n">
        <v>2983.82</v>
      </c>
      <c r="N480" s="9" t="n">
        <v>2983.82</v>
      </c>
      <c r="O480" s="9" t="n">
        <v>17902.9</v>
      </c>
      <c r="P480" s="9" t="n">
        <v>1790.29</v>
      </c>
      <c r="Q480" s="9" t="n">
        <v>1790.29</v>
      </c>
      <c r="R480" s="9" t="n">
        <v>1790.29</v>
      </c>
      <c r="S480" s="9" t="n">
        <v>1790.29</v>
      </c>
      <c r="T480" s="9" t="n">
        <v>1790.29</v>
      </c>
      <c r="U480" s="9" t="n">
        <v>1790.29</v>
      </c>
      <c r="V480" s="9" t="n">
        <v>1790.29</v>
      </c>
      <c r="W480" s="9" t="n">
        <v>1790.29</v>
      </c>
      <c r="X480" s="9" t="n">
        <v>1790.29</v>
      </c>
      <c r="Y480" s="9" t="n">
        <v>1790.29</v>
      </c>
      <c r="Z480" s="9" t="n">
        <v>350</v>
      </c>
      <c r="AA480" s="9" t="n">
        <v>250</v>
      </c>
      <c r="AB480" s="9" t="n">
        <v>600</v>
      </c>
    </row>
    <row r="481" customFormat="false" ht="15" hidden="false" customHeight="false" outlineLevel="0" collapsed="false">
      <c r="A481" s="3" t="s">
        <v>1455</v>
      </c>
      <c r="B481" s="3" t="s">
        <v>1456</v>
      </c>
      <c r="C481" s="3" t="s">
        <v>246</v>
      </c>
      <c r="D481" s="3" t="s">
        <v>247</v>
      </c>
      <c r="E481" s="3" t="n">
        <v>1969</v>
      </c>
      <c r="F481" s="3" t="s">
        <v>83</v>
      </c>
      <c r="G481" s="3" t="s">
        <v>84</v>
      </c>
      <c r="H481" s="3" t="s">
        <v>1457</v>
      </c>
      <c r="I481" s="3" t="s">
        <v>56</v>
      </c>
      <c r="J481" s="7" t="n">
        <v>490000</v>
      </c>
      <c r="K481" s="3" t="s">
        <v>249</v>
      </c>
      <c r="L481" s="7" t="n">
        <v>6692.93</v>
      </c>
      <c r="M481" s="7" t="n">
        <v>836.62</v>
      </c>
      <c r="N481" s="7" t="n">
        <v>836.62</v>
      </c>
      <c r="O481" s="7" t="n">
        <v>5019.7</v>
      </c>
      <c r="P481" s="7" t="n">
        <v>501.97</v>
      </c>
      <c r="Q481" s="7" t="n">
        <v>501.97</v>
      </c>
      <c r="R481" s="7" t="n">
        <v>501.97</v>
      </c>
      <c r="S481" s="7" t="n">
        <v>501.97</v>
      </c>
      <c r="T481" s="7" t="n">
        <v>501.97</v>
      </c>
      <c r="U481" s="7" t="n">
        <v>501.97</v>
      </c>
      <c r="V481" s="7" t="n">
        <v>501.97</v>
      </c>
      <c r="W481" s="7" t="n">
        <v>501.97</v>
      </c>
      <c r="X481" s="7" t="n">
        <v>501.97</v>
      </c>
      <c r="Y481" s="7" t="n">
        <v>501.97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1458</v>
      </c>
      <c r="B482" s="8" t="s">
        <v>1459</v>
      </c>
      <c r="C482" s="8" t="s">
        <v>145</v>
      </c>
      <c r="D482" s="8" t="s">
        <v>146</v>
      </c>
      <c r="E482" s="8" t="n">
        <v>1957</v>
      </c>
      <c r="F482" s="8" t="s">
        <v>831</v>
      </c>
      <c r="G482" s="8" t="s">
        <v>832</v>
      </c>
      <c r="H482" s="8" t="s">
        <v>1460</v>
      </c>
      <c r="I482" s="8" t="s">
        <v>110</v>
      </c>
      <c r="J482" s="9" t="n">
        <v>1950000</v>
      </c>
      <c r="K482" s="8" t="s">
        <v>278</v>
      </c>
      <c r="L482" s="9" t="n">
        <v>12604.17</v>
      </c>
      <c r="M482" s="9" t="n">
        <v>1575.52</v>
      </c>
      <c r="N482" s="9" t="n">
        <v>1575.52</v>
      </c>
      <c r="O482" s="9" t="n">
        <v>9453.1</v>
      </c>
      <c r="P482" s="9" t="n">
        <v>945.31</v>
      </c>
      <c r="Q482" s="9" t="n">
        <v>945.31</v>
      </c>
      <c r="R482" s="9" t="n">
        <v>945.31</v>
      </c>
      <c r="S482" s="9" t="n">
        <v>945.31</v>
      </c>
      <c r="T482" s="9" t="n">
        <v>945.31</v>
      </c>
      <c r="U482" s="9" t="n">
        <v>945.31</v>
      </c>
      <c r="V482" s="9" t="n">
        <v>945.31</v>
      </c>
      <c r="W482" s="9" t="n">
        <v>945.31</v>
      </c>
      <c r="X482" s="9" t="n">
        <v>945.31</v>
      </c>
      <c r="Y482" s="9" t="n">
        <v>945.31</v>
      </c>
      <c r="Z482" s="9" t="n">
        <v>350</v>
      </c>
      <c r="AA482" s="9" t="n">
        <v>250</v>
      </c>
      <c r="AB482" s="9" t="n">
        <v>600</v>
      </c>
    </row>
    <row r="483" customFormat="false" ht="15" hidden="false" customHeight="false" outlineLevel="0" collapsed="false">
      <c r="A483" s="3" t="s">
        <v>1461</v>
      </c>
      <c r="B483" s="3" t="s">
        <v>776</v>
      </c>
      <c r="C483" s="3" t="s">
        <v>208</v>
      </c>
      <c r="D483" s="3" t="s">
        <v>209</v>
      </c>
      <c r="E483" s="3" t="n">
        <v>2021</v>
      </c>
      <c r="F483" s="3" t="s">
        <v>44</v>
      </c>
      <c r="G483" s="3" t="s">
        <v>76</v>
      </c>
      <c r="H483" s="3" t="s">
        <v>1462</v>
      </c>
      <c r="I483" s="3" t="s">
        <v>78</v>
      </c>
      <c r="J483" s="7" t="n">
        <v>1135000</v>
      </c>
      <c r="K483" s="3" t="s">
        <v>86</v>
      </c>
      <c r="L483" s="7" t="n">
        <v>9301.8</v>
      </c>
      <c r="M483" s="7" t="n">
        <v>1162.72</v>
      </c>
      <c r="N483" s="7" t="n">
        <v>1162.72</v>
      </c>
      <c r="O483" s="7" t="n">
        <v>6976.3</v>
      </c>
      <c r="P483" s="7" t="n">
        <v>697.63</v>
      </c>
      <c r="Q483" s="7" t="n">
        <v>697.63</v>
      </c>
      <c r="R483" s="7" t="n">
        <v>697.63</v>
      </c>
      <c r="S483" s="7" t="n">
        <v>697.63</v>
      </c>
      <c r="T483" s="7" t="n">
        <v>697.63</v>
      </c>
      <c r="U483" s="7" t="n">
        <v>697.63</v>
      </c>
      <c r="V483" s="7" t="n">
        <v>697.63</v>
      </c>
      <c r="W483" s="7" t="n">
        <v>697.63</v>
      </c>
      <c r="X483" s="7" t="n">
        <v>697.63</v>
      </c>
      <c r="Y483" s="7" t="n">
        <v>697.63</v>
      </c>
      <c r="Z483" s="7" t="n">
        <v>350</v>
      </c>
      <c r="AA483" s="7" t="n">
        <v>250</v>
      </c>
      <c r="AB483" s="7" t="n">
        <v>600</v>
      </c>
    </row>
    <row r="484" customFormat="false" ht="15" hidden="false" customHeight="false" outlineLevel="0" collapsed="false">
      <c r="A484" s="8" t="s">
        <v>1463</v>
      </c>
      <c r="B484" s="8" t="s">
        <v>514</v>
      </c>
      <c r="C484" s="8" t="s">
        <v>507</v>
      </c>
      <c r="D484" s="8" t="s">
        <v>508</v>
      </c>
      <c r="E484" s="8" t="n">
        <v>2002</v>
      </c>
      <c r="F484" s="8" t="s">
        <v>107</v>
      </c>
      <c r="G484" s="8" t="s">
        <v>134</v>
      </c>
      <c r="H484" s="8" t="s">
        <v>1464</v>
      </c>
      <c r="I484" s="8" t="s">
        <v>56</v>
      </c>
      <c r="J484" s="9" t="n">
        <v>400000</v>
      </c>
      <c r="K484" s="8" t="s">
        <v>465</v>
      </c>
      <c r="L484" s="9" t="n">
        <v>6374.21</v>
      </c>
      <c r="M484" s="9" t="n">
        <v>796.78</v>
      </c>
      <c r="N484" s="9" t="n">
        <v>796.78</v>
      </c>
      <c r="O484" s="9" t="n">
        <v>4780.7</v>
      </c>
      <c r="P484" s="9" t="n">
        <v>478.07</v>
      </c>
      <c r="Q484" s="9" t="n">
        <v>478.07</v>
      </c>
      <c r="R484" s="9" t="n">
        <v>478.07</v>
      </c>
      <c r="S484" s="9" t="n">
        <v>478.07</v>
      </c>
      <c r="T484" s="9" t="n">
        <v>478.07</v>
      </c>
      <c r="U484" s="9" t="n">
        <v>478.07</v>
      </c>
      <c r="V484" s="9" t="n">
        <v>478.07</v>
      </c>
      <c r="W484" s="9" t="n">
        <v>478.07</v>
      </c>
      <c r="X484" s="9" t="n">
        <v>478.07</v>
      </c>
      <c r="Y484" s="9" t="n">
        <v>478.07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1465</v>
      </c>
      <c r="B485" s="3" t="s">
        <v>1466</v>
      </c>
      <c r="C485" s="3" t="s">
        <v>246</v>
      </c>
      <c r="D485" s="3" t="s">
        <v>247</v>
      </c>
      <c r="E485" s="3" t="n">
        <v>2002</v>
      </c>
      <c r="F485" s="3" t="s">
        <v>155</v>
      </c>
      <c r="G485" s="3" t="s">
        <v>191</v>
      </c>
      <c r="H485" s="3" t="s">
        <v>1467</v>
      </c>
      <c r="I485" s="3" t="s">
        <v>56</v>
      </c>
      <c r="J485" s="7" t="n">
        <v>395000</v>
      </c>
      <c r="K485" s="3" t="s">
        <v>1468</v>
      </c>
      <c r="L485" s="7" t="n">
        <v>5300.66</v>
      </c>
      <c r="M485" s="7" t="n">
        <v>662.58</v>
      </c>
      <c r="N485" s="7" t="n">
        <v>662.58</v>
      </c>
      <c r="O485" s="7" t="n">
        <v>3975.5</v>
      </c>
      <c r="P485" s="7" t="n">
        <v>397.55</v>
      </c>
      <c r="Q485" s="7" t="n">
        <v>397.55</v>
      </c>
      <c r="R485" s="7" t="n">
        <v>397.55</v>
      </c>
      <c r="S485" s="7" t="n">
        <v>397.55</v>
      </c>
      <c r="T485" s="7" t="n">
        <v>397.55</v>
      </c>
      <c r="U485" s="7" t="n">
        <v>397.55</v>
      </c>
      <c r="V485" s="7" t="n">
        <v>397.55</v>
      </c>
      <c r="W485" s="7" t="n">
        <v>397.55</v>
      </c>
      <c r="X485" s="7" t="n">
        <v>397.55</v>
      </c>
      <c r="Y485" s="7" t="n">
        <v>397.55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1469</v>
      </c>
      <c r="B486" s="8" t="s">
        <v>815</v>
      </c>
      <c r="C486" s="8" t="s">
        <v>219</v>
      </c>
      <c r="D486" s="8" t="s">
        <v>220</v>
      </c>
      <c r="E486" s="8" t="n">
        <v>2013</v>
      </c>
      <c r="F486" s="8" t="s">
        <v>83</v>
      </c>
      <c r="G486" s="8" t="s">
        <v>84</v>
      </c>
      <c r="H486" s="8" t="s">
        <v>1470</v>
      </c>
      <c r="I486" s="8" t="s">
        <v>56</v>
      </c>
      <c r="J486" s="9" t="n">
        <v>440000</v>
      </c>
      <c r="K486" s="8" t="s">
        <v>136</v>
      </c>
      <c r="L486" s="9" t="n">
        <v>8171.45</v>
      </c>
      <c r="M486" s="9" t="n">
        <v>1021.43</v>
      </c>
      <c r="N486" s="9" t="n">
        <v>1021.43</v>
      </c>
      <c r="O486" s="9" t="n">
        <v>6128.6</v>
      </c>
      <c r="P486" s="9" t="n">
        <v>612.86</v>
      </c>
      <c r="Q486" s="9" t="n">
        <v>612.86</v>
      </c>
      <c r="R486" s="9" t="n">
        <v>612.86</v>
      </c>
      <c r="S486" s="9" t="n">
        <v>612.86</v>
      </c>
      <c r="T486" s="9" t="n">
        <v>612.86</v>
      </c>
      <c r="U486" s="9" t="n">
        <v>612.86</v>
      </c>
      <c r="V486" s="9" t="n">
        <v>612.86</v>
      </c>
      <c r="W486" s="9" t="n">
        <v>612.86</v>
      </c>
      <c r="X486" s="9" t="n">
        <v>612.86</v>
      </c>
      <c r="Y486" s="9" t="n">
        <v>612.86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1471</v>
      </c>
      <c r="B487" s="3" t="s">
        <v>1172</v>
      </c>
      <c r="C487" s="3" t="s">
        <v>219</v>
      </c>
      <c r="D487" s="3" t="s">
        <v>220</v>
      </c>
      <c r="E487" s="3" t="n">
        <v>1984</v>
      </c>
      <c r="F487" s="3" t="s">
        <v>62</v>
      </c>
      <c r="G487" s="3" t="s">
        <v>63</v>
      </c>
      <c r="H487" s="3" t="s">
        <v>1472</v>
      </c>
      <c r="I487" s="3" t="s">
        <v>56</v>
      </c>
      <c r="J487" s="7" t="n">
        <v>1015000</v>
      </c>
      <c r="K487" s="3" t="s">
        <v>543</v>
      </c>
      <c r="L487" s="7" t="n">
        <v>11593.8</v>
      </c>
      <c r="M487" s="7" t="n">
        <v>1449.22</v>
      </c>
      <c r="N487" s="7" t="n">
        <v>1449.22</v>
      </c>
      <c r="O487" s="7" t="n">
        <v>8695.3</v>
      </c>
      <c r="P487" s="7" t="n">
        <v>869.53</v>
      </c>
      <c r="Q487" s="7" t="n">
        <v>869.53</v>
      </c>
      <c r="R487" s="7" t="n">
        <v>869.53</v>
      </c>
      <c r="S487" s="7" t="n">
        <v>869.53</v>
      </c>
      <c r="T487" s="7" t="n">
        <v>869.53</v>
      </c>
      <c r="U487" s="7" t="n">
        <v>869.53</v>
      </c>
      <c r="V487" s="7" t="n">
        <v>869.53</v>
      </c>
      <c r="W487" s="7" t="n">
        <v>869.53</v>
      </c>
      <c r="X487" s="7" t="n">
        <v>869.53</v>
      </c>
      <c r="Y487" s="7" t="n">
        <v>869.53</v>
      </c>
      <c r="Z487" s="7" t="n">
        <v>350</v>
      </c>
      <c r="AA487" s="7" t="n">
        <v>250</v>
      </c>
      <c r="AB487" s="7" t="n">
        <v>600</v>
      </c>
    </row>
    <row r="488" customFormat="false" ht="15" hidden="false" customHeight="false" outlineLevel="0" collapsed="false">
      <c r="A488" s="8" t="s">
        <v>1473</v>
      </c>
      <c r="B488" s="8" t="s">
        <v>1474</v>
      </c>
      <c r="C488" s="8" t="s">
        <v>171</v>
      </c>
      <c r="D488" s="8" t="s">
        <v>172</v>
      </c>
      <c r="E488" s="8" t="n">
        <v>1974</v>
      </c>
      <c r="F488" s="8" t="s">
        <v>107</v>
      </c>
      <c r="G488" s="8" t="s">
        <v>134</v>
      </c>
      <c r="H488" s="8" t="s">
        <v>1475</v>
      </c>
      <c r="I488" s="8" t="s">
        <v>56</v>
      </c>
      <c r="J488" s="9" t="n">
        <v>1775000</v>
      </c>
      <c r="K488" s="8" t="s">
        <v>994</v>
      </c>
      <c r="L488" s="9" t="n">
        <v>19651.03</v>
      </c>
      <c r="M488" s="9" t="n">
        <v>2456.38</v>
      </c>
      <c r="N488" s="9" t="n">
        <v>2456.38</v>
      </c>
      <c r="O488" s="9" t="n">
        <v>14738.3</v>
      </c>
      <c r="P488" s="9" t="n">
        <v>1473.83</v>
      </c>
      <c r="Q488" s="9" t="n">
        <v>1473.83</v>
      </c>
      <c r="R488" s="9" t="n">
        <v>1473.83</v>
      </c>
      <c r="S488" s="9" t="n">
        <v>1473.83</v>
      </c>
      <c r="T488" s="9" t="n">
        <v>1473.83</v>
      </c>
      <c r="U488" s="9" t="n">
        <v>1473.83</v>
      </c>
      <c r="V488" s="9" t="n">
        <v>1473.83</v>
      </c>
      <c r="W488" s="9" t="n">
        <v>1473.83</v>
      </c>
      <c r="X488" s="9" t="n">
        <v>1473.83</v>
      </c>
      <c r="Y488" s="9" t="n">
        <v>1473.83</v>
      </c>
      <c r="Z488" s="9" t="n">
        <v>350</v>
      </c>
      <c r="AA488" s="9" t="n">
        <v>250</v>
      </c>
      <c r="AB488" s="9" t="n">
        <v>600</v>
      </c>
    </row>
    <row r="489" customFormat="false" ht="15" hidden="false" customHeight="false" outlineLevel="0" collapsed="false">
      <c r="A489" s="3" t="s">
        <v>1476</v>
      </c>
      <c r="B489" s="3" t="s">
        <v>1477</v>
      </c>
      <c r="C489" s="3" t="s">
        <v>161</v>
      </c>
      <c r="D489" s="3" t="s">
        <v>162</v>
      </c>
      <c r="E489" s="3" t="n">
        <v>1964</v>
      </c>
      <c r="F489" s="3" t="s">
        <v>195</v>
      </c>
      <c r="G489" s="3" t="s">
        <v>196</v>
      </c>
      <c r="H489" s="3" t="s">
        <v>1478</v>
      </c>
      <c r="I489" s="3" t="s">
        <v>47</v>
      </c>
      <c r="J489" s="7" t="n">
        <v>1205000</v>
      </c>
      <c r="K489" s="3" t="s">
        <v>322</v>
      </c>
      <c r="L489" s="7" t="n">
        <v>19250.44</v>
      </c>
      <c r="M489" s="7" t="n">
        <v>2406.3</v>
      </c>
      <c r="N489" s="7" t="n">
        <v>2406.3</v>
      </c>
      <c r="O489" s="7" t="n">
        <v>14437.8</v>
      </c>
      <c r="P489" s="7" t="n">
        <v>1443.78</v>
      </c>
      <c r="Q489" s="7" t="n">
        <v>1443.78</v>
      </c>
      <c r="R489" s="7" t="n">
        <v>1443.78</v>
      </c>
      <c r="S489" s="7" t="n">
        <v>1443.78</v>
      </c>
      <c r="T489" s="7" t="n">
        <v>1443.78</v>
      </c>
      <c r="U489" s="7" t="n">
        <v>1443.78</v>
      </c>
      <c r="V489" s="7" t="n">
        <v>1443.78</v>
      </c>
      <c r="W489" s="7" t="n">
        <v>1443.78</v>
      </c>
      <c r="X489" s="7" t="n">
        <v>1443.78</v>
      </c>
      <c r="Y489" s="7" t="n">
        <v>1443.78</v>
      </c>
      <c r="Z489" s="7" t="n">
        <v>350</v>
      </c>
      <c r="AA489" s="7" t="n">
        <v>250</v>
      </c>
      <c r="AB489" s="7" t="n">
        <v>600</v>
      </c>
    </row>
    <row r="490" customFormat="false" ht="15" hidden="false" customHeight="false" outlineLevel="0" collapsed="false">
      <c r="A490" s="8" t="s">
        <v>1479</v>
      </c>
      <c r="B490" s="8" t="s">
        <v>1193</v>
      </c>
      <c r="C490" s="8" t="s">
        <v>189</v>
      </c>
      <c r="D490" s="8" t="s">
        <v>190</v>
      </c>
      <c r="E490" s="8" t="n">
        <v>2015</v>
      </c>
      <c r="F490" s="8" t="s">
        <v>44</v>
      </c>
      <c r="G490" s="8" t="s">
        <v>45</v>
      </c>
      <c r="H490" s="8" t="s">
        <v>1480</v>
      </c>
      <c r="I490" s="8" t="s">
        <v>47</v>
      </c>
      <c r="J490" s="9" t="n">
        <v>1190000</v>
      </c>
      <c r="K490" s="8" t="s">
        <v>150</v>
      </c>
      <c r="L490" s="9" t="n">
        <v>18554.55</v>
      </c>
      <c r="M490" s="9" t="n">
        <v>2319.32</v>
      </c>
      <c r="N490" s="9" t="n">
        <v>2319.32</v>
      </c>
      <c r="O490" s="9" t="n">
        <v>13915.9</v>
      </c>
      <c r="P490" s="9" t="n">
        <v>1391.59</v>
      </c>
      <c r="Q490" s="9" t="n">
        <v>1391.59</v>
      </c>
      <c r="R490" s="9" t="n">
        <v>1391.59</v>
      </c>
      <c r="S490" s="9" t="n">
        <v>1391.59</v>
      </c>
      <c r="T490" s="9" t="n">
        <v>1391.59</v>
      </c>
      <c r="U490" s="9" t="n">
        <v>1391.59</v>
      </c>
      <c r="V490" s="9" t="n">
        <v>1391.59</v>
      </c>
      <c r="W490" s="9" t="n">
        <v>1391.59</v>
      </c>
      <c r="X490" s="9" t="n">
        <v>1391.59</v>
      </c>
      <c r="Y490" s="9" t="n">
        <v>1391.59</v>
      </c>
      <c r="Z490" s="9" t="n">
        <v>350</v>
      </c>
      <c r="AA490" s="9" t="n">
        <v>250</v>
      </c>
      <c r="AB490" s="9" t="n">
        <v>600</v>
      </c>
    </row>
    <row r="491" customFormat="false" ht="15" hidden="false" customHeight="false" outlineLevel="0" collapsed="false">
      <c r="A491" s="3" t="s">
        <v>1481</v>
      </c>
      <c r="B491" s="3" t="s">
        <v>1482</v>
      </c>
      <c r="C491" s="3" t="s">
        <v>128</v>
      </c>
      <c r="D491" s="3" t="s">
        <v>129</v>
      </c>
      <c r="E491" s="3" t="n">
        <v>1987</v>
      </c>
      <c r="F491" s="3" t="s">
        <v>62</v>
      </c>
      <c r="G491" s="3" t="s">
        <v>63</v>
      </c>
      <c r="H491" s="3" t="s">
        <v>1483</v>
      </c>
      <c r="I491" s="3" t="s">
        <v>56</v>
      </c>
      <c r="J491" s="7" t="n">
        <v>610000</v>
      </c>
      <c r="K491" s="3" t="s">
        <v>519</v>
      </c>
      <c r="L491" s="7" t="n">
        <v>6967.71</v>
      </c>
      <c r="M491" s="7" t="n">
        <v>870.96</v>
      </c>
      <c r="N491" s="7" t="n">
        <v>870.96</v>
      </c>
      <c r="O491" s="7" t="n">
        <v>5225.8</v>
      </c>
      <c r="P491" s="7" t="n">
        <v>522.58</v>
      </c>
      <c r="Q491" s="7" t="n">
        <v>522.58</v>
      </c>
      <c r="R491" s="7" t="n">
        <v>522.58</v>
      </c>
      <c r="S491" s="7" t="n">
        <v>522.58</v>
      </c>
      <c r="T491" s="7" t="n">
        <v>522.58</v>
      </c>
      <c r="U491" s="7" t="n">
        <v>522.58</v>
      </c>
      <c r="V491" s="7" t="n">
        <v>522.58</v>
      </c>
      <c r="W491" s="7" t="n">
        <v>522.58</v>
      </c>
      <c r="X491" s="7" t="n">
        <v>522.58</v>
      </c>
      <c r="Y491" s="7" t="n">
        <v>522.58</v>
      </c>
      <c r="Z491" s="7" t="n">
        <v>350</v>
      </c>
      <c r="AA491" s="7" t="n">
        <v>0</v>
      </c>
      <c r="AB491" s="7" t="n">
        <v>350</v>
      </c>
    </row>
    <row r="492" customFormat="false" ht="15" hidden="false" customHeight="false" outlineLevel="0" collapsed="false">
      <c r="A492" s="8" t="s">
        <v>1484</v>
      </c>
      <c r="B492" s="8" t="s">
        <v>418</v>
      </c>
      <c r="C492" s="8" t="s">
        <v>219</v>
      </c>
      <c r="D492" s="8" t="s">
        <v>220</v>
      </c>
      <c r="E492" s="8" t="n">
        <v>1969</v>
      </c>
      <c r="F492" s="8" t="s">
        <v>95</v>
      </c>
      <c r="G492" s="8" t="s">
        <v>96</v>
      </c>
      <c r="H492" s="8" t="s">
        <v>1485</v>
      </c>
      <c r="I492" s="8" t="s">
        <v>47</v>
      </c>
      <c r="J492" s="9" t="n">
        <v>290000</v>
      </c>
      <c r="K492" s="8" t="s">
        <v>228</v>
      </c>
      <c r="L492" s="9" t="n">
        <v>7405.67</v>
      </c>
      <c r="M492" s="9" t="n">
        <v>925.71</v>
      </c>
      <c r="N492" s="9" t="n">
        <v>925.71</v>
      </c>
      <c r="O492" s="9" t="n">
        <v>5554.3</v>
      </c>
      <c r="P492" s="9" t="n">
        <v>555.43</v>
      </c>
      <c r="Q492" s="9" t="n">
        <v>555.43</v>
      </c>
      <c r="R492" s="9" t="n">
        <v>555.43</v>
      </c>
      <c r="S492" s="9" t="n">
        <v>555.43</v>
      </c>
      <c r="T492" s="9" t="n">
        <v>555.43</v>
      </c>
      <c r="U492" s="9" t="n">
        <v>555.43</v>
      </c>
      <c r="V492" s="9" t="n">
        <v>555.43</v>
      </c>
      <c r="W492" s="9" t="n">
        <v>555.43</v>
      </c>
      <c r="X492" s="9" t="n">
        <v>555.43</v>
      </c>
      <c r="Y492" s="9" t="n">
        <v>555.43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1486</v>
      </c>
      <c r="B493" s="3" t="s">
        <v>1487</v>
      </c>
      <c r="C493" s="3" t="s">
        <v>284</v>
      </c>
      <c r="D493" s="3" t="s">
        <v>285</v>
      </c>
      <c r="E493" s="3" t="n">
        <v>1990</v>
      </c>
      <c r="F493" s="3" t="s">
        <v>122</v>
      </c>
      <c r="G493" s="3" t="s">
        <v>123</v>
      </c>
      <c r="H493" s="3" t="s">
        <v>1488</v>
      </c>
      <c r="I493" s="3" t="s">
        <v>56</v>
      </c>
      <c r="J493" s="7" t="n">
        <v>630000</v>
      </c>
      <c r="K493" s="3" t="s">
        <v>525</v>
      </c>
      <c r="L493" s="7" t="n">
        <v>7915.76</v>
      </c>
      <c r="M493" s="7" t="n">
        <v>989.47</v>
      </c>
      <c r="N493" s="7" t="n">
        <v>989.47</v>
      </c>
      <c r="O493" s="7" t="n">
        <v>5936.8</v>
      </c>
      <c r="P493" s="7" t="n">
        <v>593.68</v>
      </c>
      <c r="Q493" s="7" t="n">
        <v>593.68</v>
      </c>
      <c r="R493" s="7" t="n">
        <v>593.68</v>
      </c>
      <c r="S493" s="7" t="n">
        <v>593.68</v>
      </c>
      <c r="T493" s="7" t="n">
        <v>593.68</v>
      </c>
      <c r="U493" s="7" t="n">
        <v>593.68</v>
      </c>
      <c r="V493" s="7" t="n">
        <v>593.68</v>
      </c>
      <c r="W493" s="7" t="n">
        <v>593.68</v>
      </c>
      <c r="X493" s="7" t="n">
        <v>593.68</v>
      </c>
      <c r="Y493" s="7" t="n">
        <v>593.68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1489</v>
      </c>
      <c r="B494" s="8" t="s">
        <v>1299</v>
      </c>
      <c r="C494" s="8" t="s">
        <v>507</v>
      </c>
      <c r="D494" s="8" t="s">
        <v>508</v>
      </c>
      <c r="E494" s="8" t="n">
        <v>1965</v>
      </c>
      <c r="F494" s="8" t="s">
        <v>155</v>
      </c>
      <c r="G494" s="8" t="s">
        <v>191</v>
      </c>
      <c r="H494" s="8" t="s">
        <v>1490</v>
      </c>
      <c r="I494" s="8" t="s">
        <v>56</v>
      </c>
      <c r="J494" s="9" t="n">
        <v>865000</v>
      </c>
      <c r="K494" s="8" t="s">
        <v>86</v>
      </c>
      <c r="L494" s="9" t="n">
        <v>12125.98</v>
      </c>
      <c r="M494" s="9" t="n">
        <v>1515.75</v>
      </c>
      <c r="N494" s="9" t="n">
        <v>1515.75</v>
      </c>
      <c r="O494" s="9" t="n">
        <v>9094.5</v>
      </c>
      <c r="P494" s="9" t="n">
        <v>909.45</v>
      </c>
      <c r="Q494" s="9" t="n">
        <v>909.45</v>
      </c>
      <c r="R494" s="9" t="n">
        <v>909.45</v>
      </c>
      <c r="S494" s="9" t="n">
        <v>909.45</v>
      </c>
      <c r="T494" s="9" t="n">
        <v>909.45</v>
      </c>
      <c r="U494" s="9" t="n">
        <v>909.45</v>
      </c>
      <c r="V494" s="9" t="n">
        <v>909.45</v>
      </c>
      <c r="W494" s="9" t="n">
        <v>909.45</v>
      </c>
      <c r="X494" s="9" t="n">
        <v>909.45</v>
      </c>
      <c r="Y494" s="9" t="n">
        <v>909.45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1491</v>
      </c>
      <c r="B495" s="3" t="s">
        <v>675</v>
      </c>
      <c r="C495" s="3" t="s">
        <v>81</v>
      </c>
      <c r="D495" s="3" t="s">
        <v>82</v>
      </c>
      <c r="E495" s="3" t="n">
        <v>1959</v>
      </c>
      <c r="F495" s="3" t="s">
        <v>155</v>
      </c>
      <c r="G495" s="3" t="s">
        <v>191</v>
      </c>
      <c r="H495" s="3" t="s">
        <v>1492</v>
      </c>
      <c r="I495" s="3" t="s">
        <v>56</v>
      </c>
      <c r="J495" s="7" t="n">
        <v>425000</v>
      </c>
      <c r="K495" s="3" t="s">
        <v>275</v>
      </c>
      <c r="L495" s="7" t="n">
        <v>5856.01</v>
      </c>
      <c r="M495" s="7" t="n">
        <v>732</v>
      </c>
      <c r="N495" s="7" t="n">
        <v>732</v>
      </c>
      <c r="O495" s="7" t="n">
        <v>4392</v>
      </c>
      <c r="P495" s="7" t="n">
        <v>439.2</v>
      </c>
      <c r="Q495" s="7" t="n">
        <v>439.2</v>
      </c>
      <c r="R495" s="7" t="n">
        <v>439.2</v>
      </c>
      <c r="S495" s="7" t="n">
        <v>439.2</v>
      </c>
      <c r="T495" s="7" t="n">
        <v>439.2</v>
      </c>
      <c r="U495" s="7" t="n">
        <v>439.2</v>
      </c>
      <c r="V495" s="7" t="n">
        <v>439.2</v>
      </c>
      <c r="W495" s="7" t="n">
        <v>439.2</v>
      </c>
      <c r="X495" s="7" t="n">
        <v>439.2</v>
      </c>
      <c r="Y495" s="7" t="n">
        <v>439.2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1493</v>
      </c>
      <c r="B496" s="8" t="s">
        <v>1494</v>
      </c>
      <c r="C496" s="8" t="s">
        <v>261</v>
      </c>
      <c r="D496" s="8" t="s">
        <v>262</v>
      </c>
      <c r="E496" s="8" t="n">
        <v>2017</v>
      </c>
      <c r="F496" s="8" t="s">
        <v>122</v>
      </c>
      <c r="G496" s="8" t="s">
        <v>123</v>
      </c>
      <c r="H496" s="8" t="s">
        <v>1495</v>
      </c>
      <c r="I496" s="8" t="s">
        <v>56</v>
      </c>
      <c r="J496" s="9" t="n">
        <v>335000</v>
      </c>
      <c r="K496" s="8" t="s">
        <v>174</v>
      </c>
      <c r="L496" s="9" t="n">
        <v>3732.87</v>
      </c>
      <c r="M496" s="9" t="n">
        <v>466.61</v>
      </c>
      <c r="N496" s="9" t="n">
        <v>466.61</v>
      </c>
      <c r="O496" s="9" t="n">
        <v>2799.7</v>
      </c>
      <c r="P496" s="9" t="n">
        <v>279.97</v>
      </c>
      <c r="Q496" s="9" t="n">
        <v>279.97</v>
      </c>
      <c r="R496" s="9" t="n">
        <v>279.97</v>
      </c>
      <c r="S496" s="9" t="n">
        <v>279.97</v>
      </c>
      <c r="T496" s="9" t="n">
        <v>279.97</v>
      </c>
      <c r="U496" s="9" t="n">
        <v>279.97</v>
      </c>
      <c r="V496" s="9" t="n">
        <v>279.97</v>
      </c>
      <c r="W496" s="9" t="n">
        <v>279.97</v>
      </c>
      <c r="X496" s="9" t="n">
        <v>279.97</v>
      </c>
      <c r="Y496" s="9" t="n">
        <v>279.97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1496</v>
      </c>
      <c r="B497" s="3" t="s">
        <v>1497</v>
      </c>
      <c r="C497" s="3" t="s">
        <v>261</v>
      </c>
      <c r="D497" s="3" t="s">
        <v>262</v>
      </c>
      <c r="E497" s="3" t="n">
        <v>2015</v>
      </c>
      <c r="F497" s="3" t="s">
        <v>122</v>
      </c>
      <c r="G497" s="3" t="s">
        <v>123</v>
      </c>
      <c r="H497" s="3" t="s">
        <v>1498</v>
      </c>
      <c r="I497" s="3" t="s">
        <v>56</v>
      </c>
      <c r="J497" s="7" t="n">
        <v>540000</v>
      </c>
      <c r="K497" s="3" t="s">
        <v>86</v>
      </c>
      <c r="L497" s="7" t="n">
        <v>7569.98</v>
      </c>
      <c r="M497" s="7" t="n">
        <v>946.25</v>
      </c>
      <c r="N497" s="7" t="n">
        <v>946.25</v>
      </c>
      <c r="O497" s="7" t="n">
        <v>5677.5</v>
      </c>
      <c r="P497" s="7" t="n">
        <v>567.75</v>
      </c>
      <c r="Q497" s="7" t="n">
        <v>567.75</v>
      </c>
      <c r="R497" s="7" t="n">
        <v>567.75</v>
      </c>
      <c r="S497" s="7" t="n">
        <v>567.75</v>
      </c>
      <c r="T497" s="7" t="n">
        <v>567.75</v>
      </c>
      <c r="U497" s="7" t="n">
        <v>567.75</v>
      </c>
      <c r="V497" s="7" t="n">
        <v>567.75</v>
      </c>
      <c r="W497" s="7" t="n">
        <v>567.75</v>
      </c>
      <c r="X497" s="7" t="n">
        <v>567.75</v>
      </c>
      <c r="Y497" s="7" t="n">
        <v>567.75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8" t="s">
        <v>1499</v>
      </c>
      <c r="B498" s="8" t="s">
        <v>370</v>
      </c>
      <c r="C498" s="8" t="s">
        <v>171</v>
      </c>
      <c r="D498" s="8" t="s">
        <v>172</v>
      </c>
      <c r="E498" s="8" t="n">
        <v>1999</v>
      </c>
      <c r="F498" s="8" t="s">
        <v>83</v>
      </c>
      <c r="G498" s="8" t="s">
        <v>84</v>
      </c>
      <c r="H498" s="8" t="s">
        <v>1500</v>
      </c>
      <c r="I498" s="8" t="s">
        <v>56</v>
      </c>
      <c r="J498" s="9" t="n">
        <v>480000</v>
      </c>
      <c r="K498" s="8" t="s">
        <v>131</v>
      </c>
      <c r="L498" s="9" t="n">
        <v>7476.52</v>
      </c>
      <c r="M498" s="9" t="n">
        <v>934.57</v>
      </c>
      <c r="N498" s="9" t="n">
        <v>934.57</v>
      </c>
      <c r="O498" s="9" t="n">
        <v>5607.4</v>
      </c>
      <c r="P498" s="9" t="n">
        <v>560.74</v>
      </c>
      <c r="Q498" s="9" t="n">
        <v>560.74</v>
      </c>
      <c r="R498" s="9" t="n">
        <v>560.74</v>
      </c>
      <c r="S498" s="9" t="n">
        <v>560.74</v>
      </c>
      <c r="T498" s="9" t="n">
        <v>560.74</v>
      </c>
      <c r="U498" s="9" t="n">
        <v>560.74</v>
      </c>
      <c r="V498" s="9" t="n">
        <v>560.74</v>
      </c>
      <c r="W498" s="9" t="n">
        <v>560.74</v>
      </c>
      <c r="X498" s="9" t="n">
        <v>560.74</v>
      </c>
      <c r="Y498" s="9" t="n">
        <v>560.74</v>
      </c>
      <c r="Z498" s="9" t="n">
        <v>350</v>
      </c>
      <c r="AA498" s="9" t="n">
        <v>0</v>
      </c>
      <c r="AB498" s="9" t="n">
        <v>350</v>
      </c>
    </row>
    <row r="499" customFormat="false" ht="15" hidden="false" customHeight="false" outlineLevel="0" collapsed="false">
      <c r="A499" s="3" t="s">
        <v>1501</v>
      </c>
      <c r="B499" s="3" t="s">
        <v>492</v>
      </c>
      <c r="C499" s="3" t="s">
        <v>81</v>
      </c>
      <c r="D499" s="3" t="s">
        <v>82</v>
      </c>
      <c r="E499" s="3" t="n">
        <v>1993</v>
      </c>
      <c r="F499" s="3" t="s">
        <v>62</v>
      </c>
      <c r="G499" s="3" t="s">
        <v>63</v>
      </c>
      <c r="H499" s="3" t="s">
        <v>1502</v>
      </c>
      <c r="I499" s="3" t="s">
        <v>56</v>
      </c>
      <c r="J499" s="7" t="n">
        <v>320000</v>
      </c>
      <c r="K499" s="3" t="s">
        <v>525</v>
      </c>
      <c r="L499" s="7" t="n">
        <v>4639.28</v>
      </c>
      <c r="M499" s="7" t="n">
        <v>579.91</v>
      </c>
      <c r="N499" s="7" t="n">
        <v>579.91</v>
      </c>
      <c r="O499" s="7" t="n">
        <v>3479.5</v>
      </c>
      <c r="P499" s="7" t="n">
        <v>347.95</v>
      </c>
      <c r="Q499" s="7" t="n">
        <v>347.95</v>
      </c>
      <c r="R499" s="7" t="n">
        <v>347.95</v>
      </c>
      <c r="S499" s="7" t="n">
        <v>347.95</v>
      </c>
      <c r="T499" s="7" t="n">
        <v>347.95</v>
      </c>
      <c r="U499" s="7" t="n">
        <v>347.95</v>
      </c>
      <c r="V499" s="7" t="n">
        <v>347.95</v>
      </c>
      <c r="W499" s="7" t="n">
        <v>347.95</v>
      </c>
      <c r="X499" s="7" t="n">
        <v>347.95</v>
      </c>
      <c r="Y499" s="7" t="n">
        <v>347.95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1503</v>
      </c>
      <c r="B500" s="8" t="s">
        <v>660</v>
      </c>
      <c r="C500" s="8" t="s">
        <v>183</v>
      </c>
      <c r="D500" s="8" t="s">
        <v>184</v>
      </c>
      <c r="E500" s="8" t="n">
        <v>1980</v>
      </c>
      <c r="F500" s="8" t="s">
        <v>44</v>
      </c>
      <c r="G500" s="8" t="s">
        <v>240</v>
      </c>
      <c r="H500" s="8" t="s">
        <v>1504</v>
      </c>
      <c r="I500" s="8" t="s">
        <v>47</v>
      </c>
      <c r="J500" s="9" t="n">
        <v>520000</v>
      </c>
      <c r="K500" s="8" t="s">
        <v>164</v>
      </c>
      <c r="L500" s="9" t="n">
        <v>8049.72</v>
      </c>
      <c r="M500" s="9" t="n">
        <v>1006.22</v>
      </c>
      <c r="N500" s="9" t="n">
        <v>1006.22</v>
      </c>
      <c r="O500" s="9" t="n">
        <v>6037.3</v>
      </c>
      <c r="P500" s="9" t="n">
        <v>603.73</v>
      </c>
      <c r="Q500" s="9" t="n">
        <v>603.73</v>
      </c>
      <c r="R500" s="9" t="n">
        <v>603.73</v>
      </c>
      <c r="S500" s="9" t="n">
        <v>603.73</v>
      </c>
      <c r="T500" s="9" t="n">
        <v>603.73</v>
      </c>
      <c r="U500" s="9" t="n">
        <v>603.73</v>
      </c>
      <c r="V500" s="9" t="n">
        <v>603.73</v>
      </c>
      <c r="W500" s="9" t="n">
        <v>603.73</v>
      </c>
      <c r="X500" s="9" t="n">
        <v>603.73</v>
      </c>
      <c r="Y500" s="9" t="n">
        <v>603.73</v>
      </c>
      <c r="Z500" s="9" t="n">
        <v>350</v>
      </c>
      <c r="AA500" s="9" t="n">
        <v>0</v>
      </c>
      <c r="AB500" s="9" t="n">
        <v>350</v>
      </c>
    </row>
    <row r="501" customFormat="false" ht="15" hidden="false" customHeight="false" outlineLevel="0" collapsed="false">
      <c r="A501" s="3" t="s">
        <v>1505</v>
      </c>
      <c r="B501" s="3" t="s">
        <v>1506</v>
      </c>
      <c r="C501" s="3" t="s">
        <v>60</v>
      </c>
      <c r="D501" s="3" t="s">
        <v>61</v>
      </c>
      <c r="E501" s="3" t="n">
        <v>1996</v>
      </c>
      <c r="F501" s="3" t="s">
        <v>62</v>
      </c>
      <c r="G501" s="3" t="s">
        <v>63</v>
      </c>
      <c r="H501" s="3" t="s">
        <v>1507</v>
      </c>
      <c r="I501" s="3" t="s">
        <v>56</v>
      </c>
      <c r="J501" s="7" t="n">
        <v>370000</v>
      </c>
      <c r="K501" s="3" t="s">
        <v>168</v>
      </c>
      <c r="L501" s="7" t="n">
        <v>4255.87</v>
      </c>
      <c r="M501" s="7" t="n">
        <v>531.98</v>
      </c>
      <c r="N501" s="7" t="n">
        <v>531.98</v>
      </c>
      <c r="O501" s="7" t="n">
        <v>3191.9</v>
      </c>
      <c r="P501" s="7" t="n">
        <v>319.19</v>
      </c>
      <c r="Q501" s="7" t="n">
        <v>319.19</v>
      </c>
      <c r="R501" s="7" t="n">
        <v>319.19</v>
      </c>
      <c r="S501" s="7" t="n">
        <v>319.19</v>
      </c>
      <c r="T501" s="7" t="n">
        <v>319.19</v>
      </c>
      <c r="U501" s="7" t="n">
        <v>319.19</v>
      </c>
      <c r="V501" s="7" t="n">
        <v>319.19</v>
      </c>
      <c r="W501" s="7" t="n">
        <v>319.19</v>
      </c>
      <c r="X501" s="7" t="n">
        <v>319.19</v>
      </c>
      <c r="Y501" s="7" t="n">
        <v>319.19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1508</v>
      </c>
      <c r="B502" s="8" t="s">
        <v>1509</v>
      </c>
      <c r="C502" s="8" t="s">
        <v>284</v>
      </c>
      <c r="D502" s="8" t="s">
        <v>285</v>
      </c>
      <c r="E502" s="8" t="n">
        <v>1990</v>
      </c>
      <c r="F502" s="8" t="s">
        <v>44</v>
      </c>
      <c r="G502" s="8" t="s">
        <v>45</v>
      </c>
      <c r="H502" s="8" t="s">
        <v>1510</v>
      </c>
      <c r="I502" s="8" t="s">
        <v>47</v>
      </c>
      <c r="J502" s="9" t="n">
        <v>480000</v>
      </c>
      <c r="K502" s="8" t="s">
        <v>168</v>
      </c>
      <c r="L502" s="9" t="n">
        <v>8465.72</v>
      </c>
      <c r="M502" s="9" t="n">
        <v>1058.21</v>
      </c>
      <c r="N502" s="9" t="n">
        <v>1058.21</v>
      </c>
      <c r="O502" s="9" t="n">
        <v>6349.3</v>
      </c>
      <c r="P502" s="9" t="n">
        <v>634.93</v>
      </c>
      <c r="Q502" s="9" t="n">
        <v>634.93</v>
      </c>
      <c r="R502" s="9" t="n">
        <v>634.93</v>
      </c>
      <c r="S502" s="9" t="n">
        <v>634.93</v>
      </c>
      <c r="T502" s="9" t="n">
        <v>634.93</v>
      </c>
      <c r="U502" s="9" t="n">
        <v>634.93</v>
      </c>
      <c r="V502" s="9" t="n">
        <v>634.93</v>
      </c>
      <c r="W502" s="9" t="n">
        <v>634.93</v>
      </c>
      <c r="X502" s="9" t="n">
        <v>634.93</v>
      </c>
      <c r="Y502" s="9" t="n">
        <v>634.93</v>
      </c>
      <c r="Z502" s="9" t="n">
        <v>350</v>
      </c>
      <c r="AA502" s="9" t="n">
        <v>0</v>
      </c>
      <c r="AB502" s="9" t="n">
        <v>350</v>
      </c>
    </row>
    <row r="503" customFormat="false" ht="15" hidden="false" customHeight="false" outlineLevel="0" collapsed="false">
      <c r="A503" s="3" t="s">
        <v>1511</v>
      </c>
      <c r="B503" s="3" t="s">
        <v>697</v>
      </c>
      <c r="C503" s="3" t="s">
        <v>183</v>
      </c>
      <c r="D503" s="3" t="s">
        <v>184</v>
      </c>
      <c r="E503" s="3" t="n">
        <v>1964</v>
      </c>
      <c r="F503" s="3" t="s">
        <v>83</v>
      </c>
      <c r="G503" s="3" t="s">
        <v>84</v>
      </c>
      <c r="H503" s="3" t="s">
        <v>1512</v>
      </c>
      <c r="I503" s="3" t="s">
        <v>56</v>
      </c>
      <c r="J503" s="7" t="n">
        <v>985000</v>
      </c>
      <c r="K503" s="3" t="s">
        <v>762</v>
      </c>
      <c r="L503" s="7" t="n">
        <v>11148.85</v>
      </c>
      <c r="M503" s="7" t="n">
        <v>1393.61</v>
      </c>
      <c r="N503" s="7" t="n">
        <v>1393.61</v>
      </c>
      <c r="O503" s="7" t="n">
        <v>8361.6</v>
      </c>
      <c r="P503" s="7" t="n">
        <v>836.16</v>
      </c>
      <c r="Q503" s="7" t="n">
        <v>836.16</v>
      </c>
      <c r="R503" s="7" t="n">
        <v>836.16</v>
      </c>
      <c r="S503" s="7" t="n">
        <v>836.16</v>
      </c>
      <c r="T503" s="7" t="n">
        <v>836.16</v>
      </c>
      <c r="U503" s="7" t="n">
        <v>836.16</v>
      </c>
      <c r="V503" s="7" t="n">
        <v>836.16</v>
      </c>
      <c r="W503" s="7" t="n">
        <v>836.16</v>
      </c>
      <c r="X503" s="7" t="n">
        <v>836.16</v>
      </c>
      <c r="Y503" s="7" t="n">
        <v>836.16</v>
      </c>
      <c r="Z503" s="7" t="n">
        <v>350</v>
      </c>
      <c r="AA503" s="7" t="n">
        <v>0</v>
      </c>
      <c r="AB503" s="7" t="n">
        <v>350</v>
      </c>
    </row>
    <row r="504" customFormat="false" ht="15" hidden="false" customHeight="false" outlineLevel="0" collapsed="false">
      <c r="A504" s="8" t="s">
        <v>1513</v>
      </c>
      <c r="B504" s="8" t="s">
        <v>784</v>
      </c>
      <c r="C504" s="8" t="s">
        <v>42</v>
      </c>
      <c r="D504" s="8" t="s">
        <v>43</v>
      </c>
      <c r="E504" s="8" t="n">
        <v>2014</v>
      </c>
      <c r="F504" s="8" t="s">
        <v>83</v>
      </c>
      <c r="G504" s="8" t="s">
        <v>84</v>
      </c>
      <c r="H504" s="8" t="s">
        <v>1514</v>
      </c>
      <c r="I504" s="8" t="s">
        <v>56</v>
      </c>
      <c r="J504" s="9" t="n">
        <v>415000</v>
      </c>
      <c r="K504" s="8" t="s">
        <v>258</v>
      </c>
      <c r="L504" s="9" t="n">
        <v>5270.71</v>
      </c>
      <c r="M504" s="9" t="n">
        <v>658.84</v>
      </c>
      <c r="N504" s="9" t="n">
        <v>658.84</v>
      </c>
      <c r="O504" s="9" t="n">
        <v>3953</v>
      </c>
      <c r="P504" s="9" t="n">
        <v>395.3</v>
      </c>
      <c r="Q504" s="9" t="n">
        <v>395.3</v>
      </c>
      <c r="R504" s="9" t="n">
        <v>395.3</v>
      </c>
      <c r="S504" s="9" t="n">
        <v>395.3</v>
      </c>
      <c r="T504" s="9" t="n">
        <v>395.3</v>
      </c>
      <c r="U504" s="9" t="n">
        <v>395.3</v>
      </c>
      <c r="V504" s="9" t="n">
        <v>395.3</v>
      </c>
      <c r="W504" s="9" t="n">
        <v>395.3</v>
      </c>
      <c r="X504" s="9" t="n">
        <v>395.3</v>
      </c>
      <c r="Y504" s="9" t="n">
        <v>395.3</v>
      </c>
      <c r="Z504" s="9" t="n">
        <v>350</v>
      </c>
      <c r="AA504" s="9" t="n">
        <v>0</v>
      </c>
      <c r="AB504" s="9" t="n">
        <v>350</v>
      </c>
    </row>
    <row r="505" customFormat="false" ht="15" hidden="false" customHeight="false" outlineLevel="0" collapsed="false">
      <c r="A505" s="3" t="s">
        <v>1515</v>
      </c>
      <c r="B505" s="3" t="s">
        <v>1110</v>
      </c>
      <c r="C505" s="3" t="s">
        <v>252</v>
      </c>
      <c r="D505" s="3" t="s">
        <v>253</v>
      </c>
      <c r="E505" s="3" t="n">
        <v>1973</v>
      </c>
      <c r="F505" s="3" t="s">
        <v>155</v>
      </c>
      <c r="G505" s="3" t="s">
        <v>156</v>
      </c>
      <c r="H505" s="3" t="s">
        <v>1516</v>
      </c>
      <c r="I505" s="3" t="s">
        <v>78</v>
      </c>
      <c r="J505" s="7" t="n">
        <v>1085000</v>
      </c>
      <c r="K505" s="3" t="s">
        <v>436</v>
      </c>
      <c r="L505" s="7" t="n">
        <v>7574.69</v>
      </c>
      <c r="M505" s="7" t="n">
        <v>946.84</v>
      </c>
      <c r="N505" s="7" t="n">
        <v>946.84</v>
      </c>
      <c r="O505" s="7" t="n">
        <v>5681</v>
      </c>
      <c r="P505" s="7" t="n">
        <v>568.1</v>
      </c>
      <c r="Q505" s="7" t="n">
        <v>568.1</v>
      </c>
      <c r="R505" s="7" t="n">
        <v>568.1</v>
      </c>
      <c r="S505" s="7" t="n">
        <v>568.1</v>
      </c>
      <c r="T505" s="7" t="n">
        <v>568.1</v>
      </c>
      <c r="U505" s="7" t="n">
        <v>568.1</v>
      </c>
      <c r="V505" s="7" t="n">
        <v>568.1</v>
      </c>
      <c r="W505" s="7" t="n">
        <v>568.1</v>
      </c>
      <c r="X505" s="7" t="n">
        <v>568.1</v>
      </c>
      <c r="Y505" s="7" t="n">
        <v>568.1</v>
      </c>
      <c r="Z505" s="7" t="n">
        <v>350</v>
      </c>
      <c r="AA505" s="7" t="n">
        <v>250</v>
      </c>
      <c r="AB505" s="7" t="n">
        <v>600</v>
      </c>
    </row>
    <row r="506" customFormat="false" ht="15" hidden="false" customHeight="false" outlineLevel="0" collapsed="false">
      <c r="A506" s="8" t="s">
        <v>1517</v>
      </c>
      <c r="B506" s="8" t="s">
        <v>194</v>
      </c>
      <c r="C506" s="8" t="s">
        <v>284</v>
      </c>
      <c r="D506" s="8" t="s">
        <v>285</v>
      </c>
      <c r="E506" s="8" t="n">
        <v>2005</v>
      </c>
      <c r="F506" s="8" t="s">
        <v>44</v>
      </c>
      <c r="G506" s="8" t="s">
        <v>45</v>
      </c>
      <c r="H506" s="8" t="s">
        <v>1518</v>
      </c>
      <c r="I506" s="8" t="s">
        <v>47</v>
      </c>
      <c r="J506" s="9" t="n">
        <v>255000</v>
      </c>
      <c r="K506" s="8" t="s">
        <v>205</v>
      </c>
      <c r="L506" s="9" t="n">
        <v>4731.66</v>
      </c>
      <c r="M506" s="9" t="n">
        <v>591.46</v>
      </c>
      <c r="N506" s="9" t="n">
        <v>591.46</v>
      </c>
      <c r="O506" s="9" t="n">
        <v>3548.7</v>
      </c>
      <c r="P506" s="9" t="n">
        <v>354.87</v>
      </c>
      <c r="Q506" s="9" t="n">
        <v>354.87</v>
      </c>
      <c r="R506" s="9" t="n">
        <v>354.87</v>
      </c>
      <c r="S506" s="9" t="n">
        <v>354.87</v>
      </c>
      <c r="T506" s="9" t="n">
        <v>354.87</v>
      </c>
      <c r="U506" s="9" t="n">
        <v>354.87</v>
      </c>
      <c r="V506" s="9" t="n">
        <v>354.87</v>
      </c>
      <c r="W506" s="9" t="n">
        <v>354.87</v>
      </c>
      <c r="X506" s="9" t="n">
        <v>354.87</v>
      </c>
      <c r="Y506" s="9" t="n">
        <v>354.87</v>
      </c>
      <c r="Z506" s="9" t="n">
        <v>350</v>
      </c>
      <c r="AA506" s="9" t="n">
        <v>0</v>
      </c>
      <c r="AB506" s="9" t="n">
        <v>350</v>
      </c>
    </row>
    <row r="507" customFormat="false" ht="15" hidden="false" customHeight="false" outlineLevel="0" collapsed="false">
      <c r="A507" s="3" t="s">
        <v>1519</v>
      </c>
      <c r="B507" s="3" t="s">
        <v>1520</v>
      </c>
      <c r="C507" s="3" t="s">
        <v>238</v>
      </c>
      <c r="D507" s="3" t="s">
        <v>239</v>
      </c>
      <c r="E507" s="3" t="n">
        <v>1958</v>
      </c>
      <c r="F507" s="3" t="s">
        <v>62</v>
      </c>
      <c r="G507" s="3" t="s">
        <v>63</v>
      </c>
      <c r="H507" s="3" t="s">
        <v>1521</v>
      </c>
      <c r="I507" s="3" t="s">
        <v>56</v>
      </c>
      <c r="J507" s="7" t="n">
        <v>345000</v>
      </c>
      <c r="K507" s="3" t="s">
        <v>228</v>
      </c>
      <c r="L507" s="7" t="n">
        <v>5745.77</v>
      </c>
      <c r="M507" s="7" t="n">
        <v>718.22</v>
      </c>
      <c r="N507" s="7" t="n">
        <v>718.22</v>
      </c>
      <c r="O507" s="7" t="n">
        <v>4309.3</v>
      </c>
      <c r="P507" s="7" t="n">
        <v>430.93</v>
      </c>
      <c r="Q507" s="7" t="n">
        <v>430.93</v>
      </c>
      <c r="R507" s="7" t="n">
        <v>430.93</v>
      </c>
      <c r="S507" s="7" t="n">
        <v>430.93</v>
      </c>
      <c r="T507" s="7" t="n">
        <v>430.93</v>
      </c>
      <c r="U507" s="7" t="n">
        <v>430.93</v>
      </c>
      <c r="V507" s="7" t="n">
        <v>430.93</v>
      </c>
      <c r="W507" s="7" t="n">
        <v>430.93</v>
      </c>
      <c r="X507" s="7" t="n">
        <v>430.93</v>
      </c>
      <c r="Y507" s="7" t="n">
        <v>430.93</v>
      </c>
      <c r="Z507" s="7" t="n">
        <v>350</v>
      </c>
      <c r="AA507" s="7" t="n">
        <v>0</v>
      </c>
      <c r="AB507" s="7" t="n">
        <v>350</v>
      </c>
    </row>
    <row r="508" customFormat="false" ht="15" hidden="false" customHeight="false" outlineLevel="0" collapsed="false">
      <c r="A508" s="8" t="s">
        <v>1522</v>
      </c>
      <c r="B508" s="8" t="s">
        <v>1110</v>
      </c>
      <c r="C508" s="8" t="s">
        <v>295</v>
      </c>
      <c r="D508" s="8" t="s">
        <v>296</v>
      </c>
      <c r="E508" s="8" t="n">
        <v>1990</v>
      </c>
      <c r="F508" s="8" t="s">
        <v>116</v>
      </c>
      <c r="G508" s="8" t="s">
        <v>117</v>
      </c>
      <c r="H508" s="8" t="s">
        <v>1523</v>
      </c>
      <c r="I508" s="8" t="s">
        <v>119</v>
      </c>
      <c r="J508" s="9" t="n">
        <v>1000000</v>
      </c>
      <c r="K508" s="8" t="s">
        <v>994</v>
      </c>
      <c r="L508" s="9" t="n">
        <v>13687.79</v>
      </c>
      <c r="M508" s="9" t="n">
        <v>1710.97</v>
      </c>
      <c r="N508" s="9" t="n">
        <v>1710.97</v>
      </c>
      <c r="O508" s="9" t="n">
        <v>10265.8</v>
      </c>
      <c r="P508" s="9" t="n">
        <v>1026.58</v>
      </c>
      <c r="Q508" s="9" t="n">
        <v>1026.58</v>
      </c>
      <c r="R508" s="9" t="n">
        <v>1026.58</v>
      </c>
      <c r="S508" s="9" t="n">
        <v>1026.58</v>
      </c>
      <c r="T508" s="9" t="n">
        <v>1026.58</v>
      </c>
      <c r="U508" s="9" t="n">
        <v>1026.58</v>
      </c>
      <c r="V508" s="9" t="n">
        <v>1026.58</v>
      </c>
      <c r="W508" s="9" t="n">
        <v>1026.58</v>
      </c>
      <c r="X508" s="9" t="n">
        <v>1026.58</v>
      </c>
      <c r="Y508" s="9" t="n">
        <v>1026.58</v>
      </c>
      <c r="Z508" s="9" t="n">
        <v>350</v>
      </c>
      <c r="AA508" s="9" t="n">
        <v>250</v>
      </c>
      <c r="AB508" s="9" t="n">
        <v>600</v>
      </c>
    </row>
    <row r="509" customFormat="false" ht="15" hidden="false" customHeight="false" outlineLevel="0" collapsed="false">
      <c r="A509" s="3" t="s">
        <v>1524</v>
      </c>
      <c r="B509" s="3" t="s">
        <v>706</v>
      </c>
      <c r="C509" s="3" t="s">
        <v>139</v>
      </c>
      <c r="D509" s="3" t="s">
        <v>140</v>
      </c>
      <c r="E509" s="3" t="n">
        <v>1992</v>
      </c>
      <c r="F509" s="3" t="s">
        <v>44</v>
      </c>
      <c r="G509" s="3" t="s">
        <v>45</v>
      </c>
      <c r="H509" s="3" t="s">
        <v>1525</v>
      </c>
      <c r="I509" s="3" t="s">
        <v>47</v>
      </c>
      <c r="J509" s="7" t="n">
        <v>1385000</v>
      </c>
      <c r="K509" s="3" t="s">
        <v>228</v>
      </c>
      <c r="L509" s="7" t="n">
        <v>24604.15</v>
      </c>
      <c r="M509" s="7" t="n">
        <v>3075.52</v>
      </c>
      <c r="N509" s="7" t="n">
        <v>3075.52</v>
      </c>
      <c r="O509" s="7" t="n">
        <v>18453.1</v>
      </c>
      <c r="P509" s="7" t="n">
        <v>1845.31</v>
      </c>
      <c r="Q509" s="7" t="n">
        <v>1845.31</v>
      </c>
      <c r="R509" s="7" t="n">
        <v>1845.31</v>
      </c>
      <c r="S509" s="7" t="n">
        <v>1845.31</v>
      </c>
      <c r="T509" s="7" t="n">
        <v>1845.31</v>
      </c>
      <c r="U509" s="7" t="n">
        <v>1845.31</v>
      </c>
      <c r="V509" s="7" t="n">
        <v>1845.31</v>
      </c>
      <c r="W509" s="7" t="n">
        <v>1845.31</v>
      </c>
      <c r="X509" s="7" t="n">
        <v>1845.31</v>
      </c>
      <c r="Y509" s="7" t="n">
        <v>1845.31</v>
      </c>
      <c r="Z509" s="7" t="n">
        <v>350</v>
      </c>
      <c r="AA509" s="7" t="n">
        <v>250</v>
      </c>
      <c r="AB509" s="7" t="n">
        <v>600</v>
      </c>
    </row>
    <row r="510" customFormat="false" ht="15" hidden="false" customHeight="false" outlineLevel="0" collapsed="false">
      <c r="A510" s="8" t="s">
        <v>1526</v>
      </c>
      <c r="B510" s="8" t="s">
        <v>613</v>
      </c>
      <c r="C510" s="8" t="s">
        <v>189</v>
      </c>
      <c r="D510" s="8" t="s">
        <v>190</v>
      </c>
      <c r="E510" s="8" t="n">
        <v>2009</v>
      </c>
      <c r="F510" s="8" t="s">
        <v>122</v>
      </c>
      <c r="G510" s="8" t="s">
        <v>123</v>
      </c>
      <c r="H510" s="8" t="s">
        <v>1527</v>
      </c>
      <c r="I510" s="8" t="s">
        <v>56</v>
      </c>
      <c r="J510" s="9" t="n">
        <v>390000</v>
      </c>
      <c r="K510" s="8" t="s">
        <v>762</v>
      </c>
      <c r="L510" s="9" t="n">
        <v>5093.38</v>
      </c>
      <c r="M510" s="9" t="n">
        <v>636.67</v>
      </c>
      <c r="N510" s="9" t="n">
        <v>636.67</v>
      </c>
      <c r="O510" s="9" t="n">
        <v>3820</v>
      </c>
      <c r="P510" s="9" t="n">
        <v>382</v>
      </c>
      <c r="Q510" s="9" t="n">
        <v>382</v>
      </c>
      <c r="R510" s="9" t="n">
        <v>382</v>
      </c>
      <c r="S510" s="9" t="n">
        <v>382</v>
      </c>
      <c r="T510" s="9" t="n">
        <v>382</v>
      </c>
      <c r="U510" s="9" t="n">
        <v>382</v>
      </c>
      <c r="V510" s="9" t="n">
        <v>382</v>
      </c>
      <c r="W510" s="9" t="n">
        <v>382</v>
      </c>
      <c r="X510" s="9" t="n">
        <v>382</v>
      </c>
      <c r="Y510" s="9" t="n">
        <v>382</v>
      </c>
      <c r="Z510" s="9" t="n">
        <v>350</v>
      </c>
      <c r="AA510" s="9" t="n">
        <v>0</v>
      </c>
      <c r="AB510" s="9" t="n">
        <v>350</v>
      </c>
    </row>
    <row r="511" customFormat="false" ht="15" hidden="false" customHeight="false" outlineLevel="0" collapsed="false">
      <c r="A511" s="3" t="s">
        <v>1528</v>
      </c>
      <c r="B511" s="3" t="s">
        <v>1529</v>
      </c>
      <c r="C511" s="3" t="s">
        <v>74</v>
      </c>
      <c r="D511" s="3" t="s">
        <v>75</v>
      </c>
      <c r="E511" s="3" t="n">
        <v>1989</v>
      </c>
      <c r="F511" s="3" t="s">
        <v>95</v>
      </c>
      <c r="G511" s="3" t="s">
        <v>96</v>
      </c>
      <c r="H511" s="3" t="s">
        <v>1530</v>
      </c>
      <c r="I511" s="3" t="s">
        <v>47</v>
      </c>
      <c r="J511" s="7" t="n">
        <v>200000</v>
      </c>
      <c r="K511" s="3" t="s">
        <v>301</v>
      </c>
      <c r="L511" s="7" t="n">
        <v>4128.7</v>
      </c>
      <c r="M511" s="7" t="n">
        <v>516.09</v>
      </c>
      <c r="N511" s="7" t="n">
        <v>516.09</v>
      </c>
      <c r="O511" s="7" t="n">
        <v>3096.5</v>
      </c>
      <c r="P511" s="7" t="n">
        <v>309.65</v>
      </c>
      <c r="Q511" s="7" t="n">
        <v>309.65</v>
      </c>
      <c r="R511" s="7" t="n">
        <v>309.65</v>
      </c>
      <c r="S511" s="7" t="n">
        <v>309.65</v>
      </c>
      <c r="T511" s="7" t="n">
        <v>309.65</v>
      </c>
      <c r="U511" s="7" t="n">
        <v>309.65</v>
      </c>
      <c r="V511" s="7" t="n">
        <v>309.65</v>
      </c>
      <c r="W511" s="7" t="n">
        <v>309.65</v>
      </c>
      <c r="X511" s="7" t="n">
        <v>309.65</v>
      </c>
      <c r="Y511" s="7" t="n">
        <v>309.65</v>
      </c>
      <c r="Z511" s="7" t="n">
        <v>350</v>
      </c>
      <c r="AA511" s="7" t="n">
        <v>0</v>
      </c>
      <c r="AB511" s="7" t="n">
        <v>350</v>
      </c>
    </row>
    <row r="512" customFormat="false" ht="15" hidden="false" customHeight="false" outlineLevel="0" collapsed="false">
      <c r="A512" s="8" t="s">
        <v>1531</v>
      </c>
      <c r="B512" s="8" t="s">
        <v>458</v>
      </c>
      <c r="C512" s="8" t="s">
        <v>189</v>
      </c>
      <c r="D512" s="8" t="s">
        <v>190</v>
      </c>
      <c r="E512" s="8" t="n">
        <v>2024</v>
      </c>
      <c r="F512" s="8" t="s">
        <v>155</v>
      </c>
      <c r="G512" s="8" t="s">
        <v>191</v>
      </c>
      <c r="H512" s="8" t="s">
        <v>1532</v>
      </c>
      <c r="I512" s="8" t="s">
        <v>56</v>
      </c>
      <c r="J512" s="9" t="n">
        <v>440000</v>
      </c>
      <c r="K512" s="8" t="s">
        <v>519</v>
      </c>
      <c r="L512" s="9" t="n">
        <v>5799.1</v>
      </c>
      <c r="M512" s="9" t="n">
        <v>724.89</v>
      </c>
      <c r="N512" s="9" t="n">
        <v>724.89</v>
      </c>
      <c r="O512" s="9" t="n">
        <v>4349.3</v>
      </c>
      <c r="P512" s="9" t="n">
        <v>434.93</v>
      </c>
      <c r="Q512" s="9" t="n">
        <v>434.93</v>
      </c>
      <c r="R512" s="9" t="n">
        <v>434.93</v>
      </c>
      <c r="S512" s="9" t="n">
        <v>434.93</v>
      </c>
      <c r="T512" s="9" t="n">
        <v>434.93</v>
      </c>
      <c r="U512" s="9" t="n">
        <v>434.93</v>
      </c>
      <c r="V512" s="9" t="n">
        <v>434.93</v>
      </c>
      <c r="W512" s="9" t="n">
        <v>434.93</v>
      </c>
      <c r="X512" s="9" t="n">
        <v>434.93</v>
      </c>
      <c r="Y512" s="9" t="n">
        <v>434.93</v>
      </c>
      <c r="Z512" s="9" t="n">
        <v>350</v>
      </c>
      <c r="AA512" s="9" t="n">
        <v>0</v>
      </c>
      <c r="AB512" s="9" t="n">
        <v>350</v>
      </c>
    </row>
    <row r="513" customFormat="false" ht="15" hidden="false" customHeight="false" outlineLevel="0" collapsed="false">
      <c r="A513" s="3" t="s">
        <v>1533</v>
      </c>
      <c r="B513" s="3" t="s">
        <v>868</v>
      </c>
      <c r="C513" s="3" t="s">
        <v>330</v>
      </c>
      <c r="D513" s="3" t="s">
        <v>331</v>
      </c>
      <c r="E513" s="3" t="n">
        <v>2001</v>
      </c>
      <c r="F513" s="3" t="s">
        <v>62</v>
      </c>
      <c r="G513" s="3" t="s">
        <v>63</v>
      </c>
      <c r="H513" s="3" t="s">
        <v>1534</v>
      </c>
      <c r="I513" s="3" t="s">
        <v>56</v>
      </c>
      <c r="J513" s="7" t="n">
        <v>425000</v>
      </c>
      <c r="K513" s="3" t="s">
        <v>90</v>
      </c>
      <c r="L513" s="7" t="n">
        <v>6517.99</v>
      </c>
      <c r="M513" s="7" t="n">
        <v>814.75</v>
      </c>
      <c r="N513" s="7" t="n">
        <v>814.75</v>
      </c>
      <c r="O513" s="7" t="n">
        <v>4888.5</v>
      </c>
      <c r="P513" s="7" t="n">
        <v>488.85</v>
      </c>
      <c r="Q513" s="7" t="n">
        <v>488.85</v>
      </c>
      <c r="R513" s="7" t="n">
        <v>488.85</v>
      </c>
      <c r="S513" s="7" t="n">
        <v>488.85</v>
      </c>
      <c r="T513" s="7" t="n">
        <v>488.85</v>
      </c>
      <c r="U513" s="7" t="n">
        <v>488.85</v>
      </c>
      <c r="V513" s="7" t="n">
        <v>488.85</v>
      </c>
      <c r="W513" s="7" t="n">
        <v>488.85</v>
      </c>
      <c r="X513" s="7" t="n">
        <v>488.85</v>
      </c>
      <c r="Y513" s="7" t="n">
        <v>488.85</v>
      </c>
      <c r="Z513" s="7" t="n">
        <v>350</v>
      </c>
      <c r="AA513" s="7" t="n">
        <v>0</v>
      </c>
      <c r="AB513" s="7" t="n">
        <v>350</v>
      </c>
    </row>
    <row r="514" customFormat="false" ht="15" hidden="false" customHeight="false" outlineLevel="0" collapsed="false">
      <c r="A514" s="8" t="s">
        <v>1535</v>
      </c>
      <c r="B514" s="8" t="s">
        <v>1536</v>
      </c>
      <c r="C514" s="8" t="s">
        <v>81</v>
      </c>
      <c r="D514" s="8" t="s">
        <v>82</v>
      </c>
      <c r="E514" s="8" t="n">
        <v>2020</v>
      </c>
      <c r="F514" s="8" t="s">
        <v>62</v>
      </c>
      <c r="G514" s="8" t="s">
        <v>63</v>
      </c>
      <c r="H514" s="8" t="s">
        <v>1537</v>
      </c>
      <c r="I514" s="8" t="s">
        <v>56</v>
      </c>
      <c r="J514" s="9" t="n">
        <v>470000</v>
      </c>
      <c r="K514" s="8" t="s">
        <v>275</v>
      </c>
      <c r="L514" s="9" t="n">
        <v>6476.05</v>
      </c>
      <c r="M514" s="9" t="n">
        <v>809.51</v>
      </c>
      <c r="N514" s="9" t="n">
        <v>809.51</v>
      </c>
      <c r="O514" s="9" t="n">
        <v>4857</v>
      </c>
      <c r="P514" s="9" t="n">
        <v>485.7</v>
      </c>
      <c r="Q514" s="9" t="n">
        <v>485.7</v>
      </c>
      <c r="R514" s="9" t="n">
        <v>485.7</v>
      </c>
      <c r="S514" s="9" t="n">
        <v>485.7</v>
      </c>
      <c r="T514" s="9" t="n">
        <v>485.7</v>
      </c>
      <c r="U514" s="9" t="n">
        <v>485.7</v>
      </c>
      <c r="V514" s="9" t="n">
        <v>485.7</v>
      </c>
      <c r="W514" s="9" t="n">
        <v>485.7</v>
      </c>
      <c r="X514" s="9" t="n">
        <v>485.7</v>
      </c>
      <c r="Y514" s="9" t="n">
        <v>485.7</v>
      </c>
      <c r="Z514" s="9" t="n">
        <v>350</v>
      </c>
      <c r="AA514" s="9" t="n">
        <v>0</v>
      </c>
      <c r="AB514" s="9" t="n">
        <v>350</v>
      </c>
    </row>
    <row r="515" customFormat="false" ht="15" hidden="false" customHeight="false" outlineLevel="0" collapsed="false">
      <c r="A515" s="3" t="s">
        <v>1538</v>
      </c>
      <c r="B515" s="3" t="s">
        <v>1240</v>
      </c>
      <c r="C515" s="3" t="s">
        <v>161</v>
      </c>
      <c r="D515" s="3" t="s">
        <v>162</v>
      </c>
      <c r="E515" s="3" t="n">
        <v>1988</v>
      </c>
      <c r="F515" s="3" t="s">
        <v>107</v>
      </c>
      <c r="G515" s="3" t="s">
        <v>134</v>
      </c>
      <c r="H515" s="3" t="s">
        <v>1539</v>
      </c>
      <c r="I515" s="3" t="s">
        <v>56</v>
      </c>
      <c r="J515" s="7" t="n">
        <v>255000</v>
      </c>
      <c r="K515" s="3" t="s">
        <v>111</v>
      </c>
      <c r="L515" s="7" t="n">
        <v>2994.2</v>
      </c>
      <c r="M515" s="7" t="n">
        <v>374.27</v>
      </c>
      <c r="N515" s="7" t="n">
        <v>374.27</v>
      </c>
      <c r="O515" s="7" t="n">
        <v>2245.6</v>
      </c>
      <c r="P515" s="7" t="n">
        <v>224.56</v>
      </c>
      <c r="Q515" s="7" t="n">
        <v>224.56</v>
      </c>
      <c r="R515" s="7" t="n">
        <v>224.56</v>
      </c>
      <c r="S515" s="7" t="n">
        <v>224.56</v>
      </c>
      <c r="T515" s="7" t="n">
        <v>224.56</v>
      </c>
      <c r="U515" s="7" t="n">
        <v>224.56</v>
      </c>
      <c r="V515" s="7" t="n">
        <v>224.56</v>
      </c>
      <c r="W515" s="7" t="n">
        <v>224.56</v>
      </c>
      <c r="X515" s="7" t="n">
        <v>224.56</v>
      </c>
      <c r="Y515" s="7" t="n">
        <v>224.56</v>
      </c>
      <c r="Z515" s="7" t="n">
        <v>350</v>
      </c>
      <c r="AA515" s="7" t="n">
        <v>0</v>
      </c>
      <c r="AB515" s="7" t="n">
        <v>350</v>
      </c>
    </row>
    <row r="516" customFormat="false" ht="15" hidden="false" customHeight="false" outlineLevel="0" collapsed="false">
      <c r="A516" s="8" t="s">
        <v>1540</v>
      </c>
      <c r="B516" s="8" t="s">
        <v>1541</v>
      </c>
      <c r="C516" s="8" t="s">
        <v>101</v>
      </c>
      <c r="D516" s="8" t="s">
        <v>102</v>
      </c>
      <c r="E516" s="8" t="n">
        <v>1965</v>
      </c>
      <c r="F516" s="8" t="s">
        <v>155</v>
      </c>
      <c r="G516" s="8" t="s">
        <v>191</v>
      </c>
      <c r="H516" s="8" t="s">
        <v>1542</v>
      </c>
      <c r="I516" s="8" t="s">
        <v>56</v>
      </c>
      <c r="J516" s="9" t="n">
        <v>590000</v>
      </c>
      <c r="K516" s="8" t="s">
        <v>432</v>
      </c>
      <c r="L516" s="9" t="n">
        <v>5942.79</v>
      </c>
      <c r="M516" s="9" t="n">
        <v>742.85</v>
      </c>
      <c r="N516" s="9" t="n">
        <v>742.85</v>
      </c>
      <c r="O516" s="9" t="n">
        <v>4457.1</v>
      </c>
      <c r="P516" s="9" t="n">
        <v>445.71</v>
      </c>
      <c r="Q516" s="9" t="n">
        <v>445.71</v>
      </c>
      <c r="R516" s="9" t="n">
        <v>445.71</v>
      </c>
      <c r="S516" s="9" t="n">
        <v>445.71</v>
      </c>
      <c r="T516" s="9" t="n">
        <v>445.71</v>
      </c>
      <c r="U516" s="9" t="n">
        <v>445.71</v>
      </c>
      <c r="V516" s="9" t="n">
        <v>445.71</v>
      </c>
      <c r="W516" s="9" t="n">
        <v>445.71</v>
      </c>
      <c r="X516" s="9" t="n">
        <v>445.71</v>
      </c>
      <c r="Y516" s="9" t="n">
        <v>445.71</v>
      </c>
      <c r="Z516" s="9" t="n">
        <v>350</v>
      </c>
      <c r="AA516" s="9" t="n">
        <v>0</v>
      </c>
      <c r="AB516" s="9" t="n">
        <v>350</v>
      </c>
    </row>
    <row r="517" customFormat="false" ht="15" hidden="false" customHeight="false" outlineLevel="0" collapsed="false">
      <c r="A517" s="3" t="s">
        <v>1543</v>
      </c>
      <c r="B517" s="3" t="s">
        <v>314</v>
      </c>
      <c r="C517" s="3" t="s">
        <v>189</v>
      </c>
      <c r="D517" s="3" t="s">
        <v>190</v>
      </c>
      <c r="E517" s="3" t="n">
        <v>1992</v>
      </c>
      <c r="F517" s="3" t="s">
        <v>83</v>
      </c>
      <c r="G517" s="3" t="s">
        <v>84</v>
      </c>
      <c r="H517" s="3" t="s">
        <v>1544</v>
      </c>
      <c r="I517" s="3" t="s">
        <v>56</v>
      </c>
      <c r="J517" s="7" t="n">
        <v>430000</v>
      </c>
      <c r="K517" s="3" t="s">
        <v>104</v>
      </c>
      <c r="L517" s="7" t="n">
        <v>5358.17</v>
      </c>
      <c r="M517" s="7" t="n">
        <v>669.77</v>
      </c>
      <c r="N517" s="7" t="n">
        <v>669.77</v>
      </c>
      <c r="O517" s="7" t="n">
        <v>4018.6</v>
      </c>
      <c r="P517" s="7" t="n">
        <v>401.86</v>
      </c>
      <c r="Q517" s="7" t="n">
        <v>401.86</v>
      </c>
      <c r="R517" s="7" t="n">
        <v>401.86</v>
      </c>
      <c r="S517" s="7" t="n">
        <v>401.86</v>
      </c>
      <c r="T517" s="7" t="n">
        <v>401.86</v>
      </c>
      <c r="U517" s="7" t="n">
        <v>401.86</v>
      </c>
      <c r="V517" s="7" t="n">
        <v>401.86</v>
      </c>
      <c r="W517" s="7" t="n">
        <v>401.86</v>
      </c>
      <c r="X517" s="7" t="n">
        <v>401.86</v>
      </c>
      <c r="Y517" s="7" t="n">
        <v>401.86</v>
      </c>
      <c r="Z517" s="7" t="n">
        <v>350</v>
      </c>
      <c r="AA517" s="7" t="n">
        <v>0</v>
      </c>
      <c r="AB517" s="7" t="n">
        <v>350</v>
      </c>
    </row>
    <row r="518" customFormat="false" ht="15" hidden="false" customHeight="false" outlineLevel="0" collapsed="false">
      <c r="A518" s="8" t="s">
        <v>1545</v>
      </c>
      <c r="B518" s="8" t="s">
        <v>1546</v>
      </c>
      <c r="C518" s="8" t="s">
        <v>267</v>
      </c>
      <c r="D518" s="8" t="s">
        <v>268</v>
      </c>
      <c r="E518" s="8" t="n">
        <v>1965</v>
      </c>
      <c r="F518" s="8" t="s">
        <v>122</v>
      </c>
      <c r="G518" s="8" t="s">
        <v>123</v>
      </c>
      <c r="H518" s="8" t="s">
        <v>1547</v>
      </c>
      <c r="I518" s="8" t="s">
        <v>56</v>
      </c>
      <c r="J518" s="9" t="n">
        <v>760000</v>
      </c>
      <c r="K518" s="8" t="s">
        <v>301</v>
      </c>
      <c r="L518" s="9" t="n">
        <v>7181.62</v>
      </c>
      <c r="M518" s="9" t="n">
        <v>897.7</v>
      </c>
      <c r="N518" s="9" t="n">
        <v>897.7</v>
      </c>
      <c r="O518" s="9" t="n">
        <v>5386.2</v>
      </c>
      <c r="P518" s="9" t="n">
        <v>538.62</v>
      </c>
      <c r="Q518" s="9" t="n">
        <v>538.62</v>
      </c>
      <c r="R518" s="9" t="n">
        <v>538.62</v>
      </c>
      <c r="S518" s="9" t="n">
        <v>538.62</v>
      </c>
      <c r="T518" s="9" t="n">
        <v>538.62</v>
      </c>
      <c r="U518" s="9" t="n">
        <v>538.62</v>
      </c>
      <c r="V518" s="9" t="n">
        <v>538.62</v>
      </c>
      <c r="W518" s="9" t="n">
        <v>538.62</v>
      </c>
      <c r="X518" s="9" t="n">
        <v>538.62</v>
      </c>
      <c r="Y518" s="9" t="n">
        <v>538.62</v>
      </c>
      <c r="Z518" s="9" t="n">
        <v>350</v>
      </c>
      <c r="AA518" s="9" t="n">
        <v>0</v>
      </c>
      <c r="AB518" s="9" t="n">
        <v>350</v>
      </c>
    </row>
    <row r="519" customFormat="false" ht="15" hidden="false" customHeight="false" outlineLevel="0" collapsed="false">
      <c r="A519" s="3" t="s">
        <v>1548</v>
      </c>
      <c r="B519" s="3" t="s">
        <v>1549</v>
      </c>
      <c r="C519" s="3" t="s">
        <v>81</v>
      </c>
      <c r="D519" s="3" t="s">
        <v>82</v>
      </c>
      <c r="E519" s="3" t="n">
        <v>1995</v>
      </c>
      <c r="F519" s="3" t="s">
        <v>95</v>
      </c>
      <c r="G519" s="3" t="s">
        <v>96</v>
      </c>
      <c r="H519" s="3" t="s">
        <v>1550</v>
      </c>
      <c r="I519" s="3" t="s">
        <v>47</v>
      </c>
      <c r="J519" s="7" t="n">
        <v>770000</v>
      </c>
      <c r="K519" s="3" t="s">
        <v>205</v>
      </c>
      <c r="L519" s="7" t="n">
        <v>11802.92</v>
      </c>
      <c r="M519" s="7" t="n">
        <v>1475.37</v>
      </c>
      <c r="N519" s="7" t="n">
        <v>1475.37</v>
      </c>
      <c r="O519" s="7" t="n">
        <v>8852.2</v>
      </c>
      <c r="P519" s="7" t="n">
        <v>885.22</v>
      </c>
      <c r="Q519" s="7" t="n">
        <v>885.22</v>
      </c>
      <c r="R519" s="7" t="n">
        <v>885.22</v>
      </c>
      <c r="S519" s="7" t="n">
        <v>885.22</v>
      </c>
      <c r="T519" s="7" t="n">
        <v>885.22</v>
      </c>
      <c r="U519" s="7" t="n">
        <v>885.22</v>
      </c>
      <c r="V519" s="7" t="n">
        <v>885.22</v>
      </c>
      <c r="W519" s="7" t="n">
        <v>885.22</v>
      </c>
      <c r="X519" s="7" t="n">
        <v>885.22</v>
      </c>
      <c r="Y519" s="7" t="n">
        <v>885.22</v>
      </c>
      <c r="Z519" s="7" t="n">
        <v>350</v>
      </c>
      <c r="AA519" s="7" t="n">
        <v>0</v>
      </c>
      <c r="AB519" s="7" t="n">
        <v>350</v>
      </c>
    </row>
    <row r="520" customFormat="false" ht="15" hidden="false" customHeight="false" outlineLevel="0" collapsed="false">
      <c r="A520" s="8" t="s">
        <v>1551</v>
      </c>
      <c r="B520" s="8" t="s">
        <v>1369</v>
      </c>
      <c r="C520" s="8" t="s">
        <v>330</v>
      </c>
      <c r="D520" s="8" t="s">
        <v>331</v>
      </c>
      <c r="E520" s="8" t="n">
        <v>1979</v>
      </c>
      <c r="F520" s="8" t="s">
        <v>107</v>
      </c>
      <c r="G520" s="8" t="s">
        <v>134</v>
      </c>
      <c r="H520" s="8" t="s">
        <v>1552</v>
      </c>
      <c r="I520" s="8" t="s">
        <v>56</v>
      </c>
      <c r="J520" s="9" t="n">
        <v>800000</v>
      </c>
      <c r="K520" s="8" t="s">
        <v>465</v>
      </c>
      <c r="L520" s="9" t="n">
        <v>11048.64</v>
      </c>
      <c r="M520" s="9" t="n">
        <v>1381.08</v>
      </c>
      <c r="N520" s="9" t="n">
        <v>1381.08</v>
      </c>
      <c r="O520" s="9" t="n">
        <v>8286.5</v>
      </c>
      <c r="P520" s="9" t="n">
        <v>828.65</v>
      </c>
      <c r="Q520" s="9" t="n">
        <v>828.65</v>
      </c>
      <c r="R520" s="9" t="n">
        <v>828.65</v>
      </c>
      <c r="S520" s="9" t="n">
        <v>828.65</v>
      </c>
      <c r="T520" s="9" t="n">
        <v>828.65</v>
      </c>
      <c r="U520" s="9" t="n">
        <v>828.65</v>
      </c>
      <c r="V520" s="9" t="n">
        <v>828.65</v>
      </c>
      <c r="W520" s="9" t="n">
        <v>828.65</v>
      </c>
      <c r="X520" s="9" t="n">
        <v>828.65</v>
      </c>
      <c r="Y520" s="9" t="n">
        <v>828.65</v>
      </c>
      <c r="Z520" s="9" t="n">
        <v>350</v>
      </c>
      <c r="AA520" s="9" t="n">
        <v>0</v>
      </c>
      <c r="AB520" s="9" t="n">
        <v>350</v>
      </c>
    </row>
    <row r="521" customFormat="false" ht="15" hidden="false" customHeight="false" outlineLevel="0" collapsed="false">
      <c r="A521" s="3" t="s">
        <v>1553</v>
      </c>
      <c r="B521" s="3" t="s">
        <v>1369</v>
      </c>
      <c r="C521" s="3" t="s">
        <v>145</v>
      </c>
      <c r="D521" s="3" t="s">
        <v>146</v>
      </c>
      <c r="E521" s="3" t="n">
        <v>1962</v>
      </c>
      <c r="F521" s="3" t="s">
        <v>44</v>
      </c>
      <c r="G521" s="3" t="s">
        <v>240</v>
      </c>
      <c r="H521" s="3" t="s">
        <v>1554</v>
      </c>
      <c r="I521" s="3" t="s">
        <v>47</v>
      </c>
      <c r="J521" s="7" t="n">
        <v>325000</v>
      </c>
      <c r="K521" s="3" t="s">
        <v>292</v>
      </c>
      <c r="L521" s="7" t="n">
        <v>6388.79</v>
      </c>
      <c r="M521" s="7" t="n">
        <v>798.6</v>
      </c>
      <c r="N521" s="7" t="n">
        <v>798.6</v>
      </c>
      <c r="O521" s="7" t="n">
        <v>4791.6</v>
      </c>
      <c r="P521" s="7" t="n">
        <v>479.16</v>
      </c>
      <c r="Q521" s="7" t="n">
        <v>479.16</v>
      </c>
      <c r="R521" s="7" t="n">
        <v>479.16</v>
      </c>
      <c r="S521" s="7" t="n">
        <v>479.16</v>
      </c>
      <c r="T521" s="7" t="n">
        <v>479.16</v>
      </c>
      <c r="U521" s="7" t="n">
        <v>479.16</v>
      </c>
      <c r="V521" s="7" t="n">
        <v>479.16</v>
      </c>
      <c r="W521" s="7" t="n">
        <v>479.16</v>
      </c>
      <c r="X521" s="7" t="n">
        <v>479.16</v>
      </c>
      <c r="Y521" s="7" t="n">
        <v>479.16</v>
      </c>
      <c r="Z521" s="7" t="n">
        <v>350</v>
      </c>
      <c r="AA521" s="7" t="n">
        <v>0</v>
      </c>
      <c r="AB521" s="7" t="n">
        <v>350</v>
      </c>
    </row>
    <row r="522" customFormat="false" ht="15" hidden="false" customHeight="false" outlineLevel="0" collapsed="false">
      <c r="A522" s="8" t="s">
        <v>1555</v>
      </c>
      <c r="B522" s="8" t="s">
        <v>1556</v>
      </c>
      <c r="C522" s="8" t="s">
        <v>68</v>
      </c>
      <c r="D522" s="8" t="s">
        <v>69</v>
      </c>
      <c r="E522" s="8" t="n">
        <v>2000</v>
      </c>
      <c r="F522" s="8" t="s">
        <v>53</v>
      </c>
      <c r="G522" s="8" t="s">
        <v>54</v>
      </c>
      <c r="H522" s="8" t="s">
        <v>1557</v>
      </c>
      <c r="I522" s="8" t="s">
        <v>56</v>
      </c>
      <c r="J522" s="9" t="n">
        <v>710000</v>
      </c>
      <c r="K522" s="8" t="s">
        <v>104</v>
      </c>
      <c r="L522" s="9" t="n">
        <v>7667.59</v>
      </c>
      <c r="M522" s="9" t="n">
        <v>958.45</v>
      </c>
      <c r="N522" s="9" t="n">
        <v>958.45</v>
      </c>
      <c r="O522" s="9" t="n">
        <v>5750.7</v>
      </c>
      <c r="P522" s="9" t="n">
        <v>575.07</v>
      </c>
      <c r="Q522" s="9" t="n">
        <v>575.07</v>
      </c>
      <c r="R522" s="9" t="n">
        <v>575.07</v>
      </c>
      <c r="S522" s="9" t="n">
        <v>575.07</v>
      </c>
      <c r="T522" s="9" t="n">
        <v>575.07</v>
      </c>
      <c r="U522" s="9" t="n">
        <v>575.07</v>
      </c>
      <c r="V522" s="9" t="n">
        <v>575.07</v>
      </c>
      <c r="W522" s="9" t="n">
        <v>575.07</v>
      </c>
      <c r="X522" s="9" t="n">
        <v>575.07</v>
      </c>
      <c r="Y522" s="9" t="n">
        <v>575.07</v>
      </c>
      <c r="Z522" s="9" t="n">
        <v>350</v>
      </c>
      <c r="AA522" s="9" t="n">
        <v>0</v>
      </c>
      <c r="AB522" s="9" t="n">
        <v>350</v>
      </c>
    </row>
    <row r="523" customFormat="false" ht="15" hidden="false" customHeight="false" outlineLevel="0" collapsed="false">
      <c r="A523" s="3" t="s">
        <v>1558</v>
      </c>
      <c r="B523" s="3" t="s">
        <v>1302</v>
      </c>
      <c r="C523" s="3" t="s">
        <v>252</v>
      </c>
      <c r="D523" s="3" t="s">
        <v>253</v>
      </c>
      <c r="E523" s="3" t="n">
        <v>2002</v>
      </c>
      <c r="F523" s="3" t="s">
        <v>122</v>
      </c>
      <c r="G523" s="3" t="s">
        <v>123</v>
      </c>
      <c r="H523" s="3" t="s">
        <v>1559</v>
      </c>
      <c r="I523" s="3" t="s">
        <v>56</v>
      </c>
      <c r="J523" s="7" t="n">
        <v>605000</v>
      </c>
      <c r="K523" s="3" t="s">
        <v>228</v>
      </c>
      <c r="L523" s="7" t="n">
        <v>8732.47</v>
      </c>
      <c r="M523" s="7" t="n">
        <v>1091.56</v>
      </c>
      <c r="N523" s="7" t="n">
        <v>1091.56</v>
      </c>
      <c r="O523" s="7" t="n">
        <v>6549.4</v>
      </c>
      <c r="P523" s="7" t="n">
        <v>654.94</v>
      </c>
      <c r="Q523" s="7" t="n">
        <v>654.94</v>
      </c>
      <c r="R523" s="7" t="n">
        <v>654.94</v>
      </c>
      <c r="S523" s="7" t="n">
        <v>654.94</v>
      </c>
      <c r="T523" s="7" t="n">
        <v>654.94</v>
      </c>
      <c r="U523" s="7" t="n">
        <v>654.94</v>
      </c>
      <c r="V523" s="7" t="n">
        <v>654.94</v>
      </c>
      <c r="W523" s="7" t="n">
        <v>654.94</v>
      </c>
      <c r="X523" s="7" t="n">
        <v>654.94</v>
      </c>
      <c r="Y523" s="7" t="n">
        <v>654.94</v>
      </c>
      <c r="Z523" s="7" t="n">
        <v>350</v>
      </c>
      <c r="AA523" s="7" t="n">
        <v>0</v>
      </c>
      <c r="AB523" s="7" t="n">
        <v>350</v>
      </c>
    </row>
    <row r="524" customFormat="false" ht="15" hidden="false" customHeight="false" outlineLevel="0" collapsed="false">
      <c r="A524" s="8" t="s">
        <v>1560</v>
      </c>
      <c r="B524" s="8" t="s">
        <v>1561</v>
      </c>
      <c r="C524" s="8" t="s">
        <v>304</v>
      </c>
      <c r="D524" s="8" t="s">
        <v>305</v>
      </c>
      <c r="E524" s="8" t="n">
        <v>2021</v>
      </c>
      <c r="F524" s="8" t="s">
        <v>225</v>
      </c>
      <c r="G524" s="8" t="s">
        <v>226</v>
      </c>
      <c r="H524" s="8" t="s">
        <v>1562</v>
      </c>
      <c r="I524" s="8" t="s">
        <v>78</v>
      </c>
      <c r="J524" s="9" t="n">
        <v>255000</v>
      </c>
      <c r="K524" s="8" t="s">
        <v>158</v>
      </c>
      <c r="L524" s="9" t="n">
        <v>1935.84</v>
      </c>
      <c r="M524" s="9" t="n">
        <v>241.98</v>
      </c>
      <c r="N524" s="9" t="n">
        <v>241.98</v>
      </c>
      <c r="O524" s="9" t="n">
        <v>1451.9</v>
      </c>
      <c r="P524" s="9" t="n">
        <v>145.19</v>
      </c>
      <c r="Q524" s="9" t="n">
        <v>145.19</v>
      </c>
      <c r="R524" s="9" t="n">
        <v>145.19</v>
      </c>
      <c r="S524" s="9" t="n">
        <v>145.19</v>
      </c>
      <c r="T524" s="9" t="n">
        <v>145.19</v>
      </c>
      <c r="U524" s="9" t="n">
        <v>145.19</v>
      </c>
      <c r="V524" s="9" t="n">
        <v>145.19</v>
      </c>
      <c r="W524" s="9" t="n">
        <v>145.19</v>
      </c>
      <c r="X524" s="9" t="n">
        <v>145.19</v>
      </c>
      <c r="Y524" s="9" t="n">
        <v>145.19</v>
      </c>
      <c r="Z524" s="9" t="n">
        <v>350</v>
      </c>
      <c r="AA524" s="9" t="n">
        <v>0</v>
      </c>
      <c r="AB524" s="9" t="n">
        <v>350</v>
      </c>
    </row>
    <row r="525" customFormat="false" ht="15" hidden="false" customHeight="false" outlineLevel="0" collapsed="false">
      <c r="A525" s="3" t="s">
        <v>1563</v>
      </c>
      <c r="B525" s="3" t="s">
        <v>1564</v>
      </c>
      <c r="C525" s="3" t="s">
        <v>238</v>
      </c>
      <c r="D525" s="3" t="s">
        <v>239</v>
      </c>
      <c r="E525" s="3" t="n">
        <v>1978</v>
      </c>
      <c r="F525" s="3" t="s">
        <v>95</v>
      </c>
      <c r="G525" s="3" t="s">
        <v>96</v>
      </c>
      <c r="H525" s="3" t="s">
        <v>1565</v>
      </c>
      <c r="I525" s="3" t="s">
        <v>47</v>
      </c>
      <c r="J525" s="7" t="n">
        <v>1210000</v>
      </c>
      <c r="K525" s="3" t="s">
        <v>275</v>
      </c>
      <c r="L525" s="7" t="n">
        <v>17783.89</v>
      </c>
      <c r="M525" s="7" t="n">
        <v>2222.99</v>
      </c>
      <c r="N525" s="7" t="n">
        <v>2222.99</v>
      </c>
      <c r="O525" s="7" t="n">
        <v>13337.9</v>
      </c>
      <c r="P525" s="7" t="n">
        <v>1333.79</v>
      </c>
      <c r="Q525" s="7" t="n">
        <v>1333.79</v>
      </c>
      <c r="R525" s="7" t="n">
        <v>1333.79</v>
      </c>
      <c r="S525" s="7" t="n">
        <v>1333.79</v>
      </c>
      <c r="T525" s="7" t="n">
        <v>1333.79</v>
      </c>
      <c r="U525" s="7" t="n">
        <v>1333.79</v>
      </c>
      <c r="V525" s="7" t="n">
        <v>1333.79</v>
      </c>
      <c r="W525" s="7" t="n">
        <v>1333.79</v>
      </c>
      <c r="X525" s="7" t="n">
        <v>1333.79</v>
      </c>
      <c r="Y525" s="7" t="n">
        <v>1333.79</v>
      </c>
      <c r="Z525" s="7" t="n">
        <v>350</v>
      </c>
      <c r="AA525" s="7" t="n">
        <v>250</v>
      </c>
      <c r="AB525" s="7" t="n">
        <v>600</v>
      </c>
    </row>
    <row r="526" customFormat="false" ht="15" hidden="false" customHeight="false" outlineLevel="0" collapsed="false">
      <c r="A526" s="8" t="s">
        <v>1566</v>
      </c>
      <c r="B526" s="8" t="s">
        <v>731</v>
      </c>
      <c r="C526" s="8" t="s">
        <v>252</v>
      </c>
      <c r="D526" s="8" t="s">
        <v>253</v>
      </c>
      <c r="E526" s="8" t="n">
        <v>1956</v>
      </c>
      <c r="F526" s="8" t="s">
        <v>122</v>
      </c>
      <c r="G526" s="8" t="s">
        <v>123</v>
      </c>
      <c r="H526" s="8" t="s">
        <v>1567</v>
      </c>
      <c r="I526" s="8" t="s">
        <v>56</v>
      </c>
      <c r="J526" s="9" t="n">
        <v>275000</v>
      </c>
      <c r="K526" s="8" t="s">
        <v>543</v>
      </c>
      <c r="L526" s="9" t="n">
        <v>4283.42</v>
      </c>
      <c r="M526" s="9" t="n">
        <v>535.43</v>
      </c>
      <c r="N526" s="9" t="n">
        <v>535.43</v>
      </c>
      <c r="O526" s="9" t="n">
        <v>3212.6</v>
      </c>
      <c r="P526" s="9" t="n">
        <v>321.26</v>
      </c>
      <c r="Q526" s="9" t="n">
        <v>321.26</v>
      </c>
      <c r="R526" s="9" t="n">
        <v>321.26</v>
      </c>
      <c r="S526" s="9" t="n">
        <v>321.26</v>
      </c>
      <c r="T526" s="9" t="n">
        <v>321.26</v>
      </c>
      <c r="U526" s="9" t="n">
        <v>321.26</v>
      </c>
      <c r="V526" s="9" t="n">
        <v>321.26</v>
      </c>
      <c r="W526" s="9" t="n">
        <v>321.26</v>
      </c>
      <c r="X526" s="9" t="n">
        <v>321.26</v>
      </c>
      <c r="Y526" s="9" t="n">
        <v>321.26</v>
      </c>
      <c r="Z526" s="9" t="n">
        <v>350</v>
      </c>
      <c r="AA526" s="9" t="n">
        <v>0</v>
      </c>
      <c r="AB526" s="9" t="n">
        <v>350</v>
      </c>
    </row>
    <row r="527" customFormat="false" ht="15" hidden="false" customHeight="false" outlineLevel="0" collapsed="false">
      <c r="A527" s="3" t="s">
        <v>1568</v>
      </c>
      <c r="B527" s="3" t="s">
        <v>1121</v>
      </c>
      <c r="C527" s="3" t="s">
        <v>68</v>
      </c>
      <c r="D527" s="3" t="s">
        <v>69</v>
      </c>
      <c r="E527" s="3" t="n">
        <v>2003</v>
      </c>
      <c r="F527" s="3" t="s">
        <v>195</v>
      </c>
      <c r="G527" s="3" t="s">
        <v>196</v>
      </c>
      <c r="H527" s="3" t="s">
        <v>1569</v>
      </c>
      <c r="I527" s="3" t="s">
        <v>47</v>
      </c>
      <c r="J527" s="7" t="n">
        <v>1065000</v>
      </c>
      <c r="K527" s="3" t="s">
        <v>278</v>
      </c>
      <c r="L527" s="7" t="n">
        <v>16197.21</v>
      </c>
      <c r="M527" s="7" t="n">
        <v>2024.65</v>
      </c>
      <c r="N527" s="7" t="n">
        <v>2024.65</v>
      </c>
      <c r="O527" s="7" t="n">
        <v>12147.9</v>
      </c>
      <c r="P527" s="7" t="n">
        <v>1214.79</v>
      </c>
      <c r="Q527" s="7" t="n">
        <v>1214.79</v>
      </c>
      <c r="R527" s="7" t="n">
        <v>1214.79</v>
      </c>
      <c r="S527" s="7" t="n">
        <v>1214.79</v>
      </c>
      <c r="T527" s="7" t="n">
        <v>1214.79</v>
      </c>
      <c r="U527" s="7" t="n">
        <v>1214.79</v>
      </c>
      <c r="V527" s="7" t="n">
        <v>1214.79</v>
      </c>
      <c r="W527" s="7" t="n">
        <v>1214.79</v>
      </c>
      <c r="X527" s="7" t="n">
        <v>1214.79</v>
      </c>
      <c r="Y527" s="7" t="n">
        <v>1214.79</v>
      </c>
      <c r="Z527" s="7" t="n">
        <v>350</v>
      </c>
      <c r="AA527" s="7" t="n">
        <v>250</v>
      </c>
      <c r="AB527" s="7" t="n">
        <v>600</v>
      </c>
    </row>
    <row r="528" customFormat="false" ht="15" hidden="false" customHeight="false" outlineLevel="0" collapsed="false">
      <c r="A528" s="8" t="s">
        <v>1570</v>
      </c>
      <c r="B528" s="8" t="s">
        <v>1571</v>
      </c>
      <c r="C528" s="8" t="s">
        <v>183</v>
      </c>
      <c r="D528" s="8" t="s">
        <v>184</v>
      </c>
      <c r="E528" s="8" t="n">
        <v>1995</v>
      </c>
      <c r="F528" s="8" t="s">
        <v>147</v>
      </c>
      <c r="G528" s="8" t="s">
        <v>148</v>
      </c>
      <c r="H528" s="8" t="s">
        <v>1572</v>
      </c>
      <c r="I528" s="8" t="s">
        <v>119</v>
      </c>
      <c r="J528" s="9" t="n">
        <v>700000</v>
      </c>
      <c r="K528" s="8" t="s">
        <v>150</v>
      </c>
      <c r="L528" s="9" t="n">
        <v>10641.58</v>
      </c>
      <c r="M528" s="9" t="n">
        <v>1330.2</v>
      </c>
      <c r="N528" s="9" t="n">
        <v>1330.2</v>
      </c>
      <c r="O528" s="9" t="n">
        <v>7981.2</v>
      </c>
      <c r="P528" s="9" t="n">
        <v>798.12</v>
      </c>
      <c r="Q528" s="9" t="n">
        <v>798.12</v>
      </c>
      <c r="R528" s="9" t="n">
        <v>798.12</v>
      </c>
      <c r="S528" s="9" t="n">
        <v>798.12</v>
      </c>
      <c r="T528" s="9" t="n">
        <v>798.12</v>
      </c>
      <c r="U528" s="9" t="n">
        <v>798.12</v>
      </c>
      <c r="V528" s="9" t="n">
        <v>798.12</v>
      </c>
      <c r="W528" s="9" t="n">
        <v>798.12</v>
      </c>
      <c r="X528" s="9" t="n">
        <v>798.12</v>
      </c>
      <c r="Y528" s="9" t="n">
        <v>798.12</v>
      </c>
      <c r="Z528" s="9" t="n">
        <v>350</v>
      </c>
      <c r="AA528" s="9" t="n">
        <v>0</v>
      </c>
      <c r="AB528" s="9" t="n">
        <v>350</v>
      </c>
    </row>
    <row r="529" customFormat="false" ht="15" hidden="false" customHeight="false" outlineLevel="0" collapsed="false">
      <c r="A529" s="3" t="s">
        <v>1573</v>
      </c>
      <c r="B529" s="3" t="s">
        <v>506</v>
      </c>
      <c r="C529" s="3" t="s">
        <v>101</v>
      </c>
      <c r="D529" s="3" t="s">
        <v>102</v>
      </c>
      <c r="E529" s="3" t="n">
        <v>2003</v>
      </c>
      <c r="F529" s="3" t="s">
        <v>107</v>
      </c>
      <c r="G529" s="3" t="s">
        <v>108</v>
      </c>
      <c r="H529" s="3" t="s">
        <v>1574</v>
      </c>
      <c r="I529" s="3" t="s">
        <v>110</v>
      </c>
      <c r="J529" s="7" t="n">
        <v>365000</v>
      </c>
      <c r="K529" s="3" t="s">
        <v>465</v>
      </c>
      <c r="L529" s="7" t="n">
        <v>3257.22</v>
      </c>
      <c r="M529" s="7" t="n">
        <v>407.15</v>
      </c>
      <c r="N529" s="7" t="n">
        <v>407.15</v>
      </c>
      <c r="O529" s="7" t="n">
        <v>2442.9</v>
      </c>
      <c r="P529" s="7" t="n">
        <v>244.29</v>
      </c>
      <c r="Q529" s="7" t="n">
        <v>244.29</v>
      </c>
      <c r="R529" s="7" t="n">
        <v>244.29</v>
      </c>
      <c r="S529" s="7" t="n">
        <v>244.29</v>
      </c>
      <c r="T529" s="7" t="n">
        <v>244.29</v>
      </c>
      <c r="U529" s="7" t="n">
        <v>244.29</v>
      </c>
      <c r="V529" s="7" t="n">
        <v>244.29</v>
      </c>
      <c r="W529" s="7" t="n">
        <v>244.29</v>
      </c>
      <c r="X529" s="7" t="n">
        <v>244.29</v>
      </c>
      <c r="Y529" s="7" t="n">
        <v>244.29</v>
      </c>
      <c r="Z529" s="7" t="n">
        <v>350</v>
      </c>
      <c r="AA529" s="7" t="n">
        <v>0</v>
      </c>
      <c r="AB529" s="7" t="n">
        <v>350</v>
      </c>
    </row>
    <row r="530" customFormat="false" ht="15" hidden="false" customHeight="false" outlineLevel="0" collapsed="false">
      <c r="A530" s="8" t="s">
        <v>1575</v>
      </c>
      <c r="B530" s="8" t="s">
        <v>1305</v>
      </c>
      <c r="C530" s="8" t="s">
        <v>68</v>
      </c>
      <c r="D530" s="8" t="s">
        <v>69</v>
      </c>
      <c r="E530" s="8" t="n">
        <v>1995</v>
      </c>
      <c r="F530" s="8" t="s">
        <v>225</v>
      </c>
      <c r="G530" s="8" t="s">
        <v>226</v>
      </c>
      <c r="H530" s="8" t="s">
        <v>1576</v>
      </c>
      <c r="I530" s="8" t="s">
        <v>78</v>
      </c>
      <c r="J530" s="9" t="n">
        <v>1180000</v>
      </c>
      <c r="K530" s="8" t="s">
        <v>213</v>
      </c>
      <c r="L530" s="9" t="n">
        <v>9813.86</v>
      </c>
      <c r="M530" s="9" t="n">
        <v>1226.73</v>
      </c>
      <c r="N530" s="9" t="n">
        <v>1226.73</v>
      </c>
      <c r="O530" s="9" t="n">
        <v>7360.4</v>
      </c>
      <c r="P530" s="9" t="n">
        <v>736.04</v>
      </c>
      <c r="Q530" s="9" t="n">
        <v>736.04</v>
      </c>
      <c r="R530" s="9" t="n">
        <v>736.04</v>
      </c>
      <c r="S530" s="9" t="n">
        <v>736.04</v>
      </c>
      <c r="T530" s="9" t="n">
        <v>736.04</v>
      </c>
      <c r="U530" s="9" t="n">
        <v>736.04</v>
      </c>
      <c r="V530" s="9" t="n">
        <v>736.04</v>
      </c>
      <c r="W530" s="9" t="n">
        <v>736.04</v>
      </c>
      <c r="X530" s="9" t="n">
        <v>736.04</v>
      </c>
      <c r="Y530" s="9" t="n">
        <v>736.04</v>
      </c>
      <c r="Z530" s="9" t="n">
        <v>350</v>
      </c>
      <c r="AA530" s="9" t="n">
        <v>250</v>
      </c>
      <c r="AB530" s="9" t="n">
        <v>600</v>
      </c>
    </row>
    <row r="531" customFormat="false" ht="15" hidden="false" customHeight="false" outlineLevel="0" collapsed="false">
      <c r="A531" s="3" t="s">
        <v>1577</v>
      </c>
      <c r="B531" s="3" t="s">
        <v>1172</v>
      </c>
      <c r="C531" s="3" t="s">
        <v>153</v>
      </c>
      <c r="D531" s="3" t="s">
        <v>154</v>
      </c>
      <c r="E531" s="3" t="n">
        <v>1976</v>
      </c>
      <c r="F531" s="3" t="s">
        <v>107</v>
      </c>
      <c r="G531" s="3" t="s">
        <v>134</v>
      </c>
      <c r="H531" s="3" t="s">
        <v>1578</v>
      </c>
      <c r="I531" s="3" t="s">
        <v>56</v>
      </c>
      <c r="J531" s="7" t="n">
        <v>1610000</v>
      </c>
      <c r="K531" s="3" t="s">
        <v>301</v>
      </c>
      <c r="L531" s="7" t="n">
        <v>12873.12</v>
      </c>
      <c r="M531" s="7" t="n">
        <v>1609.14</v>
      </c>
      <c r="N531" s="7" t="n">
        <v>1609.14</v>
      </c>
      <c r="O531" s="7" t="n">
        <v>9654.8</v>
      </c>
      <c r="P531" s="7" t="n">
        <v>965.48</v>
      </c>
      <c r="Q531" s="7" t="n">
        <v>965.48</v>
      </c>
      <c r="R531" s="7" t="n">
        <v>965.48</v>
      </c>
      <c r="S531" s="7" t="n">
        <v>965.48</v>
      </c>
      <c r="T531" s="7" t="n">
        <v>965.48</v>
      </c>
      <c r="U531" s="7" t="n">
        <v>965.48</v>
      </c>
      <c r="V531" s="7" t="n">
        <v>965.48</v>
      </c>
      <c r="W531" s="7" t="n">
        <v>965.48</v>
      </c>
      <c r="X531" s="7" t="n">
        <v>965.48</v>
      </c>
      <c r="Y531" s="7" t="n">
        <v>965.48</v>
      </c>
      <c r="Z531" s="7" t="n">
        <v>350</v>
      </c>
      <c r="AA531" s="7" t="n">
        <v>250</v>
      </c>
      <c r="AB531" s="7" t="n">
        <v>600</v>
      </c>
    </row>
    <row r="532" customFormat="false" ht="15" hidden="false" customHeight="false" outlineLevel="0" collapsed="false">
      <c r="A532" s="8" t="s">
        <v>1579</v>
      </c>
      <c r="B532" s="8" t="s">
        <v>692</v>
      </c>
      <c r="C532" s="8" t="s">
        <v>272</v>
      </c>
      <c r="D532" s="8" t="s">
        <v>273</v>
      </c>
      <c r="E532" s="8" t="n">
        <v>1992</v>
      </c>
      <c r="F532" s="8" t="s">
        <v>53</v>
      </c>
      <c r="G532" s="8" t="s">
        <v>54</v>
      </c>
      <c r="H532" s="8" t="s">
        <v>1580</v>
      </c>
      <c r="I532" s="8" t="s">
        <v>56</v>
      </c>
      <c r="J532" s="9" t="n">
        <v>1215000</v>
      </c>
      <c r="K532" s="8" t="s">
        <v>436</v>
      </c>
      <c r="L532" s="9" t="n">
        <v>12276.95</v>
      </c>
      <c r="M532" s="9" t="n">
        <v>1534.62</v>
      </c>
      <c r="N532" s="9" t="n">
        <v>1534.62</v>
      </c>
      <c r="O532" s="9" t="n">
        <v>9207.7</v>
      </c>
      <c r="P532" s="9" t="n">
        <v>920.77</v>
      </c>
      <c r="Q532" s="9" t="n">
        <v>920.77</v>
      </c>
      <c r="R532" s="9" t="n">
        <v>920.77</v>
      </c>
      <c r="S532" s="9" t="n">
        <v>920.77</v>
      </c>
      <c r="T532" s="9" t="n">
        <v>920.77</v>
      </c>
      <c r="U532" s="9" t="n">
        <v>920.77</v>
      </c>
      <c r="V532" s="9" t="n">
        <v>920.77</v>
      </c>
      <c r="W532" s="9" t="n">
        <v>920.77</v>
      </c>
      <c r="X532" s="9" t="n">
        <v>920.77</v>
      </c>
      <c r="Y532" s="9" t="n">
        <v>920.77</v>
      </c>
      <c r="Z532" s="9" t="n">
        <v>350</v>
      </c>
      <c r="AA532" s="9" t="n">
        <v>250</v>
      </c>
      <c r="AB532" s="9" t="n">
        <v>600</v>
      </c>
    </row>
    <row r="533" customFormat="false" ht="15" hidden="false" customHeight="false" outlineLevel="0" collapsed="false">
      <c r="A533" s="3" t="s">
        <v>1581</v>
      </c>
      <c r="B533" s="3" t="s">
        <v>1582</v>
      </c>
      <c r="C533" s="3" t="s">
        <v>177</v>
      </c>
      <c r="D533" s="3" t="s">
        <v>178</v>
      </c>
      <c r="E533" s="3" t="n">
        <v>2024</v>
      </c>
      <c r="F533" s="3" t="s">
        <v>62</v>
      </c>
      <c r="G533" s="3" t="s">
        <v>63</v>
      </c>
      <c r="H533" s="3" t="s">
        <v>1583</v>
      </c>
      <c r="I533" s="3" t="s">
        <v>56</v>
      </c>
      <c r="J533" s="7" t="n">
        <v>450000</v>
      </c>
      <c r="K533" s="3" t="s">
        <v>436</v>
      </c>
      <c r="L533" s="7" t="n">
        <v>6200.48</v>
      </c>
      <c r="M533" s="7" t="n">
        <v>775.06</v>
      </c>
      <c r="N533" s="7" t="n">
        <v>775.06</v>
      </c>
      <c r="O533" s="7" t="n">
        <v>4650.4</v>
      </c>
      <c r="P533" s="7" t="n">
        <v>465.04</v>
      </c>
      <c r="Q533" s="7" t="n">
        <v>465.04</v>
      </c>
      <c r="R533" s="7" t="n">
        <v>465.04</v>
      </c>
      <c r="S533" s="7" t="n">
        <v>465.04</v>
      </c>
      <c r="T533" s="7" t="n">
        <v>465.04</v>
      </c>
      <c r="U533" s="7" t="n">
        <v>465.04</v>
      </c>
      <c r="V533" s="7" t="n">
        <v>465.04</v>
      </c>
      <c r="W533" s="7" t="n">
        <v>465.04</v>
      </c>
      <c r="X533" s="7" t="n">
        <v>465.04</v>
      </c>
      <c r="Y533" s="7" t="n">
        <v>465.04</v>
      </c>
      <c r="Z533" s="7" t="n">
        <v>350</v>
      </c>
      <c r="AA533" s="7" t="n">
        <v>0</v>
      </c>
      <c r="AB533" s="7" t="n">
        <v>350</v>
      </c>
    </row>
    <row r="534" customFormat="false" ht="15" hidden="false" customHeight="false" outlineLevel="0" collapsed="false">
      <c r="A534" s="8" t="s">
        <v>1584</v>
      </c>
      <c r="B534" s="8" t="s">
        <v>343</v>
      </c>
      <c r="C534" s="8" t="s">
        <v>267</v>
      </c>
      <c r="D534" s="8" t="s">
        <v>268</v>
      </c>
      <c r="E534" s="8" t="n">
        <v>2010</v>
      </c>
      <c r="F534" s="8" t="s">
        <v>122</v>
      </c>
      <c r="G534" s="8" t="s">
        <v>123</v>
      </c>
      <c r="H534" s="8" t="s">
        <v>1585</v>
      </c>
      <c r="I534" s="8" t="s">
        <v>56</v>
      </c>
      <c r="J534" s="9" t="n">
        <v>210000</v>
      </c>
      <c r="K534" s="8" t="s">
        <v>131</v>
      </c>
      <c r="L534" s="9" t="n">
        <v>4012.4</v>
      </c>
      <c r="M534" s="9" t="n">
        <v>501.55</v>
      </c>
      <c r="N534" s="9" t="n">
        <v>501.55</v>
      </c>
      <c r="O534" s="9" t="n">
        <v>3009.3</v>
      </c>
      <c r="P534" s="9" t="n">
        <v>300.93</v>
      </c>
      <c r="Q534" s="9" t="n">
        <v>300.93</v>
      </c>
      <c r="R534" s="9" t="n">
        <v>300.93</v>
      </c>
      <c r="S534" s="9" t="n">
        <v>300.93</v>
      </c>
      <c r="T534" s="9" t="n">
        <v>300.93</v>
      </c>
      <c r="U534" s="9" t="n">
        <v>300.93</v>
      </c>
      <c r="V534" s="9" t="n">
        <v>300.93</v>
      </c>
      <c r="W534" s="9" t="n">
        <v>300.93</v>
      </c>
      <c r="X534" s="9" t="n">
        <v>300.93</v>
      </c>
      <c r="Y534" s="9" t="n">
        <v>300.93</v>
      </c>
      <c r="Z534" s="9" t="n">
        <v>350</v>
      </c>
      <c r="AA534" s="9" t="n">
        <v>0</v>
      </c>
      <c r="AB534" s="9" t="n">
        <v>350</v>
      </c>
    </row>
    <row r="535" customFormat="false" ht="15" hidden="false" customHeight="false" outlineLevel="0" collapsed="false">
      <c r="A535" s="3" t="s">
        <v>1586</v>
      </c>
      <c r="B535" s="3" t="s">
        <v>1587</v>
      </c>
      <c r="C535" s="3" t="s">
        <v>177</v>
      </c>
      <c r="D535" s="3" t="s">
        <v>178</v>
      </c>
      <c r="E535" s="3" t="n">
        <v>1980</v>
      </c>
      <c r="F535" s="3" t="s">
        <v>62</v>
      </c>
      <c r="G535" s="3" t="s">
        <v>310</v>
      </c>
      <c r="H535" s="3" t="s">
        <v>1588</v>
      </c>
      <c r="I535" s="3" t="s">
        <v>78</v>
      </c>
      <c r="J535" s="7" t="n">
        <v>635000</v>
      </c>
      <c r="K535" s="3" t="s">
        <v>307</v>
      </c>
      <c r="L535" s="7" t="n">
        <v>4841.93</v>
      </c>
      <c r="M535" s="7" t="n">
        <v>605.24</v>
      </c>
      <c r="N535" s="7" t="n">
        <v>605.24</v>
      </c>
      <c r="O535" s="7" t="n">
        <v>3631.4</v>
      </c>
      <c r="P535" s="7" t="n">
        <v>363.14</v>
      </c>
      <c r="Q535" s="7" t="n">
        <v>363.14</v>
      </c>
      <c r="R535" s="7" t="n">
        <v>363.14</v>
      </c>
      <c r="S535" s="7" t="n">
        <v>363.14</v>
      </c>
      <c r="T535" s="7" t="n">
        <v>363.14</v>
      </c>
      <c r="U535" s="7" t="n">
        <v>363.14</v>
      </c>
      <c r="V535" s="7" t="n">
        <v>363.14</v>
      </c>
      <c r="W535" s="7" t="n">
        <v>363.14</v>
      </c>
      <c r="X535" s="7" t="n">
        <v>363.14</v>
      </c>
      <c r="Y535" s="7" t="n">
        <v>363.14</v>
      </c>
      <c r="Z535" s="7" t="n">
        <v>350</v>
      </c>
      <c r="AA535" s="7" t="n">
        <v>0</v>
      </c>
      <c r="AB535" s="7" t="n">
        <v>350</v>
      </c>
    </row>
    <row r="536" customFormat="false" ht="15" hidden="false" customHeight="false" outlineLevel="0" collapsed="false">
      <c r="A536" s="8" t="s">
        <v>1589</v>
      </c>
      <c r="B536" s="8" t="s">
        <v>523</v>
      </c>
      <c r="C536" s="8" t="s">
        <v>81</v>
      </c>
      <c r="D536" s="8" t="s">
        <v>82</v>
      </c>
      <c r="E536" s="8" t="n">
        <v>1989</v>
      </c>
      <c r="F536" s="8" t="s">
        <v>225</v>
      </c>
      <c r="G536" s="8" t="s">
        <v>226</v>
      </c>
      <c r="H536" s="8" t="s">
        <v>1590</v>
      </c>
      <c r="I536" s="8" t="s">
        <v>78</v>
      </c>
      <c r="J536" s="9" t="n">
        <v>1130000</v>
      </c>
      <c r="K536" s="8" t="s">
        <v>198</v>
      </c>
      <c r="L536" s="9" t="n">
        <v>9192.22</v>
      </c>
      <c r="M536" s="9" t="n">
        <v>1149.03</v>
      </c>
      <c r="N536" s="9" t="n">
        <v>1149.03</v>
      </c>
      <c r="O536" s="9" t="n">
        <v>6894.2</v>
      </c>
      <c r="P536" s="9" t="n">
        <v>689.42</v>
      </c>
      <c r="Q536" s="9" t="n">
        <v>689.42</v>
      </c>
      <c r="R536" s="9" t="n">
        <v>689.42</v>
      </c>
      <c r="S536" s="9" t="n">
        <v>689.42</v>
      </c>
      <c r="T536" s="9" t="n">
        <v>689.42</v>
      </c>
      <c r="U536" s="9" t="n">
        <v>689.42</v>
      </c>
      <c r="V536" s="9" t="n">
        <v>689.42</v>
      </c>
      <c r="W536" s="9" t="n">
        <v>689.42</v>
      </c>
      <c r="X536" s="9" t="n">
        <v>689.42</v>
      </c>
      <c r="Y536" s="9" t="n">
        <v>689.42</v>
      </c>
      <c r="Z536" s="9" t="n">
        <v>350</v>
      </c>
      <c r="AA536" s="9" t="n">
        <v>250</v>
      </c>
      <c r="AB536" s="9" t="n">
        <v>600</v>
      </c>
    </row>
    <row r="537" customFormat="false" ht="15" hidden="false" customHeight="false" outlineLevel="0" collapsed="false">
      <c r="A537" s="3" t="s">
        <v>1591</v>
      </c>
      <c r="B537" s="3" t="s">
        <v>1592</v>
      </c>
      <c r="C537" s="3" t="s">
        <v>60</v>
      </c>
      <c r="D537" s="3" t="s">
        <v>61</v>
      </c>
      <c r="E537" s="3" t="n">
        <v>1981</v>
      </c>
      <c r="F537" s="3" t="s">
        <v>44</v>
      </c>
      <c r="G537" s="3" t="s">
        <v>45</v>
      </c>
      <c r="H537" s="3" t="s">
        <v>1593</v>
      </c>
      <c r="I537" s="3" t="s">
        <v>47</v>
      </c>
      <c r="J537" s="7" t="n">
        <v>770000</v>
      </c>
      <c r="K537" s="3" t="s">
        <v>125</v>
      </c>
      <c r="L537" s="7" t="n">
        <v>15893.04</v>
      </c>
      <c r="M537" s="7" t="n">
        <v>1986.63</v>
      </c>
      <c r="N537" s="7" t="n">
        <v>1986.63</v>
      </c>
      <c r="O537" s="7" t="n">
        <v>11919.8</v>
      </c>
      <c r="P537" s="7" t="n">
        <v>1191.98</v>
      </c>
      <c r="Q537" s="7" t="n">
        <v>1191.98</v>
      </c>
      <c r="R537" s="7" t="n">
        <v>1191.98</v>
      </c>
      <c r="S537" s="7" t="n">
        <v>1191.98</v>
      </c>
      <c r="T537" s="7" t="n">
        <v>1191.98</v>
      </c>
      <c r="U537" s="7" t="n">
        <v>1191.98</v>
      </c>
      <c r="V537" s="7" t="n">
        <v>1191.98</v>
      </c>
      <c r="W537" s="7" t="n">
        <v>1191.98</v>
      </c>
      <c r="X537" s="7" t="n">
        <v>1191.98</v>
      </c>
      <c r="Y537" s="7" t="n">
        <v>1191.98</v>
      </c>
      <c r="Z537" s="7" t="n">
        <v>350</v>
      </c>
      <c r="AA537" s="7" t="n">
        <v>0</v>
      </c>
      <c r="AB537" s="7" t="n">
        <v>350</v>
      </c>
    </row>
    <row r="538" customFormat="false" ht="15" hidden="false" customHeight="false" outlineLevel="0" collapsed="false">
      <c r="A538" s="8" t="s">
        <v>1594</v>
      </c>
      <c r="B538" s="8" t="s">
        <v>815</v>
      </c>
      <c r="C538" s="8" t="s">
        <v>252</v>
      </c>
      <c r="D538" s="8" t="s">
        <v>253</v>
      </c>
      <c r="E538" s="8" t="n">
        <v>2012</v>
      </c>
      <c r="F538" s="8" t="s">
        <v>155</v>
      </c>
      <c r="G538" s="8" t="s">
        <v>191</v>
      </c>
      <c r="H538" s="8" t="s">
        <v>1595</v>
      </c>
      <c r="I538" s="8" t="s">
        <v>56</v>
      </c>
      <c r="J538" s="9" t="n">
        <v>540000</v>
      </c>
      <c r="K538" s="8" t="s">
        <v>86</v>
      </c>
      <c r="L538" s="9" t="n">
        <v>7569.98</v>
      </c>
      <c r="M538" s="9" t="n">
        <v>946.25</v>
      </c>
      <c r="N538" s="9" t="n">
        <v>946.25</v>
      </c>
      <c r="O538" s="9" t="n">
        <v>5677.5</v>
      </c>
      <c r="P538" s="9" t="n">
        <v>567.75</v>
      </c>
      <c r="Q538" s="9" t="n">
        <v>567.75</v>
      </c>
      <c r="R538" s="9" t="n">
        <v>567.75</v>
      </c>
      <c r="S538" s="9" t="n">
        <v>567.75</v>
      </c>
      <c r="T538" s="9" t="n">
        <v>567.75</v>
      </c>
      <c r="U538" s="9" t="n">
        <v>567.75</v>
      </c>
      <c r="V538" s="9" t="n">
        <v>567.75</v>
      </c>
      <c r="W538" s="9" t="n">
        <v>567.75</v>
      </c>
      <c r="X538" s="9" t="n">
        <v>567.75</v>
      </c>
      <c r="Y538" s="9" t="n">
        <v>567.75</v>
      </c>
      <c r="Z538" s="9" t="n">
        <v>350</v>
      </c>
      <c r="AA538" s="9" t="n">
        <v>0</v>
      </c>
      <c r="AB538" s="9" t="n">
        <v>350</v>
      </c>
    </row>
    <row r="539" customFormat="false" ht="15" hidden="false" customHeight="false" outlineLevel="0" collapsed="false">
      <c r="A539" s="3" t="s">
        <v>1596</v>
      </c>
      <c r="B539" s="3" t="s">
        <v>1035</v>
      </c>
      <c r="C539" s="3" t="s">
        <v>189</v>
      </c>
      <c r="D539" s="3" t="s">
        <v>190</v>
      </c>
      <c r="E539" s="3" t="n">
        <v>2018</v>
      </c>
      <c r="F539" s="3" t="s">
        <v>107</v>
      </c>
      <c r="G539" s="3" t="s">
        <v>108</v>
      </c>
      <c r="H539" s="3" t="s">
        <v>1597</v>
      </c>
      <c r="I539" s="3" t="s">
        <v>110</v>
      </c>
      <c r="J539" s="7" t="n">
        <v>1040000</v>
      </c>
      <c r="K539" s="3" t="s">
        <v>90</v>
      </c>
      <c r="L539" s="7" t="n">
        <v>7230.62</v>
      </c>
      <c r="M539" s="7" t="n">
        <v>903.83</v>
      </c>
      <c r="N539" s="7" t="n">
        <v>903.83</v>
      </c>
      <c r="O539" s="7" t="n">
        <v>5423</v>
      </c>
      <c r="P539" s="7" t="n">
        <v>542.3</v>
      </c>
      <c r="Q539" s="7" t="n">
        <v>542.3</v>
      </c>
      <c r="R539" s="7" t="n">
        <v>542.3</v>
      </c>
      <c r="S539" s="7" t="n">
        <v>542.3</v>
      </c>
      <c r="T539" s="7" t="n">
        <v>542.3</v>
      </c>
      <c r="U539" s="7" t="n">
        <v>542.3</v>
      </c>
      <c r="V539" s="7" t="n">
        <v>542.3</v>
      </c>
      <c r="W539" s="7" t="n">
        <v>542.3</v>
      </c>
      <c r="X539" s="7" t="n">
        <v>542.3</v>
      </c>
      <c r="Y539" s="7" t="n">
        <v>542.3</v>
      </c>
      <c r="Z539" s="7" t="n">
        <v>350</v>
      </c>
      <c r="AA539" s="7" t="n">
        <v>250</v>
      </c>
      <c r="AB539" s="7" t="n">
        <v>600</v>
      </c>
    </row>
    <row r="540" customFormat="false" ht="15" hidden="false" customHeight="false" outlineLevel="0" collapsed="false">
      <c r="A540" s="8" t="s">
        <v>1598</v>
      </c>
      <c r="B540" s="8" t="s">
        <v>1599</v>
      </c>
      <c r="C540" s="8" t="s">
        <v>284</v>
      </c>
      <c r="D540" s="8" t="s">
        <v>285</v>
      </c>
      <c r="E540" s="8" t="n">
        <v>2012</v>
      </c>
      <c r="F540" s="8" t="s">
        <v>155</v>
      </c>
      <c r="G540" s="8" t="s">
        <v>191</v>
      </c>
      <c r="H540" s="8" t="s">
        <v>1600</v>
      </c>
      <c r="I540" s="8" t="s">
        <v>56</v>
      </c>
      <c r="J540" s="9" t="n">
        <v>765000</v>
      </c>
      <c r="K540" s="8" t="s">
        <v>142</v>
      </c>
      <c r="L540" s="9" t="n">
        <v>11280.2</v>
      </c>
      <c r="M540" s="9" t="n">
        <v>1410.03</v>
      </c>
      <c r="N540" s="9" t="n">
        <v>1410.03</v>
      </c>
      <c r="O540" s="9" t="n">
        <v>8460.1</v>
      </c>
      <c r="P540" s="9" t="n">
        <v>846.01</v>
      </c>
      <c r="Q540" s="9" t="n">
        <v>846.01</v>
      </c>
      <c r="R540" s="9" t="n">
        <v>846.01</v>
      </c>
      <c r="S540" s="9" t="n">
        <v>846.01</v>
      </c>
      <c r="T540" s="9" t="n">
        <v>846.01</v>
      </c>
      <c r="U540" s="9" t="n">
        <v>846.01</v>
      </c>
      <c r="V540" s="9" t="n">
        <v>846.01</v>
      </c>
      <c r="W540" s="9" t="n">
        <v>846.01</v>
      </c>
      <c r="X540" s="9" t="n">
        <v>846.01</v>
      </c>
      <c r="Y540" s="9" t="n">
        <v>846.01</v>
      </c>
      <c r="Z540" s="9" t="n">
        <v>350</v>
      </c>
      <c r="AA540" s="9" t="n">
        <v>0</v>
      </c>
      <c r="AB540" s="9" t="n">
        <v>350</v>
      </c>
    </row>
    <row r="541" customFormat="false" ht="15" hidden="false" customHeight="false" outlineLevel="0" collapsed="false">
      <c r="A541" s="3" t="s">
        <v>1601</v>
      </c>
      <c r="B541" s="3" t="s">
        <v>1602</v>
      </c>
      <c r="C541" s="3" t="s">
        <v>208</v>
      </c>
      <c r="D541" s="3" t="s">
        <v>209</v>
      </c>
      <c r="E541" s="3" t="n">
        <v>1960</v>
      </c>
      <c r="F541" s="3" t="s">
        <v>107</v>
      </c>
      <c r="G541" s="3" t="s">
        <v>134</v>
      </c>
      <c r="H541" s="3" t="s">
        <v>1603</v>
      </c>
      <c r="I541" s="3" t="s">
        <v>56</v>
      </c>
      <c r="J541" s="7" t="n">
        <v>465000</v>
      </c>
      <c r="K541" s="3" t="s">
        <v>213</v>
      </c>
      <c r="L541" s="7" t="n">
        <v>7632.88</v>
      </c>
      <c r="M541" s="7" t="n">
        <v>954.11</v>
      </c>
      <c r="N541" s="7" t="n">
        <v>954.11</v>
      </c>
      <c r="O541" s="7" t="n">
        <v>5724.7</v>
      </c>
      <c r="P541" s="7" t="n">
        <v>572.47</v>
      </c>
      <c r="Q541" s="7" t="n">
        <v>572.47</v>
      </c>
      <c r="R541" s="7" t="n">
        <v>572.47</v>
      </c>
      <c r="S541" s="7" t="n">
        <v>572.47</v>
      </c>
      <c r="T541" s="7" t="n">
        <v>572.47</v>
      </c>
      <c r="U541" s="7" t="n">
        <v>572.47</v>
      </c>
      <c r="V541" s="7" t="n">
        <v>572.47</v>
      </c>
      <c r="W541" s="7" t="n">
        <v>572.47</v>
      </c>
      <c r="X541" s="7" t="n">
        <v>572.47</v>
      </c>
      <c r="Y541" s="7" t="n">
        <v>572.47</v>
      </c>
      <c r="Z541" s="7" t="n">
        <v>350</v>
      </c>
      <c r="AA541" s="7" t="n">
        <v>0</v>
      </c>
      <c r="AB541" s="7" t="n">
        <v>350</v>
      </c>
    </row>
    <row r="542" customFormat="false" ht="15" hidden="false" customHeight="false" outlineLevel="0" collapsed="false">
      <c r="A542" s="8" t="s">
        <v>1604</v>
      </c>
      <c r="B542" s="8" t="s">
        <v>1605</v>
      </c>
      <c r="C542" s="8" t="s">
        <v>267</v>
      </c>
      <c r="D542" s="8" t="s">
        <v>268</v>
      </c>
      <c r="E542" s="8" t="n">
        <v>1978</v>
      </c>
      <c r="F542" s="8" t="s">
        <v>155</v>
      </c>
      <c r="G542" s="8" t="s">
        <v>191</v>
      </c>
      <c r="H542" s="8" t="s">
        <v>1606</v>
      </c>
      <c r="I542" s="8" t="s">
        <v>56</v>
      </c>
      <c r="J542" s="9" t="n">
        <v>750000</v>
      </c>
      <c r="K542" s="8" t="s">
        <v>164</v>
      </c>
      <c r="L542" s="9" t="n">
        <v>7943.81</v>
      </c>
      <c r="M542" s="9" t="n">
        <v>992.98</v>
      </c>
      <c r="N542" s="9" t="n">
        <v>992.98</v>
      </c>
      <c r="O542" s="9" t="n">
        <v>5957.9</v>
      </c>
      <c r="P542" s="9" t="n">
        <v>595.79</v>
      </c>
      <c r="Q542" s="9" t="n">
        <v>595.79</v>
      </c>
      <c r="R542" s="9" t="n">
        <v>595.79</v>
      </c>
      <c r="S542" s="9" t="n">
        <v>595.79</v>
      </c>
      <c r="T542" s="9" t="n">
        <v>595.79</v>
      </c>
      <c r="U542" s="9" t="n">
        <v>595.79</v>
      </c>
      <c r="V542" s="9" t="n">
        <v>595.79</v>
      </c>
      <c r="W542" s="9" t="n">
        <v>595.79</v>
      </c>
      <c r="X542" s="9" t="n">
        <v>595.79</v>
      </c>
      <c r="Y542" s="9" t="n">
        <v>595.79</v>
      </c>
      <c r="Z542" s="9" t="n">
        <v>350</v>
      </c>
      <c r="AA542" s="9" t="n">
        <v>0</v>
      </c>
      <c r="AB542" s="9" t="n">
        <v>350</v>
      </c>
    </row>
    <row r="543" customFormat="false" ht="15" hidden="false" customHeight="false" outlineLevel="0" collapsed="false">
      <c r="A543" s="3" t="s">
        <v>1607</v>
      </c>
      <c r="B543" s="3" t="s">
        <v>1201</v>
      </c>
      <c r="C543" s="3" t="s">
        <v>177</v>
      </c>
      <c r="D543" s="3" t="s">
        <v>178</v>
      </c>
      <c r="E543" s="3" t="n">
        <v>1996</v>
      </c>
      <c r="F543" s="3" t="s">
        <v>53</v>
      </c>
      <c r="G543" s="3" t="s">
        <v>54</v>
      </c>
      <c r="H543" s="3" t="s">
        <v>1608</v>
      </c>
      <c r="I543" s="3" t="s">
        <v>56</v>
      </c>
      <c r="J543" s="7" t="n">
        <v>370000</v>
      </c>
      <c r="K543" s="3" t="s">
        <v>158</v>
      </c>
      <c r="L543" s="7" t="n">
        <v>4388.86</v>
      </c>
      <c r="M543" s="7" t="n">
        <v>548.61</v>
      </c>
      <c r="N543" s="7" t="n">
        <v>548.61</v>
      </c>
      <c r="O543" s="7" t="n">
        <v>3291.6</v>
      </c>
      <c r="P543" s="7" t="n">
        <v>329.16</v>
      </c>
      <c r="Q543" s="7" t="n">
        <v>329.16</v>
      </c>
      <c r="R543" s="7" t="n">
        <v>329.16</v>
      </c>
      <c r="S543" s="7" t="n">
        <v>329.16</v>
      </c>
      <c r="T543" s="7" t="n">
        <v>329.16</v>
      </c>
      <c r="U543" s="7" t="n">
        <v>329.16</v>
      </c>
      <c r="V543" s="7" t="n">
        <v>329.16</v>
      </c>
      <c r="W543" s="7" t="n">
        <v>329.16</v>
      </c>
      <c r="X543" s="7" t="n">
        <v>329.16</v>
      </c>
      <c r="Y543" s="7" t="n">
        <v>329.16</v>
      </c>
      <c r="Z543" s="7" t="n">
        <v>350</v>
      </c>
      <c r="AA543" s="7" t="n">
        <v>0</v>
      </c>
      <c r="AB543" s="7" t="n">
        <v>350</v>
      </c>
    </row>
    <row r="544" customFormat="false" ht="15" hidden="false" customHeight="false" outlineLevel="0" collapsed="false">
      <c r="A544" s="8" t="s">
        <v>1609</v>
      </c>
      <c r="B544" s="8" t="s">
        <v>1610</v>
      </c>
      <c r="C544" s="8" t="s">
        <v>284</v>
      </c>
      <c r="D544" s="8" t="s">
        <v>285</v>
      </c>
      <c r="E544" s="8" t="n">
        <v>2003</v>
      </c>
      <c r="F544" s="8" t="s">
        <v>155</v>
      </c>
      <c r="G544" s="8" t="s">
        <v>191</v>
      </c>
      <c r="H544" s="8" t="s">
        <v>1611</v>
      </c>
      <c r="I544" s="8" t="s">
        <v>56</v>
      </c>
      <c r="J544" s="9" t="n">
        <v>675000</v>
      </c>
      <c r="K544" s="8" t="s">
        <v>525</v>
      </c>
      <c r="L544" s="9" t="n">
        <v>8481.18</v>
      </c>
      <c r="M544" s="9" t="n">
        <v>1060.15</v>
      </c>
      <c r="N544" s="9" t="n">
        <v>1060.15</v>
      </c>
      <c r="O544" s="9" t="n">
        <v>6360.9</v>
      </c>
      <c r="P544" s="9" t="n">
        <v>636.09</v>
      </c>
      <c r="Q544" s="9" t="n">
        <v>636.09</v>
      </c>
      <c r="R544" s="9" t="n">
        <v>636.09</v>
      </c>
      <c r="S544" s="9" t="n">
        <v>636.09</v>
      </c>
      <c r="T544" s="9" t="n">
        <v>636.09</v>
      </c>
      <c r="U544" s="9" t="n">
        <v>636.09</v>
      </c>
      <c r="V544" s="9" t="n">
        <v>636.09</v>
      </c>
      <c r="W544" s="9" t="n">
        <v>636.09</v>
      </c>
      <c r="X544" s="9" t="n">
        <v>636.09</v>
      </c>
      <c r="Y544" s="9" t="n">
        <v>636.09</v>
      </c>
      <c r="Z544" s="9" t="n">
        <v>350</v>
      </c>
      <c r="AA544" s="9" t="n">
        <v>0</v>
      </c>
      <c r="AB544" s="9" t="n">
        <v>350</v>
      </c>
    </row>
    <row r="545" customFormat="false" ht="15" hidden="false" customHeight="false" outlineLevel="0" collapsed="false">
      <c r="A545" s="3" t="s">
        <v>1612</v>
      </c>
      <c r="B545" s="3" t="s">
        <v>1613</v>
      </c>
      <c r="C545" s="3" t="s">
        <v>177</v>
      </c>
      <c r="D545" s="3" t="s">
        <v>178</v>
      </c>
      <c r="E545" s="3" t="n">
        <v>1974</v>
      </c>
      <c r="F545" s="3" t="s">
        <v>53</v>
      </c>
      <c r="G545" s="3" t="s">
        <v>54</v>
      </c>
      <c r="H545" s="3" t="s">
        <v>1614</v>
      </c>
      <c r="I545" s="3" t="s">
        <v>56</v>
      </c>
      <c r="J545" s="7" t="n">
        <v>495000</v>
      </c>
      <c r="K545" s="3" t="s">
        <v>90</v>
      </c>
      <c r="L545" s="7" t="n">
        <v>7591.55</v>
      </c>
      <c r="M545" s="7" t="n">
        <v>948.94</v>
      </c>
      <c r="N545" s="7" t="n">
        <v>948.94</v>
      </c>
      <c r="O545" s="7" t="n">
        <v>5693.7</v>
      </c>
      <c r="P545" s="7" t="n">
        <v>569.37</v>
      </c>
      <c r="Q545" s="7" t="n">
        <v>569.37</v>
      </c>
      <c r="R545" s="7" t="n">
        <v>569.37</v>
      </c>
      <c r="S545" s="7" t="n">
        <v>569.37</v>
      </c>
      <c r="T545" s="7" t="n">
        <v>569.37</v>
      </c>
      <c r="U545" s="7" t="n">
        <v>569.37</v>
      </c>
      <c r="V545" s="7" t="n">
        <v>569.37</v>
      </c>
      <c r="W545" s="7" t="n">
        <v>569.37</v>
      </c>
      <c r="X545" s="7" t="n">
        <v>569.37</v>
      </c>
      <c r="Y545" s="7" t="n">
        <v>569.37</v>
      </c>
      <c r="Z545" s="7" t="n">
        <v>350</v>
      </c>
      <c r="AA545" s="7" t="n">
        <v>0</v>
      </c>
      <c r="AB545" s="7" t="n">
        <v>350</v>
      </c>
    </row>
    <row r="546" customFormat="false" ht="15" hidden="false" customHeight="false" outlineLevel="0" collapsed="false">
      <c r="A546" s="8" t="s">
        <v>1615</v>
      </c>
      <c r="B546" s="8" t="s">
        <v>1616</v>
      </c>
      <c r="C546" s="8" t="s">
        <v>507</v>
      </c>
      <c r="D546" s="8" t="s">
        <v>508</v>
      </c>
      <c r="E546" s="8" t="n">
        <v>2001</v>
      </c>
      <c r="F546" s="8" t="s">
        <v>53</v>
      </c>
      <c r="G546" s="8" t="s">
        <v>54</v>
      </c>
      <c r="H546" s="8" t="s">
        <v>1617</v>
      </c>
      <c r="I546" s="8" t="s">
        <v>56</v>
      </c>
      <c r="J546" s="9" t="n">
        <v>460000</v>
      </c>
      <c r="K546" s="8" t="s">
        <v>86</v>
      </c>
      <c r="L546" s="9" t="n">
        <v>7440.58</v>
      </c>
      <c r="M546" s="9" t="n">
        <v>930.07</v>
      </c>
      <c r="N546" s="9" t="n">
        <v>930.07</v>
      </c>
      <c r="O546" s="9" t="n">
        <v>5580.4</v>
      </c>
      <c r="P546" s="9" t="n">
        <v>558.04</v>
      </c>
      <c r="Q546" s="9" t="n">
        <v>558.04</v>
      </c>
      <c r="R546" s="9" t="n">
        <v>558.04</v>
      </c>
      <c r="S546" s="9" t="n">
        <v>558.04</v>
      </c>
      <c r="T546" s="9" t="n">
        <v>558.04</v>
      </c>
      <c r="U546" s="9" t="n">
        <v>558.04</v>
      </c>
      <c r="V546" s="9" t="n">
        <v>558.04</v>
      </c>
      <c r="W546" s="9" t="n">
        <v>558.04</v>
      </c>
      <c r="X546" s="9" t="n">
        <v>558.04</v>
      </c>
      <c r="Y546" s="9" t="n">
        <v>558.04</v>
      </c>
      <c r="Z546" s="9" t="n">
        <v>350</v>
      </c>
      <c r="AA546" s="9" t="n">
        <v>0</v>
      </c>
      <c r="AB546" s="9" t="n">
        <v>350</v>
      </c>
    </row>
    <row r="547" customFormat="false" ht="15" hidden="false" customHeight="false" outlineLevel="0" collapsed="false">
      <c r="A547" s="3" t="s">
        <v>1618</v>
      </c>
      <c r="B547" s="3" t="s">
        <v>1619</v>
      </c>
      <c r="C547" s="3" t="s">
        <v>272</v>
      </c>
      <c r="D547" s="3" t="s">
        <v>273</v>
      </c>
      <c r="E547" s="3" t="n">
        <v>1978</v>
      </c>
      <c r="F547" s="3" t="s">
        <v>122</v>
      </c>
      <c r="G547" s="3" t="s">
        <v>123</v>
      </c>
      <c r="H547" s="3" t="s">
        <v>1620</v>
      </c>
      <c r="I547" s="3" t="s">
        <v>56</v>
      </c>
      <c r="J547" s="7" t="n">
        <v>820000</v>
      </c>
      <c r="K547" s="3" t="s">
        <v>587</v>
      </c>
      <c r="L547" s="7" t="n">
        <v>9536.72</v>
      </c>
      <c r="M547" s="7" t="n">
        <v>1192.09</v>
      </c>
      <c r="N547" s="7" t="n">
        <v>1192.09</v>
      </c>
      <c r="O547" s="7" t="n">
        <v>7152.5</v>
      </c>
      <c r="P547" s="7" t="n">
        <v>715.25</v>
      </c>
      <c r="Q547" s="7" t="n">
        <v>715.25</v>
      </c>
      <c r="R547" s="7" t="n">
        <v>715.25</v>
      </c>
      <c r="S547" s="7" t="n">
        <v>715.25</v>
      </c>
      <c r="T547" s="7" t="n">
        <v>715.25</v>
      </c>
      <c r="U547" s="7" t="n">
        <v>715.25</v>
      </c>
      <c r="V547" s="7" t="n">
        <v>715.25</v>
      </c>
      <c r="W547" s="7" t="n">
        <v>715.25</v>
      </c>
      <c r="X547" s="7" t="n">
        <v>715.25</v>
      </c>
      <c r="Y547" s="7" t="n">
        <v>715.25</v>
      </c>
      <c r="Z547" s="7" t="n">
        <v>350</v>
      </c>
      <c r="AA547" s="7" t="n">
        <v>0</v>
      </c>
      <c r="AB547" s="7" t="n">
        <v>350</v>
      </c>
    </row>
    <row r="548" customFormat="false" ht="15" hidden="false" customHeight="false" outlineLevel="0" collapsed="false">
      <c r="A548" s="8" t="s">
        <v>1621</v>
      </c>
      <c r="B548" s="8" t="s">
        <v>1622</v>
      </c>
      <c r="C548" s="8" t="s">
        <v>272</v>
      </c>
      <c r="D548" s="8" t="s">
        <v>273</v>
      </c>
      <c r="E548" s="8" t="n">
        <v>1962</v>
      </c>
      <c r="F548" s="8" t="s">
        <v>195</v>
      </c>
      <c r="G548" s="8" t="s">
        <v>196</v>
      </c>
      <c r="H548" s="8" t="s">
        <v>1623</v>
      </c>
      <c r="I548" s="8" t="s">
        <v>47</v>
      </c>
      <c r="J548" s="9" t="n">
        <v>905000</v>
      </c>
      <c r="K548" s="8" t="s">
        <v>168</v>
      </c>
      <c r="L548" s="9" t="n">
        <v>13185.52</v>
      </c>
      <c r="M548" s="9" t="n">
        <v>1648.19</v>
      </c>
      <c r="N548" s="9" t="n">
        <v>1648.19</v>
      </c>
      <c r="O548" s="9" t="n">
        <v>9889.1</v>
      </c>
      <c r="P548" s="9" t="n">
        <v>988.91</v>
      </c>
      <c r="Q548" s="9" t="n">
        <v>988.91</v>
      </c>
      <c r="R548" s="9" t="n">
        <v>988.91</v>
      </c>
      <c r="S548" s="9" t="n">
        <v>988.91</v>
      </c>
      <c r="T548" s="9" t="n">
        <v>988.91</v>
      </c>
      <c r="U548" s="9" t="n">
        <v>988.91</v>
      </c>
      <c r="V548" s="9" t="n">
        <v>988.91</v>
      </c>
      <c r="W548" s="9" t="n">
        <v>988.91</v>
      </c>
      <c r="X548" s="9" t="n">
        <v>988.91</v>
      </c>
      <c r="Y548" s="9" t="n">
        <v>988.91</v>
      </c>
      <c r="Z548" s="9" t="n">
        <v>350</v>
      </c>
      <c r="AA548" s="9" t="n">
        <v>0</v>
      </c>
      <c r="AB548" s="9" t="n">
        <v>350</v>
      </c>
    </row>
    <row r="549" customFormat="false" ht="15" hidden="false" customHeight="false" outlineLevel="0" collapsed="false">
      <c r="A549" s="3" t="s">
        <v>1624</v>
      </c>
      <c r="B549" s="3" t="s">
        <v>266</v>
      </c>
      <c r="C549" s="3" t="s">
        <v>139</v>
      </c>
      <c r="D549" s="3" t="s">
        <v>140</v>
      </c>
      <c r="E549" s="3" t="n">
        <v>1962</v>
      </c>
      <c r="F549" s="3" t="s">
        <v>155</v>
      </c>
      <c r="G549" s="3" t="s">
        <v>191</v>
      </c>
      <c r="H549" s="3" t="s">
        <v>1625</v>
      </c>
      <c r="I549" s="3" t="s">
        <v>56</v>
      </c>
      <c r="J549" s="7" t="n">
        <v>165000</v>
      </c>
      <c r="K549" s="3" t="s">
        <v>547</v>
      </c>
      <c r="L549" s="7" t="n">
        <v>3201.1</v>
      </c>
      <c r="M549" s="7" t="n">
        <v>400.14</v>
      </c>
      <c r="N549" s="7" t="n">
        <v>400.14</v>
      </c>
      <c r="O549" s="7" t="n">
        <v>2400.8</v>
      </c>
      <c r="P549" s="7" t="n">
        <v>240.08</v>
      </c>
      <c r="Q549" s="7" t="n">
        <v>240.08</v>
      </c>
      <c r="R549" s="7" t="n">
        <v>240.08</v>
      </c>
      <c r="S549" s="7" t="n">
        <v>240.08</v>
      </c>
      <c r="T549" s="7" t="n">
        <v>240.08</v>
      </c>
      <c r="U549" s="7" t="n">
        <v>240.08</v>
      </c>
      <c r="V549" s="7" t="n">
        <v>240.08</v>
      </c>
      <c r="W549" s="7" t="n">
        <v>240.08</v>
      </c>
      <c r="X549" s="7" t="n">
        <v>240.08</v>
      </c>
      <c r="Y549" s="7" t="n">
        <v>240.08</v>
      </c>
      <c r="Z549" s="7" t="n">
        <v>350</v>
      </c>
      <c r="AA549" s="7" t="n">
        <v>0</v>
      </c>
      <c r="AB549" s="7" t="n">
        <v>350</v>
      </c>
    </row>
    <row r="550" customFormat="false" ht="15" hidden="false" customHeight="false" outlineLevel="0" collapsed="false">
      <c r="A550" s="8" t="s">
        <v>1626</v>
      </c>
      <c r="B550" s="8" t="s">
        <v>1627</v>
      </c>
      <c r="C550" s="8" t="s">
        <v>219</v>
      </c>
      <c r="D550" s="8" t="s">
        <v>220</v>
      </c>
      <c r="E550" s="8" t="n">
        <v>1969</v>
      </c>
      <c r="F550" s="8" t="s">
        <v>155</v>
      </c>
      <c r="G550" s="8" t="s">
        <v>191</v>
      </c>
      <c r="H550" s="8" t="s">
        <v>1628</v>
      </c>
      <c r="I550" s="8" t="s">
        <v>56</v>
      </c>
      <c r="J550" s="9" t="n">
        <v>1170000</v>
      </c>
      <c r="K550" s="8" t="s">
        <v>158</v>
      </c>
      <c r="L550" s="9" t="n">
        <v>10177.41</v>
      </c>
      <c r="M550" s="9" t="n">
        <v>1272.18</v>
      </c>
      <c r="N550" s="9" t="n">
        <v>1272.18</v>
      </c>
      <c r="O550" s="9" t="n">
        <v>7633.1</v>
      </c>
      <c r="P550" s="9" t="n">
        <v>763.31</v>
      </c>
      <c r="Q550" s="9" t="n">
        <v>763.31</v>
      </c>
      <c r="R550" s="9" t="n">
        <v>763.31</v>
      </c>
      <c r="S550" s="9" t="n">
        <v>763.31</v>
      </c>
      <c r="T550" s="9" t="n">
        <v>763.31</v>
      </c>
      <c r="U550" s="9" t="n">
        <v>763.31</v>
      </c>
      <c r="V550" s="9" t="n">
        <v>763.31</v>
      </c>
      <c r="W550" s="9" t="n">
        <v>763.31</v>
      </c>
      <c r="X550" s="9" t="n">
        <v>763.31</v>
      </c>
      <c r="Y550" s="9" t="n">
        <v>763.31</v>
      </c>
      <c r="Z550" s="9" t="n">
        <v>350</v>
      </c>
      <c r="AA550" s="9" t="n">
        <v>250</v>
      </c>
      <c r="AB550" s="9" t="n">
        <v>600</v>
      </c>
    </row>
    <row r="551" customFormat="false" ht="15" hidden="false" customHeight="false" outlineLevel="0" collapsed="false">
      <c r="A551" s="3" t="s">
        <v>1629</v>
      </c>
      <c r="B551" s="3" t="s">
        <v>406</v>
      </c>
      <c r="C551" s="3" t="s">
        <v>252</v>
      </c>
      <c r="D551" s="3" t="s">
        <v>253</v>
      </c>
      <c r="E551" s="3" t="n">
        <v>2003</v>
      </c>
      <c r="F551" s="3" t="s">
        <v>122</v>
      </c>
      <c r="G551" s="3" t="s">
        <v>123</v>
      </c>
      <c r="H551" s="3" t="s">
        <v>1630</v>
      </c>
      <c r="I551" s="3" t="s">
        <v>56</v>
      </c>
      <c r="J551" s="7" t="n">
        <v>235000</v>
      </c>
      <c r="K551" s="3" t="s">
        <v>48</v>
      </c>
      <c r="L551" s="7" t="n">
        <v>3281.2</v>
      </c>
      <c r="M551" s="7" t="n">
        <v>410.15</v>
      </c>
      <c r="N551" s="7" t="n">
        <v>410.15</v>
      </c>
      <c r="O551" s="7" t="n">
        <v>2460.9</v>
      </c>
      <c r="P551" s="7" t="n">
        <v>246.09</v>
      </c>
      <c r="Q551" s="7" t="n">
        <v>246.09</v>
      </c>
      <c r="R551" s="7" t="n">
        <v>246.09</v>
      </c>
      <c r="S551" s="7" t="n">
        <v>246.09</v>
      </c>
      <c r="T551" s="7" t="n">
        <v>246.09</v>
      </c>
      <c r="U551" s="7" t="n">
        <v>246.09</v>
      </c>
      <c r="V551" s="7" t="n">
        <v>246.09</v>
      </c>
      <c r="W551" s="7" t="n">
        <v>246.09</v>
      </c>
      <c r="X551" s="7" t="n">
        <v>246.09</v>
      </c>
      <c r="Y551" s="7" t="n">
        <v>246.09</v>
      </c>
      <c r="Z551" s="7" t="n">
        <v>350</v>
      </c>
      <c r="AA551" s="7" t="n">
        <v>0</v>
      </c>
      <c r="AB551" s="7" t="n">
        <v>350</v>
      </c>
    </row>
    <row r="552" customFormat="false" ht="15" hidden="false" customHeight="false" outlineLevel="0" collapsed="false">
      <c r="A552" s="8" t="s">
        <v>1631</v>
      </c>
      <c r="B552" s="8" t="s">
        <v>152</v>
      </c>
      <c r="C552" s="8" t="s">
        <v>507</v>
      </c>
      <c r="D552" s="8" t="s">
        <v>508</v>
      </c>
      <c r="E552" s="8" t="n">
        <v>1958</v>
      </c>
      <c r="F552" s="8" t="s">
        <v>53</v>
      </c>
      <c r="G552" s="8" t="s">
        <v>54</v>
      </c>
      <c r="H552" s="8" t="s">
        <v>1632</v>
      </c>
      <c r="I552" s="8" t="s">
        <v>56</v>
      </c>
      <c r="J552" s="9" t="n">
        <v>295000</v>
      </c>
      <c r="K552" s="8" t="s">
        <v>543</v>
      </c>
      <c r="L552" s="9" t="n">
        <v>4594.95</v>
      </c>
      <c r="M552" s="9" t="n">
        <v>574.37</v>
      </c>
      <c r="N552" s="9" t="n">
        <v>574.37</v>
      </c>
      <c r="O552" s="9" t="n">
        <v>3446.2</v>
      </c>
      <c r="P552" s="9" t="n">
        <v>344.62</v>
      </c>
      <c r="Q552" s="9" t="n">
        <v>344.62</v>
      </c>
      <c r="R552" s="9" t="n">
        <v>344.62</v>
      </c>
      <c r="S552" s="9" t="n">
        <v>344.62</v>
      </c>
      <c r="T552" s="9" t="n">
        <v>344.62</v>
      </c>
      <c r="U552" s="9" t="n">
        <v>344.62</v>
      </c>
      <c r="V552" s="9" t="n">
        <v>344.62</v>
      </c>
      <c r="W552" s="9" t="n">
        <v>344.62</v>
      </c>
      <c r="X552" s="9" t="n">
        <v>344.62</v>
      </c>
      <c r="Y552" s="9" t="n">
        <v>344.62</v>
      </c>
      <c r="Z552" s="9" t="n">
        <v>350</v>
      </c>
      <c r="AA552" s="9" t="n">
        <v>0</v>
      </c>
      <c r="AB552" s="9" t="n">
        <v>350</v>
      </c>
    </row>
    <row r="553" customFormat="false" ht="15" hidden="false" customHeight="false" outlineLevel="0" collapsed="false">
      <c r="A553" s="3" t="s">
        <v>1633</v>
      </c>
      <c r="B553" s="3" t="s">
        <v>1541</v>
      </c>
      <c r="C553" s="3" t="s">
        <v>101</v>
      </c>
      <c r="D553" s="3" t="s">
        <v>102</v>
      </c>
      <c r="E553" s="3" t="n">
        <v>2017</v>
      </c>
      <c r="F553" s="3" t="s">
        <v>44</v>
      </c>
      <c r="G553" s="3" t="s">
        <v>240</v>
      </c>
      <c r="H553" s="3" t="s">
        <v>1634</v>
      </c>
      <c r="I553" s="3" t="s">
        <v>47</v>
      </c>
      <c r="J553" s="7" t="n">
        <v>735000</v>
      </c>
      <c r="K553" s="3" t="s">
        <v>136</v>
      </c>
      <c r="L553" s="7" t="n">
        <v>17290.05</v>
      </c>
      <c r="M553" s="7" t="n">
        <v>2161.26</v>
      </c>
      <c r="N553" s="7" t="n">
        <v>2161.26</v>
      </c>
      <c r="O553" s="7" t="n">
        <v>12967.5</v>
      </c>
      <c r="P553" s="7" t="n">
        <v>1296.75</v>
      </c>
      <c r="Q553" s="7" t="n">
        <v>1296.75</v>
      </c>
      <c r="R553" s="7" t="n">
        <v>1296.75</v>
      </c>
      <c r="S553" s="7" t="n">
        <v>1296.75</v>
      </c>
      <c r="T553" s="7" t="n">
        <v>1296.75</v>
      </c>
      <c r="U553" s="7" t="n">
        <v>1296.75</v>
      </c>
      <c r="V553" s="7" t="n">
        <v>1296.75</v>
      </c>
      <c r="W553" s="7" t="n">
        <v>1296.75</v>
      </c>
      <c r="X553" s="7" t="n">
        <v>1296.75</v>
      </c>
      <c r="Y553" s="7" t="n">
        <v>1296.75</v>
      </c>
      <c r="Z553" s="7" t="n">
        <v>350</v>
      </c>
      <c r="AA553" s="7" t="n">
        <v>0</v>
      </c>
      <c r="AB553" s="7" t="n">
        <v>350</v>
      </c>
    </row>
    <row r="554" customFormat="false" ht="15" hidden="false" customHeight="false" outlineLevel="0" collapsed="false">
      <c r="A554" s="8" t="s">
        <v>1635</v>
      </c>
      <c r="B554" s="8" t="s">
        <v>320</v>
      </c>
      <c r="C554" s="8" t="s">
        <v>304</v>
      </c>
      <c r="D554" s="8" t="s">
        <v>305</v>
      </c>
      <c r="E554" s="8" t="n">
        <v>1962</v>
      </c>
      <c r="F554" s="8" t="s">
        <v>53</v>
      </c>
      <c r="G554" s="8" t="s">
        <v>54</v>
      </c>
      <c r="H554" s="8" t="s">
        <v>1636</v>
      </c>
      <c r="I554" s="8" t="s">
        <v>56</v>
      </c>
      <c r="J554" s="9" t="n">
        <v>725000</v>
      </c>
      <c r="K554" s="8" t="s">
        <v>174</v>
      </c>
      <c r="L554" s="9" t="n">
        <v>7001.45</v>
      </c>
      <c r="M554" s="9" t="n">
        <v>875.18</v>
      </c>
      <c r="N554" s="9" t="n">
        <v>875.18</v>
      </c>
      <c r="O554" s="9" t="n">
        <v>5251.1</v>
      </c>
      <c r="P554" s="9" t="n">
        <v>525.11</v>
      </c>
      <c r="Q554" s="9" t="n">
        <v>525.11</v>
      </c>
      <c r="R554" s="9" t="n">
        <v>525.11</v>
      </c>
      <c r="S554" s="9" t="n">
        <v>525.11</v>
      </c>
      <c r="T554" s="9" t="n">
        <v>525.11</v>
      </c>
      <c r="U554" s="9" t="n">
        <v>525.11</v>
      </c>
      <c r="V554" s="9" t="n">
        <v>525.11</v>
      </c>
      <c r="W554" s="9" t="n">
        <v>525.11</v>
      </c>
      <c r="X554" s="9" t="n">
        <v>525.11</v>
      </c>
      <c r="Y554" s="9" t="n">
        <v>525.11</v>
      </c>
      <c r="Z554" s="9" t="n">
        <v>350</v>
      </c>
      <c r="AA554" s="9" t="n">
        <v>0</v>
      </c>
      <c r="AB554" s="9" t="n">
        <v>350</v>
      </c>
    </row>
    <row r="555" customFormat="false" ht="15" hidden="false" customHeight="false" outlineLevel="0" collapsed="false">
      <c r="A555" s="3" t="s">
        <v>1637</v>
      </c>
      <c r="B555" s="3" t="s">
        <v>1638</v>
      </c>
      <c r="C555" s="3" t="s">
        <v>507</v>
      </c>
      <c r="D555" s="3" t="s">
        <v>508</v>
      </c>
      <c r="E555" s="3" t="n">
        <v>1956</v>
      </c>
      <c r="F555" s="3" t="s">
        <v>155</v>
      </c>
      <c r="G555" s="3" t="s">
        <v>191</v>
      </c>
      <c r="H555" s="3" t="s">
        <v>1639</v>
      </c>
      <c r="I555" s="3" t="s">
        <v>56</v>
      </c>
      <c r="J555" s="7" t="n">
        <v>165000</v>
      </c>
      <c r="K555" s="3" t="s">
        <v>142</v>
      </c>
      <c r="L555" s="7" t="n">
        <v>3443.61</v>
      </c>
      <c r="M555" s="7" t="n">
        <v>430.45</v>
      </c>
      <c r="N555" s="7" t="n">
        <v>430.45</v>
      </c>
      <c r="O555" s="7" t="n">
        <v>2582.7</v>
      </c>
      <c r="P555" s="7" t="n">
        <v>258.27</v>
      </c>
      <c r="Q555" s="7" t="n">
        <v>258.27</v>
      </c>
      <c r="R555" s="7" t="n">
        <v>258.27</v>
      </c>
      <c r="S555" s="7" t="n">
        <v>258.27</v>
      </c>
      <c r="T555" s="7" t="n">
        <v>258.27</v>
      </c>
      <c r="U555" s="7" t="n">
        <v>258.27</v>
      </c>
      <c r="V555" s="7" t="n">
        <v>258.27</v>
      </c>
      <c r="W555" s="7" t="n">
        <v>258.27</v>
      </c>
      <c r="X555" s="7" t="n">
        <v>258.27</v>
      </c>
      <c r="Y555" s="7" t="n">
        <v>258.27</v>
      </c>
      <c r="Z555" s="7" t="n">
        <v>350</v>
      </c>
      <c r="AA555" s="7" t="n">
        <v>0</v>
      </c>
      <c r="AB555" s="7" t="n">
        <v>350</v>
      </c>
    </row>
    <row r="556" customFormat="false" ht="15" hidden="false" customHeight="false" outlineLevel="0" collapsed="false">
      <c r="A556" s="8" t="s">
        <v>1640</v>
      </c>
      <c r="B556" s="8" t="s">
        <v>686</v>
      </c>
      <c r="C556" s="8" t="s">
        <v>81</v>
      </c>
      <c r="D556" s="8" t="s">
        <v>82</v>
      </c>
      <c r="E556" s="8" t="n">
        <v>1989</v>
      </c>
      <c r="F556" s="8" t="s">
        <v>107</v>
      </c>
      <c r="G556" s="8" t="s">
        <v>134</v>
      </c>
      <c r="H556" s="8" t="s">
        <v>1641</v>
      </c>
      <c r="I556" s="8" t="s">
        <v>56</v>
      </c>
      <c r="J556" s="9" t="n">
        <v>1140000</v>
      </c>
      <c r="K556" s="8" t="s">
        <v>316</v>
      </c>
      <c r="L556" s="9" t="n">
        <v>10817.95</v>
      </c>
      <c r="M556" s="9" t="n">
        <v>1352.24</v>
      </c>
      <c r="N556" s="9" t="n">
        <v>1352.24</v>
      </c>
      <c r="O556" s="9" t="n">
        <v>8113.5</v>
      </c>
      <c r="P556" s="9" t="n">
        <v>811.35</v>
      </c>
      <c r="Q556" s="9" t="n">
        <v>811.35</v>
      </c>
      <c r="R556" s="9" t="n">
        <v>811.35</v>
      </c>
      <c r="S556" s="9" t="n">
        <v>811.35</v>
      </c>
      <c r="T556" s="9" t="n">
        <v>811.35</v>
      </c>
      <c r="U556" s="9" t="n">
        <v>811.35</v>
      </c>
      <c r="V556" s="9" t="n">
        <v>811.35</v>
      </c>
      <c r="W556" s="9" t="n">
        <v>811.35</v>
      </c>
      <c r="X556" s="9" t="n">
        <v>811.35</v>
      </c>
      <c r="Y556" s="9" t="n">
        <v>811.35</v>
      </c>
      <c r="Z556" s="9" t="n">
        <v>350</v>
      </c>
      <c r="AA556" s="9" t="n">
        <v>250</v>
      </c>
      <c r="AB556" s="9" t="n">
        <v>600</v>
      </c>
    </row>
    <row r="557" customFormat="false" ht="15" hidden="false" customHeight="false" outlineLevel="0" collapsed="false">
      <c r="A557" s="3" t="s">
        <v>1642</v>
      </c>
      <c r="B557" s="3" t="s">
        <v>1643</v>
      </c>
      <c r="C557" s="3" t="s">
        <v>60</v>
      </c>
      <c r="D557" s="3" t="s">
        <v>61</v>
      </c>
      <c r="E557" s="3" t="n">
        <v>1955</v>
      </c>
      <c r="F557" s="3" t="s">
        <v>62</v>
      </c>
      <c r="G557" s="3" t="s">
        <v>63</v>
      </c>
      <c r="H557" s="3" t="s">
        <v>1644</v>
      </c>
      <c r="I557" s="3" t="s">
        <v>56</v>
      </c>
      <c r="J557" s="7" t="n">
        <v>245000</v>
      </c>
      <c r="K557" s="3" t="s">
        <v>131</v>
      </c>
      <c r="L557" s="7" t="n">
        <v>4681.13</v>
      </c>
      <c r="M557" s="7" t="n">
        <v>585.14</v>
      </c>
      <c r="N557" s="7" t="n">
        <v>585.14</v>
      </c>
      <c r="O557" s="7" t="n">
        <v>3510.8</v>
      </c>
      <c r="P557" s="7" t="n">
        <v>351.08</v>
      </c>
      <c r="Q557" s="7" t="n">
        <v>351.08</v>
      </c>
      <c r="R557" s="7" t="n">
        <v>351.08</v>
      </c>
      <c r="S557" s="7" t="n">
        <v>351.08</v>
      </c>
      <c r="T557" s="7" t="n">
        <v>351.08</v>
      </c>
      <c r="U557" s="7" t="n">
        <v>351.08</v>
      </c>
      <c r="V557" s="7" t="n">
        <v>351.08</v>
      </c>
      <c r="W557" s="7" t="n">
        <v>351.08</v>
      </c>
      <c r="X557" s="7" t="n">
        <v>351.08</v>
      </c>
      <c r="Y557" s="7" t="n">
        <v>351.08</v>
      </c>
      <c r="Z557" s="7" t="n">
        <v>350</v>
      </c>
      <c r="AA557" s="7" t="n">
        <v>0</v>
      </c>
      <c r="AB557" s="7" t="n">
        <v>350</v>
      </c>
    </row>
    <row r="558" customFormat="false" ht="15" hidden="false" customHeight="false" outlineLevel="0" collapsed="false">
      <c r="A558" s="8" t="s">
        <v>1645</v>
      </c>
      <c r="B558" s="8" t="s">
        <v>1022</v>
      </c>
      <c r="C558" s="8" t="s">
        <v>128</v>
      </c>
      <c r="D558" s="8" t="s">
        <v>129</v>
      </c>
      <c r="E558" s="8" t="n">
        <v>2008</v>
      </c>
      <c r="F558" s="8" t="s">
        <v>155</v>
      </c>
      <c r="G558" s="8" t="s">
        <v>191</v>
      </c>
      <c r="H558" s="8" t="s">
        <v>1646</v>
      </c>
      <c r="I558" s="8" t="s">
        <v>56</v>
      </c>
      <c r="J558" s="9" t="n">
        <v>620000</v>
      </c>
      <c r="K558" s="8" t="s">
        <v>142</v>
      </c>
      <c r="L558" s="9" t="n">
        <v>9142.12</v>
      </c>
      <c r="M558" s="9" t="n">
        <v>1142.77</v>
      </c>
      <c r="N558" s="9" t="n">
        <v>1142.77</v>
      </c>
      <c r="O558" s="9" t="n">
        <v>6856.6</v>
      </c>
      <c r="P558" s="9" t="n">
        <v>685.66</v>
      </c>
      <c r="Q558" s="9" t="n">
        <v>685.66</v>
      </c>
      <c r="R558" s="9" t="n">
        <v>685.66</v>
      </c>
      <c r="S558" s="9" t="n">
        <v>685.66</v>
      </c>
      <c r="T558" s="9" t="n">
        <v>685.66</v>
      </c>
      <c r="U558" s="9" t="n">
        <v>685.66</v>
      </c>
      <c r="V558" s="9" t="n">
        <v>685.66</v>
      </c>
      <c r="W558" s="9" t="n">
        <v>685.66</v>
      </c>
      <c r="X558" s="9" t="n">
        <v>685.66</v>
      </c>
      <c r="Y558" s="9" t="n">
        <v>685.66</v>
      </c>
      <c r="Z558" s="9" t="n">
        <v>350</v>
      </c>
      <c r="AA558" s="9" t="n">
        <v>0</v>
      </c>
      <c r="AB558" s="9" t="n">
        <v>350</v>
      </c>
    </row>
    <row r="559" customFormat="false" ht="15" hidden="false" customHeight="false" outlineLevel="0" collapsed="false">
      <c r="A559" s="3" t="s">
        <v>1647</v>
      </c>
      <c r="B559" s="3" t="s">
        <v>1648</v>
      </c>
      <c r="C559" s="3" t="s">
        <v>114</v>
      </c>
      <c r="D559" s="3" t="s">
        <v>115</v>
      </c>
      <c r="E559" s="3" t="n">
        <v>1972</v>
      </c>
      <c r="F559" s="3" t="s">
        <v>53</v>
      </c>
      <c r="G559" s="3" t="s">
        <v>54</v>
      </c>
      <c r="H559" s="3" t="s">
        <v>1649</v>
      </c>
      <c r="I559" s="3" t="s">
        <v>56</v>
      </c>
      <c r="J559" s="7" t="n">
        <v>695000</v>
      </c>
      <c r="K559" s="3" t="s">
        <v>186</v>
      </c>
      <c r="L559" s="7" t="n">
        <v>9742.84</v>
      </c>
      <c r="M559" s="7" t="n">
        <v>1217.86</v>
      </c>
      <c r="N559" s="7" t="n">
        <v>1217.86</v>
      </c>
      <c r="O559" s="7" t="n">
        <v>7307.1</v>
      </c>
      <c r="P559" s="7" t="n">
        <v>730.71</v>
      </c>
      <c r="Q559" s="7" t="n">
        <v>730.71</v>
      </c>
      <c r="R559" s="7" t="n">
        <v>730.71</v>
      </c>
      <c r="S559" s="7" t="n">
        <v>730.71</v>
      </c>
      <c r="T559" s="7" t="n">
        <v>730.71</v>
      </c>
      <c r="U559" s="7" t="n">
        <v>730.71</v>
      </c>
      <c r="V559" s="7" t="n">
        <v>730.71</v>
      </c>
      <c r="W559" s="7" t="n">
        <v>730.71</v>
      </c>
      <c r="X559" s="7" t="n">
        <v>730.71</v>
      </c>
      <c r="Y559" s="7" t="n">
        <v>730.71</v>
      </c>
      <c r="Z559" s="7" t="n">
        <v>350</v>
      </c>
      <c r="AA559" s="7" t="n">
        <v>0</v>
      </c>
      <c r="AB559" s="7" t="n">
        <v>350</v>
      </c>
    </row>
    <row r="560" customFormat="false" ht="15" hidden="false" customHeight="false" outlineLevel="0" collapsed="false">
      <c r="A560" s="8" t="s">
        <v>1650</v>
      </c>
      <c r="B560" s="8" t="s">
        <v>352</v>
      </c>
      <c r="C560" s="8" t="s">
        <v>238</v>
      </c>
      <c r="D560" s="8" t="s">
        <v>239</v>
      </c>
      <c r="E560" s="8" t="n">
        <v>1970</v>
      </c>
      <c r="F560" s="8" t="s">
        <v>147</v>
      </c>
      <c r="G560" s="8" t="s">
        <v>148</v>
      </c>
      <c r="H560" s="8" t="s">
        <v>1651</v>
      </c>
      <c r="I560" s="8" t="s">
        <v>119</v>
      </c>
      <c r="J560" s="9" t="n">
        <v>165000</v>
      </c>
      <c r="K560" s="8" t="s">
        <v>111</v>
      </c>
      <c r="L560" s="9" t="n">
        <v>2712.39</v>
      </c>
      <c r="M560" s="9" t="n">
        <v>339.05</v>
      </c>
      <c r="N560" s="9" t="n">
        <v>339.05</v>
      </c>
      <c r="O560" s="9" t="n">
        <v>2034.3</v>
      </c>
      <c r="P560" s="9" t="n">
        <v>203.43</v>
      </c>
      <c r="Q560" s="9" t="n">
        <v>203.43</v>
      </c>
      <c r="R560" s="9" t="n">
        <v>203.43</v>
      </c>
      <c r="S560" s="9" t="n">
        <v>203.43</v>
      </c>
      <c r="T560" s="9" t="n">
        <v>203.43</v>
      </c>
      <c r="U560" s="9" t="n">
        <v>203.43</v>
      </c>
      <c r="V560" s="9" t="n">
        <v>203.43</v>
      </c>
      <c r="W560" s="9" t="n">
        <v>203.43</v>
      </c>
      <c r="X560" s="9" t="n">
        <v>203.43</v>
      </c>
      <c r="Y560" s="9" t="n">
        <v>203.43</v>
      </c>
      <c r="Z560" s="9" t="n">
        <v>350</v>
      </c>
      <c r="AA560" s="9" t="n">
        <v>0</v>
      </c>
      <c r="AB560" s="9" t="n">
        <v>350</v>
      </c>
    </row>
    <row r="561" customFormat="false" ht="15" hidden="false" customHeight="false" outlineLevel="0" collapsed="false">
      <c r="A561" s="3" t="s">
        <v>1652</v>
      </c>
      <c r="B561" s="3" t="s">
        <v>1529</v>
      </c>
      <c r="C561" s="3" t="s">
        <v>267</v>
      </c>
      <c r="D561" s="3" t="s">
        <v>268</v>
      </c>
      <c r="E561" s="3" t="n">
        <v>2004</v>
      </c>
      <c r="F561" s="3" t="s">
        <v>95</v>
      </c>
      <c r="G561" s="3" t="s">
        <v>96</v>
      </c>
      <c r="H561" s="3" t="s">
        <v>1653</v>
      </c>
      <c r="I561" s="3" t="s">
        <v>47</v>
      </c>
      <c r="J561" s="7" t="n">
        <v>830000</v>
      </c>
      <c r="K561" s="3" t="s">
        <v>1468</v>
      </c>
      <c r="L561" s="7" t="n">
        <v>14108.26</v>
      </c>
      <c r="M561" s="7" t="n">
        <v>1763.53</v>
      </c>
      <c r="N561" s="7" t="n">
        <v>1763.53</v>
      </c>
      <c r="O561" s="7" t="n">
        <v>10581.2</v>
      </c>
      <c r="P561" s="7" t="n">
        <v>1058.12</v>
      </c>
      <c r="Q561" s="7" t="n">
        <v>1058.12</v>
      </c>
      <c r="R561" s="7" t="n">
        <v>1058.12</v>
      </c>
      <c r="S561" s="7" t="n">
        <v>1058.12</v>
      </c>
      <c r="T561" s="7" t="n">
        <v>1058.12</v>
      </c>
      <c r="U561" s="7" t="n">
        <v>1058.12</v>
      </c>
      <c r="V561" s="7" t="n">
        <v>1058.12</v>
      </c>
      <c r="W561" s="7" t="n">
        <v>1058.12</v>
      </c>
      <c r="X561" s="7" t="n">
        <v>1058.12</v>
      </c>
      <c r="Y561" s="7" t="n">
        <v>1058.12</v>
      </c>
      <c r="Z561" s="7" t="n">
        <v>350</v>
      </c>
      <c r="AA561" s="7" t="n">
        <v>0</v>
      </c>
      <c r="AB561" s="7" t="n">
        <v>350</v>
      </c>
    </row>
    <row r="562" customFormat="false" ht="15" hidden="false" customHeight="false" outlineLevel="0" collapsed="false">
      <c r="A562" s="8" t="s">
        <v>1654</v>
      </c>
      <c r="B562" s="8" t="s">
        <v>1655</v>
      </c>
      <c r="C562" s="8" t="s">
        <v>183</v>
      </c>
      <c r="D562" s="8" t="s">
        <v>184</v>
      </c>
      <c r="E562" s="8" t="n">
        <v>2011</v>
      </c>
      <c r="F562" s="8" t="s">
        <v>95</v>
      </c>
      <c r="G562" s="8" t="s">
        <v>96</v>
      </c>
      <c r="H562" s="8" t="s">
        <v>1656</v>
      </c>
      <c r="I562" s="8" t="s">
        <v>47</v>
      </c>
      <c r="J562" s="9" t="n">
        <v>605000</v>
      </c>
      <c r="K562" s="8" t="s">
        <v>142</v>
      </c>
      <c r="L562" s="9" t="n">
        <v>13038.3</v>
      </c>
      <c r="M562" s="9" t="n">
        <v>1629.79</v>
      </c>
      <c r="N562" s="9" t="n">
        <v>1629.79</v>
      </c>
      <c r="O562" s="9" t="n">
        <v>9778.7</v>
      </c>
      <c r="P562" s="9" t="n">
        <v>977.87</v>
      </c>
      <c r="Q562" s="9" t="n">
        <v>977.87</v>
      </c>
      <c r="R562" s="9" t="n">
        <v>977.87</v>
      </c>
      <c r="S562" s="9" t="n">
        <v>977.87</v>
      </c>
      <c r="T562" s="9" t="n">
        <v>977.87</v>
      </c>
      <c r="U562" s="9" t="n">
        <v>977.87</v>
      </c>
      <c r="V562" s="9" t="n">
        <v>977.87</v>
      </c>
      <c r="W562" s="9" t="n">
        <v>977.87</v>
      </c>
      <c r="X562" s="9" t="n">
        <v>977.87</v>
      </c>
      <c r="Y562" s="9" t="n">
        <v>977.87</v>
      </c>
      <c r="Z562" s="9" t="n">
        <v>350</v>
      </c>
      <c r="AA562" s="9" t="n">
        <v>0</v>
      </c>
      <c r="AB562" s="9" t="n">
        <v>350</v>
      </c>
    </row>
    <row r="563" customFormat="false" ht="15" hidden="false" customHeight="false" outlineLevel="0" collapsed="false">
      <c r="A563" s="3" t="s">
        <v>1657</v>
      </c>
      <c r="B563" s="3" t="s">
        <v>1425</v>
      </c>
      <c r="C563" s="3" t="s">
        <v>145</v>
      </c>
      <c r="D563" s="3" t="s">
        <v>146</v>
      </c>
      <c r="E563" s="3" t="n">
        <v>1984</v>
      </c>
      <c r="F563" s="3" t="s">
        <v>83</v>
      </c>
      <c r="G563" s="3" t="s">
        <v>84</v>
      </c>
      <c r="H563" s="3" t="s">
        <v>1658</v>
      </c>
      <c r="I563" s="3" t="s">
        <v>56</v>
      </c>
      <c r="J563" s="7" t="n">
        <v>380000</v>
      </c>
      <c r="K563" s="3" t="s">
        <v>90</v>
      </c>
      <c r="L563" s="7" t="n">
        <v>5827.85</v>
      </c>
      <c r="M563" s="7" t="n">
        <v>728.48</v>
      </c>
      <c r="N563" s="7" t="n">
        <v>728.48</v>
      </c>
      <c r="O563" s="7" t="n">
        <v>4370.9</v>
      </c>
      <c r="P563" s="7" t="n">
        <v>437.09</v>
      </c>
      <c r="Q563" s="7" t="n">
        <v>437.09</v>
      </c>
      <c r="R563" s="7" t="n">
        <v>437.09</v>
      </c>
      <c r="S563" s="7" t="n">
        <v>437.09</v>
      </c>
      <c r="T563" s="7" t="n">
        <v>437.09</v>
      </c>
      <c r="U563" s="7" t="n">
        <v>437.09</v>
      </c>
      <c r="V563" s="7" t="n">
        <v>437.09</v>
      </c>
      <c r="W563" s="7" t="n">
        <v>437.09</v>
      </c>
      <c r="X563" s="7" t="n">
        <v>437.09</v>
      </c>
      <c r="Y563" s="7" t="n">
        <v>437.09</v>
      </c>
      <c r="Z563" s="7" t="n">
        <v>350</v>
      </c>
      <c r="AA563" s="7" t="n">
        <v>0</v>
      </c>
      <c r="AB563" s="7" t="n">
        <v>350</v>
      </c>
    </row>
    <row r="564" customFormat="false" ht="15" hidden="false" customHeight="false" outlineLevel="0" collapsed="false">
      <c r="A564" s="8" t="s">
        <v>1659</v>
      </c>
      <c r="B564" s="8" t="s">
        <v>452</v>
      </c>
      <c r="C564" s="8" t="s">
        <v>93</v>
      </c>
      <c r="D564" s="8" t="s">
        <v>94</v>
      </c>
      <c r="E564" s="8" t="n">
        <v>1979</v>
      </c>
      <c r="F564" s="8" t="s">
        <v>122</v>
      </c>
      <c r="G564" s="8" t="s">
        <v>123</v>
      </c>
      <c r="H564" s="8" t="s">
        <v>1660</v>
      </c>
      <c r="I564" s="8" t="s">
        <v>56</v>
      </c>
      <c r="J564" s="9" t="n">
        <v>580000</v>
      </c>
      <c r="K564" s="8" t="s">
        <v>57</v>
      </c>
      <c r="L564" s="9" t="n">
        <v>7648.89</v>
      </c>
      <c r="M564" s="9" t="n">
        <v>956.11</v>
      </c>
      <c r="N564" s="9" t="n">
        <v>956.11</v>
      </c>
      <c r="O564" s="9" t="n">
        <v>5736.7</v>
      </c>
      <c r="P564" s="9" t="n">
        <v>573.67</v>
      </c>
      <c r="Q564" s="9" t="n">
        <v>573.67</v>
      </c>
      <c r="R564" s="9" t="n">
        <v>573.67</v>
      </c>
      <c r="S564" s="9" t="n">
        <v>573.67</v>
      </c>
      <c r="T564" s="9" t="n">
        <v>573.67</v>
      </c>
      <c r="U564" s="9" t="n">
        <v>573.67</v>
      </c>
      <c r="V564" s="9" t="n">
        <v>573.67</v>
      </c>
      <c r="W564" s="9" t="n">
        <v>573.67</v>
      </c>
      <c r="X564" s="9" t="n">
        <v>573.67</v>
      </c>
      <c r="Y564" s="9" t="n">
        <v>573.67</v>
      </c>
      <c r="Z564" s="9" t="n">
        <v>350</v>
      </c>
      <c r="AA564" s="9" t="n">
        <v>0</v>
      </c>
      <c r="AB564" s="9" t="n">
        <v>350</v>
      </c>
    </row>
    <row r="565" customFormat="false" ht="15" hidden="false" customHeight="false" outlineLevel="0" collapsed="false">
      <c r="A565" s="3" t="s">
        <v>1661</v>
      </c>
      <c r="B565" s="3" t="s">
        <v>868</v>
      </c>
      <c r="C565" s="3" t="s">
        <v>139</v>
      </c>
      <c r="D565" s="3" t="s">
        <v>140</v>
      </c>
      <c r="E565" s="3" t="n">
        <v>1989</v>
      </c>
      <c r="F565" s="3" t="s">
        <v>122</v>
      </c>
      <c r="G565" s="3" t="s">
        <v>123</v>
      </c>
      <c r="H565" s="3" t="s">
        <v>1662</v>
      </c>
      <c r="I565" s="3" t="s">
        <v>56</v>
      </c>
      <c r="J565" s="7" t="n">
        <v>455000</v>
      </c>
      <c r="K565" s="3" t="s">
        <v>213</v>
      </c>
      <c r="L565" s="7" t="n">
        <v>7468.73</v>
      </c>
      <c r="M565" s="7" t="n">
        <v>933.59</v>
      </c>
      <c r="N565" s="7" t="n">
        <v>933.59</v>
      </c>
      <c r="O565" s="7" t="n">
        <v>5601.5</v>
      </c>
      <c r="P565" s="7" t="n">
        <v>560.15</v>
      </c>
      <c r="Q565" s="7" t="n">
        <v>560.15</v>
      </c>
      <c r="R565" s="7" t="n">
        <v>560.15</v>
      </c>
      <c r="S565" s="7" t="n">
        <v>560.15</v>
      </c>
      <c r="T565" s="7" t="n">
        <v>560.15</v>
      </c>
      <c r="U565" s="7" t="n">
        <v>560.15</v>
      </c>
      <c r="V565" s="7" t="n">
        <v>560.15</v>
      </c>
      <c r="W565" s="7" t="n">
        <v>560.15</v>
      </c>
      <c r="X565" s="7" t="n">
        <v>560.15</v>
      </c>
      <c r="Y565" s="7" t="n">
        <v>560.15</v>
      </c>
      <c r="Z565" s="7" t="n">
        <v>350</v>
      </c>
      <c r="AA565" s="7" t="n">
        <v>0</v>
      </c>
      <c r="AB565" s="7" t="n">
        <v>350</v>
      </c>
    </row>
    <row r="566" customFormat="false" ht="15" hidden="false" customHeight="false" outlineLevel="0" collapsed="false">
      <c r="A566" s="8" t="s">
        <v>1663</v>
      </c>
      <c r="B566" s="8" t="s">
        <v>484</v>
      </c>
      <c r="C566" s="8" t="s">
        <v>208</v>
      </c>
      <c r="D566" s="8" t="s">
        <v>209</v>
      </c>
      <c r="E566" s="8" t="n">
        <v>2009</v>
      </c>
      <c r="F566" s="8" t="s">
        <v>53</v>
      </c>
      <c r="G566" s="8" t="s">
        <v>54</v>
      </c>
      <c r="H566" s="8" t="s">
        <v>1664</v>
      </c>
      <c r="I566" s="8" t="s">
        <v>56</v>
      </c>
      <c r="J566" s="9" t="n">
        <v>700000</v>
      </c>
      <c r="K566" s="8" t="s">
        <v>164</v>
      </c>
      <c r="L566" s="9" t="n">
        <v>7414.21</v>
      </c>
      <c r="M566" s="9" t="n">
        <v>926.78</v>
      </c>
      <c r="N566" s="9" t="n">
        <v>926.78</v>
      </c>
      <c r="O566" s="9" t="n">
        <v>5560.7</v>
      </c>
      <c r="P566" s="9" t="n">
        <v>556.07</v>
      </c>
      <c r="Q566" s="9" t="n">
        <v>556.07</v>
      </c>
      <c r="R566" s="9" t="n">
        <v>556.07</v>
      </c>
      <c r="S566" s="9" t="n">
        <v>556.07</v>
      </c>
      <c r="T566" s="9" t="n">
        <v>556.07</v>
      </c>
      <c r="U566" s="9" t="n">
        <v>556.07</v>
      </c>
      <c r="V566" s="9" t="n">
        <v>556.07</v>
      </c>
      <c r="W566" s="9" t="n">
        <v>556.07</v>
      </c>
      <c r="X566" s="9" t="n">
        <v>556.07</v>
      </c>
      <c r="Y566" s="9" t="n">
        <v>556.07</v>
      </c>
      <c r="Z566" s="9" t="n">
        <v>350</v>
      </c>
      <c r="AA566" s="9" t="n">
        <v>0</v>
      </c>
      <c r="AB566" s="9" t="n">
        <v>350</v>
      </c>
    </row>
    <row r="567" customFormat="false" ht="15" hidden="false" customHeight="false" outlineLevel="0" collapsed="false">
      <c r="A567" s="3" t="s">
        <v>1665</v>
      </c>
      <c r="B567" s="3" t="s">
        <v>1666</v>
      </c>
      <c r="C567" s="3" t="s">
        <v>507</v>
      </c>
      <c r="D567" s="3" t="s">
        <v>508</v>
      </c>
      <c r="E567" s="3" t="n">
        <v>1974</v>
      </c>
      <c r="F567" s="3" t="s">
        <v>122</v>
      </c>
      <c r="G567" s="3" t="s">
        <v>123</v>
      </c>
      <c r="H567" s="3" t="s">
        <v>1667</v>
      </c>
      <c r="I567" s="3" t="s">
        <v>56</v>
      </c>
      <c r="J567" s="7" t="n">
        <v>205000</v>
      </c>
      <c r="K567" s="3" t="s">
        <v>519</v>
      </c>
      <c r="L567" s="7" t="n">
        <v>3314.27</v>
      </c>
      <c r="M567" s="7" t="n">
        <v>414.28</v>
      </c>
      <c r="N567" s="7" t="n">
        <v>414.28</v>
      </c>
      <c r="O567" s="7" t="n">
        <v>2485.7</v>
      </c>
      <c r="P567" s="7" t="n">
        <v>248.57</v>
      </c>
      <c r="Q567" s="7" t="n">
        <v>248.57</v>
      </c>
      <c r="R567" s="7" t="n">
        <v>248.57</v>
      </c>
      <c r="S567" s="7" t="n">
        <v>248.57</v>
      </c>
      <c r="T567" s="7" t="n">
        <v>248.57</v>
      </c>
      <c r="U567" s="7" t="n">
        <v>248.57</v>
      </c>
      <c r="V567" s="7" t="n">
        <v>248.57</v>
      </c>
      <c r="W567" s="7" t="n">
        <v>248.57</v>
      </c>
      <c r="X567" s="7" t="n">
        <v>248.57</v>
      </c>
      <c r="Y567" s="7" t="n">
        <v>248.57</v>
      </c>
      <c r="Z567" s="7" t="n">
        <v>350</v>
      </c>
      <c r="AA567" s="7" t="n">
        <v>0</v>
      </c>
      <c r="AB567" s="7" t="n">
        <v>350</v>
      </c>
    </row>
    <row r="568" customFormat="false" ht="15" hidden="false" customHeight="false" outlineLevel="0" collapsed="false">
      <c r="A568" s="8" t="s">
        <v>1668</v>
      </c>
      <c r="B568" s="8" t="s">
        <v>1669</v>
      </c>
      <c r="C568" s="8" t="s">
        <v>252</v>
      </c>
      <c r="D568" s="8" t="s">
        <v>253</v>
      </c>
      <c r="E568" s="8" t="n">
        <v>1988</v>
      </c>
      <c r="F568" s="8" t="s">
        <v>210</v>
      </c>
      <c r="G568" s="8" t="s">
        <v>211</v>
      </c>
      <c r="H568" s="8" t="s">
        <v>1670</v>
      </c>
      <c r="I568" s="8" t="s">
        <v>119</v>
      </c>
      <c r="J568" s="9" t="n">
        <v>730000</v>
      </c>
      <c r="K568" s="8" t="s">
        <v>98</v>
      </c>
      <c r="L568" s="9" t="n">
        <v>11370.55</v>
      </c>
      <c r="M568" s="9" t="n">
        <v>1421.32</v>
      </c>
      <c r="N568" s="9" t="n">
        <v>1421.32</v>
      </c>
      <c r="O568" s="9" t="n">
        <v>8527.9</v>
      </c>
      <c r="P568" s="9" t="n">
        <v>852.79</v>
      </c>
      <c r="Q568" s="9" t="n">
        <v>852.79</v>
      </c>
      <c r="R568" s="9" t="n">
        <v>852.79</v>
      </c>
      <c r="S568" s="9" t="n">
        <v>852.79</v>
      </c>
      <c r="T568" s="9" t="n">
        <v>852.79</v>
      </c>
      <c r="U568" s="9" t="n">
        <v>852.79</v>
      </c>
      <c r="V568" s="9" t="n">
        <v>852.79</v>
      </c>
      <c r="W568" s="9" t="n">
        <v>852.79</v>
      </c>
      <c r="X568" s="9" t="n">
        <v>852.79</v>
      </c>
      <c r="Y568" s="9" t="n">
        <v>852.79</v>
      </c>
      <c r="Z568" s="9" t="n">
        <v>350</v>
      </c>
      <c r="AA568" s="9" t="n">
        <v>0</v>
      </c>
      <c r="AB568" s="9" t="n">
        <v>350</v>
      </c>
    </row>
    <row r="569" customFormat="false" ht="15" hidden="false" customHeight="false" outlineLevel="0" collapsed="false">
      <c r="A569" s="3" t="s">
        <v>1671</v>
      </c>
      <c r="B569" s="3" t="s">
        <v>753</v>
      </c>
      <c r="C569" s="3" t="s">
        <v>272</v>
      </c>
      <c r="D569" s="3" t="s">
        <v>273</v>
      </c>
      <c r="E569" s="3" t="n">
        <v>1994</v>
      </c>
      <c r="F569" s="3" t="s">
        <v>53</v>
      </c>
      <c r="G569" s="3" t="s">
        <v>54</v>
      </c>
      <c r="H569" s="3" t="s">
        <v>1672</v>
      </c>
      <c r="I569" s="3" t="s">
        <v>56</v>
      </c>
      <c r="J569" s="7" t="n">
        <v>945000</v>
      </c>
      <c r="K569" s="3" t="s">
        <v>994</v>
      </c>
      <c r="L569" s="7" t="n">
        <v>12364.29</v>
      </c>
      <c r="M569" s="7" t="n">
        <v>1545.54</v>
      </c>
      <c r="N569" s="7" t="n">
        <v>1545.54</v>
      </c>
      <c r="O569" s="7" t="n">
        <v>9273.2</v>
      </c>
      <c r="P569" s="7" t="n">
        <v>927.32</v>
      </c>
      <c r="Q569" s="7" t="n">
        <v>927.32</v>
      </c>
      <c r="R569" s="7" t="n">
        <v>927.32</v>
      </c>
      <c r="S569" s="7" t="n">
        <v>927.32</v>
      </c>
      <c r="T569" s="7" t="n">
        <v>927.32</v>
      </c>
      <c r="U569" s="7" t="n">
        <v>927.32</v>
      </c>
      <c r="V569" s="7" t="n">
        <v>927.32</v>
      </c>
      <c r="W569" s="7" t="n">
        <v>927.32</v>
      </c>
      <c r="X569" s="7" t="n">
        <v>927.32</v>
      </c>
      <c r="Y569" s="7" t="n">
        <v>927.32</v>
      </c>
      <c r="Z569" s="7" t="n">
        <v>350</v>
      </c>
      <c r="AA569" s="7" t="n">
        <v>0</v>
      </c>
      <c r="AB569" s="7" t="n">
        <v>350</v>
      </c>
    </row>
    <row r="570" customFormat="false" ht="15" hidden="false" customHeight="false" outlineLevel="0" collapsed="false">
      <c r="A570" s="8" t="s">
        <v>1673</v>
      </c>
      <c r="B570" s="8" t="s">
        <v>1674</v>
      </c>
      <c r="C570" s="8" t="s">
        <v>60</v>
      </c>
      <c r="D570" s="8" t="s">
        <v>61</v>
      </c>
      <c r="E570" s="8" t="n">
        <v>1976</v>
      </c>
      <c r="F570" s="8" t="s">
        <v>155</v>
      </c>
      <c r="G570" s="8" t="s">
        <v>191</v>
      </c>
      <c r="H570" s="8" t="s">
        <v>1675</v>
      </c>
      <c r="I570" s="8" t="s">
        <v>56</v>
      </c>
      <c r="J570" s="9" t="n">
        <v>645000</v>
      </c>
      <c r="K570" s="8" t="s">
        <v>275</v>
      </c>
      <c r="L570" s="9" t="n">
        <v>7702.37</v>
      </c>
      <c r="M570" s="9" t="n">
        <v>962.8</v>
      </c>
      <c r="N570" s="9" t="n">
        <v>962.8</v>
      </c>
      <c r="O570" s="9" t="n">
        <v>5776.8</v>
      </c>
      <c r="P570" s="9" t="n">
        <v>577.68</v>
      </c>
      <c r="Q570" s="9" t="n">
        <v>577.68</v>
      </c>
      <c r="R570" s="9" t="n">
        <v>577.68</v>
      </c>
      <c r="S570" s="9" t="n">
        <v>577.68</v>
      </c>
      <c r="T570" s="9" t="n">
        <v>577.68</v>
      </c>
      <c r="U570" s="9" t="n">
        <v>577.68</v>
      </c>
      <c r="V570" s="9" t="n">
        <v>577.68</v>
      </c>
      <c r="W570" s="9" t="n">
        <v>577.68</v>
      </c>
      <c r="X570" s="9" t="n">
        <v>577.68</v>
      </c>
      <c r="Y570" s="9" t="n">
        <v>577.68</v>
      </c>
      <c r="Z570" s="9" t="n">
        <v>350</v>
      </c>
      <c r="AA570" s="9" t="n">
        <v>0</v>
      </c>
      <c r="AB570" s="9" t="n">
        <v>350</v>
      </c>
    </row>
    <row r="571" customFormat="false" ht="15" hidden="false" customHeight="false" outlineLevel="0" collapsed="false">
      <c r="A571" s="3" t="s">
        <v>1676</v>
      </c>
      <c r="B571" s="3" t="s">
        <v>424</v>
      </c>
      <c r="C571" s="3" t="s">
        <v>267</v>
      </c>
      <c r="D571" s="3" t="s">
        <v>268</v>
      </c>
      <c r="E571" s="3" t="n">
        <v>1984</v>
      </c>
      <c r="F571" s="3" t="s">
        <v>62</v>
      </c>
      <c r="G571" s="3" t="s">
        <v>63</v>
      </c>
      <c r="H571" s="3" t="s">
        <v>1677</v>
      </c>
      <c r="I571" s="3" t="s">
        <v>56</v>
      </c>
      <c r="J571" s="7" t="n">
        <v>305000</v>
      </c>
      <c r="K571" s="3" t="s">
        <v>275</v>
      </c>
      <c r="L571" s="7" t="n">
        <v>4202.54</v>
      </c>
      <c r="M571" s="7" t="n">
        <v>525.32</v>
      </c>
      <c r="N571" s="7" t="n">
        <v>525.32</v>
      </c>
      <c r="O571" s="7" t="n">
        <v>3151.9</v>
      </c>
      <c r="P571" s="7" t="n">
        <v>315.19</v>
      </c>
      <c r="Q571" s="7" t="n">
        <v>315.19</v>
      </c>
      <c r="R571" s="7" t="n">
        <v>315.19</v>
      </c>
      <c r="S571" s="7" t="n">
        <v>315.19</v>
      </c>
      <c r="T571" s="7" t="n">
        <v>315.19</v>
      </c>
      <c r="U571" s="7" t="n">
        <v>315.19</v>
      </c>
      <c r="V571" s="7" t="n">
        <v>315.19</v>
      </c>
      <c r="W571" s="7" t="n">
        <v>315.19</v>
      </c>
      <c r="X571" s="7" t="n">
        <v>315.19</v>
      </c>
      <c r="Y571" s="7" t="n">
        <v>315.19</v>
      </c>
      <c r="Z571" s="7" t="n">
        <v>350</v>
      </c>
      <c r="AA571" s="7" t="n">
        <v>0</v>
      </c>
      <c r="AB571" s="7" t="n">
        <v>350</v>
      </c>
    </row>
    <row r="572" customFormat="false" ht="15" hidden="false" customHeight="false" outlineLevel="0" collapsed="false">
      <c r="A572" s="8" t="s">
        <v>1678</v>
      </c>
      <c r="B572" s="8" t="s">
        <v>1193</v>
      </c>
      <c r="C572" s="8" t="s">
        <v>51</v>
      </c>
      <c r="D572" s="8" t="s">
        <v>52</v>
      </c>
      <c r="E572" s="8" t="n">
        <v>2003</v>
      </c>
      <c r="F572" s="8" t="s">
        <v>83</v>
      </c>
      <c r="G572" s="8" t="s">
        <v>84</v>
      </c>
      <c r="H572" s="8" t="s">
        <v>1679</v>
      </c>
      <c r="I572" s="8" t="s">
        <v>56</v>
      </c>
      <c r="J572" s="9" t="n">
        <v>1180000</v>
      </c>
      <c r="K572" s="8" t="s">
        <v>316</v>
      </c>
      <c r="L572" s="9" t="n">
        <v>11197.53</v>
      </c>
      <c r="M572" s="9" t="n">
        <v>1399.69</v>
      </c>
      <c r="N572" s="9" t="n">
        <v>1399.69</v>
      </c>
      <c r="O572" s="9" t="n">
        <v>8398.1</v>
      </c>
      <c r="P572" s="9" t="n">
        <v>839.81</v>
      </c>
      <c r="Q572" s="9" t="n">
        <v>839.81</v>
      </c>
      <c r="R572" s="9" t="n">
        <v>839.81</v>
      </c>
      <c r="S572" s="9" t="n">
        <v>839.81</v>
      </c>
      <c r="T572" s="9" t="n">
        <v>839.81</v>
      </c>
      <c r="U572" s="9" t="n">
        <v>839.81</v>
      </c>
      <c r="V572" s="9" t="n">
        <v>839.81</v>
      </c>
      <c r="W572" s="9" t="n">
        <v>839.81</v>
      </c>
      <c r="X572" s="9" t="n">
        <v>839.81</v>
      </c>
      <c r="Y572" s="9" t="n">
        <v>839.81</v>
      </c>
      <c r="Z572" s="9" t="n">
        <v>350</v>
      </c>
      <c r="AA572" s="9" t="n">
        <v>250</v>
      </c>
      <c r="AB572" s="9" t="n">
        <v>600</v>
      </c>
    </row>
    <row r="573" customFormat="false" ht="15" hidden="false" customHeight="false" outlineLevel="0" collapsed="false">
      <c r="A573" s="3" t="s">
        <v>1680</v>
      </c>
      <c r="B573" s="3" t="s">
        <v>1091</v>
      </c>
      <c r="C573" s="3" t="s">
        <v>246</v>
      </c>
      <c r="D573" s="3" t="s">
        <v>247</v>
      </c>
      <c r="E573" s="3" t="n">
        <v>1962</v>
      </c>
      <c r="F573" s="3" t="s">
        <v>95</v>
      </c>
      <c r="G573" s="3" t="s">
        <v>96</v>
      </c>
      <c r="H573" s="3" t="s">
        <v>1681</v>
      </c>
      <c r="I573" s="3" t="s">
        <v>47</v>
      </c>
      <c r="J573" s="7" t="n">
        <v>540000</v>
      </c>
      <c r="K573" s="3" t="s">
        <v>1468</v>
      </c>
      <c r="L573" s="7" t="n">
        <v>9178.86</v>
      </c>
      <c r="M573" s="7" t="n">
        <v>1147.36</v>
      </c>
      <c r="N573" s="7" t="n">
        <v>1147.36</v>
      </c>
      <c r="O573" s="7" t="n">
        <v>6884.1</v>
      </c>
      <c r="P573" s="7" t="n">
        <v>688.41</v>
      </c>
      <c r="Q573" s="7" t="n">
        <v>688.41</v>
      </c>
      <c r="R573" s="7" t="n">
        <v>688.41</v>
      </c>
      <c r="S573" s="7" t="n">
        <v>688.41</v>
      </c>
      <c r="T573" s="7" t="n">
        <v>688.41</v>
      </c>
      <c r="U573" s="7" t="n">
        <v>688.41</v>
      </c>
      <c r="V573" s="7" t="n">
        <v>688.41</v>
      </c>
      <c r="W573" s="7" t="n">
        <v>688.41</v>
      </c>
      <c r="X573" s="7" t="n">
        <v>688.41</v>
      </c>
      <c r="Y573" s="7" t="n">
        <v>688.41</v>
      </c>
      <c r="Z573" s="7" t="n">
        <v>350</v>
      </c>
      <c r="AA573" s="7" t="n">
        <v>0</v>
      </c>
      <c r="AB573" s="7" t="n">
        <v>350</v>
      </c>
    </row>
    <row r="574" customFormat="false" ht="15" hidden="false" customHeight="false" outlineLevel="0" collapsed="false">
      <c r="A574" s="8" t="s">
        <v>1682</v>
      </c>
      <c r="B574" s="8" t="s">
        <v>449</v>
      </c>
      <c r="C574" s="8" t="s">
        <v>139</v>
      </c>
      <c r="D574" s="8" t="s">
        <v>140</v>
      </c>
      <c r="E574" s="8" t="n">
        <v>1963</v>
      </c>
      <c r="F574" s="8" t="s">
        <v>62</v>
      </c>
      <c r="G574" s="8" t="s">
        <v>63</v>
      </c>
      <c r="H574" s="8" t="s">
        <v>1683</v>
      </c>
      <c r="I574" s="8" t="s">
        <v>56</v>
      </c>
      <c r="J574" s="9" t="n">
        <v>690000</v>
      </c>
      <c r="K574" s="8" t="s">
        <v>71</v>
      </c>
      <c r="L574" s="9" t="n">
        <v>7165</v>
      </c>
      <c r="M574" s="9" t="n">
        <v>895.62</v>
      </c>
      <c r="N574" s="9" t="n">
        <v>895.62</v>
      </c>
      <c r="O574" s="9" t="n">
        <v>5373.8</v>
      </c>
      <c r="P574" s="9" t="n">
        <v>537.38</v>
      </c>
      <c r="Q574" s="9" t="n">
        <v>537.38</v>
      </c>
      <c r="R574" s="9" t="n">
        <v>537.38</v>
      </c>
      <c r="S574" s="9" t="n">
        <v>537.38</v>
      </c>
      <c r="T574" s="9" t="n">
        <v>537.38</v>
      </c>
      <c r="U574" s="9" t="n">
        <v>537.38</v>
      </c>
      <c r="V574" s="9" t="n">
        <v>537.38</v>
      </c>
      <c r="W574" s="9" t="n">
        <v>537.38</v>
      </c>
      <c r="X574" s="9" t="n">
        <v>537.38</v>
      </c>
      <c r="Y574" s="9" t="n">
        <v>537.38</v>
      </c>
      <c r="Z574" s="9" t="n">
        <v>350</v>
      </c>
      <c r="AA574" s="9" t="n">
        <v>0</v>
      </c>
      <c r="AB574" s="9" t="n">
        <v>350</v>
      </c>
    </row>
    <row r="575" customFormat="false" ht="15" hidden="false" customHeight="false" outlineLevel="0" collapsed="false">
      <c r="A575" s="3" t="s">
        <v>1684</v>
      </c>
      <c r="B575" s="3" t="s">
        <v>230</v>
      </c>
      <c r="C575" s="3" t="s">
        <v>177</v>
      </c>
      <c r="D575" s="3" t="s">
        <v>178</v>
      </c>
      <c r="E575" s="3" t="n">
        <v>1969</v>
      </c>
      <c r="F575" s="3" t="s">
        <v>155</v>
      </c>
      <c r="G575" s="3" t="s">
        <v>191</v>
      </c>
      <c r="H575" s="3" t="s">
        <v>1685</v>
      </c>
      <c r="I575" s="3" t="s">
        <v>56</v>
      </c>
      <c r="J575" s="7" t="n">
        <v>760000</v>
      </c>
      <c r="K575" s="3" t="s">
        <v>71</v>
      </c>
      <c r="L575" s="7" t="n">
        <v>7891.88</v>
      </c>
      <c r="M575" s="7" t="n">
        <v>986.49</v>
      </c>
      <c r="N575" s="7" t="n">
        <v>986.49</v>
      </c>
      <c r="O575" s="7" t="n">
        <v>5918.9</v>
      </c>
      <c r="P575" s="7" t="n">
        <v>591.89</v>
      </c>
      <c r="Q575" s="7" t="n">
        <v>591.89</v>
      </c>
      <c r="R575" s="7" t="n">
        <v>591.89</v>
      </c>
      <c r="S575" s="7" t="n">
        <v>591.89</v>
      </c>
      <c r="T575" s="7" t="n">
        <v>591.89</v>
      </c>
      <c r="U575" s="7" t="n">
        <v>591.89</v>
      </c>
      <c r="V575" s="7" t="n">
        <v>591.89</v>
      </c>
      <c r="W575" s="7" t="n">
        <v>591.89</v>
      </c>
      <c r="X575" s="7" t="n">
        <v>591.89</v>
      </c>
      <c r="Y575" s="7" t="n">
        <v>591.89</v>
      </c>
      <c r="Z575" s="7" t="n">
        <v>350</v>
      </c>
      <c r="AA575" s="7" t="n">
        <v>0</v>
      </c>
      <c r="AB575" s="7" t="n">
        <v>350</v>
      </c>
    </row>
    <row r="576" customFormat="false" ht="15" hidden="false" customHeight="false" outlineLevel="0" collapsed="false">
      <c r="A576" s="8" t="s">
        <v>1686</v>
      </c>
      <c r="B576" s="8" t="s">
        <v>1687</v>
      </c>
      <c r="C576" s="8" t="s">
        <v>93</v>
      </c>
      <c r="D576" s="8" t="s">
        <v>94</v>
      </c>
      <c r="E576" s="8" t="n">
        <v>2020</v>
      </c>
      <c r="F576" s="8" t="s">
        <v>44</v>
      </c>
      <c r="G576" s="8" t="s">
        <v>76</v>
      </c>
      <c r="H576" s="8" t="s">
        <v>1688</v>
      </c>
      <c r="I576" s="8" t="s">
        <v>78</v>
      </c>
      <c r="J576" s="9" t="n">
        <v>1950000</v>
      </c>
      <c r="K576" s="8" t="s">
        <v>136</v>
      </c>
      <c r="L576" s="9" t="n">
        <v>18348.62</v>
      </c>
      <c r="M576" s="9" t="n">
        <v>2293.58</v>
      </c>
      <c r="N576" s="9" t="n">
        <v>2293.58</v>
      </c>
      <c r="O576" s="9" t="n">
        <v>13761.5</v>
      </c>
      <c r="P576" s="9" t="n">
        <v>1376.15</v>
      </c>
      <c r="Q576" s="9" t="n">
        <v>1376.15</v>
      </c>
      <c r="R576" s="9" t="n">
        <v>1376.15</v>
      </c>
      <c r="S576" s="9" t="n">
        <v>1376.15</v>
      </c>
      <c r="T576" s="9" t="n">
        <v>1376.15</v>
      </c>
      <c r="U576" s="9" t="n">
        <v>1376.15</v>
      </c>
      <c r="V576" s="9" t="n">
        <v>1376.15</v>
      </c>
      <c r="W576" s="9" t="n">
        <v>1376.15</v>
      </c>
      <c r="X576" s="9" t="n">
        <v>1376.15</v>
      </c>
      <c r="Y576" s="9" t="n">
        <v>1376.15</v>
      </c>
      <c r="Z576" s="9" t="n">
        <v>350</v>
      </c>
      <c r="AA576" s="9" t="n">
        <v>250</v>
      </c>
      <c r="AB576" s="9" t="n">
        <v>600</v>
      </c>
    </row>
    <row r="577" customFormat="false" ht="15" hidden="false" customHeight="false" outlineLevel="0" collapsed="false">
      <c r="A577" s="3" t="s">
        <v>1689</v>
      </c>
      <c r="B577" s="3" t="s">
        <v>1690</v>
      </c>
      <c r="C577" s="3" t="s">
        <v>304</v>
      </c>
      <c r="D577" s="3" t="s">
        <v>305</v>
      </c>
      <c r="E577" s="3" t="n">
        <v>2023</v>
      </c>
      <c r="F577" s="3" t="s">
        <v>83</v>
      </c>
      <c r="G577" s="3" t="s">
        <v>84</v>
      </c>
      <c r="H577" s="3" t="s">
        <v>1691</v>
      </c>
      <c r="I577" s="3" t="s">
        <v>56</v>
      </c>
      <c r="J577" s="7" t="n">
        <v>1115000</v>
      </c>
      <c r="K577" s="3" t="s">
        <v>164</v>
      </c>
      <c r="L577" s="7" t="n">
        <v>9992.9</v>
      </c>
      <c r="M577" s="7" t="n">
        <v>1249.11</v>
      </c>
      <c r="N577" s="7" t="n">
        <v>1249.11</v>
      </c>
      <c r="O577" s="7" t="n">
        <v>7494.7</v>
      </c>
      <c r="P577" s="7" t="n">
        <v>749.47</v>
      </c>
      <c r="Q577" s="7" t="n">
        <v>749.47</v>
      </c>
      <c r="R577" s="7" t="n">
        <v>749.47</v>
      </c>
      <c r="S577" s="7" t="n">
        <v>749.47</v>
      </c>
      <c r="T577" s="7" t="n">
        <v>749.47</v>
      </c>
      <c r="U577" s="7" t="n">
        <v>749.47</v>
      </c>
      <c r="V577" s="7" t="n">
        <v>749.47</v>
      </c>
      <c r="W577" s="7" t="n">
        <v>749.47</v>
      </c>
      <c r="X577" s="7" t="n">
        <v>749.47</v>
      </c>
      <c r="Y577" s="7" t="n">
        <v>749.47</v>
      </c>
      <c r="Z577" s="7" t="n">
        <v>350</v>
      </c>
      <c r="AA577" s="7" t="n">
        <v>250</v>
      </c>
      <c r="AB577" s="7" t="n">
        <v>600</v>
      </c>
    </row>
    <row r="578" customFormat="false" ht="15" hidden="false" customHeight="false" outlineLevel="0" collapsed="false">
      <c r="A578" s="8" t="s">
        <v>1692</v>
      </c>
      <c r="B578" s="8" t="s">
        <v>1052</v>
      </c>
      <c r="C578" s="8" t="s">
        <v>128</v>
      </c>
      <c r="D578" s="8" t="s">
        <v>129</v>
      </c>
      <c r="E578" s="8" t="n">
        <v>1983</v>
      </c>
      <c r="F578" s="8" t="s">
        <v>195</v>
      </c>
      <c r="G578" s="8" t="s">
        <v>196</v>
      </c>
      <c r="H578" s="8" t="s">
        <v>1693</v>
      </c>
      <c r="I578" s="8" t="s">
        <v>47</v>
      </c>
      <c r="J578" s="9" t="n">
        <v>305000</v>
      </c>
      <c r="K578" s="8" t="s">
        <v>587</v>
      </c>
      <c r="L578" s="9" t="n">
        <v>6275.81</v>
      </c>
      <c r="M578" s="9" t="n">
        <v>784.48</v>
      </c>
      <c r="N578" s="9" t="n">
        <v>784.48</v>
      </c>
      <c r="O578" s="9" t="n">
        <v>4706.9</v>
      </c>
      <c r="P578" s="9" t="n">
        <v>470.69</v>
      </c>
      <c r="Q578" s="9" t="n">
        <v>470.69</v>
      </c>
      <c r="R578" s="9" t="n">
        <v>470.69</v>
      </c>
      <c r="S578" s="9" t="n">
        <v>470.69</v>
      </c>
      <c r="T578" s="9" t="n">
        <v>470.69</v>
      </c>
      <c r="U578" s="9" t="n">
        <v>470.69</v>
      </c>
      <c r="V578" s="9" t="n">
        <v>470.69</v>
      </c>
      <c r="W578" s="9" t="n">
        <v>470.69</v>
      </c>
      <c r="X578" s="9" t="n">
        <v>470.69</v>
      </c>
      <c r="Y578" s="9" t="n">
        <v>470.69</v>
      </c>
      <c r="Z578" s="9" t="n">
        <v>350</v>
      </c>
      <c r="AA578" s="9" t="n">
        <v>0</v>
      </c>
      <c r="AB578" s="9" t="n">
        <v>350</v>
      </c>
    </row>
    <row r="579" customFormat="false" ht="15" hidden="false" customHeight="false" outlineLevel="0" collapsed="false">
      <c r="A579" s="3" t="s">
        <v>1694</v>
      </c>
      <c r="B579" s="3" t="s">
        <v>731</v>
      </c>
      <c r="C579" s="3" t="s">
        <v>60</v>
      </c>
      <c r="D579" s="3" t="s">
        <v>61</v>
      </c>
      <c r="E579" s="3" t="n">
        <v>1977</v>
      </c>
      <c r="F579" s="3" t="s">
        <v>95</v>
      </c>
      <c r="G579" s="3" t="s">
        <v>96</v>
      </c>
      <c r="H579" s="3" t="s">
        <v>1695</v>
      </c>
      <c r="I579" s="3" t="s">
        <v>47</v>
      </c>
      <c r="J579" s="7" t="n">
        <v>615000</v>
      </c>
      <c r="K579" s="3" t="s">
        <v>275</v>
      </c>
      <c r="L579" s="7" t="n">
        <v>10733.72</v>
      </c>
      <c r="M579" s="7" t="n">
        <v>1341.71</v>
      </c>
      <c r="N579" s="7" t="n">
        <v>1341.71</v>
      </c>
      <c r="O579" s="7" t="n">
        <v>8050.3</v>
      </c>
      <c r="P579" s="7" t="n">
        <v>805.03</v>
      </c>
      <c r="Q579" s="7" t="n">
        <v>805.03</v>
      </c>
      <c r="R579" s="7" t="n">
        <v>805.03</v>
      </c>
      <c r="S579" s="7" t="n">
        <v>805.03</v>
      </c>
      <c r="T579" s="7" t="n">
        <v>805.03</v>
      </c>
      <c r="U579" s="7" t="n">
        <v>805.03</v>
      </c>
      <c r="V579" s="7" t="n">
        <v>805.03</v>
      </c>
      <c r="W579" s="7" t="n">
        <v>805.03</v>
      </c>
      <c r="X579" s="7" t="n">
        <v>805.03</v>
      </c>
      <c r="Y579" s="7" t="n">
        <v>805.03</v>
      </c>
      <c r="Z579" s="7" t="n">
        <v>350</v>
      </c>
      <c r="AA579" s="7" t="n">
        <v>0</v>
      </c>
      <c r="AB579" s="7" t="n">
        <v>350</v>
      </c>
    </row>
    <row r="580" customFormat="false" ht="15" hidden="false" customHeight="false" outlineLevel="0" collapsed="false">
      <c r="A580" s="8" t="s">
        <v>1696</v>
      </c>
      <c r="B580" s="8" t="s">
        <v>67</v>
      </c>
      <c r="C580" s="8" t="s">
        <v>267</v>
      </c>
      <c r="D580" s="8" t="s">
        <v>268</v>
      </c>
      <c r="E580" s="8" t="n">
        <v>2004</v>
      </c>
      <c r="F580" s="8" t="s">
        <v>62</v>
      </c>
      <c r="G580" s="8" t="s">
        <v>63</v>
      </c>
      <c r="H580" s="8" t="s">
        <v>1697</v>
      </c>
      <c r="I580" s="8" t="s">
        <v>56</v>
      </c>
      <c r="J580" s="9" t="n">
        <v>575000</v>
      </c>
      <c r="K580" s="8" t="s">
        <v>98</v>
      </c>
      <c r="L580" s="9" t="n">
        <v>7463.54</v>
      </c>
      <c r="M580" s="9" t="n">
        <v>932.94</v>
      </c>
      <c r="N580" s="9" t="n">
        <v>932.94</v>
      </c>
      <c r="O580" s="9" t="n">
        <v>5597.7</v>
      </c>
      <c r="P580" s="9" t="n">
        <v>559.77</v>
      </c>
      <c r="Q580" s="9" t="n">
        <v>559.77</v>
      </c>
      <c r="R580" s="9" t="n">
        <v>559.77</v>
      </c>
      <c r="S580" s="9" t="n">
        <v>559.77</v>
      </c>
      <c r="T580" s="9" t="n">
        <v>559.77</v>
      </c>
      <c r="U580" s="9" t="n">
        <v>559.77</v>
      </c>
      <c r="V580" s="9" t="n">
        <v>559.77</v>
      </c>
      <c r="W580" s="9" t="n">
        <v>559.77</v>
      </c>
      <c r="X580" s="9" t="n">
        <v>559.77</v>
      </c>
      <c r="Y580" s="9" t="n">
        <v>559.77</v>
      </c>
      <c r="Z580" s="9" t="n">
        <v>350</v>
      </c>
      <c r="AA580" s="9" t="n">
        <v>0</v>
      </c>
      <c r="AB580" s="9" t="n">
        <v>350</v>
      </c>
    </row>
    <row r="581" customFormat="false" ht="15" hidden="false" customHeight="false" outlineLevel="0" collapsed="false">
      <c r="A581" s="3" t="s">
        <v>1698</v>
      </c>
      <c r="B581" s="3" t="s">
        <v>882</v>
      </c>
      <c r="C581" s="3" t="s">
        <v>51</v>
      </c>
      <c r="D581" s="3" t="s">
        <v>52</v>
      </c>
      <c r="E581" s="3" t="n">
        <v>2011</v>
      </c>
      <c r="F581" s="3" t="s">
        <v>83</v>
      </c>
      <c r="G581" s="3" t="s">
        <v>84</v>
      </c>
      <c r="H581" s="3" t="s">
        <v>1699</v>
      </c>
      <c r="I581" s="3" t="s">
        <v>56</v>
      </c>
      <c r="J581" s="7" t="n">
        <v>540000</v>
      </c>
      <c r="K581" s="3" t="s">
        <v>432</v>
      </c>
      <c r="L581" s="7" t="n">
        <v>5439.17</v>
      </c>
      <c r="M581" s="7" t="n">
        <v>679.9</v>
      </c>
      <c r="N581" s="7" t="n">
        <v>679.9</v>
      </c>
      <c r="O581" s="7" t="n">
        <v>4079.4</v>
      </c>
      <c r="P581" s="7" t="n">
        <v>407.94</v>
      </c>
      <c r="Q581" s="7" t="n">
        <v>407.94</v>
      </c>
      <c r="R581" s="7" t="n">
        <v>407.94</v>
      </c>
      <c r="S581" s="7" t="n">
        <v>407.94</v>
      </c>
      <c r="T581" s="7" t="n">
        <v>407.94</v>
      </c>
      <c r="U581" s="7" t="n">
        <v>407.94</v>
      </c>
      <c r="V581" s="7" t="n">
        <v>407.94</v>
      </c>
      <c r="W581" s="7" t="n">
        <v>407.94</v>
      </c>
      <c r="X581" s="7" t="n">
        <v>407.94</v>
      </c>
      <c r="Y581" s="7" t="n">
        <v>407.94</v>
      </c>
      <c r="Z581" s="7" t="n">
        <v>350</v>
      </c>
      <c r="AA581" s="7" t="n">
        <v>0</v>
      </c>
      <c r="AB581" s="7" t="n">
        <v>350</v>
      </c>
    </row>
    <row r="582" customFormat="false" ht="15" hidden="false" customHeight="false" outlineLevel="0" collapsed="false">
      <c r="A582" s="8" t="s">
        <v>1700</v>
      </c>
      <c r="B582" s="8" t="s">
        <v>1701</v>
      </c>
      <c r="C582" s="8" t="s">
        <v>74</v>
      </c>
      <c r="D582" s="8" t="s">
        <v>75</v>
      </c>
      <c r="E582" s="8" t="n">
        <v>2011</v>
      </c>
      <c r="F582" s="8" t="s">
        <v>62</v>
      </c>
      <c r="G582" s="8" t="s">
        <v>63</v>
      </c>
      <c r="H582" s="8" t="s">
        <v>1702</v>
      </c>
      <c r="I582" s="8" t="s">
        <v>56</v>
      </c>
      <c r="J582" s="9" t="n">
        <v>695000</v>
      </c>
      <c r="K582" s="8" t="s">
        <v>71</v>
      </c>
      <c r="L582" s="9" t="n">
        <v>7216.92</v>
      </c>
      <c r="M582" s="9" t="n">
        <v>902.12</v>
      </c>
      <c r="N582" s="9" t="n">
        <v>902.12</v>
      </c>
      <c r="O582" s="9" t="n">
        <v>5412.7</v>
      </c>
      <c r="P582" s="9" t="n">
        <v>541.27</v>
      </c>
      <c r="Q582" s="9" t="n">
        <v>541.27</v>
      </c>
      <c r="R582" s="9" t="n">
        <v>541.27</v>
      </c>
      <c r="S582" s="9" t="n">
        <v>541.27</v>
      </c>
      <c r="T582" s="9" t="n">
        <v>541.27</v>
      </c>
      <c r="U582" s="9" t="n">
        <v>541.27</v>
      </c>
      <c r="V582" s="9" t="n">
        <v>541.27</v>
      </c>
      <c r="W582" s="9" t="n">
        <v>541.27</v>
      </c>
      <c r="X582" s="9" t="n">
        <v>541.27</v>
      </c>
      <c r="Y582" s="9" t="n">
        <v>541.27</v>
      </c>
      <c r="Z582" s="9" t="n">
        <v>350</v>
      </c>
      <c r="AA582" s="9" t="n">
        <v>0</v>
      </c>
      <c r="AB582" s="9" t="n">
        <v>350</v>
      </c>
    </row>
    <row r="583" customFormat="false" ht="15" hidden="false" customHeight="false" outlineLevel="0" collapsed="false">
      <c r="A583" s="3" t="s">
        <v>1703</v>
      </c>
      <c r="B583" s="3" t="s">
        <v>299</v>
      </c>
      <c r="C583" s="3" t="s">
        <v>252</v>
      </c>
      <c r="D583" s="3" t="s">
        <v>253</v>
      </c>
      <c r="E583" s="3" t="n">
        <v>2015</v>
      </c>
      <c r="F583" s="3" t="s">
        <v>107</v>
      </c>
      <c r="G583" s="3" t="s">
        <v>134</v>
      </c>
      <c r="H583" s="3" t="s">
        <v>1704</v>
      </c>
      <c r="I583" s="3" t="s">
        <v>56</v>
      </c>
      <c r="J583" s="7" t="n">
        <v>640000</v>
      </c>
      <c r="K583" s="3" t="s">
        <v>150</v>
      </c>
      <c r="L583" s="7" t="n">
        <v>8107.87</v>
      </c>
      <c r="M583" s="7" t="n">
        <v>1013.48</v>
      </c>
      <c r="N583" s="7" t="n">
        <v>1013.48</v>
      </c>
      <c r="O583" s="7" t="n">
        <v>6080.9</v>
      </c>
      <c r="P583" s="7" t="n">
        <v>608.09</v>
      </c>
      <c r="Q583" s="7" t="n">
        <v>608.09</v>
      </c>
      <c r="R583" s="7" t="n">
        <v>608.09</v>
      </c>
      <c r="S583" s="7" t="n">
        <v>608.09</v>
      </c>
      <c r="T583" s="7" t="n">
        <v>608.09</v>
      </c>
      <c r="U583" s="7" t="n">
        <v>608.09</v>
      </c>
      <c r="V583" s="7" t="n">
        <v>608.09</v>
      </c>
      <c r="W583" s="7" t="n">
        <v>608.09</v>
      </c>
      <c r="X583" s="7" t="n">
        <v>608.09</v>
      </c>
      <c r="Y583" s="7" t="n">
        <v>608.09</v>
      </c>
      <c r="Z583" s="7" t="n">
        <v>350</v>
      </c>
      <c r="AA583" s="7" t="n">
        <v>0</v>
      </c>
      <c r="AB583" s="7" t="n">
        <v>350</v>
      </c>
    </row>
    <row r="584" customFormat="false" ht="15" hidden="false" customHeight="false" outlineLevel="0" collapsed="false">
      <c r="A584" s="8" t="s">
        <v>1705</v>
      </c>
      <c r="B584" s="8" t="s">
        <v>981</v>
      </c>
      <c r="C584" s="8" t="s">
        <v>272</v>
      </c>
      <c r="D584" s="8" t="s">
        <v>273</v>
      </c>
      <c r="E584" s="8" t="n">
        <v>2004</v>
      </c>
      <c r="F584" s="8" t="s">
        <v>155</v>
      </c>
      <c r="G584" s="8" t="s">
        <v>191</v>
      </c>
      <c r="H584" s="8" t="s">
        <v>1706</v>
      </c>
      <c r="I584" s="8" t="s">
        <v>56</v>
      </c>
      <c r="J584" s="9" t="n">
        <v>365000</v>
      </c>
      <c r="K584" s="8" t="s">
        <v>71</v>
      </c>
      <c r="L584" s="9" t="n">
        <v>4373.28</v>
      </c>
      <c r="M584" s="9" t="n">
        <v>546.66</v>
      </c>
      <c r="N584" s="9" t="n">
        <v>546.66</v>
      </c>
      <c r="O584" s="9" t="n">
        <v>3280</v>
      </c>
      <c r="P584" s="9" t="n">
        <v>328</v>
      </c>
      <c r="Q584" s="9" t="n">
        <v>328</v>
      </c>
      <c r="R584" s="9" t="n">
        <v>328</v>
      </c>
      <c r="S584" s="9" t="n">
        <v>328</v>
      </c>
      <c r="T584" s="9" t="n">
        <v>328</v>
      </c>
      <c r="U584" s="9" t="n">
        <v>328</v>
      </c>
      <c r="V584" s="9" t="n">
        <v>328</v>
      </c>
      <c r="W584" s="9" t="n">
        <v>328</v>
      </c>
      <c r="X584" s="9" t="n">
        <v>328</v>
      </c>
      <c r="Y584" s="9" t="n">
        <v>328</v>
      </c>
      <c r="Z584" s="9" t="n">
        <v>350</v>
      </c>
      <c r="AA584" s="9" t="n">
        <v>0</v>
      </c>
      <c r="AB584" s="9" t="n">
        <v>350</v>
      </c>
    </row>
    <row r="585" customFormat="false" ht="15" hidden="false" customHeight="false" outlineLevel="0" collapsed="false">
      <c r="A585" s="3" t="s">
        <v>1707</v>
      </c>
      <c r="B585" s="3" t="s">
        <v>1708</v>
      </c>
      <c r="C585" s="3" t="s">
        <v>51</v>
      </c>
      <c r="D585" s="3" t="s">
        <v>52</v>
      </c>
      <c r="E585" s="3" t="n">
        <v>1981</v>
      </c>
      <c r="F585" s="3" t="s">
        <v>62</v>
      </c>
      <c r="G585" s="3" t="s">
        <v>63</v>
      </c>
      <c r="H585" s="3" t="s">
        <v>1709</v>
      </c>
      <c r="I585" s="3" t="s">
        <v>56</v>
      </c>
      <c r="J585" s="7" t="n">
        <v>365000</v>
      </c>
      <c r="K585" s="3" t="s">
        <v>136</v>
      </c>
      <c r="L585" s="7" t="n">
        <v>6778.6</v>
      </c>
      <c r="M585" s="7" t="n">
        <v>847.33</v>
      </c>
      <c r="N585" s="7" t="n">
        <v>847.33</v>
      </c>
      <c r="O585" s="7" t="n">
        <v>5083.9</v>
      </c>
      <c r="P585" s="7" t="n">
        <v>508.39</v>
      </c>
      <c r="Q585" s="7" t="n">
        <v>508.39</v>
      </c>
      <c r="R585" s="7" t="n">
        <v>508.39</v>
      </c>
      <c r="S585" s="7" t="n">
        <v>508.39</v>
      </c>
      <c r="T585" s="7" t="n">
        <v>508.39</v>
      </c>
      <c r="U585" s="7" t="n">
        <v>508.39</v>
      </c>
      <c r="V585" s="7" t="n">
        <v>508.39</v>
      </c>
      <c r="W585" s="7" t="n">
        <v>508.39</v>
      </c>
      <c r="X585" s="7" t="n">
        <v>508.39</v>
      </c>
      <c r="Y585" s="7" t="n">
        <v>508.39</v>
      </c>
      <c r="Z585" s="7" t="n">
        <v>350</v>
      </c>
      <c r="AA585" s="7" t="n">
        <v>0</v>
      </c>
      <c r="AB585" s="7" t="n">
        <v>350</v>
      </c>
    </row>
    <row r="586" customFormat="false" ht="15" hidden="false" customHeight="false" outlineLevel="0" collapsed="false">
      <c r="A586" s="8" t="s">
        <v>1710</v>
      </c>
      <c r="B586" s="8" t="s">
        <v>1711</v>
      </c>
      <c r="C586" s="8" t="s">
        <v>153</v>
      </c>
      <c r="D586" s="8" t="s">
        <v>154</v>
      </c>
      <c r="E586" s="8" t="n">
        <v>1987</v>
      </c>
      <c r="F586" s="8" t="s">
        <v>122</v>
      </c>
      <c r="G586" s="8" t="s">
        <v>123</v>
      </c>
      <c r="H586" s="8" t="s">
        <v>1712</v>
      </c>
      <c r="I586" s="8" t="s">
        <v>56</v>
      </c>
      <c r="J586" s="9" t="n">
        <v>430000</v>
      </c>
      <c r="K586" s="8" t="s">
        <v>86</v>
      </c>
      <c r="L586" s="9" t="n">
        <v>6955.32</v>
      </c>
      <c r="M586" s="9" t="n">
        <v>869.41</v>
      </c>
      <c r="N586" s="9" t="n">
        <v>869.41</v>
      </c>
      <c r="O586" s="9" t="n">
        <v>5216.5</v>
      </c>
      <c r="P586" s="9" t="n">
        <v>521.65</v>
      </c>
      <c r="Q586" s="9" t="n">
        <v>521.65</v>
      </c>
      <c r="R586" s="9" t="n">
        <v>521.65</v>
      </c>
      <c r="S586" s="9" t="n">
        <v>521.65</v>
      </c>
      <c r="T586" s="9" t="n">
        <v>521.65</v>
      </c>
      <c r="U586" s="9" t="n">
        <v>521.65</v>
      </c>
      <c r="V586" s="9" t="n">
        <v>521.65</v>
      </c>
      <c r="W586" s="9" t="n">
        <v>521.65</v>
      </c>
      <c r="X586" s="9" t="n">
        <v>521.65</v>
      </c>
      <c r="Y586" s="9" t="n">
        <v>521.65</v>
      </c>
      <c r="Z586" s="9" t="n">
        <v>350</v>
      </c>
      <c r="AA586" s="9" t="n">
        <v>0</v>
      </c>
      <c r="AB586" s="9" t="n">
        <v>350</v>
      </c>
    </row>
    <row r="587" customFormat="false" ht="15" hidden="false" customHeight="false" outlineLevel="0" collapsed="false">
      <c r="A587" s="3" t="s">
        <v>1713</v>
      </c>
      <c r="B587" s="3" t="s">
        <v>326</v>
      </c>
      <c r="C587" s="3" t="s">
        <v>42</v>
      </c>
      <c r="D587" s="3" t="s">
        <v>43</v>
      </c>
      <c r="E587" s="3" t="n">
        <v>1980</v>
      </c>
      <c r="F587" s="3" t="s">
        <v>122</v>
      </c>
      <c r="G587" s="3" t="s">
        <v>123</v>
      </c>
      <c r="H587" s="3" t="s">
        <v>1714</v>
      </c>
      <c r="I587" s="3" t="s">
        <v>56</v>
      </c>
      <c r="J587" s="7" t="n">
        <v>355000</v>
      </c>
      <c r="K587" s="3" t="s">
        <v>71</v>
      </c>
      <c r="L587" s="7" t="n">
        <v>4253.47</v>
      </c>
      <c r="M587" s="7" t="n">
        <v>531.68</v>
      </c>
      <c r="N587" s="7" t="n">
        <v>531.68</v>
      </c>
      <c r="O587" s="7" t="n">
        <v>3190.1</v>
      </c>
      <c r="P587" s="7" t="n">
        <v>319.01</v>
      </c>
      <c r="Q587" s="7" t="n">
        <v>319.01</v>
      </c>
      <c r="R587" s="7" t="n">
        <v>319.01</v>
      </c>
      <c r="S587" s="7" t="n">
        <v>319.01</v>
      </c>
      <c r="T587" s="7" t="n">
        <v>319.01</v>
      </c>
      <c r="U587" s="7" t="n">
        <v>319.01</v>
      </c>
      <c r="V587" s="7" t="n">
        <v>319.01</v>
      </c>
      <c r="W587" s="7" t="n">
        <v>319.01</v>
      </c>
      <c r="X587" s="7" t="n">
        <v>319.01</v>
      </c>
      <c r="Y587" s="7" t="n">
        <v>319.01</v>
      </c>
      <c r="Z587" s="7" t="n">
        <v>350</v>
      </c>
      <c r="AA587" s="7" t="n">
        <v>0</v>
      </c>
      <c r="AB587" s="7" t="n">
        <v>350</v>
      </c>
    </row>
    <row r="588" customFormat="false" ht="15" hidden="false" customHeight="false" outlineLevel="0" collapsed="false">
      <c r="A588" s="8" t="s">
        <v>1715</v>
      </c>
      <c r="B588" s="8" t="s">
        <v>1610</v>
      </c>
      <c r="C588" s="8" t="s">
        <v>189</v>
      </c>
      <c r="D588" s="8" t="s">
        <v>190</v>
      </c>
      <c r="E588" s="8" t="n">
        <v>1959</v>
      </c>
      <c r="F588" s="8" t="s">
        <v>44</v>
      </c>
      <c r="G588" s="8" t="s">
        <v>76</v>
      </c>
      <c r="H588" s="8" t="s">
        <v>1716</v>
      </c>
      <c r="I588" s="8" t="s">
        <v>78</v>
      </c>
      <c r="J588" s="9" t="n">
        <v>650000</v>
      </c>
      <c r="K588" s="8" t="s">
        <v>519</v>
      </c>
      <c r="L588" s="9" t="n">
        <v>4911.66</v>
      </c>
      <c r="M588" s="9" t="n">
        <v>613.96</v>
      </c>
      <c r="N588" s="9" t="n">
        <v>613.96</v>
      </c>
      <c r="O588" s="9" t="n">
        <v>3683.7</v>
      </c>
      <c r="P588" s="9" t="n">
        <v>368.37</v>
      </c>
      <c r="Q588" s="9" t="n">
        <v>368.37</v>
      </c>
      <c r="R588" s="9" t="n">
        <v>368.37</v>
      </c>
      <c r="S588" s="9" t="n">
        <v>368.37</v>
      </c>
      <c r="T588" s="9" t="n">
        <v>368.37</v>
      </c>
      <c r="U588" s="9" t="n">
        <v>368.37</v>
      </c>
      <c r="V588" s="9" t="n">
        <v>368.37</v>
      </c>
      <c r="W588" s="9" t="n">
        <v>368.37</v>
      </c>
      <c r="X588" s="9" t="n">
        <v>368.37</v>
      </c>
      <c r="Y588" s="9" t="n">
        <v>368.37</v>
      </c>
      <c r="Z588" s="9" t="n">
        <v>350</v>
      </c>
      <c r="AA588" s="9" t="n">
        <v>0</v>
      </c>
      <c r="AB588" s="9" t="n">
        <v>350</v>
      </c>
    </row>
    <row r="589" customFormat="false" ht="15" hidden="false" customHeight="false" outlineLevel="0" collapsed="false">
      <c r="A589" s="10" t="s">
        <v>1717</v>
      </c>
      <c r="J589" s="11" t="n">
        <f aca="false">SUM(J5:J588)</f>
        <v>400925000</v>
      </c>
      <c r="L589" s="11" t="n">
        <f aca="false">SUM(L5:L588)</f>
        <v>5156741.06</v>
      </c>
      <c r="M589" s="11" t="n">
        <f aca="false">SUM(M5:M588)</f>
        <v>644592.64</v>
      </c>
      <c r="N589" s="11" t="n">
        <f aca="false">SUM(N5:N588)</f>
        <v>644592.64</v>
      </c>
      <c r="O589" s="11" t="n">
        <f aca="false">SUM(O5:O588)</f>
        <v>3867556.8</v>
      </c>
      <c r="P589" s="11" t="n">
        <f aca="false">SUM(P5:P588)</f>
        <v>386755.68</v>
      </c>
      <c r="Q589" s="11" t="n">
        <f aca="false">SUM(Q5:Q588)</f>
        <v>386755.68</v>
      </c>
      <c r="R589" s="11" t="n">
        <f aca="false">SUM(R5:R588)</f>
        <v>386755.68</v>
      </c>
      <c r="S589" s="11" t="n">
        <f aca="false">SUM(S5:S588)</f>
        <v>386755.68</v>
      </c>
      <c r="T589" s="11" t="n">
        <f aca="false">SUM(T5:T588)</f>
        <v>386755.68</v>
      </c>
      <c r="U589" s="11" t="n">
        <f aca="false">SUM(U5:U588)</f>
        <v>386755.68</v>
      </c>
      <c r="V589" s="11" t="n">
        <f aca="false">SUM(V5:V588)</f>
        <v>386755.68</v>
      </c>
      <c r="W589" s="11" t="n">
        <f aca="false">SUM(W5:W588)</f>
        <v>386755.68</v>
      </c>
      <c r="X589" s="11" t="n">
        <f aca="false">SUM(X5:X588)</f>
        <v>386755.68</v>
      </c>
      <c r="Y589" s="11" t="n">
        <f aca="false">SUM(Y5:Y588)</f>
        <v>386755.68</v>
      </c>
      <c r="Z589" s="11" t="n">
        <f aca="false">SUM(Z5:Z588)</f>
        <v>204400</v>
      </c>
      <c r="AA589" s="11" t="n">
        <f aca="false">SUM(AA5:AA588)</f>
        <v>26500</v>
      </c>
      <c r="AB589" s="11" t="n">
        <f aca="false">SUM(AB5:AB588)</f>
        <v>230900</v>
      </c>
    </row>
    <row r="590" customFormat="false" ht="15" hidden="false" customHeight="false" outlineLevel="0" collapsed="false">
      <c r="A590" s="10" t="s">
        <v>1718</v>
      </c>
      <c r="L590" s="11" t="n">
        <f aca="false">M589+N589+SUM(P589:Y589)</f>
        <v>5156742.08</v>
      </c>
    </row>
    <row r="591" customFormat="false" ht="15" hidden="false" customHeight="false" outlineLevel="0" collapsed="false">
      <c r="A591" s="10" t="s">
        <v>1719</v>
      </c>
      <c r="L591" s="11" t="n">
        <f aca="false">ROUND(L589-(M589+N589+SUM(P589:Y589)),2)</f>
        <v>-1.02</v>
      </c>
    </row>
    <row r="592" customFormat="false" ht="15" hidden="false" customHeight="false" outlineLevel="0" collapsed="false">
      <c r="A592" s="10" t="s">
        <v>1720</v>
      </c>
      <c r="L592" s="11" t="n">
        <f aca="false">M589+N589+SUM(P589:Y589)+L591</f>
        <v>5156741.06</v>
      </c>
    </row>
  </sheetData>
  <autoFilter ref="A4:AB588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1721</v>
      </c>
      <c r="B1" s="4"/>
      <c r="C1" s="4"/>
    </row>
    <row r="2" customFormat="false" ht="15" hidden="false" customHeight="false" outlineLevel="0" collapsed="false">
      <c r="A2" s="5" t="s">
        <v>1722</v>
      </c>
      <c r="B2" s="5"/>
      <c r="C2" s="5"/>
    </row>
    <row r="4" customFormat="false" ht="15" hidden="false" customHeight="false" outlineLevel="0" collapsed="false">
      <c r="A4" s="6" t="s">
        <v>1723</v>
      </c>
      <c r="B4" s="6" t="s">
        <v>1724</v>
      </c>
      <c r="C4" s="6" t="s">
        <v>1725</v>
      </c>
    </row>
    <row r="5" customFormat="false" ht="15" hidden="false" customHeight="false" outlineLevel="0" collapsed="false">
      <c r="A5" s="12" t="s">
        <v>1726</v>
      </c>
      <c r="B5" s="13" t="n">
        <f aca="false">COUNTA(Bordereau!A5:A588)</f>
        <v>584</v>
      </c>
      <c r="C5" s="14" t="n">
        <v>584</v>
      </c>
    </row>
    <row r="6" customFormat="false" ht="15" hidden="false" customHeight="false" outlineLevel="0" collapsed="false">
      <c r="A6" s="15" t="s">
        <v>4</v>
      </c>
      <c r="B6" s="16" t="n">
        <f aca="false">SUM(Bordereau!L5:L588)</f>
        <v>5156741.06</v>
      </c>
      <c r="C6" s="17" t="n">
        <v>5156741.06</v>
      </c>
    </row>
    <row r="7" customFormat="false" ht="15" hidden="false" customHeight="false" outlineLevel="0" collapsed="false">
      <c r="A7" s="15" t="s">
        <v>1727</v>
      </c>
      <c r="B7" s="16" t="n">
        <f aca="false">B6/B5</f>
        <v>8830.03606164384</v>
      </c>
      <c r="C7" s="17" t="n">
        <v>8830.04</v>
      </c>
    </row>
    <row r="8" customFormat="false" ht="15" hidden="false" customHeight="false" outlineLevel="0" collapsed="false">
      <c r="A8" s="15" t="s">
        <v>1728</v>
      </c>
      <c r="B8" s="16" t="n">
        <f aca="false">SUM(Bordereau!M5:M588)</f>
        <v>644592.64</v>
      </c>
      <c r="C8" s="18"/>
    </row>
    <row r="9" customFormat="false" ht="15" hidden="false" customHeight="false" outlineLevel="0" collapsed="false">
      <c r="A9" s="15" t="s">
        <v>1729</v>
      </c>
      <c r="B9" s="16" t="n">
        <f aca="false">SUM(Bordereau!N5:N588)</f>
        <v>644592.64</v>
      </c>
      <c r="C9" s="18"/>
    </row>
    <row r="10" customFormat="false" ht="15" hidden="false" customHeight="false" outlineLevel="0" collapsed="false">
      <c r="A10" s="15" t="s">
        <v>1730</v>
      </c>
      <c r="B10" s="16" t="n">
        <f aca="false">SUM(Bordereau!O5:O588)</f>
        <v>3867556.8</v>
      </c>
      <c r="C10" s="18"/>
    </row>
    <row r="11" customFormat="false" ht="15" hidden="false" customHeight="false" outlineLevel="0" collapsed="false">
      <c r="A11" s="15" t="s">
        <v>1731</v>
      </c>
      <c r="B11" s="16" t="n">
        <f aca="false">SUM(Bordereau!P5:P588)</f>
        <v>386755.68</v>
      </c>
      <c r="C11" s="18"/>
    </row>
    <row r="12" customFormat="false" ht="15" hidden="false" customHeight="false" outlineLevel="0" collapsed="false">
      <c r="A12" s="15" t="s">
        <v>1732</v>
      </c>
      <c r="B12" s="16" t="n">
        <f aca="false">SUM(Bordereau!Q5:Q588)</f>
        <v>386755.68</v>
      </c>
      <c r="C12" s="18"/>
    </row>
    <row r="13" customFormat="false" ht="15" hidden="false" customHeight="false" outlineLevel="0" collapsed="false">
      <c r="A13" s="15" t="s">
        <v>1733</v>
      </c>
      <c r="B13" s="16" t="n">
        <f aca="false">SUM(Bordereau!R5:R588)</f>
        <v>386755.68</v>
      </c>
      <c r="C13" s="18"/>
    </row>
    <row r="14" customFormat="false" ht="15" hidden="false" customHeight="false" outlineLevel="0" collapsed="false">
      <c r="A14" s="15" t="s">
        <v>1734</v>
      </c>
      <c r="B14" s="16" t="n">
        <f aca="false">SUM(Bordereau!S5:S588)</f>
        <v>386755.68</v>
      </c>
      <c r="C14" s="18"/>
    </row>
    <row r="15" customFormat="false" ht="15" hidden="false" customHeight="false" outlineLevel="0" collapsed="false">
      <c r="A15" s="15" t="s">
        <v>1735</v>
      </c>
      <c r="B15" s="16" t="n">
        <f aca="false">SUM(Bordereau!T5:T588)</f>
        <v>386755.68</v>
      </c>
      <c r="C15" s="18"/>
    </row>
    <row r="16" customFormat="false" ht="15" hidden="false" customHeight="false" outlineLevel="0" collapsed="false">
      <c r="A16" s="15" t="s">
        <v>1736</v>
      </c>
      <c r="B16" s="16" t="n">
        <f aca="false">SUM(Bordereau!U5:U588)</f>
        <v>386755.68</v>
      </c>
      <c r="C16" s="18"/>
    </row>
    <row r="17" customFormat="false" ht="15" hidden="false" customHeight="false" outlineLevel="0" collapsed="false">
      <c r="A17" s="15" t="s">
        <v>1737</v>
      </c>
      <c r="B17" s="16" t="n">
        <f aca="false">SUM(Bordereau!V5:V588)</f>
        <v>386755.68</v>
      </c>
      <c r="C17" s="18"/>
    </row>
    <row r="18" customFormat="false" ht="15" hidden="false" customHeight="false" outlineLevel="0" collapsed="false">
      <c r="A18" s="15" t="s">
        <v>1738</v>
      </c>
      <c r="B18" s="16" t="n">
        <f aca="false">SUM(Bordereau!W5:W588)</f>
        <v>386755.68</v>
      </c>
      <c r="C18" s="18"/>
    </row>
    <row r="19" customFormat="false" ht="15" hidden="false" customHeight="false" outlineLevel="0" collapsed="false">
      <c r="A19" s="15" t="s">
        <v>1739</v>
      </c>
      <c r="B19" s="16" t="n">
        <f aca="false">SUM(Bordereau!X5:X588)</f>
        <v>386755.68</v>
      </c>
      <c r="C19" s="18"/>
    </row>
    <row r="20" customFormat="false" ht="15" hidden="false" customHeight="false" outlineLevel="0" collapsed="false">
      <c r="A20" s="15" t="s">
        <v>1740</v>
      </c>
      <c r="B20" s="16" t="n">
        <f aca="false">SUM(Bordereau!Y5:Y588)</f>
        <v>386755.68</v>
      </c>
      <c r="C20" s="18"/>
    </row>
    <row r="21" customFormat="false" ht="15" hidden="false" customHeight="false" outlineLevel="0" collapsed="false">
      <c r="A21" s="15" t="s">
        <v>1741</v>
      </c>
      <c r="B21" s="16" t="n">
        <f aca="false">SUM(Bordereau!Z5:Z588)</f>
        <v>204400</v>
      </c>
      <c r="C21" s="18"/>
    </row>
    <row r="22" customFormat="false" ht="15" hidden="false" customHeight="false" outlineLevel="0" collapsed="false">
      <c r="A22" s="15" t="s">
        <v>1742</v>
      </c>
      <c r="B22" s="16" t="n">
        <f aca="false">SUM(Bordereau!AA5:AA588)</f>
        <v>26500</v>
      </c>
      <c r="C22" s="18"/>
    </row>
    <row r="23" customFormat="false" ht="15" hidden="false" customHeight="false" outlineLevel="0" collapsed="false">
      <c r="A23" s="15" t="s">
        <v>1743</v>
      </c>
      <c r="B23" s="16" t="n">
        <f aca="false">SUM(Bordereau!AB5:AB588)</f>
        <v>230900</v>
      </c>
      <c r="C23" s="18"/>
    </row>
    <row r="24" customFormat="false" ht="15" hidden="false" customHeight="false" outlineLevel="0" collapsed="false">
      <c r="A24" s="12" t="s">
        <v>1744</v>
      </c>
      <c r="B24" s="19" t="n">
        <f aca="false">B8+B9+B10</f>
        <v>5156742.08</v>
      </c>
      <c r="C24" s="18"/>
    </row>
    <row r="25" customFormat="false" ht="15" hidden="false" customHeight="false" outlineLevel="0" collapsed="false">
      <c r="A25" s="12" t="s">
        <v>1719</v>
      </c>
      <c r="B25" s="19" t="n">
        <f aca="false">ROUND(B6-(B8+B9+B10),2)</f>
        <v>-1.02</v>
      </c>
      <c r="C25" s="18"/>
    </row>
    <row r="26" customFormat="false" ht="15" hidden="false" customHeight="false" outlineLevel="0" collapsed="false">
      <c r="A26" s="12" t="s">
        <v>1745</v>
      </c>
      <c r="B26" s="19" t="n">
        <f aca="false">B24+B25</f>
        <v>5156741.06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2026-08-28T18:11:29Z</dcterms:created>
  <dc:creator>openpyxl</dc:creator>
  <dc:description/>
  <dc:language>en-US</dc:language>
  <cp:lastModifiedBy/>
  <dcterms:modified xsi:type="dcterms:W3CDTF">2026-08-28T18:11:29Z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